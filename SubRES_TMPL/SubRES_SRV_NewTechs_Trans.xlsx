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trProps/ctrProp1.xml" ContentType="application/vnd.ms-excel.controlproperties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 updateLinks="never" codeName="ThisWorkbook" filterPrivacy="1"/>
  <bookViews>
    <workbookView xWindow="2805" yWindow="1815" windowWidth="19200" windowHeight="11175" activeTab="0"/>
  </bookViews>
  <sheets>
    <sheet name="Cover" sheetId="19" r:id="rId3"/>
    <sheet name="Legend" sheetId="14" r:id="rId4"/>
    <sheet name="AFA" sheetId="1" r:id="rId5"/>
    <sheet name="EFF" sheetId="17" r:id="rId6"/>
    <sheet name="FillTable" sheetId="5" r:id="rId7"/>
    <sheet name="Regions" sheetId="15" r:id="rId8"/>
    <sheet name="TechSelection" sheetId="16" r:id="rId9"/>
    <sheet name="BY_S-SH" sheetId="7" r:id="rId10"/>
    <sheet name="BY_S-WH" sheetId="9" r:id="rId11"/>
    <sheet name="BY_S-SC" sheetId="11" r:id="rId12"/>
    <sheet name="BY_S-EAP" sheetId="18" r:id="rId13"/>
  </sheets>
  <definedNames>
    <definedName name="__123Graph_AEUMILKPN" localSheetId="0" hidden="1">#REF!</definedName>
    <definedName name="__123Graph_AEUMILKPN" localSheetId="6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6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1F27775E-4A95-425E-860A-CCA3C466CAB1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13" authorId="0" shapeId="0" xr:uid="{AE36C519-48EE-4EE8-9A12-60EDCD17DF66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2" authorId="0" shapeId="0" xr:uid="{6EDC0A10-1898-4388-83C4-65A163BBCD4B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4" authorId="0" shapeId="0" xr:uid="{2CBDFFFF-A78E-4004-958F-253D86EF5B3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9" authorId="0" shapeId="0" xr:uid="{AFF1CE0E-EA58-4CE9-AC2A-EBEC8ECD86C5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1" authorId="0" shapeId="0" xr:uid="{B17A9B9D-6674-4CA2-B25F-E545D609D72F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7" authorId="0" shapeId="0" xr:uid="{00000000-0006-0000-0100-00000C00000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44" authorId="0" shapeId="0" xr:uid="{00000000-0006-0000-0100-00000F00000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332E51FB-73FC-4B3F-90D1-5B86B987E8F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13" authorId="0" shapeId="0" xr:uid="{5B1FB8FC-A1C3-4729-9DB4-8DB1750ADF37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2" authorId="0" shapeId="0" xr:uid="{56F0C5AC-E714-477C-8391-5581496672B5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4" authorId="0" shapeId="0" xr:uid="{17C5FFE0-79A1-4604-972C-BD2F6468079C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9" authorId="0" shapeId="0" xr:uid="{1796145A-66AD-472A-B5E9-4677823437E7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1" authorId="0" shapeId="0" xr:uid="{4D5263AD-A1E9-4876-86CB-7E52CF6853D9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7" authorId="0" shapeId="0" xr:uid="{21B1400C-374B-4EC7-96ED-7FD4F0D5B66B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44" authorId="0" shapeId="0" xr:uid="{79D1640D-321C-4953-A1F0-65ECE31E27B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<sst xmlns="http://schemas.openxmlformats.org/spreadsheetml/2006/main" count="1501" uniqueCount="275">
  <si>
    <t>LimType</t>
  </si>
  <si>
    <t>Attribute</t>
  </si>
  <si>
    <t>Year</t>
  </si>
  <si>
    <t>Pset_PN</t>
  </si>
  <si>
    <t>AllRegions</t>
  </si>
  <si>
    <t>Pset_CI</t>
  </si>
  <si>
    <t>Pset_CO</t>
  </si>
  <si>
    <t>Cset_CN</t>
  </si>
  <si>
    <t>PSET_PN</t>
  </si>
  <si>
    <t>Fuel</t>
  </si>
  <si>
    <t>GAS</t>
  </si>
  <si>
    <t>LPG</t>
  </si>
  <si>
    <t>ELC</t>
  </si>
  <si>
    <t>Fill Table to capture Base-Year Efficiencies</t>
  </si>
  <si>
    <t>AFA</t>
  </si>
  <si>
    <t>Scenario</t>
  </si>
  <si>
    <t>BASE</t>
  </si>
  <si>
    <t>Type</t>
  </si>
  <si>
    <t>BIO</t>
  </si>
  <si>
    <t>HET</t>
  </si>
  <si>
    <t>OIL</t>
  </si>
  <si>
    <t>Reference Tech</t>
  </si>
  <si>
    <t>~TFM_INS</t>
  </si>
  <si>
    <t>SOL</t>
  </si>
  <si>
    <t>*Space Heat</t>
  </si>
  <si>
    <t>*Water Heat</t>
  </si>
  <si>
    <t>*Space Cooling</t>
  </si>
  <si>
    <t>PU</t>
  </si>
  <si>
    <t>*</t>
  </si>
  <si>
    <t>Document type:</t>
  </si>
  <si>
    <t>Sector:</t>
  </si>
  <si>
    <t>Tab colour legend</t>
  </si>
  <si>
    <t>VEDA-TIMES data input tables</t>
  </si>
  <si>
    <t>*Water Heat (dual techs)</t>
  </si>
  <si>
    <t>*Space Cooling (dual techs)</t>
  </si>
  <si>
    <t>AFC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</si>
  <si>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</si>
  <si>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</si>
  <si>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</si>
  <si>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</si>
  <si>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</si>
  <si>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</si>
  <si>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</si>
  <si>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</si>
  <si>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</si>
  <si>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</si>
  <si>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</si>
  <si>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Services</t>
  </si>
  <si>
    <t>SRV</t>
  </si>
  <si>
    <t>Cell colour legend</t>
  </si>
  <si>
    <t>aaa</t>
  </si>
  <si>
    <t>Model input</t>
  </si>
  <si>
    <t>Model input based on own assumptions</t>
  </si>
  <si>
    <t>Calculated value (not recommended to directly modify)</t>
  </si>
  <si>
    <t>Codes for processes and commodities names</t>
  </si>
  <si>
    <t>Dimension</t>
  </si>
  <si>
    <t>Short code</t>
  </si>
  <si>
    <t>Full code</t>
  </si>
  <si>
    <t>Sub-sectors</t>
  </si>
  <si>
    <t>Commercial Services</t>
  </si>
  <si>
    <t>CS</t>
  </si>
  <si>
    <t>Public Services</t>
  </si>
  <si>
    <t>Thermal uses</t>
  </si>
  <si>
    <t>Space heating</t>
  </si>
  <si>
    <t>SH</t>
  </si>
  <si>
    <t>Water heating</t>
  </si>
  <si>
    <t>WH</t>
  </si>
  <si>
    <t>Space cooling</t>
  </si>
  <si>
    <t>SC</t>
  </si>
  <si>
    <t>Other uses</t>
  </si>
  <si>
    <t>Cooking</t>
  </si>
  <si>
    <t>CK</t>
  </si>
  <si>
    <t>Building lighting</t>
  </si>
  <si>
    <t>LIG</t>
  </si>
  <si>
    <t>Refrigeration</t>
  </si>
  <si>
    <t>REF</t>
  </si>
  <si>
    <t>Other appliances</t>
  </si>
  <si>
    <t>OEL</t>
  </si>
  <si>
    <t>Data centers</t>
  </si>
  <si>
    <t>DCE</t>
  </si>
  <si>
    <t>Public lighting</t>
  </si>
  <si>
    <t>PLIG</t>
  </si>
  <si>
    <t>Other services</t>
  </si>
  <si>
    <t>OTS</t>
  </si>
  <si>
    <t>Fuels</t>
  </si>
  <si>
    <t>Solids</t>
  </si>
  <si>
    <t>COA</t>
  </si>
  <si>
    <t>SRVCOA</t>
  </si>
  <si>
    <t>SRVLPG</t>
  </si>
  <si>
    <t>Oil</t>
  </si>
  <si>
    <t>SRVOIL</t>
  </si>
  <si>
    <t>Natural Gas</t>
  </si>
  <si>
    <t>SRVGAS</t>
  </si>
  <si>
    <t>Biomass</t>
  </si>
  <si>
    <t>SRVBIO</t>
  </si>
  <si>
    <t>Biogas</t>
  </si>
  <si>
    <t>BGS</t>
  </si>
  <si>
    <t>SRVBGS</t>
  </si>
  <si>
    <t>Solar</t>
  </si>
  <si>
    <t>SRVSOL</t>
  </si>
  <si>
    <t>Electricity</t>
  </si>
  <si>
    <t>SRVELC</t>
  </si>
  <si>
    <t>Ambient Heat</t>
  </si>
  <si>
    <t>AHT</t>
  </si>
  <si>
    <t>SRVAHT</t>
  </si>
  <si>
    <t>District heating</t>
  </si>
  <si>
    <t>SRVHET</t>
  </si>
  <si>
    <t>Wind</t>
  </si>
  <si>
    <t>WIN</t>
  </si>
  <si>
    <t>SRVWIN</t>
  </si>
  <si>
    <t>Hydrogen (gaseous)</t>
  </si>
  <si>
    <t>H2G</t>
  </si>
  <si>
    <t>SRVH2G</t>
  </si>
  <si>
    <t>Hydrogen (liquid)</t>
  </si>
  <si>
    <t>H2L</t>
  </si>
  <si>
    <t>SRVH2L</t>
  </si>
  <si>
    <t>Biodiesel</t>
  </si>
  <si>
    <t>BDL</t>
  </si>
  <si>
    <t>SRVBDL</t>
  </si>
  <si>
    <t>Ethanol</t>
  </si>
  <si>
    <t>ETH</t>
  </si>
  <si>
    <t>SRVETH</t>
  </si>
  <si>
    <t>S-SH*</t>
  </si>
  <si>
    <t>S-WH*</t>
  </si>
  <si>
    <t>S-SC*</t>
  </si>
  <si>
    <t>EFF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</si>
  <si>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</si>
  <si>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</si>
  <si>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</si>
  <si>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</si>
  <si>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</si>
  <si>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</si>
  <si>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</si>
  <si>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</si>
  <si>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</si>
  <si>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</si>
  <si>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</si>
  <si>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</si>
  <si>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</si>
  <si>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</si>
  <si>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</si>
  <si>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</si>
  <si>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</si>
  <si>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</si>
  <si>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</si>
  <si>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</si>
  <si>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</si>
  <si>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</si>
  <si>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</si>
  <si>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</si>
  <si>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</si>
  <si>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</si>
  <si>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</si>
  <si>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</si>
  <si>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</si>
  <si>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</si>
  <si>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</si>
  <si>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</si>
  <si>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</si>
  <si>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</si>
  <si>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</si>
  <si>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</si>
  <si>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</si>
  <si>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</si>
  <si>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</si>
  <si>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</si>
  <si>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</si>
  <si>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</si>
  <si>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</si>
  <si>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</si>
  <si>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</si>
  <si>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</si>
  <si>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</si>
  <si>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</si>
  <si>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</si>
  <si>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</si>
  <si>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</si>
  <si>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</si>
  <si>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</si>
  <si>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</si>
  <si>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</si>
  <si>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</si>
  <si>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</si>
  <si>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</si>
  <si>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</si>
  <si>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</si>
  <si>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~TFM_AVA</t>
  </si>
  <si>
    <t>PSET_SET</t>
  </si>
  <si>
    <t>PSET_PD</t>
  </si>
  <si>
    <t>PSET_CO</t>
  </si>
  <si>
    <t>PSET_CI</t>
  </si>
  <si>
    <t>Allregions</t>
  </si>
  <si>
    <t>SRVSH-PU</t>
  </si>
  <si>
    <t>SRVSH-CS</t>
  </si>
  <si>
    <t>~TFM_Fill-R: w=BY_S-SH; Hcol=Region</t>
  </si>
  <si>
    <t>~TFM_Fill-R: w=BY_S-WH; Hcol=Region</t>
  </si>
  <si>
    <t>~TFM_Fill-R: w=BY_S-SC; Hcol=Region</t>
  </si>
  <si>
    <t>S-PLIG-PU_X2</t>
  </si>
  <si>
    <t>SRVWH-PU</t>
  </si>
  <si>
    <t>SRVWH-CS</t>
  </si>
  <si>
    <t>SRVSC-PU</t>
  </si>
  <si>
    <t>SRVSC-CS</t>
  </si>
  <si>
    <t>~TFM_UPD</t>
  </si>
  <si>
    <t>AFA for SRV techs</t>
  </si>
  <si>
    <t>EFF for SRV techs</t>
  </si>
  <si>
    <t>CEFF</t>
  </si>
  <si>
    <t>~TFM_Fill-R: w=BY_S-EAP; Hcol=Region</t>
  </si>
  <si>
    <t>S-LIG*, S-REF*, S-OEL*, S-PLIG*</t>
  </si>
  <si>
    <t>*Electric appliances</t>
  </si>
  <si>
    <t>Stock</t>
  </si>
  <si>
    <t>S-PLIG*</t>
  </si>
  <si>
    <t>EFF*Stock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</si>
  <si>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</si>
  <si>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</si>
  <si>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</si>
  <si>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</si>
  <si>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</si>
  <si>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</si>
  <si>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</si>
  <si>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</si>
  <si>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</si>
  <si>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</si>
  <si>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</si>
  <si>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 - Transformation</t>
  </si>
  <si>
    <t>Service sector (SRV)</t>
  </si>
  <si>
    <t>Transform techno-economic data</t>
  </si>
  <si>
    <t>Olexandr Balyk (UCC, olexandr.balyk@ucc.ie)</t>
  </si>
  <si>
    <t>-</t>
  </si>
  <si>
    <t>UP</t>
  </si>
  <si>
    <t>2018</t>
  </si>
  <si>
    <t>S-SH-PU_OIL_X0</t>
  </si>
  <si>
    <t>S-SH-PU_LPG_X0</t>
  </si>
  <si>
    <t>S-SH-PU_GAS_X0</t>
  </si>
  <si>
    <t>S-SH-PU_ELC_X0</t>
  </si>
  <si>
    <t>S-SH-PU_ELC-HP_X0</t>
  </si>
  <si>
    <t>S-SH-PU_COA_X0</t>
  </si>
  <si>
    <t>S-SH-PU_BIO_X0</t>
  </si>
  <si>
    <t>S-SH-CS_SOL_X0</t>
  </si>
  <si>
    <t>S-SH-CS_OIL_X0</t>
  </si>
  <si>
    <t>S-SH-CS_LPG_X0</t>
  </si>
  <si>
    <t>S-SH-CS_GAS_X0</t>
  </si>
  <si>
    <t>S-SH-CS_ELC_X0</t>
  </si>
  <si>
    <t>S-SH-CS_ELC-HP_X0</t>
  </si>
  <si>
    <t>S-SH-CS_COA_X0</t>
  </si>
  <si>
    <t>S-SH-CS_BIO_X0</t>
  </si>
  <si>
    <t>ANNUAL</t>
  </si>
  <si>
    <t>S-WH-PU_SOL_X0</t>
  </si>
  <si>
    <t>S-WH-PU_OIL_X0</t>
  </si>
  <si>
    <t>S-WH-PU_LPG_X0</t>
  </si>
  <si>
    <t>S-WH-PU_GAS_X0</t>
  </si>
  <si>
    <t>S-WH-PU_ELC_X0</t>
  </si>
  <si>
    <t>S-WH-PU_COA_X0</t>
  </si>
  <si>
    <t>S-WH-PU_BIO_X0</t>
  </si>
  <si>
    <t>S-WH-CS_SOL_X0</t>
  </si>
  <si>
    <t>S-WH-CS_OIL_X0</t>
  </si>
  <si>
    <t>S-WH-CS_LPG_X0</t>
  </si>
  <si>
    <t>S-WH-CS_GAS_X0</t>
  </si>
  <si>
    <t>S-WH-CS_ELC_X0</t>
  </si>
  <si>
    <t>S-WH-CS_COA_X0</t>
  </si>
  <si>
    <t>S-WH-CS_BIO_X0</t>
  </si>
  <si>
    <t>S-SC-PU_GAS_X0</t>
  </si>
  <si>
    <t>S-SC-PU_ELC_X0</t>
  </si>
  <si>
    <t>S-SC-CS_GAS_X0</t>
  </si>
  <si>
    <t>S-SC-CS_ELC_X0</t>
  </si>
  <si>
    <t>S-PLIG-PU_X1</t>
  </si>
  <si>
    <t>S-LIG-PU_ELC_X0</t>
  </si>
  <si>
    <t>S-LIG-CS_ELC_X0</t>
  </si>
  <si>
    <t>S-PLIG-PU_X4</t>
  </si>
  <si>
    <t>S-PLIG-PU_X3</t>
  </si>
  <si>
    <t>S-REF-PU_ELC_X0</t>
  </si>
  <si>
    <t>S-REF-CS_ELC_X0</t>
  </si>
  <si>
    <t>S-OEL-PU_ELC_X0</t>
  </si>
  <si>
    <t>S-OEL-CS_ELC_X0</t>
  </si>
  <si>
    <t>year2</t>
  </si>
  <si>
    <t>S-SH-PU_SOL_X0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</si>
</sst>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6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8849987983704"/>
      <name val="Calibri"/>
      <family val="2"/>
      <scheme val="minor"/>
    </font>
    <font>
      <sz val="11"/>
      <color theme="7" tint="-0.49884998798370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04885999858379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8870006203651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theme="0"/>
      </top>
      <bottom style="medium">
        <color theme="0"/>
      </bottom>
    </border>
    <border>
      <left/>
      <right/>
      <top/>
      <bottom style="medium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theme="0"/>
      </top>
      <bottom/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>
      <alignment/>
      <protection/>
    </xf>
  </cellStyleXfs>
  <cellXfs count="81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2" fontId="0" fillId="3" borderId="0" xfId="0" applyNumberFormat="1" applyFill="1" applyAlignment="1">
      <alignment horizontal="left" vertical="center"/>
    </xf>
    <xf numFmtId="0" fontId="0" fillId="0" borderId="3" xfId="0" applyBorder="1" applyAlignment="1">
      <alignment vertical="center"/>
    </xf>
    <xf numFmtId="2" fontId="0" fillId="0" borderId="3" xfId="0" applyNumberFormat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2" fillId="4" borderId="0" xfId="0" applyFont="1" applyFill="1" applyAlignment="1">
      <alignment vertical="top"/>
    </xf>
    <xf numFmtId="0" fontId="3" fillId="0" borderId="0" xfId="0" applyFont="1" applyAlignment="1">
      <alignment horizontal="left" vertical="center"/>
    </xf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0" fillId="5" borderId="9" xfId="0" applyFill="1" applyBorder="1"/>
    <xf numFmtId="0" fontId="14" fillId="0" borderId="0" xfId="0" applyFont="1"/>
    <xf numFmtId="0" fontId="13" fillId="2" borderId="10" xfId="0" applyFont="1" applyFill="1" applyBorder="1" applyAlignment="1">
      <alignment horizontal="left" vertical="center"/>
    </xf>
    <xf numFmtId="0" fontId="0" fillId="6" borderId="4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5" fillId="6" borderId="11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2" borderId="14" xfId="0" applyFont="1" applyFill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7" borderId="15" xfId="0" applyFill="1" applyBorder="1"/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9" borderId="16" xfId="0" applyFont="1" applyFill="1" applyBorder="1"/>
    <xf numFmtId="0" fontId="0" fillId="0" borderId="9" xfId="0" applyBorder="1"/>
    <xf numFmtId="0" fontId="0" fillId="0" borderId="13" xfId="0" applyBorder="1"/>
    <xf numFmtId="0" fontId="0" fillId="0" borderId="15" xfId="0" applyBorder="1"/>
    <xf numFmtId="0" fontId="1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10" borderId="16" xfId="0" applyFont="1" applyFill="1" applyBorder="1"/>
    <xf numFmtId="0" fontId="4" fillId="10" borderId="17" xfId="0" applyFont="1" applyFill="1" applyBorder="1"/>
    <xf numFmtId="0" fontId="4" fillId="11" borderId="17" xfId="0" applyFont="1" applyFill="1" applyBorder="1" applyAlignment="1">
      <alignment horizontal="center"/>
    </xf>
    <xf numFmtId="0" fontId="4" fillId="0" borderId="0" xfId="0" applyFont="1"/>
    <xf numFmtId="0" fontId="0" fillId="6" borderId="0" xfId="0" applyFill="1" applyAlignment="1">
      <alignment vertical="center"/>
    </xf>
    <xf numFmtId="0" fontId="5" fillId="6" borderId="0" xfId="0" applyFont="1" applyFill="1" applyAlignment="1">
      <alignment vertical="center"/>
    </xf>
    <xf numFmtId="2" fontId="0" fillId="6" borderId="0" xfId="0" applyNumberFormat="1" applyFill="1" applyAlignment="1">
      <alignment horizontal="left" vertical="center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horizontal="left" vertical="center"/>
    </xf>
    <xf numFmtId="0" fontId="0" fillId="4" borderId="0" xfId="21" applyFont="1" applyFill="1" applyAlignment="1">
      <alignment vertical="center"/>
      <protection/>
    </xf>
    <xf numFmtId="0" fontId="0" fillId="12" borderId="0" xfId="21" applyFont="1" applyFill="1" applyAlignment="1">
      <alignment vertical="center"/>
      <protection/>
    </xf>
    <xf numFmtId="0" fontId="19" fillId="12" borderId="0" xfId="21" applyFont="1" applyFill="1" applyAlignment="1">
      <alignment vertical="center"/>
      <protection/>
    </xf>
    <xf numFmtId="0" fontId="18" fillId="12" borderId="0" xfId="21" applyFont="1" applyFill="1" applyAlignment="1">
      <alignment vertical="center"/>
      <protection/>
    </xf>
    <xf numFmtId="0" fontId="0" fillId="13" borderId="0" xfId="21" applyFont="1" applyFill="1" applyAlignment="1">
      <alignment vertical="center"/>
      <protection/>
    </xf>
    <xf numFmtId="0" fontId="20" fillId="12" borderId="0" xfId="21" applyFont="1" applyFill="1" applyAlignment="1">
      <alignment vertical="center"/>
      <protection/>
    </xf>
    <xf numFmtId="0" fontId="21" fillId="12" borderId="0" xfId="21" applyFont="1" applyFill="1" applyAlignment="1">
      <alignment vertical="center"/>
      <protection/>
    </xf>
    <xf numFmtId="0" fontId="12" fillId="4" borderId="0" xfId="21" applyFont="1" applyFill="1" applyAlignment="1">
      <alignment vertical="center"/>
      <protection/>
    </xf>
    <xf numFmtId="0" fontId="3" fillId="12" borderId="0" xfId="21" applyFont="1" applyFill="1" applyAlignment="1">
      <alignment vertical="center"/>
      <protection/>
    </xf>
    <xf numFmtId="0" fontId="22" fillId="12" borderId="0" xfId="21" applyFont="1" applyFill="1" applyAlignment="1">
      <alignment vertical="center"/>
      <protection/>
    </xf>
    <xf numFmtId="0" fontId="3" fillId="4" borderId="0" xfId="21" applyFont="1" applyFill="1" applyAlignment="1">
      <alignment vertical="center"/>
      <protection/>
    </xf>
    <xf numFmtId="164" fontId="3" fillId="4" borderId="0" xfId="21" applyNumberFormat="1" applyFont="1" applyFill="1" applyAlignment="1">
      <alignment horizontal="left" vertical="center"/>
      <protection/>
    </xf>
    <xf numFmtId="0" fontId="23" fillId="12" borderId="0" xfId="21" applyFont="1" applyFill="1" applyAlignment="1">
      <alignment vertical="center"/>
      <protection/>
    </xf>
    <xf numFmtId="0" fontId="24" fillId="4" borderId="0" xfId="21" applyFont="1" applyFill="1" applyAlignment="1">
      <alignment vertical="center"/>
      <protection/>
    </xf>
    <xf numFmtId="0" fontId="18" fillId="4" borderId="0" xfId="20" applyFill="1" applyAlignment="1">
      <alignment vertical="center"/>
    </xf>
    <xf numFmtId="0" fontId="3" fillId="4" borderId="0" xfId="21" applyFont="1" applyFill="1" applyAlignment="1">
      <alignment vertical="center"/>
      <protection/>
    </xf>
    <xf numFmtId="0" fontId="19" fillId="4" borderId="0" xfId="21" applyFont="1" applyFill="1" applyAlignment="1">
      <alignment horizontal="center" vertical="center"/>
      <protection/>
    </xf>
    <xf numFmtId="0" fontId="18" fillId="4" borderId="0" xfId="20" applyFill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20" xfId="0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eetMetadata" Target="metadata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15" Type="http://schemas.openxmlformats.org/officeDocument/2006/relationships/calcChain" Target="calcChain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1.jpeg" /><Relationship Id="rId1" Type="http://schemas.openxmlformats.org/officeDocument/2006/relationships/image" Target="../media/image3.png" /><Relationship Id="rId6" Type="http://schemas.openxmlformats.org/officeDocument/2006/relationships/image" Target="../media/image2.jpeg" /><Relationship Id="rId7" Type="http://schemas.openxmlformats.org/officeDocument/2006/relationships/image" Target="../media/image5.png" /><Relationship Id="rId5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447" t="8763" r="7575" b="12754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197" t="6393" r="3840" b="6250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28" t="26028" r="3828" b="26026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1009650</xdr:colOff>
      <xdr:row>23</xdr:row>
      <xdr:rowOff>171437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38275" y="5476875"/>
          <a:ext cx="2447925" cy="390525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180975</xdr:colOff>
      <xdr:row>63</xdr:row>
      <xdr:rowOff>9525</xdr:rowOff>
    </xdr:from>
    <xdr:to>
      <xdr:col>8</xdr:col>
      <xdr:colOff>381000</xdr:colOff>
      <xdr:row>63</xdr:row>
      <xdr:rowOff>180975</xdr:rowOff>
    </xdr:to>
    <xdr:sp>
      <xdr:nvSpPr>
        <xdr:cNvPr id="2" name="Arrow: Righ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rot="10800000">
          <a:off x="7781925" y="12153900"/>
          <a:ext cx="200025" cy="171450"/>
        </a:xfrm>
        <a:prstGeom prst="rightArrow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81000"/>
              <a:ext cx="838200" cy="190500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3.bin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6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3.vml" /><Relationship Id="rId1" Type="http://schemas.openxmlformats.org/officeDocument/2006/relationships/ctrlProp" Target="../ctrProps/ctrProp1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D85494-AD7E-4E2E-B014-AEAB87A7BB96}">
  <sheetPr codeName="Sheet11"/>
  <dimension ref="A1:Z99"/>
  <sheetViews>
    <sheetView showGridLines="0" tabSelected="1" workbookViewId="0" topLeftCell="A7">
      <selection pane="topLeft" activeCell="C14" sqref="C14"/>
    </sheetView>
  </sheetViews>
  <sheetFormatPr defaultColWidth="8.85428571428571" defaultRowHeight="15"/>
  <cols>
    <col min="1" max="4" width="21.5714285714286" customWidth="1"/>
    <col min="5" max="6" width="14.1428571428571" customWidth="1"/>
    <col min="7" max="7" width="12.1428571428571" customWidth="1"/>
    <col min="8" max="10" width="8.14285714285714" customWidth="1"/>
    <col min="11" max="11" width="9.57142857142857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5">
      <c r="A1" s="59"/>
      <c r="B1" s="59"/>
      <c r="C1" s="59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">
      <c r="A4" s="59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">
      <c r="A5" s="59"/>
      <c r="B5" s="59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">
      <c r="A6" s="59"/>
      <c r="B6" s="59"/>
      <c r="C6" s="59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">
      <c r="A7" s="59"/>
      <c r="B7" s="59"/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">
      <c r="A8" s="59"/>
      <c r="B8" s="59"/>
      <c r="C8" s="59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">
      <c r="A11" s="59"/>
      <c r="B11" s="59"/>
      <c r="C11" s="59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">
      <c r="A12" s="59"/>
      <c r="B12" s="59"/>
      <c r="C12" s="59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">
      <c r="A13" s="59"/>
      <c r="B13" s="59"/>
      <c r="C13" s="59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">
      <c r="A14" s="59"/>
      <c r="B14" s="59"/>
      <c r="C14" s="59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">
      <c r="A15" s="59"/>
      <c r="B15" s="59"/>
      <c r="C15" s="59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02.75" customHeight="1">
      <c r="A16" s="75" t="s">
        <v>212</v>
      </c>
      <c r="B16" s="75"/>
      <c r="C16" s="75"/>
      <c r="D16" s="75"/>
      <c r="E16" s="61"/>
      <c r="F16" s="61"/>
      <c r="G16" s="62"/>
      <c r="H16" s="62"/>
      <c r="I16" s="62"/>
      <c r="J16" s="62"/>
      <c r="K16" s="62"/>
      <c r="L16" s="62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7.25" customHeight="1">
      <c r="A17" s="63"/>
      <c r="B17" s="63"/>
      <c r="C17" s="63"/>
      <c r="D17" s="63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7.25" customHeight="1">
      <c r="A18" s="63"/>
      <c r="B18" s="63"/>
      <c r="C18" s="63"/>
      <c r="D18" s="63"/>
      <c r="E18" s="64"/>
      <c r="F18" s="64"/>
      <c r="G18" s="65"/>
      <c r="H18" s="65"/>
      <c r="I18" s="65"/>
      <c r="J18" s="65"/>
      <c r="K18" s="65"/>
      <c r="L18" s="65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7.25" customHeight="1">
      <c r="A19" s="66" t="s">
        <v>29</v>
      </c>
      <c r="B19" s="74" t="s">
        <v>223</v>
      </c>
      <c r="C19" s="74"/>
      <c r="D19" s="74"/>
      <c r="E19" s="67"/>
      <c r="F19" s="67"/>
      <c r="G19" s="68"/>
      <c r="H19" s="68"/>
      <c r="I19" s="68"/>
      <c r="J19" s="68"/>
      <c r="K19" s="68"/>
      <c r="L19" s="6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7.25" customHeight="1">
      <c r="A20" s="66" t="s">
        <v>213</v>
      </c>
      <c r="B20" s="74" t="s">
        <v>224</v>
      </c>
      <c r="C20" s="74"/>
      <c r="D20" s="74"/>
      <c r="E20" s="67"/>
      <c r="F20" s="67"/>
      <c r="G20" s="68"/>
      <c r="H20" s="68"/>
      <c r="I20" s="68"/>
      <c r="J20" s="68"/>
      <c r="K20" s="68"/>
      <c r="L20" s="6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7.25" customHeight="1">
      <c r="A21" s="66" t="s">
        <v>214</v>
      </c>
      <c r="B21" s="69" t="s">
        <v>225</v>
      </c>
      <c r="C21" s="69"/>
      <c r="D21" s="69"/>
      <c r="E21" s="67"/>
      <c r="F21" s="67"/>
      <c r="G21" s="68"/>
      <c r="H21" s="68"/>
      <c r="I21" s="68"/>
      <c r="J21" s="68"/>
      <c r="K21" s="68"/>
      <c r="L21" s="68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7.25" customHeight="1">
      <c r="A22" s="66"/>
      <c r="B22" s="69"/>
      <c r="C22" s="69"/>
      <c r="D22" s="69"/>
      <c r="E22" s="67"/>
      <c r="F22" s="67"/>
      <c r="G22" s="68"/>
      <c r="H22" s="68"/>
      <c r="I22" s="68"/>
      <c r="J22" s="68"/>
      <c r="K22" s="68"/>
      <c r="L22" s="68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7.25" customHeight="1">
      <c r="A23" s="66" t="s">
        <v>215</v>
      </c>
      <c r="B23" s="74"/>
      <c r="C23" s="74"/>
      <c r="D23" s="74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7.25" customHeight="1">
      <c r="A24" s="66"/>
      <c r="B24" s="69"/>
      <c r="C24" s="69"/>
      <c r="D24" s="6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7.25" customHeight="1">
      <c r="A25" s="66"/>
      <c r="B25" s="69"/>
      <c r="C25" s="69"/>
      <c r="D25" s="6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7.25" customHeight="1">
      <c r="A26" s="66" t="s">
        <v>216</v>
      </c>
      <c r="B26" s="74" t="s">
        <v>226</v>
      </c>
      <c r="C26" s="74"/>
      <c r="D26" s="74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7.25" customHeight="1">
      <c r="A27" s="66"/>
      <c r="B27" s="69"/>
      <c r="C27" s="69"/>
      <c r="D27" s="6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7.25" customHeight="1">
      <c r="A28" s="66"/>
      <c r="B28" s="69"/>
      <c r="C28" s="69"/>
      <c r="D28" s="6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7.25" customHeight="1">
      <c r="A29" s="66" t="s">
        <v>217</v>
      </c>
      <c r="B29" s="70">
        <v>1</v>
      </c>
      <c r="C29" s="69"/>
      <c r="D29" s="6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7.25" customHeight="1">
      <c r="A30" s="66" t="s">
        <v>218</v>
      </c>
      <c r="B30" s="76" t="s">
        <v>219</v>
      </c>
      <c r="C30" s="74"/>
      <c r="D30" s="74"/>
      <c r="E30" s="71"/>
      <c r="F30" s="71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6" t="s">
        <v>220</v>
      </c>
      <c r="B31" s="74" t="s">
        <v>221</v>
      </c>
      <c r="C31" s="74"/>
      <c r="D31" s="74"/>
      <c r="E31" s="71"/>
      <c r="F31" s="71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72"/>
      <c r="B32" s="73" t="s">
        <v>222</v>
      </c>
      <c r="C32" s="72"/>
      <c r="D32" s="72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">
      <c r="A33" s="59"/>
      <c r="B33" s="59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">
      <c r="A34" s="59"/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">
      <c r="A35" s="59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">
      <c r="A36" s="59"/>
      <c r="B36" s="59"/>
      <c r="C36" s="59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">
      <c r="A37" s="59"/>
      <c r="B37" s="59"/>
      <c r="C37" s="59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">
      <c r="A38" s="59"/>
      <c r="B38" s="59"/>
      <c r="C38" s="59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">
      <c r="A39" s="59"/>
      <c r="B39" s="59"/>
      <c r="C39" s="59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">
      <c r="A40" s="59"/>
      <c r="B40" s="59"/>
      <c r="C40" s="5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">
      <c r="A41" s="59"/>
      <c r="B41" s="59"/>
      <c r="C41" s="59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">
      <c r="A42" s="59"/>
      <c r="B42" s="59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0C09D7-D00C-4C75-A70B-C8533DD5434C}">
  <sheetPr codeName="Sheet1">
    <tabColor rgb="FFFFFF00"/>
  </sheetPr>
  <dimension ref="A3:C46"/>
  <sheetViews>
    <sheetView showGridLines="0" workbookViewId="0" topLeftCell="A1"/>
  </sheetViews>
  <sheetFormatPr defaultColWidth="9.14428571428571" defaultRowHeight="15"/>
  <cols>
    <col min="1" max="1" width="19.5714285714286" customWidth="1"/>
    <col min="2" max="3" width="27.4285714285714" customWidth="1"/>
    <col min="7" max="7" width="42.5714285714286" customWidth="1"/>
    <col min="8" max="8" width="56.5714285714286" customWidth="1"/>
    <col min="9" max="9" width="101.571428571429" bestFit="1" customWidth="1"/>
  </cols>
  <sheetData>
    <row r="3" spans="1:3" ht="15">
      <c r="A3" s="22" t="s">
        <v>30</v>
      </c>
      <c r="B3" s="23" t="s">
        <v>47</v>
      </c>
      <c r="C3" t="s">
        <v>48</v>
      </c>
    </row>
    <row r="4" spans="1:3" ht="18.75">
      <c r="A4" s="24" t="s">
        <v>31</v>
      </c>
      <c r="B4" s="25"/>
      <c r="C4" s="26"/>
    </row>
    <row r="5" spans="1:3" ht="15">
      <c r="A5" s="40"/>
      <c r="B5" s="77" t="str">
        <f>"Veda Fill table"</f>
        <v>Veda Fill table</v>
      </c>
      <c r="C5" s="78"/>
    </row>
    <row r="6" spans="1:3" ht="15">
      <c r="A6" s="27"/>
      <c r="B6" s="79" t="s">
        <v>32</v>
      </c>
      <c r="C6" s="80"/>
    </row>
    <row r="7" spans="1:1" ht="15">
      <c r="A7" s="28"/>
    </row>
    <row r="8" spans="1:3" ht="18.75">
      <c r="A8" s="14" t="s">
        <v>49</v>
      </c>
      <c r="B8" s="29"/>
      <c r="C8" s="15"/>
    </row>
    <row r="9" spans="1:3" ht="15">
      <c r="A9" s="30" t="s">
        <v>50</v>
      </c>
      <c r="B9" s="31" t="s">
        <v>51</v>
      </c>
      <c r="C9" s="32"/>
    </row>
    <row r="10" spans="1:3" ht="15">
      <c r="A10" s="33" t="s">
        <v>50</v>
      </c>
      <c r="B10" s="34" t="s">
        <v>52</v>
      </c>
      <c r="C10" s="35"/>
    </row>
    <row r="11" spans="1:3" ht="15">
      <c r="A11" s="36"/>
      <c r="B11" s="31" t="s">
        <v>53</v>
      </c>
      <c r="C11" s="36"/>
    </row>
    <row r="14" spans="1:1" ht="21">
      <c r="A14" s="21" t="s">
        <v>54</v>
      </c>
    </row>
    <row r="15" spans="1:3" ht="15">
      <c r="A15" s="37" t="s">
        <v>55</v>
      </c>
      <c r="B15" s="37" t="s">
        <v>56</v>
      </c>
      <c r="C15" s="37" t="s">
        <v>57</v>
      </c>
    </row>
    <row r="16" spans="1:3" ht="15">
      <c r="A16" s="38" t="s">
        <v>58</v>
      </c>
      <c r="B16" s="39"/>
      <c r="C16" s="39"/>
    </row>
    <row r="17" spans="1:3" ht="15">
      <c r="A17" s="1" t="s">
        <v>59</v>
      </c>
      <c r="B17" s="1"/>
      <c r="C17" s="1" t="s">
        <v>60</v>
      </c>
    </row>
    <row r="18" spans="1:3" ht="15">
      <c r="A18" s="4" t="s">
        <v>61</v>
      </c>
      <c r="B18" s="4"/>
      <c r="C18" s="4" t="s">
        <v>27</v>
      </c>
    </row>
    <row r="19" spans="1:3" ht="15">
      <c r="A19" s="2" t="s">
        <v>62</v>
      </c>
      <c r="B19" s="1"/>
      <c r="C19" s="1"/>
    </row>
    <row r="20" spans="1:3" ht="15">
      <c r="A20" s="1" t="s">
        <v>63</v>
      </c>
      <c r="B20" s="1"/>
      <c r="C20" s="1" t="s">
        <v>64</v>
      </c>
    </row>
    <row r="21" spans="1:3" ht="15">
      <c r="A21" s="1" t="s">
        <v>65</v>
      </c>
      <c r="B21" s="1"/>
      <c r="C21" s="1" t="s">
        <v>66</v>
      </c>
    </row>
    <row r="22" spans="1:3" ht="15">
      <c r="A22" s="1" t="s">
        <v>67</v>
      </c>
      <c r="B22" s="1"/>
      <c r="C22" s="1" t="s">
        <v>68</v>
      </c>
    </row>
    <row r="23" spans="1:3" ht="15">
      <c r="A23" s="2" t="s">
        <v>69</v>
      </c>
      <c r="B23" s="1"/>
      <c r="C23" s="1"/>
    </row>
    <row r="24" spans="1:3" ht="15">
      <c r="A24" s="1" t="s">
        <v>70</v>
      </c>
      <c r="B24" s="1"/>
      <c r="C24" s="1" t="s">
        <v>71</v>
      </c>
    </row>
    <row r="25" spans="1:3" ht="15">
      <c r="A25" s="1" t="s">
        <v>72</v>
      </c>
      <c r="B25" s="1"/>
      <c r="C25" s="1" t="s">
        <v>73</v>
      </c>
    </row>
    <row r="26" spans="1:3" ht="15">
      <c r="A26" s="1" t="s">
        <v>74</v>
      </c>
      <c r="B26" s="1"/>
      <c r="C26" s="1" t="s">
        <v>75</v>
      </c>
    </row>
    <row r="27" spans="1:3" ht="15">
      <c r="A27" s="1" t="s">
        <v>76</v>
      </c>
      <c r="B27" s="1"/>
      <c r="C27" s="1" t="s">
        <v>77</v>
      </c>
    </row>
    <row r="28" spans="1:3" ht="15">
      <c r="A28" s="1" t="s">
        <v>78</v>
      </c>
      <c r="B28" s="1"/>
      <c r="C28" s="1" t="s">
        <v>79</v>
      </c>
    </row>
    <row r="29" spans="1:3" ht="15">
      <c r="A29" s="1" t="s">
        <v>80</v>
      </c>
      <c r="B29" s="1"/>
      <c r="C29" s="1" t="s">
        <v>81</v>
      </c>
    </row>
    <row r="30" spans="1:3" ht="15">
      <c r="A30" s="4" t="s">
        <v>82</v>
      </c>
      <c r="B30" s="4"/>
      <c r="C30" s="4" t="s">
        <v>83</v>
      </c>
    </row>
    <row r="31" spans="1:1" ht="15">
      <c r="A31" s="2" t="s">
        <v>84</v>
      </c>
    </row>
    <row r="32" spans="1:3" ht="15">
      <c r="A32" s="1" t="s">
        <v>85</v>
      </c>
      <c r="B32" s="1" t="s">
        <v>86</v>
      </c>
      <c r="C32" s="1" t="s">
        <v>87</v>
      </c>
    </row>
    <row r="33" spans="1:3" ht="15">
      <c r="A33" s="1" t="s">
        <v>11</v>
      </c>
      <c r="B33" s="1" t="s">
        <v>11</v>
      </c>
      <c r="C33" s="1" t="s">
        <v>88</v>
      </c>
    </row>
    <row r="34" spans="1:3" ht="15">
      <c r="A34" s="1" t="s">
        <v>89</v>
      </c>
      <c r="B34" s="1" t="s">
        <v>20</v>
      </c>
      <c r="C34" s="1" t="s">
        <v>90</v>
      </c>
    </row>
    <row r="35" spans="1:3" ht="15">
      <c r="A35" s="1" t="s">
        <v>91</v>
      </c>
      <c r="B35" s="1" t="s">
        <v>10</v>
      </c>
      <c r="C35" s="1" t="s">
        <v>92</v>
      </c>
    </row>
    <row r="36" spans="1:3" ht="15">
      <c r="A36" s="1" t="s">
        <v>93</v>
      </c>
      <c r="B36" s="1" t="s">
        <v>18</v>
      </c>
      <c r="C36" s="1" t="s">
        <v>94</v>
      </c>
    </row>
    <row r="37" spans="1:3" ht="15">
      <c r="A37" s="1" t="s">
        <v>95</v>
      </c>
      <c r="B37" s="1" t="s">
        <v>96</v>
      </c>
      <c r="C37" s="1" t="s">
        <v>97</v>
      </c>
    </row>
    <row r="38" spans="1:3" ht="15">
      <c r="A38" s="1" t="s">
        <v>98</v>
      </c>
      <c r="B38" s="1" t="s">
        <v>23</v>
      </c>
      <c r="C38" s="1" t="s">
        <v>99</v>
      </c>
    </row>
    <row r="39" spans="1:3" ht="15">
      <c r="A39" s="1" t="s">
        <v>100</v>
      </c>
      <c r="B39" s="1" t="s">
        <v>12</v>
      </c>
      <c r="C39" s="1" t="s">
        <v>101</v>
      </c>
    </row>
    <row r="40" spans="1:3" ht="15">
      <c r="A40" s="1" t="s">
        <v>102</v>
      </c>
      <c r="B40" s="1" t="s">
        <v>103</v>
      </c>
      <c r="C40" s="1" t="s">
        <v>104</v>
      </c>
    </row>
    <row r="41" spans="1:3" ht="15">
      <c r="A41" s="1" t="s">
        <v>105</v>
      </c>
      <c r="B41" s="1" t="s">
        <v>19</v>
      </c>
      <c r="C41" s="1" t="s">
        <v>106</v>
      </c>
    </row>
    <row r="42" spans="1:3" ht="15">
      <c r="A42" s="1" t="s">
        <v>107</v>
      </c>
      <c r="B42" s="1" t="s">
        <v>108</v>
      </c>
      <c r="C42" s="1" t="s">
        <v>109</v>
      </c>
    </row>
    <row r="43" spans="1:3" ht="15">
      <c r="A43" s="1" t="s">
        <v>110</v>
      </c>
      <c r="B43" s="1" t="s">
        <v>111</v>
      </c>
      <c r="C43" s="1" t="s">
        <v>112</v>
      </c>
    </row>
    <row r="44" spans="1:3" ht="15">
      <c r="A44" s="1" t="s">
        <v>113</v>
      </c>
      <c r="B44" s="1" t="s">
        <v>114</v>
      </c>
      <c r="C44" s="1" t="s">
        <v>115</v>
      </c>
    </row>
    <row r="45" spans="1:3" ht="15">
      <c r="A45" s="1" t="s">
        <v>116</v>
      </c>
      <c r="B45" s="1" t="s">
        <v>117</v>
      </c>
      <c r="C45" s="1" t="s">
        <v>118</v>
      </c>
    </row>
    <row r="46" spans="1:3" ht="15">
      <c r="A46" s="4" t="s">
        <v>119</v>
      </c>
      <c r="B46" s="4" t="s">
        <v>120</v>
      </c>
      <c r="C46" s="4" t="s">
        <v>121</v>
      </c>
    </row>
  </sheetData>
  <mergeCells count="2">
    <mergeCell ref="B5:C5"/>
    <mergeCell ref="B6:C6"/>
  </mergeCells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599990010261536"/>
  </sheetPr>
  <dimension ref="A1:H56"/>
  <sheetViews>
    <sheetView workbookViewId="0" topLeftCell="A1">
      <selection pane="topLeft" activeCell="M43" sqref="M43"/>
    </sheetView>
  </sheetViews>
  <sheetFormatPr defaultColWidth="9.14428571428571" defaultRowHeight="15"/>
  <cols>
    <col min="1" max="1" width="10.5714285714286" style="1" customWidth="1"/>
    <col min="2" max="2" width="18.5714285714286" style="1" bestFit="1" customWidth="1"/>
    <col min="3" max="3" width="21" style="1" customWidth="1"/>
    <col min="4" max="4" width="17.8571428571429" style="1" bestFit="1" customWidth="1"/>
    <col min="5" max="7" width="9.14285714285714" style="1"/>
    <col min="8" max="8" width="17.5714285714286" style="1" bestFit="1" customWidth="1"/>
    <col min="9" max="16384" width="9.14285714285714" style="1"/>
  </cols>
  <sheetData>
    <row r="1" spans="1:1" ht="23.25">
      <c r="A1" s="3" t="s">
        <v>203</v>
      </c>
    </row>
    <row r="2" spans="1:1" ht="15">
      <c r="A2" s="6" t="s">
        <v>22</v>
      </c>
    </row>
    <row r="3" spans="1:8" ht="15.75" thickBot="1">
      <c r="A3" s="5" t="s">
        <v>1</v>
      </c>
      <c r="B3" s="5" t="s">
        <v>8</v>
      </c>
      <c r="C3" s="5" t="s">
        <v>7</v>
      </c>
      <c r="D3" s="5" t="s">
        <v>4</v>
      </c>
      <c r="F3" s="2" t="s">
        <v>17</v>
      </c>
      <c r="G3" s="2" t="s">
        <v>9</v>
      </c>
      <c r="H3" s="2" t="s">
        <v>21</v>
      </c>
    </row>
    <row r="4" spans="1:8" ht="15">
      <c r="A4" s="9" t="s">
        <v>24</v>
      </c>
      <c r="B4" s="10"/>
      <c r="C4" s="10"/>
      <c r="D4" s="11"/>
      <c r="F4" s="10"/>
      <c r="G4" s="10"/>
      <c r="H4" s="10"/>
    </row>
    <row r="5" spans="1:8" ht="15">
      <c r="A5" s="1" t="s">
        <v>28</v>
      </c>
      <c r="B5" s="1" t="str">
        <f t="shared" si="0" ref="B5">"S-SH-"&amp;F5&amp;"_"&amp;G5&amp;"*"</f>
        <v>S-SH-PU_COA*</v>
      </c>
      <c r="C5" s="1" t="s">
        <v>192</v>
      </c>
      <c r="D5" s="7">
        <f>SUMIFS('BY_S-SH'!$L$2:$L$100,'BY_S-SH'!$C$2:$C$100,AFA!H5,'BY_S-SH'!$A$2:$A$100,"BASE",'BY_S-SH'!$B$2:$B$100,"AFA")</f>
        <v>0.114155251141553</v>
      </c>
      <c r="F5" s="1" t="str">
        <f>Legend!$C$18</f>
        <v>PU</v>
      </c>
      <c r="G5" s="1" t="str">
        <f>Legend!B32</f>
        <v>COA</v>
      </c>
      <c r="H5" s="1" t="str">
        <f t="shared" si="1" ref="H5">"S-SH-"&amp;F5&amp;"_"&amp;G5&amp;"*"</f>
        <v>S-SH-PU_COA*</v>
      </c>
    </row>
    <row r="6" spans="1:8" ht="15">
      <c r="A6" s="1" t="s">
        <v>35</v>
      </c>
      <c r="B6" s="1" t="str">
        <f t="shared" si="2" ref="B6:B17">"S-SH-"&amp;F6&amp;"_"&amp;G6&amp;"*"</f>
        <v>S-SH-PU_LPG*</v>
      </c>
      <c r="C6" s="1" t="s">
        <v>192</v>
      </c>
      <c r="D6" s="7">
        <f>SUMIFS('BY_S-SH'!$L$2:$L$100,'BY_S-SH'!$C$2:$C$100,AFA!H6,'BY_S-SH'!$A$2:$A$100,"BASE",'BY_S-SH'!$B$2:$B$100,"AFA")</f>
        <v>0.114155251141553</v>
      </c>
      <c r="F6" s="1" t="str">
        <f>Legend!$C$18</f>
        <v>PU</v>
      </c>
      <c r="G6" s="1" t="str">
        <f>Legend!B33</f>
        <v>LPG</v>
      </c>
      <c r="H6" s="1" t="str">
        <f t="shared" si="3" ref="H6:H17">"S-SH-"&amp;F6&amp;"_"&amp;G6&amp;"*"</f>
        <v>S-SH-PU_LPG*</v>
      </c>
    </row>
    <row r="7" spans="1:8" ht="15">
      <c r="A7" s="1" t="s">
        <v>35</v>
      </c>
      <c r="B7" s="1" t="str">
        <f t="shared" si="2"/>
        <v>S-SH-PU_OIL*</v>
      </c>
      <c r="C7" s="1" t="s">
        <v>192</v>
      </c>
      <c r="D7" s="7">
        <f>SUMIFS('BY_S-SH'!$L$2:$L$100,'BY_S-SH'!$C$2:$C$100,AFA!H7,'BY_S-SH'!$A$2:$A$100,"BASE",'BY_S-SH'!$B$2:$B$100,"AFA")</f>
        <v>0.114155251141553</v>
      </c>
      <c r="F7" s="1" t="str">
        <f>Legend!$C$18</f>
        <v>PU</v>
      </c>
      <c r="G7" s="1" t="str">
        <f>Legend!B34</f>
        <v>OIL</v>
      </c>
      <c r="H7" s="1" t="str">
        <f t="shared" si="3"/>
        <v>S-SH-PU_OIL*</v>
      </c>
    </row>
    <row r="8" spans="1:8" ht="15">
      <c r="A8" s="1" t="s">
        <v>35</v>
      </c>
      <c r="B8" s="1" t="str">
        <f t="shared" si="2"/>
        <v>S-SH-PU_GAS*</v>
      </c>
      <c r="C8" s="1" t="s">
        <v>192</v>
      </c>
      <c r="D8" s="7">
        <f>SUMIFS('BY_S-SH'!$L$2:$L$100,'BY_S-SH'!$C$2:$C$100,AFA!H8,'BY_S-SH'!$A$2:$A$100,"BASE",'BY_S-SH'!$B$2:$B$100,"AFA")</f>
        <v>0.114155251141553</v>
      </c>
      <c r="F8" s="1" t="str">
        <f>Legend!$C$18</f>
        <v>PU</v>
      </c>
      <c r="G8" s="1" t="str">
        <f>Legend!B35</f>
        <v>GAS</v>
      </c>
      <c r="H8" s="1" t="str">
        <f t="shared" si="3"/>
        <v>S-SH-PU_GAS*</v>
      </c>
    </row>
    <row r="9" spans="1:8" ht="15">
      <c r="A9" s="1" t="s">
        <v>35</v>
      </c>
      <c r="B9" s="1" t="str">
        <f t="shared" si="2"/>
        <v>S-SH-PU_BIO*</v>
      </c>
      <c r="C9" s="1" t="s">
        <v>192</v>
      </c>
      <c r="D9" s="7">
        <f>SUMIFS('BY_S-SH'!$L$2:$L$100,'BY_S-SH'!$C$2:$C$100,AFA!H9,'BY_S-SH'!$A$2:$A$100,"BASE",'BY_S-SH'!$B$2:$B$100,"AFA")</f>
        <v>0.114155251141553</v>
      </c>
      <c r="F9" s="1" t="str">
        <f>Legend!$C$18</f>
        <v>PU</v>
      </c>
      <c r="G9" s="1" t="str">
        <f>Legend!B36</f>
        <v>BIO</v>
      </c>
      <c r="H9" s="1" t="str">
        <f t="shared" si="3"/>
        <v>S-SH-PU_BIO*</v>
      </c>
    </row>
    <row r="10" spans="1:8" ht="15">
      <c r="A10" s="1" t="s">
        <v>35</v>
      </c>
      <c r="B10" s="1" t="str">
        <f>"S-SH-"&amp;F10&amp;"_"&amp;G10&amp;"*, -*N1"</f>
        <v>S-SH-PU_ELC*, -*N1</v>
      </c>
      <c r="C10" s="1" t="s">
        <v>192</v>
      </c>
      <c r="D10" s="7">
        <f>SUMIFS('BY_S-SH'!$L$2:$L$100,'BY_S-SH'!$C$2:$C$100,AFA!H10,'BY_S-SH'!$A$2:$A$100,"BASE",'BY_S-SH'!$B$2:$B$100,"AFA")</f>
        <v>0.114155251141553</v>
      </c>
      <c r="F10" s="1" t="str">
        <f>Legend!$C$18</f>
        <v>PU</v>
      </c>
      <c r="G10" s="1" t="str">
        <f>Legend!B39</f>
        <v>ELC</v>
      </c>
      <c r="H10" s="1" t="str">
        <f>"S-SH-"&amp;F10&amp;"_"&amp;G10&amp;"-HP*"</f>
        <v>S-SH-PU_ELC-HP*</v>
      </c>
    </row>
    <row r="11" spans="1:8" ht="15">
      <c r="A11" s="1" t="s">
        <v>35</v>
      </c>
      <c r="B11" s="1" t="str">
        <f>"S-SH-"&amp;F11&amp;"_"&amp;G11&amp;"*N1"</f>
        <v>S-SH-PU_ELC*N1</v>
      </c>
      <c r="C11" s="1" t="s">
        <v>192</v>
      </c>
      <c r="D11" s="7">
        <f>SUMIFS('BY_S-SH'!$L$2:$L$100,'BY_S-SH'!$C$2:$C$100,AFA!H11,'BY_S-SH'!$A$2:$A$100,"BASE",'BY_S-SH'!$B$2:$B$100,"AFA")</f>
        <v>0.114155251141553</v>
      </c>
      <c r="F11" s="1" t="str">
        <f>Legend!$C$18</f>
        <v>PU</v>
      </c>
      <c r="G11" s="1" t="str">
        <f>Legend!B39</f>
        <v>ELC</v>
      </c>
      <c r="H11" s="1" t="str">
        <f>"S-SH-"&amp;F11&amp;"_"&amp;G11&amp;"_X0"</f>
        <v>S-SH-PU_ELC_X0</v>
      </c>
    </row>
    <row r="12" spans="1:8" ht="15">
      <c r="A12" s="4" t="s">
        <v>35</v>
      </c>
      <c r="B12" s="4" t="str">
        <f t="shared" si="4" ref="B12:B13">"S-SH-"&amp;F12&amp;"_"&amp;G12&amp;"*"</f>
        <v>S-SH-PU_HET*</v>
      </c>
      <c r="C12" s="4" t="s">
        <v>192</v>
      </c>
      <c r="D12" s="8">
        <f>SUMIFS('BY_S-SH'!$L$2:$L$100,'BY_S-SH'!$C$2:$C$100,AFA!H12,'BY_S-SH'!$A$2:$A$100,"BASE",'BY_S-SH'!$B$2:$B$100,"AFA")</f>
        <v>0.114155251141553</v>
      </c>
      <c r="F12" s="4" t="str">
        <f>Legend!$C$18</f>
        <v>PU</v>
      </c>
      <c r="G12" s="4" t="str">
        <f>Legend!B41</f>
        <v>HET</v>
      </c>
      <c r="H12" s="4" t="str">
        <f>H8</f>
        <v>S-SH-PU_GAS*</v>
      </c>
    </row>
    <row r="13" spans="1:8" ht="15">
      <c r="A13" s="1" t="s">
        <v>28</v>
      </c>
      <c r="B13" s="1" t="str">
        <f t="shared" si="4"/>
        <v>S-SH-CS_COA*</v>
      </c>
      <c r="C13" s="1" t="s">
        <v>193</v>
      </c>
      <c r="D13" s="7">
        <f>SUMIFS('BY_S-SH'!$L$2:$L$100,'BY_S-SH'!$C$2:$C$100,AFA!H13,'BY_S-SH'!$A$2:$A$100,"BASE",'BY_S-SH'!$B$2:$B$100,"AFA")</f>
        <v>0.114155251141553</v>
      </c>
      <c r="F13" s="1" t="str">
        <f>Legend!$C$17</f>
        <v>CS</v>
      </c>
      <c r="G13" s="1" t="str">
        <f t="shared" si="5" ref="G13:G20">G5</f>
        <v>COA</v>
      </c>
      <c r="H13" s="1" t="str">
        <f t="shared" si="6" ref="H13">"S-SH-"&amp;F13&amp;"_"&amp;G13&amp;"*"</f>
        <v>S-SH-CS_COA*</v>
      </c>
    </row>
    <row r="14" spans="1:8" ht="15">
      <c r="A14" s="1" t="s">
        <v>35</v>
      </c>
      <c r="B14" s="1" t="str">
        <f t="shared" si="2"/>
        <v>S-SH-CS_LPG*</v>
      </c>
      <c r="C14" s="1" t="s">
        <v>193</v>
      </c>
      <c r="D14" s="7">
        <f>SUMIFS('BY_S-SH'!$L$2:$L$100,'BY_S-SH'!$C$2:$C$100,AFA!H14,'BY_S-SH'!$A$2:$A$100,"BASE",'BY_S-SH'!$B$2:$B$100,"AFA")</f>
        <v>0.114155251141553</v>
      </c>
      <c r="F14" s="1" t="str">
        <f>Legend!$C$17</f>
        <v>CS</v>
      </c>
      <c r="G14" s="1" t="str">
        <f t="shared" si="5"/>
        <v>LPG</v>
      </c>
      <c r="H14" s="1" t="str">
        <f t="shared" si="3"/>
        <v>S-SH-CS_LPG*</v>
      </c>
    </row>
    <row r="15" spans="1:8" ht="15">
      <c r="A15" s="1" t="s">
        <v>35</v>
      </c>
      <c r="B15" s="1" t="str">
        <f t="shared" si="2"/>
        <v>S-SH-CS_OIL*</v>
      </c>
      <c r="C15" s="1" t="s">
        <v>193</v>
      </c>
      <c r="D15" s="7">
        <f>SUMIFS('BY_S-SH'!$L$2:$L$100,'BY_S-SH'!$C$2:$C$100,AFA!H15,'BY_S-SH'!$A$2:$A$100,"BASE",'BY_S-SH'!$B$2:$B$100,"AFA")</f>
        <v>0.116438356164384</v>
      </c>
      <c r="F15" s="1" t="str">
        <f>Legend!$C$17</f>
        <v>CS</v>
      </c>
      <c r="G15" s="1" t="str">
        <f t="shared" si="5"/>
        <v>OIL</v>
      </c>
      <c r="H15" s="1" t="str">
        <f t="shared" si="3"/>
        <v>S-SH-CS_OIL*</v>
      </c>
    </row>
    <row r="16" spans="1:8" ht="15">
      <c r="A16" s="1" t="s">
        <v>35</v>
      </c>
      <c r="B16" s="1" t="str">
        <f t="shared" si="2"/>
        <v>S-SH-CS_GAS*</v>
      </c>
      <c r="C16" s="1" t="s">
        <v>193</v>
      </c>
      <c r="D16" s="7">
        <f>SUMIFS('BY_S-SH'!$L$2:$L$100,'BY_S-SH'!$C$2:$C$100,AFA!H16,'BY_S-SH'!$A$2:$A$100,"BASE",'BY_S-SH'!$B$2:$B$100,"AFA")</f>
        <v>0.114155251141553</v>
      </c>
      <c r="F16" s="1" t="str">
        <f>Legend!$C$17</f>
        <v>CS</v>
      </c>
      <c r="G16" s="1" t="str">
        <f t="shared" si="5"/>
        <v>GAS</v>
      </c>
      <c r="H16" s="1" t="str">
        <f t="shared" si="3"/>
        <v>S-SH-CS_GAS*</v>
      </c>
    </row>
    <row r="17" spans="1:8" ht="15">
      <c r="A17" s="1" t="s">
        <v>35</v>
      </c>
      <c r="B17" s="1" t="str">
        <f t="shared" si="2"/>
        <v>S-SH-CS_BIO*</v>
      </c>
      <c r="C17" s="1" t="s">
        <v>193</v>
      </c>
      <c r="D17" s="7">
        <f>SUMIFS('BY_S-SH'!$L$2:$L$100,'BY_S-SH'!$C$2:$C$100,AFA!H17,'BY_S-SH'!$A$2:$A$100,"BASE",'BY_S-SH'!$B$2:$B$100,"AFA")</f>
        <v>0.114155251141553</v>
      </c>
      <c r="F17" s="1" t="str">
        <f>Legend!$C$17</f>
        <v>CS</v>
      </c>
      <c r="G17" s="1" t="str">
        <f t="shared" si="5"/>
        <v>BIO</v>
      </c>
      <c r="H17" s="1" t="str">
        <f t="shared" si="3"/>
        <v>S-SH-CS_BIO*</v>
      </c>
    </row>
    <row r="18" spans="1:8" ht="15">
      <c r="A18" s="1" t="s">
        <v>35</v>
      </c>
      <c r="B18" s="1" t="str">
        <f>"S-SH-"&amp;F18&amp;"_"&amp;G18&amp;"*, -*N1"</f>
        <v>S-SH-CS_ELC*, -*N1</v>
      </c>
      <c r="C18" s="1" t="s">
        <v>193</v>
      </c>
      <c r="D18" s="7">
        <f>SUMIFS('BY_S-SH'!$L$2:$L$100,'BY_S-SH'!$C$2:$C$100,AFA!H18,'BY_S-SH'!$A$2:$A$100,"BASE",'BY_S-SH'!$B$2:$B$100,"AFA")</f>
        <v>0.114155251141553</v>
      </c>
      <c r="F18" s="1" t="str">
        <f>Legend!$C$17</f>
        <v>CS</v>
      </c>
      <c r="G18" s="1" t="str">
        <f t="shared" si="5"/>
        <v>ELC</v>
      </c>
      <c r="H18" s="1" t="str">
        <f>"S-SH-"&amp;F18&amp;"_"&amp;G18&amp;"-HP*"</f>
        <v>S-SH-CS_ELC-HP*</v>
      </c>
    </row>
    <row r="19" spans="1:8" ht="15">
      <c r="A19" s="1" t="s">
        <v>35</v>
      </c>
      <c r="B19" s="1" t="str">
        <f>"S-SH-"&amp;F19&amp;"_"&amp;G19&amp;"*N1"</f>
        <v>S-SH-CS_ELC*N1</v>
      </c>
      <c r="C19" s="1" t="s">
        <v>193</v>
      </c>
      <c r="D19" s="7">
        <f>SUMIFS('BY_S-SH'!$L$2:$L$100,'BY_S-SH'!$C$2:$C$100,AFA!H19,'BY_S-SH'!$A$2:$A$100,"BASE",'BY_S-SH'!$B$2:$B$100,"AFA")</f>
        <v>0.114155251141553</v>
      </c>
      <c r="F19" s="1" t="str">
        <f>Legend!$C$17</f>
        <v>CS</v>
      </c>
      <c r="G19" s="1" t="str">
        <f t="shared" si="5"/>
        <v>ELC</v>
      </c>
      <c r="H19" s="1" t="str">
        <f>"S-SH-"&amp;F19&amp;"_"&amp;G19&amp;"_X0"</f>
        <v>S-SH-CS_ELC_X0</v>
      </c>
    </row>
    <row r="20" spans="1:8" ht="15.75" thickBot="1">
      <c r="A20" s="12" t="s">
        <v>35</v>
      </c>
      <c r="B20" s="12" t="str">
        <f t="shared" si="7" ref="B20">"S-SH-"&amp;F20&amp;"_"&amp;G20&amp;"*"</f>
        <v>S-SH-CS_HET*</v>
      </c>
      <c r="C20" s="12" t="s">
        <v>193</v>
      </c>
      <c r="D20" s="13">
        <f>SUMIFS('BY_S-SH'!$L$2:$L$100,'BY_S-SH'!$C$2:$C$100,AFA!H20,'BY_S-SH'!$A$2:$A$100,"BASE",'BY_S-SH'!$B$2:$B$100,"AFA")</f>
        <v>0.114155251141553</v>
      </c>
      <c r="F20" s="12" t="str">
        <f>Legend!$C$17</f>
        <v>CS</v>
      </c>
      <c r="G20" s="12" t="str">
        <f t="shared" si="5"/>
        <v>HET</v>
      </c>
      <c r="H20" s="12" t="str">
        <f>H16</f>
        <v>S-SH-CS_GAS*</v>
      </c>
    </row>
    <row r="21" spans="1:8" ht="15">
      <c r="A21" s="9" t="s">
        <v>25</v>
      </c>
      <c r="B21" s="10"/>
      <c r="C21" s="10"/>
      <c r="D21" s="11"/>
      <c r="F21" s="10"/>
      <c r="G21" s="10"/>
      <c r="H21" s="10"/>
    </row>
    <row r="22" spans="1:8" ht="15">
      <c r="A22" s="1" t="s">
        <v>28</v>
      </c>
      <c r="B22" s="1" t="str">
        <f t="shared" si="8" ref="B22">"S-WH-"&amp;F22&amp;"_"&amp;G22&amp;"*"</f>
        <v>S-WH-PU_COA*</v>
      </c>
      <c r="D22" s="7">
        <f>SUMIFS('BY_S-WH'!$L$2:$L$100,'BY_S-WH'!$C$2:$C$100,AFA!H22,'BY_S-WH'!$A$2:$A$100,"BASE",'BY_S-WH'!$B$2:$B$100,"AFA")</f>
        <v>0.022831050228310501</v>
      </c>
      <c r="F22" s="1" t="str">
        <f>Legend!$C$18</f>
        <v>PU</v>
      </c>
      <c r="G22" s="1" t="str">
        <f>Legend!B32</f>
        <v>COA</v>
      </c>
      <c r="H22" s="1" t="str">
        <f t="shared" si="9" ref="H22">"S-WH-"&amp;F22&amp;"_"&amp;G22&amp;"*"</f>
        <v>S-WH-PU_COA*</v>
      </c>
    </row>
    <row r="23" spans="1:8" ht="15">
      <c r="A23" s="1" t="s">
        <v>14</v>
      </c>
      <c r="B23" s="1" t="str">
        <f t="shared" si="10" ref="B23:B35">"S-WH-"&amp;F23&amp;"_"&amp;G23&amp;"*"</f>
        <v>S-WH-PU_LPG*</v>
      </c>
      <c r="D23" s="7">
        <f>SUMIFS('BY_S-WH'!$L$2:$L$100,'BY_S-WH'!$C$2:$C$100,AFA!H23,'BY_S-WH'!$A$2:$A$100,"BASE",'BY_S-WH'!$B$2:$B$100,"AFA")</f>
        <v>0.022831050228310501</v>
      </c>
      <c r="F23" s="1" t="str">
        <f>Legend!$C$18</f>
        <v>PU</v>
      </c>
      <c r="G23" s="1" t="str">
        <f>Legend!B33</f>
        <v>LPG</v>
      </c>
      <c r="H23" s="1" t="str">
        <f t="shared" si="11" ref="H23:H35">"S-WH-"&amp;F23&amp;"_"&amp;G23&amp;"*"</f>
        <v>S-WH-PU_LPG*</v>
      </c>
    </row>
    <row r="24" spans="1:8" ht="15">
      <c r="A24" s="1" t="s">
        <v>28</v>
      </c>
      <c r="B24" s="1" t="str">
        <f t="shared" si="10"/>
        <v>S-WH-PU_OIL*</v>
      </c>
      <c r="D24" s="7">
        <f>SUMIFS('BY_S-WH'!$L$2:$L$100,'BY_S-WH'!$C$2:$C$100,AFA!H24,'BY_S-WH'!$A$2:$A$100,"BASE",'BY_S-WH'!$B$2:$B$100,"AFA")</f>
        <v>0.022831050228310501</v>
      </c>
      <c r="F24" s="1" t="str">
        <f>Legend!$C$18</f>
        <v>PU</v>
      </c>
      <c r="G24" s="1" t="str">
        <f>Legend!B34</f>
        <v>OIL</v>
      </c>
      <c r="H24" s="1" t="str">
        <f t="shared" si="11"/>
        <v>S-WH-PU_OIL*</v>
      </c>
    </row>
    <row r="25" spans="1:8" ht="15">
      <c r="A25" s="1" t="s">
        <v>14</v>
      </c>
      <c r="B25" s="1" t="str">
        <f t="shared" si="10"/>
        <v>S-WH-PU_GAS*</v>
      </c>
      <c r="D25" s="7">
        <f>SUMIFS('BY_S-WH'!$L$2:$L$100,'BY_S-WH'!$C$2:$C$100,AFA!H25,'BY_S-WH'!$A$2:$A$100,"BASE",'BY_S-WH'!$B$2:$B$100,"AFA")</f>
        <v>0.022831050228310501</v>
      </c>
      <c r="F25" s="1" t="str">
        <f>Legend!$C$18</f>
        <v>PU</v>
      </c>
      <c r="G25" s="1" t="str">
        <f>Legend!B35</f>
        <v>GAS</v>
      </c>
      <c r="H25" s="1" t="str">
        <f t="shared" si="11"/>
        <v>S-WH-PU_GAS*</v>
      </c>
    </row>
    <row r="26" spans="1:8" ht="15">
      <c r="A26" s="1" t="s">
        <v>14</v>
      </c>
      <c r="B26" s="1" t="str">
        <f t="shared" si="10"/>
        <v>S-WH-PU_BIO*</v>
      </c>
      <c r="D26" s="7">
        <f>SUMIFS('BY_S-WH'!$L$2:$L$100,'BY_S-WH'!$C$2:$C$100,AFA!H26,'BY_S-WH'!$A$2:$A$100,"BASE",'BY_S-WH'!$B$2:$B$100,"AFA")</f>
        <v>0.022831050228310501</v>
      </c>
      <c r="F26" s="1" t="str">
        <f>Legend!$C$18</f>
        <v>PU</v>
      </c>
      <c r="G26" s="1" t="str">
        <f>Legend!B36</f>
        <v>BIO</v>
      </c>
      <c r="H26" s="1" t="str">
        <f t="shared" si="11"/>
        <v>S-WH-PU_BIO*</v>
      </c>
    </row>
    <row r="27" spans="1:8" ht="15">
      <c r="A27" s="1" t="s">
        <v>14</v>
      </c>
      <c r="B27" s="1" t="str">
        <f t="shared" si="10"/>
        <v>S-WH-PU_SOL*</v>
      </c>
      <c r="D27" s="7">
        <f>SUMIFS('BY_S-WH'!$L$2:$L$100,'BY_S-WH'!$C$2:$C$100,AFA!H27,'BY_S-WH'!$A$2:$A$100,"BASE",'BY_S-WH'!$B$2:$B$100,"AFA")</f>
        <v>0.022831050228310501</v>
      </c>
      <c r="F27" s="1" t="str">
        <f>Legend!$C$18</f>
        <v>PU</v>
      </c>
      <c r="G27" s="1" t="str">
        <f>Legend!B38</f>
        <v>SOL</v>
      </c>
      <c r="H27" s="1" t="str">
        <f t="shared" si="11"/>
        <v>S-WH-PU_SOL*</v>
      </c>
    </row>
    <row r="28" spans="1:8" ht="15">
      <c r="A28" s="4" t="s">
        <v>14</v>
      </c>
      <c r="B28" s="4" t="str">
        <f t="shared" si="10"/>
        <v>S-WH-PU_ELC*</v>
      </c>
      <c r="C28" s="4"/>
      <c r="D28" s="8">
        <f>SUMIFS('BY_S-WH'!$L$2:$L$100,'BY_S-WH'!$C$2:$C$100,AFA!H28,'BY_S-WH'!$A$2:$A$100,"BASE",'BY_S-WH'!$B$2:$B$100,"AFA")</f>
        <v>0.022831050228310501</v>
      </c>
      <c r="F28" s="4" t="str">
        <f>Legend!$C$18</f>
        <v>PU</v>
      </c>
      <c r="G28" s="4" t="str">
        <f>Legend!B39</f>
        <v>ELC</v>
      </c>
      <c r="H28" s="4" t="str">
        <f t="shared" si="11"/>
        <v>S-WH-PU_ELC*</v>
      </c>
    </row>
    <row r="29" spans="1:8" ht="15">
      <c r="A29" s="1" t="s">
        <v>28</v>
      </c>
      <c r="B29" s="1" t="str">
        <f t="shared" si="12" ref="B29">"S-WH-"&amp;F29&amp;"_"&amp;G29&amp;"*"</f>
        <v>S-WH-CS_COA*</v>
      </c>
      <c r="D29" s="7">
        <f>SUMIFS('BY_S-WH'!$L$2:$L$100,'BY_S-WH'!$C$2:$C$100,AFA!H29,'BY_S-WH'!$A$2:$A$100,"BASE",'BY_S-WH'!$B$2:$B$100,"AFA")</f>
        <v>0.022831050228310501</v>
      </c>
      <c r="F29" s="1" t="str">
        <f>Legend!$C$17</f>
        <v>CS</v>
      </c>
      <c r="G29" s="1" t="str">
        <f t="shared" si="13" ref="G29:G35">G22</f>
        <v>COA</v>
      </c>
      <c r="H29" s="1" t="str">
        <f t="shared" si="14" ref="H29">"S-WH-"&amp;F29&amp;"_"&amp;G29&amp;"*"</f>
        <v>S-WH-CS_COA*</v>
      </c>
    </row>
    <row r="30" spans="1:8" ht="15">
      <c r="A30" s="1" t="s">
        <v>14</v>
      </c>
      <c r="B30" s="1" t="str">
        <f t="shared" si="10"/>
        <v>S-WH-CS_LPG*</v>
      </c>
      <c r="D30" s="7">
        <f>SUMIFS('BY_S-WH'!$L$2:$L$100,'BY_S-WH'!$C$2:$C$100,AFA!H30,'BY_S-WH'!$A$2:$A$100,"BASE",'BY_S-WH'!$B$2:$B$100,"AFA")</f>
        <v>0.022831050228310501</v>
      </c>
      <c r="F30" s="1" t="str">
        <f>Legend!$C$17</f>
        <v>CS</v>
      </c>
      <c r="G30" s="1" t="str">
        <f t="shared" si="13"/>
        <v>LPG</v>
      </c>
      <c r="H30" s="1" t="str">
        <f t="shared" si="11"/>
        <v>S-WH-CS_LPG*</v>
      </c>
    </row>
    <row r="31" spans="1:8" ht="15">
      <c r="A31" s="1" t="s">
        <v>28</v>
      </c>
      <c r="B31" s="1" t="str">
        <f t="shared" si="10"/>
        <v>S-WH-CS_OIL*</v>
      </c>
      <c r="D31" s="7">
        <f>SUMIFS('BY_S-WH'!$L$2:$L$100,'BY_S-WH'!$C$2:$C$100,AFA!H31,'BY_S-WH'!$A$2:$A$100,"BASE",'BY_S-WH'!$B$2:$B$100,"AFA")</f>
        <v>0.0232876712328767</v>
      </c>
      <c r="F31" s="1" t="str">
        <f>Legend!$C$17</f>
        <v>CS</v>
      </c>
      <c r="G31" s="1" t="str">
        <f t="shared" si="13"/>
        <v>OIL</v>
      </c>
      <c r="H31" s="1" t="str">
        <f t="shared" si="11"/>
        <v>S-WH-CS_OIL*</v>
      </c>
    </row>
    <row r="32" spans="1:8" ht="15">
      <c r="A32" s="1" t="s">
        <v>14</v>
      </c>
      <c r="B32" s="1" t="str">
        <f t="shared" si="10"/>
        <v>S-WH-CS_GAS*</v>
      </c>
      <c r="D32" s="7">
        <f>SUMIFS('BY_S-WH'!$L$2:$L$100,'BY_S-WH'!$C$2:$C$100,AFA!H32,'BY_S-WH'!$A$2:$A$100,"BASE",'BY_S-WH'!$B$2:$B$100,"AFA")</f>
        <v>0.022831050228310501</v>
      </c>
      <c r="F32" s="1" t="str">
        <f>Legend!$C$17</f>
        <v>CS</v>
      </c>
      <c r="G32" s="1" t="str">
        <f t="shared" si="13"/>
        <v>GAS</v>
      </c>
      <c r="H32" s="1" t="str">
        <f t="shared" si="11"/>
        <v>S-WH-CS_GAS*</v>
      </c>
    </row>
    <row r="33" spans="1:8" ht="15">
      <c r="A33" s="1" t="s">
        <v>14</v>
      </c>
      <c r="B33" s="1" t="str">
        <f t="shared" si="10"/>
        <v>S-WH-CS_BIO*</v>
      </c>
      <c r="D33" s="7">
        <f>SUMIFS('BY_S-WH'!$L$2:$L$100,'BY_S-WH'!$C$2:$C$100,AFA!H33,'BY_S-WH'!$A$2:$A$100,"BASE",'BY_S-WH'!$B$2:$B$100,"AFA")</f>
        <v>0.022831050228310501</v>
      </c>
      <c r="F33" s="1" t="str">
        <f>Legend!$C$17</f>
        <v>CS</v>
      </c>
      <c r="G33" s="1" t="str">
        <f t="shared" si="13"/>
        <v>BIO</v>
      </c>
      <c r="H33" s="1" t="str">
        <f t="shared" si="11"/>
        <v>S-WH-CS_BIO*</v>
      </c>
    </row>
    <row r="34" spans="1:8" ht="15">
      <c r="A34" s="1" t="s">
        <v>14</v>
      </c>
      <c r="B34" s="1" t="str">
        <f t="shared" si="10"/>
        <v>S-WH-CS_SOL*</v>
      </c>
      <c r="D34" s="7">
        <f>SUMIFS('BY_S-WH'!$L$2:$L$100,'BY_S-WH'!$C$2:$C$100,AFA!H34,'BY_S-WH'!$A$2:$A$100,"BASE",'BY_S-WH'!$B$2:$B$100,"AFA")</f>
        <v>0.022831050228310501</v>
      </c>
      <c r="F34" s="1" t="str">
        <f>Legend!$C$17</f>
        <v>CS</v>
      </c>
      <c r="G34" s="1" t="str">
        <f t="shared" si="13"/>
        <v>SOL</v>
      </c>
      <c r="H34" s="1" t="str">
        <f t="shared" si="11"/>
        <v>S-WH-CS_SOL*</v>
      </c>
    </row>
    <row r="35" spans="1:8" ht="15">
      <c r="A35" s="4" t="s">
        <v>14</v>
      </c>
      <c r="B35" s="4" t="str">
        <f t="shared" si="10"/>
        <v>S-WH-CS_ELC*</v>
      </c>
      <c r="C35" s="4"/>
      <c r="D35" s="8">
        <f>SUMIFS('BY_S-WH'!$L$2:$L$100,'BY_S-WH'!$C$2:$C$100,AFA!H35,'BY_S-WH'!$A$2:$A$100,"BASE",'BY_S-WH'!$B$2:$B$100,"AFA")</f>
        <v>0.022831050228310501</v>
      </c>
      <c r="F35" s="4" t="str">
        <f>Legend!$C$17</f>
        <v>CS</v>
      </c>
      <c r="G35" s="4" t="str">
        <f t="shared" si="13"/>
        <v>ELC</v>
      </c>
      <c r="H35" s="4" t="str">
        <f t="shared" si="11"/>
        <v>S-WH-CS_ELC*</v>
      </c>
    </row>
    <row r="36" spans="1:8" ht="15">
      <c r="A36" s="9" t="s">
        <v>33</v>
      </c>
      <c r="B36" s="10"/>
      <c r="C36" s="10"/>
      <c r="D36" s="11"/>
      <c r="F36" s="10"/>
      <c r="G36" s="10"/>
      <c r="H36" s="10"/>
    </row>
    <row r="37" spans="1:8" ht="15">
      <c r="A37" s="1" t="s">
        <v>28</v>
      </c>
      <c r="B37" s="1" t="str">
        <f t="shared" si="15" ref="B37:B42">"S-SH-"&amp;F37&amp;"_"&amp;G37&amp;"*"</f>
        <v>S-SH-PU_COA*</v>
      </c>
      <c r="C37" s="1" t="s">
        <v>198</v>
      </c>
      <c r="D37" s="7">
        <f>SUMIFS('BY_S-WH'!$L$2:$L$100,'BY_S-WH'!$C$2:$C$100,AFA!H37,'BY_S-WH'!$A$2:$A$100,"BASE",'BY_S-WH'!$B$2:$B$100,"AFA")</f>
        <v>0.022831050228310501</v>
      </c>
      <c r="F37" s="1" t="str">
        <f>Legend!$C$18</f>
        <v>PU</v>
      </c>
      <c r="G37" s="1" t="str">
        <f>Legend!B32</f>
        <v>COA</v>
      </c>
      <c r="H37" s="1" t="str">
        <f t="shared" si="16" ref="H37:H49">"S-WH-"&amp;F37&amp;"_"&amp;G37&amp;"*"</f>
        <v>S-WH-PU_COA*</v>
      </c>
    </row>
    <row r="38" spans="1:8" ht="15">
      <c r="A38" s="1" t="s">
        <v>35</v>
      </c>
      <c r="B38" s="1" t="str">
        <f t="shared" si="15"/>
        <v>S-SH-PU_LPG*</v>
      </c>
      <c r="C38" s="1" t="s">
        <v>198</v>
      </c>
      <c r="D38" s="7">
        <f>SUMIFS('BY_S-WH'!$L$2:$L$100,'BY_S-WH'!$C$2:$C$100,AFA!H38,'BY_S-WH'!$A$2:$A$100,"BASE",'BY_S-WH'!$B$2:$B$100,"AFA")</f>
        <v>0.022831050228310501</v>
      </c>
      <c r="F38" s="1" t="str">
        <f>Legend!$C$18</f>
        <v>PU</v>
      </c>
      <c r="G38" s="1" t="str">
        <f>Legend!B33</f>
        <v>LPG</v>
      </c>
      <c r="H38" s="1" t="str">
        <f t="shared" si="17" ref="H38:H39">"S-WH-"&amp;F38&amp;"_"&amp;G38&amp;"*"</f>
        <v>S-WH-PU_LPG*</v>
      </c>
    </row>
    <row r="39" spans="1:8" ht="15">
      <c r="A39" s="1" t="s">
        <v>35</v>
      </c>
      <c r="B39" s="1" t="str">
        <f t="shared" si="15"/>
        <v>S-SH-PU_OIL*</v>
      </c>
      <c r="C39" s="1" t="s">
        <v>198</v>
      </c>
      <c r="D39" s="7">
        <f>SUMIFS('BY_S-WH'!$L$2:$L$100,'BY_S-WH'!$C$2:$C$100,AFA!H39,'BY_S-WH'!$A$2:$A$100,"BASE",'BY_S-WH'!$B$2:$B$100,"AFA")</f>
        <v>0.022831050228310501</v>
      </c>
      <c r="F39" s="1" t="str">
        <f>Legend!$C$18</f>
        <v>PU</v>
      </c>
      <c r="G39" s="1" t="str">
        <f>Legend!B34</f>
        <v>OIL</v>
      </c>
      <c r="H39" s="1" t="str">
        <f t="shared" si="17"/>
        <v>S-WH-PU_OIL*</v>
      </c>
    </row>
    <row r="40" spans="1:8" ht="15">
      <c r="A40" s="1" t="s">
        <v>35</v>
      </c>
      <c r="B40" s="1" t="str">
        <f t="shared" si="15"/>
        <v>S-SH-PU_GAS*</v>
      </c>
      <c r="C40" s="1" t="s">
        <v>198</v>
      </c>
      <c r="D40" s="7">
        <f>SUMIFS('BY_S-WH'!$L$2:$L$100,'BY_S-WH'!$C$2:$C$100,AFA!H40,'BY_S-WH'!$A$2:$A$100,"BASE",'BY_S-WH'!$B$2:$B$100,"AFA")</f>
        <v>0.022831050228310501</v>
      </c>
      <c r="F40" s="1" t="str">
        <f>Legend!$C$18</f>
        <v>PU</v>
      </c>
      <c r="G40" s="1" t="str">
        <f>Legend!B35</f>
        <v>GAS</v>
      </c>
      <c r="H40" s="1" t="str">
        <f t="shared" si="18" ref="H40">"S-WH-"&amp;F40&amp;"_"&amp;G40&amp;"*"</f>
        <v>S-WH-PU_GAS*</v>
      </c>
    </row>
    <row r="41" spans="1:8" ht="15">
      <c r="A41" s="1" t="s">
        <v>35</v>
      </c>
      <c r="B41" s="1" t="str">
        <f t="shared" si="15"/>
        <v>S-SH-PU_BIO*</v>
      </c>
      <c r="C41" s="1" t="s">
        <v>198</v>
      </c>
      <c r="D41" s="7">
        <f>SUMIFS('BY_S-WH'!$L$2:$L$100,'BY_S-WH'!$C$2:$C$100,AFA!H41,'BY_S-WH'!$A$2:$A$100,"BASE",'BY_S-WH'!$B$2:$B$100,"AFA")</f>
        <v>0.022831050228310501</v>
      </c>
      <c r="F41" s="1" t="str">
        <f>Legend!$C$18</f>
        <v>PU</v>
      </c>
      <c r="G41" s="1" t="str">
        <f>Legend!B36</f>
        <v>BIO</v>
      </c>
      <c r="H41" s="1" t="str">
        <f t="shared" si="19" ref="H41">"S-WH-"&amp;F41&amp;"_"&amp;G41&amp;"*"</f>
        <v>S-WH-PU_BIO*</v>
      </c>
    </row>
    <row r="42" spans="1:8" ht="15">
      <c r="A42" s="1" t="s">
        <v>35</v>
      </c>
      <c r="B42" s="1" t="str">
        <f t="shared" si="15"/>
        <v>S-SH-PU_ELC*</v>
      </c>
      <c r="C42" s="1" t="s">
        <v>198</v>
      </c>
      <c r="D42" s="7">
        <f>SUMIFS('BY_S-WH'!$L$2:$L$100,'BY_S-WH'!$C$2:$C$100,AFA!H42,'BY_S-WH'!$A$2:$A$100,"BASE",'BY_S-WH'!$B$2:$B$100,"AFA")</f>
        <v>0.022831050228310501</v>
      </c>
      <c r="F42" s="1" t="str">
        <f>Legend!$C$18</f>
        <v>PU</v>
      </c>
      <c r="G42" s="1" t="str">
        <f>Legend!B39</f>
        <v>ELC</v>
      </c>
      <c r="H42" s="1" t="str">
        <f t="shared" si="16"/>
        <v>S-WH-PU_ELC*</v>
      </c>
    </row>
    <row r="43" spans="1:8" ht="15">
      <c r="A43" s="4" t="s">
        <v>35</v>
      </c>
      <c r="B43" s="4" t="str">
        <f t="shared" si="20" ref="B43">"S-SH-"&amp;F43&amp;"_"&amp;G43&amp;"*"</f>
        <v>S-SH-PU_HET*</v>
      </c>
      <c r="C43" s="4" t="s">
        <v>198</v>
      </c>
      <c r="D43" s="8">
        <f>SUMIFS('BY_S-WH'!$L$2:$L$100,'BY_S-WH'!$C$2:$C$100,AFA!H43,'BY_S-WH'!$A$2:$A$100,"BASE",'BY_S-WH'!$B$2:$B$100,"AFA")</f>
        <v>0.022831050228310501</v>
      </c>
      <c r="F43" s="4" t="str">
        <f>Legend!$C$18</f>
        <v>PU</v>
      </c>
      <c r="G43" s="4" t="str">
        <f>Legend!B41</f>
        <v>HET</v>
      </c>
      <c r="H43" s="4" t="str">
        <f>H40</f>
        <v>S-WH-PU_GAS*</v>
      </c>
    </row>
    <row r="44" spans="1:8" ht="15">
      <c r="A44" s="1" t="s">
        <v>28</v>
      </c>
      <c r="B44" s="1" t="str">
        <f t="shared" si="21" ref="B44:B49">"S-SH-"&amp;F44&amp;"_"&amp;G44&amp;"*"</f>
        <v>S-SH-CS_COA*</v>
      </c>
      <c r="C44" s="1" t="s">
        <v>199</v>
      </c>
      <c r="D44" s="7">
        <f>SUMIFS('BY_S-WH'!$L$2:$L$100,'BY_S-WH'!$C$2:$C$100,AFA!H44,'BY_S-WH'!$A$2:$A$100,"BASE",'BY_S-WH'!$B$2:$B$100,"AFA")</f>
        <v>0.022831050228310501</v>
      </c>
      <c r="F44" s="1" t="str">
        <f>Legend!$C$17</f>
        <v>CS</v>
      </c>
      <c r="G44" s="1" t="str">
        <f t="shared" si="22" ref="G44:G50">G37</f>
        <v>COA</v>
      </c>
      <c r="H44" s="1" t="str">
        <f t="shared" si="16"/>
        <v>S-WH-CS_COA*</v>
      </c>
    </row>
    <row r="45" spans="1:8" ht="15">
      <c r="A45" s="1" t="s">
        <v>35</v>
      </c>
      <c r="B45" s="1" t="str">
        <f t="shared" si="21"/>
        <v>S-SH-CS_LPG*</v>
      </c>
      <c r="C45" s="1" t="s">
        <v>199</v>
      </c>
      <c r="D45" s="7">
        <f>SUMIFS('BY_S-WH'!$L$2:$L$100,'BY_S-WH'!$C$2:$C$100,AFA!H45,'BY_S-WH'!$A$2:$A$100,"BASE",'BY_S-WH'!$B$2:$B$100,"AFA")</f>
        <v>0.022831050228310501</v>
      </c>
      <c r="F45" s="1" t="str">
        <f>Legend!$C$17</f>
        <v>CS</v>
      </c>
      <c r="G45" s="1" t="str">
        <f t="shared" si="22"/>
        <v>LPG</v>
      </c>
      <c r="H45" s="1" t="str">
        <f t="shared" si="16"/>
        <v>S-WH-CS_LPG*</v>
      </c>
    </row>
    <row r="46" spans="1:8" ht="15">
      <c r="A46" s="1" t="s">
        <v>35</v>
      </c>
      <c r="B46" s="1" t="str">
        <f t="shared" si="21"/>
        <v>S-SH-CS_OIL*</v>
      </c>
      <c r="C46" s="1" t="s">
        <v>199</v>
      </c>
      <c r="D46" s="7">
        <f>SUMIFS('BY_S-WH'!$L$2:$L$100,'BY_S-WH'!$C$2:$C$100,AFA!H46,'BY_S-WH'!$A$2:$A$100,"BASE",'BY_S-WH'!$B$2:$B$100,"AFA")</f>
        <v>0.0232876712328767</v>
      </c>
      <c r="F46" s="1" t="str">
        <f>Legend!$C$17</f>
        <v>CS</v>
      </c>
      <c r="G46" s="1" t="str">
        <f t="shared" si="22"/>
        <v>OIL</v>
      </c>
      <c r="H46" s="1" t="str">
        <f t="shared" si="16"/>
        <v>S-WH-CS_OIL*</v>
      </c>
    </row>
    <row r="47" spans="1:8" ht="15">
      <c r="A47" s="1" t="s">
        <v>35</v>
      </c>
      <c r="B47" s="1" t="str">
        <f t="shared" si="21"/>
        <v>S-SH-CS_GAS*</v>
      </c>
      <c r="C47" s="1" t="s">
        <v>199</v>
      </c>
      <c r="D47" s="7">
        <f>SUMIFS('BY_S-WH'!$L$2:$L$100,'BY_S-WH'!$C$2:$C$100,AFA!H47,'BY_S-WH'!$A$2:$A$100,"BASE",'BY_S-WH'!$B$2:$B$100,"AFA")</f>
        <v>0.022831050228310501</v>
      </c>
      <c r="F47" s="1" t="str">
        <f>Legend!$C$17</f>
        <v>CS</v>
      </c>
      <c r="G47" s="1" t="str">
        <f t="shared" si="22"/>
        <v>GAS</v>
      </c>
      <c r="H47" s="1" t="str">
        <f t="shared" si="16"/>
        <v>S-WH-CS_GAS*</v>
      </c>
    </row>
    <row r="48" spans="1:8" ht="15">
      <c r="A48" s="1" t="s">
        <v>35</v>
      </c>
      <c r="B48" s="1" t="str">
        <f t="shared" si="21"/>
        <v>S-SH-CS_BIO*</v>
      </c>
      <c r="C48" s="1" t="s">
        <v>199</v>
      </c>
      <c r="D48" s="7">
        <f>SUMIFS('BY_S-WH'!$L$2:$L$100,'BY_S-WH'!$C$2:$C$100,AFA!H48,'BY_S-WH'!$A$2:$A$100,"BASE",'BY_S-WH'!$B$2:$B$100,"AFA")</f>
        <v>0.022831050228310501</v>
      </c>
      <c r="F48" s="1" t="str">
        <f>Legend!$C$17</f>
        <v>CS</v>
      </c>
      <c r="G48" s="1" t="str">
        <f t="shared" si="22"/>
        <v>BIO</v>
      </c>
      <c r="H48" s="1" t="str">
        <f t="shared" si="16"/>
        <v>S-WH-CS_BIO*</v>
      </c>
    </row>
    <row r="49" spans="1:8" ht="15">
      <c r="A49" s="1" t="s">
        <v>35</v>
      </c>
      <c r="B49" s="1" t="str">
        <f t="shared" si="21"/>
        <v>S-SH-CS_ELC*</v>
      </c>
      <c r="C49" s="1" t="s">
        <v>199</v>
      </c>
      <c r="D49" s="7">
        <f>SUMIFS('BY_S-WH'!$L$2:$L$100,'BY_S-WH'!$C$2:$C$100,AFA!H49,'BY_S-WH'!$A$2:$A$100,"BASE",'BY_S-WH'!$B$2:$B$100,"AFA")</f>
        <v>0.022831050228310501</v>
      </c>
      <c r="F49" s="1" t="str">
        <f>Legend!$C$17</f>
        <v>CS</v>
      </c>
      <c r="G49" s="1" t="str">
        <f t="shared" si="22"/>
        <v>ELC</v>
      </c>
      <c r="H49" s="1" t="str">
        <f t="shared" si="16"/>
        <v>S-WH-CS_ELC*</v>
      </c>
    </row>
    <row r="50" spans="1:8" ht="15.75" thickBot="1">
      <c r="A50" s="12" t="s">
        <v>35</v>
      </c>
      <c r="B50" s="12" t="str">
        <f t="shared" si="23" ref="B50">"S-SH-"&amp;F50&amp;"_"&amp;G50&amp;"*"</f>
        <v>S-SH-CS_HET*</v>
      </c>
      <c r="C50" s="12" t="s">
        <v>199</v>
      </c>
      <c r="D50" s="13">
        <f>SUMIFS('BY_S-WH'!$L$2:$L$100,'BY_S-WH'!$C$2:$C$100,AFA!H50,'BY_S-WH'!$A$2:$A$100,"BASE",'BY_S-WH'!$B$2:$B$100,"AFA")</f>
        <v>0.022831050228310501</v>
      </c>
      <c r="F50" s="12" t="str">
        <f>Legend!$C$17</f>
        <v>CS</v>
      </c>
      <c r="G50" s="12" t="str">
        <f t="shared" si="22"/>
        <v>HET</v>
      </c>
      <c r="H50" s="12" t="str">
        <f>H47</f>
        <v>S-WH-CS_GAS*</v>
      </c>
    </row>
    <row r="51" spans="1:8" ht="15">
      <c r="A51" s="9" t="s">
        <v>26</v>
      </c>
      <c r="B51" s="10"/>
      <c r="C51" s="10"/>
      <c r="D51" s="11"/>
      <c r="F51" s="10"/>
      <c r="G51" s="10"/>
      <c r="H51" s="10"/>
    </row>
    <row r="52" spans="1:8" ht="15">
      <c r="A52" s="1" t="s">
        <v>14</v>
      </c>
      <c r="B52" s="1" t="str">
        <f>"S-SC-"&amp;F52&amp;"_"&amp;G52&amp;"*"</f>
        <v>S-SC-PU_ELC*</v>
      </c>
      <c r="D52" s="7">
        <f>SUMIFS('BY_S-SC'!$L$2:$L$100,'BY_S-SC'!$C$2:$C$100,AFA!H52,'BY_S-SC'!$A$2:$A$100,"BASE",'BY_S-SC'!$B$2:$B$100,"AFA")</f>
        <v>0.0342465753424658</v>
      </c>
      <c r="F52" s="1" t="str">
        <f>Legend!$C$18</f>
        <v>PU</v>
      </c>
      <c r="G52" s="1" t="s">
        <v>12</v>
      </c>
      <c r="H52" s="1" t="str">
        <f>"S-SC-"&amp;F52&amp;"_"&amp;G52&amp;"*"</f>
        <v>S-SC-PU_ELC*</v>
      </c>
    </row>
    <row r="53" spans="1:8" ht="15">
      <c r="A53" s="4" t="s">
        <v>14</v>
      </c>
      <c r="B53" s="4" t="str">
        <f>"S-SC-"&amp;F53&amp;"_"&amp;G53&amp;"*"</f>
        <v>S-SC-CS_ELC*</v>
      </c>
      <c r="C53" s="4"/>
      <c r="D53" s="8">
        <f>SUMIFS('BY_S-SC'!$L$2:$L$100,'BY_S-SC'!$C$2:$C$100,AFA!H53,'BY_S-SC'!$A$2:$A$100,"BASE",'BY_S-SC'!$B$2:$B$100,"AFA")</f>
        <v>0.0342465753424658</v>
      </c>
      <c r="F53" s="4" t="str">
        <f>Legend!$C$17</f>
        <v>CS</v>
      </c>
      <c r="G53" s="4" t="s">
        <v>12</v>
      </c>
      <c r="H53" s="4" t="str">
        <f>"S-SC-"&amp;F53&amp;"_"&amp;G53&amp;"*"</f>
        <v>S-SC-CS_ELC*</v>
      </c>
    </row>
    <row r="54" spans="1:8" ht="15">
      <c r="A54" s="9" t="s">
        <v>34</v>
      </c>
      <c r="B54" s="10"/>
      <c r="C54" s="10"/>
      <c r="D54" s="11"/>
      <c r="F54" s="10"/>
      <c r="G54" s="10"/>
      <c r="H54" s="10"/>
    </row>
    <row r="55" spans="1:8" ht="15">
      <c r="A55" s="1" t="s">
        <v>35</v>
      </c>
      <c r="B55" s="1" t="str">
        <f t="shared" si="24" ref="B55:B56">"S-SH-"&amp;F55&amp;"_"&amp;G55&amp;"*"</f>
        <v>S-SH-PU_ELC*</v>
      </c>
      <c r="C55" s="1" t="s">
        <v>200</v>
      </c>
      <c r="D55" s="7">
        <f>SUMIFS('BY_S-SC'!$L$2:$L$100,'BY_S-SC'!$C$2:$C$100,AFA!H55,'BY_S-SC'!$A$2:$A$100,"BASE",'BY_S-SC'!$B$2:$B$100,"AFA")</f>
        <v>0.0342465753424658</v>
      </c>
      <c r="F55" s="1" t="str">
        <f>Legend!$C$18</f>
        <v>PU</v>
      </c>
      <c r="G55" s="1" t="s">
        <v>12</v>
      </c>
      <c r="H55" s="1" t="str">
        <f>"S-SC-"&amp;F55&amp;"_"&amp;G55&amp;"*"</f>
        <v>S-SC-PU_ELC*</v>
      </c>
    </row>
    <row r="56" spans="1:8" ht="15.75" thickBot="1">
      <c r="A56" s="12" t="s">
        <v>35</v>
      </c>
      <c r="B56" s="12" t="str">
        <f t="shared" si="24"/>
        <v>S-SH-CS_ELC*</v>
      </c>
      <c r="C56" s="12" t="s">
        <v>201</v>
      </c>
      <c r="D56" s="13">
        <f>SUMIFS('BY_S-SC'!$L$2:$L$100,'BY_S-SC'!$C$2:$C$100,AFA!H56,'BY_S-SC'!$A$2:$A$100,"BASE",'BY_S-SC'!$B$2:$B$100,"AFA")</f>
        <v>0.0342465753424658</v>
      </c>
      <c r="F56" s="12" t="str">
        <f>Legend!$C$17</f>
        <v>CS</v>
      </c>
      <c r="G56" s="12" t="s">
        <v>12</v>
      </c>
      <c r="H56" s="12" t="str">
        <f>"S-SC-"&amp;F56&amp;"_"&amp;G56&amp;"*"</f>
        <v>S-SC-CS_ELC*</v>
      </c>
    </row>
  </sheetData>
  <pageMargins left="0.7" right="0.7" top="0.75" bottom="0.75" header="0.3" footer="0.3"/>
  <pageSetup orientation="portrait" paperSize="9"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60206D-3DFE-49C4-BDD8-4C53C8B3D248}">
  <sheetPr codeName="Sheet3">
    <tabColor theme="9" tint="0.599990010261536"/>
  </sheetPr>
  <dimension ref="A1:M67"/>
  <sheetViews>
    <sheetView workbookViewId="0" topLeftCell="A1">
      <selection pane="topLeft" activeCell="K20" sqref="K20"/>
    </sheetView>
  </sheetViews>
  <sheetFormatPr defaultColWidth="9.14428571428571" defaultRowHeight="15"/>
  <cols>
    <col min="1" max="1" width="10.5714285714286" style="1" customWidth="1"/>
    <col min="2" max="2" width="18.5714285714286" style="1" bestFit="1" customWidth="1"/>
    <col min="3" max="3" width="21" style="1" customWidth="1"/>
    <col min="4" max="4" width="18.8571428571429" style="1" bestFit="1" customWidth="1"/>
    <col min="5" max="7" width="9.14285714285714" style="1"/>
    <col min="8" max="8" width="17.5714285714286" style="1" bestFit="1" customWidth="1"/>
    <col min="9" max="16384" width="9.14285714285714" style="1"/>
  </cols>
  <sheetData>
    <row r="1" spans="1:1" ht="23.25">
      <c r="A1" s="3" t="s">
        <v>204</v>
      </c>
    </row>
    <row r="2" spans="1:1" ht="15">
      <c r="A2" s="6" t="s">
        <v>202</v>
      </c>
    </row>
    <row r="3" spans="1:8" ht="15.75" thickBot="1">
      <c r="A3" s="5" t="s">
        <v>1</v>
      </c>
      <c r="B3" s="5" t="s">
        <v>8</v>
      </c>
      <c r="C3" s="5" t="s">
        <v>7</v>
      </c>
      <c r="D3" s="5" t="s">
        <v>4</v>
      </c>
      <c r="F3" s="2" t="s">
        <v>17</v>
      </c>
      <c r="G3" s="2" t="s">
        <v>9</v>
      </c>
      <c r="H3" s="2" t="s">
        <v>21</v>
      </c>
    </row>
    <row r="4" spans="1:8" ht="15">
      <c r="A4" s="9" t="s">
        <v>24</v>
      </c>
      <c r="B4" s="10"/>
      <c r="C4" s="10"/>
      <c r="D4" s="11"/>
      <c r="F4" s="10"/>
      <c r="G4" s="10"/>
      <c r="H4" s="10"/>
    </row>
    <row r="5" spans="1:8" ht="15">
      <c r="A5" s="1" t="s">
        <v>28</v>
      </c>
      <c r="B5" s="1" t="str">
        <f t="shared" si="0" ref="B5:B17">"S-SH-"&amp;F5&amp;"_"&amp;G5&amp;"*"</f>
        <v>S-SH-PU_COA*</v>
      </c>
      <c r="C5" s="1" t="s">
        <v>192</v>
      </c>
      <c r="D5" s="7" t="str">
        <f>"*"&amp;SUMIFS('BY_S-SH'!$L$2:$L$100,'BY_S-SH'!$C$2:$C$100,EFF!H5,'BY_S-SH'!$A$2:$A$100,"BASE",'BY_S-SH'!$B$2:$B$100,"EFF")</f>
        <v>*0.33</v>
      </c>
      <c r="F5" s="1" t="str">
        <f>Legend!$C$18</f>
        <v>PU</v>
      </c>
      <c r="G5" s="1" t="str">
        <f>Legend!B32</f>
        <v>COA</v>
      </c>
      <c r="H5" s="1" t="str">
        <f t="shared" si="1" ref="H5:H17">"S-SH-"&amp;F5&amp;"_"&amp;G5&amp;"*"</f>
        <v>S-SH-PU_COA*</v>
      </c>
    </row>
    <row r="6" spans="1:8" ht="15">
      <c r="A6" s="1" t="s">
        <v>205</v>
      </c>
      <c r="B6" s="1" t="str">
        <f t="shared" si="0"/>
        <v>S-SH-PU_LPG*</v>
      </c>
      <c r="C6" s="1" t="s">
        <v>192</v>
      </c>
      <c r="D6" s="7" t="str">
        <f>"*"&amp;SUMIFS('BY_S-SH'!$L$2:$L$100,'BY_S-SH'!$C$2:$C$100,EFF!H6,'BY_S-SH'!$A$2:$A$100,"BASE",'BY_S-SH'!$B$2:$B$100,"EFF")</f>
        <v>*0.33</v>
      </c>
      <c r="F6" s="1" t="str">
        <f>Legend!$C$18</f>
        <v>PU</v>
      </c>
      <c r="G6" s="1" t="str">
        <f>Legend!B33</f>
        <v>LPG</v>
      </c>
      <c r="H6" s="1" t="str">
        <f t="shared" si="1"/>
        <v>S-SH-PU_LPG*</v>
      </c>
    </row>
    <row r="7" spans="1:8" ht="15">
      <c r="A7" s="1" t="s">
        <v>205</v>
      </c>
      <c r="B7" s="1" t="str">
        <f t="shared" si="0"/>
        <v>S-SH-PU_OIL*</v>
      </c>
      <c r="C7" s="1" t="s">
        <v>192</v>
      </c>
      <c r="D7" s="7" t="str">
        <f>"*"&amp;SUMIFS('BY_S-SH'!$L$2:$L$100,'BY_S-SH'!$C$2:$C$100,EFF!H7,'BY_S-SH'!$A$2:$A$100,"BASE",'BY_S-SH'!$B$2:$B$100,"EFF")</f>
        <v>*0.658355844897252</v>
      </c>
      <c r="F7" s="1" t="str">
        <f>Legend!$C$18</f>
        <v>PU</v>
      </c>
      <c r="G7" s="1" t="str">
        <f>Legend!B34</f>
        <v>OIL</v>
      </c>
      <c r="H7" s="1" t="str">
        <f t="shared" si="1"/>
        <v>S-SH-PU_OIL*</v>
      </c>
    </row>
    <row r="8" spans="1:8" ht="15">
      <c r="A8" s="1" t="s">
        <v>205</v>
      </c>
      <c r="B8" s="1" t="str">
        <f t="shared" si="0"/>
        <v>S-SH-PU_GAS*</v>
      </c>
      <c r="C8" s="1" t="s">
        <v>192</v>
      </c>
      <c r="D8" s="7" t="str">
        <f>"*"&amp;SUMIFS('BY_S-SH'!$L$2:$L$100,'BY_S-SH'!$C$2:$C$100,EFF!H8,'BY_S-SH'!$A$2:$A$100,"BASE",'BY_S-SH'!$B$2:$B$100,"EFF")</f>
        <v>*0.772996170863213</v>
      </c>
      <c r="F8" s="1" t="str">
        <f>Legend!$C$18</f>
        <v>PU</v>
      </c>
      <c r="G8" s="1" t="str">
        <f>Legend!B35</f>
        <v>GAS</v>
      </c>
      <c r="H8" s="1" t="str">
        <f t="shared" si="1"/>
        <v>S-SH-PU_GAS*</v>
      </c>
    </row>
    <row r="9" spans="1:8" ht="15">
      <c r="A9" s="1" t="s">
        <v>205</v>
      </c>
      <c r="B9" s="1" t="str">
        <f t="shared" si="0"/>
        <v>S-SH-PU_BIO*</v>
      </c>
      <c r="C9" s="1" t="s">
        <v>192</v>
      </c>
      <c r="D9" s="7" t="str">
        <f>"*"&amp;SUMIFS('BY_S-SH'!$L$2:$L$100,'BY_S-SH'!$C$2:$C$100,EFF!H9,'BY_S-SH'!$A$2:$A$100,"BASE",'BY_S-SH'!$B$2:$B$100,"EFF")</f>
        <v>*0.634904433373713</v>
      </c>
      <c r="F9" s="1" t="str">
        <f>Legend!$C$18</f>
        <v>PU</v>
      </c>
      <c r="G9" s="1" t="str">
        <f>Legend!B36</f>
        <v>BIO</v>
      </c>
      <c r="H9" s="1" t="str">
        <f t="shared" si="1"/>
        <v>S-SH-PU_BIO*</v>
      </c>
    </row>
    <row r="10" spans="1:8" ht="15">
      <c r="A10" s="1" t="s">
        <v>205</v>
      </c>
      <c r="B10" s="1" t="str">
        <f>"S-SH-"&amp;F10&amp;"_"&amp;G10&amp;"*, -*N1"</f>
        <v>S-SH-PU_ELC*, -*N1</v>
      </c>
      <c r="C10" s="1" t="s">
        <v>192</v>
      </c>
      <c r="D10" s="7" t="str">
        <f>"*"&amp;SUMIFS('BY_S-SH'!$L$2:$L$100,'BY_S-SH'!$C$2:$C$100,EFF!H10,'BY_S-SH'!$A$2:$A$100,"BASE",'BY_S-SH'!$B$2:$B$100,"EFF")</f>
        <v>*2.1</v>
      </c>
      <c r="F10" s="1" t="str">
        <f>Legend!$C$18</f>
        <v>PU</v>
      </c>
      <c r="G10" s="1" t="str">
        <f>Legend!B39</f>
        <v>ELC</v>
      </c>
      <c r="H10" s="1" t="str">
        <f>"S-SH-"&amp;F10&amp;"_"&amp;G10&amp;"-HP*"</f>
        <v>S-SH-PU_ELC-HP*</v>
      </c>
    </row>
    <row r="11" spans="1:8" ht="15">
      <c r="A11" s="1" t="s">
        <v>205</v>
      </c>
      <c r="B11" s="1" t="str">
        <f>"S-SH-"&amp;F11&amp;"_"&amp;G11&amp;"*N1"</f>
        <v>S-SH-PU_ELC*N1</v>
      </c>
      <c r="C11" s="1" t="s">
        <v>192</v>
      </c>
      <c r="D11" s="7" t="str">
        <f>"*"&amp;SUMIFS('BY_S-SH'!$L$2:$L$100,'BY_S-SH'!$C$2:$C$100,EFF!H11,'BY_S-SH'!$A$2:$A$100,"BASE",'BY_S-SH'!$B$2:$B$100,"EFF")</f>
        <v>*0.815955112591535</v>
      </c>
      <c r="F11" s="1" t="str">
        <f>Legend!$C$18</f>
        <v>PU</v>
      </c>
      <c r="G11" s="1" t="str">
        <f>Legend!B39</f>
        <v>ELC</v>
      </c>
      <c r="H11" s="1" t="str">
        <f>"S-SH-"&amp;F11&amp;"_"&amp;G11&amp;"_X0"</f>
        <v>S-SH-PU_ELC_X0</v>
      </c>
    </row>
    <row r="12" spans="1:8" ht="15">
      <c r="A12" s="4" t="s">
        <v>205</v>
      </c>
      <c r="B12" s="4" t="str">
        <f t="shared" si="2" ref="B12:B13">"S-SH-"&amp;F12&amp;"_"&amp;G12&amp;"*"</f>
        <v>S-SH-PU_HET*</v>
      </c>
      <c r="C12" s="4" t="s">
        <v>192</v>
      </c>
      <c r="D12" s="8" t="str">
        <f>"*"&amp;SUMIFS('BY_S-SH'!$L$2:$L$100,'BY_S-SH'!$C$2:$C$100,EFF!H12,'BY_S-SH'!$A$2:$A$100,"BASE",'BY_S-SH'!$B$2:$B$100,"EFF")</f>
        <v>*0.772996170863213</v>
      </c>
      <c r="F12" s="4" t="str">
        <f>Legend!$C$18</f>
        <v>PU</v>
      </c>
      <c r="G12" s="4" t="str">
        <f>Legend!B41</f>
        <v>HET</v>
      </c>
      <c r="H12" s="4" t="str">
        <f>H8</f>
        <v>S-SH-PU_GAS*</v>
      </c>
    </row>
    <row r="13" spans="1:8" ht="15">
      <c r="A13" s="1" t="s">
        <v>28</v>
      </c>
      <c r="B13" s="1" t="str">
        <f t="shared" si="2"/>
        <v>S-SH-CS_COA*</v>
      </c>
      <c r="C13" s="1" t="s">
        <v>193</v>
      </c>
      <c r="D13" s="7" t="str">
        <f>"*"&amp;SUMIFS('BY_S-SH'!$L$2:$L$100,'BY_S-SH'!$C$2:$C$100,EFF!H13,'BY_S-SH'!$A$2:$A$100,"BASE",'BY_S-SH'!$B$2:$B$100,"EFF")</f>
        <v>*0.33</v>
      </c>
      <c r="F13" s="1" t="str">
        <f>Legend!$C$17</f>
        <v>CS</v>
      </c>
      <c r="G13" s="1" t="str">
        <f t="shared" si="3" ref="G13:G20">G5</f>
        <v>COA</v>
      </c>
      <c r="H13" s="1" t="str">
        <f t="shared" si="4" ref="H13">"S-SH-"&amp;F13&amp;"_"&amp;G13&amp;"*"</f>
        <v>S-SH-CS_COA*</v>
      </c>
    </row>
    <row r="14" spans="1:8" ht="15">
      <c r="A14" s="1" t="s">
        <v>205</v>
      </c>
      <c r="B14" s="1" t="str">
        <f t="shared" si="0"/>
        <v>S-SH-CS_LPG*</v>
      </c>
      <c r="C14" s="1" t="s">
        <v>193</v>
      </c>
      <c r="D14" s="7" t="str">
        <f>"*"&amp;SUMIFS('BY_S-SH'!$L$2:$L$100,'BY_S-SH'!$C$2:$C$100,EFF!H14,'BY_S-SH'!$A$2:$A$100,"BASE",'BY_S-SH'!$B$2:$B$100,"EFF")</f>
        <v>*0.33</v>
      </c>
      <c r="F14" s="1" t="str">
        <f>Legend!$C$17</f>
        <v>CS</v>
      </c>
      <c r="G14" s="1" t="str">
        <f t="shared" si="3"/>
        <v>LPG</v>
      </c>
      <c r="H14" s="1" t="str">
        <f t="shared" si="1"/>
        <v>S-SH-CS_LPG*</v>
      </c>
    </row>
    <row r="15" spans="1:8" ht="15">
      <c r="A15" s="1" t="s">
        <v>205</v>
      </c>
      <c r="B15" s="1" t="str">
        <f t="shared" si="0"/>
        <v>S-SH-CS_OIL*</v>
      </c>
      <c r="C15" s="1" t="s">
        <v>193</v>
      </c>
      <c r="D15" s="7" t="str">
        <f>"*"&amp;SUMIFS('BY_S-SH'!$L$2:$L$100,'BY_S-SH'!$C$2:$C$100,EFF!H15,'BY_S-SH'!$A$2:$A$100,"BASE",'BY_S-SH'!$B$2:$B$100,"EFF")</f>
        <v>*0.658355844897252</v>
      </c>
      <c r="F15" s="1" t="str">
        <f>Legend!$C$17</f>
        <v>CS</v>
      </c>
      <c r="G15" s="1" t="str">
        <f t="shared" si="3"/>
        <v>OIL</v>
      </c>
      <c r="H15" s="1" t="str">
        <f t="shared" si="1"/>
        <v>S-SH-CS_OIL*</v>
      </c>
    </row>
    <row r="16" spans="1:8" ht="15">
      <c r="A16" s="1" t="s">
        <v>205</v>
      </c>
      <c r="B16" s="1" t="str">
        <f t="shared" si="0"/>
        <v>S-SH-CS_GAS*</v>
      </c>
      <c r="C16" s="1" t="s">
        <v>193</v>
      </c>
      <c r="D16" s="7" t="str">
        <f>"*"&amp;SUMIFS('BY_S-SH'!$L$2:$L$100,'BY_S-SH'!$C$2:$C$100,EFF!H16,'BY_S-SH'!$A$2:$A$100,"BASE",'BY_S-SH'!$B$2:$B$100,"EFF")</f>
        <v>*0.772996170863213</v>
      </c>
      <c r="F16" s="1" t="str">
        <f>Legend!$C$17</f>
        <v>CS</v>
      </c>
      <c r="G16" s="1" t="str">
        <f t="shared" si="3"/>
        <v>GAS</v>
      </c>
      <c r="H16" s="1" t="str">
        <f t="shared" si="1"/>
        <v>S-SH-CS_GAS*</v>
      </c>
    </row>
    <row r="17" spans="1:8" ht="15">
      <c r="A17" s="1" t="s">
        <v>205</v>
      </c>
      <c r="B17" s="1" t="str">
        <f t="shared" si="0"/>
        <v>S-SH-CS_BIO*</v>
      </c>
      <c r="C17" s="1" t="s">
        <v>193</v>
      </c>
      <c r="D17" s="7" t="str">
        <f>"*"&amp;SUMIFS('BY_S-SH'!$L$2:$L$100,'BY_S-SH'!$C$2:$C$100,EFF!H17,'BY_S-SH'!$A$2:$A$100,"BASE",'BY_S-SH'!$B$2:$B$100,"EFF")</f>
        <v>*0.634904433373713</v>
      </c>
      <c r="F17" s="1" t="str">
        <f>Legend!$C$17</f>
        <v>CS</v>
      </c>
      <c r="G17" s="1" t="str">
        <f t="shared" si="3"/>
        <v>BIO</v>
      </c>
      <c r="H17" s="1" t="str">
        <f t="shared" si="1"/>
        <v>S-SH-CS_BIO*</v>
      </c>
    </row>
    <row r="18" spans="1:8" ht="15">
      <c r="A18" s="1" t="s">
        <v>205</v>
      </c>
      <c r="B18" s="1" t="str">
        <f>"S-SH-"&amp;F18&amp;"_"&amp;G18&amp;"*, -*N1"</f>
        <v>S-SH-CS_ELC*, -*N1</v>
      </c>
      <c r="C18" s="1" t="s">
        <v>193</v>
      </c>
      <c r="D18" s="7" t="str">
        <f>"*"&amp;SUMIFS('BY_S-SH'!$L$2:$L$100,'BY_S-SH'!$C$2:$C$100,EFF!H18,'BY_S-SH'!$A$2:$A$100,"BASE",'BY_S-SH'!$B$2:$B$100,"EFF")</f>
        <v>*2.1</v>
      </c>
      <c r="F18" s="1" t="str">
        <f>Legend!$C$17</f>
        <v>CS</v>
      </c>
      <c r="G18" s="1" t="str">
        <f t="shared" si="3"/>
        <v>ELC</v>
      </c>
      <c r="H18" s="1" t="str">
        <f>"S-SH-"&amp;F18&amp;"_"&amp;G18&amp;"-HP*"</f>
        <v>S-SH-CS_ELC-HP*</v>
      </c>
    </row>
    <row r="19" spans="1:8" ht="15">
      <c r="A19" s="1" t="s">
        <v>205</v>
      </c>
      <c r="B19" s="1" t="str">
        <f>"S-SH-"&amp;F19&amp;"_"&amp;G19&amp;"*N1"</f>
        <v>S-SH-CS_ELC*N1</v>
      </c>
      <c r="C19" s="1" t="s">
        <v>193</v>
      </c>
      <c r="D19" s="7" t="str">
        <f>"*"&amp;SUMIFS('BY_S-SH'!$L$2:$L$100,'BY_S-SH'!$C$2:$C$100,EFF!H19,'BY_S-SH'!$A$2:$A$100,"BASE",'BY_S-SH'!$B$2:$B$100,"EFF")</f>
        <v>*0.815955112591535</v>
      </c>
      <c r="F19" s="1" t="str">
        <f>Legend!$C$17</f>
        <v>CS</v>
      </c>
      <c r="G19" s="1" t="str">
        <f t="shared" si="3"/>
        <v>ELC</v>
      </c>
      <c r="H19" s="1" t="str">
        <f>"S-SH-"&amp;F19&amp;"_"&amp;G19&amp;"_X0"</f>
        <v>S-SH-CS_ELC_X0</v>
      </c>
    </row>
    <row r="20" spans="1:8" ht="15.75" thickBot="1">
      <c r="A20" s="12" t="s">
        <v>205</v>
      </c>
      <c r="B20" s="12" t="str">
        <f t="shared" si="5" ref="B20">"S-SH-"&amp;F20&amp;"_"&amp;G20&amp;"*"</f>
        <v>S-SH-CS_HET*</v>
      </c>
      <c r="C20" s="12" t="s">
        <v>193</v>
      </c>
      <c r="D20" s="13" t="str">
        <f>"*"&amp;SUMIFS('BY_S-SH'!$L$2:$L$100,'BY_S-SH'!$C$2:$C$100,EFF!H20,'BY_S-SH'!$A$2:$A$100,"BASE",'BY_S-SH'!$B$2:$B$100,"EFF")</f>
        <v>*0.772996170863213</v>
      </c>
      <c r="F20" s="12" t="str">
        <f>Legend!$C$17</f>
        <v>CS</v>
      </c>
      <c r="G20" s="12" t="str">
        <f t="shared" si="3"/>
        <v>HET</v>
      </c>
      <c r="H20" s="12" t="str">
        <f>H16</f>
        <v>S-SH-CS_GAS*</v>
      </c>
    </row>
    <row r="21" spans="1:8" ht="15">
      <c r="A21" s="9" t="s">
        <v>25</v>
      </c>
      <c r="B21" s="10"/>
      <c r="C21" s="10"/>
      <c r="D21" s="11"/>
      <c r="F21" s="10"/>
      <c r="G21" s="10"/>
      <c r="H21" s="10"/>
    </row>
    <row r="22" spans="1:8" ht="15">
      <c r="A22" s="1" t="s">
        <v>28</v>
      </c>
      <c r="B22" s="1" t="str">
        <f t="shared" si="6" ref="B22:B35">"S-WH-"&amp;F22&amp;"_"&amp;G22&amp;"*"</f>
        <v>S-WH-PU_COA*</v>
      </c>
      <c r="C22" s="1" t="s">
        <v>198</v>
      </c>
      <c r="D22" s="7" t="str">
        <f>"*"&amp;SUMIFS('BY_S-WH'!$L$2:$L$100,'BY_S-WH'!$C$2:$C$100,EFF!H22,'BY_S-WH'!$A$2:$A$100,"BASE",'BY_S-WH'!$B$2:$B$100,"EFF")</f>
        <v>*0.33</v>
      </c>
      <c r="F22" s="1" t="str">
        <f>Legend!$C$18</f>
        <v>PU</v>
      </c>
      <c r="G22" s="1" t="str">
        <f>Legend!B32</f>
        <v>COA</v>
      </c>
      <c r="H22" s="1" t="str">
        <f t="shared" si="7" ref="H22:H35">"S-WH-"&amp;F22&amp;"_"&amp;G22&amp;"*"</f>
        <v>S-WH-PU_COA*</v>
      </c>
    </row>
    <row r="23" spans="1:8" ht="15">
      <c r="A23" s="1" t="s">
        <v>205</v>
      </c>
      <c r="B23" s="1" t="str">
        <f t="shared" si="6"/>
        <v>S-WH-PU_LPG*</v>
      </c>
      <c r="C23" s="1" t="s">
        <v>198</v>
      </c>
      <c r="D23" s="7" t="str">
        <f>"*"&amp;SUMIFS('BY_S-WH'!$L$2:$L$100,'BY_S-WH'!$C$2:$C$100,EFF!H23,'BY_S-WH'!$A$2:$A$100,"BASE",'BY_S-WH'!$B$2:$B$100,"EFF")</f>
        <v>*0.33</v>
      </c>
      <c r="F23" s="1" t="str">
        <f>Legend!$C$18</f>
        <v>PU</v>
      </c>
      <c r="G23" s="1" t="str">
        <f>Legend!B33</f>
        <v>LPG</v>
      </c>
      <c r="H23" s="1" t="str">
        <f t="shared" si="7"/>
        <v>S-WH-PU_LPG*</v>
      </c>
    </row>
    <row r="24" spans="1:8" ht="15">
      <c r="A24" s="1" t="s">
        <v>28</v>
      </c>
      <c r="B24" s="1" t="str">
        <f t="shared" si="6"/>
        <v>S-WH-PU_OIL*</v>
      </c>
      <c r="C24" s="1" t="s">
        <v>198</v>
      </c>
      <c r="D24" s="7" t="str">
        <f>"*"&amp;SUMIFS('BY_S-WH'!$L$2:$L$100,'BY_S-WH'!$C$2:$C$100,EFF!H24,'BY_S-WH'!$A$2:$A$100,"BASE",'BY_S-WH'!$B$2:$B$100,"EFF")</f>
        <v>*0.598349636734699</v>
      </c>
      <c r="F24" s="1" t="str">
        <f>Legend!$C$18</f>
        <v>PU</v>
      </c>
      <c r="G24" s="1" t="str">
        <f>Legend!B34</f>
        <v>OIL</v>
      </c>
      <c r="H24" s="1" t="str">
        <f t="shared" si="7"/>
        <v>S-WH-PU_OIL*</v>
      </c>
    </row>
    <row r="25" spans="1:8" ht="15">
      <c r="A25" s="1" t="s">
        <v>205</v>
      </c>
      <c r="B25" s="1" t="str">
        <f t="shared" si="6"/>
        <v>S-WH-PU_GAS*</v>
      </c>
      <c r="C25" s="1" t="s">
        <v>198</v>
      </c>
      <c r="D25" s="7" t="str">
        <f>"*"&amp;SUMIFS('BY_S-WH'!$L$2:$L$100,'BY_S-WH'!$C$2:$C$100,EFF!H25,'BY_S-WH'!$A$2:$A$100,"BASE",'BY_S-WH'!$B$2:$B$100,"EFF")</f>
        <v>*0.630247578537095</v>
      </c>
      <c r="F25" s="1" t="str">
        <f>Legend!$C$18</f>
        <v>PU</v>
      </c>
      <c r="G25" s="1" t="str">
        <f>Legend!B35</f>
        <v>GAS</v>
      </c>
      <c r="H25" s="1" t="str">
        <f t="shared" si="7"/>
        <v>S-WH-PU_GAS*</v>
      </c>
    </row>
    <row r="26" spans="1:8" ht="15">
      <c r="A26" s="1" t="s">
        <v>205</v>
      </c>
      <c r="B26" s="1" t="str">
        <f t="shared" si="6"/>
        <v>S-WH-PU_BIO*</v>
      </c>
      <c r="C26" s="1" t="s">
        <v>198</v>
      </c>
      <c r="D26" s="7" t="str">
        <f>"*"&amp;SUMIFS('BY_S-WH'!$L$2:$L$100,'BY_S-WH'!$C$2:$C$100,EFF!H26,'BY_S-WH'!$A$2:$A$100,"BASE",'BY_S-WH'!$B$2:$B$100,"EFF")</f>
        <v>*0.33</v>
      </c>
      <c r="F26" s="1" t="str">
        <f>Legend!$C$18</f>
        <v>PU</v>
      </c>
      <c r="G26" s="1" t="str">
        <f>Legend!B36</f>
        <v>BIO</v>
      </c>
      <c r="H26" s="1" t="str">
        <f t="shared" si="7"/>
        <v>S-WH-PU_BIO*</v>
      </c>
    </row>
    <row r="27" spans="1:8" ht="15">
      <c r="A27" s="1" t="s">
        <v>205</v>
      </c>
      <c r="B27" s="1" t="str">
        <f t="shared" si="6"/>
        <v>S-WH-PU_SOL*</v>
      </c>
      <c r="C27" s="1" t="s">
        <v>198</v>
      </c>
      <c r="D27" s="7" t="str">
        <f>"*"&amp;SUMIFS('BY_S-WH'!$L$2:$L$100,'BY_S-WH'!$C$2:$C$100,EFF!H27,'BY_S-WH'!$A$2:$A$100,"BASE",'BY_S-WH'!$B$2:$B$100,"EFF")</f>
        <v>*1</v>
      </c>
      <c r="F27" s="1" t="str">
        <f>Legend!$C$18</f>
        <v>PU</v>
      </c>
      <c r="G27" s="1" t="str">
        <f>Legend!B38</f>
        <v>SOL</v>
      </c>
      <c r="H27" s="1" t="str">
        <f t="shared" si="7"/>
        <v>S-WH-PU_SOL*</v>
      </c>
    </row>
    <row r="28" spans="1:8" ht="15">
      <c r="A28" s="4" t="s">
        <v>205</v>
      </c>
      <c r="B28" s="4" t="str">
        <f t="shared" si="6"/>
        <v>S-WH-PU_ELC*</v>
      </c>
      <c r="C28" s="4" t="s">
        <v>198</v>
      </c>
      <c r="D28" s="8" t="str">
        <f>"*"&amp;SUMIFS('BY_S-WH'!$L$2:$L$100,'BY_S-WH'!$C$2:$C$100,EFF!H28,'BY_S-WH'!$A$2:$A$100,"BASE",'BY_S-WH'!$B$2:$B$100,"EFF")</f>
        <v>*0.779153388160945</v>
      </c>
      <c r="F28" s="4" t="str">
        <f>Legend!$C$18</f>
        <v>PU</v>
      </c>
      <c r="G28" s="4" t="str">
        <f>Legend!B39</f>
        <v>ELC</v>
      </c>
      <c r="H28" s="4" t="str">
        <f t="shared" si="7"/>
        <v>S-WH-PU_ELC*</v>
      </c>
    </row>
    <row r="29" spans="1:8" ht="15">
      <c r="A29" s="1" t="s">
        <v>28</v>
      </c>
      <c r="B29" s="1" t="str">
        <f t="shared" si="6"/>
        <v>S-WH-CS_COA*</v>
      </c>
      <c r="C29" s="1" t="s">
        <v>199</v>
      </c>
      <c r="D29" s="7" t="str">
        <f>"*"&amp;SUMIFS('BY_S-WH'!$L$2:$L$100,'BY_S-WH'!$C$2:$C$100,EFF!H29,'BY_S-WH'!$A$2:$A$100,"BASE",'BY_S-WH'!$B$2:$B$100,"EFF")</f>
        <v>*0.33</v>
      </c>
      <c r="F29" s="1" t="str">
        <f>Legend!$C$17</f>
        <v>CS</v>
      </c>
      <c r="G29" s="1" t="str">
        <f t="shared" si="8" ref="G29:G35">G22</f>
        <v>COA</v>
      </c>
      <c r="H29" s="1" t="str">
        <f t="shared" si="7"/>
        <v>S-WH-CS_COA*</v>
      </c>
    </row>
    <row r="30" spans="1:8" ht="15">
      <c r="A30" s="1" t="s">
        <v>205</v>
      </c>
      <c r="B30" s="1" t="str">
        <f t="shared" si="6"/>
        <v>S-WH-CS_LPG*</v>
      </c>
      <c r="C30" s="1" t="s">
        <v>199</v>
      </c>
      <c r="D30" s="7" t="str">
        <f>"*"&amp;SUMIFS('BY_S-WH'!$L$2:$L$100,'BY_S-WH'!$C$2:$C$100,EFF!H30,'BY_S-WH'!$A$2:$A$100,"BASE",'BY_S-WH'!$B$2:$B$100,"EFF")</f>
        <v>*0.33</v>
      </c>
      <c r="F30" s="1" t="str">
        <f>Legend!$C$17</f>
        <v>CS</v>
      </c>
      <c r="G30" s="1" t="str">
        <f t="shared" si="8"/>
        <v>LPG</v>
      </c>
      <c r="H30" s="1" t="str">
        <f t="shared" si="7"/>
        <v>S-WH-CS_LPG*</v>
      </c>
    </row>
    <row r="31" spans="1:8" ht="15">
      <c r="A31" s="1" t="s">
        <v>28</v>
      </c>
      <c r="B31" s="1" t="str">
        <f t="shared" si="6"/>
        <v>S-WH-CS_OIL*</v>
      </c>
      <c r="C31" s="1" t="s">
        <v>199</v>
      </c>
      <c r="D31" s="7" t="str">
        <f>"*"&amp;SUMIFS('BY_S-WH'!$L$2:$L$100,'BY_S-WH'!$C$2:$C$100,EFF!H31,'BY_S-WH'!$A$2:$A$100,"BASE",'BY_S-WH'!$B$2:$B$100,"EFF")</f>
        <v>*0.598349636734699</v>
      </c>
      <c r="F31" s="1" t="str">
        <f>Legend!$C$17</f>
        <v>CS</v>
      </c>
      <c r="G31" s="1" t="str">
        <f t="shared" si="8"/>
        <v>OIL</v>
      </c>
      <c r="H31" s="1" t="str">
        <f t="shared" si="7"/>
        <v>S-WH-CS_OIL*</v>
      </c>
    </row>
    <row r="32" spans="1:8" ht="15">
      <c r="A32" s="1" t="s">
        <v>205</v>
      </c>
      <c r="B32" s="1" t="str">
        <f t="shared" si="6"/>
        <v>S-WH-CS_GAS*</v>
      </c>
      <c r="C32" s="1" t="s">
        <v>199</v>
      </c>
      <c r="D32" s="7" t="str">
        <f>"*"&amp;SUMIFS('BY_S-WH'!$L$2:$L$100,'BY_S-WH'!$C$2:$C$100,EFF!H32,'BY_S-WH'!$A$2:$A$100,"BASE",'BY_S-WH'!$B$2:$B$100,"EFF")</f>
        <v>*0.630247578537095</v>
      </c>
      <c r="F32" s="1" t="str">
        <f>Legend!$C$17</f>
        <v>CS</v>
      </c>
      <c r="G32" s="1" t="str">
        <f t="shared" si="8"/>
        <v>GAS</v>
      </c>
      <c r="H32" s="1" t="str">
        <f t="shared" si="7"/>
        <v>S-WH-CS_GAS*</v>
      </c>
    </row>
    <row r="33" spans="1:8" ht="15">
      <c r="A33" s="1" t="s">
        <v>205</v>
      </c>
      <c r="B33" s="1" t="str">
        <f t="shared" si="6"/>
        <v>S-WH-CS_BIO*</v>
      </c>
      <c r="C33" s="1" t="s">
        <v>199</v>
      </c>
      <c r="D33" s="7" t="str">
        <f>"*"&amp;SUMIFS('BY_S-WH'!$L$2:$L$100,'BY_S-WH'!$C$2:$C$100,EFF!H33,'BY_S-WH'!$A$2:$A$100,"BASE",'BY_S-WH'!$B$2:$B$100,"EFF")</f>
        <v>*0.33</v>
      </c>
      <c r="F33" s="1" t="str">
        <f>Legend!$C$17</f>
        <v>CS</v>
      </c>
      <c r="G33" s="1" t="str">
        <f t="shared" si="8"/>
        <v>BIO</v>
      </c>
      <c r="H33" s="1" t="str">
        <f t="shared" si="7"/>
        <v>S-WH-CS_BIO*</v>
      </c>
    </row>
    <row r="34" spans="1:8" ht="15">
      <c r="A34" s="1" t="s">
        <v>205</v>
      </c>
      <c r="B34" s="1" t="str">
        <f t="shared" si="6"/>
        <v>S-WH-CS_SOL*</v>
      </c>
      <c r="C34" s="1" t="s">
        <v>199</v>
      </c>
      <c r="D34" s="7" t="str">
        <f>"*"&amp;SUMIFS('BY_S-WH'!$L$2:$L$100,'BY_S-WH'!$C$2:$C$100,EFF!H34,'BY_S-WH'!$A$2:$A$100,"BASE",'BY_S-WH'!$B$2:$B$100,"EFF")</f>
        <v>*1</v>
      </c>
      <c r="F34" s="1" t="str">
        <f>Legend!$C$17</f>
        <v>CS</v>
      </c>
      <c r="G34" s="1" t="str">
        <f t="shared" si="8"/>
        <v>SOL</v>
      </c>
      <c r="H34" s="1" t="str">
        <f t="shared" si="7"/>
        <v>S-WH-CS_SOL*</v>
      </c>
    </row>
    <row r="35" spans="1:8" ht="15">
      <c r="A35" s="4" t="s">
        <v>205</v>
      </c>
      <c r="B35" s="4" t="str">
        <f t="shared" si="6"/>
        <v>S-WH-CS_ELC*</v>
      </c>
      <c r="C35" s="4" t="s">
        <v>199</v>
      </c>
      <c r="D35" s="8" t="str">
        <f>"*"&amp;SUMIFS('BY_S-WH'!$L$2:$L$100,'BY_S-WH'!$C$2:$C$100,EFF!H35,'BY_S-WH'!$A$2:$A$100,"BASE",'BY_S-WH'!$B$2:$B$100,"EFF")</f>
        <v>*0.779153388160945</v>
      </c>
      <c r="F35" s="4" t="str">
        <f>Legend!$C$17</f>
        <v>CS</v>
      </c>
      <c r="G35" s="4" t="str">
        <f t="shared" si="8"/>
        <v>ELC</v>
      </c>
      <c r="H35" s="4" t="str">
        <f t="shared" si="7"/>
        <v>S-WH-CS_ELC*</v>
      </c>
    </row>
    <row r="36" spans="1:8" ht="15">
      <c r="A36" s="9" t="s">
        <v>33</v>
      </c>
      <c r="B36" s="10"/>
      <c r="C36" s="10"/>
      <c r="D36" s="11"/>
      <c r="F36" s="10"/>
      <c r="G36" s="10"/>
      <c r="H36" s="10"/>
    </row>
    <row r="37" spans="1:8" ht="15">
      <c r="A37" s="1" t="s">
        <v>28</v>
      </c>
      <c r="B37" s="1" t="str">
        <f t="shared" si="9" ref="B37:B49">"S-SH-"&amp;F37&amp;"_"&amp;G37&amp;"*"</f>
        <v>S-SH-PU_COA*</v>
      </c>
      <c r="C37" s="1" t="s">
        <v>198</v>
      </c>
      <c r="D37" s="7" t="str">
        <f>"*"&amp;SUMIFS('BY_S-WH'!$L$2:$L$100,'BY_S-WH'!$C$2:$C$100,EFF!H37,'BY_S-WH'!$A$2:$A$100,"BASE",'BY_S-WH'!$B$2:$B$100,"EFF")</f>
        <v>*0.33</v>
      </c>
      <c r="F37" s="1" t="str">
        <f>Legend!$C$18</f>
        <v>PU</v>
      </c>
      <c r="G37" s="1" t="str">
        <f>Legend!B32</f>
        <v>COA</v>
      </c>
      <c r="H37" s="1" t="str">
        <f t="shared" si="10" ref="H37:H48">"S-WH-"&amp;F37&amp;"_"&amp;G37&amp;"*"</f>
        <v>S-WH-PU_COA*</v>
      </c>
    </row>
    <row r="38" spans="1:8" ht="15">
      <c r="A38" s="1" t="s">
        <v>205</v>
      </c>
      <c r="B38" s="1" t="str">
        <f t="shared" si="9"/>
        <v>S-SH-PU_LPG*</v>
      </c>
      <c r="C38" s="1" t="s">
        <v>198</v>
      </c>
      <c r="D38" s="7" t="str">
        <f>"*"&amp;SUMIFS('BY_S-WH'!$L$2:$L$100,'BY_S-WH'!$C$2:$C$100,EFF!H38,'BY_S-WH'!$A$2:$A$100,"BASE",'BY_S-WH'!$B$2:$B$100,"EFF")</f>
        <v>*0.33</v>
      </c>
      <c r="F38" s="1" t="str">
        <f>Legend!$C$18</f>
        <v>PU</v>
      </c>
      <c r="G38" s="1" t="str">
        <f>Legend!B33</f>
        <v>LPG</v>
      </c>
      <c r="H38" s="1" t="str">
        <f t="shared" si="10"/>
        <v>S-WH-PU_LPG*</v>
      </c>
    </row>
    <row r="39" spans="1:8" ht="15">
      <c r="A39" s="1" t="s">
        <v>205</v>
      </c>
      <c r="B39" s="1" t="str">
        <f t="shared" si="9"/>
        <v>S-SH-PU_OIL*</v>
      </c>
      <c r="C39" s="1" t="s">
        <v>198</v>
      </c>
      <c r="D39" s="7" t="str">
        <f>"*"&amp;SUMIFS('BY_S-WH'!$L$2:$L$100,'BY_S-WH'!$C$2:$C$100,EFF!H39,'BY_S-WH'!$A$2:$A$100,"BASE",'BY_S-WH'!$B$2:$B$100,"EFF")</f>
        <v>*0.598349636734699</v>
      </c>
      <c r="F39" s="1" t="str">
        <f>Legend!$C$18</f>
        <v>PU</v>
      </c>
      <c r="G39" s="1" t="str">
        <f>Legend!B34</f>
        <v>OIL</v>
      </c>
      <c r="H39" s="1" t="str">
        <f t="shared" si="10"/>
        <v>S-WH-PU_OIL*</v>
      </c>
    </row>
    <row r="40" spans="1:8" ht="15">
      <c r="A40" s="1" t="s">
        <v>205</v>
      </c>
      <c r="B40" s="1" t="str">
        <f t="shared" si="9"/>
        <v>S-SH-PU_GAS*</v>
      </c>
      <c r="C40" s="1" t="s">
        <v>198</v>
      </c>
      <c r="D40" s="7" t="str">
        <f>"*"&amp;SUMIFS('BY_S-WH'!$L$2:$L$100,'BY_S-WH'!$C$2:$C$100,EFF!H40,'BY_S-WH'!$A$2:$A$100,"BASE",'BY_S-WH'!$B$2:$B$100,"EFF")</f>
        <v>*0.630247578537095</v>
      </c>
      <c r="F40" s="1" t="str">
        <f>Legend!$C$18</f>
        <v>PU</v>
      </c>
      <c r="G40" s="1" t="str">
        <f>Legend!B35</f>
        <v>GAS</v>
      </c>
      <c r="H40" s="1" t="str">
        <f t="shared" si="10"/>
        <v>S-WH-PU_GAS*</v>
      </c>
    </row>
    <row r="41" spans="1:8" ht="15">
      <c r="A41" s="1" t="s">
        <v>205</v>
      </c>
      <c r="B41" s="1" t="str">
        <f t="shared" si="9"/>
        <v>S-SH-PU_BIO*</v>
      </c>
      <c r="C41" s="1" t="s">
        <v>198</v>
      </c>
      <c r="D41" s="7" t="str">
        <f>"*"&amp;SUMIFS('BY_S-WH'!$L$2:$L$100,'BY_S-WH'!$C$2:$C$100,EFF!H41,'BY_S-WH'!$A$2:$A$100,"BASE",'BY_S-WH'!$B$2:$B$100,"EFF")</f>
        <v>*0.33</v>
      </c>
      <c r="F41" s="1" t="str">
        <f>Legend!$C$18</f>
        <v>PU</v>
      </c>
      <c r="G41" s="1" t="str">
        <f>Legend!B36</f>
        <v>BIO</v>
      </c>
      <c r="H41" s="1" t="str">
        <f t="shared" si="10"/>
        <v>S-WH-PU_BIO*</v>
      </c>
    </row>
    <row r="42" spans="1:8" ht="15">
      <c r="A42" s="1" t="s">
        <v>205</v>
      </c>
      <c r="B42" s="1" t="str">
        <f t="shared" si="9"/>
        <v>S-SH-PU_ELC*</v>
      </c>
      <c r="C42" s="1" t="s">
        <v>198</v>
      </c>
      <c r="D42" s="58" t="str">
        <f>"*"&amp;SUMIFS('BY_S-SH'!$L$2:$L$100,'BY_S-SH'!$C$2:$C$100,EFF!H42,'BY_S-SH'!$A$2:$A$100,"BASE",'BY_S-SH'!$B$2:$B$100,"EFF")</f>
        <v>*2.1</v>
      </c>
      <c r="F42" s="1" t="str">
        <f>Legend!$C$18</f>
        <v>PU</v>
      </c>
      <c r="G42" s="1" t="str">
        <f>Legend!B39</f>
        <v>ELC</v>
      </c>
      <c r="H42" s="57" t="str">
        <f>"S-SH-"&amp;F10&amp;"_"&amp;G10&amp;"-HP*"</f>
        <v>S-SH-PU_ELC-HP*</v>
      </c>
    </row>
    <row r="43" spans="1:8" ht="15">
      <c r="A43" s="4" t="s">
        <v>205</v>
      </c>
      <c r="B43" s="4" t="str">
        <f t="shared" si="11" ref="B43">"S-SH-"&amp;F43&amp;"_"&amp;G43&amp;"*"</f>
        <v>S-SH-PU_HET*</v>
      </c>
      <c r="C43" s="4" t="s">
        <v>198</v>
      </c>
      <c r="D43" s="8" t="str">
        <f>"*"&amp;SUMIFS('BY_S-WH'!$L$2:$L$100,'BY_S-WH'!$C$2:$C$100,EFF!H43,'BY_S-WH'!$A$2:$A$100,"BASE",'BY_S-WH'!$B$2:$B$100,"EFF")</f>
        <v>*0.630247578537095</v>
      </c>
      <c r="F43" s="4" t="str">
        <f>Legend!$C$18</f>
        <v>PU</v>
      </c>
      <c r="G43" s="4" t="str">
        <f>Legend!B41</f>
        <v>HET</v>
      </c>
      <c r="H43" s="4" t="str">
        <f>H40</f>
        <v>S-WH-PU_GAS*</v>
      </c>
    </row>
    <row r="44" spans="1:8" ht="15">
      <c r="A44" s="1" t="s">
        <v>28</v>
      </c>
      <c r="B44" s="1" t="str">
        <f t="shared" si="9"/>
        <v>S-SH-CS_COA*</v>
      </c>
      <c r="C44" s="1" t="s">
        <v>199</v>
      </c>
      <c r="D44" s="7" t="str">
        <f>"*"&amp;SUMIFS('BY_S-WH'!$L$2:$L$100,'BY_S-WH'!$C$2:$C$100,EFF!H44,'BY_S-WH'!$A$2:$A$100,"BASE",'BY_S-WH'!$B$2:$B$100,"EFF")</f>
        <v>*0.33</v>
      </c>
      <c r="F44" s="1" t="str">
        <f>Legend!$C$17</f>
        <v>CS</v>
      </c>
      <c r="G44" s="1" t="str">
        <f t="shared" si="12" ref="G44:G50">G37</f>
        <v>COA</v>
      </c>
      <c r="H44" s="1" t="str">
        <f t="shared" si="10"/>
        <v>S-WH-CS_COA*</v>
      </c>
    </row>
    <row r="45" spans="1:8" ht="15">
      <c r="A45" s="1" t="s">
        <v>205</v>
      </c>
      <c r="B45" s="1" t="str">
        <f t="shared" si="9"/>
        <v>S-SH-CS_LPG*</v>
      </c>
      <c r="C45" s="1" t="s">
        <v>199</v>
      </c>
      <c r="D45" s="7" t="str">
        <f>"*"&amp;SUMIFS('BY_S-WH'!$L$2:$L$100,'BY_S-WH'!$C$2:$C$100,EFF!H45,'BY_S-WH'!$A$2:$A$100,"BASE",'BY_S-WH'!$B$2:$B$100,"EFF")</f>
        <v>*0.33</v>
      </c>
      <c r="F45" s="1" t="str">
        <f>Legend!$C$17</f>
        <v>CS</v>
      </c>
      <c r="G45" s="1" t="str">
        <f t="shared" si="12"/>
        <v>LPG</v>
      </c>
      <c r="H45" s="1" t="str">
        <f t="shared" si="10"/>
        <v>S-WH-CS_LPG*</v>
      </c>
    </row>
    <row r="46" spans="1:8" ht="15">
      <c r="A46" s="1" t="s">
        <v>205</v>
      </c>
      <c r="B46" s="1" t="str">
        <f t="shared" si="9"/>
        <v>S-SH-CS_OIL*</v>
      </c>
      <c r="C46" s="1" t="s">
        <v>199</v>
      </c>
      <c r="D46" s="7" t="str">
        <f>"*"&amp;SUMIFS('BY_S-WH'!$L$2:$L$100,'BY_S-WH'!$C$2:$C$100,EFF!H46,'BY_S-WH'!$A$2:$A$100,"BASE",'BY_S-WH'!$B$2:$B$100,"EFF")</f>
        <v>*0.598349636734699</v>
      </c>
      <c r="F46" s="1" t="str">
        <f>Legend!$C$17</f>
        <v>CS</v>
      </c>
      <c r="G46" s="1" t="str">
        <f t="shared" si="12"/>
        <v>OIL</v>
      </c>
      <c r="H46" s="1" t="str">
        <f t="shared" si="10"/>
        <v>S-WH-CS_OIL*</v>
      </c>
    </row>
    <row r="47" spans="1:8" ht="15">
      <c r="A47" s="1" t="s">
        <v>205</v>
      </c>
      <c r="B47" s="1" t="str">
        <f t="shared" si="9"/>
        <v>S-SH-CS_GAS*</v>
      </c>
      <c r="C47" s="1" t="s">
        <v>199</v>
      </c>
      <c r="D47" s="7" t="str">
        <f>"*"&amp;SUMIFS('BY_S-WH'!$L$2:$L$100,'BY_S-WH'!$C$2:$C$100,EFF!H47,'BY_S-WH'!$A$2:$A$100,"BASE",'BY_S-WH'!$B$2:$B$100,"EFF")</f>
        <v>*0.630247578537095</v>
      </c>
      <c r="F47" s="1" t="str">
        <f>Legend!$C$17</f>
        <v>CS</v>
      </c>
      <c r="G47" s="1" t="str">
        <f t="shared" si="12"/>
        <v>GAS</v>
      </c>
      <c r="H47" s="1" t="str">
        <f t="shared" si="10"/>
        <v>S-WH-CS_GAS*</v>
      </c>
    </row>
    <row r="48" spans="1:8" ht="15">
      <c r="A48" s="1" t="s">
        <v>205</v>
      </c>
      <c r="B48" s="1" t="str">
        <f t="shared" si="9"/>
        <v>S-SH-CS_BIO*</v>
      </c>
      <c r="C48" s="1" t="s">
        <v>199</v>
      </c>
      <c r="D48" s="7" t="str">
        <f>"*"&amp;SUMIFS('BY_S-WH'!$L$2:$L$100,'BY_S-WH'!$C$2:$C$100,EFF!H48,'BY_S-WH'!$A$2:$A$100,"BASE",'BY_S-WH'!$B$2:$B$100,"EFF")</f>
        <v>*0.33</v>
      </c>
      <c r="F48" s="1" t="str">
        <f>Legend!$C$17</f>
        <v>CS</v>
      </c>
      <c r="G48" s="1" t="str">
        <f t="shared" si="12"/>
        <v>BIO</v>
      </c>
      <c r="H48" s="1" t="str">
        <f t="shared" si="10"/>
        <v>S-WH-CS_BIO*</v>
      </c>
    </row>
    <row r="49" spans="1:8" ht="15">
      <c r="A49" s="1" t="s">
        <v>205</v>
      </c>
      <c r="B49" s="1" t="str">
        <f t="shared" si="9"/>
        <v>S-SH-CS_ELC*</v>
      </c>
      <c r="C49" s="1" t="s">
        <v>199</v>
      </c>
      <c r="D49" s="58" t="str">
        <f>"*"&amp;SUMIFS('BY_S-SH'!$L$2:$L$100,'BY_S-SH'!$C$2:$C$100,EFF!H49,'BY_S-SH'!$A$2:$A$100,"BASE",'BY_S-SH'!$B$2:$B$100,"EFF")</f>
        <v>*2.1</v>
      </c>
      <c r="F49" s="1" t="str">
        <f>Legend!$C$17</f>
        <v>CS</v>
      </c>
      <c r="G49" s="1" t="str">
        <f t="shared" si="12"/>
        <v>ELC</v>
      </c>
      <c r="H49" s="57" t="str">
        <f>"S-SH-"&amp;F10&amp;"_"&amp;G10&amp;"-HP*"</f>
        <v>S-SH-PU_ELC-HP*</v>
      </c>
    </row>
    <row r="50" spans="1:8" ht="15.75" thickBot="1">
      <c r="A50" s="12" t="s">
        <v>205</v>
      </c>
      <c r="B50" s="12" t="str">
        <f t="shared" si="13" ref="B50">"S-SH-"&amp;F50&amp;"_"&amp;G50&amp;"*"</f>
        <v>S-SH-CS_HET*</v>
      </c>
      <c r="C50" s="12" t="s">
        <v>199</v>
      </c>
      <c r="D50" s="13" t="str">
        <f>"*"&amp;SUMIFS('BY_S-WH'!$L$2:$L$100,'BY_S-WH'!$C$2:$C$100,EFF!H50,'BY_S-WH'!$A$2:$A$100,"BASE",'BY_S-WH'!$B$2:$B$100,"EFF")</f>
        <v>*0.630247578537095</v>
      </c>
      <c r="F50" s="12" t="str">
        <f>Legend!$C$17</f>
        <v>CS</v>
      </c>
      <c r="G50" s="12" t="str">
        <f t="shared" si="12"/>
        <v>HET</v>
      </c>
      <c r="H50" s="12" t="str">
        <f>H47</f>
        <v>S-WH-CS_GAS*</v>
      </c>
    </row>
    <row r="51" spans="1:8" ht="15">
      <c r="A51" s="9" t="s">
        <v>26</v>
      </c>
      <c r="B51" s="10"/>
      <c r="C51" s="10"/>
      <c r="D51" s="11"/>
      <c r="F51" s="10"/>
      <c r="G51" s="10"/>
      <c r="H51" s="10"/>
    </row>
    <row r="52" spans="1:8" ht="15">
      <c r="A52" s="1" t="s">
        <v>205</v>
      </c>
      <c r="B52" s="1" t="str">
        <f>"S-SC-"&amp;F52&amp;"_"&amp;G52&amp;"*"</f>
        <v>S-SC-PU_ELC*</v>
      </c>
      <c r="C52" s="1" t="s">
        <v>200</v>
      </c>
      <c r="D52" s="7" t="str">
        <f>"*"&amp;SUMIFS('BY_S-SC'!$L$2:$L$100,'BY_S-SC'!$C$2:$C$100,EFF!H52,'BY_S-SC'!$A$2:$A$100,"BASE",'BY_S-SC'!$B$2:$B$100,"EFF")</f>
        <v>*2.74664715854102</v>
      </c>
      <c r="F52" s="1" t="str">
        <f>Legend!$C$18</f>
        <v>PU</v>
      </c>
      <c r="G52" s="1" t="s">
        <v>12</v>
      </c>
      <c r="H52" s="1" t="str">
        <f>"S-SC-"&amp;F52&amp;"_"&amp;G52&amp;"*"</f>
        <v>S-SC-PU_ELC*</v>
      </c>
    </row>
    <row r="53" spans="1:8" ht="15">
      <c r="A53" s="4" t="s">
        <v>205</v>
      </c>
      <c r="B53" s="4" t="str">
        <f>"S-SC-"&amp;F53&amp;"_"&amp;G53&amp;"*"</f>
        <v>S-SC-CS_ELC*</v>
      </c>
      <c r="C53" s="4" t="s">
        <v>201</v>
      </c>
      <c r="D53" s="8" t="str">
        <f>"*"&amp;SUMIFS('BY_S-SC'!$L$2:$L$100,'BY_S-SC'!$C$2:$C$100,EFF!H53,'BY_S-SC'!$A$2:$A$100,"BASE",'BY_S-SC'!$B$2:$B$100,"EFF")</f>
        <v>*2.74664715854102</v>
      </c>
      <c r="F53" s="4" t="str">
        <f>Legend!$C$17</f>
        <v>CS</v>
      </c>
      <c r="G53" s="4" t="s">
        <v>12</v>
      </c>
      <c r="H53" s="4" t="str">
        <f>"S-SC-"&amp;F53&amp;"_"&amp;G53&amp;"*"</f>
        <v>S-SC-CS_ELC*</v>
      </c>
    </row>
    <row r="54" spans="1:8" ht="15">
      <c r="A54" s="9" t="s">
        <v>34</v>
      </c>
      <c r="B54" s="10"/>
      <c r="C54" s="10"/>
      <c r="D54" s="11"/>
      <c r="F54" s="10"/>
      <c r="G54" s="10"/>
      <c r="H54" s="10"/>
    </row>
    <row r="55" spans="1:8" ht="15">
      <c r="A55" s="1" t="s">
        <v>205</v>
      </c>
      <c r="B55" s="1" t="str">
        <f t="shared" si="14" ref="B55:B56">"S-SH-"&amp;F55&amp;"_"&amp;G55&amp;"*"</f>
        <v>S-SH-PU_ELC*</v>
      </c>
      <c r="C55" s="1" t="s">
        <v>200</v>
      </c>
      <c r="D55" s="7" t="str">
        <f>"*"&amp;SUMIFS('BY_S-SC'!$L$2:$L$100,'BY_S-SC'!$C$2:$C$100,EFF!H55,'BY_S-SC'!$A$2:$A$100,"BASE",'BY_S-SC'!$B$2:$B$100,"EFF")</f>
        <v>*2.74664715854102</v>
      </c>
      <c r="F55" s="1" t="str">
        <f>Legend!$C$18</f>
        <v>PU</v>
      </c>
      <c r="G55" s="1" t="s">
        <v>12</v>
      </c>
      <c r="H55" s="1" t="str">
        <f>"S-SC-"&amp;F55&amp;"_"&amp;G55&amp;"*"</f>
        <v>S-SC-PU_ELC*</v>
      </c>
    </row>
    <row r="56" spans="1:8" ht="15.75" thickBot="1">
      <c r="A56" s="12" t="s">
        <v>205</v>
      </c>
      <c r="B56" s="12" t="str">
        <f t="shared" si="14"/>
        <v>S-SH-CS_ELC*</v>
      </c>
      <c r="C56" s="12" t="s">
        <v>201</v>
      </c>
      <c r="D56" s="13" t="str">
        <f>"*"&amp;SUMIFS('BY_S-SC'!$L$2:$L$100,'BY_S-SC'!$C$2:$C$100,EFF!H56,'BY_S-SC'!$A$2:$A$100,"BASE",'BY_S-SC'!$B$2:$B$100,"EFF")</f>
        <v>*2.74664715854102</v>
      </c>
      <c r="F56" s="12" t="str">
        <f>Legend!$C$17</f>
        <v>CS</v>
      </c>
      <c r="G56" s="12" t="s">
        <v>12</v>
      </c>
      <c r="H56" s="12" t="str">
        <f>"S-SC-"&amp;F56&amp;"_"&amp;G56&amp;"*"</f>
        <v>S-SC-CS_ELC*</v>
      </c>
    </row>
    <row r="57" spans="1:8" ht="15">
      <c r="A57" s="9" t="s">
        <v>208</v>
      </c>
      <c r="B57" s="10"/>
      <c r="C57" s="10"/>
      <c r="D57" s="11"/>
      <c r="F57" s="10"/>
      <c r="G57" s="10"/>
      <c r="H57" s="10"/>
    </row>
    <row r="58" spans="1:8" ht="15">
      <c r="A58" s="1" t="s">
        <v>125</v>
      </c>
      <c r="B58" s="1" t="str">
        <f t="shared" si="15" ref="B58:B63">"S-"&amp;G58&amp;"-"&amp;F58&amp;"*"</f>
        <v>S-REF-PU*</v>
      </c>
      <c r="D58" s="7" t="str">
        <f>"*"&amp;SUMIFS('BY_S-EAP'!$L$2:$L$100,'BY_S-EAP'!$C$2:$C$100,EFF!H58,'BY_S-EAP'!$A$2:$A$100,"BASE",'BY_S-EAP'!$B$2:$B$100,"EFF")</f>
        <v>*58.0161562800535</v>
      </c>
      <c r="F58" s="1" t="str">
        <f>Legend!$C$18</f>
        <v>PU</v>
      </c>
      <c r="G58" s="1" t="str">
        <f>Legend!$C$26</f>
        <v>REF</v>
      </c>
      <c r="H58" s="1" t="str">
        <f t="shared" si="16" ref="H58:H63">"S-"&amp;G58&amp;"-"&amp;F58&amp;"*"</f>
        <v>S-REF-PU*</v>
      </c>
    </row>
    <row r="59" spans="1:8" ht="15">
      <c r="A59" s="1" t="s">
        <v>125</v>
      </c>
      <c r="B59" s="1" t="str">
        <f t="shared" si="15"/>
        <v>S-REF-CS*</v>
      </c>
      <c r="D59" s="7" t="str">
        <f>"*"&amp;SUMIFS('BY_S-EAP'!$L$2:$L$100,'BY_S-EAP'!$C$2:$C$100,EFF!H59,'BY_S-EAP'!$A$2:$A$100,"BASE",'BY_S-EAP'!$B$2:$B$100,"EFF")</f>
        <v>*33.4915536649298</v>
      </c>
      <c r="F59" s="1" t="str">
        <f>Legend!$C$17</f>
        <v>CS</v>
      </c>
      <c r="G59" s="1" t="str">
        <f>Legend!$C$26</f>
        <v>REF</v>
      </c>
      <c r="H59" s="1" t="str">
        <f t="shared" si="16"/>
        <v>S-REF-CS*</v>
      </c>
    </row>
    <row r="60" spans="1:8" ht="15">
      <c r="A60" s="1" t="s">
        <v>125</v>
      </c>
      <c r="B60" s="1" t="str">
        <f t="shared" si="15"/>
        <v>S-OEL-PU*</v>
      </c>
      <c r="D60" s="7" t="str">
        <f>"*"&amp;SUMIFS('BY_S-EAP'!$L$2:$L$100,'BY_S-EAP'!$C$2:$C$100,EFF!H60,'BY_S-EAP'!$A$2:$A$100,"BASE",'BY_S-EAP'!$B$2:$B$100,"EFF")</f>
        <v>*1</v>
      </c>
      <c r="F60" s="1" t="str">
        <f>Legend!$C$18</f>
        <v>PU</v>
      </c>
      <c r="G60" s="1" t="str">
        <f>Legend!$C$27</f>
        <v>OEL</v>
      </c>
      <c r="H60" s="1" t="str">
        <f t="shared" si="16"/>
        <v>S-OEL-PU*</v>
      </c>
    </row>
    <row r="61" spans="1:8" ht="15">
      <c r="A61" s="1" t="s">
        <v>125</v>
      </c>
      <c r="B61" s="1" t="str">
        <f t="shared" si="15"/>
        <v>S-OEL-CS*</v>
      </c>
      <c r="D61" s="7" t="str">
        <f>"*"&amp;SUMIFS('BY_S-EAP'!$L$2:$L$100,'BY_S-EAP'!$C$2:$C$100,EFF!H61,'BY_S-EAP'!$A$2:$A$100,"BASE",'BY_S-EAP'!$B$2:$B$100,"EFF")</f>
        <v>*1</v>
      </c>
      <c r="F61" s="1" t="str">
        <f>Legend!$C$17</f>
        <v>CS</v>
      </c>
      <c r="G61" s="1" t="str">
        <f>Legend!$C$27</f>
        <v>OEL</v>
      </c>
      <c r="H61" s="1" t="str">
        <f t="shared" si="16"/>
        <v>S-OEL-CS*</v>
      </c>
    </row>
    <row r="62" spans="1:13" ht="15">
      <c r="A62" s="1" t="s">
        <v>125</v>
      </c>
      <c r="B62" s="1" t="str">
        <f t="shared" si="15"/>
        <v>S-LIG-PU*</v>
      </c>
      <c r="D62" s="7" t="str">
        <f>"*"&amp;SUMIFS('BY_S-EAP'!$L$2:$L$100,'BY_S-EAP'!$C$2:$C$100,EFF!H62,'BY_S-EAP'!$A$2:$A$100,"BASE",'BY_S-EAP'!$B$2:$B$100,"EFF")</f>
        <v>*4.3260777448279</v>
      </c>
      <c r="F62" s="1" t="str">
        <f>Legend!$C$18</f>
        <v>PU</v>
      </c>
      <c r="G62" s="1" t="str">
        <f>Legend!$C$25</f>
        <v>LIG</v>
      </c>
      <c r="H62" s="1" t="str">
        <f t="shared" si="16"/>
        <v>S-LIG-PU*</v>
      </c>
      <c r="J62" s="54"/>
      <c r="K62" s="54"/>
      <c r="L62" s="54"/>
      <c r="M62" s="55" t="s">
        <v>211</v>
      </c>
    </row>
    <row r="63" spans="1:13" ht="15">
      <c r="A63" s="1" t="s">
        <v>125</v>
      </c>
      <c r="B63" s="1" t="str">
        <f t="shared" si="15"/>
        <v>S-LIG-CS*</v>
      </c>
      <c r="D63" s="7" t="str">
        <f>"*"&amp;SUMIFS('BY_S-EAP'!$L$2:$L$100,'BY_S-EAP'!$C$2:$C$100,EFF!H63,'BY_S-EAP'!$A$2:$A$100,"BASE",'BY_S-EAP'!$B$2:$B$100,"EFF")</f>
        <v>*2.49735718874874</v>
      </c>
      <c r="F63" s="1" t="str">
        <f>Legend!$C$17</f>
        <v>CS</v>
      </c>
      <c r="G63" s="1" t="str">
        <f>Legend!$C$25</f>
        <v>LIG</v>
      </c>
      <c r="H63" s="1" t="str">
        <f t="shared" si="16"/>
        <v>S-LIG-CS*</v>
      </c>
      <c r="J63" s="54" t="str">
        <f>Legend!$C$18</f>
        <v>PU</v>
      </c>
      <c r="K63" s="54" t="str">
        <f>Legend!$C$29</f>
        <v>PLIG</v>
      </c>
      <c r="L63" s="54" t="str">
        <f>"S-"&amp;K63&amp;"-"&amp;J63&amp;"*X1"</f>
        <v>S-PLIG-PU*X1</v>
      </c>
      <c r="M63" s="56">
        <f>SUMIFS('BY_S-EAP'!$L$2:$L$100,'BY_S-EAP'!$C$2:$C$100,EFF!L63,'BY_S-EAP'!$A$2:$A$100,"BASE",'BY_S-EAP'!$B$2:$B$100,"EFF")*SUMIFS('BY_S-EAP'!$L$2:$L$100,'BY_S-EAP'!$C$2:$C$100,EFF!L63,'BY_S-EAP'!$A$2:$A$100,"BASE",'BY_S-EAP'!$B$2:$B$100,"Stock")</f>
        <v>0.009366584709050458</v>
      </c>
    </row>
    <row r="64" spans="1:13" ht="15">
      <c r="A64" s="1" t="s">
        <v>125</v>
      </c>
      <c r="B64" s="1" t="str">
        <f>"S-"&amp;G64&amp;"-"&amp;F64&amp;"*N1"</f>
        <v>S-PLIG-PU*N1</v>
      </c>
      <c r="D64" s="7" t="str">
        <f>"*"&amp;SUM(M63:M66)/SUMIFS('BY_S-EAP'!$L$2:$L$100,'BY_S-EAP'!$C$2:$C$100,EFF!H64,'BY_S-EAP'!$A$2:$A$100,"BASE",'BY_S-EAP'!$B$2:$B$100,"Stock")</f>
        <v>*0.341834427249415</v>
      </c>
      <c r="F64" s="1" t="str">
        <f>Legend!$C$18</f>
        <v>PU</v>
      </c>
      <c r="G64" s="1" t="str">
        <f>Legend!$C$29</f>
        <v>PLIG</v>
      </c>
      <c r="H64" s="1" t="str">
        <f>"S-"&amp;G64&amp;"-"&amp;F64&amp;"*"</f>
        <v>S-PLIG-PU*</v>
      </c>
      <c r="J64" s="54" t="str">
        <f>Legend!$C$18</f>
        <v>PU</v>
      </c>
      <c r="K64" s="54" t="str">
        <f>Legend!$C$29</f>
        <v>PLIG</v>
      </c>
      <c r="L64" s="54" t="str">
        <f>"S-"&amp;K64&amp;"-"&amp;J64&amp;"*X2"</f>
        <v>S-PLIG-PU*X2</v>
      </c>
      <c r="M64" s="56">
        <f>SUMIFS('BY_S-EAP'!$L$2:$L$100,'BY_S-EAP'!$C$2:$C$100,EFF!L64,'BY_S-EAP'!$A$2:$A$100,"BASE",'BY_S-EAP'!$B$2:$B$100,"EFF")*SUMIFS('BY_S-EAP'!$L$2:$L$100,'BY_S-EAP'!$C$2:$C$100,EFF!L64,'BY_S-EAP'!$A$2:$A$100,"BASE",'BY_S-EAP'!$B$2:$B$100,"Stock")</f>
        <v>0.026860059092129972</v>
      </c>
    </row>
    <row r="65" spans="1:13" ht="15.75" thickBot="1">
      <c r="A65" s="12" t="s">
        <v>125</v>
      </c>
      <c r="B65" s="12" t="str">
        <f>"S-"&amp;G65&amp;"-"&amp;F65&amp;"*N2"</f>
        <v>S-PLIG-PU*N2</v>
      </c>
      <c r="C65" s="12"/>
      <c r="D65" s="13" t="str">
        <f>"*"&amp;SUMIFS('BY_S-EAP'!$L$2:$L$100,'BY_S-EAP'!$C$2:$C$100,EFF!H65,'BY_S-EAP'!$A$2:$A$100,"BASE",'BY_S-EAP'!$B$2:$B$100,"EFF")</f>
        <v>*1.26839167935058</v>
      </c>
      <c r="F65" s="12" t="str">
        <f>Legend!$C$18</f>
        <v>PU</v>
      </c>
      <c r="G65" s="12" t="str">
        <f>Legend!$C$29</f>
        <v>PLIG</v>
      </c>
      <c r="H65" s="12" t="str">
        <f>"S-"&amp;G65&amp;"-"&amp;F65&amp;"*X4"</f>
        <v>S-PLIG-PU*X4</v>
      </c>
      <c r="J65" s="54" t="str">
        <f>Legend!$C$18</f>
        <v>PU</v>
      </c>
      <c r="K65" s="54" t="str">
        <f>Legend!$C$29</f>
        <v>PLIG</v>
      </c>
      <c r="L65" s="54" t="str">
        <f>"S-"&amp;K65&amp;"-"&amp;J65&amp;"*X3"</f>
        <v>S-PLIG-PU*X3</v>
      </c>
      <c r="M65" s="56">
        <f>SUMIFS('BY_S-EAP'!$L$2:$L$100,'BY_S-EAP'!$C$2:$C$100,EFF!L65,'BY_S-EAP'!$A$2:$A$100,"BASE",'BY_S-EAP'!$B$2:$B$100,"EFF")*SUMIFS('BY_S-EAP'!$L$2:$L$100,'BY_S-EAP'!$C$2:$C$100,EFF!L65,'BY_S-EAP'!$A$2:$A$100,"BASE",'BY_S-EAP'!$B$2:$B$100,"Stock")</f>
        <v>0.12176560121765607</v>
      </c>
    </row>
    <row r="66" spans="1:13" ht="15">
      <c r="A66" s="1" t="s">
        <v>28</v>
      </c>
      <c r="J66" s="54" t="str">
        <f>Legend!$C$18</f>
        <v>PU</v>
      </c>
      <c r="K66" s="54" t="str">
        <f>Legend!$C$29</f>
        <v>PLIG</v>
      </c>
      <c r="L66" s="54" t="str">
        <f>"S-"&amp;K66&amp;"-"&amp;J66&amp;"*X4"</f>
        <v>S-PLIG-PU*X4</v>
      </c>
      <c r="M66" s="56">
        <f>SUMIFS('BY_S-EAP'!$L$2:$L$100,'BY_S-EAP'!$C$2:$C$100,EFF!L66,'BY_S-EAP'!$A$2:$A$100,"BASE",'BY_S-EAP'!$B$2:$B$100,"EFF")*SUMIFS('BY_S-EAP'!$L$2:$L$100,'BY_S-EAP'!$C$2:$C$100,EFF!L66,'BY_S-EAP'!$A$2:$A$100,"BASE",'BY_S-EAP'!$B$2:$B$100,"Stock")</f>
        <v>0.0060882800608827838</v>
      </c>
    </row>
    <row r="67" spans="1:1" ht="15">
      <c r="A67" s="1" t="s">
        <v>28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5" tint="0.599990010261536"/>
  </sheetPr>
  <dimension ref="B1:J21"/>
  <sheetViews>
    <sheetView workbookViewId="0" topLeftCell="A1">
      <selection pane="topLeft" activeCell="H23" sqref="H23"/>
    </sheetView>
  </sheetViews>
  <sheetFormatPr defaultColWidth="9.14428571428571" defaultRowHeight="15"/>
  <cols>
    <col min="1" max="1" width="9.14285714285714" style="16"/>
    <col min="2" max="2" width="11" style="16" customWidth="1"/>
    <col min="3" max="3" width="14.4285714285714" style="16" bestFit="1" customWidth="1"/>
    <col min="4" max="4" width="10.5714285714286" style="16" bestFit="1" customWidth="1"/>
    <col min="5" max="5" width="9.14285714285714" style="16"/>
    <col min="6" max="6" width="10.5714285714286" style="16" bestFit="1" customWidth="1"/>
    <col min="7" max="7" width="9.42857142857143" style="16" bestFit="1" customWidth="1"/>
    <col min="8" max="8" width="9.57142857142857" style="16" bestFit="1" customWidth="1"/>
    <col min="9" max="16384" width="9.14285714285714" style="16"/>
  </cols>
  <sheetData>
    <row r="1" spans="2:2" ht="23.25">
      <c r="B1" s="17" t="s">
        <v>13</v>
      </c>
    </row>
    <row r="3" spans="2:10" ht="15">
      <c r="B3" s="6" t="s">
        <v>194</v>
      </c>
      <c r="C3" s="6"/>
      <c r="D3" s="6"/>
      <c r="E3" s="6"/>
      <c r="F3" s="18"/>
      <c r="G3" s="18"/>
      <c r="H3" s="18"/>
      <c r="I3" s="18"/>
      <c r="J3" s="18"/>
    </row>
    <row r="4" spans="2:10" ht="15.75" thickBot="1">
      <c r="B4" s="19" t="s">
        <v>15</v>
      </c>
      <c r="C4" s="19" t="s">
        <v>0</v>
      </c>
      <c r="D4" s="19" t="s">
        <v>1</v>
      </c>
      <c r="E4" s="19" t="s">
        <v>2</v>
      </c>
      <c r="F4" s="19" t="s">
        <v>4</v>
      </c>
      <c r="G4" s="19" t="s">
        <v>5</v>
      </c>
      <c r="H4" s="19" t="s">
        <v>3</v>
      </c>
      <c r="I4" s="19" t="s">
        <v>6</v>
      </c>
      <c r="J4" s="19" t="s">
        <v>7</v>
      </c>
    </row>
    <row r="5" spans="2:10" ht="15">
      <c r="B5" s="18" t="s">
        <v>16</v>
      </c>
      <c r="C5" s="18"/>
      <c r="D5" s="23" t="s">
        <v>14</v>
      </c>
      <c r="E5" s="18">
        <v>2018</v>
      </c>
      <c r="F5" s="18">
        <v>1</v>
      </c>
      <c r="G5" s="20"/>
      <c r="H5" s="20" t="s">
        <v>122</v>
      </c>
      <c r="I5" s="20"/>
      <c r="J5" s="20"/>
    </row>
    <row r="6" spans="2:10" ht="15">
      <c r="B6" s="18" t="s">
        <v>16</v>
      </c>
      <c r="C6" s="18"/>
      <c r="D6" s="23" t="s">
        <v>125</v>
      </c>
      <c r="E6" s="18">
        <v>2018</v>
      </c>
      <c r="F6" s="18">
        <v>1</v>
      </c>
      <c r="G6" s="20"/>
      <c r="H6" s="20" t="s">
        <v>122</v>
      </c>
      <c r="I6" s="20"/>
      <c r="J6" s="20"/>
    </row>
    <row r="7" s="0" customFormat="1" ht="15"/>
    <row r="8" spans="2:10" ht="15">
      <c r="B8" s="6" t="s">
        <v>195</v>
      </c>
      <c r="C8" s="6"/>
      <c r="D8" s="6"/>
      <c r="E8" s="6"/>
      <c r="F8" s="18"/>
      <c r="G8" s="18"/>
      <c r="H8" s="18"/>
      <c r="I8" s="18"/>
      <c r="J8" s="18"/>
    </row>
    <row r="9" spans="2:10" ht="15.75" thickBot="1">
      <c r="B9" s="19" t="s">
        <v>15</v>
      </c>
      <c r="C9" s="19" t="s">
        <v>0</v>
      </c>
      <c r="D9" s="19" t="s">
        <v>1</v>
      </c>
      <c r="E9" s="19" t="s">
        <v>2</v>
      </c>
      <c r="F9" s="19" t="s">
        <v>4</v>
      </c>
      <c r="G9" s="19" t="s">
        <v>5</v>
      </c>
      <c r="H9" s="19" t="s">
        <v>3</v>
      </c>
      <c r="I9" s="19" t="s">
        <v>6</v>
      </c>
      <c r="J9" s="19" t="s">
        <v>7</v>
      </c>
    </row>
    <row r="10" spans="2:10" ht="15">
      <c r="B10" s="18" t="s">
        <v>16</v>
      </c>
      <c r="C10" s="18"/>
      <c r="D10" s="23" t="s">
        <v>14</v>
      </c>
      <c r="E10" s="18">
        <v>2018</v>
      </c>
      <c r="F10" s="18">
        <v>1</v>
      </c>
      <c r="G10" s="20"/>
      <c r="H10" s="20" t="s">
        <v>123</v>
      </c>
      <c r="I10" s="20"/>
      <c r="J10" s="20"/>
    </row>
    <row r="11" spans="2:10" ht="15">
      <c r="B11" s="18" t="s">
        <v>16</v>
      </c>
      <c r="C11" s="18"/>
      <c r="D11" s="23" t="s">
        <v>125</v>
      </c>
      <c r="E11" s="18">
        <v>2018</v>
      </c>
      <c r="F11" s="18">
        <v>1</v>
      </c>
      <c r="G11" s="20"/>
      <c r="H11" s="20" t="s">
        <v>123</v>
      </c>
      <c r="I11" s="20"/>
      <c r="J11" s="20"/>
    </row>
    <row r="12" s="0" customFormat="1" ht="15"/>
    <row r="13" spans="2:10" ht="15">
      <c r="B13" s="6" t="s">
        <v>196</v>
      </c>
      <c r="C13" s="6"/>
      <c r="D13" s="6"/>
      <c r="E13" s="6"/>
      <c r="F13" s="18"/>
      <c r="G13" s="18"/>
      <c r="H13" s="18"/>
      <c r="I13" s="18"/>
      <c r="J13" s="18"/>
    </row>
    <row r="14" spans="2:10" ht="15.75" thickBot="1">
      <c r="B14" s="19" t="s">
        <v>15</v>
      </c>
      <c r="C14" s="19" t="s">
        <v>0</v>
      </c>
      <c r="D14" s="19" t="s">
        <v>1</v>
      </c>
      <c r="E14" s="19" t="s">
        <v>2</v>
      </c>
      <c r="F14" s="19" t="s">
        <v>4</v>
      </c>
      <c r="G14" s="19" t="s">
        <v>5</v>
      </c>
      <c r="H14" s="19" t="s">
        <v>3</v>
      </c>
      <c r="I14" s="19" t="s">
        <v>6</v>
      </c>
      <c r="J14" s="19" t="s">
        <v>7</v>
      </c>
    </row>
    <row r="15" spans="2:10" ht="15">
      <c r="B15" s="18" t="s">
        <v>16</v>
      </c>
      <c r="C15" s="18"/>
      <c r="D15" s="23" t="s">
        <v>14</v>
      </c>
      <c r="E15" s="18">
        <v>2018</v>
      </c>
      <c r="F15" s="18">
        <v>1</v>
      </c>
      <c r="G15" s="20"/>
      <c r="H15" s="20" t="s">
        <v>124</v>
      </c>
      <c r="I15" s="20"/>
      <c r="J15" s="20"/>
    </row>
    <row r="16" spans="2:10" ht="15">
      <c r="B16" s="18" t="s">
        <v>16</v>
      </c>
      <c r="C16" s="18"/>
      <c r="D16" s="23" t="s">
        <v>125</v>
      </c>
      <c r="E16" s="18">
        <v>2018</v>
      </c>
      <c r="F16" s="18">
        <v>1</v>
      </c>
      <c r="G16" s="20"/>
      <c r="H16" s="20" t="s">
        <v>124</v>
      </c>
      <c r="I16" s="20"/>
      <c r="J16" s="20"/>
    </row>
    <row r="18" spans="2:10" ht="15">
      <c r="B18" s="6" t="s">
        <v>206</v>
      </c>
      <c r="C18" s="6"/>
      <c r="D18" s="6"/>
      <c r="E18" s="6"/>
      <c r="F18" s="18"/>
      <c r="G18" s="18"/>
      <c r="H18" s="18"/>
      <c r="I18" s="18"/>
      <c r="J18" s="18"/>
    </row>
    <row r="19" spans="2:10" ht="15.75" thickBot="1">
      <c r="B19" s="19" t="s">
        <v>15</v>
      </c>
      <c r="C19" s="19" t="s">
        <v>0</v>
      </c>
      <c r="D19" s="19" t="s">
        <v>1</v>
      </c>
      <c r="E19" s="19" t="s">
        <v>2</v>
      </c>
      <c r="F19" s="19" t="s">
        <v>4</v>
      </c>
      <c r="G19" s="19" t="s">
        <v>5</v>
      </c>
      <c r="H19" s="19" t="s">
        <v>3</v>
      </c>
      <c r="I19" s="19" t="s">
        <v>6</v>
      </c>
      <c r="J19" s="19" t="s">
        <v>7</v>
      </c>
    </row>
    <row r="20" spans="2:10" ht="15">
      <c r="B20" s="18" t="s">
        <v>16</v>
      </c>
      <c r="C20" s="18"/>
      <c r="D20" s="23" t="s">
        <v>125</v>
      </c>
      <c r="E20" s="18">
        <v>2018</v>
      </c>
      <c r="F20" s="18">
        <v>1</v>
      </c>
      <c r="G20" s="20"/>
      <c r="H20" s="20" t="s">
        <v>207</v>
      </c>
      <c r="I20" s="20"/>
      <c r="J20" s="20"/>
    </row>
    <row r="21" spans="2:10" ht="15">
      <c r="B21" s="18" t="s">
        <v>16</v>
      </c>
      <c r="C21" s="18"/>
      <c r="D21" s="23" t="s">
        <v>209</v>
      </c>
      <c r="E21" s="18">
        <v>2018</v>
      </c>
      <c r="F21" s="18">
        <v>1</v>
      </c>
      <c r="G21" s="20"/>
      <c r="H21" s="20" t="s">
        <v>210</v>
      </c>
      <c r="I21" s="20"/>
      <c r="J21" s="20"/>
    </row>
  </sheetData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17402B-A73C-4EBC-804A-06AD84600B4E}">
  <sheetPr codeName="Sheet5"/>
  <dimension ref="A3:AD37"/>
  <sheetViews>
    <sheetView workbookViewId="0" topLeftCell="A1">
      <selection pane="topLeft" activeCell="C4" sqref="C4"/>
    </sheetView>
  </sheetViews>
  <sheetFormatPr defaultColWidth="9.14428571428571" defaultRowHeight="15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5">
      <c r="C3" s="41" t="str" cm="1">
        <f t="array" ref="C3">INDEX(C5:C7,$A$4)</f>
        <v>IE</v>
      </c>
      <c r="D3" s="41" t="str" cm="1">
        <f t="array" ref="D3">INDEX(D5:D7,$A$4)</f>
        <v>National</v>
      </c>
      <c r="E3" s="41" t="str" cm="1">
        <f t="array" ref="E3">INDEX(E5:E7,$A$4)</f>
        <v>IE-CW</v>
      </c>
      <c r="F3" s="41" t="str" cm="1">
        <f t="array" ref="F3">INDEX(F5:F7,$A$4)</f>
        <v>IE-D</v>
      </c>
      <c r="G3" s="41" t="str" cm="1">
        <f t="array" ref="G3">INDEX(G5:G7,$A$4)</f>
        <v>IE-KE</v>
      </c>
      <c r="H3" s="41" t="str" cm="1">
        <f t="array" ref="H3">INDEX(H5:H7,$A$4)</f>
        <v>IE-KK</v>
      </c>
      <c r="I3" s="41" t="str" cm="1">
        <f t="array" ref="I3">INDEX(I5:I7,$A$4)</f>
        <v>IE-LS</v>
      </c>
      <c r="J3" s="41" t="str" cm="1">
        <f t="array" ref="J3">INDEX(J5:J7,$A$4)</f>
        <v>IE-LD</v>
      </c>
      <c r="K3" s="41" t="str" cm="1">
        <f t="array" ref="K3">INDEX(K5:K7,$A$4)</f>
        <v>IE-LH</v>
      </c>
      <c r="L3" s="41" t="str" cm="1">
        <f t="array" ref="L3">INDEX(L5:L7,$A$4)</f>
        <v>IE-MH</v>
      </c>
      <c r="M3" s="41" t="str" cm="1">
        <f t="array" ref="M3">INDEX(M5:M7,$A$4)</f>
        <v>IE-OY</v>
      </c>
      <c r="N3" s="41" t="str" cm="1">
        <f t="array" ref="N3">INDEX(N5:N7,$A$4)</f>
        <v>IE-WH</v>
      </c>
      <c r="O3" s="41" t="str" cm="1">
        <f t="array" ref="O3">INDEX(O5:O7,$A$4)</f>
        <v>IE-WX</v>
      </c>
      <c r="P3" s="41" t="str" cm="1">
        <f t="array" ref="P3">INDEX(P5:P7,$A$4)</f>
        <v>IE-WW</v>
      </c>
      <c r="Q3" s="41" t="str" cm="1">
        <f t="array" ref="Q3">INDEX(Q5:Q7,$A$4)</f>
        <v>IE-CE</v>
      </c>
      <c r="R3" s="41" t="str" cm="1">
        <f t="array" ref="R3">INDEX(R5:R7,$A$4)</f>
        <v>IE-CO</v>
      </c>
      <c r="S3" s="41" t="str" cm="1">
        <f t="array" ref="S3">INDEX(S5:S7,$A$4)</f>
        <v>IE-KY</v>
      </c>
      <c r="T3" s="41" t="str" cm="1">
        <f t="array" ref="T3">INDEX(T5:T7,$A$4)</f>
        <v>IE-LK</v>
      </c>
      <c r="U3" s="41" t="str" cm="1">
        <f t="array" ref="U3">INDEX(U5:U7,$A$4)</f>
        <v>IE-TA</v>
      </c>
      <c r="V3" s="41" t="str" cm="1">
        <f t="array" ref="V3">INDEX(V5:V7,$A$4)</f>
        <v>IE-WD</v>
      </c>
      <c r="W3" s="41" t="str" cm="1">
        <f t="array" ref="W3">INDEX(W5:W7,$A$4)</f>
        <v>IE-G</v>
      </c>
      <c r="X3" s="41" t="str" cm="1">
        <f t="array" ref="X3">INDEX(X5:X7,$A$4)</f>
        <v>IE-LM</v>
      </c>
      <c r="Y3" s="41" t="str" cm="1">
        <f t="array" ref="Y3">INDEX(Y5:Y7,$A$4)</f>
        <v>IE-MO</v>
      </c>
      <c r="Z3" s="41" t="str" cm="1">
        <f t="array" ref="Z3">INDEX(Z5:Z7,$A$4)</f>
        <v>IE-RN</v>
      </c>
      <c r="AA3" s="41" t="str" cm="1">
        <f t="array" ref="AA3">INDEX(AA5:AA7,$A$4)</f>
        <v>IE-SO</v>
      </c>
      <c r="AB3" s="41" t="str" cm="1">
        <f t="array" ref="AB3">INDEX(AB5:AB7,$A$4)</f>
        <v>IE-CN</v>
      </c>
      <c r="AC3" s="41" t="str" cm="1">
        <f t="array" ref="AC3">INDEX(AC5:AC7,$A$4)</f>
        <v>IE-DL</v>
      </c>
      <c r="AD3" s="41" t="str" cm="1">
        <f t="array" ref="AD3">INDEX(AD5:AD7,$A$4)</f>
        <v>IE-MN</v>
      </c>
    </row>
    <row r="4" spans="1:1" ht="15">
      <c r="A4">
        <v>1</v>
      </c>
    </row>
    <row r="5" spans="1:30" ht="15">
      <c r="A5" t="s">
        <v>126</v>
      </c>
      <c r="C5" s="42" t="s">
        <v>127</v>
      </c>
      <c r="D5" s="42" t="s">
        <v>128</v>
      </c>
      <c r="E5" s="41" t="str">
        <f>Regions!A11</f>
        <v>IE-CW</v>
      </c>
      <c r="F5" s="41" t="str">
        <f>Regions!A16</f>
        <v>IE-D</v>
      </c>
      <c r="G5" s="41" t="str">
        <f>Regions!A19</f>
        <v>IE-KE</v>
      </c>
      <c r="H5" s="41" t="str">
        <f>Regions!A20</f>
        <v>IE-KK</v>
      </c>
      <c r="I5" s="41" t="str">
        <f>Regions!A21</f>
        <v>IE-LS</v>
      </c>
      <c r="J5" s="41" t="str">
        <f>Regions!A24</f>
        <v>IE-LD</v>
      </c>
      <c r="K5" s="41" t="str">
        <f>Regions!A25</f>
        <v>IE-LH</v>
      </c>
      <c r="L5" s="41" t="str">
        <f>Regions!A27</f>
        <v>IE-MH</v>
      </c>
      <c r="M5" s="41" t="str">
        <f>Regions!A29</f>
        <v>IE-OY</v>
      </c>
      <c r="N5" s="41" t="str">
        <f>Regions!A34</f>
        <v>IE-WH</v>
      </c>
      <c r="O5" s="41" t="str">
        <f>Regions!A35</f>
        <v>IE-WX</v>
      </c>
      <c r="P5" s="41" t="str">
        <f>Regions!A36</f>
        <v>IE-WW</v>
      </c>
      <c r="Q5" s="41" t="str">
        <f>Regions!A13</f>
        <v>IE-CE</v>
      </c>
      <c r="R5" s="41" t="str">
        <f>Regions!A14</f>
        <v>IE-CO</v>
      </c>
      <c r="S5" s="41" t="str">
        <f>Regions!A18</f>
        <v>IE-KY</v>
      </c>
      <c r="T5" s="41" t="str">
        <f>Regions!A23</f>
        <v>IE-LK</v>
      </c>
      <c r="U5" s="41" t="str">
        <f>Regions!A32</f>
        <v>IE-TA</v>
      </c>
      <c r="V5" s="41" t="str">
        <f>Regions!A33</f>
        <v>IE-WD</v>
      </c>
      <c r="W5" s="41" t="str">
        <f>Regions!A17</f>
        <v>IE-G</v>
      </c>
      <c r="X5" s="41" t="str">
        <f>Regions!A22</f>
        <v>IE-LM</v>
      </c>
      <c r="Y5" s="41" t="str">
        <f>Regions!A26</f>
        <v>IE-MO</v>
      </c>
      <c r="Z5" s="41" t="str">
        <f>Regions!A30</f>
        <v>IE-RN</v>
      </c>
      <c r="AA5" s="41" t="str">
        <f>Regions!A31</f>
        <v>IE-SO</v>
      </c>
      <c r="AB5" s="41" t="str">
        <f>Regions!A12</f>
        <v>IE-CN</v>
      </c>
      <c r="AC5" s="41" t="str">
        <f>Regions!A15</f>
        <v>IE-DL</v>
      </c>
      <c r="AD5" s="41" t="str">
        <f>Regions!A28</f>
        <v>IE-MN</v>
      </c>
    </row>
    <row r="6" spans="1:30" ht="15">
      <c r="A6" t="s">
        <v>129</v>
      </c>
      <c r="C6" s="41" t="str">
        <f>C5</f>
        <v>IE</v>
      </c>
      <c r="D6" s="41" t="str">
        <f>"*"&amp;D5</f>
        <v>*National</v>
      </c>
      <c r="E6" s="41" t="str">
        <f t="shared" si="0" ref="E6:AD6">"*"&amp;E5</f>
        <v>*IE-CW</v>
      </c>
      <c r="F6" s="41" t="str">
        <f t="shared" si="0"/>
        <v>*IE-D</v>
      </c>
      <c r="G6" s="41" t="str">
        <f t="shared" si="0"/>
        <v>*IE-KE</v>
      </c>
      <c r="H6" s="41" t="str">
        <f t="shared" si="0"/>
        <v>*IE-KK</v>
      </c>
      <c r="I6" s="41" t="str">
        <f t="shared" si="0"/>
        <v>*IE-LS</v>
      </c>
      <c r="J6" s="41" t="str">
        <f t="shared" si="0"/>
        <v>*IE-LD</v>
      </c>
      <c r="K6" s="41" t="str">
        <f t="shared" si="0"/>
        <v>*IE-LH</v>
      </c>
      <c r="L6" s="41" t="str">
        <f t="shared" si="0"/>
        <v>*IE-MH</v>
      </c>
      <c r="M6" s="41" t="str">
        <f t="shared" si="0"/>
        <v>*IE-OY</v>
      </c>
      <c r="N6" s="41" t="str">
        <f t="shared" si="0"/>
        <v>*IE-WH</v>
      </c>
      <c r="O6" s="41" t="str">
        <f t="shared" si="0"/>
        <v>*IE-WX</v>
      </c>
      <c r="P6" s="41" t="str">
        <f t="shared" si="0"/>
        <v>*IE-WW</v>
      </c>
      <c r="Q6" s="41" t="str">
        <f t="shared" si="0"/>
        <v>*IE-CE</v>
      </c>
      <c r="R6" s="41" t="str">
        <f t="shared" si="0"/>
        <v>*IE-CO</v>
      </c>
      <c r="S6" s="41" t="str">
        <f t="shared" si="0"/>
        <v>*IE-KY</v>
      </c>
      <c r="T6" s="41" t="str">
        <f t="shared" si="0"/>
        <v>*IE-LK</v>
      </c>
      <c r="U6" s="41" t="str">
        <f t="shared" si="0"/>
        <v>*IE-TA</v>
      </c>
      <c r="V6" s="41" t="str">
        <f t="shared" si="0"/>
        <v>*IE-WD</v>
      </c>
      <c r="W6" s="41" t="str">
        <f t="shared" si="0"/>
        <v>*IE-G</v>
      </c>
      <c r="X6" s="41" t="str">
        <f t="shared" si="0"/>
        <v>*IE-LM</v>
      </c>
      <c r="Y6" s="41" t="str">
        <f t="shared" si="0"/>
        <v>*IE-MO</v>
      </c>
      <c r="Z6" s="41" t="str">
        <f t="shared" si="0"/>
        <v>*IE-RN</v>
      </c>
      <c r="AA6" s="41" t="str">
        <f t="shared" si="0"/>
        <v>*IE-SO</v>
      </c>
      <c r="AB6" s="41" t="str">
        <f t="shared" si="0"/>
        <v>*IE-CN</v>
      </c>
      <c r="AC6" s="41" t="str">
        <f t="shared" si="0"/>
        <v>*IE-DL</v>
      </c>
      <c r="AD6" s="41" t="str">
        <f t="shared" si="0"/>
        <v>*IE-MN</v>
      </c>
    </row>
    <row r="7" spans="1:30" ht="15">
      <c r="A7" t="s">
        <v>130</v>
      </c>
      <c r="C7" s="41" t="str">
        <f>"*"&amp;C5</f>
        <v>*IE</v>
      </c>
      <c r="D7" s="41" t="str">
        <f>D5</f>
        <v>National</v>
      </c>
      <c r="E7" s="41" t="str">
        <f t="shared" si="1" ref="E7:AD7">E5</f>
        <v>IE-CW</v>
      </c>
      <c r="F7" s="41" t="str">
        <f t="shared" si="1"/>
        <v>IE-D</v>
      </c>
      <c r="G7" s="41" t="str">
        <f t="shared" si="1"/>
        <v>IE-KE</v>
      </c>
      <c r="H7" s="41" t="str">
        <f t="shared" si="1"/>
        <v>IE-KK</v>
      </c>
      <c r="I7" s="41" t="str">
        <f t="shared" si="1"/>
        <v>IE-LS</v>
      </c>
      <c r="J7" s="41" t="str">
        <f t="shared" si="1"/>
        <v>IE-LD</v>
      </c>
      <c r="K7" s="41" t="str">
        <f t="shared" si="1"/>
        <v>IE-LH</v>
      </c>
      <c r="L7" s="41" t="str">
        <f t="shared" si="1"/>
        <v>IE-MH</v>
      </c>
      <c r="M7" s="41" t="str">
        <f t="shared" si="1"/>
        <v>IE-OY</v>
      </c>
      <c r="N7" s="41" t="str">
        <f t="shared" si="1"/>
        <v>IE-WH</v>
      </c>
      <c r="O7" s="41" t="str">
        <f t="shared" si="1"/>
        <v>IE-WX</v>
      </c>
      <c r="P7" s="41" t="str">
        <f t="shared" si="1"/>
        <v>IE-WW</v>
      </c>
      <c r="Q7" s="41" t="str">
        <f t="shared" si="1"/>
        <v>IE-CE</v>
      </c>
      <c r="R7" s="41" t="str">
        <f t="shared" si="1"/>
        <v>IE-CO</v>
      </c>
      <c r="S7" s="41" t="str">
        <f t="shared" si="1"/>
        <v>IE-KY</v>
      </c>
      <c r="T7" s="41" t="str">
        <f t="shared" si="1"/>
        <v>IE-LK</v>
      </c>
      <c r="U7" s="41" t="str">
        <f t="shared" si="1"/>
        <v>IE-TA</v>
      </c>
      <c r="V7" s="41" t="str">
        <f t="shared" si="1"/>
        <v>IE-WD</v>
      </c>
      <c r="W7" s="41" t="str">
        <f t="shared" si="1"/>
        <v>IE-G</v>
      </c>
      <c r="X7" s="41" t="str">
        <f t="shared" si="1"/>
        <v>IE-LM</v>
      </c>
      <c r="Y7" s="41" t="str">
        <f t="shared" si="1"/>
        <v>IE-MO</v>
      </c>
      <c r="Z7" s="41" t="str">
        <f t="shared" si="1"/>
        <v>IE-RN</v>
      </c>
      <c r="AA7" s="41" t="str">
        <f t="shared" si="1"/>
        <v>IE-SO</v>
      </c>
      <c r="AB7" s="41" t="str">
        <f t="shared" si="1"/>
        <v>IE-CN</v>
      </c>
      <c r="AC7" s="41" t="str">
        <f t="shared" si="1"/>
        <v>IE-DL</v>
      </c>
      <c r="AD7" s="41" t="str">
        <f t="shared" si="1"/>
        <v>IE-MN</v>
      </c>
    </row>
    <row r="10" spans="1:2" ht="15.75" thickBot="1">
      <c r="A10" s="43" t="s">
        <v>131</v>
      </c>
      <c r="B10" s="43" t="s">
        <v>132</v>
      </c>
    </row>
    <row r="11" spans="1:2" ht="15">
      <c r="A11" s="44" t="s">
        <v>133</v>
      </c>
      <c r="B11" s="44" t="s">
        <v>134</v>
      </c>
    </row>
    <row r="12" spans="1:2" ht="15">
      <c r="A12" s="45" t="s">
        <v>135</v>
      </c>
      <c r="B12" s="45" t="s">
        <v>136</v>
      </c>
    </row>
    <row r="13" spans="1:2" ht="15">
      <c r="A13" s="45" t="s">
        <v>137</v>
      </c>
      <c r="B13" s="45" t="s">
        <v>138</v>
      </c>
    </row>
    <row r="14" spans="1:2" ht="15">
      <c r="A14" s="45" t="s">
        <v>139</v>
      </c>
      <c r="B14" s="45" t="s">
        <v>140</v>
      </c>
    </row>
    <row r="15" spans="1:2" ht="15">
      <c r="A15" s="45" t="s">
        <v>141</v>
      </c>
      <c r="B15" s="45" t="s">
        <v>142</v>
      </c>
    </row>
    <row r="16" spans="1:2" ht="15">
      <c r="A16" s="45" t="s">
        <v>143</v>
      </c>
      <c r="B16" s="45" t="s">
        <v>144</v>
      </c>
    </row>
    <row r="17" spans="1:2" ht="15">
      <c r="A17" s="45" t="s">
        <v>145</v>
      </c>
      <c r="B17" s="45" t="s">
        <v>146</v>
      </c>
    </row>
    <row r="18" spans="1:2" ht="15">
      <c r="A18" s="45" t="s">
        <v>147</v>
      </c>
      <c r="B18" s="45" t="s">
        <v>148</v>
      </c>
    </row>
    <row r="19" spans="1:2" ht="15">
      <c r="A19" s="45" t="s">
        <v>149</v>
      </c>
      <c r="B19" s="45" t="s">
        <v>150</v>
      </c>
    </row>
    <row r="20" spans="1:2" ht="15">
      <c r="A20" s="45" t="s">
        <v>151</v>
      </c>
      <c r="B20" s="45" t="s">
        <v>152</v>
      </c>
    </row>
    <row r="21" spans="1:2" ht="15">
      <c r="A21" s="45" t="s">
        <v>153</v>
      </c>
      <c r="B21" s="45" t="s">
        <v>154</v>
      </c>
    </row>
    <row r="22" spans="1:2" ht="15">
      <c r="A22" s="45" t="s">
        <v>155</v>
      </c>
      <c r="B22" s="45" t="s">
        <v>156</v>
      </c>
    </row>
    <row r="23" spans="1:2" ht="15">
      <c r="A23" s="45" t="s">
        <v>157</v>
      </c>
      <c r="B23" s="45" t="s">
        <v>158</v>
      </c>
    </row>
    <row r="24" spans="1:2" ht="15">
      <c r="A24" s="45" t="s">
        <v>159</v>
      </c>
      <c r="B24" s="45" t="s">
        <v>160</v>
      </c>
    </row>
    <row r="25" spans="1:2" ht="15">
      <c r="A25" s="45" t="s">
        <v>161</v>
      </c>
      <c r="B25" s="45" t="s">
        <v>162</v>
      </c>
    </row>
    <row r="26" spans="1:2" ht="15">
      <c r="A26" s="45" t="s">
        <v>163</v>
      </c>
      <c r="B26" s="45" t="s">
        <v>164</v>
      </c>
    </row>
    <row r="27" spans="1:2" ht="15">
      <c r="A27" s="45" t="s">
        <v>165</v>
      </c>
      <c r="B27" s="45" t="s">
        <v>166</v>
      </c>
    </row>
    <row r="28" spans="1:2" ht="15">
      <c r="A28" s="45" t="s">
        <v>167</v>
      </c>
      <c r="B28" s="45" t="s">
        <v>168</v>
      </c>
    </row>
    <row r="29" spans="1:2" ht="15">
      <c r="A29" s="45" t="s">
        <v>169</v>
      </c>
      <c r="B29" s="45" t="s">
        <v>170</v>
      </c>
    </row>
    <row r="30" spans="1:2" ht="15">
      <c r="A30" s="45" t="s">
        <v>171</v>
      </c>
      <c r="B30" s="45" t="s">
        <v>172</v>
      </c>
    </row>
    <row r="31" spans="1:2" ht="15">
      <c r="A31" s="45" t="s">
        <v>173</v>
      </c>
      <c r="B31" s="45" t="s">
        <v>174</v>
      </c>
    </row>
    <row r="32" spans="1:2" ht="15">
      <c r="A32" s="45" t="s">
        <v>175</v>
      </c>
      <c r="B32" s="45" t="s">
        <v>176</v>
      </c>
    </row>
    <row r="33" spans="1:2" ht="15">
      <c r="A33" s="45" t="s">
        <v>177</v>
      </c>
      <c r="B33" s="45" t="s">
        <v>178</v>
      </c>
    </row>
    <row r="34" spans="1:2" ht="15">
      <c r="A34" s="45" t="s">
        <v>179</v>
      </c>
      <c r="B34" s="45" t="s">
        <v>180</v>
      </c>
    </row>
    <row r="35" spans="1:2" ht="15">
      <c r="A35" s="45" t="s">
        <v>181</v>
      </c>
      <c r="B35" s="45" t="s">
        <v>182</v>
      </c>
    </row>
    <row r="36" spans="1:2" ht="15">
      <c r="A36" s="45" t="s">
        <v>183</v>
      </c>
      <c r="B36" s="45" t="s">
        <v>184</v>
      </c>
    </row>
    <row r="37" spans="1:1" ht="15">
      <c r="A37" s="46" t="s">
        <v>185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B4249C-0490-477F-A930-E3E0809B104E}">
  <sheetPr codeName="Sheet6"/>
  <dimension ref="B3:AA7"/>
  <sheetViews>
    <sheetView workbookViewId="0" topLeftCell="A1">
      <selection pane="topLeft" activeCell="G4" sqref="G4"/>
    </sheetView>
  </sheetViews>
  <sheetFormatPr defaultColWidth="9.14428571428571" defaultRowHeight="15"/>
  <cols>
    <col min="1" max="1" width="2.42857142857143" customWidth="1"/>
    <col min="2" max="2" width="10" customWidth="1"/>
    <col min="3" max="3" width="23.4285714285714" bestFit="1" customWidth="1"/>
    <col min="4" max="4" width="9.42857142857143" bestFit="1" customWidth="1"/>
    <col min="5" max="5" width="9.57142857142857" bestFit="1" customWidth="1"/>
    <col min="6" max="6" width="8.57142857142857" bestFit="1" customWidth="1"/>
    <col min="7" max="7" width="8.57142857142857" customWidth="1"/>
    <col min="8" max="8" width="2.57142857142857" style="48" bestFit="1" customWidth="1"/>
    <col min="9" max="9" width="8.57142857142857" style="48" bestFit="1" customWidth="1"/>
    <col min="10" max="11" width="3.57142857142857" style="48" bestFit="1" customWidth="1"/>
    <col min="12" max="13" width="3.42857142857143" style="48" bestFit="1" customWidth="1"/>
    <col min="14" max="15" width="3.57142857142857" style="48" bestFit="1" customWidth="1"/>
    <col min="16" max="17" width="3.42857142857143" style="48" bestFit="1" customWidth="1"/>
    <col min="18" max="18" width="2.57142857142857" style="48" bestFit="1" customWidth="1"/>
    <col min="19" max="19" width="3.42857142857143" style="48" bestFit="1" customWidth="1"/>
    <col min="20" max="21" width="3.57142857142857" style="48" bestFit="1" customWidth="1"/>
    <col min="22" max="24" width="2.57142857142857" style="48" bestFit="1" customWidth="1"/>
    <col min="25" max="27" width="3.42857142857143" style="48" bestFit="1" customWidth="1"/>
    <col min="28" max="28" width="3.57142857142857" bestFit="1" customWidth="1"/>
    <col min="29" max="29" width="3.42857142857143" bestFit="1" customWidth="1"/>
    <col min="30" max="30" width="3.57142857142857" bestFit="1" customWidth="1"/>
    <col min="31" max="32" width="3.42857142857143" bestFit="1" customWidth="1"/>
    <col min="33" max="33" width="3.57142857142857" bestFit="1" customWidth="1"/>
    <col min="34" max="34" width="3.42857142857143" bestFit="1" customWidth="1"/>
    <col min="35" max="35" width="2.57142857142857" bestFit="1" customWidth="1"/>
    <col min="36" max="37" width="3.57142857142857" bestFit="1" customWidth="1"/>
  </cols>
  <sheetData>
    <row r="3" spans="2:27" ht="15">
      <c r="B3" s="47" t="s">
        <v>186</v>
      </c>
      <c r="I3" s="49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2:27" ht="15.75" thickBot="1">
      <c r="B4" s="50" t="s">
        <v>187</v>
      </c>
      <c r="C4" s="50" t="s">
        <v>8</v>
      </c>
      <c r="D4" s="50" t="s">
        <v>188</v>
      </c>
      <c r="E4" s="50" t="s">
        <v>189</v>
      </c>
      <c r="F4" s="51" t="s">
        <v>190</v>
      </c>
      <c r="G4" s="51" t="s">
        <v>191</v>
      </c>
      <c r="H4" s="51" t="str">
        <f>Regions!C3</f>
        <v>IE</v>
      </c>
      <c r="I4" s="52" t="str">
        <f>Regions!D3</f>
        <v>National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3:27" ht="15">
      <c r="C5" s="53" t="s">
        <v>28</v>
      </c>
      <c r="G5">
        <v>0</v>
      </c>
      <c r="H5">
        <v>1</v>
      </c>
      <c r="I5" s="49">
        <v>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0:27" ht="15"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0:27" ht="15"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</sheetData>
  <pageMargins left="0.75" right="0.75" top="1" bottom="1" header="0.5" footer="0.5"/>
  <pageSetup orientation="portrait" paperSize="9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N33"/>
  <sheetViews>
    <sheetView workbookViewId="0" topLeftCell="A1">
      <selection pane="topLeft" activeCell="D33" sqref="D33"/>
    </sheetView>
  </sheetViews>
  <sheetFormatPr defaultRowHeight="15"/>
  <cols>
    <col min="3" max="3" width="18.5714285714286" bestFit="1" customWidth="1"/>
  </cols>
  <sheetData>
    <row r="1" spans="1:14" ht="1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127</v>
      </c>
      <c r="M1" t="s">
        <v>128</v>
      </c>
      <c r="N1" t="s">
        <v>273</v>
      </c>
    </row>
    <row r="2" spans="1:14" ht="15">
      <c r="A2" t="s">
        <v>16</v>
      </c>
      <c r="B2" t="s">
        <v>14</v>
      </c>
      <c r="C2" t="s">
        <v>244</v>
      </c>
      <c r="D2" t="s">
        <v>227</v>
      </c>
      <c r="E2" t="s">
        <v>228</v>
      </c>
      <c r="F2" t="s">
        <v>227</v>
      </c>
      <c r="G2" t="s">
        <v>229</v>
      </c>
      <c r="H2" t="s">
        <v>227</v>
      </c>
      <c r="I2" t="s">
        <v>227</v>
      </c>
      <c r="J2" t="s">
        <v>227</v>
      </c>
      <c r="K2" t="s">
        <v>227</v>
      </c>
      <c r="L2">
        <v>0.114155251141553</v>
      </c>
      <c r="M2">
        <v>0.114155251141553</v>
      </c>
      <c r="N2" t="s">
        <v>227</v>
      </c>
    </row>
    <row r="3" spans="1:14" ht="15">
      <c r="A3" t="s">
        <v>16</v>
      </c>
      <c r="B3" t="s">
        <v>14</v>
      </c>
      <c r="C3" t="s">
        <v>243</v>
      </c>
      <c r="D3" t="s">
        <v>227</v>
      </c>
      <c r="E3" t="s">
        <v>228</v>
      </c>
      <c r="F3" t="s">
        <v>227</v>
      </c>
      <c r="G3" t="s">
        <v>229</v>
      </c>
      <c r="H3" t="s">
        <v>227</v>
      </c>
      <c r="I3" t="s">
        <v>227</v>
      </c>
      <c r="J3" t="s">
        <v>227</v>
      </c>
      <c r="K3" t="s">
        <v>227</v>
      </c>
      <c r="L3">
        <v>0.114155251141553</v>
      </c>
      <c r="M3">
        <v>0.114155251141553</v>
      </c>
      <c r="N3" t="s">
        <v>227</v>
      </c>
    </row>
    <row r="4" spans="1:14" ht="15">
      <c r="A4" t="s">
        <v>16</v>
      </c>
      <c r="B4" t="s">
        <v>14</v>
      </c>
      <c r="C4" t="s">
        <v>242</v>
      </c>
      <c r="D4" t="s">
        <v>227</v>
      </c>
      <c r="E4" t="s">
        <v>228</v>
      </c>
      <c r="F4" t="s">
        <v>227</v>
      </c>
      <c r="G4" t="s">
        <v>229</v>
      </c>
      <c r="H4" t="s">
        <v>227</v>
      </c>
      <c r="I4" t="s">
        <v>227</v>
      </c>
      <c r="J4" t="s">
        <v>227</v>
      </c>
      <c r="K4" t="s">
        <v>227</v>
      </c>
      <c r="L4">
        <v>0.114155251141553</v>
      </c>
      <c r="M4">
        <v>0.114155251141553</v>
      </c>
      <c r="N4" t="s">
        <v>227</v>
      </c>
    </row>
    <row r="5" spans="1:14" ht="15">
      <c r="A5" t="s">
        <v>16</v>
      </c>
      <c r="B5" t="s">
        <v>14</v>
      </c>
      <c r="C5" t="s">
        <v>241</v>
      </c>
      <c r="D5" t="s">
        <v>227</v>
      </c>
      <c r="E5" t="s">
        <v>228</v>
      </c>
      <c r="F5" t="s">
        <v>227</v>
      </c>
      <c r="G5" t="s">
        <v>229</v>
      </c>
      <c r="H5" t="s">
        <v>227</v>
      </c>
      <c r="I5" t="s">
        <v>227</v>
      </c>
      <c r="J5" t="s">
        <v>227</v>
      </c>
      <c r="K5" t="s">
        <v>227</v>
      </c>
      <c r="L5">
        <v>0.114155251141553</v>
      </c>
      <c r="M5">
        <v>0.114155251141553</v>
      </c>
      <c r="N5" t="s">
        <v>227</v>
      </c>
    </row>
    <row r="6" spans="1:14" ht="15">
      <c r="A6" t="s">
        <v>16</v>
      </c>
      <c r="B6" t="s">
        <v>14</v>
      </c>
      <c r="C6" t="s">
        <v>240</v>
      </c>
      <c r="D6" t="s">
        <v>227</v>
      </c>
      <c r="E6" t="s">
        <v>228</v>
      </c>
      <c r="F6" t="s">
        <v>227</v>
      </c>
      <c r="G6" t="s">
        <v>229</v>
      </c>
      <c r="H6" t="s">
        <v>227</v>
      </c>
      <c r="I6" t="s">
        <v>227</v>
      </c>
      <c r="J6" t="s">
        <v>227</v>
      </c>
      <c r="K6" t="s">
        <v>227</v>
      </c>
      <c r="L6">
        <v>0.114155251141553</v>
      </c>
      <c r="M6">
        <v>0.114155251141553</v>
      </c>
      <c r="N6" t="s">
        <v>227</v>
      </c>
    </row>
    <row r="7" spans="1:14" ht="15">
      <c r="A7" t="s">
        <v>16</v>
      </c>
      <c r="B7" t="s">
        <v>14</v>
      </c>
      <c r="C7" t="s">
        <v>239</v>
      </c>
      <c r="D7" t="s">
        <v>227</v>
      </c>
      <c r="E7" t="s">
        <v>228</v>
      </c>
      <c r="F7" t="s">
        <v>227</v>
      </c>
      <c r="G7" t="s">
        <v>229</v>
      </c>
      <c r="H7" t="s">
        <v>227</v>
      </c>
      <c r="I7" t="s">
        <v>227</v>
      </c>
      <c r="J7" t="s">
        <v>227</v>
      </c>
      <c r="K7" t="s">
        <v>227</v>
      </c>
      <c r="L7">
        <v>0.114155251141553</v>
      </c>
      <c r="M7">
        <v>0.114155251141553</v>
      </c>
      <c r="N7" t="s">
        <v>227</v>
      </c>
    </row>
    <row r="8" spans="1:14" ht="15">
      <c r="A8" t="s">
        <v>16</v>
      </c>
      <c r="B8" t="s">
        <v>14</v>
      </c>
      <c r="C8" t="s">
        <v>238</v>
      </c>
      <c r="D8" t="s">
        <v>227</v>
      </c>
      <c r="E8" t="s">
        <v>228</v>
      </c>
      <c r="F8" t="s">
        <v>227</v>
      </c>
      <c r="G8" t="s">
        <v>229</v>
      </c>
      <c r="H8" t="s">
        <v>227</v>
      </c>
      <c r="I8" t="s">
        <v>227</v>
      </c>
      <c r="J8" t="s">
        <v>227</v>
      </c>
      <c r="K8" t="s">
        <v>227</v>
      </c>
      <c r="L8">
        <v>0.116438356164384</v>
      </c>
      <c r="M8">
        <v>0.116438356164384</v>
      </c>
      <c r="N8" t="s">
        <v>227</v>
      </c>
    </row>
    <row r="9" spans="1:14" ht="15">
      <c r="A9" t="s">
        <v>16</v>
      </c>
      <c r="B9" t="s">
        <v>14</v>
      </c>
      <c r="C9" t="s">
        <v>237</v>
      </c>
      <c r="D9" t="s">
        <v>227</v>
      </c>
      <c r="E9" t="s">
        <v>228</v>
      </c>
      <c r="F9" t="s">
        <v>227</v>
      </c>
      <c r="G9" t="s">
        <v>229</v>
      </c>
      <c r="H9" t="s">
        <v>227</v>
      </c>
      <c r="I9" t="s">
        <v>227</v>
      </c>
      <c r="J9" t="s">
        <v>227</v>
      </c>
      <c r="K9" t="s">
        <v>227</v>
      </c>
      <c r="L9">
        <v>0.114155251141553</v>
      </c>
      <c r="M9">
        <v>0.114155251141553</v>
      </c>
      <c r="N9" t="s">
        <v>227</v>
      </c>
    </row>
    <row r="10" spans="1:14" ht="15">
      <c r="A10" t="s">
        <v>16</v>
      </c>
      <c r="B10" t="s">
        <v>14</v>
      </c>
      <c r="C10" t="s">
        <v>236</v>
      </c>
      <c r="D10" t="s">
        <v>227</v>
      </c>
      <c r="E10" t="s">
        <v>228</v>
      </c>
      <c r="F10" t="s">
        <v>227</v>
      </c>
      <c r="G10" t="s">
        <v>229</v>
      </c>
      <c r="H10" t="s">
        <v>227</v>
      </c>
      <c r="I10" t="s">
        <v>227</v>
      </c>
      <c r="J10" t="s">
        <v>227</v>
      </c>
      <c r="K10" t="s">
        <v>227</v>
      </c>
      <c r="L10">
        <v>0.114155251141553</v>
      </c>
      <c r="M10">
        <v>0.114155251141553</v>
      </c>
      <c r="N10" t="s">
        <v>227</v>
      </c>
    </row>
    <row r="11" spans="1:14" ht="15">
      <c r="A11" t="s">
        <v>16</v>
      </c>
      <c r="B11" t="s">
        <v>14</v>
      </c>
      <c r="C11" t="s">
        <v>235</v>
      </c>
      <c r="D11" t="s">
        <v>227</v>
      </c>
      <c r="E11" t="s">
        <v>228</v>
      </c>
      <c r="F11" t="s">
        <v>227</v>
      </c>
      <c r="G11" t="s">
        <v>229</v>
      </c>
      <c r="H11" t="s">
        <v>227</v>
      </c>
      <c r="I11" t="s">
        <v>227</v>
      </c>
      <c r="J11" t="s">
        <v>227</v>
      </c>
      <c r="K11" t="s">
        <v>227</v>
      </c>
      <c r="L11">
        <v>0.114155251141553</v>
      </c>
      <c r="M11">
        <v>0.114155251141553</v>
      </c>
      <c r="N11" t="s">
        <v>227</v>
      </c>
    </row>
    <row r="12" spans="1:14" ht="15">
      <c r="A12" t="s">
        <v>16</v>
      </c>
      <c r="B12" t="s">
        <v>14</v>
      </c>
      <c r="C12" t="s">
        <v>234</v>
      </c>
      <c r="D12" t="s">
        <v>227</v>
      </c>
      <c r="E12" t="s">
        <v>228</v>
      </c>
      <c r="F12" t="s">
        <v>227</v>
      </c>
      <c r="G12" t="s">
        <v>229</v>
      </c>
      <c r="H12" t="s">
        <v>227</v>
      </c>
      <c r="I12" t="s">
        <v>227</v>
      </c>
      <c r="J12" t="s">
        <v>227</v>
      </c>
      <c r="K12" t="s">
        <v>227</v>
      </c>
      <c r="L12">
        <v>0.114155251141553</v>
      </c>
      <c r="M12">
        <v>0.114155251141553</v>
      </c>
      <c r="N12" t="s">
        <v>227</v>
      </c>
    </row>
    <row r="13" spans="1:14" ht="15">
      <c r="A13" t="s">
        <v>16</v>
      </c>
      <c r="B13" t="s">
        <v>14</v>
      </c>
      <c r="C13" t="s">
        <v>233</v>
      </c>
      <c r="D13" t="s">
        <v>227</v>
      </c>
      <c r="E13" t="s">
        <v>228</v>
      </c>
      <c r="F13" t="s">
        <v>227</v>
      </c>
      <c r="G13" t="s">
        <v>229</v>
      </c>
      <c r="H13" t="s">
        <v>227</v>
      </c>
      <c r="I13" t="s">
        <v>227</v>
      </c>
      <c r="J13" t="s">
        <v>227</v>
      </c>
      <c r="K13" t="s">
        <v>227</v>
      </c>
      <c r="L13">
        <v>0.114155251141553</v>
      </c>
      <c r="M13">
        <v>0.114155251141553</v>
      </c>
      <c r="N13" t="s">
        <v>227</v>
      </c>
    </row>
    <row r="14" spans="1:14" ht="15">
      <c r="A14" t="s">
        <v>16</v>
      </c>
      <c r="B14" t="s">
        <v>14</v>
      </c>
      <c r="C14" t="s">
        <v>232</v>
      </c>
      <c r="D14" t="s">
        <v>227</v>
      </c>
      <c r="E14" t="s">
        <v>228</v>
      </c>
      <c r="F14" t="s">
        <v>227</v>
      </c>
      <c r="G14" t="s">
        <v>229</v>
      </c>
      <c r="H14" t="s">
        <v>227</v>
      </c>
      <c r="I14" t="s">
        <v>227</v>
      </c>
      <c r="J14" t="s">
        <v>227</v>
      </c>
      <c r="K14" t="s">
        <v>227</v>
      </c>
      <c r="L14">
        <v>0.114155251141553</v>
      </c>
      <c r="M14">
        <v>0.114155251141553</v>
      </c>
      <c r="N14" t="s">
        <v>227</v>
      </c>
    </row>
    <row r="15" spans="1:14" ht="15">
      <c r="A15" t="s">
        <v>16</v>
      </c>
      <c r="B15" t="s">
        <v>14</v>
      </c>
      <c r="C15" t="s">
        <v>231</v>
      </c>
      <c r="D15" t="s">
        <v>227</v>
      </c>
      <c r="E15" t="s">
        <v>228</v>
      </c>
      <c r="F15" t="s">
        <v>227</v>
      </c>
      <c r="G15" t="s">
        <v>229</v>
      </c>
      <c r="H15" t="s">
        <v>227</v>
      </c>
      <c r="I15" t="s">
        <v>227</v>
      </c>
      <c r="J15" t="s">
        <v>227</v>
      </c>
      <c r="K15" t="s">
        <v>227</v>
      </c>
      <c r="L15">
        <v>0.114155251141553</v>
      </c>
      <c r="M15">
        <v>0.114155251141553</v>
      </c>
      <c r="N15" t="s">
        <v>227</v>
      </c>
    </row>
    <row r="16" spans="1:14" ht="15">
      <c r="A16" t="s">
        <v>16</v>
      </c>
      <c r="B16" t="s">
        <v>14</v>
      </c>
      <c r="C16" t="s">
        <v>230</v>
      </c>
      <c r="D16" t="s">
        <v>227</v>
      </c>
      <c r="E16" t="s">
        <v>228</v>
      </c>
      <c r="F16" t="s">
        <v>227</v>
      </c>
      <c r="G16" t="s">
        <v>229</v>
      </c>
      <c r="H16" t="s">
        <v>227</v>
      </c>
      <c r="I16" t="s">
        <v>227</v>
      </c>
      <c r="J16" t="s">
        <v>227</v>
      </c>
      <c r="K16" t="s">
        <v>227</v>
      </c>
      <c r="L16">
        <v>0.114155251141553</v>
      </c>
      <c r="M16">
        <v>0.114155251141553</v>
      </c>
      <c r="N16" t="s">
        <v>227</v>
      </c>
    </row>
    <row r="17" spans="1:14" ht="15">
      <c r="A17" t="s">
        <v>16</v>
      </c>
      <c r="B17" t="s">
        <v>14</v>
      </c>
      <c r="C17" t="s">
        <v>274</v>
      </c>
      <c r="D17" t="s">
        <v>227</v>
      </c>
      <c r="E17" t="s">
        <v>228</v>
      </c>
      <c r="F17" t="s">
        <v>227</v>
      </c>
      <c r="G17" t="s">
        <v>229</v>
      </c>
      <c r="H17" t="s">
        <v>227</v>
      </c>
      <c r="I17" t="s">
        <v>227</v>
      </c>
      <c r="J17" t="s">
        <v>227</v>
      </c>
      <c r="K17" t="s">
        <v>227</v>
      </c>
      <c r="L17">
        <v>0.114155251141553</v>
      </c>
      <c r="M17">
        <v>0.114155251141553</v>
      </c>
      <c r="N17" t="s">
        <v>227</v>
      </c>
    </row>
    <row r="18" spans="1:14" ht="15">
      <c r="A18" t="s">
        <v>16</v>
      </c>
      <c r="B18" t="s">
        <v>125</v>
      </c>
      <c r="C18" t="s">
        <v>244</v>
      </c>
      <c r="D18" t="s">
        <v>227</v>
      </c>
      <c r="E18" t="s">
        <v>227</v>
      </c>
      <c r="F18" t="s">
        <v>245</v>
      </c>
      <c r="G18" t="s">
        <v>229</v>
      </c>
      <c r="H18" t="s">
        <v>227</v>
      </c>
      <c r="I18" t="s">
        <v>227</v>
      </c>
      <c r="J18" t="s">
        <v>227</v>
      </c>
      <c r="K18" t="s">
        <v>227</v>
      </c>
      <c r="L18">
        <v>0.63490443337371305</v>
      </c>
      <c r="M18">
        <v>0.63490443337371305</v>
      </c>
      <c r="N18" t="s">
        <v>227</v>
      </c>
    </row>
    <row r="19" spans="1:14" ht="15">
      <c r="A19" t="s">
        <v>16</v>
      </c>
      <c r="B19" t="s">
        <v>125</v>
      </c>
      <c r="C19" t="s">
        <v>243</v>
      </c>
      <c r="D19" t="s">
        <v>227</v>
      </c>
      <c r="E19" t="s">
        <v>227</v>
      </c>
      <c r="F19" t="s">
        <v>245</v>
      </c>
      <c r="G19" t="s">
        <v>229</v>
      </c>
      <c r="H19" t="s">
        <v>227</v>
      </c>
      <c r="I19" t="s">
        <v>227</v>
      </c>
      <c r="J19" t="s">
        <v>227</v>
      </c>
      <c r="K19" t="s">
        <v>227</v>
      </c>
      <c r="L19">
        <v>0.33000000000000002</v>
      </c>
      <c r="M19">
        <v>0.33000000000000002</v>
      </c>
      <c r="N19" t="s">
        <v>227</v>
      </c>
    </row>
    <row r="20" spans="1:14" ht="15">
      <c r="A20" t="s">
        <v>16</v>
      </c>
      <c r="B20" t="s">
        <v>125</v>
      </c>
      <c r="C20" t="s">
        <v>242</v>
      </c>
      <c r="D20" t="s">
        <v>227</v>
      </c>
      <c r="E20" t="s">
        <v>227</v>
      </c>
      <c r="F20" t="s">
        <v>245</v>
      </c>
      <c r="G20" t="s">
        <v>229</v>
      </c>
      <c r="H20" t="s">
        <v>227</v>
      </c>
      <c r="I20" t="s">
        <v>227</v>
      </c>
      <c r="J20" t="s">
        <v>227</v>
      </c>
      <c r="K20" t="s">
        <v>227</v>
      </c>
      <c r="L20">
        <v>2.1000000000000001</v>
      </c>
      <c r="M20">
        <v>2.1000000000000001</v>
      </c>
      <c r="N20" t="s">
        <v>227</v>
      </c>
    </row>
    <row r="21" spans="1:14" ht="15">
      <c r="A21" t="s">
        <v>16</v>
      </c>
      <c r="B21" t="s">
        <v>125</v>
      </c>
      <c r="C21" t="s">
        <v>241</v>
      </c>
      <c r="D21" t="s">
        <v>227</v>
      </c>
      <c r="E21" t="s">
        <v>227</v>
      </c>
      <c r="F21" t="s">
        <v>245</v>
      </c>
      <c r="G21" t="s">
        <v>229</v>
      </c>
      <c r="H21" t="s">
        <v>227</v>
      </c>
      <c r="I21" t="s">
        <v>227</v>
      </c>
      <c r="J21" t="s">
        <v>227</v>
      </c>
      <c r="K21" t="s">
        <v>227</v>
      </c>
      <c r="L21">
        <v>0.81595511259153497</v>
      </c>
      <c r="M21">
        <v>0.81595511259153497</v>
      </c>
      <c r="N21" t="s">
        <v>227</v>
      </c>
    </row>
    <row r="22" spans="1:14" ht="15">
      <c r="A22" t="s">
        <v>16</v>
      </c>
      <c r="B22" t="s">
        <v>125</v>
      </c>
      <c r="C22" t="s">
        <v>240</v>
      </c>
      <c r="D22" t="s">
        <v>227</v>
      </c>
      <c r="E22" t="s">
        <v>227</v>
      </c>
      <c r="F22" t="s">
        <v>245</v>
      </c>
      <c r="G22" t="s">
        <v>229</v>
      </c>
      <c r="H22" t="s">
        <v>227</v>
      </c>
      <c r="I22" t="s">
        <v>227</v>
      </c>
      <c r="J22" t="s">
        <v>227</v>
      </c>
      <c r="K22" t="s">
        <v>227</v>
      </c>
      <c r="L22">
        <v>0.77299617086321304</v>
      </c>
      <c r="M22">
        <v>0.77299617086321304</v>
      </c>
      <c r="N22" t="s">
        <v>227</v>
      </c>
    </row>
    <row r="23" spans="1:14" ht="15">
      <c r="A23" t="s">
        <v>16</v>
      </c>
      <c r="B23" t="s">
        <v>125</v>
      </c>
      <c r="C23" t="s">
        <v>239</v>
      </c>
      <c r="D23" t="s">
        <v>227</v>
      </c>
      <c r="E23" t="s">
        <v>227</v>
      </c>
      <c r="F23" t="s">
        <v>245</v>
      </c>
      <c r="G23" t="s">
        <v>229</v>
      </c>
      <c r="H23" t="s">
        <v>227</v>
      </c>
      <c r="I23" t="s">
        <v>227</v>
      </c>
      <c r="J23" t="s">
        <v>227</v>
      </c>
      <c r="K23" t="s">
        <v>227</v>
      </c>
      <c r="L23">
        <v>0.33000000000000002</v>
      </c>
      <c r="M23">
        <v>0.33000000000000002</v>
      </c>
      <c r="N23" t="s">
        <v>227</v>
      </c>
    </row>
    <row r="24" spans="1:14" ht="15">
      <c r="A24" t="s">
        <v>16</v>
      </c>
      <c r="B24" t="s">
        <v>125</v>
      </c>
      <c r="C24" t="s">
        <v>238</v>
      </c>
      <c r="D24" t="s">
        <v>227</v>
      </c>
      <c r="E24" t="s">
        <v>227</v>
      </c>
      <c r="F24" t="s">
        <v>245</v>
      </c>
      <c r="G24" t="s">
        <v>229</v>
      </c>
      <c r="H24" t="s">
        <v>227</v>
      </c>
      <c r="I24" t="s">
        <v>227</v>
      </c>
      <c r="J24" t="s">
        <v>227</v>
      </c>
      <c r="K24" t="s">
        <v>227</v>
      </c>
      <c r="L24">
        <v>0.65835584489725196</v>
      </c>
      <c r="M24">
        <v>0.65835584489725196</v>
      </c>
      <c r="N24" t="s">
        <v>227</v>
      </c>
    </row>
    <row r="25" spans="1:14" ht="15">
      <c r="A25" t="s">
        <v>16</v>
      </c>
      <c r="B25" t="s">
        <v>125</v>
      </c>
      <c r="C25" t="s">
        <v>237</v>
      </c>
      <c r="D25" t="s">
        <v>227</v>
      </c>
      <c r="E25" t="s">
        <v>227</v>
      </c>
      <c r="F25" t="s">
        <v>245</v>
      </c>
      <c r="G25" t="s">
        <v>229</v>
      </c>
      <c r="H25" t="s">
        <v>227</v>
      </c>
      <c r="I25" t="s">
        <v>227</v>
      </c>
      <c r="J25" t="s">
        <v>227</v>
      </c>
      <c r="K25" t="s">
        <v>227</v>
      </c>
      <c r="L25">
        <v>0.33000000000000002</v>
      </c>
      <c r="M25">
        <v>0.33000000000000002</v>
      </c>
      <c r="N25" t="s">
        <v>227</v>
      </c>
    </row>
    <row r="26" spans="1:14" ht="15">
      <c r="A26" t="s">
        <v>16</v>
      </c>
      <c r="B26" t="s">
        <v>125</v>
      </c>
      <c r="C26" t="s">
        <v>236</v>
      </c>
      <c r="D26" t="s">
        <v>227</v>
      </c>
      <c r="E26" t="s">
        <v>227</v>
      </c>
      <c r="F26" t="s">
        <v>245</v>
      </c>
      <c r="G26" t="s">
        <v>229</v>
      </c>
      <c r="H26" t="s">
        <v>227</v>
      </c>
      <c r="I26" t="s">
        <v>227</v>
      </c>
      <c r="J26" t="s">
        <v>227</v>
      </c>
      <c r="K26" t="s">
        <v>227</v>
      </c>
      <c r="L26">
        <v>0.63490443337371305</v>
      </c>
      <c r="M26">
        <v>0.63490443337371305</v>
      </c>
      <c r="N26" t="s">
        <v>227</v>
      </c>
    </row>
    <row r="27" spans="1:14" ht="15">
      <c r="A27" t="s">
        <v>16</v>
      </c>
      <c r="B27" t="s">
        <v>125</v>
      </c>
      <c r="C27" t="s">
        <v>235</v>
      </c>
      <c r="D27" t="s">
        <v>227</v>
      </c>
      <c r="E27" t="s">
        <v>227</v>
      </c>
      <c r="F27" t="s">
        <v>245</v>
      </c>
      <c r="G27" t="s">
        <v>229</v>
      </c>
      <c r="H27" t="s">
        <v>227</v>
      </c>
      <c r="I27" t="s">
        <v>227</v>
      </c>
      <c r="J27" t="s">
        <v>227</v>
      </c>
      <c r="K27" t="s">
        <v>227</v>
      </c>
      <c r="L27">
        <v>0.33000000000000002</v>
      </c>
      <c r="M27">
        <v>0.33000000000000002</v>
      </c>
      <c r="N27" t="s">
        <v>227</v>
      </c>
    </row>
    <row r="28" spans="1:14" ht="15">
      <c r="A28" t="s">
        <v>16</v>
      </c>
      <c r="B28" t="s">
        <v>125</v>
      </c>
      <c r="C28" t="s">
        <v>234</v>
      </c>
      <c r="D28" t="s">
        <v>227</v>
      </c>
      <c r="E28" t="s">
        <v>227</v>
      </c>
      <c r="F28" t="s">
        <v>245</v>
      </c>
      <c r="G28" t="s">
        <v>229</v>
      </c>
      <c r="H28" t="s">
        <v>227</v>
      </c>
      <c r="I28" t="s">
        <v>227</v>
      </c>
      <c r="J28" t="s">
        <v>227</v>
      </c>
      <c r="K28" t="s">
        <v>227</v>
      </c>
      <c r="L28">
        <v>2.1000000000000001</v>
      </c>
      <c r="M28">
        <v>2.1000000000000001</v>
      </c>
      <c r="N28" t="s">
        <v>227</v>
      </c>
    </row>
    <row r="29" spans="1:14" ht="15">
      <c r="A29" t="s">
        <v>16</v>
      </c>
      <c r="B29" t="s">
        <v>125</v>
      </c>
      <c r="C29" t="s">
        <v>233</v>
      </c>
      <c r="D29" t="s">
        <v>227</v>
      </c>
      <c r="E29" t="s">
        <v>227</v>
      </c>
      <c r="F29" t="s">
        <v>245</v>
      </c>
      <c r="G29" t="s">
        <v>229</v>
      </c>
      <c r="H29" t="s">
        <v>227</v>
      </c>
      <c r="I29" t="s">
        <v>227</v>
      </c>
      <c r="J29" t="s">
        <v>227</v>
      </c>
      <c r="K29" t="s">
        <v>227</v>
      </c>
      <c r="L29">
        <v>0.81595511259153497</v>
      </c>
      <c r="M29">
        <v>0.81595511259153497</v>
      </c>
      <c r="N29" t="s">
        <v>227</v>
      </c>
    </row>
    <row r="30" spans="1:14" ht="15">
      <c r="A30" t="s">
        <v>16</v>
      </c>
      <c r="B30" t="s">
        <v>125</v>
      </c>
      <c r="C30" t="s">
        <v>232</v>
      </c>
      <c r="D30" t="s">
        <v>227</v>
      </c>
      <c r="E30" t="s">
        <v>227</v>
      </c>
      <c r="F30" t="s">
        <v>245</v>
      </c>
      <c r="G30" t="s">
        <v>229</v>
      </c>
      <c r="H30" t="s">
        <v>227</v>
      </c>
      <c r="I30" t="s">
        <v>227</v>
      </c>
      <c r="J30" t="s">
        <v>227</v>
      </c>
      <c r="K30" t="s">
        <v>227</v>
      </c>
      <c r="L30">
        <v>0.77299617086321304</v>
      </c>
      <c r="M30">
        <v>0.77299617086321304</v>
      </c>
      <c r="N30" t="s">
        <v>227</v>
      </c>
    </row>
    <row r="31" spans="1:14" ht="15">
      <c r="A31" t="s">
        <v>16</v>
      </c>
      <c r="B31" t="s">
        <v>125</v>
      </c>
      <c r="C31" t="s">
        <v>231</v>
      </c>
      <c r="D31" t="s">
        <v>227</v>
      </c>
      <c r="E31" t="s">
        <v>227</v>
      </c>
      <c r="F31" t="s">
        <v>245</v>
      </c>
      <c r="G31" t="s">
        <v>229</v>
      </c>
      <c r="H31" t="s">
        <v>227</v>
      </c>
      <c r="I31" t="s">
        <v>227</v>
      </c>
      <c r="J31" t="s">
        <v>227</v>
      </c>
      <c r="K31" t="s">
        <v>227</v>
      </c>
      <c r="L31">
        <v>0.33000000000000002</v>
      </c>
      <c r="M31">
        <v>0.33000000000000002</v>
      </c>
      <c r="N31" t="s">
        <v>227</v>
      </c>
    </row>
    <row r="32" spans="1:14" ht="15">
      <c r="A32" t="s">
        <v>16</v>
      </c>
      <c r="B32" t="s">
        <v>125</v>
      </c>
      <c r="C32" t="s">
        <v>230</v>
      </c>
      <c r="D32" t="s">
        <v>227</v>
      </c>
      <c r="E32" t="s">
        <v>227</v>
      </c>
      <c r="F32" t="s">
        <v>245</v>
      </c>
      <c r="G32" t="s">
        <v>229</v>
      </c>
      <c r="H32" t="s">
        <v>227</v>
      </c>
      <c r="I32" t="s">
        <v>227</v>
      </c>
      <c r="J32" t="s">
        <v>227</v>
      </c>
      <c r="K32" t="s">
        <v>227</v>
      </c>
      <c r="L32">
        <v>0.65835584489725196</v>
      </c>
      <c r="M32">
        <v>0.65835584489725196</v>
      </c>
      <c r="N32" t="s">
        <v>227</v>
      </c>
    </row>
    <row r="33" spans="1:14" ht="15">
      <c r="A33" t="s">
        <v>16</v>
      </c>
      <c r="B33" t="s">
        <v>125</v>
      </c>
      <c r="C33" t="s">
        <v>274</v>
      </c>
      <c r="D33" t="s">
        <v>227</v>
      </c>
      <c r="E33" t="s">
        <v>227</v>
      </c>
      <c r="F33" t="s">
        <v>245</v>
      </c>
      <c r="G33" t="s">
        <v>229</v>
      </c>
      <c r="H33" t="s">
        <v>227</v>
      </c>
      <c r="I33" t="s">
        <v>227</v>
      </c>
      <c r="J33" t="s">
        <v>227</v>
      </c>
      <c r="K33" t="s">
        <v>227</v>
      </c>
      <c r="L33">
        <v>0.33000000000000002</v>
      </c>
      <c r="M33">
        <v>0.33000000000000002</v>
      </c>
      <c r="N33" t="s">
        <v>227</v>
      </c>
    </row>
  </sheetData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N29"/>
  <sheetViews>
    <sheetView workbookViewId="0" topLeftCell="A1">
      <selection pane="topLeft" activeCell="C26" sqref="C26"/>
    </sheetView>
  </sheetViews>
  <sheetFormatPr defaultRowHeight="15"/>
  <cols>
    <col min="3" max="3" width="17.4285714285714" bestFit="1" customWidth="1"/>
  </cols>
  <sheetData>
    <row r="1" spans="1:14" ht="1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127</v>
      </c>
      <c r="M1" t="s">
        <v>128</v>
      </c>
      <c r="N1" t="s">
        <v>273</v>
      </c>
    </row>
    <row r="2" spans="1:14" ht="15">
      <c r="A2" t="s">
        <v>16</v>
      </c>
      <c r="B2" t="s">
        <v>14</v>
      </c>
      <c r="C2" t="s">
        <v>259</v>
      </c>
      <c r="D2" t="s">
        <v>227</v>
      </c>
      <c r="E2" t="s">
        <v>228</v>
      </c>
      <c r="F2" t="s">
        <v>227</v>
      </c>
      <c r="G2" t="s">
        <v>229</v>
      </c>
      <c r="H2" t="s">
        <v>227</v>
      </c>
      <c r="I2" t="s">
        <v>227</v>
      </c>
      <c r="J2" t="s">
        <v>227</v>
      </c>
      <c r="K2" t="s">
        <v>227</v>
      </c>
      <c r="L2">
        <v>0.022831050228310501</v>
      </c>
      <c r="M2">
        <v>0.022831050228310501</v>
      </c>
      <c r="N2" t="s">
        <v>227</v>
      </c>
    </row>
    <row r="3" spans="1:14" ht="15">
      <c r="A3" t="s">
        <v>16</v>
      </c>
      <c r="B3" t="s">
        <v>14</v>
      </c>
      <c r="C3" t="s">
        <v>258</v>
      </c>
      <c r="D3" t="s">
        <v>227</v>
      </c>
      <c r="E3" t="s">
        <v>228</v>
      </c>
      <c r="F3" t="s">
        <v>227</v>
      </c>
      <c r="G3" t="s">
        <v>229</v>
      </c>
      <c r="H3" t="s">
        <v>227</v>
      </c>
      <c r="I3" t="s">
        <v>227</v>
      </c>
      <c r="J3" t="s">
        <v>227</v>
      </c>
      <c r="K3" t="s">
        <v>227</v>
      </c>
      <c r="L3">
        <v>0.022831050228310501</v>
      </c>
      <c r="M3">
        <v>0.022831050228310501</v>
      </c>
      <c r="N3" t="s">
        <v>227</v>
      </c>
    </row>
    <row r="4" spans="1:14" ht="15">
      <c r="A4" t="s">
        <v>16</v>
      </c>
      <c r="B4" t="s">
        <v>14</v>
      </c>
      <c r="C4" t="s">
        <v>257</v>
      </c>
      <c r="D4" t="s">
        <v>227</v>
      </c>
      <c r="E4" t="s">
        <v>228</v>
      </c>
      <c r="F4" t="s">
        <v>227</v>
      </c>
      <c r="G4" t="s">
        <v>229</v>
      </c>
      <c r="H4" t="s">
        <v>227</v>
      </c>
      <c r="I4" t="s">
        <v>227</v>
      </c>
      <c r="J4" t="s">
        <v>227</v>
      </c>
      <c r="K4" t="s">
        <v>227</v>
      </c>
      <c r="L4">
        <v>0.022831050228310501</v>
      </c>
      <c r="M4">
        <v>0.022831050228310501</v>
      </c>
      <c r="N4" t="s">
        <v>227</v>
      </c>
    </row>
    <row r="5" spans="1:14" ht="15">
      <c r="A5" t="s">
        <v>16</v>
      </c>
      <c r="B5" t="s">
        <v>14</v>
      </c>
      <c r="C5" t="s">
        <v>256</v>
      </c>
      <c r="D5" t="s">
        <v>227</v>
      </c>
      <c r="E5" t="s">
        <v>228</v>
      </c>
      <c r="F5" t="s">
        <v>227</v>
      </c>
      <c r="G5" t="s">
        <v>229</v>
      </c>
      <c r="H5" t="s">
        <v>227</v>
      </c>
      <c r="I5" t="s">
        <v>227</v>
      </c>
      <c r="J5" t="s">
        <v>227</v>
      </c>
      <c r="K5" t="s">
        <v>227</v>
      </c>
      <c r="L5">
        <v>0.022831050228310501</v>
      </c>
      <c r="M5">
        <v>0.022831050228310501</v>
      </c>
      <c r="N5" t="s">
        <v>227</v>
      </c>
    </row>
    <row r="6" spans="1:14" ht="15">
      <c r="A6" t="s">
        <v>16</v>
      </c>
      <c r="B6" t="s">
        <v>14</v>
      </c>
      <c r="C6" t="s">
        <v>255</v>
      </c>
      <c r="D6" t="s">
        <v>227</v>
      </c>
      <c r="E6" t="s">
        <v>228</v>
      </c>
      <c r="F6" t="s">
        <v>227</v>
      </c>
      <c r="G6" t="s">
        <v>229</v>
      </c>
      <c r="H6" t="s">
        <v>227</v>
      </c>
      <c r="I6" t="s">
        <v>227</v>
      </c>
      <c r="J6" t="s">
        <v>227</v>
      </c>
      <c r="K6" t="s">
        <v>227</v>
      </c>
      <c r="L6">
        <v>0.022831050228310501</v>
      </c>
      <c r="M6">
        <v>0.022831050228310501</v>
      </c>
      <c r="N6" t="s">
        <v>227</v>
      </c>
    </row>
    <row r="7" spans="1:14" ht="15">
      <c r="A7" t="s">
        <v>16</v>
      </c>
      <c r="B7" t="s">
        <v>14</v>
      </c>
      <c r="C7" t="s">
        <v>254</v>
      </c>
      <c r="D7" t="s">
        <v>227</v>
      </c>
      <c r="E7" t="s">
        <v>228</v>
      </c>
      <c r="F7" t="s">
        <v>227</v>
      </c>
      <c r="G7" t="s">
        <v>229</v>
      </c>
      <c r="H7" t="s">
        <v>227</v>
      </c>
      <c r="I7" t="s">
        <v>227</v>
      </c>
      <c r="J7" t="s">
        <v>227</v>
      </c>
      <c r="K7" t="s">
        <v>227</v>
      </c>
      <c r="L7">
        <v>0.0232876712328767</v>
      </c>
      <c r="M7">
        <v>0.0232876712328767</v>
      </c>
      <c r="N7" t="s">
        <v>227</v>
      </c>
    </row>
    <row r="8" spans="1:14" ht="15">
      <c r="A8" t="s">
        <v>16</v>
      </c>
      <c r="B8" t="s">
        <v>14</v>
      </c>
      <c r="C8" t="s">
        <v>253</v>
      </c>
      <c r="D8" t="s">
        <v>227</v>
      </c>
      <c r="E8" t="s">
        <v>228</v>
      </c>
      <c r="F8" t="s">
        <v>227</v>
      </c>
      <c r="G8" t="s">
        <v>229</v>
      </c>
      <c r="H8" t="s">
        <v>227</v>
      </c>
      <c r="I8" t="s">
        <v>227</v>
      </c>
      <c r="J8" t="s">
        <v>227</v>
      </c>
      <c r="K8" t="s">
        <v>227</v>
      </c>
      <c r="L8">
        <v>0.022831050228310501</v>
      </c>
      <c r="M8">
        <v>0.022831050228310501</v>
      </c>
      <c r="N8" t="s">
        <v>227</v>
      </c>
    </row>
    <row r="9" spans="1:14" ht="15">
      <c r="A9" t="s">
        <v>16</v>
      </c>
      <c r="B9" t="s">
        <v>14</v>
      </c>
      <c r="C9" t="s">
        <v>252</v>
      </c>
      <c r="D9" t="s">
        <v>227</v>
      </c>
      <c r="E9" t="s">
        <v>228</v>
      </c>
      <c r="F9" t="s">
        <v>227</v>
      </c>
      <c r="G9" t="s">
        <v>229</v>
      </c>
      <c r="H9" t="s">
        <v>227</v>
      </c>
      <c r="I9" t="s">
        <v>227</v>
      </c>
      <c r="J9" t="s">
        <v>227</v>
      </c>
      <c r="K9" t="s">
        <v>227</v>
      </c>
      <c r="L9">
        <v>0.022831050228310501</v>
      </c>
      <c r="M9">
        <v>0.022831050228310501</v>
      </c>
      <c r="N9" t="s">
        <v>227</v>
      </c>
    </row>
    <row r="10" spans="1:14" ht="15">
      <c r="A10" t="s">
        <v>16</v>
      </c>
      <c r="B10" t="s">
        <v>14</v>
      </c>
      <c r="C10" t="s">
        <v>251</v>
      </c>
      <c r="D10" t="s">
        <v>227</v>
      </c>
      <c r="E10" t="s">
        <v>228</v>
      </c>
      <c r="F10" t="s">
        <v>227</v>
      </c>
      <c r="G10" t="s">
        <v>229</v>
      </c>
      <c r="H10" t="s">
        <v>227</v>
      </c>
      <c r="I10" t="s">
        <v>227</v>
      </c>
      <c r="J10" t="s">
        <v>227</v>
      </c>
      <c r="K10" t="s">
        <v>227</v>
      </c>
      <c r="L10">
        <v>0.022831050228310501</v>
      </c>
      <c r="M10">
        <v>0.022831050228310501</v>
      </c>
      <c r="N10" t="s">
        <v>227</v>
      </c>
    </row>
    <row r="11" spans="1:14" ht="15">
      <c r="A11" t="s">
        <v>16</v>
      </c>
      <c r="B11" t="s">
        <v>14</v>
      </c>
      <c r="C11" t="s">
        <v>250</v>
      </c>
      <c r="D11" t="s">
        <v>227</v>
      </c>
      <c r="E11" t="s">
        <v>228</v>
      </c>
      <c r="F11" t="s">
        <v>227</v>
      </c>
      <c r="G11" t="s">
        <v>229</v>
      </c>
      <c r="H11" t="s">
        <v>227</v>
      </c>
      <c r="I11" t="s">
        <v>227</v>
      </c>
      <c r="J11" t="s">
        <v>227</v>
      </c>
      <c r="K11" t="s">
        <v>227</v>
      </c>
      <c r="L11">
        <v>0.022831050228310501</v>
      </c>
      <c r="M11">
        <v>0.022831050228310501</v>
      </c>
      <c r="N11" t="s">
        <v>227</v>
      </c>
    </row>
    <row r="12" spans="1:14" ht="15">
      <c r="A12" t="s">
        <v>16</v>
      </c>
      <c r="B12" t="s">
        <v>14</v>
      </c>
      <c r="C12" t="s">
        <v>249</v>
      </c>
      <c r="D12" t="s">
        <v>227</v>
      </c>
      <c r="E12" t="s">
        <v>228</v>
      </c>
      <c r="F12" t="s">
        <v>227</v>
      </c>
      <c r="G12" t="s">
        <v>229</v>
      </c>
      <c r="H12" t="s">
        <v>227</v>
      </c>
      <c r="I12" t="s">
        <v>227</v>
      </c>
      <c r="J12" t="s">
        <v>227</v>
      </c>
      <c r="K12" t="s">
        <v>227</v>
      </c>
      <c r="L12">
        <v>0.022831050228310501</v>
      </c>
      <c r="M12">
        <v>0.022831050228310501</v>
      </c>
      <c r="N12" t="s">
        <v>227</v>
      </c>
    </row>
    <row r="13" spans="1:14" ht="15">
      <c r="A13" t="s">
        <v>16</v>
      </c>
      <c r="B13" t="s">
        <v>14</v>
      </c>
      <c r="C13" t="s">
        <v>248</v>
      </c>
      <c r="D13" t="s">
        <v>227</v>
      </c>
      <c r="E13" t="s">
        <v>228</v>
      </c>
      <c r="F13" t="s">
        <v>227</v>
      </c>
      <c r="G13" t="s">
        <v>229</v>
      </c>
      <c r="H13" t="s">
        <v>227</v>
      </c>
      <c r="I13" t="s">
        <v>227</v>
      </c>
      <c r="J13" t="s">
        <v>227</v>
      </c>
      <c r="K13" t="s">
        <v>227</v>
      </c>
      <c r="L13">
        <v>0.022831050228310501</v>
      </c>
      <c r="M13">
        <v>0.022831050228310501</v>
      </c>
      <c r="N13" t="s">
        <v>227</v>
      </c>
    </row>
    <row r="14" spans="1:14" ht="15">
      <c r="A14" t="s">
        <v>16</v>
      </c>
      <c r="B14" t="s">
        <v>14</v>
      </c>
      <c r="C14" t="s">
        <v>247</v>
      </c>
      <c r="D14" t="s">
        <v>227</v>
      </c>
      <c r="E14" t="s">
        <v>228</v>
      </c>
      <c r="F14" t="s">
        <v>227</v>
      </c>
      <c r="G14" t="s">
        <v>229</v>
      </c>
      <c r="H14" t="s">
        <v>227</v>
      </c>
      <c r="I14" t="s">
        <v>227</v>
      </c>
      <c r="J14" t="s">
        <v>227</v>
      </c>
      <c r="K14" t="s">
        <v>227</v>
      </c>
      <c r="L14">
        <v>0.022831050228310501</v>
      </c>
      <c r="M14">
        <v>0.022831050228310501</v>
      </c>
      <c r="N14" t="s">
        <v>227</v>
      </c>
    </row>
    <row r="15" spans="1:14" ht="15">
      <c r="A15" t="s">
        <v>16</v>
      </c>
      <c r="B15" t="s">
        <v>14</v>
      </c>
      <c r="C15" t="s">
        <v>246</v>
      </c>
      <c r="D15" t="s">
        <v>227</v>
      </c>
      <c r="E15" t="s">
        <v>228</v>
      </c>
      <c r="F15" t="s">
        <v>227</v>
      </c>
      <c r="G15" t="s">
        <v>229</v>
      </c>
      <c r="H15" t="s">
        <v>227</v>
      </c>
      <c r="I15" t="s">
        <v>227</v>
      </c>
      <c r="J15" t="s">
        <v>227</v>
      </c>
      <c r="K15" t="s">
        <v>227</v>
      </c>
      <c r="L15">
        <v>0.022831050228310501</v>
      </c>
      <c r="M15">
        <v>0.022831050228310501</v>
      </c>
      <c r="N15" t="s">
        <v>227</v>
      </c>
    </row>
    <row r="16" spans="1:14" ht="15">
      <c r="A16" t="s">
        <v>16</v>
      </c>
      <c r="B16" t="s">
        <v>125</v>
      </c>
      <c r="C16" t="s">
        <v>259</v>
      </c>
      <c r="D16" t="s">
        <v>227</v>
      </c>
      <c r="E16" t="s">
        <v>227</v>
      </c>
      <c r="F16" t="s">
        <v>245</v>
      </c>
      <c r="G16" t="s">
        <v>229</v>
      </c>
      <c r="H16" t="s">
        <v>227</v>
      </c>
      <c r="I16" t="s">
        <v>227</v>
      </c>
      <c r="J16" t="s">
        <v>227</v>
      </c>
      <c r="K16" t="s">
        <v>227</v>
      </c>
      <c r="L16">
        <v>0.33000000000000002</v>
      </c>
      <c r="M16">
        <v>0.33000000000000002</v>
      </c>
      <c r="N16" t="s">
        <v>227</v>
      </c>
    </row>
    <row r="17" spans="1:14" ht="15">
      <c r="A17" t="s">
        <v>16</v>
      </c>
      <c r="B17" t="s">
        <v>125</v>
      </c>
      <c r="C17" t="s">
        <v>258</v>
      </c>
      <c r="D17" t="s">
        <v>227</v>
      </c>
      <c r="E17" t="s">
        <v>227</v>
      </c>
      <c r="F17" t="s">
        <v>245</v>
      </c>
      <c r="G17" t="s">
        <v>229</v>
      </c>
      <c r="H17" t="s">
        <v>227</v>
      </c>
      <c r="I17" t="s">
        <v>227</v>
      </c>
      <c r="J17" t="s">
        <v>227</v>
      </c>
      <c r="K17" t="s">
        <v>227</v>
      </c>
      <c r="L17">
        <v>0.33000000000000002</v>
      </c>
      <c r="M17">
        <v>0.33000000000000002</v>
      </c>
      <c r="N17" t="s">
        <v>227</v>
      </c>
    </row>
    <row r="18" spans="1:14" ht="15">
      <c r="A18" t="s">
        <v>16</v>
      </c>
      <c r="B18" t="s">
        <v>125</v>
      </c>
      <c r="C18" t="s">
        <v>257</v>
      </c>
      <c r="D18" t="s">
        <v>227</v>
      </c>
      <c r="E18" t="s">
        <v>227</v>
      </c>
      <c r="F18" t="s">
        <v>245</v>
      </c>
      <c r="G18" t="s">
        <v>229</v>
      </c>
      <c r="H18" t="s">
        <v>227</v>
      </c>
      <c r="I18" t="s">
        <v>227</v>
      </c>
      <c r="J18" t="s">
        <v>227</v>
      </c>
      <c r="K18" t="s">
        <v>227</v>
      </c>
      <c r="L18">
        <v>0.77915338816094504</v>
      </c>
      <c r="M18">
        <v>0.77915338816094504</v>
      </c>
      <c r="N18" t="s">
        <v>227</v>
      </c>
    </row>
    <row r="19" spans="1:14" ht="15">
      <c r="A19" t="s">
        <v>16</v>
      </c>
      <c r="B19" t="s">
        <v>125</v>
      </c>
      <c r="C19" t="s">
        <v>256</v>
      </c>
      <c r="D19" t="s">
        <v>227</v>
      </c>
      <c r="E19" t="s">
        <v>227</v>
      </c>
      <c r="F19" t="s">
        <v>245</v>
      </c>
      <c r="G19" t="s">
        <v>229</v>
      </c>
      <c r="H19" t="s">
        <v>227</v>
      </c>
      <c r="I19" t="s">
        <v>227</v>
      </c>
      <c r="J19" t="s">
        <v>227</v>
      </c>
      <c r="K19" t="s">
        <v>227</v>
      </c>
      <c r="L19">
        <v>0.63024757853709501</v>
      </c>
      <c r="M19">
        <v>0.63024757853709501</v>
      </c>
      <c r="N19" t="s">
        <v>227</v>
      </c>
    </row>
    <row r="20" spans="1:14" ht="15">
      <c r="A20" t="s">
        <v>16</v>
      </c>
      <c r="B20" t="s">
        <v>125</v>
      </c>
      <c r="C20" t="s">
        <v>255</v>
      </c>
      <c r="D20" t="s">
        <v>227</v>
      </c>
      <c r="E20" t="s">
        <v>227</v>
      </c>
      <c r="F20" t="s">
        <v>245</v>
      </c>
      <c r="G20" t="s">
        <v>229</v>
      </c>
      <c r="H20" t="s">
        <v>227</v>
      </c>
      <c r="I20" t="s">
        <v>227</v>
      </c>
      <c r="J20" t="s">
        <v>227</v>
      </c>
      <c r="K20" t="s">
        <v>227</v>
      </c>
      <c r="L20">
        <v>0.33000000000000002</v>
      </c>
      <c r="M20">
        <v>0.33000000000000002</v>
      </c>
      <c r="N20" t="s">
        <v>227</v>
      </c>
    </row>
    <row r="21" spans="1:14" ht="15">
      <c r="A21" t="s">
        <v>16</v>
      </c>
      <c r="B21" t="s">
        <v>125</v>
      </c>
      <c r="C21" t="s">
        <v>254</v>
      </c>
      <c r="D21" t="s">
        <v>227</v>
      </c>
      <c r="E21" t="s">
        <v>227</v>
      </c>
      <c r="F21" t="s">
        <v>245</v>
      </c>
      <c r="G21" t="s">
        <v>229</v>
      </c>
      <c r="H21" t="s">
        <v>227</v>
      </c>
      <c r="I21" t="s">
        <v>227</v>
      </c>
      <c r="J21" t="s">
        <v>227</v>
      </c>
      <c r="K21" t="s">
        <v>227</v>
      </c>
      <c r="L21">
        <v>0.59834963673469899</v>
      </c>
      <c r="M21">
        <v>0.59834963673469899</v>
      </c>
      <c r="N21" t="s">
        <v>227</v>
      </c>
    </row>
    <row r="22" spans="1:14" ht="15">
      <c r="A22" t="s">
        <v>16</v>
      </c>
      <c r="B22" t="s">
        <v>125</v>
      </c>
      <c r="C22" t="s">
        <v>253</v>
      </c>
      <c r="D22" t="s">
        <v>227</v>
      </c>
      <c r="E22" t="s">
        <v>227</v>
      </c>
      <c r="F22" t="s">
        <v>245</v>
      </c>
      <c r="G22" t="s">
        <v>229</v>
      </c>
      <c r="H22" t="s">
        <v>227</v>
      </c>
      <c r="I22" t="s">
        <v>227</v>
      </c>
      <c r="J22" t="s">
        <v>227</v>
      </c>
      <c r="K22" t="s">
        <v>227</v>
      </c>
      <c r="L22">
        <v>1</v>
      </c>
      <c r="M22">
        <v>1</v>
      </c>
      <c r="N22" t="s">
        <v>227</v>
      </c>
    </row>
    <row r="23" spans="1:14" ht="15">
      <c r="A23" t="s">
        <v>16</v>
      </c>
      <c r="B23" t="s">
        <v>125</v>
      </c>
      <c r="C23" t="s">
        <v>252</v>
      </c>
      <c r="D23" t="s">
        <v>227</v>
      </c>
      <c r="E23" t="s">
        <v>227</v>
      </c>
      <c r="F23" t="s">
        <v>245</v>
      </c>
      <c r="G23" t="s">
        <v>229</v>
      </c>
      <c r="H23" t="s">
        <v>227</v>
      </c>
      <c r="I23" t="s">
        <v>227</v>
      </c>
      <c r="J23" t="s">
        <v>227</v>
      </c>
      <c r="K23" t="s">
        <v>227</v>
      </c>
      <c r="L23">
        <v>0.33000000000000002</v>
      </c>
      <c r="M23">
        <v>0.33000000000000002</v>
      </c>
      <c r="N23" t="s">
        <v>227</v>
      </c>
    </row>
    <row r="24" spans="1:14" ht="15">
      <c r="A24" t="s">
        <v>16</v>
      </c>
      <c r="B24" t="s">
        <v>125</v>
      </c>
      <c r="C24" t="s">
        <v>251</v>
      </c>
      <c r="D24" t="s">
        <v>227</v>
      </c>
      <c r="E24" t="s">
        <v>227</v>
      </c>
      <c r="F24" t="s">
        <v>245</v>
      </c>
      <c r="G24" t="s">
        <v>229</v>
      </c>
      <c r="H24" t="s">
        <v>227</v>
      </c>
      <c r="I24" t="s">
        <v>227</v>
      </c>
      <c r="J24" t="s">
        <v>227</v>
      </c>
      <c r="K24" t="s">
        <v>227</v>
      </c>
      <c r="L24">
        <v>0.33000000000000002</v>
      </c>
      <c r="M24">
        <v>0.33000000000000002</v>
      </c>
      <c r="N24" t="s">
        <v>227</v>
      </c>
    </row>
    <row r="25" spans="1:14" ht="15">
      <c r="A25" t="s">
        <v>16</v>
      </c>
      <c r="B25" t="s">
        <v>125</v>
      </c>
      <c r="C25" t="s">
        <v>250</v>
      </c>
      <c r="D25" t="s">
        <v>227</v>
      </c>
      <c r="E25" t="s">
        <v>227</v>
      </c>
      <c r="F25" t="s">
        <v>245</v>
      </c>
      <c r="G25" t="s">
        <v>229</v>
      </c>
      <c r="H25" t="s">
        <v>227</v>
      </c>
      <c r="I25" t="s">
        <v>227</v>
      </c>
      <c r="J25" t="s">
        <v>227</v>
      </c>
      <c r="K25" t="s">
        <v>227</v>
      </c>
      <c r="L25">
        <v>0.77915338816094504</v>
      </c>
      <c r="M25">
        <v>0.77915338816094504</v>
      </c>
      <c r="N25" t="s">
        <v>227</v>
      </c>
    </row>
    <row r="26" spans="1:14" ht="15">
      <c r="A26" t="s">
        <v>16</v>
      </c>
      <c r="B26" t="s">
        <v>125</v>
      </c>
      <c r="C26" t="s">
        <v>249</v>
      </c>
      <c r="D26" t="s">
        <v>227</v>
      </c>
      <c r="E26" t="s">
        <v>227</v>
      </c>
      <c r="F26" t="s">
        <v>245</v>
      </c>
      <c r="G26" t="s">
        <v>229</v>
      </c>
      <c r="H26" t="s">
        <v>227</v>
      </c>
      <c r="I26" t="s">
        <v>227</v>
      </c>
      <c r="J26" t="s">
        <v>227</v>
      </c>
      <c r="K26" t="s">
        <v>227</v>
      </c>
      <c r="L26">
        <v>0.63024757853709501</v>
      </c>
      <c r="M26">
        <v>0.63024757853709501</v>
      </c>
      <c r="N26" t="s">
        <v>227</v>
      </c>
    </row>
    <row r="27" spans="1:14" ht="15">
      <c r="A27" t="s">
        <v>16</v>
      </c>
      <c r="B27" t="s">
        <v>125</v>
      </c>
      <c r="C27" t="s">
        <v>248</v>
      </c>
      <c r="D27" t="s">
        <v>227</v>
      </c>
      <c r="E27" t="s">
        <v>227</v>
      </c>
      <c r="F27" t="s">
        <v>245</v>
      </c>
      <c r="G27" t="s">
        <v>229</v>
      </c>
      <c r="H27" t="s">
        <v>227</v>
      </c>
      <c r="I27" t="s">
        <v>227</v>
      </c>
      <c r="J27" t="s">
        <v>227</v>
      </c>
      <c r="K27" t="s">
        <v>227</v>
      </c>
      <c r="L27">
        <v>0.33000000000000002</v>
      </c>
      <c r="M27">
        <v>0.33000000000000002</v>
      </c>
      <c r="N27" t="s">
        <v>227</v>
      </c>
    </row>
    <row r="28" spans="1:14" ht="15">
      <c r="A28" t="s">
        <v>16</v>
      </c>
      <c r="B28" t="s">
        <v>125</v>
      </c>
      <c r="C28" t="s">
        <v>247</v>
      </c>
      <c r="D28" t="s">
        <v>227</v>
      </c>
      <c r="E28" t="s">
        <v>227</v>
      </c>
      <c r="F28" t="s">
        <v>245</v>
      </c>
      <c r="G28" t="s">
        <v>229</v>
      </c>
      <c r="H28" t="s">
        <v>227</v>
      </c>
      <c r="I28" t="s">
        <v>227</v>
      </c>
      <c r="J28" t="s">
        <v>227</v>
      </c>
      <c r="K28" t="s">
        <v>227</v>
      </c>
      <c r="L28">
        <v>0.59834963673469899</v>
      </c>
      <c r="M28">
        <v>0.59834963673469899</v>
      </c>
      <c r="N28" t="s">
        <v>227</v>
      </c>
    </row>
    <row r="29" spans="1:14" ht="15">
      <c r="A29" t="s">
        <v>16</v>
      </c>
      <c r="B29" t="s">
        <v>125</v>
      </c>
      <c r="C29" t="s">
        <v>246</v>
      </c>
      <c r="D29" t="s">
        <v>227</v>
      </c>
      <c r="E29" t="s">
        <v>227</v>
      </c>
      <c r="F29" t="s">
        <v>245</v>
      </c>
      <c r="G29" t="s">
        <v>229</v>
      </c>
      <c r="H29" t="s">
        <v>227</v>
      </c>
      <c r="I29" t="s">
        <v>227</v>
      </c>
      <c r="J29" t="s">
        <v>227</v>
      </c>
      <c r="K29" t="s">
        <v>227</v>
      </c>
      <c r="L29">
        <v>1</v>
      </c>
      <c r="M29">
        <v>1</v>
      </c>
      <c r="N29" t="s">
        <v>227</v>
      </c>
    </row>
  </sheetData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9"/>
  <sheetViews>
    <sheetView workbookViewId="0" topLeftCell="A1">
      <selection pane="topLeft" activeCell="A2" sqref="A2"/>
    </sheetView>
  </sheetViews>
  <sheetFormatPr defaultRowHeight="15"/>
  <cols>
    <col min="3" max="3" width="15.4285714285714" bestFit="1" customWidth="1"/>
  </cols>
  <sheetData>
    <row r="1" spans="1:14" ht="1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127</v>
      </c>
      <c r="M1" t="s">
        <v>128</v>
      </c>
      <c r="N1" t="s">
        <v>273</v>
      </c>
    </row>
    <row r="2" spans="1:14" ht="15">
      <c r="A2" t="s">
        <v>16</v>
      </c>
      <c r="B2" t="s">
        <v>14</v>
      </c>
      <c r="C2" t="s">
        <v>263</v>
      </c>
      <c r="D2" t="s">
        <v>227</v>
      </c>
      <c r="E2" t="s">
        <v>228</v>
      </c>
      <c r="F2" t="s">
        <v>227</v>
      </c>
      <c r="G2" t="s">
        <v>229</v>
      </c>
      <c r="H2" t="s">
        <v>227</v>
      </c>
      <c r="I2" t="s">
        <v>227</v>
      </c>
      <c r="J2" t="s">
        <v>227</v>
      </c>
      <c r="K2" t="s">
        <v>227</v>
      </c>
      <c r="L2">
        <v>0.0342465753424658</v>
      </c>
      <c r="M2">
        <v>0.0342465753424658</v>
      </c>
      <c r="N2" t="s">
        <v>227</v>
      </c>
    </row>
    <row r="3" spans="1:14" ht="15">
      <c r="A3" t="s">
        <v>16</v>
      </c>
      <c r="B3" t="s">
        <v>14</v>
      </c>
      <c r="C3" t="s">
        <v>262</v>
      </c>
      <c r="D3" t="s">
        <v>227</v>
      </c>
      <c r="E3" t="s">
        <v>228</v>
      </c>
      <c r="F3" t="s">
        <v>227</v>
      </c>
      <c r="G3" t="s">
        <v>229</v>
      </c>
      <c r="H3" t="s">
        <v>227</v>
      </c>
      <c r="I3" t="s">
        <v>227</v>
      </c>
      <c r="J3" t="s">
        <v>227</v>
      </c>
      <c r="K3" t="s">
        <v>227</v>
      </c>
      <c r="L3">
        <v>0.0342465753424658</v>
      </c>
      <c r="M3">
        <v>0.0342465753424658</v>
      </c>
      <c r="N3" t="s">
        <v>227</v>
      </c>
    </row>
    <row r="4" spans="1:14" ht="15">
      <c r="A4" t="s">
        <v>16</v>
      </c>
      <c r="B4" t="s">
        <v>14</v>
      </c>
      <c r="C4" t="s">
        <v>261</v>
      </c>
      <c r="D4" t="s">
        <v>227</v>
      </c>
      <c r="E4" t="s">
        <v>228</v>
      </c>
      <c r="F4" t="s">
        <v>227</v>
      </c>
      <c r="G4" t="s">
        <v>229</v>
      </c>
      <c r="H4" t="s">
        <v>227</v>
      </c>
      <c r="I4" t="s">
        <v>227</v>
      </c>
      <c r="J4" t="s">
        <v>227</v>
      </c>
      <c r="K4" t="s">
        <v>227</v>
      </c>
      <c r="L4">
        <v>0.0342465753424658</v>
      </c>
      <c r="M4">
        <v>0.0342465753424658</v>
      </c>
      <c r="N4" t="s">
        <v>227</v>
      </c>
    </row>
    <row r="5" spans="1:14" ht="15">
      <c r="A5" t="s">
        <v>16</v>
      </c>
      <c r="B5" t="s">
        <v>14</v>
      </c>
      <c r="C5" t="s">
        <v>260</v>
      </c>
      <c r="D5" t="s">
        <v>227</v>
      </c>
      <c r="E5" t="s">
        <v>228</v>
      </c>
      <c r="F5" t="s">
        <v>227</v>
      </c>
      <c r="G5" t="s">
        <v>229</v>
      </c>
      <c r="H5" t="s">
        <v>227</v>
      </c>
      <c r="I5" t="s">
        <v>227</v>
      </c>
      <c r="J5" t="s">
        <v>227</v>
      </c>
      <c r="K5" t="s">
        <v>227</v>
      </c>
      <c r="L5">
        <v>0.0342465753424658</v>
      </c>
      <c r="M5">
        <v>0.0342465753424658</v>
      </c>
      <c r="N5" t="s">
        <v>227</v>
      </c>
    </row>
    <row r="6" spans="1:14" ht="15">
      <c r="A6" t="s">
        <v>16</v>
      </c>
      <c r="B6" t="s">
        <v>125</v>
      </c>
      <c r="C6" t="s">
        <v>263</v>
      </c>
      <c r="D6" t="s">
        <v>227</v>
      </c>
      <c r="E6" t="s">
        <v>227</v>
      </c>
      <c r="F6" t="s">
        <v>245</v>
      </c>
      <c r="G6" t="s">
        <v>229</v>
      </c>
      <c r="H6" t="s">
        <v>227</v>
      </c>
      <c r="I6" t="s">
        <v>227</v>
      </c>
      <c r="J6" t="s">
        <v>227</v>
      </c>
      <c r="K6" t="s">
        <v>227</v>
      </c>
      <c r="L6">
        <v>2.7466471585410202</v>
      </c>
      <c r="M6">
        <v>2.7466471585410202</v>
      </c>
      <c r="N6" t="s">
        <v>227</v>
      </c>
    </row>
    <row r="7" spans="1:14" ht="15">
      <c r="A7" t="s">
        <v>16</v>
      </c>
      <c r="B7" t="s">
        <v>125</v>
      </c>
      <c r="C7" t="s">
        <v>262</v>
      </c>
      <c r="D7" t="s">
        <v>227</v>
      </c>
      <c r="E7" t="s">
        <v>227</v>
      </c>
      <c r="F7" t="s">
        <v>245</v>
      </c>
      <c r="G7" t="s">
        <v>229</v>
      </c>
      <c r="H7" t="s">
        <v>227</v>
      </c>
      <c r="I7" t="s">
        <v>227</v>
      </c>
      <c r="J7" t="s">
        <v>227</v>
      </c>
      <c r="K7" t="s">
        <v>227</v>
      </c>
      <c r="L7">
        <v>2.7679848891515602</v>
      </c>
      <c r="M7">
        <v>2.7679848891515602</v>
      </c>
      <c r="N7" t="s">
        <v>227</v>
      </c>
    </row>
    <row r="8" spans="1:14" ht="15">
      <c r="A8" t="s">
        <v>16</v>
      </c>
      <c r="B8" t="s">
        <v>125</v>
      </c>
      <c r="C8" t="s">
        <v>261</v>
      </c>
      <c r="D8" t="s">
        <v>227</v>
      </c>
      <c r="E8" t="s">
        <v>227</v>
      </c>
      <c r="F8" t="s">
        <v>245</v>
      </c>
      <c r="G8" t="s">
        <v>229</v>
      </c>
      <c r="H8" t="s">
        <v>227</v>
      </c>
      <c r="I8" t="s">
        <v>227</v>
      </c>
      <c r="J8" t="s">
        <v>227</v>
      </c>
      <c r="K8" t="s">
        <v>227</v>
      </c>
      <c r="L8">
        <v>2.7466471585410202</v>
      </c>
      <c r="M8">
        <v>2.7466471585410202</v>
      </c>
      <c r="N8" t="s">
        <v>227</v>
      </c>
    </row>
    <row r="9" spans="1:14" ht="15">
      <c r="A9" t="s">
        <v>16</v>
      </c>
      <c r="B9" t="s">
        <v>125</v>
      </c>
      <c r="C9" t="s">
        <v>260</v>
      </c>
      <c r="D9" t="s">
        <v>227</v>
      </c>
      <c r="E9" t="s">
        <v>227</v>
      </c>
      <c r="F9" t="s">
        <v>245</v>
      </c>
      <c r="G9" t="s">
        <v>229</v>
      </c>
      <c r="H9" t="s">
        <v>227</v>
      </c>
      <c r="I9" t="s">
        <v>227</v>
      </c>
      <c r="J9" t="s">
        <v>227</v>
      </c>
      <c r="K9" t="s">
        <v>227</v>
      </c>
      <c r="L9">
        <v>2.7679848891515602</v>
      </c>
      <c r="M9">
        <v>2.7679848891515602</v>
      </c>
      <c r="N9" t="s">
        <v>227</v>
      </c>
    </row>
  </sheetData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26C6F6-7364-4BC5-A5DD-ABBD01511FAF}">
  <sheetPr codeName="Sheet10"/>
  <dimension ref="A1:N15"/>
  <sheetViews>
    <sheetView workbookViewId="0" topLeftCell="A1"/>
  </sheetViews>
  <sheetFormatPr defaultRowHeight="15"/>
  <cols>
    <col min="3" max="3" width="21.4285714285714" customWidth="1"/>
  </cols>
  <sheetData>
    <row r="1" spans="1:14" ht="1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127</v>
      </c>
      <c r="M1" t="s">
        <v>128</v>
      </c>
      <c r="N1" t="s">
        <v>273</v>
      </c>
    </row>
    <row r="2" spans="1:14" ht="15">
      <c r="A2" t="s">
        <v>16</v>
      </c>
      <c r="B2" t="s">
        <v>125</v>
      </c>
      <c r="C2" t="s">
        <v>266</v>
      </c>
      <c r="D2" t="s">
        <v>227</v>
      </c>
      <c r="E2" t="s">
        <v>227</v>
      </c>
      <c r="F2" t="s">
        <v>245</v>
      </c>
      <c r="G2" t="s">
        <v>229</v>
      </c>
      <c r="H2" t="s">
        <v>227</v>
      </c>
      <c r="I2" t="s">
        <v>227</v>
      </c>
      <c r="J2" t="s">
        <v>227</v>
      </c>
      <c r="K2" t="s">
        <v>227</v>
      </c>
      <c r="L2">
        <v>2.4973571887487398</v>
      </c>
      <c r="M2">
        <v>2.4973571887487398</v>
      </c>
      <c r="N2" t="s">
        <v>227</v>
      </c>
    </row>
    <row r="3" spans="1:14" ht="15">
      <c r="A3" t="s">
        <v>16</v>
      </c>
      <c r="B3" t="s">
        <v>125</v>
      </c>
      <c r="C3" t="s">
        <v>265</v>
      </c>
      <c r="D3" t="s">
        <v>227</v>
      </c>
      <c r="E3" t="s">
        <v>227</v>
      </c>
      <c r="F3" t="s">
        <v>245</v>
      </c>
      <c r="G3" t="s">
        <v>229</v>
      </c>
      <c r="H3" t="s">
        <v>227</v>
      </c>
      <c r="I3" t="s">
        <v>227</v>
      </c>
      <c r="J3" t="s">
        <v>227</v>
      </c>
      <c r="K3" t="s">
        <v>227</v>
      </c>
      <c r="L3">
        <v>4.3260777448279004</v>
      </c>
      <c r="M3">
        <v>4.3260777448279004</v>
      </c>
      <c r="N3" t="s">
        <v>227</v>
      </c>
    </row>
    <row r="4" spans="1:14" ht="15">
      <c r="A4" t="s">
        <v>16</v>
      </c>
      <c r="B4" t="s">
        <v>125</v>
      </c>
      <c r="C4" t="s">
        <v>272</v>
      </c>
      <c r="D4" t="s">
        <v>227</v>
      </c>
      <c r="E4" t="s">
        <v>227</v>
      </c>
      <c r="F4" t="s">
        <v>245</v>
      </c>
      <c r="G4" t="s">
        <v>229</v>
      </c>
      <c r="H4" t="s">
        <v>227</v>
      </c>
      <c r="I4" t="s">
        <v>227</v>
      </c>
      <c r="J4" t="s">
        <v>227</v>
      </c>
      <c r="K4" t="s">
        <v>227</v>
      </c>
      <c r="L4">
        <v>1</v>
      </c>
      <c r="M4">
        <v>1</v>
      </c>
      <c r="N4" t="s">
        <v>227</v>
      </c>
    </row>
    <row r="5" spans="1:14" ht="15">
      <c r="A5" t="s">
        <v>16</v>
      </c>
      <c r="B5" t="s">
        <v>125</v>
      </c>
      <c r="C5" t="s">
        <v>271</v>
      </c>
      <c r="D5" t="s">
        <v>227</v>
      </c>
      <c r="E5" t="s">
        <v>227</v>
      </c>
      <c r="F5" t="s">
        <v>245</v>
      </c>
      <c r="G5" t="s">
        <v>229</v>
      </c>
      <c r="H5" t="s">
        <v>227</v>
      </c>
      <c r="I5" t="s">
        <v>227</v>
      </c>
      <c r="J5" t="s">
        <v>227</v>
      </c>
      <c r="K5" t="s">
        <v>227</v>
      </c>
      <c r="L5">
        <v>1</v>
      </c>
      <c r="M5">
        <v>1</v>
      </c>
      <c r="N5" t="s">
        <v>227</v>
      </c>
    </row>
    <row r="6" spans="1:14" ht="15">
      <c r="A6" t="s">
        <v>16</v>
      </c>
      <c r="B6" t="s">
        <v>125</v>
      </c>
      <c r="C6" t="s">
        <v>264</v>
      </c>
      <c r="D6" t="s">
        <v>227</v>
      </c>
      <c r="E6" t="s">
        <v>227</v>
      </c>
      <c r="F6" t="s">
        <v>245</v>
      </c>
      <c r="G6" t="s">
        <v>229</v>
      </c>
      <c r="H6" t="s">
        <v>227</v>
      </c>
      <c r="I6" t="s">
        <v>227</v>
      </c>
      <c r="J6" t="s">
        <v>227</v>
      </c>
      <c r="K6" t="s">
        <v>227</v>
      </c>
      <c r="L6">
        <v>0.48784295359637803</v>
      </c>
      <c r="M6">
        <v>0.48784295359637803</v>
      </c>
      <c r="N6" t="s">
        <v>227</v>
      </c>
    </row>
    <row r="7" spans="1:14" ht="15">
      <c r="A7" t="s">
        <v>16</v>
      </c>
      <c r="B7" t="s">
        <v>125</v>
      </c>
      <c r="C7" t="s">
        <v>197</v>
      </c>
      <c r="D7" t="s">
        <v>227</v>
      </c>
      <c r="E7" t="s">
        <v>227</v>
      </c>
      <c r="F7" t="s">
        <v>245</v>
      </c>
      <c r="G7" t="s">
        <v>229</v>
      </c>
      <c r="H7" t="s">
        <v>227</v>
      </c>
      <c r="I7" t="s">
        <v>227</v>
      </c>
      <c r="J7" t="s">
        <v>227</v>
      </c>
      <c r="K7" t="s">
        <v>227</v>
      </c>
      <c r="L7">
        <v>0.37305637627958299</v>
      </c>
      <c r="M7">
        <v>0.37305637627958299</v>
      </c>
      <c r="N7" t="s">
        <v>227</v>
      </c>
    </row>
    <row r="8" spans="1:14" ht="15">
      <c r="A8" t="s">
        <v>16</v>
      </c>
      <c r="B8" t="s">
        <v>125</v>
      </c>
      <c r="C8" t="s">
        <v>268</v>
      </c>
      <c r="D8" t="s">
        <v>227</v>
      </c>
      <c r="E8" t="s">
        <v>227</v>
      </c>
      <c r="F8" t="s">
        <v>245</v>
      </c>
      <c r="G8" t="s">
        <v>229</v>
      </c>
      <c r="H8" t="s">
        <v>227</v>
      </c>
      <c r="I8" t="s">
        <v>227</v>
      </c>
      <c r="J8" t="s">
        <v>227</v>
      </c>
      <c r="K8" t="s">
        <v>227</v>
      </c>
      <c r="L8">
        <v>0.31709791983764601</v>
      </c>
      <c r="M8">
        <v>0.31709791983764601</v>
      </c>
      <c r="N8" t="s">
        <v>227</v>
      </c>
    </row>
    <row r="9" spans="1:14" ht="15">
      <c r="A9" t="s">
        <v>16</v>
      </c>
      <c r="B9" t="s">
        <v>125</v>
      </c>
      <c r="C9" t="s">
        <v>267</v>
      </c>
      <c r="D9" t="s">
        <v>227</v>
      </c>
      <c r="E9" t="s">
        <v>227</v>
      </c>
      <c r="F9" t="s">
        <v>245</v>
      </c>
      <c r="G9" t="s">
        <v>229</v>
      </c>
      <c r="H9" t="s">
        <v>227</v>
      </c>
      <c r="I9" t="s">
        <v>227</v>
      </c>
      <c r="J9" t="s">
        <v>227</v>
      </c>
      <c r="K9" t="s">
        <v>227</v>
      </c>
      <c r="L9">
        <v>1.2683916793505801</v>
      </c>
      <c r="M9">
        <v>1.2683916793505801</v>
      </c>
      <c r="N9" t="s">
        <v>227</v>
      </c>
    </row>
    <row r="10" spans="1:14" ht="15">
      <c r="A10" t="s">
        <v>16</v>
      </c>
      <c r="B10" t="s">
        <v>125</v>
      </c>
      <c r="C10" t="s">
        <v>270</v>
      </c>
      <c r="D10" t="s">
        <v>227</v>
      </c>
      <c r="E10" t="s">
        <v>227</v>
      </c>
      <c r="F10" t="s">
        <v>245</v>
      </c>
      <c r="G10" t="s">
        <v>229</v>
      </c>
      <c r="H10" t="s">
        <v>227</v>
      </c>
      <c r="I10" t="s">
        <v>227</v>
      </c>
      <c r="J10" t="s">
        <v>227</v>
      </c>
      <c r="K10" t="s">
        <v>227</v>
      </c>
      <c r="L10">
        <v>33.491553664929803</v>
      </c>
      <c r="M10">
        <v>33.491553664929803</v>
      </c>
      <c r="N10" t="s">
        <v>227</v>
      </c>
    </row>
    <row r="11" spans="1:14" ht="15">
      <c r="A11" t="s">
        <v>16</v>
      </c>
      <c r="B11" t="s">
        <v>125</v>
      </c>
      <c r="C11" t="s">
        <v>269</v>
      </c>
      <c r="D11" t="s">
        <v>227</v>
      </c>
      <c r="E11" t="s">
        <v>227</v>
      </c>
      <c r="F11" t="s">
        <v>245</v>
      </c>
      <c r="G11" t="s">
        <v>229</v>
      </c>
      <c r="H11" t="s">
        <v>227</v>
      </c>
      <c r="I11" t="s">
        <v>227</v>
      </c>
      <c r="J11" t="s">
        <v>227</v>
      </c>
      <c r="K11" t="s">
        <v>227</v>
      </c>
      <c r="L11">
        <v>58.016156280053501</v>
      </c>
      <c r="M11">
        <v>58.016156280053501</v>
      </c>
      <c r="N11" t="s">
        <v>227</v>
      </c>
    </row>
    <row r="12" spans="1:14" ht="15">
      <c r="A12" t="s">
        <v>16</v>
      </c>
      <c r="B12" t="s">
        <v>209</v>
      </c>
      <c r="C12" t="s">
        <v>264</v>
      </c>
      <c r="D12" t="s">
        <v>227</v>
      </c>
      <c r="E12" t="s">
        <v>227</v>
      </c>
      <c r="F12" t="s">
        <v>227</v>
      </c>
      <c r="G12" t="s">
        <v>229</v>
      </c>
      <c r="H12" t="s">
        <v>227</v>
      </c>
      <c r="I12" t="s">
        <v>227</v>
      </c>
      <c r="J12" t="s">
        <v>227</v>
      </c>
      <c r="K12" t="s">
        <v>227</v>
      </c>
      <c r="L12">
        <v>0.019199999999999998</v>
      </c>
      <c r="M12">
        <v>0.019199999999999998</v>
      </c>
      <c r="N12" t="s">
        <v>227</v>
      </c>
    </row>
    <row r="13" spans="1:14" ht="15">
      <c r="A13" t="s">
        <v>16</v>
      </c>
      <c r="B13" t="s">
        <v>209</v>
      </c>
      <c r="C13" t="s">
        <v>197</v>
      </c>
      <c r="D13" t="s">
        <v>227</v>
      </c>
      <c r="E13" t="s">
        <v>227</v>
      </c>
      <c r="F13" t="s">
        <v>227</v>
      </c>
      <c r="G13" t="s">
        <v>229</v>
      </c>
      <c r="H13" t="s">
        <v>227</v>
      </c>
      <c r="I13" t="s">
        <v>227</v>
      </c>
      <c r="J13" t="s">
        <v>227</v>
      </c>
      <c r="K13" t="s">
        <v>227</v>
      </c>
      <c r="L13">
        <v>0.071999999999999995</v>
      </c>
      <c r="M13">
        <v>0.071999999999999995</v>
      </c>
      <c r="N13" t="s">
        <v>227</v>
      </c>
    </row>
    <row r="14" spans="1:14" ht="15">
      <c r="A14" t="s">
        <v>16</v>
      </c>
      <c r="B14" t="s">
        <v>209</v>
      </c>
      <c r="C14" t="s">
        <v>268</v>
      </c>
      <c r="D14" t="s">
        <v>227</v>
      </c>
      <c r="E14" t="s">
        <v>227</v>
      </c>
      <c r="F14" t="s">
        <v>227</v>
      </c>
      <c r="G14" t="s">
        <v>229</v>
      </c>
      <c r="H14" t="s">
        <v>227</v>
      </c>
      <c r="I14" t="s">
        <v>227</v>
      </c>
      <c r="J14" t="s">
        <v>227</v>
      </c>
      <c r="K14" t="s">
        <v>227</v>
      </c>
      <c r="L14">
        <v>0.38400000000000001</v>
      </c>
      <c r="M14">
        <v>0.38400000000000001</v>
      </c>
      <c r="N14" t="s">
        <v>227</v>
      </c>
    </row>
    <row r="15" spans="1:14" ht="15">
      <c r="A15" t="s">
        <v>16</v>
      </c>
      <c r="B15" t="s">
        <v>209</v>
      </c>
      <c r="C15" t="s">
        <v>267</v>
      </c>
      <c r="D15" t="s">
        <v>227</v>
      </c>
      <c r="E15" t="s">
        <v>227</v>
      </c>
      <c r="F15" t="s">
        <v>227</v>
      </c>
      <c r="G15" t="s">
        <v>229</v>
      </c>
      <c r="H15" t="s">
        <v>227</v>
      </c>
      <c r="I15" t="s">
        <v>227</v>
      </c>
      <c r="J15" t="s">
        <v>227</v>
      </c>
      <c r="K15" t="s">
        <v>227</v>
      </c>
      <c r="L15">
        <v>0.0047999999999999996</v>
      </c>
      <c r="M15">
        <v>0.0047999999999999996</v>
      </c>
      <c r="N15" t="s">
        <v>227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Legend</vt:lpstr>
      <vt:lpstr>AFA</vt:lpstr>
      <vt:lpstr>EFF</vt:lpstr>
      <vt:lpstr>FillTable</vt:lpstr>
      <vt:lpstr>Regions</vt:lpstr>
      <vt:lpstr>TechSelection</vt:lpstr>
      <vt:lpstr>BY_S-SH</vt:lpstr>
      <vt:lpstr>BY_S-WH</vt:lpstr>
      <vt:lpstr>BY_S-SC</vt:lpstr>
      <vt:lpstr>BY_S-EAP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2021-05-09T23:44:33Z</dcterms:created>
  <dcterms:modified xsi:type="dcterms:W3CDTF">2023-11-16T00:15:25Z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774298369884490</vt:r8>
  </property>
</Properties>
</file>