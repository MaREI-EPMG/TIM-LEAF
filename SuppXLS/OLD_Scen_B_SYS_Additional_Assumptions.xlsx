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Demo_models\Demo_models\Integrated saturation V1.1\Integrated v1.0\SuppXLS\"/>
    </mc:Choice>
  </mc:AlternateContent>
  <xr:revisionPtr revIDLastSave="0" documentId="13_ncr:1_{3C63B021-F7CF-486B-8B9C-73BDCEC80403}" xr6:coauthVersionLast="47" xr6:coauthVersionMax="47" xr10:uidLastSave="{00000000-0000-0000-0000-000000000000}"/>
  <bookViews>
    <workbookView xWindow="-110" yWindow="-110" windowWidth="19420" windowHeight="10300" firstSheet="1" activeTab="6" xr2:uid="{00000000-000D-0000-FFFF-FFFF00000000}"/>
  </bookViews>
  <sheets>
    <sheet name="Cover" sheetId="29" r:id="rId1"/>
    <sheet name="Regions" sheetId="15" r:id="rId2"/>
    <sheet name="PWR" sheetId="19" r:id="rId3"/>
    <sheet name="SYS" sheetId="28" r:id="rId4"/>
    <sheet name="SUP" sheetId="11" r:id="rId5"/>
    <sheet name="SRV" sheetId="26" r:id="rId6"/>
    <sheet name="TRA" sheetId="27" r:id="rId7"/>
  </sheets>
  <definedNames>
    <definedName name="__123Graph_AEUMILKPN" localSheetId="0" hidden="1">#REF!</definedName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localSheetId="0" hidden="1">#REF!</definedName>
    <definedName name="_Regression_Y" hidden="1">#REF!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0" i="27" l="1"/>
  <c r="I56" i="27"/>
  <c r="I32" i="27"/>
  <c r="I54" i="27"/>
  <c r="I44" i="27"/>
  <c r="I42" i="27"/>
  <c r="I31" i="27"/>
  <c r="I30" i="27"/>
  <c r="I19" i="27"/>
  <c r="I18" i="27"/>
  <c r="B47" i="27"/>
  <c r="B35" i="27"/>
  <c r="B23" i="27"/>
  <c r="B11" i="27"/>
  <c r="I5" i="27"/>
  <c r="I15" i="27"/>
  <c r="I16" i="27" s="1"/>
  <c r="G86" i="27"/>
  <c r="G90" i="27" s="1"/>
  <c r="G85" i="27"/>
  <c r="G89" i="27" s="1"/>
  <c r="G84" i="27"/>
  <c r="G88" i="27" s="1"/>
  <c r="D75" i="27"/>
  <c r="E75" i="27"/>
  <c r="F75" i="27"/>
  <c r="G75" i="27"/>
  <c r="H75" i="27"/>
  <c r="C75" i="27"/>
  <c r="D74" i="27"/>
  <c r="E74" i="27"/>
  <c r="F74" i="27"/>
  <c r="G74" i="27"/>
  <c r="H74" i="27"/>
  <c r="C74" i="27"/>
  <c r="J9" i="11"/>
  <c r="J12" i="11"/>
  <c r="J11" i="11"/>
  <c r="J10" i="11"/>
  <c r="B2" i="11"/>
  <c r="F42" i="11"/>
  <c r="G42" i="11"/>
  <c r="G3" i="28"/>
  <c r="F3" i="28"/>
  <c r="I4" i="27"/>
  <c r="H4" i="27"/>
  <c r="G12" i="26"/>
  <c r="G11" i="26"/>
  <c r="G10" i="26"/>
  <c r="G9" i="26"/>
  <c r="G6" i="26"/>
  <c r="G7" i="26"/>
  <c r="G8" i="26"/>
  <c r="G5" i="26"/>
  <c r="G4" i="26"/>
  <c r="F4" i="26"/>
  <c r="I38" i="11"/>
  <c r="G38" i="11"/>
  <c r="D38" i="11"/>
  <c r="C38" i="11"/>
  <c r="G37" i="11"/>
  <c r="I36" i="11"/>
  <c r="G36" i="11"/>
  <c r="D36" i="11"/>
  <c r="C36" i="11"/>
  <c r="G35" i="11"/>
  <c r="G34" i="11"/>
  <c r="F34" i="11"/>
  <c r="I30" i="11"/>
  <c r="G30" i="11"/>
  <c r="D30" i="11"/>
  <c r="C30" i="11"/>
  <c r="G29" i="11"/>
  <c r="F28" i="11"/>
  <c r="G28" i="11"/>
  <c r="C76" i="27" l="1"/>
  <c r="D78" i="27"/>
  <c r="H78" i="27"/>
  <c r="G78" i="27"/>
  <c r="C78" i="27"/>
  <c r="F77" i="27"/>
  <c r="E77" i="27"/>
  <c r="F78" i="27"/>
  <c r="D77" i="27"/>
  <c r="E76" i="27"/>
  <c r="H76" i="27"/>
  <c r="F76" i="27"/>
  <c r="H77" i="27"/>
  <c r="C77" i="27"/>
  <c r="G77" i="27"/>
  <c r="D76" i="27"/>
  <c r="E78" i="27"/>
  <c r="G76" i="27"/>
  <c r="D7" i="15"/>
  <c r="C7" i="15"/>
  <c r="O6" i="15"/>
  <c r="G6" i="15"/>
  <c r="D6" i="15"/>
  <c r="C6" i="15"/>
  <c r="AD5" i="15"/>
  <c r="AD7" i="15" s="1"/>
  <c r="AC5" i="15"/>
  <c r="AC7" i="15" s="1"/>
  <c r="AB5" i="15"/>
  <c r="AB7" i="15" s="1"/>
  <c r="AA5" i="15"/>
  <c r="AA3" i="15" s="1" a="1"/>
  <c r="AA3" i="15" s="1"/>
  <c r="Z5" i="15"/>
  <c r="Z6" i="15" s="1"/>
  <c r="Y5" i="15"/>
  <c r="Y6" i="15" s="1"/>
  <c r="X5" i="15"/>
  <c r="X6" i="15" s="1"/>
  <c r="W5" i="15"/>
  <c r="W7" i="15" s="1"/>
  <c r="V5" i="15"/>
  <c r="V7" i="15" s="1"/>
  <c r="U5" i="15"/>
  <c r="U7" i="15" s="1"/>
  <c r="T5" i="15"/>
  <c r="T7" i="15" s="1"/>
  <c r="S5" i="15"/>
  <c r="S3" i="15" s="1" a="1"/>
  <c r="S3" i="15" s="1"/>
  <c r="R5" i="15"/>
  <c r="R6" i="15" s="1"/>
  <c r="Q5" i="15"/>
  <c r="Q6" i="15" s="1"/>
  <c r="P5" i="15"/>
  <c r="P6" i="15" s="1"/>
  <c r="O5" i="15"/>
  <c r="O7" i="15" s="1"/>
  <c r="N5" i="15"/>
  <c r="N7" i="15" s="1"/>
  <c r="M5" i="15"/>
  <c r="M7" i="15" s="1"/>
  <c r="L5" i="15"/>
  <c r="L7" i="15" s="1"/>
  <c r="K5" i="15"/>
  <c r="K7" i="15" s="1"/>
  <c r="J5" i="15"/>
  <c r="J6" i="15" s="1"/>
  <c r="I5" i="15"/>
  <c r="I6" i="15" s="1"/>
  <c r="H5" i="15"/>
  <c r="H6" i="15" s="1"/>
  <c r="G5" i="15"/>
  <c r="G7" i="15" s="1"/>
  <c r="F5" i="15"/>
  <c r="F7" i="15" s="1"/>
  <c r="E5" i="15"/>
  <c r="E7" i="15" s="1"/>
  <c r="AC3" i="15" a="1"/>
  <c r="AC3" i="15" s="1"/>
  <c r="AB3" i="15" a="1"/>
  <c r="AB3" i="15" s="1"/>
  <c r="Z3" i="15" a="1"/>
  <c r="Z3" i="15" s="1"/>
  <c r="Y3" i="15" a="1"/>
  <c r="Y3" i="15" s="1"/>
  <c r="V3" i="15" a="1"/>
  <c r="V3" i="15" s="1"/>
  <c r="O3" i="15" a="1"/>
  <c r="O3" i="15" s="1"/>
  <c r="N3" i="15" a="1"/>
  <c r="N3" i="15" s="1"/>
  <c r="G3" i="15" a="1"/>
  <c r="G3" i="15" s="1"/>
  <c r="F3" i="15" a="1"/>
  <c r="F3" i="15" s="1"/>
  <c r="D3" i="15" a="1"/>
  <c r="D3" i="15" s="1"/>
  <c r="C3" i="15" a="1"/>
  <c r="C3" i="15" s="1"/>
  <c r="I43" i="27" l="1"/>
  <c r="I55" i="27"/>
  <c r="I51" i="27"/>
  <c r="I39" i="27"/>
  <c r="I27" i="27"/>
  <c r="H3" i="15" a="1"/>
  <c r="H3" i="15" s="1"/>
  <c r="P3" i="15" a="1"/>
  <c r="P3" i="15" s="1"/>
  <c r="I3" i="15" a="1"/>
  <c r="I3" i="15" s="1"/>
  <c r="Q3" i="15" a="1"/>
  <c r="Q3" i="15" s="1"/>
  <c r="J3" i="15" a="1"/>
  <c r="J3" i="15" s="1"/>
  <c r="R3" i="15" a="1"/>
  <c r="R3" i="15" s="1"/>
  <c r="AD3" i="15" a="1"/>
  <c r="AD3" i="15" s="1"/>
  <c r="K3" i="15" a="1"/>
  <c r="K3" i="15" s="1"/>
  <c r="T3" i="15" a="1"/>
  <c r="T3" i="15" s="1"/>
  <c r="L3" i="15" a="1"/>
  <c r="L3" i="15" s="1"/>
  <c r="E3" i="15" a="1"/>
  <c r="E3" i="15" s="1"/>
  <c r="M3" i="15" a="1"/>
  <c r="M3" i="15" s="1"/>
  <c r="X3" i="15" a="1"/>
  <c r="X3" i="15" s="1"/>
  <c r="W6" i="15"/>
  <c r="U3" i="15" a="1"/>
  <c r="U3" i="15" s="1"/>
  <c r="W3" i="15" a="1"/>
  <c r="W3" i="15" s="1"/>
  <c r="K6" i="15"/>
  <c r="S6" i="15"/>
  <c r="AA6" i="15"/>
  <c r="L6" i="15"/>
  <c r="T6" i="15"/>
  <c r="AB6" i="15"/>
  <c r="H7" i="15"/>
  <c r="P7" i="15"/>
  <c r="X7" i="15"/>
  <c r="E6" i="15"/>
  <c r="M6" i="15"/>
  <c r="U6" i="15"/>
  <c r="AC6" i="15"/>
  <c r="I7" i="15"/>
  <c r="Q7" i="15"/>
  <c r="Y7" i="15"/>
  <c r="F6" i="15"/>
  <c r="N6" i="15"/>
  <c r="V6" i="15"/>
  <c r="AD6" i="15"/>
  <c r="J7" i="15"/>
  <c r="R7" i="15"/>
  <c r="Z7" i="15"/>
  <c r="S7" i="15"/>
  <c r="AA7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tc={39F88E30-94DE-4149-8FC0-41BD81F323F5}</author>
    <author>tc={EB3DCB1B-8982-4D24-8304-DBCBE04F3479}</author>
    <author>tc={C3394AD6-E865-4488-B7C2-96AE6AE9F254}</author>
    <author>tc={122B1FEC-CDFA-43B1-9578-EE77FA507220}</author>
    <author>tc={5F60B11B-92F4-4362-8C85-12A98901D200}</author>
  </authors>
  <commentList>
    <comment ref="I8" authorId="0" shapeId="0" xr:uid="{39F88E30-94DE-4149-8FC0-41BD81F323F5}">
      <text>
        <t>[Threaded comment]
Your version of Excel allows you to read this threaded comment; however, any edits to it will get removed if the file is opened in a newer version of Excel. Learn more: https://go.microsoft.com/fwlink/?linkid=870924
Comment:
    CAP 2023</t>
      </text>
    </comment>
    <comment ref="I9" authorId="1" shapeId="0" xr:uid="{EB3DCB1B-8982-4D24-8304-DBCBE04F347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CLIMATE ACTION PLAN 2023
CAP23, Page 129</t>
      </text>
    </comment>
    <comment ref="I41" authorId="2" shapeId="0" xr:uid="{C3394AD6-E865-4488-B7C2-96AE6AE9F254}">
      <text>
        <t>[Threaded comment]
Your version of Excel allows you to read this threaded comment; however, any edits to it will get removed if the file is opened in a newer version of Excel. Learn more: https://go.microsoft.com/fwlink/?linkid=870924
Comment:
    CAP 2023</t>
      </text>
    </comment>
    <comment ref="I42" authorId="3" shapeId="0" xr:uid="{122B1FEC-CDFA-43B1-9578-EE77FA507220}">
      <text>
        <t>[Threaded comment]
Your version of Excel allows you to read this threaded comment; however, any edits to it will get removed if the file is opened in a newer version of Excel. Learn more: https://go.microsoft.com/fwlink/?linkid=870924
Comment:
    CAP 2023</t>
      </text>
    </comment>
    <comment ref="I43" authorId="4" shapeId="0" xr:uid="{5F60B11B-92F4-4362-8C85-12A98901D200}">
      <text>
        <t>[Threaded comment]
Your version of Excel allows you to read this threaded comment; however, any edits to it will get removed if the file is opened in a newer version of Excel. Learn more: https://go.microsoft.com/fwlink/?linkid=870924
Comment:
    CAP 2023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<sst xmlns="http://schemas.openxmlformats.org/spreadsheetml/2006/main" count="659" uniqueCount="260">
  <si>
    <t>UC_N</t>
  </si>
  <si>
    <t>Pset_CI</t>
  </si>
  <si>
    <t>Year</t>
  </si>
  <si>
    <t>Pset_PN</t>
  </si>
  <si>
    <t>Pset_Set</t>
  </si>
  <si>
    <t>Cset_CN</t>
  </si>
  <si>
    <t>Pset_CO</t>
  </si>
  <si>
    <t>~UC_T</t>
  </si>
  <si>
    <t>Attribute</t>
  </si>
  <si>
    <t>LimType</t>
  </si>
  <si>
    <t>~UC_Sets: T_E:</t>
  </si>
  <si>
    <t>UC_Desc</t>
  </si>
  <si>
    <t>TimeSlice</t>
  </si>
  <si>
    <t>Attrib_Cond</t>
  </si>
  <si>
    <t>Val_Cond</t>
  </si>
  <si>
    <t>~TFM_UPD</t>
  </si>
  <si>
    <t>UC - Each Region/Period</t>
  </si>
  <si>
    <t>UC_RHSRTS</t>
  </si>
  <si>
    <t>Development</t>
  </si>
  <si>
    <t>IE</t>
  </si>
  <si>
    <t>National</t>
  </si>
  <si>
    <t>Single-region</t>
  </si>
  <si>
    <t>Multi-region</t>
  </si>
  <si>
    <t>Code</t>
  </si>
  <si>
    <t>County name</t>
  </si>
  <si>
    <t>IE-CW</t>
  </si>
  <si>
    <t>Carlow</t>
  </si>
  <si>
    <t>IE-CN</t>
  </si>
  <si>
    <t>Cavan</t>
  </si>
  <si>
    <t>IE-CE</t>
  </si>
  <si>
    <t>Clare</t>
  </si>
  <si>
    <t>IE-CO</t>
  </si>
  <si>
    <t>Cork</t>
  </si>
  <si>
    <t>IE-DL</t>
  </si>
  <si>
    <t>Donegal</t>
  </si>
  <si>
    <t>IE-D</t>
  </si>
  <si>
    <t>Dublin</t>
  </si>
  <si>
    <t>IE-G</t>
  </si>
  <si>
    <t>Galway</t>
  </si>
  <si>
    <t>IE-KY</t>
  </si>
  <si>
    <t>Kerry</t>
  </si>
  <si>
    <t>IE-KE</t>
  </si>
  <si>
    <t>Kildare</t>
  </si>
  <si>
    <t>IE-KK</t>
  </si>
  <si>
    <t>Kilkenny</t>
  </si>
  <si>
    <t>IE-LS</t>
  </si>
  <si>
    <t>Laois</t>
  </si>
  <si>
    <t>IE-LM</t>
  </si>
  <si>
    <t>Leitrim</t>
  </si>
  <si>
    <t>IE-LK</t>
  </si>
  <si>
    <t>Limerick</t>
  </si>
  <si>
    <t>IE-LD</t>
  </si>
  <si>
    <t>Longford</t>
  </si>
  <si>
    <t>IE-LH</t>
  </si>
  <si>
    <t>Louth</t>
  </si>
  <si>
    <t>IE-MO</t>
  </si>
  <si>
    <t>Mayo</t>
  </si>
  <si>
    <t>IE-MH</t>
  </si>
  <si>
    <t>Meath</t>
  </si>
  <si>
    <t>IE-MN</t>
  </si>
  <si>
    <t>Monaghan</t>
  </si>
  <si>
    <t>IE-OY</t>
  </si>
  <si>
    <t>Offaly</t>
  </si>
  <si>
    <t>IE-RN</t>
  </si>
  <si>
    <t>Roscommon</t>
  </si>
  <si>
    <t>IE-SO</t>
  </si>
  <si>
    <t>Sligo</t>
  </si>
  <si>
    <t>IE-TA</t>
  </si>
  <si>
    <t>Tipperary</t>
  </si>
  <si>
    <t>IE-WD</t>
  </si>
  <si>
    <t>Waterford</t>
  </si>
  <si>
    <t>IE-WH</t>
  </si>
  <si>
    <t>Westmeath</t>
  </si>
  <si>
    <t>IE-WX</t>
  </si>
  <si>
    <t>Wexford</t>
  </si>
  <si>
    <t>IE-WW</t>
  </si>
  <si>
    <t>Wicklow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</si>
  <si>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1"/>
        <color theme="1"/>
        <rFont val="Calibri"/>
        <family val="2"/>
        <scheme val="minor"/>
      </rPr>
      <t>https://en.wikipedia.org/wiki/ISO_3166-2:IE</t>
    </r>
  </si>
  <si>
    <t>NCAP_START</t>
  </si>
  <si>
    <t>SBIORGAS*</t>
  </si>
  <si>
    <t>- enable biogas plants to cover eb</t>
  </si>
  <si>
    <t>UP</t>
  </si>
  <si>
    <t>~TFM_INS</t>
  </si>
  <si>
    <t>P*CCS*</t>
  </si>
  <si>
    <t>NCAP_ILED</t>
  </si>
  <si>
    <t>UC_CAP</t>
  </si>
  <si>
    <t>Scenario</t>
  </si>
  <si>
    <t>NCAP_AFA</t>
  </si>
  <si>
    <t>ANNUAL</t>
  </si>
  <si>
    <t>ACT_BND</t>
  </si>
  <si>
    <t>- limit import of 1G bio fuels</t>
  </si>
  <si>
    <t>TS_Filter</t>
  </si>
  <si>
    <t>HETC</t>
  </si>
  <si>
    <t>IMPBIO*1G*2,IMPBIO*1G*3,IMPBIO*1G*4</t>
  </si>
  <si>
    <t>IMPH2G</t>
  </si>
  <si>
    <t>P*OCE*</t>
  </si>
  <si>
    <t>S-SH-CS_ELC_N1</t>
  </si>
  <si>
    <t>S-SH-CS_ELC_N2</t>
  </si>
  <si>
    <t>S-SH-CS_ELC_N4</t>
  </si>
  <si>
    <t>S-SH-CS_ELC_N7</t>
  </si>
  <si>
    <t>S-SH-PU_ELC_N1</t>
  </si>
  <si>
    <t>S-SH-PU_ELC_N2</t>
  </si>
  <si>
    <t>S-SH-PU_ELC_N4</t>
  </si>
  <si>
    <t>S-SH-PU_ELC_N7</t>
  </si>
  <si>
    <t>AFA</t>
  </si>
  <si>
    <t>T-CAR*1</t>
  </si>
  <si>
    <t>*GRID</t>
  </si>
  <si>
    <t>*</t>
  </si>
  <si>
    <t>val_cond</t>
  </si>
  <si>
    <t>Zero import of wood pellets and chips from 2025</t>
  </si>
  <si>
    <t>IMPBIOW*</t>
  </si>
  <si>
    <t>UC_ZeroImpBIOWfrom2025</t>
  </si>
  <si>
    <t>UC_ACT</t>
  </si>
  <si>
    <t>IMPBIO*</t>
  </si>
  <si>
    <t>MAX BIOIMPORT LIMITS</t>
  </si>
  <si>
    <t>UC_BIOIMPORTS_LIMIT</t>
  </si>
  <si>
    <t>- no coal from 2025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</si>
  <si>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</si>
  <si>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</si>
  <si>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</si>
  <si>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</si>
  <si>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</si>
  <si>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</si>
  <si>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</si>
  <si>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</si>
  <si>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</si>
  <si>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</si>
  <si>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</si>
  <si>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</si>
  <si>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Olexandr Balyk (UCC, olexandr.balyk@ucc.ie)</t>
  </si>
  <si>
    <t>All sectors</t>
  </si>
  <si>
    <t>Specify various assumptions to reflect current policies</t>
  </si>
  <si>
    <t>Hannah Daly (UCC, h.daly@ucc.ie)</t>
  </si>
  <si>
    <t>P*W*OF*</t>
  </si>
  <si>
    <t>- no CCS before 2035</t>
  </si>
  <si>
    <t>P*HY*DAM*</t>
  </si>
  <si>
    <t>P*HY*ROR*</t>
  </si>
  <si>
    <t>- no new hydro (ror) during the modelling horizon</t>
  </si>
  <si>
    <t>- no new hydro (dam) during the modelling horizon</t>
  </si>
  <si>
    <t>- no new CSP during the modelling horizon</t>
  </si>
  <si>
    <t>P-RNW-GEO*</t>
  </si>
  <si>
    <t>- no new GEO during the modelling horizon</t>
  </si>
  <si>
    <t>- 5-year lead time for CCS</t>
  </si>
  <si>
    <t>P-RNW-SOL-CSP*</t>
  </si>
  <si>
    <t>Maximum solar PV capacity</t>
  </si>
  <si>
    <t>UC_Max_PV_Cap</t>
  </si>
  <si>
    <t>P*SOL-PV*</t>
  </si>
  <si>
    <t>UC_MaxNetELCCImport</t>
  </si>
  <si>
    <t>Maximum net electricity import</t>
  </si>
  <si>
    <t>UC_IRE</t>
  </si>
  <si>
    <t>*Units</t>
  </si>
  <si>
    <t>*Pja</t>
  </si>
  <si>
    <t>Other_indexes</t>
  </si>
  <si>
    <t>imp</t>
  </si>
  <si>
    <t>exp</t>
  </si>
  <si>
    <t>ELCC</t>
  </si>
  <si>
    <t>IRE</t>
  </si>
  <si>
    <t>IMPELC*</t>
  </si>
  <si>
    <t>EXPELC*</t>
  </si>
  <si>
    <t>- no new offshore before 2025</t>
  </si>
  <si>
    <t>UC_Max_WIN-Off_Cap</t>
  </si>
  <si>
    <t>P*WIN*OF*</t>
  </si>
  <si>
    <t>UC_Max_WIN-On_Cap</t>
  </si>
  <si>
    <t>P*WIN*ON*</t>
  </si>
  <si>
    <t>LO</t>
  </si>
  <si>
    <t>Maximum Wind Onshore Capacity</t>
  </si>
  <si>
    <t>Source: CLIMATE ACTION PLAN 2023, CAP23</t>
  </si>
  <si>
    <t>Minimum solar PV capacity</t>
  </si>
  <si>
    <t>Max Wind Offshore Capacity</t>
  </si>
  <si>
    <t xml:space="preserve">~UC_Sets: R_E: </t>
  </si>
  <si>
    <t>P*COA*,P*PEA*</t>
  </si>
  <si>
    <t>- limit on coal power generation from 2023</t>
  </si>
  <si>
    <t>FT-PWRDIS</t>
  </si>
  <si>
    <t>- limit on oil-based power generation</t>
  </si>
  <si>
    <t>FT-PWRHFO</t>
  </si>
  <si>
    <t>FT-PWRDIS,FT-PWRHFO</t>
  </si>
  <si>
    <t>- no oil-based power generation</t>
  </si>
  <si>
    <t>P-TH*DIS*,P-TH*HFO*</t>
  </si>
  <si>
    <t>FT-PWRGAS</t>
  </si>
  <si>
    <t>- limit on gas-based power generation</t>
  </si>
  <si>
    <t>Potential quantities of wood pellets available for import to Ireland (PJ)</t>
  </si>
  <si>
    <t>SEAI Heat Study</t>
  </si>
  <si>
    <t>Cost (€/MWh)</t>
  </si>
  <si>
    <t>Cost (€/GJ)</t>
  </si>
  <si>
    <t>Import of Wood Pellets  - Step 1</t>
  </si>
  <si>
    <t>Import of Wood Pellets  - Step 2</t>
  </si>
  <si>
    <t>Import of Wood Pellets  - Step 3</t>
  </si>
  <si>
    <t>Import of Wood Pellets  - Step 4</t>
  </si>
  <si>
    <t>Totoal (PJ)</t>
  </si>
  <si>
    <t>Reference</t>
  </si>
  <si>
    <t>SEAI, 2022. Sustainable bioenergy for heat, National Heat study, Spatial Assessment of Resources and Evaluation of Costs and GHG Emissions</t>
  </si>
  <si>
    <t>IMPBIOWCH*</t>
  </si>
  <si>
    <t>Zero import of wood chips from 2025</t>
  </si>
  <si>
    <t>UC_Max_BECCS_Cap</t>
  </si>
  <si>
    <t>P-RNW-ST-BIO-CCS05</t>
  </si>
  <si>
    <t>Maximum BECCS capacity allowed to install</t>
  </si>
  <si>
    <t>UC_RHSRTS~0</t>
  </si>
  <si>
    <t>T*CAR*</t>
  </si>
  <si>
    <t>Pset_PD</t>
  </si>
  <si>
    <t>*New</t>
  </si>
  <si>
    <t>T-LGT*</t>
  </si>
  <si>
    <t>T-MGT*</t>
  </si>
  <si>
    <t>T-HGT*</t>
  </si>
  <si>
    <t>Table 1: Number of vehicles licensed for the first time</t>
  </si>
  <si>
    <t>New private cars</t>
  </si>
  <si>
    <t>New goods vehicles</t>
  </si>
  <si>
    <t>New other vehicles</t>
  </si>
  <si>
    <t>Total new vehicles</t>
  </si>
  <si>
    <t>Used private cars</t>
  </si>
  <si>
    <t>Used goods vehicles</t>
  </si>
  <si>
    <t>Used other vehicles</t>
  </si>
  <si>
    <t>Total used vehicles</t>
  </si>
  <si>
    <t xml:space="preserve">Ref: CSO Statistics, VEHICLES LICENSED FOR THE FIRST TIME </t>
  </si>
  <si>
    <t>https://www.cso.ie/en/releasesandpublications/ep/p-vlftm/vehicleslicensedforthefirsttimedecemberandyear2023/#:~:text=The%20number%20of%20new%20cars,2022%20(50%2C381%20versus%2046%2C567).</t>
  </si>
  <si>
    <t>New and imported used</t>
  </si>
  <si>
    <t>Private cars</t>
  </si>
  <si>
    <t>Goods vehicles</t>
  </si>
  <si>
    <t>LGT</t>
  </si>
  <si>
    <t>MGT</t>
  </si>
  <si>
    <t>HGT</t>
  </si>
  <si>
    <t>Road Traffic Volumes of Goods Vehicle in 2022</t>
  </si>
  <si>
    <t>Unladen Weight</t>
  </si>
  <si>
    <t>VALUE</t>
  </si>
  <si>
    <t>All unladen weights</t>
  </si>
  <si>
    <t>0 - 2 tonnes</t>
  </si>
  <si>
    <t>2 - 5 tonnes</t>
  </si>
  <si>
    <t>5 - 7.5 tonnes</t>
  </si>
  <si>
    <t>Share in 2022</t>
  </si>
  <si>
    <t>7.5 - 10 tonnes</t>
  </si>
  <si>
    <t>10 - 12.5 tonnes</t>
  </si>
  <si>
    <t>Over 12.5 tonnes</t>
  </si>
  <si>
    <t>CSO, THA19</t>
  </si>
  <si>
    <t>Minimum new car sales</t>
  </si>
  <si>
    <t>UC_min_Car_sale</t>
  </si>
  <si>
    <t>UC_max_Car_sale</t>
  </si>
  <si>
    <t>Maximum new car sales</t>
  </si>
  <si>
    <t>UC_min_H_Truck_sale</t>
  </si>
  <si>
    <t>Minimum new heavy truck sales</t>
  </si>
  <si>
    <t>Maximum new heavy truck sales</t>
  </si>
  <si>
    <t>UC_max_H_Truck_sale</t>
  </si>
  <si>
    <t>UC_min_M_Truck_sale</t>
  </si>
  <si>
    <t>UC_max_M_Truck_sale</t>
  </si>
  <si>
    <t>Minimum new medium truck sales</t>
  </si>
  <si>
    <t>Maximum new medium truck sales</t>
  </si>
  <si>
    <t>UC_min_L_Truck_sale</t>
  </si>
  <si>
    <t>UC_max_L_Truck_sale</t>
  </si>
  <si>
    <t>Minimum new light truck sales</t>
  </si>
  <si>
    <t>Maximum new light truck sales</t>
  </si>
  <si>
    <t>UC_NCAP</t>
  </si>
  <si>
    <t>https://cms.eirgrid.ie/sites/default/files/publications/19035-EirGrid-Generation-Capacity-Statement-Combined-2023-V5-Jan-2024.pdf</t>
  </si>
  <si>
    <t>FX</t>
  </si>
  <si>
    <t>UC_Min_PV_Cap</t>
  </si>
  <si>
    <t>*0.85</t>
  </si>
  <si>
    <t>UC_TIME</t>
  </si>
  <si>
    <t>NCAP,PERIOD</t>
  </si>
  <si>
    <t>*UC_ATTR~RHS</t>
  </si>
  <si>
    <t>UC_TIME~0</t>
  </si>
  <si>
    <t>UC_RHSRT</t>
  </si>
  <si>
    <t>UC_RHSRT~0</t>
  </si>
  <si>
    <t>UC_T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</si>
</sst>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1" formatCode="_-* #,##0_-;\-* #,##0_-;_-* &quot;-&quot;_-;_-@_-"/>
    <numFmt numFmtId="43" formatCode="_-* #,##0.00_-;\-* #,##0.00_-;_-* &quot;-&quot;??_-;_-@_-"/>
    <numFmt numFmtId="164" formatCode="0.0"/>
    <numFmt numFmtId="165" formatCode="\Te\x\t"/>
    <numFmt numFmtId="166" formatCode="_ * #,##0_ ;_ * \-#,##0_ ;_ * &quot;-&quot;_ ;_ @_ "/>
    <numFmt numFmtId="167" formatCode="_ * #,##0.00_ ;_ * \-#,##0.00_ ;_ * &quot;-&quot;??_ ;_ @_ "/>
    <numFmt numFmtId="168" formatCode="General_)"/>
    <numFmt numFmtId="169" formatCode="_-* #,##0.00\ _€_-;\-* #,##0.00\ _€_-;_-* &quot;-&quot;??\ _€_-;_-@_-"/>
    <numFmt numFmtId="170" formatCode="_-* #,##0.00\ [$€]_-;\-* #,##0.00\ [$€]_-;_-* &quot;-&quot;??\ [$€]_-;_-@_-"/>
    <numFmt numFmtId="171" formatCode="#.##000"/>
    <numFmt numFmtId="172" formatCode="\$#,#00"/>
    <numFmt numFmtId="173" formatCode="#."/>
    <numFmt numFmtId="174" formatCode="_([$€]* #,##0.00_);_([$€]* \(#,##0.00\);_([$€]* &quot;-&quot;??_);_(@_)"/>
    <numFmt numFmtId="175" formatCode="_-[$€]* #,##0.00_-;\-[$€]* #,##0.00_-;_-[$€]* &quot;-&quot;??_-;_-@_-"/>
    <numFmt numFmtId="176" formatCode="#,#00"/>
    <numFmt numFmtId="177" formatCode="_-* #,##0\ _€_-;\-* #,##0\ _€_-;_-* &quot;-&quot;\ _€_-;_-@_-"/>
    <numFmt numFmtId="178" formatCode="_-* #,##0.00\ _p_t_a_-;\-* #,##0.00\ _p_t_a_-;_-* &quot;-&quot;??\ _p_t_a_-;_-@_-"/>
    <numFmt numFmtId="179" formatCode="_-* #,##0.00\ _P_t_s_-;\-* #,##0.00\ _P_t_s_-;_-* &quot;-&quot;??\ _P_t_s_-;_-@_-"/>
    <numFmt numFmtId="180" formatCode="mmm"/>
    <numFmt numFmtId="181" formatCode="#,##0.000\ "/>
    <numFmt numFmtId="182" formatCode="%#,#00"/>
    <numFmt numFmtId="183" formatCode="_-&quot;$&quot;\ * #,##0.00_-;\-&quot;$&quot;\ * #,##0.00_-;_-&quot;$&quot;\ * &quot;-&quot;??_-;_-@_-"/>
    <numFmt numFmtId="184" formatCode="_-[$€-2]\ * #,##0.00_-;\-[$€-2]\ * #,##0.00_-;_-[$€-2]\ * &quot;-&quot;??_-"/>
    <numFmt numFmtId="185" formatCode="\$#,##0\ ;\(\$#,##0\)"/>
    <numFmt numFmtId="186" formatCode="_-* #,##0.00\ _P_t_a_-;\-* #,##0.00\ _P_t_a_-;_-* &quot;-&quot;??\ _P_t_a_-;_-@_-"/>
    <numFmt numFmtId="187" formatCode="_ [$€-2]\ * #,##0.00_ ;_ [$€-2]\ * \-#,##0.00_ ;_ [$€-2]\ * &quot;-&quot;??_ "/>
    <numFmt numFmtId="188" formatCode="_ &quot;$&quot;\ * #,##0.00_ ;_ &quot;$&quot;\ * \-#,##0.00_ ;_ &quot;$&quot;\ * &quot;-&quot;??_ ;_ @_ "/>
    <numFmt numFmtId="189" formatCode="[$-340A]d&quot; de &quot;mmmm&quot; de &quot;yyyy;@"/>
    <numFmt numFmtId="190" formatCode="0.0%"/>
    <numFmt numFmtId="191" formatCode="_ * #,##0_ ;_ * \-#,##0_ ;_ * &quot;-&quot;??_ ;_ @_ "/>
  </numFmts>
  <fonts count="137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4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</font>
    <font>
      <sz val="9"/>
      <name val="Times New Roman"/>
      <family val="1"/>
    </font>
    <font>
      <b/>
      <sz val="11"/>
      <color theme="0"/>
      <name val="Calibri"/>
      <family val="2"/>
    </font>
    <font>
      <sz val="18"/>
      <color theme="3"/>
      <name val="Cambria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2395F"/>
      <name val="Arial"/>
      <family val="2"/>
    </font>
    <font>
      <sz val="8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name val="Courier"/>
      <family val="3"/>
    </font>
    <font>
      <sz val="8"/>
      <name val="Arial"/>
      <family val="2"/>
    </font>
    <font>
      <sz val="10"/>
      <color indexed="9"/>
      <name val="Arial"/>
      <family val="2"/>
    </font>
    <font>
      <sz val="10"/>
      <name val="Bookman Old Style"/>
      <family val="1"/>
    </font>
    <font>
      <sz val="12"/>
      <name val="Arial"/>
      <family val="2"/>
    </font>
    <font>
      <sz val="10"/>
      <color indexed="60"/>
      <name val="Arial"/>
      <family val="2"/>
    </font>
    <font>
      <b/>
      <sz val="10"/>
      <color indexed="8"/>
      <name val="Arial"/>
      <family val="2"/>
    </font>
    <font>
      <sz val="10"/>
      <name val="Times New Roman"/>
      <family val="1"/>
    </font>
    <font>
      <b/>
      <sz val="10"/>
      <color indexed="9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0"/>
      <color indexed="17"/>
      <name val="Arial"/>
      <family val="2"/>
    </font>
    <font>
      <b/>
      <sz val="10"/>
      <color indexed="52"/>
      <name val="Arial"/>
      <family val="2"/>
    </font>
    <font>
      <sz val="10"/>
      <color indexed="52"/>
      <name val="Arial"/>
      <family val="2"/>
    </font>
    <font>
      <sz val="1"/>
      <color indexed="8"/>
      <name val="Courier"/>
      <family val="3"/>
    </font>
    <font>
      <sz val="1"/>
      <color indexed="16"/>
      <name val="Courier"/>
      <family val="3"/>
    </font>
    <font>
      <b/>
      <sz val="1"/>
      <color indexed="8"/>
      <name val="Courier"/>
      <family val="3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b/>
      <sz val="1"/>
      <color indexed="16"/>
      <name val="Courier"/>
      <family val="3"/>
    </font>
    <font>
      <sz val="10"/>
      <color indexed="20"/>
      <name val="Arial"/>
      <family val="2"/>
    </font>
    <font>
      <b/>
      <sz val="12"/>
      <color indexed="43"/>
      <name val="Verdana"/>
      <family val="2"/>
    </font>
    <font>
      <b/>
      <sz val="10"/>
      <color indexed="63"/>
      <name val="Arial"/>
      <family val="2"/>
    </font>
    <font>
      <sz val="10"/>
      <color indexed="10"/>
      <name val="Arial"/>
      <family val="2"/>
    </font>
    <font>
      <i/>
      <sz val="10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1"/>
      <name val="Calibri"/>
      <family val="2"/>
    </font>
    <font>
      <sz val="11"/>
      <color indexed="51"/>
      <name val="Calibri"/>
      <family val="2"/>
    </font>
    <font>
      <b/>
      <sz val="11"/>
      <color indexed="61"/>
      <name val="Calibri"/>
      <family val="2"/>
    </font>
    <font>
      <sz val="11"/>
      <color indexed="61"/>
      <name val="Calibri"/>
      <family val="2"/>
    </font>
    <font>
      <sz val="11"/>
      <color indexed="59"/>
      <name val="Calibri"/>
      <family val="2"/>
    </font>
    <font>
      <b/>
      <sz val="11"/>
      <color indexed="62"/>
      <name val="Calibri"/>
      <family val="2"/>
    </font>
    <font>
      <b/>
      <sz val="18"/>
      <color indexed="61"/>
      <name val="Cambria"/>
      <family val="2"/>
    </font>
    <font>
      <b/>
      <sz val="15"/>
      <color indexed="61"/>
      <name val="Calibri"/>
      <family val="2"/>
    </font>
    <font>
      <b/>
      <sz val="13"/>
      <color indexed="61"/>
      <name val="Calibri"/>
      <family val="2"/>
    </font>
    <font>
      <b/>
      <sz val="18"/>
      <color indexed="22"/>
      <name val="Arial"/>
      <family val="2"/>
    </font>
    <font>
      <b/>
      <sz val="12"/>
      <color indexed="22"/>
      <name val="Arial"/>
      <family val="2"/>
    </font>
    <font>
      <sz val="10"/>
      <color indexed="22"/>
      <name val="Arial"/>
      <family val="2"/>
    </font>
    <font>
      <sz val="10"/>
      <name val="MS Sans Serif"/>
      <family val="2"/>
    </font>
    <font>
      <sz val="10"/>
      <name val="Courier New"/>
      <family val="3"/>
    </font>
    <font>
      <sz val="10"/>
      <name val="Century Gothic"/>
      <family val="2"/>
    </font>
    <font>
      <sz val="10"/>
      <name val="Arial"/>
      <family val="2"/>
      <charset val="1"/>
    </font>
    <font>
      <sz val="12"/>
      <color indexed="8"/>
      <name val="Arial"/>
      <family val="2"/>
    </font>
    <font>
      <b/>
      <sz val="10"/>
      <color indexed="32"/>
      <name val="Arial"/>
      <family val="2"/>
    </font>
    <font>
      <u/>
      <sz val="7.5"/>
      <color indexed="12"/>
      <name val="Arial"/>
      <family val="2"/>
    </font>
    <font>
      <b/>
      <sz val="12"/>
      <color indexed="8"/>
      <name val="Times New Roman"/>
      <family val="1"/>
    </font>
    <font>
      <sz val="11"/>
      <color indexed="19"/>
      <name val="Calibri"/>
      <family val="2"/>
    </font>
    <font>
      <sz val="12"/>
      <name val="Helv"/>
    </font>
    <font>
      <b/>
      <u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8"/>
      <color indexed="62"/>
      <name val="Cambria"/>
      <family val="2"/>
    </font>
    <font>
      <sz val="10"/>
      <color indexed="32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1"/>
      <color theme="1"/>
      <name val="Aharoni"/>
      <family val="2"/>
    </font>
    <font>
      <sz val="12"/>
      <color theme="1"/>
      <name val="Arial"/>
      <family val="2"/>
    </font>
  </fonts>
  <fills count="7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indexed="22"/>
        <bgColor indexed="19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8"/>
      </patternFill>
    </fill>
    <fill>
      <patternFill patternType="solid">
        <fgColor indexed="5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63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16"/>
        <bgColor indexed="64"/>
      </patternFill>
    </fill>
    <fill>
      <patternFill patternType="solid">
        <fgColor indexed="9"/>
        <bgColor indexed="19"/>
      </patternFill>
    </fill>
  </fills>
  <borders count="4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2"/>
      </left>
      <right style="double">
        <color indexed="62"/>
      </right>
      <top style="double">
        <color indexed="62"/>
      </top>
      <bottom style="double">
        <color indexed="6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ck">
        <color indexed="51"/>
      </left>
      <right style="thick">
        <color indexed="51"/>
      </right>
      <top style="thick">
        <color indexed="51"/>
      </top>
      <bottom style="thick">
        <color indexed="5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48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8"/>
      </top>
      <bottom style="double">
        <color indexed="48"/>
      </bottom>
      <diagonal/>
    </border>
  </borders>
  <cellStyleXfs count="4137">
    <xf numFmtId="0" fontId="0" fillId="0" borderId="0"/>
    <xf numFmtId="0" fontId="10" fillId="0" borderId="0" applyNumberFormat="0" applyFill="0" applyBorder="0" applyAlignment="0" applyProtection="0"/>
    <xf numFmtId="0" fontId="4" fillId="0" borderId="0"/>
    <xf numFmtId="0" fontId="4" fillId="0" borderId="0"/>
    <xf numFmtId="0" fontId="21" fillId="0" borderId="0"/>
    <xf numFmtId="9" fontId="4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6" fillId="0" borderId="0"/>
    <xf numFmtId="0" fontId="25" fillId="0" borderId="0"/>
    <xf numFmtId="0" fontId="21" fillId="0" borderId="0"/>
    <xf numFmtId="49" fontId="27" fillId="0" borderId="4" applyNumberFormat="0" applyFont="0" applyFill="0" applyBorder="0" applyProtection="0">
      <alignment horizontal="left" vertical="center" indent="2"/>
    </xf>
    <xf numFmtId="43" fontId="4" fillId="0" borderId="0" applyFont="0" applyFill="0" applyBorder="0" applyAlignment="0" applyProtection="0"/>
    <xf numFmtId="0" fontId="25" fillId="0" borderId="0" applyBorder="0"/>
    <xf numFmtId="0" fontId="21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10" applyNumberFormat="0" applyAlignment="0" applyProtection="0">
      <alignment vertical="center"/>
    </xf>
    <xf numFmtId="0" fontId="37" fillId="14" borderId="11" applyNumberFormat="0" applyAlignment="0" applyProtection="0">
      <alignment vertical="center"/>
    </xf>
    <xf numFmtId="0" fontId="38" fillId="14" borderId="10" applyNumberFormat="0" applyAlignment="0" applyProtection="0">
      <alignment vertical="center"/>
    </xf>
    <xf numFmtId="0" fontId="39" fillId="0" borderId="12" applyNumberFormat="0" applyFill="0" applyAlignment="0" applyProtection="0">
      <alignment vertical="center"/>
    </xf>
    <xf numFmtId="0" fontId="40" fillId="15" borderId="13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0" fillId="0" borderId="7" applyNumberFormat="0" applyFill="0" applyAlignment="0" applyProtection="0"/>
    <xf numFmtId="0" fontId="51" fillId="0" borderId="8" applyNumberFormat="0" applyFill="0" applyAlignment="0" applyProtection="0"/>
    <xf numFmtId="0" fontId="52" fillId="0" borderId="9" applyNumberFormat="0" applyFill="0" applyAlignment="0" applyProtection="0"/>
    <xf numFmtId="0" fontId="52" fillId="0" borderId="0" applyNumberFormat="0" applyFill="0" applyBorder="0" applyAlignment="0" applyProtection="0"/>
    <xf numFmtId="0" fontId="53" fillId="10" borderId="0" applyNumberFormat="0" applyBorder="0" applyAlignment="0" applyProtection="0"/>
    <xf numFmtId="0" fontId="54" fillId="11" borderId="0" applyNumberFormat="0" applyBorder="0" applyAlignment="0" applyProtection="0"/>
    <xf numFmtId="0" fontId="55" fillId="13" borderId="10" applyNumberFormat="0" applyAlignment="0" applyProtection="0"/>
    <xf numFmtId="0" fontId="56" fillId="14" borderId="11" applyNumberFormat="0" applyAlignment="0" applyProtection="0"/>
    <xf numFmtId="0" fontId="57" fillId="14" borderId="10" applyNumberFormat="0" applyAlignment="0" applyProtection="0"/>
    <xf numFmtId="0" fontId="58" fillId="0" borderId="12" applyNumberFormat="0" applyFill="0" applyAlignment="0" applyProtection="0"/>
    <xf numFmtId="0" fontId="59" fillId="15" borderId="13" applyNumberFormat="0" applyAlignment="0" applyProtection="0"/>
    <xf numFmtId="0" fontId="17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" fillId="0" borderId="14" applyNumberFormat="0" applyFill="0" applyAlignment="0" applyProtection="0"/>
    <xf numFmtId="0" fontId="61" fillId="43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61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61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61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61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61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62" fillId="0" borderId="0" applyNumberFormat="0" applyFill="0" applyBorder="0" applyAlignment="0" applyProtection="0"/>
    <xf numFmtId="0" fontId="63" fillId="12" borderId="0" applyNumberFormat="0" applyBorder="0" applyAlignment="0" applyProtection="0"/>
    <xf numFmtId="0" fontId="61" fillId="18" borderId="0" applyNumberFormat="0" applyBorder="0" applyAlignment="0" applyProtection="0"/>
    <xf numFmtId="0" fontId="61" fillId="22" borderId="0" applyNumberFormat="0" applyBorder="0" applyAlignment="0" applyProtection="0"/>
    <xf numFmtId="0" fontId="61" fillId="26" borderId="0" applyNumberFormat="0" applyBorder="0" applyAlignment="0" applyProtection="0"/>
    <xf numFmtId="0" fontId="61" fillId="30" borderId="0" applyNumberFormat="0" applyBorder="0" applyAlignment="0" applyProtection="0"/>
    <xf numFmtId="0" fontId="61" fillId="34" borderId="0" applyNumberFormat="0" applyBorder="0" applyAlignment="0" applyProtection="0"/>
    <xf numFmtId="0" fontId="61" fillId="38" borderId="0" applyNumberFormat="0" applyBorder="0" applyAlignment="0" applyProtection="0"/>
    <xf numFmtId="0" fontId="4" fillId="0" borderId="0"/>
    <xf numFmtId="3" fontId="122" fillId="44" borderId="0">
      <alignment horizontal="left"/>
    </xf>
    <xf numFmtId="0" fontId="20" fillId="45" borderId="0" applyNumberFormat="0" applyBorder="0" applyAlignment="0" applyProtection="0"/>
    <xf numFmtId="0" fontId="20" fillId="46" borderId="0" applyNumberFormat="0" applyBorder="0" applyAlignment="0" applyProtection="0"/>
    <xf numFmtId="0" fontId="20" fillId="47" borderId="0" applyNumberFormat="0" applyBorder="0" applyAlignment="0" applyProtection="0"/>
    <xf numFmtId="0" fontId="20" fillId="48" borderId="0" applyNumberFormat="0" applyBorder="0" applyAlignment="0" applyProtection="0"/>
    <xf numFmtId="0" fontId="20" fillId="49" borderId="0" applyNumberFormat="0" applyBorder="0" applyAlignment="0" applyProtection="0"/>
    <xf numFmtId="0" fontId="20" fillId="50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89" fillId="45" borderId="0" applyNumberFormat="0" applyBorder="0" applyAlignment="0" applyProtection="0"/>
    <xf numFmtId="0" fontId="9" fillId="16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20" fillId="51" borderId="0" applyNumberFormat="0" applyBorder="0" applyAlignment="0" applyProtection="0"/>
    <xf numFmtId="0" fontId="20" fillId="50" borderId="0" applyNumberFormat="0" applyBorder="0" applyAlignment="0" applyProtection="0"/>
    <xf numFmtId="0" fontId="89" fillId="45" borderId="0" applyNumberFormat="0" applyBorder="0" applyAlignment="0" applyProtection="0"/>
    <xf numFmtId="0" fontId="9" fillId="16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9" fillId="16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89" fillId="46" borderId="0" applyNumberFormat="0" applyBorder="0" applyAlignment="0" applyProtection="0"/>
    <xf numFmtId="0" fontId="9" fillId="20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0" fillId="52" borderId="0" applyNumberFormat="0" applyBorder="0" applyAlignment="0" applyProtection="0"/>
    <xf numFmtId="0" fontId="89" fillId="46" borderId="0" applyNumberFormat="0" applyBorder="0" applyAlignment="0" applyProtection="0"/>
    <xf numFmtId="0" fontId="9" fillId="20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9" fillId="20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89" fillId="47" borderId="0" applyNumberFormat="0" applyBorder="0" applyAlignment="0" applyProtection="0"/>
    <xf numFmtId="0" fontId="9" fillId="24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20" fillId="53" borderId="0" applyNumberFormat="0" applyBorder="0" applyAlignment="0" applyProtection="0"/>
    <xf numFmtId="0" fontId="89" fillId="47" borderId="0" applyNumberFormat="0" applyBorder="0" applyAlignment="0" applyProtection="0"/>
    <xf numFmtId="0" fontId="9" fillId="24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9" fillId="24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89" fillId="48" borderId="0" applyNumberFormat="0" applyBorder="0" applyAlignment="0" applyProtection="0"/>
    <xf numFmtId="0" fontId="9" fillId="2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20" fillId="50" borderId="0" applyNumberFormat="0" applyBorder="0" applyAlignment="0" applyProtection="0"/>
    <xf numFmtId="0" fontId="89" fillId="48" borderId="0" applyNumberFormat="0" applyBorder="0" applyAlignment="0" applyProtection="0"/>
    <xf numFmtId="0" fontId="9" fillId="2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9" fillId="2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89" fillId="49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89" fillId="49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20" fillId="49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89" fillId="50" borderId="0" applyNumberFormat="0" applyBorder="0" applyAlignment="0" applyProtection="0"/>
    <xf numFmtId="0" fontId="9" fillId="36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20" fillId="53" borderId="0" applyNumberFormat="0" applyBorder="0" applyAlignment="0" applyProtection="0"/>
    <xf numFmtId="0" fontId="89" fillId="50" borderId="0" applyNumberFormat="0" applyBorder="0" applyAlignment="0" applyProtection="0"/>
    <xf numFmtId="0" fontId="9" fillId="36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9" fillId="36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3" fontId="85" fillId="54" borderId="0"/>
    <xf numFmtId="0" fontId="20" fillId="51" borderId="0" applyNumberFormat="0" applyBorder="0" applyAlignment="0" applyProtection="0"/>
    <xf numFmtId="0" fontId="20" fillId="52" borderId="0" applyNumberFormat="0" applyBorder="0" applyAlignment="0" applyProtection="0"/>
    <xf numFmtId="0" fontId="20" fillId="55" borderId="0" applyNumberFormat="0" applyBorder="0" applyAlignment="0" applyProtection="0"/>
    <xf numFmtId="0" fontId="20" fillId="48" borderId="0" applyNumberFormat="0" applyBorder="0" applyAlignment="0" applyProtection="0"/>
    <xf numFmtId="0" fontId="20" fillId="51" borderId="0" applyNumberFormat="0" applyBorder="0" applyAlignment="0" applyProtection="0"/>
    <xf numFmtId="0" fontId="20" fillId="56" borderId="0" applyNumberFormat="0" applyBorder="0" applyAlignment="0" applyProtection="0"/>
    <xf numFmtId="0" fontId="20" fillId="51" borderId="0" applyNumberFormat="0" applyBorder="0" applyAlignment="0" applyProtection="0"/>
    <xf numFmtId="0" fontId="20" fillId="51" borderId="0" applyNumberFormat="0" applyBorder="0" applyAlignment="0" applyProtection="0"/>
    <xf numFmtId="0" fontId="20" fillId="51" borderId="0" applyNumberFormat="0" applyBorder="0" applyAlignment="0" applyProtection="0"/>
    <xf numFmtId="0" fontId="20" fillId="51" borderId="0" applyNumberFormat="0" applyBorder="0" applyAlignment="0" applyProtection="0"/>
    <xf numFmtId="0" fontId="20" fillId="51" borderId="0" applyNumberFormat="0" applyBorder="0" applyAlignment="0" applyProtection="0"/>
    <xf numFmtId="0" fontId="20" fillId="51" borderId="0" applyNumberFormat="0" applyBorder="0" applyAlignment="0" applyProtection="0"/>
    <xf numFmtId="0" fontId="20" fillId="51" borderId="0" applyNumberFormat="0" applyBorder="0" applyAlignment="0" applyProtection="0"/>
    <xf numFmtId="0" fontId="20" fillId="51" borderId="0" applyNumberFormat="0" applyBorder="0" applyAlignment="0" applyProtection="0"/>
    <xf numFmtId="0" fontId="20" fillId="51" borderId="0" applyNumberFormat="0" applyBorder="0" applyAlignment="0" applyProtection="0"/>
    <xf numFmtId="0" fontId="20" fillId="51" borderId="0" applyNumberFormat="0" applyBorder="0" applyAlignment="0" applyProtection="0"/>
    <xf numFmtId="0" fontId="89" fillId="51" borderId="0" applyNumberFormat="0" applyBorder="0" applyAlignment="0" applyProtection="0"/>
    <xf numFmtId="0" fontId="9" fillId="17" borderId="0" applyNumberFormat="0" applyBorder="0" applyAlignment="0" applyProtection="0"/>
    <xf numFmtId="0" fontId="20" fillId="51" borderId="0" applyNumberFormat="0" applyBorder="0" applyAlignment="0" applyProtection="0"/>
    <xf numFmtId="0" fontId="20" fillId="51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20" fillId="49" borderId="0" applyNumberFormat="0" applyBorder="0" applyAlignment="0" applyProtection="0"/>
    <xf numFmtId="0" fontId="20" fillId="57" borderId="0" applyNumberFormat="0" applyBorder="0" applyAlignment="0" applyProtection="0"/>
    <xf numFmtId="0" fontId="89" fillId="51" borderId="0" applyNumberFormat="0" applyBorder="0" applyAlignment="0" applyProtection="0"/>
    <xf numFmtId="0" fontId="9" fillId="17" borderId="0" applyNumberFormat="0" applyBorder="0" applyAlignment="0" applyProtection="0"/>
    <xf numFmtId="0" fontId="20" fillId="51" borderId="0" applyNumberFormat="0" applyBorder="0" applyAlignment="0" applyProtection="0"/>
    <xf numFmtId="0" fontId="20" fillId="51" borderId="0" applyNumberFormat="0" applyBorder="0" applyAlignment="0" applyProtection="0"/>
    <xf numFmtId="0" fontId="9" fillId="17" borderId="0" applyNumberFormat="0" applyBorder="0" applyAlignment="0" applyProtection="0"/>
    <xf numFmtId="0" fontId="20" fillId="51" borderId="0" applyNumberFormat="0" applyBorder="0" applyAlignment="0" applyProtection="0"/>
    <xf numFmtId="0" fontId="20" fillId="51" borderId="0" applyNumberFormat="0" applyBorder="0" applyAlignment="0" applyProtection="0"/>
    <xf numFmtId="0" fontId="20" fillId="51" borderId="0" applyNumberFormat="0" applyBorder="0" applyAlignment="0" applyProtection="0"/>
    <xf numFmtId="0" fontId="20" fillId="51" borderId="0" applyNumberFormat="0" applyBorder="0" applyAlignment="0" applyProtection="0"/>
    <xf numFmtId="0" fontId="20" fillId="51" borderId="0" applyNumberFormat="0" applyBorder="0" applyAlignment="0" applyProtection="0"/>
    <xf numFmtId="0" fontId="89" fillId="52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89" fillId="52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20" fillId="52" borderId="0" applyNumberFormat="0" applyBorder="0" applyAlignment="0" applyProtection="0"/>
    <xf numFmtId="0" fontId="20" fillId="55" borderId="0" applyNumberFormat="0" applyBorder="0" applyAlignment="0" applyProtection="0"/>
    <xf numFmtId="0" fontId="20" fillId="55" borderId="0" applyNumberFormat="0" applyBorder="0" applyAlignment="0" applyProtection="0"/>
    <xf numFmtId="0" fontId="20" fillId="55" borderId="0" applyNumberFormat="0" applyBorder="0" applyAlignment="0" applyProtection="0"/>
    <xf numFmtId="0" fontId="20" fillId="55" borderId="0" applyNumberFormat="0" applyBorder="0" applyAlignment="0" applyProtection="0"/>
    <xf numFmtId="0" fontId="20" fillId="55" borderId="0" applyNumberFormat="0" applyBorder="0" applyAlignment="0" applyProtection="0"/>
    <xf numFmtId="0" fontId="20" fillId="55" borderId="0" applyNumberFormat="0" applyBorder="0" applyAlignment="0" applyProtection="0"/>
    <xf numFmtId="0" fontId="20" fillId="55" borderId="0" applyNumberFormat="0" applyBorder="0" applyAlignment="0" applyProtection="0"/>
    <xf numFmtId="0" fontId="20" fillId="55" borderId="0" applyNumberFormat="0" applyBorder="0" applyAlignment="0" applyProtection="0"/>
    <xf numFmtId="0" fontId="20" fillId="55" borderId="0" applyNumberFormat="0" applyBorder="0" applyAlignment="0" applyProtection="0"/>
    <xf numFmtId="0" fontId="20" fillId="55" borderId="0" applyNumberFormat="0" applyBorder="0" applyAlignment="0" applyProtection="0"/>
    <xf numFmtId="0" fontId="89" fillId="55" borderId="0" applyNumberFormat="0" applyBorder="0" applyAlignment="0" applyProtection="0"/>
    <xf numFmtId="0" fontId="9" fillId="25" borderId="0" applyNumberFormat="0" applyBorder="0" applyAlignment="0" applyProtection="0"/>
    <xf numFmtId="0" fontId="20" fillId="55" borderId="0" applyNumberFormat="0" applyBorder="0" applyAlignment="0" applyProtection="0"/>
    <xf numFmtId="0" fontId="20" fillId="5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20" fillId="58" borderId="0" applyNumberFormat="0" applyBorder="0" applyAlignment="0" applyProtection="0"/>
    <xf numFmtId="0" fontId="89" fillId="55" borderId="0" applyNumberFormat="0" applyBorder="0" applyAlignment="0" applyProtection="0"/>
    <xf numFmtId="0" fontId="9" fillId="25" borderId="0" applyNumberFormat="0" applyBorder="0" applyAlignment="0" applyProtection="0"/>
    <xf numFmtId="0" fontId="20" fillId="55" borderId="0" applyNumberFormat="0" applyBorder="0" applyAlignment="0" applyProtection="0"/>
    <xf numFmtId="0" fontId="20" fillId="55" borderId="0" applyNumberFormat="0" applyBorder="0" applyAlignment="0" applyProtection="0"/>
    <xf numFmtId="0" fontId="9" fillId="25" borderId="0" applyNumberFormat="0" applyBorder="0" applyAlignment="0" applyProtection="0"/>
    <xf numFmtId="0" fontId="20" fillId="55" borderId="0" applyNumberFormat="0" applyBorder="0" applyAlignment="0" applyProtection="0"/>
    <xf numFmtId="0" fontId="20" fillId="55" borderId="0" applyNumberFormat="0" applyBorder="0" applyAlignment="0" applyProtection="0"/>
    <xf numFmtId="0" fontId="20" fillId="55" borderId="0" applyNumberFormat="0" applyBorder="0" applyAlignment="0" applyProtection="0"/>
    <xf numFmtId="0" fontId="20" fillId="55" borderId="0" applyNumberFormat="0" applyBorder="0" applyAlignment="0" applyProtection="0"/>
    <xf numFmtId="0" fontId="20" fillId="55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89" fillId="48" borderId="0" applyNumberFormat="0" applyBorder="0" applyAlignment="0" applyProtection="0"/>
    <xf numFmtId="0" fontId="9" fillId="29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20" fillId="46" borderId="0" applyNumberFormat="0" applyBorder="0" applyAlignment="0" applyProtection="0"/>
    <xf numFmtId="0" fontId="20" fillId="57" borderId="0" applyNumberFormat="0" applyBorder="0" applyAlignment="0" applyProtection="0"/>
    <xf numFmtId="0" fontId="89" fillId="48" borderId="0" applyNumberFormat="0" applyBorder="0" applyAlignment="0" applyProtection="0"/>
    <xf numFmtId="0" fontId="9" fillId="29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9" fillId="29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89" fillId="51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89" fillId="51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20" fillId="49" borderId="0" applyNumberFormat="0" applyBorder="0" applyAlignment="0" applyProtection="0"/>
    <xf numFmtId="0" fontId="20" fillId="51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89" fillId="56" borderId="0" applyNumberFormat="0" applyBorder="0" applyAlignment="0" applyProtection="0"/>
    <xf numFmtId="0" fontId="9" fillId="37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20" fillId="53" borderId="0" applyNumberFormat="0" applyBorder="0" applyAlignment="0" applyProtection="0"/>
    <xf numFmtId="0" fontId="20" fillId="58" borderId="0" applyNumberFormat="0" applyBorder="0" applyAlignment="0" applyProtection="0"/>
    <xf numFmtId="0" fontId="89" fillId="56" borderId="0" applyNumberFormat="0" applyBorder="0" applyAlignment="0" applyProtection="0"/>
    <xf numFmtId="0" fontId="9" fillId="37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9" fillId="37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64" fillId="59" borderId="0" applyNumberFormat="0" applyBorder="0" applyAlignment="0" applyProtection="0"/>
    <xf numFmtId="0" fontId="64" fillId="52" borderId="0" applyNumberFormat="0" applyBorder="0" applyAlignment="0" applyProtection="0"/>
    <xf numFmtId="0" fontId="64" fillId="55" borderId="0" applyNumberFormat="0" applyBorder="0" applyAlignment="0" applyProtection="0"/>
    <xf numFmtId="0" fontId="64" fillId="60" borderId="0" applyNumberFormat="0" applyBorder="0" applyAlignment="0" applyProtection="0"/>
    <xf numFmtId="0" fontId="64" fillId="61" borderId="0" applyNumberFormat="0" applyBorder="0" applyAlignment="0" applyProtection="0"/>
    <xf numFmtId="0" fontId="64" fillId="62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81" fillId="59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61" fillId="18" borderId="0" applyNumberFormat="0" applyBorder="0" applyAlignment="0" applyProtection="0"/>
    <xf numFmtId="0" fontId="64" fillId="49" borderId="0" applyNumberFormat="0" applyBorder="0" applyAlignment="0" applyProtection="0"/>
    <xf numFmtId="0" fontId="64" fillId="63" borderId="0" applyNumberFormat="0" applyBorder="0" applyAlignment="0" applyProtection="0"/>
    <xf numFmtId="0" fontId="81" fillId="59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81" fillId="52" borderId="0" applyNumberFormat="0" applyBorder="0" applyAlignment="0" applyProtection="0"/>
    <xf numFmtId="0" fontId="61" fillId="22" borderId="0" applyNumberFormat="0" applyBorder="0" applyAlignment="0" applyProtection="0"/>
    <xf numFmtId="0" fontId="81" fillId="52" borderId="0" applyNumberFormat="0" applyBorder="0" applyAlignment="0" applyProtection="0"/>
    <xf numFmtId="0" fontId="64" fillId="64" borderId="0" applyNumberFormat="0" applyBorder="0" applyAlignment="0" applyProtection="0"/>
    <xf numFmtId="0" fontId="64" fillId="52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81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1" fillId="26" borderId="0" applyNumberFormat="0" applyBorder="0" applyAlignment="0" applyProtection="0"/>
    <xf numFmtId="0" fontId="64" fillId="56" borderId="0" applyNumberFormat="0" applyBorder="0" applyAlignment="0" applyProtection="0"/>
    <xf numFmtId="0" fontId="64" fillId="58" borderId="0" applyNumberFormat="0" applyBorder="0" applyAlignment="0" applyProtection="0"/>
    <xf numFmtId="0" fontId="81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81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1" fillId="30" borderId="0" applyNumberFormat="0" applyBorder="0" applyAlignment="0" applyProtection="0"/>
    <xf numFmtId="0" fontId="64" fillId="46" borderId="0" applyNumberFormat="0" applyBorder="0" applyAlignment="0" applyProtection="0"/>
    <xf numFmtId="0" fontId="64" fillId="57" borderId="0" applyNumberFormat="0" applyBorder="0" applyAlignment="0" applyProtection="0"/>
    <xf numFmtId="0" fontId="81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81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1" fillId="34" borderId="0" applyNumberFormat="0" applyBorder="0" applyAlignment="0" applyProtection="0"/>
    <xf numFmtId="0" fontId="64" fillId="49" borderId="0" applyNumberFormat="0" applyBorder="0" applyAlignment="0" applyProtection="0"/>
    <xf numFmtId="0" fontId="64" fillId="63" borderId="0" applyNumberFormat="0" applyBorder="0" applyAlignment="0" applyProtection="0"/>
    <xf numFmtId="0" fontId="81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81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1" fillId="38" borderId="0" applyNumberFormat="0" applyBorder="0" applyAlignment="0" applyProtection="0"/>
    <xf numFmtId="0" fontId="64" fillId="52" borderId="0" applyNumberFormat="0" applyBorder="0" applyAlignment="0" applyProtection="0"/>
    <xf numFmtId="0" fontId="81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123" fillId="54" borderId="0">
      <alignment horizontal="left"/>
    </xf>
    <xf numFmtId="0" fontId="79" fillId="0" borderId="0"/>
    <xf numFmtId="0" fontId="4" fillId="0" borderId="0"/>
    <xf numFmtId="0" fontId="7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4" fillId="65" borderId="0" applyNumberFormat="0" applyBorder="0" applyAlignment="0" applyProtection="0"/>
    <xf numFmtId="0" fontId="64" fillId="66" borderId="0" applyNumberFormat="0" applyBorder="0" applyAlignment="0" applyProtection="0"/>
    <xf numFmtId="0" fontId="64" fillId="67" borderId="0" applyNumberFormat="0" applyBorder="0" applyAlignment="0" applyProtection="0"/>
    <xf numFmtId="0" fontId="64" fillId="60" borderId="0" applyNumberFormat="0" applyBorder="0" applyAlignment="0" applyProtection="0"/>
    <xf numFmtId="0" fontId="64" fillId="61" borderId="0" applyNumberFormat="0" applyBorder="0" applyAlignment="0" applyProtection="0"/>
    <xf numFmtId="0" fontId="64" fillId="64" borderId="0" applyNumberFormat="0" applyBorder="0" applyAlignment="0" applyProtection="0"/>
    <xf numFmtId="0" fontId="65" fillId="46" borderId="0" applyNumberFormat="0" applyBorder="0" applyAlignment="0" applyProtection="0"/>
    <xf numFmtId="0" fontId="90" fillId="47" borderId="0" applyNumberFormat="0" applyBorder="0" applyAlignment="0" applyProtection="0"/>
    <xf numFmtId="0" fontId="53" fillId="10" borderId="0" applyNumberFormat="0" applyBorder="0" applyAlignment="0" applyProtection="0"/>
    <xf numFmtId="0" fontId="90" fillId="47" borderId="0" applyNumberFormat="0" applyBorder="0" applyAlignment="0" applyProtection="0"/>
    <xf numFmtId="0" fontId="69" fillId="49" borderId="0" applyNumberFormat="0" applyBorder="0" applyAlignment="0" applyProtection="0"/>
    <xf numFmtId="0" fontId="69" fillId="47" borderId="0" applyNumberFormat="0" applyBorder="0" applyAlignment="0" applyProtection="0"/>
    <xf numFmtId="0" fontId="115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91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106" fillId="68" borderId="21" applyNumberFormat="0" applyAlignment="0" applyProtection="0"/>
    <xf numFmtId="0" fontId="106" fillId="68" borderId="21" applyNumberFormat="0" applyAlignment="0" applyProtection="0"/>
    <xf numFmtId="0" fontId="106" fillId="68" borderId="21" applyNumberFormat="0" applyAlignment="0" applyProtection="0"/>
    <xf numFmtId="0" fontId="106" fillId="68" borderId="21" applyNumberFormat="0" applyAlignment="0" applyProtection="0"/>
    <xf numFmtId="0" fontId="106" fillId="68" borderId="21" applyNumberFormat="0" applyAlignment="0" applyProtection="0"/>
    <xf numFmtId="0" fontId="106" fillId="68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57" fillId="14" borderId="10" applyNumberFormat="0" applyAlignment="0" applyProtection="0"/>
    <xf numFmtId="0" fontId="106" fillId="68" borderId="21" applyNumberFormat="0" applyAlignment="0" applyProtection="0"/>
    <xf numFmtId="0" fontId="106" fillId="68" borderId="21" applyNumberFormat="0" applyAlignment="0" applyProtection="0"/>
    <xf numFmtId="0" fontId="106" fillId="68" borderId="21" applyNumberFormat="0" applyAlignment="0" applyProtection="0"/>
    <xf numFmtId="0" fontId="106" fillId="68" borderId="21" applyNumberFormat="0" applyAlignment="0" applyProtection="0"/>
    <xf numFmtId="0" fontId="106" fillId="68" borderId="21" applyNumberFormat="0" applyAlignment="0" applyProtection="0"/>
    <xf numFmtId="0" fontId="106" fillId="68" borderId="21" applyNumberFormat="0" applyAlignment="0" applyProtection="0"/>
    <xf numFmtId="0" fontId="91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7" fillId="69" borderId="22" applyNumberFormat="0" applyAlignment="0" applyProtection="0"/>
    <xf numFmtId="0" fontId="67" fillId="69" borderId="22" applyNumberFormat="0" applyAlignment="0" applyProtection="0"/>
    <xf numFmtId="0" fontId="67" fillId="69" borderId="22" applyNumberFormat="0" applyAlignment="0" applyProtection="0"/>
    <xf numFmtId="0" fontId="67" fillId="69" borderId="22" applyNumberFormat="0" applyAlignment="0" applyProtection="0"/>
    <xf numFmtId="0" fontId="67" fillId="69" borderId="22" applyNumberFormat="0" applyAlignment="0" applyProtection="0"/>
    <xf numFmtId="0" fontId="67" fillId="69" borderId="22" applyNumberFormat="0" applyAlignment="0" applyProtection="0"/>
    <xf numFmtId="0" fontId="67" fillId="69" borderId="22" applyNumberFormat="0" applyAlignment="0" applyProtection="0"/>
    <xf numFmtId="0" fontId="67" fillId="69" borderId="22" applyNumberFormat="0" applyAlignment="0" applyProtection="0"/>
    <xf numFmtId="0" fontId="67" fillId="69" borderId="22" applyNumberFormat="0" applyAlignment="0" applyProtection="0"/>
    <xf numFmtId="0" fontId="67" fillId="69" borderId="22" applyNumberFormat="0" applyAlignment="0" applyProtection="0"/>
    <xf numFmtId="0" fontId="87" fillId="69" borderId="22" applyNumberFormat="0" applyAlignment="0" applyProtection="0"/>
    <xf numFmtId="0" fontId="67" fillId="69" borderId="22" applyNumberFormat="0" applyAlignment="0" applyProtection="0"/>
    <xf numFmtId="0" fontId="67" fillId="69" borderId="22" applyNumberFormat="0" applyAlignment="0" applyProtection="0"/>
    <xf numFmtId="0" fontId="59" fillId="15" borderId="13" applyNumberFormat="0" applyAlignment="0" applyProtection="0"/>
    <xf numFmtId="0" fontId="67" fillId="70" borderId="23" applyNumberFormat="0" applyAlignment="0" applyProtection="0"/>
    <xf numFmtId="0" fontId="87" fillId="69" borderId="22" applyNumberFormat="0" applyAlignment="0" applyProtection="0"/>
    <xf numFmtId="0" fontId="67" fillId="69" borderId="22" applyNumberFormat="0" applyAlignment="0" applyProtection="0"/>
    <xf numFmtId="0" fontId="67" fillId="69" borderId="22" applyNumberFormat="0" applyAlignment="0" applyProtection="0"/>
    <xf numFmtId="0" fontId="67" fillId="69" borderId="22" applyNumberFormat="0" applyAlignment="0" applyProtection="0"/>
    <xf numFmtId="0" fontId="67" fillId="69" borderId="22" applyNumberFormat="0" applyAlignment="0" applyProtection="0"/>
    <xf numFmtId="0" fontId="67" fillId="69" borderId="22" applyNumberFormat="0" applyAlignment="0" applyProtection="0"/>
    <xf numFmtId="0" fontId="67" fillId="69" borderId="22" applyNumberFormat="0" applyAlignment="0" applyProtection="0"/>
    <xf numFmtId="0" fontId="67" fillId="69" borderId="22" applyNumberFormat="0" applyAlignment="0" applyProtection="0"/>
    <xf numFmtId="0" fontId="74" fillId="0" borderId="24" applyNumberFormat="0" applyFill="0" applyAlignment="0" applyProtection="0"/>
    <xf numFmtId="0" fontId="74" fillId="0" borderId="24" applyNumberFormat="0" applyFill="0" applyAlignment="0" applyProtection="0"/>
    <xf numFmtId="0" fontId="74" fillId="0" borderId="24" applyNumberFormat="0" applyFill="0" applyAlignment="0" applyProtection="0"/>
    <xf numFmtId="0" fontId="74" fillId="0" borderId="24" applyNumberFormat="0" applyFill="0" applyAlignment="0" applyProtection="0"/>
    <xf numFmtId="0" fontId="74" fillId="0" borderId="24" applyNumberFormat="0" applyFill="0" applyAlignment="0" applyProtection="0"/>
    <xf numFmtId="0" fontId="74" fillId="0" borderId="24" applyNumberFormat="0" applyFill="0" applyAlignment="0" applyProtection="0"/>
    <xf numFmtId="0" fontId="74" fillId="0" borderId="24" applyNumberFormat="0" applyFill="0" applyAlignment="0" applyProtection="0"/>
    <xf numFmtId="0" fontId="74" fillId="0" borderId="24" applyNumberFormat="0" applyFill="0" applyAlignment="0" applyProtection="0"/>
    <xf numFmtId="0" fontId="74" fillId="0" borderId="24" applyNumberFormat="0" applyFill="0" applyAlignment="0" applyProtection="0"/>
    <xf numFmtId="0" fontId="74" fillId="0" borderId="24" applyNumberFormat="0" applyFill="0" applyAlignment="0" applyProtection="0"/>
    <xf numFmtId="0" fontId="92" fillId="0" borderId="24" applyNumberFormat="0" applyFill="0" applyAlignment="0" applyProtection="0"/>
    <xf numFmtId="0" fontId="74" fillId="0" borderId="24" applyNumberFormat="0" applyFill="0" applyAlignment="0" applyProtection="0"/>
    <xf numFmtId="0" fontId="74" fillId="0" borderId="24" applyNumberFormat="0" applyFill="0" applyAlignment="0" applyProtection="0"/>
    <xf numFmtId="0" fontId="58" fillId="0" borderId="12" applyNumberFormat="0" applyFill="0" applyAlignment="0" applyProtection="0"/>
    <xf numFmtId="0" fontId="78" fillId="0" borderId="25" applyNumberFormat="0" applyFill="0" applyAlignment="0" applyProtection="0"/>
    <xf numFmtId="0" fontId="107" fillId="0" borderId="26" applyNumberFormat="0" applyFill="0" applyAlignment="0" applyProtection="0"/>
    <xf numFmtId="0" fontId="92" fillId="0" borderId="24" applyNumberFormat="0" applyFill="0" applyAlignment="0" applyProtection="0"/>
    <xf numFmtId="0" fontId="74" fillId="0" borderId="24" applyNumberFormat="0" applyFill="0" applyAlignment="0" applyProtection="0"/>
    <xf numFmtId="0" fontId="74" fillId="0" borderId="24" applyNumberFormat="0" applyFill="0" applyAlignment="0" applyProtection="0"/>
    <xf numFmtId="0" fontId="74" fillId="0" borderId="24" applyNumberFormat="0" applyFill="0" applyAlignment="0" applyProtection="0"/>
    <xf numFmtId="0" fontId="74" fillId="0" borderId="24" applyNumberFormat="0" applyFill="0" applyAlignment="0" applyProtection="0"/>
    <xf numFmtId="0" fontId="74" fillId="0" borderId="24" applyNumberFormat="0" applyFill="0" applyAlignment="0" applyProtection="0"/>
    <xf numFmtId="0" fontId="74" fillId="0" borderId="24" applyNumberFormat="0" applyFill="0" applyAlignment="0" applyProtection="0"/>
    <xf numFmtId="0" fontId="74" fillId="0" borderId="24" applyNumberFormat="0" applyFill="0" applyAlignment="0" applyProtection="0"/>
    <xf numFmtId="0" fontId="67" fillId="69" borderId="22" applyNumberFormat="0" applyAlignment="0" applyProtection="0"/>
    <xf numFmtId="171" fontId="93" fillId="0" borderId="0">
      <protection locked="0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86" fillId="0" borderId="0" applyFont="0" applyFill="0" applyBorder="0" applyAlignment="0" applyProtection="0"/>
    <xf numFmtId="43" fontId="86" fillId="0" borderId="0" applyFont="0" applyFill="0" applyBorder="0" applyAlignment="0" applyProtection="0"/>
    <xf numFmtId="43" fontId="86" fillId="0" borderId="0" applyFont="0" applyFill="0" applyBorder="0" applyAlignment="0" applyProtection="0"/>
    <xf numFmtId="43" fontId="86" fillId="0" borderId="0" applyFont="0" applyFill="0" applyBorder="0" applyAlignment="0" applyProtection="0"/>
    <xf numFmtId="3" fontId="4" fillId="0" borderId="0" applyFont="0" applyFill="0" applyBorder="0" applyAlignment="0" applyProtection="0"/>
    <xf numFmtId="172" fontId="93" fillId="0" borderId="0">
      <protection locked="0"/>
    </xf>
    <xf numFmtId="0" fontId="4" fillId="0" borderId="0" applyFont="0" applyFill="0" applyBorder="0" applyAlignment="0" applyProtection="0"/>
    <xf numFmtId="173" fontId="94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81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1" fillId="43" borderId="0" applyNumberFormat="0" applyBorder="0" applyAlignment="0" applyProtection="0"/>
    <xf numFmtId="0" fontId="64" fillId="71" borderId="0" applyNumberFormat="0" applyBorder="0" applyAlignment="0" applyProtection="0"/>
    <xf numFmtId="0" fontId="64" fillId="63" borderId="0" applyNumberFormat="0" applyBorder="0" applyAlignment="0" applyProtection="0"/>
    <xf numFmtId="0" fontId="81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81" fillId="66" borderId="0" applyNumberFormat="0" applyBorder="0" applyAlignment="0" applyProtection="0"/>
    <xf numFmtId="0" fontId="61" fillId="19" borderId="0" applyNumberFormat="0" applyBorder="0" applyAlignment="0" applyProtection="0"/>
    <xf numFmtId="0" fontId="81" fillId="66" borderId="0" applyNumberFormat="0" applyBorder="0" applyAlignment="0" applyProtection="0"/>
    <xf numFmtId="0" fontId="64" fillId="64" borderId="0" applyNumberFormat="0" applyBorder="0" applyAlignment="0" applyProtection="0"/>
    <xf numFmtId="0" fontId="64" fillId="66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81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1" fillId="23" borderId="0" applyNumberFormat="0" applyBorder="0" applyAlignment="0" applyProtection="0"/>
    <xf numFmtId="0" fontId="64" fillId="56" borderId="0" applyNumberFormat="0" applyBorder="0" applyAlignment="0" applyProtection="0"/>
    <xf numFmtId="0" fontId="64" fillId="71" borderId="0" applyNumberFormat="0" applyBorder="0" applyAlignment="0" applyProtection="0"/>
    <xf numFmtId="0" fontId="81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81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1" fillId="27" borderId="0" applyNumberFormat="0" applyBorder="0" applyAlignment="0" applyProtection="0"/>
    <xf numFmtId="0" fontId="64" fillId="72" borderId="0" applyNumberFormat="0" applyBorder="0" applyAlignment="0" applyProtection="0"/>
    <xf numFmtId="0" fontId="64" fillId="64" borderId="0" applyNumberFormat="0" applyBorder="0" applyAlignment="0" applyProtection="0"/>
    <xf numFmtId="0" fontId="81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81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1" fillId="31" borderId="0" applyNumberFormat="0" applyBorder="0" applyAlignment="0" applyProtection="0"/>
    <xf numFmtId="0" fontId="64" fillId="63" borderId="0" applyNumberFormat="0" applyBorder="0" applyAlignment="0" applyProtection="0"/>
    <xf numFmtId="0" fontId="81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81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1" fillId="35" borderId="0" applyNumberFormat="0" applyBorder="0" applyAlignment="0" applyProtection="0"/>
    <xf numFmtId="0" fontId="64" fillId="66" borderId="0" applyNumberFormat="0" applyBorder="0" applyAlignment="0" applyProtection="0"/>
    <xf numFmtId="0" fontId="64" fillId="62" borderId="0" applyNumberFormat="0" applyBorder="0" applyAlignment="0" applyProtection="0"/>
    <xf numFmtId="0" fontId="81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97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109" fillId="58" borderId="21" applyNumberFormat="0" applyAlignment="0" applyProtection="0"/>
    <xf numFmtId="0" fontId="109" fillId="58" borderId="21" applyNumberFormat="0" applyAlignment="0" applyProtection="0"/>
    <xf numFmtId="0" fontId="109" fillId="58" borderId="21" applyNumberFormat="0" applyAlignment="0" applyProtection="0"/>
    <xf numFmtId="0" fontId="109" fillId="58" borderId="21" applyNumberFormat="0" applyAlignment="0" applyProtection="0"/>
    <xf numFmtId="0" fontId="109" fillId="58" borderId="21" applyNumberFormat="0" applyAlignment="0" applyProtection="0"/>
    <xf numFmtId="0" fontId="109" fillId="58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55" fillId="13" borderId="10" applyNumberFormat="0" applyAlignment="0" applyProtection="0"/>
    <xf numFmtId="0" fontId="109" fillId="58" borderId="21" applyNumberFormat="0" applyAlignment="0" applyProtection="0"/>
    <xf numFmtId="0" fontId="109" fillId="58" borderId="21" applyNumberFormat="0" applyAlignment="0" applyProtection="0"/>
    <xf numFmtId="0" fontId="109" fillId="58" borderId="21" applyNumberFormat="0" applyAlignment="0" applyProtection="0"/>
    <xf numFmtId="0" fontId="109" fillId="58" borderId="21" applyNumberFormat="0" applyAlignment="0" applyProtection="0"/>
    <xf numFmtId="0" fontId="109" fillId="58" borderId="21" applyNumberFormat="0" applyAlignment="0" applyProtection="0"/>
    <xf numFmtId="0" fontId="109" fillId="58" borderId="21" applyNumberFormat="0" applyAlignment="0" applyProtection="0"/>
    <xf numFmtId="0" fontId="97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4" fillId="0" borderId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9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9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9" fillId="0" borderId="0" applyFont="0" applyFill="0" applyBorder="0" applyAlignment="0" applyProtection="0"/>
    <xf numFmtId="0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79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9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9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9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9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9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9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9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9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9" fillId="0" borderId="0" applyFont="0" applyFill="0" applyBorder="0" applyAlignment="0" applyProtection="0"/>
    <xf numFmtId="0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79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9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9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9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9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9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84" fontId="79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83" fillId="0" borderId="0" applyFont="0" applyFill="0" applyBorder="0" applyAlignment="0" applyProtection="0"/>
    <xf numFmtId="0" fontId="93" fillId="0" borderId="0">
      <protection locked="0"/>
    </xf>
    <xf numFmtId="0" fontId="83" fillId="0" borderId="0" applyFont="0" applyFill="0" applyBorder="0" applyAlignment="0" applyProtection="0"/>
    <xf numFmtId="0" fontId="93" fillId="0" borderId="0">
      <protection locked="0"/>
    </xf>
    <xf numFmtId="0" fontId="83" fillId="0" borderId="0" applyFont="0" applyFill="0" applyBorder="0" applyAlignment="0" applyProtection="0"/>
    <xf numFmtId="0" fontId="93" fillId="0" borderId="0">
      <protection locked="0"/>
    </xf>
    <xf numFmtId="0" fontId="83" fillId="0" borderId="0" applyFont="0" applyFill="0" applyBorder="0" applyAlignment="0" applyProtection="0"/>
    <xf numFmtId="0" fontId="93" fillId="0" borderId="0">
      <protection locked="0"/>
    </xf>
    <xf numFmtId="0" fontId="83" fillId="0" borderId="0" applyFont="0" applyFill="0" applyBorder="0" applyAlignment="0" applyProtection="0"/>
    <xf numFmtId="0" fontId="93" fillId="0" borderId="0">
      <protection locked="0"/>
    </xf>
    <xf numFmtId="0" fontId="83" fillId="0" borderId="0" applyFont="0" applyFill="0" applyBorder="0" applyAlignment="0" applyProtection="0"/>
    <xf numFmtId="0" fontId="93" fillId="0" borderId="0">
      <protection locked="0"/>
    </xf>
    <xf numFmtId="0" fontId="83" fillId="0" borderId="0" applyFont="0" applyFill="0" applyBorder="0" applyAlignment="0" applyProtection="0"/>
    <xf numFmtId="0" fontId="93" fillId="0" borderId="0">
      <protection locked="0"/>
    </xf>
    <xf numFmtId="0" fontId="117" fillId="0" borderId="0" applyFont="0" applyFill="0" applyBorder="0" applyAlignment="0" applyProtection="0"/>
    <xf numFmtId="176" fontId="93" fillId="0" borderId="0">
      <protection locked="0"/>
    </xf>
    <xf numFmtId="2" fontId="117" fillId="0" borderId="0" applyFont="0" applyFill="0" applyBorder="0" applyAlignment="0" applyProtection="0"/>
    <xf numFmtId="171" fontId="93" fillId="0" borderId="0">
      <protection locked="0"/>
    </xf>
    <xf numFmtId="173" fontId="94" fillId="0" borderId="0">
      <protection locked="0"/>
    </xf>
    <xf numFmtId="176" fontId="93" fillId="0" borderId="0">
      <protection locked="0"/>
    </xf>
    <xf numFmtId="0" fontId="69" fillId="47" borderId="0" applyNumberFormat="0" applyBorder="0" applyAlignment="0" applyProtection="0"/>
    <xf numFmtId="0" fontId="70" fillId="0" borderId="27" applyNumberFormat="0" applyFill="0" applyAlignment="0" applyProtection="0"/>
    <xf numFmtId="0" fontId="71" fillId="0" borderId="28" applyNumberFormat="0" applyFill="0" applyAlignment="0" applyProtection="0"/>
    <xf numFmtId="0" fontId="72" fillId="0" borderId="29" applyNumberFormat="0" applyFill="0" applyAlignment="0" applyProtection="0"/>
    <xf numFmtId="0" fontId="72" fillId="0" borderId="0" applyNumberFormat="0" applyFill="0" applyBorder="0" applyAlignment="0" applyProtection="0"/>
    <xf numFmtId="173" fontId="98" fillId="0" borderId="0">
      <protection locked="0"/>
    </xf>
    <xf numFmtId="0" fontId="95" fillId="0" borderId="0">
      <protection locked="0"/>
    </xf>
    <xf numFmtId="173" fontId="98" fillId="0" borderId="0">
      <protection locked="0"/>
    </xf>
    <xf numFmtId="0" fontId="95" fillId="0" borderId="0">
      <protection locked="0"/>
    </xf>
    <xf numFmtId="0" fontId="10" fillId="0" borderId="0" applyNumberFormat="0" applyFill="0" applyBorder="0" applyAlignment="0" applyProtection="0"/>
    <xf numFmtId="0" fontId="133" fillId="0" borderId="0" applyNumberFormat="0" applyFill="0" applyBorder="0" applyAlignment="0" applyProtection="0">
      <alignment vertical="top"/>
      <protection locked="0"/>
    </xf>
    <xf numFmtId="0" fontId="124" fillId="0" borderId="0" applyNumberFormat="0" applyFill="0" applyBorder="0" applyAlignment="0" applyProtection="0">
      <alignment vertical="top"/>
      <protection locked="0"/>
    </xf>
    <xf numFmtId="0" fontId="99" fillId="46" borderId="0" applyNumberFormat="0" applyBorder="0" applyAlignment="0" applyProtection="0"/>
    <xf numFmtId="0" fontId="54" fillId="11" borderId="0" applyNumberFormat="0" applyBorder="0" applyAlignment="0" applyProtection="0"/>
    <xf numFmtId="0" fontId="99" fillId="46" borderId="0" applyNumberFormat="0" applyBorder="0" applyAlignment="0" applyProtection="0"/>
    <xf numFmtId="0" fontId="65" fillId="48" borderId="0" applyNumberFormat="0" applyBorder="0" applyAlignment="0" applyProtection="0"/>
    <xf numFmtId="0" fontId="65" fillId="46" borderId="0" applyNumberFormat="0" applyBorder="0" applyAlignment="0" applyProtection="0"/>
    <xf numFmtId="0" fontId="73" fillId="50" borderId="21" applyNumberFormat="0" applyAlignment="0" applyProtection="0"/>
    <xf numFmtId="0" fontId="74" fillId="0" borderId="24" applyNumberFormat="0" applyFill="0" applyAlignment="0" applyProtection="0"/>
    <xf numFmtId="166" fontId="4" fillId="0" borderId="0" applyFont="0" applyFill="0" applyBorder="0" applyAlignment="0" applyProtection="0"/>
    <xf numFmtId="41" fontId="20" fillId="0" borderId="0" applyFont="0" applyFill="0" applyBorder="0" applyAlignment="0" applyProtection="0"/>
    <xf numFmtId="177" fontId="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0" fontId="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86" fontId="119" fillId="0" borderId="0" applyFont="0" applyFill="0" applyBorder="0" applyAlignment="0" applyProtection="0"/>
    <xf numFmtId="190" fontId="4" fillId="0" borderId="0" applyFont="0" applyFill="0" applyBorder="0" applyAlignment="0" applyProtection="0"/>
    <xf numFmtId="169" fontId="20" fillId="0" borderId="0" applyFont="0" applyFill="0" applyBorder="0" applyAlignment="0" applyProtection="0"/>
    <xf numFmtId="186" fontId="119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86" fontId="119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86" fontId="119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86" fontId="119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86" fontId="119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86" fontId="119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86" fontId="119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186" fontId="119" fillId="0" borderId="0" applyFont="0" applyFill="0" applyBorder="0" applyAlignment="0" applyProtection="0"/>
    <xf numFmtId="43" fontId="4" fillId="0" borderId="0" applyFont="0" applyFill="0" applyBorder="0" applyAlignment="0" applyProtection="0"/>
    <xf numFmtId="186" fontId="119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86" fontId="119" fillId="0" borderId="0" applyFont="0" applyFill="0" applyBorder="0" applyAlignment="0" applyProtection="0"/>
    <xf numFmtId="0" fontId="4" fillId="0" borderId="0" applyFont="0" applyFill="0" applyBorder="0" applyAlignment="0" applyProtection="0"/>
    <xf numFmtId="43" fontId="118" fillId="0" borderId="0" applyFont="0" applyFill="0" applyBorder="0" applyAlignment="0" applyProtection="0"/>
    <xf numFmtId="179" fontId="4" fillId="0" borderId="0" applyFont="0" applyFill="0" applyBorder="0" applyAlignment="0" applyProtection="0"/>
    <xf numFmtId="186" fontId="1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86" fontId="119" fillId="0" borderId="0" applyFont="0" applyFill="0" applyBorder="0" applyAlignment="0" applyProtection="0"/>
    <xf numFmtId="43" fontId="4" fillId="0" borderId="0" applyFont="0" applyFill="0" applyBorder="0" applyAlignment="0" applyProtection="0"/>
    <xf numFmtId="186" fontId="119" fillId="0" borderId="0" applyFont="0" applyFill="0" applyBorder="0" applyAlignment="0" applyProtection="0"/>
    <xf numFmtId="167" fontId="20" fillId="0" borderId="0" applyFont="0" applyFill="0" applyBorder="0" applyAlignment="0" applyProtection="0"/>
    <xf numFmtId="186" fontId="119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86" fontId="119" fillId="0" borderId="0" applyFont="0" applyFill="0" applyBorder="0" applyAlignment="0" applyProtection="0"/>
    <xf numFmtId="186" fontId="119" fillId="0" borderId="0" applyFont="0" applyFill="0" applyBorder="0" applyAlignment="0" applyProtection="0"/>
    <xf numFmtId="186" fontId="119" fillId="0" borderId="0" applyFont="0" applyFill="0" applyBorder="0" applyAlignment="0" applyProtection="0"/>
    <xf numFmtId="186" fontId="119" fillId="0" borderId="0" applyFont="0" applyFill="0" applyBorder="0" applyAlignment="0" applyProtection="0"/>
    <xf numFmtId="186" fontId="119" fillId="0" borderId="0" applyFont="0" applyFill="0" applyBorder="0" applyAlignment="0" applyProtection="0"/>
    <xf numFmtId="186" fontId="119" fillId="0" borderId="0" applyFont="0" applyFill="0" applyBorder="0" applyAlignment="0" applyProtection="0"/>
    <xf numFmtId="186" fontId="119" fillId="0" borderId="0" applyFont="0" applyFill="0" applyBorder="0" applyAlignment="0" applyProtection="0"/>
    <xf numFmtId="0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73" fontId="4" fillId="0" borderId="0" applyFont="0" applyFill="0" applyBorder="0" applyAlignment="0" applyProtection="0"/>
    <xf numFmtId="186" fontId="1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6" fontId="119" fillId="0" borderId="0" applyFont="0" applyFill="0" applyBorder="0" applyAlignment="0" applyProtection="0"/>
    <xf numFmtId="186" fontId="119" fillId="0" borderId="0" applyFont="0" applyFill="0" applyBorder="0" applyAlignment="0" applyProtection="0"/>
    <xf numFmtId="186" fontId="119" fillId="0" borderId="0" applyFont="0" applyFill="0" applyBorder="0" applyAlignment="0" applyProtection="0"/>
    <xf numFmtId="186" fontId="119" fillId="0" borderId="0" applyFont="0" applyFill="0" applyBorder="0" applyAlignment="0" applyProtection="0"/>
    <xf numFmtId="186" fontId="119" fillId="0" borderId="0" applyFont="0" applyFill="0" applyBorder="0" applyAlignment="0" applyProtection="0"/>
    <xf numFmtId="186" fontId="119" fillId="0" borderId="0" applyFont="0" applyFill="0" applyBorder="0" applyAlignment="0" applyProtection="0"/>
    <xf numFmtId="186" fontId="119" fillId="0" borderId="0" applyFont="0" applyFill="0" applyBorder="0" applyAlignment="0" applyProtection="0"/>
    <xf numFmtId="186" fontId="119" fillId="0" borderId="0" applyFont="0" applyFill="0" applyBorder="0" applyAlignment="0" applyProtection="0"/>
    <xf numFmtId="186" fontId="1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0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86" fontId="11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186" fontId="119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80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6" fontId="119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4" fillId="0" borderId="0" applyFont="0" applyFill="0" applyBorder="0" applyAlignment="0" applyProtection="0"/>
    <xf numFmtId="16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6" fontId="119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21" fillId="0" borderId="0" applyFont="0" applyFill="0" applyBorder="0" applyAlignment="0" applyProtection="0"/>
    <xf numFmtId="186" fontId="11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86" fontId="119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72" fontId="93" fillId="0" borderId="0">
      <protection locked="0"/>
    </xf>
    <xf numFmtId="185" fontId="117" fillId="0" borderId="0" applyFont="0" applyFill="0" applyBorder="0" applyAlignment="0" applyProtection="0"/>
    <xf numFmtId="3" fontId="125" fillId="44" borderId="2">
      <alignment horizontal="center"/>
    </xf>
    <xf numFmtId="0" fontId="84" fillId="58" borderId="0" applyNumberFormat="0" applyBorder="0" applyAlignment="0" applyProtection="0"/>
    <xf numFmtId="0" fontId="75" fillId="58" borderId="0" applyNumberFormat="0" applyBorder="0" applyAlignment="0" applyProtection="0"/>
    <xf numFmtId="0" fontId="75" fillId="58" borderId="0" applyNumberFormat="0" applyBorder="0" applyAlignment="0" applyProtection="0"/>
    <xf numFmtId="0" fontId="75" fillId="58" borderId="0" applyNumberFormat="0" applyBorder="0" applyAlignment="0" applyProtection="0"/>
    <xf numFmtId="0" fontId="75" fillId="58" borderId="0" applyNumberFormat="0" applyBorder="0" applyAlignment="0" applyProtection="0"/>
    <xf numFmtId="0" fontId="75" fillId="58" borderId="0" applyNumberFormat="0" applyBorder="0" applyAlignment="0" applyProtection="0"/>
    <xf numFmtId="0" fontId="75" fillId="58" borderId="0" applyNumberFormat="0" applyBorder="0" applyAlignment="0" applyProtection="0"/>
    <xf numFmtId="0" fontId="75" fillId="58" borderId="0" applyNumberFormat="0" applyBorder="0" applyAlignment="0" applyProtection="0"/>
    <xf numFmtId="0" fontId="75" fillId="58" borderId="0" applyNumberFormat="0" applyBorder="0" applyAlignment="0" applyProtection="0"/>
    <xf numFmtId="0" fontId="75" fillId="58" borderId="0" applyNumberFormat="0" applyBorder="0" applyAlignment="0" applyProtection="0"/>
    <xf numFmtId="0" fontId="75" fillId="58" borderId="0" applyNumberFormat="0" applyBorder="0" applyAlignment="0" applyProtection="0"/>
    <xf numFmtId="0" fontId="84" fillId="58" borderId="0" applyNumberFormat="0" applyBorder="0" applyAlignment="0" applyProtection="0"/>
    <xf numFmtId="0" fontId="75" fillId="58" borderId="0" applyNumberFormat="0" applyBorder="0" applyAlignment="0" applyProtection="0"/>
    <xf numFmtId="0" fontId="75" fillId="58" borderId="0" applyNumberFormat="0" applyBorder="0" applyAlignment="0" applyProtection="0"/>
    <xf numFmtId="0" fontId="63" fillId="12" borderId="0" applyNumberFormat="0" applyBorder="0" applyAlignment="0" applyProtection="0"/>
    <xf numFmtId="0" fontId="126" fillId="58" borderId="0" applyNumberFormat="0" applyBorder="0" applyAlignment="0" applyProtection="0"/>
    <xf numFmtId="0" fontId="110" fillId="58" borderId="0" applyNumberFormat="0" applyBorder="0" applyAlignment="0" applyProtection="0"/>
    <xf numFmtId="0" fontId="84" fillId="58" borderId="0" applyNumberFormat="0" applyBorder="0" applyAlignment="0" applyProtection="0"/>
    <xf numFmtId="0" fontId="75" fillId="58" borderId="0" applyNumberFormat="0" applyBorder="0" applyAlignment="0" applyProtection="0"/>
    <xf numFmtId="0" fontId="75" fillId="58" borderId="0" applyNumberFormat="0" applyBorder="0" applyAlignment="0" applyProtection="0"/>
    <xf numFmtId="0" fontId="75" fillId="58" borderId="0" applyNumberFormat="0" applyBorder="0" applyAlignment="0" applyProtection="0"/>
    <xf numFmtId="0" fontId="75" fillId="58" borderId="0" applyNumberFormat="0" applyBorder="0" applyAlignment="0" applyProtection="0"/>
    <xf numFmtId="0" fontId="75" fillId="58" borderId="0" applyNumberFormat="0" applyBorder="0" applyAlignment="0" applyProtection="0"/>
    <xf numFmtId="0" fontId="75" fillId="58" borderId="0" applyNumberFormat="0" applyBorder="0" applyAlignment="0" applyProtection="0"/>
    <xf numFmtId="0" fontId="75" fillId="58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1" fillId="0" borderId="0">
      <alignment wrapText="1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0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0" fillId="0" borderId="0"/>
    <xf numFmtId="0" fontId="4" fillId="0" borderId="0"/>
    <xf numFmtId="0" fontId="2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79" fillId="0" borderId="0"/>
    <xf numFmtId="0" fontId="4" fillId="0" borderId="0"/>
    <xf numFmtId="0" fontId="4" fillId="0" borderId="0"/>
    <xf numFmtId="0" fontId="80" fillId="0" borderId="0" applyNumberFormat="0" applyFill="0" applyBorder="0" applyAlignment="0" applyProtection="0"/>
    <xf numFmtId="168" fontId="12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0" fillId="0" borderId="0" applyNumberFormat="0" applyFill="0" applyBorder="0" applyAlignment="0" applyProtection="0"/>
    <xf numFmtId="0" fontId="4" fillId="0" borderId="0"/>
    <xf numFmtId="0" fontId="9" fillId="0" borderId="0"/>
    <xf numFmtId="0" fontId="4" fillId="0" borderId="0"/>
    <xf numFmtId="0" fontId="82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4" fillId="0" borderId="0"/>
    <xf numFmtId="0" fontId="4" fillId="0" borderId="0"/>
    <xf numFmtId="0" fontId="79" fillId="0" borderId="0">
      <alignment vertical="center"/>
    </xf>
    <xf numFmtId="0" fontId="4" fillId="0" borderId="0"/>
    <xf numFmtId="0" fontId="80" fillId="0" borderId="0"/>
    <xf numFmtId="0" fontId="4" fillId="0" borderId="0"/>
    <xf numFmtId="0" fontId="2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" fillId="0" borderId="0"/>
    <xf numFmtId="0" fontId="9" fillId="0" borderId="0"/>
    <xf numFmtId="0" fontId="9" fillId="0" borderId="0"/>
    <xf numFmtId="0" fontId="2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118" fillId="0" borderId="0"/>
    <xf numFmtId="0" fontId="4" fillId="0" borderId="0"/>
    <xf numFmtId="0" fontId="8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20" fillId="0" borderId="0"/>
    <xf numFmtId="0" fontId="4" fillId="0" borderId="0"/>
    <xf numFmtId="0" fontId="9" fillId="0" borderId="0"/>
    <xf numFmtId="0" fontId="118" fillId="0" borderId="0"/>
    <xf numFmtId="0" fontId="4" fillId="0" borderId="0"/>
    <xf numFmtId="0" fontId="86" fillId="0" borderId="0"/>
    <xf numFmtId="0" fontId="2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86" fillId="0" borderId="0"/>
    <xf numFmtId="0" fontId="9" fillId="0" borderId="0"/>
    <xf numFmtId="0" fontId="9" fillId="0" borderId="0"/>
    <xf numFmtId="0" fontId="135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1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6" fillId="0" borderId="0"/>
    <xf numFmtId="0" fontId="9" fillId="0" borderId="0"/>
    <xf numFmtId="0" fontId="9" fillId="0" borderId="0"/>
    <xf numFmtId="0" fontId="80" fillId="0" borderId="0" applyNumberFormat="0" applyFill="0" applyBorder="0" applyAlignment="0" applyProtection="0"/>
    <xf numFmtId="0" fontId="4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13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121" fillId="0" borderId="0">
      <alignment wrapText="1"/>
    </xf>
    <xf numFmtId="0" fontId="4" fillId="0" borderId="0"/>
    <xf numFmtId="0" fontId="86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121" fillId="0" borderId="0">
      <alignment wrapText="1"/>
    </xf>
    <xf numFmtId="0" fontId="4" fillId="0" borderId="0"/>
    <xf numFmtId="0" fontId="4" fillId="0" borderId="0"/>
    <xf numFmtId="0" fontId="20" fillId="0" borderId="0" applyFill="0" applyProtection="0"/>
    <xf numFmtId="189" fontId="134" fillId="0" borderId="0"/>
    <xf numFmtId="0" fontId="20" fillId="0" borderId="0" applyFill="0" applyProtection="0"/>
    <xf numFmtId="0" fontId="20" fillId="0" borderId="0" applyFill="0" applyProtection="0"/>
    <xf numFmtId="0" fontId="4" fillId="0" borderId="0"/>
    <xf numFmtId="0" fontId="20" fillId="0" borderId="0"/>
    <xf numFmtId="0" fontId="20" fillId="0" borderId="0"/>
    <xf numFmtId="0" fontId="2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0" fillId="0" borderId="0"/>
    <xf numFmtId="0" fontId="20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9" fillId="0" borderId="0"/>
    <xf numFmtId="0" fontId="4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9" fillId="0" borderId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20" fillId="53" borderId="30" applyNumberFormat="0" applyFont="0" applyAlignment="0" applyProtection="0"/>
    <xf numFmtId="0" fontId="76" fillId="57" borderId="31" applyNumberFormat="0" applyAlignment="0" applyProtection="0"/>
    <xf numFmtId="0" fontId="100" fillId="73" borderId="32">
      <alignment horizontal="center" vertical="center"/>
    </xf>
    <xf numFmtId="0" fontId="88" fillId="0" borderId="33">
      <alignment horizontal="center"/>
    </xf>
    <xf numFmtId="182" fontId="93" fillId="0" borderId="0">
      <protection locked="0"/>
    </xf>
    <xf numFmtId="9" fontId="8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3" fontId="4" fillId="0" borderId="0" applyFont="0" applyFill="0" applyProtection="0"/>
    <xf numFmtId="9" fontId="4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3" fontId="117" fillId="0" borderId="0" applyFont="0" applyFill="0" applyBorder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101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111" fillId="68" borderId="34" applyNumberFormat="0" applyAlignment="0" applyProtection="0"/>
    <xf numFmtId="0" fontId="111" fillId="68" borderId="34" applyNumberFormat="0" applyAlignment="0" applyProtection="0"/>
    <xf numFmtId="0" fontId="111" fillId="68" borderId="34" applyNumberFormat="0" applyAlignment="0" applyProtection="0"/>
    <xf numFmtId="0" fontId="111" fillId="68" borderId="34" applyNumberFormat="0" applyAlignment="0" applyProtection="0"/>
    <xf numFmtId="0" fontId="111" fillId="68" borderId="34" applyNumberFormat="0" applyAlignment="0" applyProtection="0"/>
    <xf numFmtId="0" fontId="111" fillId="68" borderId="34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56" fillId="14" borderId="11" applyNumberFormat="0" applyAlignment="0" applyProtection="0"/>
    <xf numFmtId="0" fontId="111" fillId="68" borderId="34" applyNumberFormat="0" applyAlignment="0" applyProtection="0"/>
    <xf numFmtId="0" fontId="111" fillId="68" borderId="34" applyNumberFormat="0" applyAlignment="0" applyProtection="0"/>
    <xf numFmtId="0" fontId="111" fillId="68" borderId="34" applyNumberFormat="0" applyAlignment="0" applyProtection="0"/>
    <xf numFmtId="0" fontId="101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3" fontId="123" fillId="74" borderId="0">
      <alignment horizontal="left"/>
    </xf>
    <xf numFmtId="0" fontId="4" fillId="0" borderId="0"/>
    <xf numFmtId="3" fontId="122" fillId="74" borderId="0">
      <alignment horizontal="left"/>
    </xf>
    <xf numFmtId="0" fontId="102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3" fontId="128" fillId="74" borderId="0">
      <alignment horizontal="center"/>
    </xf>
    <xf numFmtId="0" fontId="70" fillId="0" borderId="27" applyNumberFormat="0" applyFill="0" applyAlignment="0" applyProtection="0"/>
    <xf numFmtId="0" fontId="70" fillId="0" borderId="27" applyNumberFormat="0" applyFill="0" applyAlignment="0" applyProtection="0"/>
    <xf numFmtId="0" fontId="70" fillId="0" borderId="27" applyNumberFormat="0" applyFill="0" applyAlignment="0" applyProtection="0"/>
    <xf numFmtId="0" fontId="70" fillId="0" borderId="27" applyNumberFormat="0" applyFill="0" applyAlignment="0" applyProtection="0"/>
    <xf numFmtId="0" fontId="70" fillId="0" borderId="27" applyNumberFormat="0" applyFill="0" applyAlignment="0" applyProtection="0"/>
    <xf numFmtId="0" fontId="70" fillId="0" borderId="27" applyNumberFormat="0" applyFill="0" applyAlignment="0" applyProtection="0"/>
    <xf numFmtId="0" fontId="70" fillId="0" borderId="27" applyNumberFormat="0" applyFill="0" applyAlignment="0" applyProtection="0"/>
    <xf numFmtId="0" fontId="70" fillId="0" borderId="27" applyNumberFormat="0" applyFill="0" applyAlignment="0" applyProtection="0"/>
    <xf numFmtId="0" fontId="70" fillId="0" borderId="27" applyNumberFormat="0" applyFill="0" applyAlignment="0" applyProtection="0"/>
    <xf numFmtId="0" fontId="70" fillId="0" borderId="27" applyNumberFormat="0" applyFill="0" applyAlignment="0" applyProtection="0"/>
    <xf numFmtId="0" fontId="104" fillId="0" borderId="27" applyNumberFormat="0" applyFill="0" applyAlignment="0" applyProtection="0"/>
    <xf numFmtId="0" fontId="70" fillId="0" borderId="27" applyNumberFormat="0" applyFill="0" applyAlignment="0" applyProtection="0"/>
    <xf numFmtId="0" fontId="70" fillId="0" borderId="27" applyNumberFormat="0" applyFill="0" applyAlignment="0" applyProtection="0"/>
    <xf numFmtId="0" fontId="50" fillId="0" borderId="7" applyNumberFormat="0" applyFill="0" applyAlignment="0" applyProtection="0"/>
    <xf numFmtId="0" fontId="129" fillId="0" borderId="35" applyNumberFormat="0" applyFill="0" applyAlignment="0" applyProtection="0"/>
    <xf numFmtId="0" fontId="113" fillId="0" borderId="36" applyNumberFormat="0" applyFill="0" applyAlignment="0" applyProtection="0"/>
    <xf numFmtId="0" fontId="104" fillId="0" borderId="27" applyNumberFormat="0" applyFill="0" applyAlignment="0" applyProtection="0"/>
    <xf numFmtId="0" fontId="70" fillId="0" borderId="27" applyNumberFormat="0" applyFill="0" applyAlignment="0" applyProtection="0"/>
    <xf numFmtId="0" fontId="70" fillId="0" borderId="27" applyNumberFormat="0" applyFill="0" applyAlignment="0" applyProtection="0"/>
    <xf numFmtId="0" fontId="70" fillId="0" borderId="27" applyNumberFormat="0" applyFill="0" applyAlignment="0" applyProtection="0"/>
    <xf numFmtId="0" fontId="70" fillId="0" borderId="27" applyNumberFormat="0" applyFill="0" applyAlignment="0" applyProtection="0"/>
    <xf numFmtId="0" fontId="70" fillId="0" borderId="27" applyNumberFormat="0" applyFill="0" applyAlignment="0" applyProtection="0"/>
    <xf numFmtId="0" fontId="70" fillId="0" borderId="27" applyNumberFormat="0" applyFill="0" applyAlignment="0" applyProtection="0"/>
    <xf numFmtId="0" fontId="70" fillId="0" borderId="27" applyNumberFormat="0" applyFill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105" fillId="0" borderId="28" applyNumberFormat="0" applyFill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51" fillId="0" borderId="8" applyNumberFormat="0" applyFill="0" applyAlignment="0" applyProtection="0"/>
    <xf numFmtId="0" fontId="130" fillId="0" borderId="37" applyNumberFormat="0" applyFill="0" applyAlignment="0" applyProtection="0"/>
    <xf numFmtId="0" fontId="114" fillId="0" borderId="28" applyNumberFormat="0" applyFill="0" applyAlignment="0" applyProtection="0"/>
    <xf numFmtId="0" fontId="105" fillId="0" borderId="28" applyNumberFormat="0" applyFill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96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108" fillId="0" borderId="38" applyNumberFormat="0" applyFill="0" applyAlignment="0" applyProtection="0"/>
    <xf numFmtId="0" fontId="108" fillId="0" borderId="38" applyNumberFormat="0" applyFill="0" applyAlignment="0" applyProtection="0"/>
    <xf numFmtId="0" fontId="108" fillId="0" borderId="38" applyNumberFormat="0" applyFill="0" applyAlignment="0" applyProtection="0"/>
    <xf numFmtId="0" fontId="108" fillId="0" borderId="38" applyNumberFormat="0" applyFill="0" applyAlignment="0" applyProtection="0"/>
    <xf numFmtId="0" fontId="108" fillId="0" borderId="38" applyNumberFormat="0" applyFill="0" applyAlignment="0" applyProtection="0"/>
    <xf numFmtId="0" fontId="108" fillId="0" borderId="38" applyNumberFormat="0" applyFill="0" applyAlignment="0" applyProtection="0"/>
    <xf numFmtId="0" fontId="108" fillId="0" borderId="38" applyNumberFormat="0" applyFill="0" applyAlignment="0" applyProtection="0"/>
    <xf numFmtId="0" fontId="108" fillId="0" borderId="38" applyNumberFormat="0" applyFill="0" applyAlignment="0" applyProtection="0"/>
    <xf numFmtId="0" fontId="108" fillId="0" borderId="38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52" fillId="0" borderId="9" applyNumberFormat="0" applyFill="0" applyAlignment="0" applyProtection="0"/>
    <xf numFmtId="0" fontId="111" fillId="0" borderId="39" applyNumberFormat="0" applyFill="0" applyAlignment="0" applyProtection="0"/>
    <xf numFmtId="0" fontId="111" fillId="0" borderId="39" applyNumberFormat="0" applyFill="0" applyAlignment="0" applyProtection="0"/>
    <xf numFmtId="0" fontId="111" fillId="0" borderId="39" applyNumberFormat="0" applyFill="0" applyAlignment="0" applyProtection="0"/>
    <xf numFmtId="0" fontId="108" fillId="0" borderId="38" applyNumberFormat="0" applyFill="0" applyAlignment="0" applyProtection="0"/>
    <xf numFmtId="0" fontId="96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3" fontId="125" fillId="9" borderId="2">
      <alignment horizontal="center" vertical="center"/>
    </xf>
    <xf numFmtId="3" fontId="132" fillId="74" borderId="0">
      <alignment horizontal="left"/>
    </xf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1" applyNumberFormat="0" applyFill="0" applyAlignment="0" applyProtection="0"/>
    <xf numFmtId="0" fontId="1" fillId="0" borderId="41" applyNumberFormat="0" applyFill="0" applyAlignment="0" applyProtection="0"/>
    <xf numFmtId="0" fontId="1" fillId="0" borderId="41" applyNumberFormat="0" applyFill="0" applyAlignment="0" applyProtection="0"/>
    <xf numFmtId="0" fontId="1" fillId="0" borderId="41" applyNumberFormat="0" applyFill="0" applyAlignment="0" applyProtection="0"/>
    <xf numFmtId="0" fontId="1" fillId="0" borderId="41" applyNumberFormat="0" applyFill="0" applyAlignment="0" applyProtection="0"/>
    <xf numFmtId="0" fontId="1" fillId="0" borderId="41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6" fillId="0" borderId="14" applyNumberFormat="0" applyFill="0" applyAlignment="0" applyProtection="0"/>
    <xf numFmtId="0" fontId="1" fillId="0" borderId="41" applyNumberFormat="0" applyFill="0" applyAlignment="0" applyProtection="0"/>
    <xf numFmtId="0" fontId="1" fillId="0" borderId="41" applyNumberFormat="0" applyFill="0" applyAlignment="0" applyProtection="0"/>
    <xf numFmtId="0" fontId="1" fillId="0" borderId="41" applyNumberFormat="0" applyFill="0" applyAlignment="0" applyProtection="0"/>
    <xf numFmtId="0" fontId="85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</cellStyleXfs>
  <cellXfs count="91">
    <xf numFmtId="0" fontId="0" fillId="0" borderId="0" xfId="0"/>
    <xf numFmtId="0" fontId="2" fillId="0" borderId="0" xfId="0" applyFont="1"/>
    <xf numFmtId="0" fontId="3" fillId="4" borderId="0" xfId="0" applyFont="1" applyFill="1"/>
    <xf numFmtId="0" fontId="3" fillId="5" borderId="0" xfId="0" applyFont="1" applyFill="1"/>
    <xf numFmtId="0" fontId="1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/>
    <xf numFmtId="0" fontId="4" fillId="2" borderId="1" xfId="0" applyFont="1" applyFill="1" applyBorder="1"/>
    <xf numFmtId="0" fontId="6" fillId="6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 applyProtection="1">
      <alignment horizontal="left" vertical="center"/>
      <protection locked="0"/>
    </xf>
    <xf numFmtId="0" fontId="6" fillId="7" borderId="1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quotePrefix="1"/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9" fillId="8" borderId="0" xfId="2" applyFont="1" applyFill="1" applyAlignment="1">
      <alignment vertical="center"/>
    </xf>
    <xf numFmtId="0" fontId="9" fillId="5" borderId="0" xfId="2" applyFont="1" applyFill="1" applyAlignment="1">
      <alignment vertical="center"/>
    </xf>
    <xf numFmtId="0" fontId="11" fillId="5" borderId="0" xfId="2" applyFont="1" applyFill="1" applyAlignment="1">
      <alignment vertical="center"/>
    </xf>
    <xf numFmtId="0" fontId="10" fillId="5" borderId="0" xfId="2" applyFont="1" applyFill="1" applyAlignment="1">
      <alignment vertical="center"/>
    </xf>
    <xf numFmtId="0" fontId="9" fillId="9" borderId="0" xfId="2" applyFont="1" applyFill="1" applyAlignment="1">
      <alignment vertical="center"/>
    </xf>
    <xf numFmtId="0" fontId="8" fillId="5" borderId="0" xfId="2" applyFont="1" applyFill="1" applyAlignment="1">
      <alignment vertical="center"/>
    </xf>
    <xf numFmtId="0" fontId="12" fillId="5" borderId="0" xfId="2" applyFont="1" applyFill="1" applyAlignment="1">
      <alignment vertical="center"/>
    </xf>
    <xf numFmtId="0" fontId="13" fillId="8" borderId="0" xfId="2" applyFont="1" applyFill="1" applyAlignment="1">
      <alignment vertical="center"/>
    </xf>
    <xf numFmtId="0" fontId="7" fillId="5" borderId="0" xfId="2" applyFont="1" applyFill="1" applyAlignment="1">
      <alignment vertical="center"/>
    </xf>
    <xf numFmtId="0" fontId="14" fillId="5" borderId="0" xfId="2" applyFont="1" applyFill="1" applyAlignment="1">
      <alignment vertical="center"/>
    </xf>
    <xf numFmtId="0" fontId="7" fillId="8" borderId="0" xfId="2" applyFont="1" applyFill="1" applyAlignment="1">
      <alignment vertical="center"/>
    </xf>
    <xf numFmtId="164" fontId="7" fillId="8" borderId="0" xfId="2" applyNumberFormat="1" applyFont="1" applyFill="1" applyAlignment="1">
      <alignment horizontal="left" vertical="center"/>
    </xf>
    <xf numFmtId="0" fontId="15" fillId="5" borderId="0" xfId="2" applyFont="1" applyFill="1" applyAlignment="1">
      <alignment vertical="center"/>
    </xf>
    <xf numFmtId="0" fontId="16" fillId="8" borderId="0" xfId="2" applyFont="1" applyFill="1" applyAlignment="1">
      <alignment vertical="center"/>
    </xf>
    <xf numFmtId="0" fontId="10" fillId="8" borderId="0" xfId="1" applyFill="1" applyAlignment="1">
      <alignment vertical="center"/>
    </xf>
    <xf numFmtId="0" fontId="3" fillId="0" borderId="0" xfId="0" applyFont="1"/>
    <xf numFmtId="0" fontId="3" fillId="0" borderId="2" xfId="0" applyFont="1" applyBorder="1"/>
    <xf numFmtId="0" fontId="17" fillId="0" borderId="0" xfId="0" applyFont="1" applyAlignment="1">
      <alignment vertical="center"/>
    </xf>
    <xf numFmtId="0" fontId="17" fillId="0" borderId="0" xfId="0" applyFont="1"/>
    <xf numFmtId="0" fontId="17" fillId="0" borderId="0" xfId="0" quotePrefix="1" applyFont="1"/>
    <xf numFmtId="0" fontId="18" fillId="0" borderId="0" xfId="0" applyFont="1"/>
    <xf numFmtId="0" fontId="17" fillId="0" borderId="0" xfId="0" applyFont="1" applyAlignment="1">
      <alignment vertical="center" wrapText="1"/>
    </xf>
    <xf numFmtId="165" fontId="16" fillId="0" borderId="0" xfId="0" applyNumberFormat="1" applyFont="1" applyAlignment="1">
      <alignment vertical="center"/>
    </xf>
    <xf numFmtId="0" fontId="0" fillId="0" borderId="2" xfId="0" applyBorder="1" applyAlignment="1">
      <alignment vertical="center"/>
    </xf>
    <xf numFmtId="165" fontId="16" fillId="0" borderId="6" xfId="0" applyNumberFormat="1" applyFont="1" applyBorder="1" applyAlignment="1">
      <alignment vertical="center"/>
    </xf>
    <xf numFmtId="165" fontId="16" fillId="0" borderId="2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164" fontId="0" fillId="0" borderId="0" xfId="0" applyNumberFormat="1" applyAlignment="1">
      <alignment vertical="center"/>
    </xf>
    <xf numFmtId="164" fontId="0" fillId="0" borderId="2" xfId="0" applyNumberFormat="1" applyBorder="1" applyAlignment="1">
      <alignment vertical="center"/>
    </xf>
    <xf numFmtId="0" fontId="22" fillId="0" borderId="0" xfId="0" applyFont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19" fillId="2" borderId="1" xfId="0" applyFont="1" applyFill="1" applyBorder="1" applyAlignment="1">
      <alignment horizontal="center" vertical="center"/>
    </xf>
    <xf numFmtId="0" fontId="0" fillId="41" borderId="0" xfId="0" applyFill="1"/>
    <xf numFmtId="9" fontId="0" fillId="0" borderId="0" xfId="14" applyFont="1"/>
    <xf numFmtId="1" fontId="0" fillId="0" borderId="0" xfId="0" applyNumberFormat="1"/>
    <xf numFmtId="3" fontId="0" fillId="0" borderId="0" xfId="0" applyNumberFormat="1"/>
    <xf numFmtId="0" fontId="23" fillId="0" borderId="0" xfId="21" applyFont="1" applyBorder="1"/>
    <xf numFmtId="0" fontId="46" fillId="0" borderId="2" xfId="0" applyFont="1" applyBorder="1"/>
    <xf numFmtId="0" fontId="47" fillId="0" borderId="0" xfId="0" applyFont="1" applyAlignment="1">
      <alignment horizontal="left"/>
    </xf>
    <xf numFmtId="3" fontId="47" fillId="0" borderId="0" xfId="0" applyNumberFormat="1" applyFont="1"/>
    <xf numFmtId="0" fontId="47" fillId="0" borderId="2" xfId="0" applyFont="1" applyBorder="1" applyAlignment="1">
      <alignment horizontal="left"/>
    </xf>
    <xf numFmtId="3" fontId="46" fillId="0" borderId="2" xfId="0" applyNumberFormat="1" applyFont="1" applyBorder="1"/>
    <xf numFmtId="3" fontId="46" fillId="0" borderId="0" xfId="0" applyNumberFormat="1" applyFont="1"/>
    <xf numFmtId="0" fontId="48" fillId="0" borderId="15" xfId="0" applyFont="1" applyBorder="1" applyAlignment="1">
      <alignment horizontal="right" wrapText="1"/>
    </xf>
    <xf numFmtId="0" fontId="10" fillId="0" borderId="0" xfId="1" applyAlignment="1">
      <alignment horizontal="left"/>
    </xf>
    <xf numFmtId="0" fontId="23" fillId="40" borderId="17" xfId="21" applyFont="1" applyFill="1" applyBorder="1"/>
    <xf numFmtId="0" fontId="28" fillId="39" borderId="18" xfId="21" applyFont="1" applyFill="1" applyBorder="1"/>
    <xf numFmtId="0" fontId="28" fillId="39" borderId="19" xfId="21" applyFont="1" applyFill="1" applyBorder="1"/>
    <xf numFmtId="0" fontId="23" fillId="40" borderId="18" xfId="21" applyFont="1" applyFill="1" applyBorder="1"/>
    <xf numFmtId="0" fontId="23" fillId="40" borderId="19" xfId="21" applyFont="1" applyFill="1" applyBorder="1"/>
    <xf numFmtId="0" fontId="23" fillId="0" borderId="18" xfId="21" applyFont="1" applyBorder="1"/>
    <xf numFmtId="0" fontId="23" fillId="0" borderId="19" xfId="21" applyFont="1" applyBorder="1"/>
    <xf numFmtId="0" fontId="23" fillId="40" borderId="16" xfId="21" applyFont="1" applyFill="1" applyBorder="1"/>
    <xf numFmtId="0" fontId="24" fillId="0" borderId="0" xfId="0" applyFont="1"/>
    <xf numFmtId="1" fontId="7" fillId="0" borderId="0" xfId="0" applyNumberFormat="1" applyFont="1" applyAlignment="1">
      <alignment vertical="center"/>
    </xf>
    <xf numFmtId="0" fontId="3" fillId="5" borderId="2" xfId="0" applyFont="1" applyFill="1" applyBorder="1"/>
    <xf numFmtId="0" fontId="3" fillId="4" borderId="2" xfId="0" applyFont="1" applyFill="1" applyBorder="1"/>
    <xf numFmtId="0" fontId="4" fillId="0" borderId="2" xfId="0" applyFont="1" applyBorder="1"/>
    <xf numFmtId="1" fontId="7" fillId="0" borderId="2" xfId="0" applyNumberFormat="1" applyFont="1" applyBorder="1" applyAlignment="1">
      <alignment vertical="center"/>
    </xf>
    <xf numFmtId="164" fontId="7" fillId="0" borderId="2" xfId="0" applyNumberFormat="1" applyFont="1" applyBorder="1" applyAlignment="1">
      <alignment vertical="center"/>
    </xf>
    <xf numFmtId="0" fontId="0" fillId="0" borderId="2" xfId="0" applyBorder="1" applyAlignment="1">
      <alignment vertical="center" wrapText="1"/>
    </xf>
    <xf numFmtId="164" fontId="7" fillId="0" borderId="0" xfId="0" applyNumberFormat="1" applyFont="1" applyAlignment="1">
      <alignment vertical="center"/>
    </xf>
    <xf numFmtId="0" fontId="7" fillId="0" borderId="0" xfId="0" applyFont="1"/>
    <xf numFmtId="0" fontId="17" fillId="0" borderId="2" xfId="0" applyFont="1" applyBorder="1" applyAlignment="1">
      <alignment vertical="center"/>
    </xf>
    <xf numFmtId="0" fontId="10" fillId="0" borderId="0" xfId="1"/>
    <xf numFmtId="164" fontId="0" fillId="0" borderId="0" xfId="0" applyNumberFormat="1"/>
    <xf numFmtId="0" fontId="0" fillId="0" borderId="0" xfId="0" applyAlignment="1">
      <alignment horizontal="right"/>
    </xf>
    <xf numFmtId="0" fontId="7" fillId="8" borderId="0" xfId="2" applyFont="1" applyFill="1" applyAlignment="1">
      <alignment vertical="center"/>
    </xf>
    <xf numFmtId="0" fontId="11" fillId="8" borderId="0" xfId="2" applyFont="1" applyFill="1" applyAlignment="1">
      <alignment horizontal="center" vertical="center"/>
    </xf>
    <xf numFmtId="0" fontId="10" fillId="8" borderId="0" xfId="1" applyFill="1" applyAlignment="1">
      <alignment vertical="center"/>
    </xf>
  </cellXfs>
  <cellStyles count="4137">
    <cellStyle name="0,0_x000a__x000a_NA_x000a__x000a_" xfId="112" xr:uid="{6012D418-BB45-4405-A049-43BDF7D6C774}"/>
    <cellStyle name="1o.nível" xfId="113" xr:uid="{0734992E-F9C5-4098-8F4D-D7496B3C00AE}"/>
    <cellStyle name="20% - Accent1" xfId="87" builtinId="30" customBuiltin="1"/>
    <cellStyle name="20% - Accent1 2" xfId="42" xr:uid="{808A9167-720A-4446-9009-BBC3030DB62C}"/>
    <cellStyle name="20% - Accent1 2 2" xfId="114" xr:uid="{02C0517A-C970-4C1F-BE1C-A638C6098723}"/>
    <cellStyle name="20% - Accent2" xfId="90" builtinId="34" customBuiltin="1"/>
    <cellStyle name="20% - Accent2 2" xfId="46" xr:uid="{9600989E-4634-4E96-A946-77419F723997}"/>
    <cellStyle name="20% - Accent2 2 2" xfId="115" xr:uid="{7B5A35D7-A1EB-474E-B687-BA9F1924D987}"/>
    <cellStyle name="20% - Accent3" xfId="93" builtinId="38" customBuiltin="1"/>
    <cellStyle name="20% - Accent3 2" xfId="50" xr:uid="{7FA6D74D-F724-4027-928A-AE136994B2B2}"/>
    <cellStyle name="20% - Accent3 2 2" xfId="116" xr:uid="{BB3EB9C6-29BA-4BF0-B8BE-64DD0568E026}"/>
    <cellStyle name="20% - Accent4" xfId="96" builtinId="42" customBuiltin="1"/>
    <cellStyle name="20% - Accent4 2" xfId="54" xr:uid="{2AB483B3-8096-4C31-A828-8D8D9EB5BEBA}"/>
    <cellStyle name="20% - Accent4 2 2" xfId="117" xr:uid="{60E85205-EA4C-4354-82BD-937296CF687D}"/>
    <cellStyle name="20% - Accent5" xfId="99" builtinId="46" customBuiltin="1"/>
    <cellStyle name="20% - Accent5 2" xfId="58" xr:uid="{A68BC89A-031E-4A29-BA23-24BDDEDF98B3}"/>
    <cellStyle name="20% - Accent5 2 2" xfId="118" xr:uid="{F6FCD073-378E-46E2-A337-37638DAEC592}"/>
    <cellStyle name="20% - Accent6" xfId="102" builtinId="50" customBuiltin="1"/>
    <cellStyle name="20% - Accent6 2" xfId="62" xr:uid="{802A8FC1-5A1B-4968-BCCD-87691FE04A3F}"/>
    <cellStyle name="20% - Accent6 2 2" xfId="119" xr:uid="{2EC27296-B02F-43A5-B9C5-05D5571B5491}"/>
    <cellStyle name="20% - Énfasis1 10" xfId="120" xr:uid="{12147E05-E640-47A2-9519-9A7DA3994DF5}"/>
    <cellStyle name="20% - Énfasis1 11" xfId="121" xr:uid="{24D28CD4-D830-4C71-90E2-0D0601C3FCF5}"/>
    <cellStyle name="20% - Énfasis1 12" xfId="122" xr:uid="{2D53CEDE-69F2-42D9-B5FE-8E879407AE38}"/>
    <cellStyle name="20% - Énfasis1 13" xfId="123" xr:uid="{93FD3C2C-C95C-4097-BA14-3FDEA483CA52}"/>
    <cellStyle name="20% - Énfasis1 14" xfId="124" xr:uid="{150AC269-BD8B-4F09-BB4C-89E30BDEEDF4}"/>
    <cellStyle name="20% - Énfasis1 15" xfId="125" xr:uid="{2F6F1F01-8529-4EE1-9A2F-3DE4CF779DA6}"/>
    <cellStyle name="20% - Énfasis1 16" xfId="126" xr:uid="{13AC8E23-C28B-4182-8842-B02DE94620C4}"/>
    <cellStyle name="20% - Énfasis1 17" xfId="127" xr:uid="{63B8BDB3-1CF4-4505-A8B9-824B07501C93}"/>
    <cellStyle name="20% - Énfasis1 18" xfId="128" xr:uid="{7DEDEBB6-8780-4413-96DB-28124CA3D0F0}"/>
    <cellStyle name="20% - Énfasis1 19" xfId="129" xr:uid="{49300A1A-CACC-4C08-8F0F-873390B8BC7F}"/>
    <cellStyle name="20% - Énfasis1 2" xfId="130" xr:uid="{C5D04AC4-A5D1-4F1D-9405-B3E7E27FD906}"/>
    <cellStyle name="20% - Énfasis1 2 2" xfId="131" xr:uid="{162D7178-966C-44E9-AA25-C126860969FE}"/>
    <cellStyle name="20% - Énfasis1 2 3" xfId="132" xr:uid="{BE421799-EFC8-4427-BD00-3697CFBE5127}"/>
    <cellStyle name="20% - Énfasis1 20" xfId="133" xr:uid="{B7C9B034-B6D9-4FD5-B634-926DF394910C}"/>
    <cellStyle name="20% - Énfasis1 21" xfId="134" xr:uid="{7F78ABB2-053E-445F-B439-FE452993F8A7}"/>
    <cellStyle name="20% - Énfasis1 21 2" xfId="135" xr:uid="{551BE10B-81A3-46E4-A1C3-F16C8612CB14}"/>
    <cellStyle name="20% - Énfasis1 21 2 2" xfId="136" xr:uid="{8096C5DC-9563-4989-9861-F78C89623F5D}"/>
    <cellStyle name="20% - Énfasis1 21 3" xfId="137" xr:uid="{1D498F8D-A75D-4673-B1D5-6CA774CB4832}"/>
    <cellStyle name="20% - Énfasis1 21 3 2" xfId="138" xr:uid="{76554024-0B96-4DD8-8C04-B8187A95D80E}"/>
    <cellStyle name="20% - Énfasis1 21 4" xfId="139" xr:uid="{83336B72-60D0-40B0-8A36-BC0E4573424C}"/>
    <cellStyle name="20% - Énfasis1 22" xfId="140" xr:uid="{9BD9706F-DB61-4859-8EFA-CCB365F71A01}"/>
    <cellStyle name="20% - Énfasis1 22 2" xfId="141" xr:uid="{9FE933B5-A2E2-499A-96DD-ABAA197CD98C}"/>
    <cellStyle name="20% - Énfasis1 22 2 2" xfId="142" xr:uid="{5D9237A9-5D85-4391-866B-CC2B97936B47}"/>
    <cellStyle name="20% - Énfasis1 22 3" xfId="143" xr:uid="{DE388D10-BCE0-470B-8E9E-E6D427D134D0}"/>
    <cellStyle name="20% - Énfasis1 23" xfId="144" xr:uid="{B0F892DC-5CAF-455A-BD61-EB4592A7C7D6}"/>
    <cellStyle name="20% - Énfasis1 24" xfId="145" xr:uid="{96D7D2AF-8443-47AD-B81E-2857066B5C2B}"/>
    <cellStyle name="20% - Énfasis1 25" xfId="146" xr:uid="{25B186F2-BDCD-4C1D-AEFD-601217C374EC}"/>
    <cellStyle name="20% - Énfasis1 3" xfId="147" xr:uid="{D3F76B35-EB7F-4CEF-A9D2-15DFA548BE39}"/>
    <cellStyle name="20% - Énfasis1 3 2" xfId="148" xr:uid="{E0DA5B3F-1EDD-4328-A8BA-413DC8406417}"/>
    <cellStyle name="20% - Énfasis1 3 3" xfId="149" xr:uid="{7C264E23-F8C6-4B90-A7AC-D9367EA058AB}"/>
    <cellStyle name="20% - Énfasis1 4" xfId="150" xr:uid="{771D6EAE-8F11-47E0-B4AC-198B475A8EA1}"/>
    <cellStyle name="20% - Énfasis1 4 2" xfId="151" xr:uid="{B3335517-7A19-40FA-AC82-3C21F2473C43}"/>
    <cellStyle name="20% - Énfasis1 5" xfId="152" xr:uid="{A4513ED0-BA8D-495D-8A5E-B0078D789A20}"/>
    <cellStyle name="20% - Énfasis1 6" xfId="153" xr:uid="{71B4542A-EA8B-4E7A-88E8-19FCA8B1763D}"/>
    <cellStyle name="20% - Énfasis1 7" xfId="154" xr:uid="{A05EE206-1166-4B59-BD40-F228E474B287}"/>
    <cellStyle name="20% - Énfasis1 8" xfId="155" xr:uid="{E520D4D4-CEA0-4DF0-96B5-D32D6A498C04}"/>
    <cellStyle name="20% - Énfasis1 9" xfId="156" xr:uid="{D8305197-C92B-4487-A153-16D48E60FF86}"/>
    <cellStyle name="20% - Énfasis2 10" xfId="157" xr:uid="{3092DDFB-5DF6-48B9-B78B-997390DBEA88}"/>
    <cellStyle name="20% - Énfasis2 11" xfId="158" xr:uid="{1C829712-9647-4D36-BB90-5182FF9D772A}"/>
    <cellStyle name="20% - Énfasis2 12" xfId="159" xr:uid="{41A23ABD-C39D-4153-84A4-F735782215F1}"/>
    <cellStyle name="20% - Énfasis2 13" xfId="160" xr:uid="{44DCA0F1-ED79-4C40-BFDD-C40A6DF3435D}"/>
    <cellStyle name="20% - Énfasis2 14" xfId="161" xr:uid="{A6AF978F-B270-4832-8343-0537B2A7BAF2}"/>
    <cellStyle name="20% - Énfasis2 15" xfId="162" xr:uid="{B46DCE5E-D4E5-4B63-A559-8716C3BD955A}"/>
    <cellStyle name="20% - Énfasis2 16" xfId="163" xr:uid="{EBCF94AB-F505-4079-8480-E33BC3197914}"/>
    <cellStyle name="20% - Énfasis2 17" xfId="164" xr:uid="{31D23947-C435-40C1-A04C-07B79488F41A}"/>
    <cellStyle name="20% - Énfasis2 18" xfId="165" xr:uid="{9D9AA832-AE86-4ADD-919D-B0D0D025BB5C}"/>
    <cellStyle name="20% - Énfasis2 19" xfId="166" xr:uid="{1627AFB3-BB1D-4E81-A774-2CEEAD8B5A4D}"/>
    <cellStyle name="20% - Énfasis2 2" xfId="167" xr:uid="{528B8968-584C-4BF2-A703-F886CCDFDF88}"/>
    <cellStyle name="20% - Énfasis2 2 2" xfId="168" xr:uid="{C8FC6F82-525D-4880-B5D7-19A6834850AB}"/>
    <cellStyle name="20% - Énfasis2 2 3" xfId="169" xr:uid="{896BCD68-6FFA-4BBB-838C-3DB5688AED24}"/>
    <cellStyle name="20% - Énfasis2 20" xfId="170" xr:uid="{EB388605-73A0-4014-98D2-75584649B04F}"/>
    <cellStyle name="20% - Énfasis2 21" xfId="171" xr:uid="{CBC0B01B-FB48-4DFF-AEC2-178628F7C6BA}"/>
    <cellStyle name="20% - Énfasis2 21 2" xfId="172" xr:uid="{7B688D68-0089-44AF-89C1-445E76FAEB32}"/>
    <cellStyle name="20% - Énfasis2 21 2 2" xfId="173" xr:uid="{89D10CCA-4636-4936-8663-69101A8BFDCE}"/>
    <cellStyle name="20% - Énfasis2 21 3" xfId="174" xr:uid="{4E3A8199-84D2-42F6-A1C5-8B650EE4C344}"/>
    <cellStyle name="20% - Énfasis2 21 3 2" xfId="175" xr:uid="{18C95295-9338-4FF3-AE7A-04795BC0EEB4}"/>
    <cellStyle name="20% - Énfasis2 21 4" xfId="176" xr:uid="{006DFA90-9531-4691-858F-64F3B0A6B56D}"/>
    <cellStyle name="20% - Énfasis2 22" xfId="177" xr:uid="{2D260A6D-A7F3-4B29-9F4B-A508ED97DF06}"/>
    <cellStyle name="20% - Énfasis2 22 2" xfId="178" xr:uid="{710E2D27-98E8-4D03-A6B9-575B3394D5E0}"/>
    <cellStyle name="20% - Énfasis2 22 2 2" xfId="179" xr:uid="{CA96590A-EF9F-49AF-BAAA-0E69C6C4EC87}"/>
    <cellStyle name="20% - Énfasis2 22 3" xfId="180" xr:uid="{FAB4184C-F8C7-4E88-9EC6-C7962719435D}"/>
    <cellStyle name="20% - Énfasis2 23" xfId="181" xr:uid="{67CFD870-C2DD-4C72-A165-71B9CB65AD81}"/>
    <cellStyle name="20% - Énfasis2 24" xfId="182" xr:uid="{AAFF4B90-E386-4B06-82D7-6E3D1A3A157A}"/>
    <cellStyle name="20% - Énfasis2 3" xfId="183" xr:uid="{364720CE-D417-4AAA-AACF-590449F5D9D7}"/>
    <cellStyle name="20% - Énfasis2 3 2" xfId="184" xr:uid="{A560FC55-8A2A-4E92-8188-F7E72EFEA8BB}"/>
    <cellStyle name="20% - Énfasis2 3 3" xfId="185" xr:uid="{A30BDA8E-6D3F-476E-B03F-B7B2BCA69C3E}"/>
    <cellStyle name="20% - Énfasis2 4" xfId="186" xr:uid="{DFA8000B-33D7-4220-99DC-9DA0665C7469}"/>
    <cellStyle name="20% - Énfasis2 4 2" xfId="187" xr:uid="{1BD29935-2765-4FE3-82AD-5D45065952A4}"/>
    <cellStyle name="20% - Énfasis2 5" xfId="188" xr:uid="{B22686C7-225E-4A44-B1E2-F938178F7919}"/>
    <cellStyle name="20% - Énfasis2 6" xfId="189" xr:uid="{FFBA1768-15ED-41EE-BEE3-65876ABAC0BD}"/>
    <cellStyle name="20% - Énfasis2 7" xfId="190" xr:uid="{69A26B5E-93A7-4A5F-B14E-456462704585}"/>
    <cellStyle name="20% - Énfasis2 8" xfId="191" xr:uid="{92E66BD8-2930-4AE8-8BFC-EB0C6BBF426B}"/>
    <cellStyle name="20% - Énfasis2 9" xfId="192" xr:uid="{271ADB77-CF46-48CE-84CA-3832D64EEA9D}"/>
    <cellStyle name="20% - Énfasis3 10" xfId="193" xr:uid="{43C0507F-A8D3-4180-822F-83BD4C58A7F7}"/>
    <cellStyle name="20% - Énfasis3 11" xfId="194" xr:uid="{8361A0E4-79C1-4C41-9707-91B8F2FB3357}"/>
    <cellStyle name="20% - Énfasis3 12" xfId="195" xr:uid="{EA1E4506-B919-4F6A-823A-DE17933E99E0}"/>
    <cellStyle name="20% - Énfasis3 13" xfId="196" xr:uid="{89033CF5-580D-49C4-83C7-F31B7A1F47CC}"/>
    <cellStyle name="20% - Énfasis3 14" xfId="197" xr:uid="{BF9BB07F-5666-4375-B453-023700183D31}"/>
    <cellStyle name="20% - Énfasis3 15" xfId="198" xr:uid="{B2F9B4ED-D73B-4390-8E84-A343DC73F3A9}"/>
    <cellStyle name="20% - Énfasis3 16" xfId="199" xr:uid="{B3F3A3FB-B914-459F-8DE1-17015D87165D}"/>
    <cellStyle name="20% - Énfasis3 17" xfId="200" xr:uid="{8F73829A-0EDA-4F5C-AD99-663CD414AF55}"/>
    <cellStyle name="20% - Énfasis3 18" xfId="201" xr:uid="{81C21915-C893-4D10-A691-149C8FF23871}"/>
    <cellStyle name="20% - Énfasis3 19" xfId="202" xr:uid="{CF6CB26C-0DBF-4D36-94D5-96CAFCF16EE2}"/>
    <cellStyle name="20% - Énfasis3 2" xfId="203" xr:uid="{EDE7F197-55E0-4A57-8C6D-3B88D9CD5A1C}"/>
    <cellStyle name="20% - Énfasis3 2 2" xfId="204" xr:uid="{083CBB81-2EEA-43DD-A890-6A2ADB05B94D}"/>
    <cellStyle name="20% - Énfasis3 2 3" xfId="205" xr:uid="{BBFBDDCE-0575-4133-97D5-B08CB78B6553}"/>
    <cellStyle name="20% - Énfasis3 20" xfId="206" xr:uid="{48036098-DAEA-4187-BFC9-BC5CF0AAC93E}"/>
    <cellStyle name="20% - Énfasis3 21" xfId="207" xr:uid="{3C3CC6F7-B7E1-4E00-B619-EAB10E34314B}"/>
    <cellStyle name="20% - Énfasis3 21 2" xfId="208" xr:uid="{7F973C27-6627-4989-A8FE-1FA0F9856244}"/>
    <cellStyle name="20% - Énfasis3 21 2 2" xfId="209" xr:uid="{1A035A2A-D01D-4C57-8DF4-228FC17A69E7}"/>
    <cellStyle name="20% - Énfasis3 21 3" xfId="210" xr:uid="{61779B96-5059-41E7-94AF-6DE85AC0AAE6}"/>
    <cellStyle name="20% - Énfasis3 21 3 2" xfId="211" xr:uid="{B0BE1916-3C98-4AB1-ACB1-27B3DC0A22D5}"/>
    <cellStyle name="20% - Énfasis3 21 4" xfId="212" xr:uid="{288513B3-36B3-4437-8F20-83CAEF1158D1}"/>
    <cellStyle name="20% - Énfasis3 22" xfId="213" xr:uid="{6D8C9A71-920C-4B9B-BDDF-18DF1B3136E6}"/>
    <cellStyle name="20% - Énfasis3 22 2" xfId="214" xr:uid="{60E8EFBF-C466-45D0-93CD-6C292A3EA445}"/>
    <cellStyle name="20% - Énfasis3 22 2 2" xfId="215" xr:uid="{F37A2E0B-178F-4AC1-9AB6-BF854B30DE6E}"/>
    <cellStyle name="20% - Énfasis3 22 3" xfId="216" xr:uid="{63937564-AEE8-439F-B083-4B615525F4F1}"/>
    <cellStyle name="20% - Énfasis3 23" xfId="217" xr:uid="{FA7CA428-4B52-4218-BBC2-74A3DEA5A065}"/>
    <cellStyle name="20% - Énfasis3 24" xfId="218" xr:uid="{32E6108E-C2B7-4DA4-88C8-9B20D68EC9F8}"/>
    <cellStyle name="20% - Énfasis3 3" xfId="219" xr:uid="{5ACC7956-5228-4292-9D42-9A02DD1F0AF3}"/>
    <cellStyle name="20% - Énfasis3 3 2" xfId="220" xr:uid="{9E0ED71F-70BF-4E4C-8F48-B75D786BE1EE}"/>
    <cellStyle name="20% - Énfasis3 3 3" xfId="221" xr:uid="{5312F50C-74F2-4506-8A5D-628A61B1A2CE}"/>
    <cellStyle name="20% - Énfasis3 4" xfId="222" xr:uid="{D54D7391-2BA9-4827-A657-B73422A00B28}"/>
    <cellStyle name="20% - Énfasis3 4 2" xfId="223" xr:uid="{AF57E282-366C-4E4B-A7D4-CF8FA168D8BB}"/>
    <cellStyle name="20% - Énfasis3 5" xfId="224" xr:uid="{99A315CE-B758-4D1D-9244-3CEE3EF6ABBA}"/>
    <cellStyle name="20% - Énfasis3 6" xfId="225" xr:uid="{E97D4D1C-2F66-494D-BA18-38A883BA9FEE}"/>
    <cellStyle name="20% - Énfasis3 7" xfId="226" xr:uid="{41761EB3-A31F-411B-BE84-F3647F8BFEA0}"/>
    <cellStyle name="20% - Énfasis3 8" xfId="227" xr:uid="{07A006D9-6B31-4E83-AF1E-340B1B6C2613}"/>
    <cellStyle name="20% - Énfasis3 9" xfId="228" xr:uid="{BD652F95-09A1-4E6A-84F2-4A7D06B52972}"/>
    <cellStyle name="20% - Énfasis4 10" xfId="229" xr:uid="{409B5DA7-7BC9-4CC5-A360-66452F4DB97F}"/>
    <cellStyle name="20% - Énfasis4 11" xfId="230" xr:uid="{B5EE4DF6-56DE-4BCF-9644-556CE8E28896}"/>
    <cellStyle name="20% - Énfasis4 12" xfId="231" xr:uid="{8E46F0B3-421E-4F20-B2E4-AD0916924AB8}"/>
    <cellStyle name="20% - Énfasis4 13" xfId="232" xr:uid="{EE6FF666-715B-4BF2-88B3-4981EA747CCF}"/>
    <cellStyle name="20% - Énfasis4 14" xfId="233" xr:uid="{D075B572-179E-47BB-9073-7FDB5BAD9888}"/>
    <cellStyle name="20% - Énfasis4 15" xfId="234" xr:uid="{8F23C1E8-E79B-4957-A98A-849503EBA490}"/>
    <cellStyle name="20% - Énfasis4 16" xfId="235" xr:uid="{3E995596-6B81-4920-8FE9-023DEF0116CF}"/>
    <cellStyle name="20% - Énfasis4 17" xfId="236" xr:uid="{431193DF-5B4E-46B6-9126-A75F4B4462AA}"/>
    <cellStyle name="20% - Énfasis4 18" xfId="237" xr:uid="{C5659045-2BAA-452B-944D-E7F6AD578027}"/>
    <cellStyle name="20% - Énfasis4 19" xfId="238" xr:uid="{0BB18C68-B996-4B1E-89F7-2DED754D2AE0}"/>
    <cellStyle name="20% - Énfasis4 2" xfId="239" xr:uid="{59188BC7-4B52-4113-B0A4-9A6A651F379A}"/>
    <cellStyle name="20% - Énfasis4 2 2" xfId="240" xr:uid="{D8A57B9E-B94E-4CBD-BBAB-12A444200EE8}"/>
    <cellStyle name="20% - Énfasis4 2 3" xfId="241" xr:uid="{28CD29F4-88DD-418B-BFA6-90FC94D88A8C}"/>
    <cellStyle name="20% - Énfasis4 20" xfId="242" xr:uid="{2B26D719-58A0-4EA1-8E18-523A87E2D02E}"/>
    <cellStyle name="20% - Énfasis4 21" xfId="243" xr:uid="{A8E0DF4F-899F-4801-BC4C-845AAF9A8DC3}"/>
    <cellStyle name="20% - Énfasis4 21 2" xfId="244" xr:uid="{E83C3A36-A036-42EB-A5E4-28723C9E8533}"/>
    <cellStyle name="20% - Énfasis4 21 2 2" xfId="245" xr:uid="{047F214B-4D30-4477-AC0D-7383A06A5C53}"/>
    <cellStyle name="20% - Énfasis4 21 3" xfId="246" xr:uid="{AE69C369-02E0-4098-BE65-3738655AEEF0}"/>
    <cellStyle name="20% - Énfasis4 21 3 2" xfId="247" xr:uid="{C4A9089F-633A-48C4-8E87-EB59311A05D5}"/>
    <cellStyle name="20% - Énfasis4 21 4" xfId="248" xr:uid="{AD6BEC43-545B-45B3-91D5-897B2F915DB6}"/>
    <cellStyle name="20% - Énfasis4 22" xfId="249" xr:uid="{EC5E521C-BF10-40EE-AEC6-37A020E332FD}"/>
    <cellStyle name="20% - Énfasis4 22 2" xfId="250" xr:uid="{FDF4A969-FBFB-4884-8130-D903FC847486}"/>
    <cellStyle name="20% - Énfasis4 22 2 2" xfId="251" xr:uid="{3970E9AC-BC4C-4A70-BF76-E0BEAB92E4AA}"/>
    <cellStyle name="20% - Énfasis4 22 3" xfId="252" xr:uid="{E66A09DF-1C2B-4726-8C66-FBD53D576B60}"/>
    <cellStyle name="20% - Énfasis4 23" xfId="253" xr:uid="{CA1417DC-A867-4818-B16F-9DD7E76B1449}"/>
    <cellStyle name="20% - Énfasis4 24" xfId="254" xr:uid="{0BB03731-8D2E-4E68-B274-934E6FF29A58}"/>
    <cellStyle name="20% - Énfasis4 3" xfId="255" xr:uid="{3744B9D7-9CE2-4A5B-A10B-A87B68A27ED0}"/>
    <cellStyle name="20% - Énfasis4 3 2" xfId="256" xr:uid="{6131420D-7295-49C6-A537-8DD59CB4B6E8}"/>
    <cellStyle name="20% - Énfasis4 3 3" xfId="257" xr:uid="{EBA620CB-9F81-46BE-A2FB-742B9034E170}"/>
    <cellStyle name="20% - Énfasis4 4" xfId="258" xr:uid="{6ACC79B9-3C91-4889-A3C7-4E6A301BC06F}"/>
    <cellStyle name="20% - Énfasis4 4 2" xfId="259" xr:uid="{0DAB1803-9F5A-4436-A325-3EC71CEA2D21}"/>
    <cellStyle name="20% - Énfasis4 5" xfId="260" xr:uid="{AA136108-733E-449B-AFF7-892624AA7B91}"/>
    <cellStyle name="20% - Énfasis4 6" xfId="261" xr:uid="{2BB303C5-CAC7-4FB5-B606-AFB5679D25B6}"/>
    <cellStyle name="20% - Énfasis4 7" xfId="262" xr:uid="{96BC561E-0025-4E44-8AF0-9F72F8CBE495}"/>
    <cellStyle name="20% - Énfasis4 8" xfId="263" xr:uid="{90A32264-9581-4811-8F8D-7878DDB98C0E}"/>
    <cellStyle name="20% - Énfasis4 9" xfId="264" xr:uid="{F08F4D10-5CE2-4A54-A160-9CA23078C6E9}"/>
    <cellStyle name="20% - Énfasis5 2" xfId="265" xr:uid="{B385469D-7E3F-4B74-A731-0674CB99CFBB}"/>
    <cellStyle name="20% - Énfasis5 2 2" xfId="266" xr:uid="{D717A352-6139-49DA-94F7-BB8B3834FDE7}"/>
    <cellStyle name="20% - Énfasis5 2 2 2" xfId="267" xr:uid="{E8D5F292-FA55-4910-AE48-F7D60A8EA80A}"/>
    <cellStyle name="20% - Énfasis5 2 3" xfId="268" xr:uid="{BCB95900-306E-44D3-B7BE-B7191A72F8DA}"/>
    <cellStyle name="20% - Énfasis5 2 3 2" xfId="269" xr:uid="{5E77A83F-052C-4760-99D8-A9C8EB497618}"/>
    <cellStyle name="20% - Énfasis5 2 4" xfId="270" xr:uid="{E60FA332-49C9-40AF-9D0E-FE287996F69B}"/>
    <cellStyle name="20% - Énfasis5 2 5" xfId="271" xr:uid="{E3B70D7B-7996-482B-8688-10EDF56E91DB}"/>
    <cellStyle name="20% - Énfasis5 3" xfId="272" xr:uid="{38D9B6EC-EF73-4A25-9695-CD08B5565D1D}"/>
    <cellStyle name="20% - Énfasis5 3 2" xfId="273" xr:uid="{CECF55E0-CB43-4283-AE57-99745E4A3D04}"/>
    <cellStyle name="20% - Énfasis5 3 2 2" xfId="274" xr:uid="{CE3EDEC3-AC66-43A3-80E5-7E43D342774D}"/>
    <cellStyle name="20% - Énfasis5 3 3" xfId="275" xr:uid="{C11EB94B-F929-4073-9CD8-C279681BD25E}"/>
    <cellStyle name="20% - Énfasis5 3 4" xfId="276" xr:uid="{A4E961F8-DB79-4033-9D60-BEE6A2BD7978}"/>
    <cellStyle name="20% - Énfasis5 4" xfId="277" xr:uid="{6B8218CC-5604-4DF6-98D3-659A1E4A16A2}"/>
    <cellStyle name="20% - Énfasis5 5" xfId="278" xr:uid="{18662491-DE4E-4771-A9CA-E70FECB10170}"/>
    <cellStyle name="20% - Énfasis5 6" xfId="279" xr:uid="{588CB802-2FA2-41B1-91D7-CF01D51692FB}"/>
    <cellStyle name="20% - Énfasis6 10" xfId="280" xr:uid="{FDA15717-FE89-4C87-A866-E1576D20A857}"/>
    <cellStyle name="20% - Énfasis6 11" xfId="281" xr:uid="{79A6A121-E9DF-49AB-81B8-10ADBFF7AEDB}"/>
    <cellStyle name="20% - Énfasis6 12" xfId="282" xr:uid="{52C10919-F809-4AB2-B821-5B2E18EDB0DB}"/>
    <cellStyle name="20% - Énfasis6 13" xfId="283" xr:uid="{A44CD66A-4E5C-4E12-BDA2-7D5AACE27AA0}"/>
    <cellStyle name="20% - Énfasis6 14" xfId="284" xr:uid="{E559DC79-78B2-4341-8B19-7F5B98B9F163}"/>
    <cellStyle name="20% - Énfasis6 15" xfId="285" xr:uid="{E865E3FB-EAA0-481F-8C2C-AC6EB0686B7A}"/>
    <cellStyle name="20% - Énfasis6 16" xfId="286" xr:uid="{3FD33392-FEB6-4831-A94C-B2918BF43117}"/>
    <cellStyle name="20% - Énfasis6 17" xfId="287" xr:uid="{E7E44A5B-DE28-4A6A-82BE-87BF0E1C2470}"/>
    <cellStyle name="20% - Énfasis6 18" xfId="288" xr:uid="{E322A85B-8C5F-4BC0-AF2D-CA2A8F961960}"/>
    <cellStyle name="20% - Énfasis6 19" xfId="289" xr:uid="{455B5F6C-9E33-48E9-A2BD-AAC029123F8C}"/>
    <cellStyle name="20% - Énfasis6 2" xfId="290" xr:uid="{8E3903B8-5B05-431C-8F0B-BEBC5F979B09}"/>
    <cellStyle name="20% - Énfasis6 2 2" xfId="291" xr:uid="{700D0ADE-1D78-4B98-A8A5-E0230EE58D73}"/>
    <cellStyle name="20% - Énfasis6 2 3" xfId="292" xr:uid="{4B678584-DFB1-4D9C-8869-FED7436E14FD}"/>
    <cellStyle name="20% - Énfasis6 20" xfId="293" xr:uid="{58C9854B-BA3C-4BCD-AD16-5644B25A62CA}"/>
    <cellStyle name="20% - Énfasis6 21" xfId="294" xr:uid="{FCD313E5-250A-4D8F-B986-ED23EB20CBCD}"/>
    <cellStyle name="20% - Énfasis6 21 2" xfId="295" xr:uid="{C3252BC6-ED3C-4FBB-B09A-77A8F399D022}"/>
    <cellStyle name="20% - Énfasis6 21 2 2" xfId="296" xr:uid="{2674F4EE-6746-4BCC-A14B-80C4974467E9}"/>
    <cellStyle name="20% - Énfasis6 21 3" xfId="297" xr:uid="{FB18DFE2-A3ED-48FA-9A44-B7D09415BD99}"/>
    <cellStyle name="20% - Énfasis6 21 3 2" xfId="298" xr:uid="{DE80A1BE-B3CE-461E-9823-90FDE3A7BC80}"/>
    <cellStyle name="20% - Énfasis6 21 4" xfId="299" xr:uid="{64000672-B8B3-4BA6-A45A-E69F00FAB6E0}"/>
    <cellStyle name="20% - Énfasis6 22" xfId="300" xr:uid="{8F31FEEA-491F-4791-8E53-4ACE6AE918B3}"/>
    <cellStyle name="20% - Énfasis6 22 2" xfId="301" xr:uid="{F4CF8BD1-D9FA-4B30-8B53-2B4D1A03205A}"/>
    <cellStyle name="20% - Énfasis6 22 2 2" xfId="302" xr:uid="{6F7FFA20-9E0F-4033-AB79-53FE70165129}"/>
    <cellStyle name="20% - Énfasis6 22 3" xfId="303" xr:uid="{040B3906-7615-415E-83CD-20D336FF64D7}"/>
    <cellStyle name="20% - Énfasis6 23" xfId="304" xr:uid="{F7DA10F1-FDEA-4794-93C2-50889B1534B7}"/>
    <cellStyle name="20% - Énfasis6 24" xfId="305" xr:uid="{207CC129-448D-464C-9A65-BE0EDBCA9908}"/>
    <cellStyle name="20% - Énfasis6 3" xfId="306" xr:uid="{AF2E4D04-7914-4376-A52E-A3B1ED5B8403}"/>
    <cellStyle name="20% - Énfasis6 3 2" xfId="307" xr:uid="{FC4D7FEA-B90B-427F-A8C9-D02CE45F91AF}"/>
    <cellStyle name="20% - Énfasis6 3 3" xfId="308" xr:uid="{A8DAB639-ECEC-4E09-8807-B7F2489441A0}"/>
    <cellStyle name="20% - Énfasis6 4" xfId="309" xr:uid="{53E45DD4-6B01-4E13-9B1E-8D1C867A0C63}"/>
    <cellStyle name="20% - Énfasis6 4 2" xfId="310" xr:uid="{F1C57E83-7A5D-4D7B-B72C-DDECFFFAF901}"/>
    <cellStyle name="20% - Énfasis6 5" xfId="311" xr:uid="{41A56A08-4114-42C1-BAC0-259B831F2616}"/>
    <cellStyle name="20% - Énfasis6 6" xfId="312" xr:uid="{37CFAE89-B897-4B22-95FF-F49193929E81}"/>
    <cellStyle name="20% - Énfasis6 7" xfId="313" xr:uid="{34DAA40B-E1F2-4D7F-A4C8-7340D3332E46}"/>
    <cellStyle name="20% - Énfasis6 8" xfId="314" xr:uid="{07DFFED7-57D9-49D3-9C8D-15AC4243D66C}"/>
    <cellStyle name="20% - Énfasis6 9" xfId="315" xr:uid="{42AE7ACF-1C0A-4175-8608-361BBB1D1025}"/>
    <cellStyle name="2o.nível" xfId="316" xr:uid="{C27055E8-F564-4577-8CF8-C86F65125C74}"/>
    <cellStyle name="2x indented GHG Textfiels" xfId="19" xr:uid="{3B177816-D516-4FF0-98DF-478B9AF9EE2C}"/>
    <cellStyle name="40% - Accent1" xfId="88" builtinId="31" customBuiltin="1"/>
    <cellStyle name="40% - Accent1 2" xfId="43" xr:uid="{71602D66-5F50-41CA-9F57-43ADC45F8A1C}"/>
    <cellStyle name="40% - Accent1 2 2" xfId="317" xr:uid="{A04B8FAC-B5C8-40F5-9F78-902E2166F6BB}"/>
    <cellStyle name="40% - Accent2" xfId="91" builtinId="35" customBuiltin="1"/>
    <cellStyle name="40% - Accent2 2" xfId="47" xr:uid="{DAD29B3D-B09D-4C3D-89EA-1741A6F8BD99}"/>
    <cellStyle name="40% - Accent2 2 2" xfId="318" xr:uid="{BAE681CA-8EEA-4682-B8F3-95AD6E4ADE0B}"/>
    <cellStyle name="40% - Accent3" xfId="94" builtinId="39" customBuiltin="1"/>
    <cellStyle name="40% - Accent3 2" xfId="51" xr:uid="{9F2C6B73-918E-430A-A1BA-87BA2DFE60CC}"/>
    <cellStyle name="40% - Accent3 2 2" xfId="319" xr:uid="{5D108748-3D1F-44B7-A975-B502516E28B8}"/>
    <cellStyle name="40% - Accent4" xfId="97" builtinId="43" customBuiltin="1"/>
    <cellStyle name="40% - Accent4 2" xfId="55" xr:uid="{47B2A72D-2735-4515-A8AF-0E3C8AC0369A}"/>
    <cellStyle name="40% - Accent4 2 2" xfId="320" xr:uid="{E29EF7CF-6C60-4042-80A6-47EACEE07320}"/>
    <cellStyle name="40% - Accent5" xfId="100" builtinId="47" customBuiltin="1"/>
    <cellStyle name="40% - Accent5 2" xfId="59" xr:uid="{6C45B51C-CEDF-43DF-8A51-9E71F778B5F2}"/>
    <cellStyle name="40% - Accent5 2 2" xfId="321" xr:uid="{74FEE5A6-9A94-4E98-B68D-02E85F7A49E2}"/>
    <cellStyle name="40% - Accent6" xfId="103" builtinId="51" customBuiltin="1"/>
    <cellStyle name="40% - Accent6 2" xfId="63" xr:uid="{761BCFF2-EAF3-43A4-BC48-7E972B11AC1E}"/>
    <cellStyle name="40% - Accent6 2 2" xfId="322" xr:uid="{D27CDB86-8A30-4109-AFDB-B17740F94A64}"/>
    <cellStyle name="40% - Énfasis1 10" xfId="323" xr:uid="{3D7523DC-75A4-4FFF-8BDB-EF7164F8E7B9}"/>
    <cellStyle name="40% - Énfasis1 11" xfId="324" xr:uid="{CB114E4B-58E4-48FB-A2BC-BCCD60B70E40}"/>
    <cellStyle name="40% - Énfasis1 12" xfId="325" xr:uid="{8D7A1D6C-35BD-4C2A-B9EE-AB7529C78116}"/>
    <cellStyle name="40% - Énfasis1 13" xfId="326" xr:uid="{40AE5D33-702E-4197-92CF-3DFB816F05BB}"/>
    <cellStyle name="40% - Énfasis1 14" xfId="327" xr:uid="{4B8244F4-0F68-43BC-A17F-22036EDB3CE2}"/>
    <cellStyle name="40% - Énfasis1 15" xfId="328" xr:uid="{85852AA5-9AC5-4A06-8288-D761C4E047C6}"/>
    <cellStyle name="40% - Énfasis1 16" xfId="329" xr:uid="{3EA889E8-FF09-4579-AF25-C08FEDDF7A93}"/>
    <cellStyle name="40% - Énfasis1 17" xfId="330" xr:uid="{2F159DC5-2451-4F7A-98D8-8BFA6187425A}"/>
    <cellStyle name="40% - Énfasis1 18" xfId="331" xr:uid="{7E24FE05-6014-44E7-A90F-E1E7D62714EB}"/>
    <cellStyle name="40% - Énfasis1 19" xfId="332" xr:uid="{815CEC41-23B9-45EE-A338-7FAF16465E1B}"/>
    <cellStyle name="40% - Énfasis1 2" xfId="333" xr:uid="{ED9825B0-2D94-4347-BF9C-B43D3C7DF45E}"/>
    <cellStyle name="40% - Énfasis1 2 2" xfId="334" xr:uid="{022ECB83-6D31-42C5-AEC5-A13A8C6EC39A}"/>
    <cellStyle name="40% - Énfasis1 2 3" xfId="335" xr:uid="{832F4FA2-9FE5-4BB5-879A-B10D94AE811A}"/>
    <cellStyle name="40% - Énfasis1 20" xfId="336" xr:uid="{F962B86A-6154-4568-8565-B07123C9EA85}"/>
    <cellStyle name="40% - Énfasis1 21" xfId="337" xr:uid="{80844E06-61AF-4C41-B9CA-CDEAB4EFFA7E}"/>
    <cellStyle name="40% - Énfasis1 21 2" xfId="338" xr:uid="{C6C05AC0-871D-45A2-8FB4-C2CF08252862}"/>
    <cellStyle name="40% - Énfasis1 21 2 2" xfId="339" xr:uid="{9720C1BB-9BDC-4D84-96B4-407BB1995A40}"/>
    <cellStyle name="40% - Énfasis1 21 3" xfId="340" xr:uid="{437BD4E5-9A2B-4599-9F71-CB55795D5987}"/>
    <cellStyle name="40% - Énfasis1 21 3 2" xfId="341" xr:uid="{6D449E9C-00FC-4A05-8ACD-1DAED8453D98}"/>
    <cellStyle name="40% - Énfasis1 21 4" xfId="342" xr:uid="{2707ADE8-FC94-4F43-8DA4-25B673C8E853}"/>
    <cellStyle name="40% - Énfasis1 22" xfId="343" xr:uid="{39DA29EF-E962-4A94-B45C-DBD8564E7732}"/>
    <cellStyle name="40% - Énfasis1 22 2" xfId="344" xr:uid="{6D2DCD94-BCC0-480D-9541-8AF66DB993B6}"/>
    <cellStyle name="40% - Énfasis1 22 2 2" xfId="345" xr:uid="{A9482EEC-25FE-4276-93DB-7D61E2371975}"/>
    <cellStyle name="40% - Énfasis1 22 3" xfId="346" xr:uid="{90745D16-26EF-4DB2-ACB8-96CAA6572200}"/>
    <cellStyle name="40% - Énfasis1 23" xfId="347" xr:uid="{357BD7FF-3E0A-4C8A-9BF6-809B5D9C68C7}"/>
    <cellStyle name="40% - Énfasis1 24" xfId="348" xr:uid="{5877EA5B-E6B1-46DF-93B5-ED26306A75AA}"/>
    <cellStyle name="40% - Énfasis1 25" xfId="349" xr:uid="{C05AA985-A4B8-43FF-8A09-C8FEE34E6969}"/>
    <cellStyle name="40% - Énfasis1 3" xfId="350" xr:uid="{A2A7848B-1D7C-42AF-8C9F-86DF860E8752}"/>
    <cellStyle name="40% - Énfasis1 3 2" xfId="351" xr:uid="{0FB5F4EE-719E-4ACD-95D1-F9AF9F708C2C}"/>
    <cellStyle name="40% - Énfasis1 3 3" xfId="352" xr:uid="{A480E3D0-4FEC-44BA-A06E-13F11A1AF72D}"/>
    <cellStyle name="40% - Énfasis1 4" xfId="353" xr:uid="{BC2E5398-1455-4AC5-9B5B-43C52A75FAF5}"/>
    <cellStyle name="40% - Énfasis1 4 2" xfId="354" xr:uid="{C3C017B7-B2EB-4DF0-8A67-207F2DDD9670}"/>
    <cellStyle name="40% - Énfasis1 5" xfId="355" xr:uid="{41255A5D-9C07-4138-9FE5-1EFFE2082AB1}"/>
    <cellStyle name="40% - Énfasis1 6" xfId="356" xr:uid="{52B52C19-9FB8-4DBB-8EBC-49BA11DBA4C0}"/>
    <cellStyle name="40% - Énfasis1 7" xfId="357" xr:uid="{235C018E-2036-4609-A68A-7F2EE3483A86}"/>
    <cellStyle name="40% - Énfasis1 8" xfId="358" xr:uid="{EA97FA3C-C487-4B0C-A4F6-561B75DBABB1}"/>
    <cellStyle name="40% - Énfasis1 9" xfId="359" xr:uid="{6025DC25-AE92-4331-B70A-6496EB5DC189}"/>
    <cellStyle name="40% - Énfasis2 2" xfId="360" xr:uid="{22783310-5796-4DA2-B7D4-B3906676A96C}"/>
    <cellStyle name="40% - Énfasis2 2 2" xfId="361" xr:uid="{CA2C8C7B-5BD6-4CAB-8E43-CD85433B86BD}"/>
    <cellStyle name="40% - Énfasis2 2 2 2" xfId="362" xr:uid="{C07A02D7-7209-4715-AFC1-61A9663D5D43}"/>
    <cellStyle name="40% - Énfasis2 2 3" xfId="363" xr:uid="{3799E9F6-4DD3-4A94-B8BB-C83B86F0CB0B}"/>
    <cellStyle name="40% - Énfasis2 2 3 2" xfId="364" xr:uid="{BB413FAC-84AA-4ABE-B970-B07B395267A0}"/>
    <cellStyle name="40% - Énfasis2 2 4" xfId="365" xr:uid="{99D594FD-E36E-4260-BE5D-DFB6ECD66D80}"/>
    <cellStyle name="40% - Énfasis2 2 5" xfId="366" xr:uid="{AE9C6B1A-5E14-488D-A755-A7453BBD41CE}"/>
    <cellStyle name="40% - Énfasis2 3" xfId="367" xr:uid="{A5C38C3E-7A2D-4345-A490-A8B8D22D7566}"/>
    <cellStyle name="40% - Énfasis2 3 2" xfId="368" xr:uid="{4DFB2DE0-C34E-4005-874C-246894A3103C}"/>
    <cellStyle name="40% - Énfasis2 3 2 2" xfId="369" xr:uid="{2F505021-60AD-4265-9A9C-9B5117F2743E}"/>
    <cellStyle name="40% - Énfasis2 3 3" xfId="370" xr:uid="{752F00D8-E281-4EEB-9101-6E4514273B4E}"/>
    <cellStyle name="40% - Énfasis2 3 4" xfId="371" xr:uid="{EC698455-45E1-48F6-9868-0213CF7E1C3B}"/>
    <cellStyle name="40% - Énfasis2 4" xfId="372" xr:uid="{11ED9E1F-942D-4CED-A992-38E31F839D17}"/>
    <cellStyle name="40% - Énfasis2 5" xfId="373" xr:uid="{06C6A4E9-EE08-49E5-A47D-9B19FC6B4DF7}"/>
    <cellStyle name="40% - Énfasis2 6" xfId="374" xr:uid="{E4C30021-A1B5-4BE0-86D3-B4FE8C76C883}"/>
    <cellStyle name="40% - Énfasis3 10" xfId="375" xr:uid="{53DFA5B5-AF4B-4E45-B26F-3963C374CE98}"/>
    <cellStyle name="40% - Énfasis3 11" xfId="376" xr:uid="{F1C1839D-B9A5-41CA-B60C-85F49011622C}"/>
    <cellStyle name="40% - Énfasis3 12" xfId="377" xr:uid="{EF10DCDF-F493-441F-B389-522E9B6ADD25}"/>
    <cellStyle name="40% - Énfasis3 13" xfId="378" xr:uid="{02FC00D9-1D38-4E06-9DAC-B125AD68944D}"/>
    <cellStyle name="40% - Énfasis3 14" xfId="379" xr:uid="{17E8466C-3343-4C33-A95E-C93C11FCC50C}"/>
    <cellStyle name="40% - Énfasis3 15" xfId="380" xr:uid="{AFA8F4EE-A5EA-4A7F-BE19-85CEC2F84177}"/>
    <cellStyle name="40% - Énfasis3 16" xfId="381" xr:uid="{626B48D5-1A7D-45AA-B8CA-6F4DBA328314}"/>
    <cellStyle name="40% - Énfasis3 17" xfId="382" xr:uid="{4C2106E4-C2D7-4341-A329-1B1A6A116B02}"/>
    <cellStyle name="40% - Énfasis3 18" xfId="383" xr:uid="{ACE30B5E-88A7-4ABB-B203-994120C56D08}"/>
    <cellStyle name="40% - Énfasis3 19" xfId="384" xr:uid="{7F49A015-C4C6-4AC7-9960-274CF5B55A34}"/>
    <cellStyle name="40% - Énfasis3 2" xfId="385" xr:uid="{6E705465-7C19-46E3-8527-6948BB96CBDF}"/>
    <cellStyle name="40% - Énfasis3 2 2" xfId="386" xr:uid="{8EA19D3B-E1F3-4103-B92C-887DF2E8C499}"/>
    <cellStyle name="40% - Énfasis3 2 3" xfId="387" xr:uid="{81016930-7162-431C-8B02-83309EBE42EB}"/>
    <cellStyle name="40% - Énfasis3 20" xfId="388" xr:uid="{C66B159D-A956-4586-A4FD-47CD408150AD}"/>
    <cellStyle name="40% - Énfasis3 21" xfId="389" xr:uid="{7B772988-1E9F-46DE-BE17-C74BE9447DA7}"/>
    <cellStyle name="40% - Énfasis3 21 2" xfId="390" xr:uid="{858DE841-7827-47F8-9E0F-AFCB8C21C69E}"/>
    <cellStyle name="40% - Énfasis3 21 2 2" xfId="391" xr:uid="{7FB37321-45D3-44E1-AC7E-C67743E2D562}"/>
    <cellStyle name="40% - Énfasis3 21 3" xfId="392" xr:uid="{3AB20AB7-37BC-4CF3-A411-E8E7825CA736}"/>
    <cellStyle name="40% - Énfasis3 21 3 2" xfId="393" xr:uid="{FC151116-187B-4409-A828-BF3FCAF6DCC3}"/>
    <cellStyle name="40% - Énfasis3 21 4" xfId="394" xr:uid="{4B61372F-4D7D-4909-82F7-EFA48B20078B}"/>
    <cellStyle name="40% - Énfasis3 22" xfId="395" xr:uid="{74D2BF69-60DD-4E4A-86D9-E96A810BC57B}"/>
    <cellStyle name="40% - Énfasis3 22 2" xfId="396" xr:uid="{67390C0E-4C18-46B7-90D4-F41366B19142}"/>
    <cellStyle name="40% - Énfasis3 22 2 2" xfId="397" xr:uid="{06ABC50A-C31F-41FC-ACFC-EEF580A25753}"/>
    <cellStyle name="40% - Énfasis3 22 3" xfId="398" xr:uid="{2FB041E5-F29D-4852-B52B-1F9967A6DF16}"/>
    <cellStyle name="40% - Énfasis3 23" xfId="399" xr:uid="{3C174C18-32B5-4552-A4DA-A57176572520}"/>
    <cellStyle name="40% - Énfasis3 24" xfId="400" xr:uid="{903E0D4D-3812-4909-81BC-6DEE0E95181C}"/>
    <cellStyle name="40% - Énfasis3 3" xfId="401" xr:uid="{B23D0E5E-2297-44C9-8F97-72E3843A7033}"/>
    <cellStyle name="40% - Énfasis3 3 2" xfId="402" xr:uid="{44BDBE5C-4120-48F3-9203-922181D9256C}"/>
    <cellStyle name="40% - Énfasis3 3 3" xfId="403" xr:uid="{F649AA2C-8860-48C9-A38C-B63BFC90E799}"/>
    <cellStyle name="40% - Énfasis3 4" xfId="404" xr:uid="{08B2BD56-5FA8-45C2-A987-359B388399D6}"/>
    <cellStyle name="40% - Énfasis3 4 2" xfId="405" xr:uid="{4B0294C7-731C-4875-AFCD-5C3BA1408591}"/>
    <cellStyle name="40% - Énfasis3 5" xfId="406" xr:uid="{F69F5EB2-0E67-411C-8117-B73951EF582A}"/>
    <cellStyle name="40% - Énfasis3 6" xfId="407" xr:uid="{404414E2-4632-4B67-8F76-2A1EE69C210E}"/>
    <cellStyle name="40% - Énfasis3 7" xfId="408" xr:uid="{7D2DE5F3-EA2C-4C3A-8844-ABA1FDF3C18F}"/>
    <cellStyle name="40% - Énfasis3 8" xfId="409" xr:uid="{3948601F-E968-4BF4-9EF9-782D5299092D}"/>
    <cellStyle name="40% - Énfasis3 9" xfId="410" xr:uid="{2175ED49-18A0-4859-97F5-6790B603C6C9}"/>
    <cellStyle name="40% - Énfasis4 10" xfId="411" xr:uid="{FB7609B3-BB43-48AF-AAD7-240C9E8C1BD5}"/>
    <cellStyle name="40% - Énfasis4 11" xfId="412" xr:uid="{9BEF73E2-453E-411E-8973-3362366C92A0}"/>
    <cellStyle name="40% - Énfasis4 12" xfId="413" xr:uid="{FDF3E490-8B75-4DF4-926E-D6C3911998D0}"/>
    <cellStyle name="40% - Énfasis4 13" xfId="414" xr:uid="{D67B52E9-B6E1-4B68-A5F5-5425A1DFAF20}"/>
    <cellStyle name="40% - Énfasis4 14" xfId="415" xr:uid="{92ECE06B-2FC4-4A69-82BC-D4878DB31DB1}"/>
    <cellStyle name="40% - Énfasis4 15" xfId="416" xr:uid="{4C163E50-0B2B-45A8-985E-AAABB8397AC3}"/>
    <cellStyle name="40% - Énfasis4 16" xfId="417" xr:uid="{FD18D743-77E3-4545-AD05-8EB441DB2F01}"/>
    <cellStyle name="40% - Énfasis4 17" xfId="418" xr:uid="{69FA66E6-4287-4B43-A06C-CB0A1D15113C}"/>
    <cellStyle name="40% - Énfasis4 18" xfId="419" xr:uid="{54EBC071-DFA8-44A5-BA1A-786BF6A8272B}"/>
    <cellStyle name="40% - Énfasis4 19" xfId="420" xr:uid="{BA3521AA-71BB-4C03-A3D3-7856E23BFBFD}"/>
    <cellStyle name="40% - Énfasis4 2" xfId="421" xr:uid="{D3FC88F0-9B57-4F23-B8C7-A42DE7AFC733}"/>
    <cellStyle name="40% - Énfasis4 2 2" xfId="422" xr:uid="{0F7F38CF-797B-473A-8B4D-175A5685DDF5}"/>
    <cellStyle name="40% - Énfasis4 2 3" xfId="423" xr:uid="{5328DDF1-67B7-4BBA-9398-348E8F725736}"/>
    <cellStyle name="40% - Énfasis4 20" xfId="424" xr:uid="{1E3892E4-0019-4A13-AD4A-5F517B09B837}"/>
    <cellStyle name="40% - Énfasis4 21" xfId="425" xr:uid="{D5686A32-DA12-43AA-9A13-B2850930352C}"/>
    <cellStyle name="40% - Énfasis4 21 2" xfId="426" xr:uid="{92382FF7-F708-4D48-948B-D6E46CB695C2}"/>
    <cellStyle name="40% - Énfasis4 21 2 2" xfId="427" xr:uid="{47336145-D2E3-4D62-BD0B-CAA4D2D13EEC}"/>
    <cellStyle name="40% - Énfasis4 21 3" xfId="428" xr:uid="{79E5ABDE-D39D-4BDA-8EBE-94251DE512B1}"/>
    <cellStyle name="40% - Énfasis4 21 3 2" xfId="429" xr:uid="{B891FFD5-2D77-40F0-8540-6D1BEFEA11A5}"/>
    <cellStyle name="40% - Énfasis4 21 4" xfId="430" xr:uid="{FEB1D87A-10AF-42B5-BAA8-869477BC9B1A}"/>
    <cellStyle name="40% - Énfasis4 22" xfId="431" xr:uid="{8397F161-70EA-44D1-AB46-F101651156EF}"/>
    <cellStyle name="40% - Énfasis4 22 2" xfId="432" xr:uid="{23581338-FD2C-47B9-8643-850E10ADEB12}"/>
    <cellStyle name="40% - Énfasis4 22 2 2" xfId="433" xr:uid="{389DA5F8-1720-48E6-BF4B-3B741CEBDAA4}"/>
    <cellStyle name="40% - Énfasis4 22 3" xfId="434" xr:uid="{D6016A0C-109E-44CD-94CA-FA29CBEAAC1F}"/>
    <cellStyle name="40% - Énfasis4 23" xfId="435" xr:uid="{84037CD6-CF11-4576-A4BF-36303B60270E}"/>
    <cellStyle name="40% - Énfasis4 24" xfId="436" xr:uid="{29DB5C61-BB6E-4C0B-BA41-6B5420983AD7}"/>
    <cellStyle name="40% - Énfasis4 25" xfId="437" xr:uid="{5F0380EC-1D90-4245-9493-CA9626AB9451}"/>
    <cellStyle name="40% - Énfasis4 3" xfId="438" xr:uid="{F78D95C5-2E63-4AD3-B961-42969AC5FF19}"/>
    <cellStyle name="40% - Énfasis4 3 2" xfId="439" xr:uid="{1F6D99E7-1295-46B8-B585-0600C16D9FDA}"/>
    <cellStyle name="40% - Énfasis4 3 3" xfId="440" xr:uid="{EAAB5C83-3CC7-4E5A-B0E5-5E2E15EBABBD}"/>
    <cellStyle name="40% - Énfasis4 4" xfId="441" xr:uid="{A37F90C5-888E-4407-80C1-3515155A94A4}"/>
    <cellStyle name="40% - Énfasis4 4 2" xfId="442" xr:uid="{C5FB0109-16D8-4F0F-B48E-F3ED1CF429F9}"/>
    <cellStyle name="40% - Énfasis4 5" xfId="443" xr:uid="{CD37368E-AB2F-44E8-9DB0-E54DE4A2F0B4}"/>
    <cellStyle name="40% - Énfasis4 6" xfId="444" xr:uid="{929DB0E0-2AF3-4756-84E3-4EEF742C6B46}"/>
    <cellStyle name="40% - Énfasis4 7" xfId="445" xr:uid="{9691133B-C9B8-458C-A6E4-58A28B0DF9DF}"/>
    <cellStyle name="40% - Énfasis4 8" xfId="446" xr:uid="{DD7F23C8-10F8-45E4-90B0-FCB7D1DDE12E}"/>
    <cellStyle name="40% - Énfasis4 9" xfId="447" xr:uid="{0F1A7A4A-D303-4EBF-B00D-FDB31325D843}"/>
    <cellStyle name="40% - Énfasis5 2" xfId="448" xr:uid="{A82C7AC1-1495-417E-8467-78ED15C0AF32}"/>
    <cellStyle name="40% - Énfasis5 2 2" xfId="449" xr:uid="{54E2AF67-2461-45E6-9FDA-6A8261962778}"/>
    <cellStyle name="40% - Énfasis5 2 2 2" xfId="450" xr:uid="{4551284C-25E3-4E9B-A58E-F9A9E52605C6}"/>
    <cellStyle name="40% - Énfasis5 2 3" xfId="451" xr:uid="{E781B374-2FDA-4F79-B0E0-151174E9F31E}"/>
    <cellStyle name="40% - Énfasis5 2 3 2" xfId="452" xr:uid="{1FDBD8CE-2894-4F0E-8948-66CFE3A0F0EB}"/>
    <cellStyle name="40% - Énfasis5 2 4" xfId="453" xr:uid="{CF481ED5-2B39-4CB5-A8C2-619026C2A549}"/>
    <cellStyle name="40% - Énfasis5 2 5" xfId="454" xr:uid="{399D92E7-2698-4375-9A1F-69C05F4CB09E}"/>
    <cellStyle name="40% - Énfasis5 3" xfId="455" xr:uid="{399593EB-6B42-44FE-8E52-2D4CB9242695}"/>
    <cellStyle name="40% - Énfasis5 3 2" xfId="456" xr:uid="{5F46154F-E5CA-4641-B7D7-8D0BCE9186AD}"/>
    <cellStyle name="40% - Énfasis5 3 2 2" xfId="457" xr:uid="{78D1B19C-3B93-46F2-87DC-C73D0F1F87DF}"/>
    <cellStyle name="40% - Énfasis5 3 3" xfId="458" xr:uid="{57A03B58-5CF0-4B8F-A0CA-ABF7565D93A2}"/>
    <cellStyle name="40% - Énfasis5 3 4" xfId="459" xr:uid="{2D4D879D-F80E-4A75-9C97-2071DC8D6AC3}"/>
    <cellStyle name="40% - Énfasis5 4" xfId="460" xr:uid="{AFB6184C-AE72-453D-861F-C149FFD57DD2}"/>
    <cellStyle name="40% - Énfasis5 5" xfId="461" xr:uid="{73133C94-900E-4704-80D6-D6588EFC48FC}"/>
    <cellStyle name="40% - Énfasis5 6" xfId="462" xr:uid="{CB59D42C-C564-4715-AB3D-A4C1A7F50245}"/>
    <cellStyle name="40% - Énfasis5 7" xfId="463" xr:uid="{A8DDDE83-AF45-4F02-93D5-FA8318809FC1}"/>
    <cellStyle name="40% - Énfasis6 10" xfId="464" xr:uid="{323757F0-91B1-4BC6-A43D-FC928F65E32F}"/>
    <cellStyle name="40% - Énfasis6 11" xfId="465" xr:uid="{C0F7C7BC-5A09-42EA-AABB-5A0C789DE673}"/>
    <cellStyle name="40% - Énfasis6 12" xfId="466" xr:uid="{7F9B8D03-0E01-4AB5-91D7-DA44F8CDE8CD}"/>
    <cellStyle name="40% - Énfasis6 13" xfId="467" xr:uid="{3A9F2DD7-2743-4F81-9142-D1EDAA9423F3}"/>
    <cellStyle name="40% - Énfasis6 14" xfId="468" xr:uid="{135C6217-DA39-4BEB-98B8-4C65F2168497}"/>
    <cellStyle name="40% - Énfasis6 15" xfId="469" xr:uid="{560F7607-9918-40FC-B614-4969A9CE3ABE}"/>
    <cellStyle name="40% - Énfasis6 16" xfId="470" xr:uid="{D3970152-095F-497C-994F-082CF0D7769C}"/>
    <cellStyle name="40% - Énfasis6 17" xfId="471" xr:uid="{E5D513A5-85E2-447B-9A7C-53D24979BEBB}"/>
    <cellStyle name="40% - Énfasis6 18" xfId="472" xr:uid="{1BF29E8B-F68E-4B83-A69C-240F60384C2B}"/>
    <cellStyle name="40% - Énfasis6 19" xfId="473" xr:uid="{DCF6FC0C-B827-4422-9BEC-0F3D43A570B5}"/>
    <cellStyle name="40% - Énfasis6 2" xfId="474" xr:uid="{D2D3590A-015D-41A0-B9DB-A08FC6CD4763}"/>
    <cellStyle name="40% - Énfasis6 2 2" xfId="475" xr:uid="{7BAFBA82-148E-4E33-96B6-BDF200AEA06A}"/>
    <cellStyle name="40% - Énfasis6 2 3" xfId="476" xr:uid="{27F90921-6E65-4E86-8B14-E3808E7735A0}"/>
    <cellStyle name="40% - Énfasis6 20" xfId="477" xr:uid="{1FD46E8C-FF13-462D-BF9B-61F6BE57C702}"/>
    <cellStyle name="40% - Énfasis6 21" xfId="478" xr:uid="{2364EE58-9EB9-40B6-B5DC-36825524D981}"/>
    <cellStyle name="40% - Énfasis6 21 2" xfId="479" xr:uid="{06D1A64C-3A41-4C46-95CF-46D166E7FF69}"/>
    <cellStyle name="40% - Énfasis6 21 2 2" xfId="480" xr:uid="{C501AB78-43D9-4B18-A9E2-71F4C3B4D991}"/>
    <cellStyle name="40% - Énfasis6 21 3" xfId="481" xr:uid="{59463D6A-6E76-4C70-93BE-67874602BCE1}"/>
    <cellStyle name="40% - Énfasis6 21 3 2" xfId="482" xr:uid="{22D13BD9-65CE-47E8-B634-6D525B0ADE22}"/>
    <cellStyle name="40% - Énfasis6 21 4" xfId="483" xr:uid="{848AE2A2-C7B6-4648-98F3-3CAED6247463}"/>
    <cellStyle name="40% - Énfasis6 22" xfId="484" xr:uid="{636D40A2-665F-4B35-A165-084746EA7556}"/>
    <cellStyle name="40% - Énfasis6 22 2" xfId="485" xr:uid="{B125EAEA-9A9B-4D3D-AE08-C42A84C81305}"/>
    <cellStyle name="40% - Énfasis6 22 2 2" xfId="486" xr:uid="{DF092CD3-382E-4BEA-ABF8-2F80B791D351}"/>
    <cellStyle name="40% - Énfasis6 22 3" xfId="487" xr:uid="{C4B7B00F-F153-4CA7-919F-0F05C481B578}"/>
    <cellStyle name="40% - Énfasis6 23" xfId="488" xr:uid="{391C3896-F89E-4221-A833-8F655749F39C}"/>
    <cellStyle name="40% - Énfasis6 24" xfId="489" xr:uid="{FB6F3494-B13C-4F4D-823F-66AB950A0E65}"/>
    <cellStyle name="40% - Énfasis6 25" xfId="490" xr:uid="{71DDE0D4-BC47-4741-853F-D1C280121962}"/>
    <cellStyle name="40% - Énfasis6 3" xfId="491" xr:uid="{276875EB-F3AA-4419-AC7F-203846134004}"/>
    <cellStyle name="40% - Énfasis6 3 2" xfId="492" xr:uid="{55463864-4088-43E3-86ED-F4A6C31149B7}"/>
    <cellStyle name="40% - Énfasis6 3 3" xfId="493" xr:uid="{5D7FB297-90CE-4D5E-8AE6-7C31D24DEFEF}"/>
    <cellStyle name="40% - Énfasis6 4" xfId="494" xr:uid="{CD911480-154B-4462-96BA-D685DDD609C3}"/>
    <cellStyle name="40% - Énfasis6 4 2" xfId="495" xr:uid="{5832553D-AE4F-47E2-B59C-724005CCE152}"/>
    <cellStyle name="40% - Énfasis6 5" xfId="496" xr:uid="{E87BA867-5A76-4B87-ACB0-490A487342EA}"/>
    <cellStyle name="40% - Énfasis6 6" xfId="497" xr:uid="{550D485C-7B86-466C-885B-863E25A66372}"/>
    <cellStyle name="40% - Énfasis6 7" xfId="498" xr:uid="{6A373D0D-EB93-478A-A47A-1B3682570E2F}"/>
    <cellStyle name="40% - Énfasis6 8" xfId="499" xr:uid="{854D72AA-9CF5-4E3D-BF37-2173969BA237}"/>
    <cellStyle name="40% - Énfasis6 9" xfId="500" xr:uid="{79070EF8-8CDE-4934-9D4C-10D86BFBE4E8}"/>
    <cellStyle name="60% - Accent1 2" xfId="44" xr:uid="{83B98027-7401-4580-ACFC-B18B0D76550C}"/>
    <cellStyle name="60% - Accent1 2 2" xfId="501" xr:uid="{7203BE9B-7F15-498F-982C-406D2C82D475}"/>
    <cellStyle name="60% - Accent1 3" xfId="106" xr:uid="{47F9B840-DC60-4A61-B813-F7F758F22E15}"/>
    <cellStyle name="60% - Accent2 2" xfId="48" xr:uid="{ECFED730-E2A2-4190-A4A9-EF96170827D7}"/>
    <cellStyle name="60% - Accent2 2 2" xfId="502" xr:uid="{C553B3B0-C01F-4FC6-861C-7834BB9BB2F0}"/>
    <cellStyle name="60% - Accent2 3" xfId="107" xr:uid="{CAA2AC42-18A6-46AA-9DAE-5640767B22E9}"/>
    <cellStyle name="60% - Accent3 2" xfId="52" xr:uid="{77348A31-D36E-42EF-A4EF-A7A4738927F6}"/>
    <cellStyle name="60% - Accent3 2 2" xfId="503" xr:uid="{D8504B5E-010A-41B8-9455-56E385C1FD80}"/>
    <cellStyle name="60% - Accent3 3" xfId="108" xr:uid="{2116B0C2-16EC-4898-ABE9-5163D7A29EF9}"/>
    <cellStyle name="60% - Accent4 2" xfId="56" xr:uid="{C5696539-7BF9-4B34-97F6-DD2ACE24EC4B}"/>
    <cellStyle name="60% - Accent4 2 2" xfId="504" xr:uid="{2F0470EF-B9CD-483B-B71A-9E44A5FBA52E}"/>
    <cellStyle name="60% - Accent4 3" xfId="109" xr:uid="{29C67666-DDD1-4189-978F-ADA150EA18B6}"/>
    <cellStyle name="60% - Accent5 2" xfId="60" xr:uid="{23F8776E-0671-4436-BCA4-77574A890DB6}"/>
    <cellStyle name="60% - Accent5 2 2" xfId="505" xr:uid="{4004F9AE-0C5F-4F23-82B3-6465B75D08A1}"/>
    <cellStyle name="60% - Accent5 3" xfId="110" xr:uid="{99248D97-BE0B-4291-AC3C-D4252C7DF51B}"/>
    <cellStyle name="60% - Accent6 2" xfId="64" xr:uid="{5B72E442-910D-445F-AD89-7005D7B8DE14}"/>
    <cellStyle name="60% - Accent6 2 2" xfId="506" xr:uid="{F25F4DF9-86DD-44F9-A264-0DA2C73DF023}"/>
    <cellStyle name="60% - Accent6 3" xfId="111" xr:uid="{E004A5F3-B628-45E7-848D-13E9C6269991}"/>
    <cellStyle name="60% - Énfasis1 10" xfId="507" xr:uid="{B5E8F3CD-7E1E-45ED-974F-3A739725DB5E}"/>
    <cellStyle name="60% - Énfasis1 11" xfId="508" xr:uid="{76864058-3EF2-4038-BCDE-0DBE4EA651FB}"/>
    <cellStyle name="60% - Énfasis1 12" xfId="509" xr:uid="{67FFABFE-CA38-4907-83E2-26C31632DD52}"/>
    <cellStyle name="60% - Énfasis1 13" xfId="510" xr:uid="{3E2106D2-CDF1-47A0-93D0-40750947A846}"/>
    <cellStyle name="60% - Énfasis1 14" xfId="511" xr:uid="{753E95CB-272E-4952-9DCF-5BD007A541A8}"/>
    <cellStyle name="60% - Énfasis1 15" xfId="512" xr:uid="{9D2FDB03-BAE3-4810-8D98-01D2EE4E3F03}"/>
    <cellStyle name="60% - Énfasis1 16" xfId="513" xr:uid="{DC6BD883-91E0-441A-847C-7A7FF3E548B6}"/>
    <cellStyle name="60% - Énfasis1 17" xfId="514" xr:uid="{4013F0C5-FAEE-4BBD-A66C-E7E161BA2B07}"/>
    <cellStyle name="60% - Énfasis1 18" xfId="515" xr:uid="{0C31F624-C7B2-4D3D-9833-834A9447401A}"/>
    <cellStyle name="60% - Énfasis1 19" xfId="516" xr:uid="{5E5747AB-668F-4721-AD42-044477701565}"/>
    <cellStyle name="60% - Énfasis1 2" xfId="517" xr:uid="{321F4004-97F4-49D2-9F4D-A9A412A4A401}"/>
    <cellStyle name="60% - Énfasis1 2 2" xfId="518" xr:uid="{0F370398-849A-4873-9BEB-93F336E35CB5}"/>
    <cellStyle name="60% - Énfasis1 20" xfId="519" xr:uid="{1E4CF86A-9B32-4F12-88AC-4582D776D3C4}"/>
    <cellStyle name="60% - Énfasis1 21" xfId="520" xr:uid="{B6F302BA-9A48-4199-8C30-5EE6A191C253}"/>
    <cellStyle name="60% - Énfasis1 22" xfId="521" xr:uid="{F9316F9C-A6DC-4B44-A199-2997F3C2D73D}"/>
    <cellStyle name="60% - Énfasis1 23" xfId="522" xr:uid="{F7AFCE13-034E-4D89-8F21-99A7D89248A0}"/>
    <cellStyle name="60% - Énfasis1 3" xfId="523" xr:uid="{DD87D208-FD9C-4108-9B04-F6BD3D3C737D}"/>
    <cellStyle name="60% - Énfasis1 3 2" xfId="524" xr:uid="{895F8AF8-1D5C-4DC8-B84F-7C67CE2DB473}"/>
    <cellStyle name="60% - Énfasis1 4" xfId="525" xr:uid="{57BED6C6-F245-4C91-83AD-397CF85D5060}"/>
    <cellStyle name="60% - Énfasis1 5" xfId="526" xr:uid="{27D33FBE-3A4F-4147-A3CA-036B7EEB18E4}"/>
    <cellStyle name="60% - Énfasis1 6" xfId="527" xr:uid="{918CCB2F-D9C3-4956-8E05-C820213D52D3}"/>
    <cellStyle name="60% - Énfasis1 7" xfId="528" xr:uid="{41CD21EB-A823-477D-8300-E4B14C723957}"/>
    <cellStyle name="60% - Énfasis1 8" xfId="529" xr:uid="{D76570B0-B64D-4AB9-B0C7-CEBAE3AA311C}"/>
    <cellStyle name="60% - Énfasis1 9" xfId="530" xr:uid="{20DFCA07-C9AF-4726-9055-697E9F2F4E2C}"/>
    <cellStyle name="60% - Énfasis2 2" xfId="531" xr:uid="{46E69F54-3611-4F96-A685-099CD7951823}"/>
    <cellStyle name="60% - Énfasis2 2 2" xfId="532" xr:uid="{D7685A78-7137-42EB-856E-37EEB7AA38C8}"/>
    <cellStyle name="60% - Énfasis2 3" xfId="533" xr:uid="{CD4172B8-A5DE-4A0E-884F-AE09E4DC97A6}"/>
    <cellStyle name="60% - Énfasis2 3 2" xfId="534" xr:uid="{74131244-BBC0-4FC2-BA6B-4D6DDA2D2A14}"/>
    <cellStyle name="60% - Énfasis2 4" xfId="535" xr:uid="{1E5555EE-909D-4FF2-8106-550A7C78D1A5}"/>
    <cellStyle name="60% - Énfasis3 10" xfId="536" xr:uid="{85BE62B1-587A-4B84-AA93-7A374DA9CE96}"/>
    <cellStyle name="60% - Énfasis3 11" xfId="537" xr:uid="{013F6510-169D-4D8A-B3AB-A0314BFE6729}"/>
    <cellStyle name="60% - Énfasis3 12" xfId="538" xr:uid="{AB036EEC-7174-4B66-9440-BDBAF80ED572}"/>
    <cellStyle name="60% - Énfasis3 13" xfId="539" xr:uid="{C14BA2CE-D7E1-4A28-9409-79E518F0BB29}"/>
    <cellStyle name="60% - Énfasis3 14" xfId="540" xr:uid="{08739DA4-E494-483B-81FE-AD9E86B4F534}"/>
    <cellStyle name="60% - Énfasis3 15" xfId="541" xr:uid="{B59AB669-A529-4FFC-9FF3-C501EBF890A8}"/>
    <cellStyle name="60% - Énfasis3 16" xfId="542" xr:uid="{330DC2CC-2534-40D8-AC4B-5841323D04A3}"/>
    <cellStyle name="60% - Énfasis3 17" xfId="543" xr:uid="{3774AE26-2DC2-4C09-B3F0-3901378D38DC}"/>
    <cellStyle name="60% - Énfasis3 18" xfId="544" xr:uid="{DC26496E-E6EE-4150-B051-47AA17C61D9B}"/>
    <cellStyle name="60% - Énfasis3 19" xfId="545" xr:uid="{6AC6B4D6-564C-44FA-BE88-5AFF838297D8}"/>
    <cellStyle name="60% - Énfasis3 2" xfId="546" xr:uid="{FA0C0574-1468-4214-8134-51F319FFE517}"/>
    <cellStyle name="60% - Énfasis3 2 2" xfId="547" xr:uid="{037C312A-B4E6-4463-9F41-285103F1FA95}"/>
    <cellStyle name="60% - Énfasis3 20" xfId="548" xr:uid="{30632A5F-02E2-4401-95C7-B98E009E87DE}"/>
    <cellStyle name="60% - Énfasis3 21" xfId="549" xr:uid="{C9006AC6-D27D-4553-8F42-521357BEA3B7}"/>
    <cellStyle name="60% - Énfasis3 22" xfId="550" xr:uid="{D18EF292-D559-48A1-986B-91635379B6B9}"/>
    <cellStyle name="60% - Énfasis3 23" xfId="551" xr:uid="{B55052D0-FFAA-4687-A918-3752253A1C47}"/>
    <cellStyle name="60% - Énfasis3 3" xfId="552" xr:uid="{115DDD96-96DA-48F8-A01E-54CD550C9BA6}"/>
    <cellStyle name="60% - Énfasis3 3 2" xfId="553" xr:uid="{670E8FAF-A23A-4541-AFC2-8AC974DE97F6}"/>
    <cellStyle name="60% - Énfasis3 4" xfId="554" xr:uid="{ADA2739D-1B87-4D44-9FB6-017F9C66FA12}"/>
    <cellStyle name="60% - Énfasis3 5" xfId="555" xr:uid="{4F46F782-DF9D-4CA9-A4C9-9079B5E11A6D}"/>
    <cellStyle name="60% - Énfasis3 6" xfId="556" xr:uid="{425F7DF1-CC6A-432E-A21B-81A4F7F1A0CA}"/>
    <cellStyle name="60% - Énfasis3 7" xfId="557" xr:uid="{03FFE9C4-0808-40A5-BC90-7BB3179DE3BD}"/>
    <cellStyle name="60% - Énfasis3 8" xfId="558" xr:uid="{6A175C86-BE11-4CC3-A89E-07A10DB508C8}"/>
    <cellStyle name="60% - Énfasis3 9" xfId="559" xr:uid="{7C95874D-D569-48C5-86C5-2B3EF3511192}"/>
    <cellStyle name="60% - Énfasis4 10" xfId="560" xr:uid="{36A8644C-C929-465B-AB8D-1D6A1DD5233D}"/>
    <cellStyle name="60% - Énfasis4 11" xfId="561" xr:uid="{3FD5B892-1314-444B-97B4-069EA63C6336}"/>
    <cellStyle name="60% - Énfasis4 12" xfId="562" xr:uid="{2BC80BE8-7D5E-4D20-A46D-47C40BD37B1C}"/>
    <cellStyle name="60% - Énfasis4 13" xfId="563" xr:uid="{54DF30B9-FE59-49CB-8573-5519ECCA4D84}"/>
    <cellStyle name="60% - Énfasis4 14" xfId="564" xr:uid="{4D424ED5-EB23-48B4-A3D5-B7EA53FD5F7D}"/>
    <cellStyle name="60% - Énfasis4 15" xfId="565" xr:uid="{C1AA83DD-E112-41A2-8232-60BFA2911883}"/>
    <cellStyle name="60% - Énfasis4 16" xfId="566" xr:uid="{1446AD05-5B8D-44F3-B713-D76EBBBB40E7}"/>
    <cellStyle name="60% - Énfasis4 17" xfId="567" xr:uid="{23CA587B-9E2D-4306-B0F8-02E6B7FF3567}"/>
    <cellStyle name="60% - Énfasis4 18" xfId="568" xr:uid="{07E6BF54-3D51-411D-85A5-AB07B9BBD98D}"/>
    <cellStyle name="60% - Énfasis4 19" xfId="569" xr:uid="{12392299-221A-4F99-A11F-D6DB11CA9A0C}"/>
    <cellStyle name="60% - Énfasis4 2" xfId="570" xr:uid="{DFB76C9C-0B8B-4A64-BC25-C337018004E7}"/>
    <cellStyle name="60% - Énfasis4 2 2" xfId="571" xr:uid="{60A2BEAD-6553-4365-997F-CA8BED52E466}"/>
    <cellStyle name="60% - Énfasis4 20" xfId="572" xr:uid="{6C10A990-C99C-4BBA-B04B-7F4D8020AD80}"/>
    <cellStyle name="60% - Énfasis4 21" xfId="573" xr:uid="{9BCB62A8-1402-48D0-924C-0E86FAFCD21D}"/>
    <cellStyle name="60% - Énfasis4 22" xfId="574" xr:uid="{97DF7F7A-F961-45E6-9108-124EBAD0A052}"/>
    <cellStyle name="60% - Énfasis4 23" xfId="575" xr:uid="{299D12A3-674C-4DD4-88FD-7EDBBC5F60BD}"/>
    <cellStyle name="60% - Énfasis4 3" xfId="576" xr:uid="{B2BE547E-F864-4D19-92AE-B361D54EB13B}"/>
    <cellStyle name="60% - Énfasis4 3 2" xfId="577" xr:uid="{5FA9B4FD-5F7A-4439-83D5-E9C0534EAE25}"/>
    <cellStyle name="60% - Énfasis4 4" xfId="578" xr:uid="{4AE540FC-4FE4-4A4F-93D3-182C490F00F5}"/>
    <cellStyle name="60% - Énfasis4 5" xfId="579" xr:uid="{70612B1A-8EBB-48EE-AAA9-AAC6871CC3FB}"/>
    <cellStyle name="60% - Énfasis4 6" xfId="580" xr:uid="{6B5FF86D-8953-4F69-A704-FB214BC07530}"/>
    <cellStyle name="60% - Énfasis4 7" xfId="581" xr:uid="{C3354905-986A-4E43-8F47-8F596801DF99}"/>
    <cellStyle name="60% - Énfasis4 8" xfId="582" xr:uid="{A5B89AA2-8304-4FD9-BB33-90A63FAE927A}"/>
    <cellStyle name="60% - Énfasis4 9" xfId="583" xr:uid="{F169058A-0B0B-450A-8D95-2D3903780961}"/>
    <cellStyle name="60% - Énfasis5 10" xfId="584" xr:uid="{D2910D82-166A-4A96-8880-91A15CF8D991}"/>
    <cellStyle name="60% - Énfasis5 11" xfId="585" xr:uid="{B7CB09E5-873B-4E61-A898-1B8ED8A7E3D5}"/>
    <cellStyle name="60% - Énfasis5 12" xfId="586" xr:uid="{031B44E2-75AF-46EE-A4EA-2D9D2B2B1330}"/>
    <cellStyle name="60% - Énfasis5 13" xfId="587" xr:uid="{8E265116-2893-4547-9870-8D2DE4157283}"/>
    <cellStyle name="60% - Énfasis5 14" xfId="588" xr:uid="{2D649F48-2837-4333-A586-823FB5A708E2}"/>
    <cellStyle name="60% - Énfasis5 15" xfId="589" xr:uid="{0BCB9C57-2724-4F35-8861-F109C40CD057}"/>
    <cellStyle name="60% - Énfasis5 16" xfId="590" xr:uid="{7835F4A5-0F5A-4CA1-AAFB-6B19B30575EC}"/>
    <cellStyle name="60% - Énfasis5 17" xfId="591" xr:uid="{4D9A1E6A-560F-477A-8863-98148BBCDEDB}"/>
    <cellStyle name="60% - Énfasis5 18" xfId="592" xr:uid="{317720DC-C201-4290-9BB7-8175EA10B6F3}"/>
    <cellStyle name="60% - Énfasis5 19" xfId="593" xr:uid="{546B4F16-721F-42B7-8005-D6EE0C231497}"/>
    <cellStyle name="60% - Énfasis5 2" xfId="594" xr:uid="{9BE125A2-0F3C-4792-855B-5C544090C6AC}"/>
    <cellStyle name="60% - Énfasis5 2 2" xfId="595" xr:uid="{FD0661E8-609F-4358-A815-56421F94B73D}"/>
    <cellStyle name="60% - Énfasis5 20" xfId="596" xr:uid="{39356F66-7E85-4644-88FA-CE25DF5D4E30}"/>
    <cellStyle name="60% - Énfasis5 21" xfId="597" xr:uid="{683529C8-0423-42DD-A89E-D45F47AACFF7}"/>
    <cellStyle name="60% - Énfasis5 22" xfId="598" xr:uid="{FBA53088-6A27-4C02-B77D-F2C86B95CEE7}"/>
    <cellStyle name="60% - Énfasis5 23" xfId="599" xr:uid="{0F1D3E9C-E8B1-4AE4-B620-8BF2CDF9CE1F}"/>
    <cellStyle name="60% - Énfasis5 3" xfId="600" xr:uid="{BCB89466-97E6-4C1F-A5E2-1EB207E8894D}"/>
    <cellStyle name="60% - Énfasis5 3 2" xfId="601" xr:uid="{C2788557-14D2-4530-9278-721C11C60833}"/>
    <cellStyle name="60% - Énfasis5 4" xfId="602" xr:uid="{A31C5BBE-3146-4F63-A180-2CB6E54BBF3E}"/>
    <cellStyle name="60% - Énfasis5 5" xfId="603" xr:uid="{05675E91-F3D1-4D6C-88A3-1C93C4368FBE}"/>
    <cellStyle name="60% - Énfasis5 6" xfId="604" xr:uid="{D5BAE77B-EF74-4916-B3AC-89A2425D0CDA}"/>
    <cellStyle name="60% - Énfasis5 7" xfId="605" xr:uid="{AB5A01E0-12CE-4996-B527-1DF60B6F8CEC}"/>
    <cellStyle name="60% - Énfasis5 8" xfId="606" xr:uid="{919C8668-3261-4BDE-9297-88C73DC20735}"/>
    <cellStyle name="60% - Énfasis5 9" xfId="607" xr:uid="{639979ED-CDE3-44DD-B468-358CCB458582}"/>
    <cellStyle name="60% - Énfasis6 10" xfId="608" xr:uid="{9EF98C00-9699-420B-A21E-D233F6D3D7A1}"/>
    <cellStyle name="60% - Énfasis6 11" xfId="609" xr:uid="{94694BC0-F8A9-42A1-80BD-63C3120380F2}"/>
    <cellStyle name="60% - Énfasis6 12" xfId="610" xr:uid="{923373F7-2968-4077-B72E-0479C47D494D}"/>
    <cellStyle name="60% - Énfasis6 13" xfId="611" xr:uid="{37AFD11D-F25B-4019-BA59-0AF38D445F51}"/>
    <cellStyle name="60% - Énfasis6 14" xfId="612" xr:uid="{77938C97-B83D-4285-A79E-C91EE10C014D}"/>
    <cellStyle name="60% - Énfasis6 15" xfId="613" xr:uid="{29327515-488A-429C-A074-B95C10C2E3C0}"/>
    <cellStyle name="60% - Énfasis6 16" xfId="614" xr:uid="{618869E3-54BA-40D1-A356-7F8853CA0918}"/>
    <cellStyle name="60% - Énfasis6 17" xfId="615" xr:uid="{2FAD794B-613B-4441-AB17-A5C74ECD9836}"/>
    <cellStyle name="60% - Énfasis6 18" xfId="616" xr:uid="{126496F9-6AEA-428D-B5E1-36D592DF99C4}"/>
    <cellStyle name="60% - Énfasis6 19" xfId="617" xr:uid="{27D69BA5-A1A1-42BA-8BB5-08BD75C78643}"/>
    <cellStyle name="60% - Énfasis6 2" xfId="618" xr:uid="{9CD91DA2-DBB6-445E-B284-9B2EF1BB81D5}"/>
    <cellStyle name="60% - Énfasis6 2 2" xfId="619" xr:uid="{AE73C08E-699F-4217-85EF-2686098E5E61}"/>
    <cellStyle name="60% - Énfasis6 20" xfId="620" xr:uid="{A749AD17-362A-4B41-9B56-CC4EA943117A}"/>
    <cellStyle name="60% - Énfasis6 21" xfId="621" xr:uid="{79994BB2-7AA1-487D-A595-D78BE21C726B}"/>
    <cellStyle name="60% - Énfasis6 22" xfId="622" xr:uid="{3A7EDFFF-B4A0-476A-9581-372DD0D335E4}"/>
    <cellStyle name="60% - Énfasis6 3" xfId="623" xr:uid="{2992F2EA-B10E-420B-8605-7CC06E0C25AB}"/>
    <cellStyle name="60% - Énfasis6 3 2" xfId="624" xr:uid="{C8125C93-6FF2-47EC-A1F8-22BC02EBC41B}"/>
    <cellStyle name="60% - Énfasis6 4" xfId="625" xr:uid="{F5A7EEAF-5B7C-4A1B-A8EB-0D8E034B1005}"/>
    <cellStyle name="60% - Énfasis6 5" xfId="626" xr:uid="{5547556B-DA97-4322-9150-7BD8567EA380}"/>
    <cellStyle name="60% - Énfasis6 6" xfId="627" xr:uid="{0F13AABE-C286-4B41-808F-C856E00E92C2}"/>
    <cellStyle name="60% - Énfasis6 7" xfId="628" xr:uid="{8EC6B7DD-44F1-49C5-A876-578A4ACC7250}"/>
    <cellStyle name="60% - Énfasis6 8" xfId="629" xr:uid="{097E32D8-B898-4500-8828-43A6DD60D9CD}"/>
    <cellStyle name="60% - Énfasis6 9" xfId="630" xr:uid="{99D03501-2279-4D75-9C74-EA98F2C45BE5}"/>
    <cellStyle name="a_quebra_2" xfId="631" xr:uid="{E12EA1C7-B27D-46E7-9D61-D7731BC6FA50}"/>
    <cellStyle name="A3 297 x 420 mm" xfId="632" xr:uid="{63F800B9-38CD-42E2-95AD-C45318959734}"/>
    <cellStyle name="A3 297 x 420 mm 10" xfId="633" xr:uid="{8D4C44A7-F50D-4FF7-941D-D470A7F592EF}"/>
    <cellStyle name="A3 297 x 420 mm 10 2" xfId="634" xr:uid="{6F7EE5F2-91D1-44F3-9EBD-5F7508805BFD}"/>
    <cellStyle name="A3 297 x 420 mm 11" xfId="635" xr:uid="{88C27479-143C-4C3E-AEAA-84C3DC373D22}"/>
    <cellStyle name="A3 297 x 420 mm 12" xfId="636" xr:uid="{69CB2E55-B052-4D80-A244-0AEA3230878F}"/>
    <cellStyle name="A3 297 x 420 mm 13" xfId="637" xr:uid="{6152A624-6F69-479A-ADAA-D4905264DF0A}"/>
    <cellStyle name="A3 297 x 420 mm 14" xfId="638" xr:uid="{5943FEAB-997C-4332-B320-9D4CBBB06911}"/>
    <cellStyle name="A3 297 x 420 mm 15" xfId="639" xr:uid="{24A2F890-760A-49B6-8CCE-8EDE3A8CEA26}"/>
    <cellStyle name="A3 297 x 420 mm 16" xfId="640" xr:uid="{C26AD106-2613-427F-B3A9-E2FF5CFFB202}"/>
    <cellStyle name="A3 297 x 420 mm 17" xfId="641" xr:uid="{413726FB-9F4D-4DE1-87DA-07233E8B9A88}"/>
    <cellStyle name="A3 297 x 420 mm 18" xfId="642" xr:uid="{86ADA591-77A5-4916-A107-BDF86B19B6E2}"/>
    <cellStyle name="A3 297 x 420 mm 19" xfId="643" xr:uid="{8D67668B-3AE1-4459-9A66-62CB62B0E8FF}"/>
    <cellStyle name="A3 297 x 420 mm 2" xfId="644" xr:uid="{D5FDB6EF-6574-4883-AB98-42CEC690E71B}"/>
    <cellStyle name="A3 297 x 420 mm 2 2" xfId="645" xr:uid="{0BD845E2-AA47-4C1F-A01D-FCB0FEEDF1EB}"/>
    <cellStyle name="A3 297 x 420 mm 20" xfId="646" xr:uid="{7B2987B4-DF49-43B5-9260-E3ABC4EF8DB1}"/>
    <cellStyle name="A3 297 x 420 mm 21" xfId="647" xr:uid="{2D8FC6B7-C9CB-403A-A3ED-1FF638C4C913}"/>
    <cellStyle name="A3 297 x 420 mm 22" xfId="648" xr:uid="{0BCE9D8A-67A4-4E38-AC1C-D270F1FCEEFD}"/>
    <cellStyle name="A3 297 x 420 mm 23" xfId="649" xr:uid="{72B662BC-6454-4693-A2E3-A96422A0AB8B}"/>
    <cellStyle name="A3 297 x 420 mm 24" xfId="650" xr:uid="{57BEF391-5658-4349-A4DE-BEA80231A615}"/>
    <cellStyle name="A3 297 x 420 mm 25" xfId="651" xr:uid="{A25D16A4-B66D-410F-881F-E23C624335CA}"/>
    <cellStyle name="A3 297 x 420 mm 26" xfId="652" xr:uid="{42161595-740F-4201-9DC7-DA26437151CA}"/>
    <cellStyle name="A3 297 x 420 mm 27" xfId="653" xr:uid="{BD5129BB-D487-4C08-9135-34FD2B1B5E9A}"/>
    <cellStyle name="A3 297 x 420 mm 28" xfId="654" xr:uid="{3BFDFAD2-ECE9-4102-BE8F-EE92ECCAAB9B}"/>
    <cellStyle name="A3 297 x 420 mm 29" xfId="655" xr:uid="{8B901859-B8F5-488A-9FDE-8FD15DB3D24E}"/>
    <cellStyle name="A3 297 x 420 mm 3" xfId="656" xr:uid="{BE7889F4-7B53-42E2-B159-7BAEAA051091}"/>
    <cellStyle name="A3 297 x 420 mm 3 2" xfId="657" xr:uid="{3BCE26DE-FFAB-40F9-B938-725C7C1ADD0A}"/>
    <cellStyle name="A3 297 x 420 mm 30" xfId="658" xr:uid="{14CB7AB4-05E3-40C7-8E6D-EB7C2116AC18}"/>
    <cellStyle name="A3 297 x 420 mm 31" xfId="659" xr:uid="{D877A61E-3514-4592-9D8F-E0ADFA0CF068}"/>
    <cellStyle name="A3 297 x 420 mm 32" xfId="660" xr:uid="{E3EEA4C8-F6AE-476C-9087-45A01C35202B}"/>
    <cellStyle name="A3 297 x 420 mm 33" xfId="661" xr:uid="{5CE3CDDB-5AEC-484B-B4EE-E0EDC6BE1D74}"/>
    <cellStyle name="A3 297 x 420 mm 34" xfId="662" xr:uid="{1D2FB7B7-356F-4500-8D24-98E87D917D84}"/>
    <cellStyle name="A3 297 x 420 mm 35" xfId="663" xr:uid="{0901D566-7972-444F-81DD-AD2776EC9B5E}"/>
    <cellStyle name="A3 297 x 420 mm 36" xfId="664" xr:uid="{DE7A1E20-D1F0-4F49-8095-FD78AC08262A}"/>
    <cellStyle name="A3 297 x 420 mm 37" xfId="665" xr:uid="{3F8C76BA-7DCB-4473-9F19-34AFECDB0B15}"/>
    <cellStyle name="A3 297 x 420 mm 4" xfId="666" xr:uid="{8459E5D1-5DEA-468E-A492-3D94F6377264}"/>
    <cellStyle name="A3 297 x 420 mm 5" xfId="667" xr:uid="{F2BE4637-CC11-451A-85A7-EA427ECBB63E}"/>
    <cellStyle name="A3 297 x 420 mm 6" xfId="668" xr:uid="{EF5547BC-CCBF-40DA-86A9-0C404F58C288}"/>
    <cellStyle name="A3 297 x 420 mm 7" xfId="669" xr:uid="{30414930-85B4-45A0-8ACA-27A9B5B4E3EB}"/>
    <cellStyle name="A3 297 x 420 mm 8" xfId="670" xr:uid="{B7ECF81C-1FBA-40F3-848A-099706FBAC02}"/>
    <cellStyle name="A3 297 x 420 mm 9" xfId="671" xr:uid="{184F671E-DEB6-4AE3-8992-32776014AFA4}"/>
    <cellStyle name="Accent1" xfId="86" builtinId="29" customBuiltin="1"/>
    <cellStyle name="Accent1 2" xfId="672" xr:uid="{EC52E815-0620-4C5B-B9F5-F667636E3180}"/>
    <cellStyle name="Accent2" xfId="89" builtinId="33" customBuiltin="1"/>
    <cellStyle name="Accent2 2" xfId="45" xr:uid="{3D038019-01AE-4C43-8F33-26C9963AF600}"/>
    <cellStyle name="Accent2 2 2" xfId="673" xr:uid="{DEE39C4A-23BD-4538-8D29-F4B3794430D5}"/>
    <cellStyle name="Accent3" xfId="92" builtinId="37" customBuiltin="1"/>
    <cellStyle name="Accent3 2" xfId="49" xr:uid="{4AE9B5A4-6064-494E-AE41-8844B1AAA381}"/>
    <cellStyle name="Accent3 2 2" xfId="674" xr:uid="{AF76355D-774F-4632-BD38-AE1639657547}"/>
    <cellStyle name="Accent4" xfId="95" builtinId="41" customBuiltin="1"/>
    <cellStyle name="Accent4 2" xfId="53" xr:uid="{A61867BE-9312-4FD9-937C-8AFEEAE2AFBE}"/>
    <cellStyle name="Accent4 2 2" xfId="675" xr:uid="{25F331B4-A88B-4A32-A192-EB27BF7C33E6}"/>
    <cellStyle name="Accent5" xfId="98" builtinId="45" customBuiltin="1"/>
    <cellStyle name="Accent5 2" xfId="57" xr:uid="{FE937F4B-357E-4541-AC70-7B49E4543B35}"/>
    <cellStyle name="Accent5 2 2" xfId="676" xr:uid="{E76CBFA0-1B70-4A56-8420-3F16AE9222AC}"/>
    <cellStyle name="Accent6" xfId="101" builtinId="49" customBuiltin="1"/>
    <cellStyle name="Accent6 2" xfId="61" xr:uid="{1AE6C8E3-453B-4D28-B885-E055577655FF}"/>
    <cellStyle name="Accent6 2 2" xfId="677" xr:uid="{FA49552F-1BA0-48E3-A0D6-A2C28CAB72F8}"/>
    <cellStyle name="Bad" xfId="77" builtinId="27" customBuiltin="1"/>
    <cellStyle name="Bad 2" xfId="32" xr:uid="{B11F7041-E5F6-442C-9EF4-D4B0923FA1FD}"/>
    <cellStyle name="Bad 2 2" xfId="678" xr:uid="{B506D968-3AD8-444A-AA7D-6C0157C1F202}"/>
    <cellStyle name="Buena 2" xfId="679" xr:uid="{A6F6E455-111C-4375-987C-03329AB4DAC0}"/>
    <cellStyle name="Buena 2 2" xfId="680" xr:uid="{B5D8C542-C25C-4F20-B426-E8380A4209BD}"/>
    <cellStyle name="Buena 3" xfId="681" xr:uid="{2CA5CE84-8BD2-4F22-805A-A976654520D1}"/>
    <cellStyle name="Buena 3 2" xfId="682" xr:uid="{CDFE4196-2664-4304-8A52-49DD7962D144}"/>
    <cellStyle name="Buena 4" xfId="683" xr:uid="{CB361FEE-E661-42AF-9D9A-1D9584482663}"/>
    <cellStyle name="Cabecera 1" xfId="684" xr:uid="{F7F9D535-DA68-413F-BCBE-14138BC87F64}"/>
    <cellStyle name="Cabecera 2" xfId="685" xr:uid="{2A46F6D8-6213-41ED-B88A-8B5487B8648E}"/>
    <cellStyle name="Calculation" xfId="80" builtinId="22" customBuiltin="1"/>
    <cellStyle name="Calculation 2" xfId="36" xr:uid="{CF368FCF-5E41-44E5-9905-47DF62634F67}"/>
    <cellStyle name="Calculation 2 2" xfId="686" xr:uid="{BF0C6081-F47B-4CB4-97E6-0FCF60E1843B}"/>
    <cellStyle name="Cálculo 10" xfId="687" xr:uid="{B9EFC7D9-289E-4F98-9CEF-C148C578C228}"/>
    <cellStyle name="Cálculo 10 2" xfId="688" xr:uid="{36A91133-B6CF-432E-B68B-E8EE3BF38169}"/>
    <cellStyle name="Cálculo 10 2 2" xfId="689" xr:uid="{F2D8783B-7C4F-4CC4-8419-AAC455B207B7}"/>
    <cellStyle name="Cálculo 10 3" xfId="690" xr:uid="{0E6182EC-47A8-4043-A7FB-767088863F65}"/>
    <cellStyle name="Cálculo 10 3 2" xfId="691" xr:uid="{5E5D0AE7-2679-4D7B-B956-DBEE89CFB1BE}"/>
    <cellStyle name="Cálculo 10 3 3" xfId="692" xr:uid="{07FF4BB5-E586-46F0-B0F7-B476F6480EBF}"/>
    <cellStyle name="Cálculo 11" xfId="693" xr:uid="{1FAAA93B-39B4-414D-BE4D-6D8D83CE2DD6}"/>
    <cellStyle name="Cálculo 11 2" xfId="694" xr:uid="{A4440915-1286-417C-B4DC-E94B9D4BED80}"/>
    <cellStyle name="Cálculo 11 2 2" xfId="695" xr:uid="{BB1D4D8F-A4C1-47A3-872C-CA355E60DB6D}"/>
    <cellStyle name="Cálculo 11 3" xfId="696" xr:uid="{5E2DF20C-90E2-4779-B041-0DD73CDBCBC1}"/>
    <cellStyle name="Cálculo 11 3 2" xfId="697" xr:uid="{1491BAA7-EAF2-4C76-9C73-36D68DD8BCD5}"/>
    <cellStyle name="Cálculo 11 3 3" xfId="698" xr:uid="{80162909-06FC-4A24-834F-FB4838BA848E}"/>
    <cellStyle name="Cálculo 12" xfId="699" xr:uid="{C9A79D03-9FB3-4CAE-A2E3-50F00847DACF}"/>
    <cellStyle name="Cálculo 12 2" xfId="700" xr:uid="{3392010F-BF64-4076-B1F2-6C64FD846F1B}"/>
    <cellStyle name="Cálculo 12 2 2" xfId="701" xr:uid="{526388C3-513A-4FC1-B2A1-9965F85C4D9F}"/>
    <cellStyle name="Cálculo 12 3" xfId="702" xr:uid="{DB7C8A2B-9E2D-45C0-80E5-5036FFC5190B}"/>
    <cellStyle name="Cálculo 12 3 2" xfId="703" xr:uid="{2D6E24D4-81D9-46FB-9739-ACE8EEDF1F97}"/>
    <cellStyle name="Cálculo 12 3 3" xfId="704" xr:uid="{F5702FD5-9E5D-477A-8934-1235D8BB9DD3}"/>
    <cellStyle name="Cálculo 13" xfId="705" xr:uid="{9D191588-2BA4-4D92-BE0E-E8121C1C8AD7}"/>
    <cellStyle name="Cálculo 13 2" xfId="706" xr:uid="{18DB0505-248D-495A-B1D5-95AE0501AFEE}"/>
    <cellStyle name="Cálculo 13 2 2" xfId="707" xr:uid="{3207EF69-F332-4697-A116-C8AE324CEB68}"/>
    <cellStyle name="Cálculo 13 3" xfId="708" xr:uid="{02CAEBE9-4312-4474-A137-7E2555976356}"/>
    <cellStyle name="Cálculo 13 3 2" xfId="709" xr:uid="{03DA8935-26FF-440B-8EC7-1E688867A5BA}"/>
    <cellStyle name="Cálculo 13 3 3" xfId="710" xr:uid="{F0E32FE2-C847-4213-9658-416AEA35DAB7}"/>
    <cellStyle name="Cálculo 14" xfId="711" xr:uid="{A1288C3D-8C42-4F82-A5EE-B43DEFB3F882}"/>
    <cellStyle name="Cálculo 14 2" xfId="712" xr:uid="{183719D4-E752-4618-98A8-E4B983256BC0}"/>
    <cellStyle name="Cálculo 14 2 2" xfId="713" xr:uid="{9D3921B9-F046-4291-AA83-4C7C61F3A98A}"/>
    <cellStyle name="Cálculo 14 3" xfId="714" xr:uid="{7CD650B1-7E2A-44BF-9FAF-4DDC7F18751D}"/>
    <cellStyle name="Cálculo 14 3 2" xfId="715" xr:uid="{D527443D-B854-4D3C-BF48-0AB32B8EFB54}"/>
    <cellStyle name="Cálculo 14 3 3" xfId="716" xr:uid="{C44F337D-0FC8-40DC-B724-DE3817E4A5EE}"/>
    <cellStyle name="Cálculo 15" xfId="717" xr:uid="{B917E3D5-BE1A-4613-A95C-E2A445856F6A}"/>
    <cellStyle name="Cálculo 15 2" xfId="718" xr:uid="{5932C805-FEAE-40C8-9417-F61C48B16E7A}"/>
    <cellStyle name="Cálculo 15 2 2" xfId="719" xr:uid="{12674CC3-C97B-46B3-B39C-D252D7168287}"/>
    <cellStyle name="Cálculo 15 3" xfId="720" xr:uid="{EEAC071C-CB8C-4D4E-9A52-95EC1120192C}"/>
    <cellStyle name="Cálculo 15 3 2" xfId="721" xr:uid="{D3603998-255D-4AD4-9B2A-8135216E1DC8}"/>
    <cellStyle name="Cálculo 15 3 3" xfId="722" xr:uid="{B19F1021-5F1B-4D51-9A3C-78DD552F9257}"/>
    <cellStyle name="Cálculo 16" xfId="723" xr:uid="{25D62C74-E974-4B26-90FF-B1893E3A7C4E}"/>
    <cellStyle name="Cálculo 16 2" xfId="724" xr:uid="{478E0111-51CC-46B2-804A-AE6C1FD378B7}"/>
    <cellStyle name="Cálculo 16 2 2" xfId="725" xr:uid="{1BAF9475-4116-4E4A-BFE2-D77524348966}"/>
    <cellStyle name="Cálculo 16 3" xfId="726" xr:uid="{DD65643E-2D6E-4CC0-9CEA-E9A3CBCD4CC3}"/>
    <cellStyle name="Cálculo 16 3 2" xfId="727" xr:uid="{876348B3-4F50-47EA-B837-0FCB0DA1292F}"/>
    <cellStyle name="Cálculo 16 3 3" xfId="728" xr:uid="{2F4A4D2B-AA64-4CD2-B49A-2481A3D546DD}"/>
    <cellStyle name="Cálculo 17" xfId="729" xr:uid="{767988FE-58FC-4458-856B-D346F7D04B06}"/>
    <cellStyle name="Cálculo 17 2" xfId="730" xr:uid="{68AFA744-F7B5-43EE-A6CB-01A44AED1472}"/>
    <cellStyle name="Cálculo 17 2 2" xfId="731" xr:uid="{1BA20563-08C3-4BB2-BF9E-9FA1C10DC3B4}"/>
    <cellStyle name="Cálculo 17 3" xfId="732" xr:uid="{58817BE7-6DB6-47B5-B72E-501D1EB67801}"/>
    <cellStyle name="Cálculo 17 3 2" xfId="733" xr:uid="{DEA0C8EC-EF37-4825-AED5-E74D89E0EC4C}"/>
    <cellStyle name="Cálculo 17 3 3" xfId="734" xr:uid="{25B63FF3-D986-4EFA-AC93-CFFAE8E1DC1A}"/>
    <cellStyle name="Cálculo 18" xfId="735" xr:uid="{3B101E86-004C-46E9-A792-2EFE2A8570B1}"/>
    <cellStyle name="Cálculo 18 2" xfId="736" xr:uid="{0E8CE298-7548-48AD-9B21-C85F90509CD0}"/>
    <cellStyle name="Cálculo 18 2 2" xfId="737" xr:uid="{7B71C32C-544C-4B25-91C6-45649F679A67}"/>
    <cellStyle name="Cálculo 18 3" xfId="738" xr:uid="{8217985A-9851-4A46-92F4-48C000101414}"/>
    <cellStyle name="Cálculo 18 3 2" xfId="739" xr:uid="{CB63B7FE-A95D-4692-8B56-3C2BBEC65C58}"/>
    <cellStyle name="Cálculo 18 3 3" xfId="740" xr:uid="{49FD02E9-68D0-4BE2-A0E6-BB5551107892}"/>
    <cellStyle name="Cálculo 19" xfId="741" xr:uid="{67BA64CE-E4C8-4BC4-A365-5191B2F003BC}"/>
    <cellStyle name="Cálculo 19 2" xfId="742" xr:uid="{A464FF25-81A7-41DA-9FFA-E43BB510CD2B}"/>
    <cellStyle name="Cálculo 19 2 2" xfId="743" xr:uid="{3ED1D034-F810-4D47-9C6F-586CDE5F53F8}"/>
    <cellStyle name="Cálculo 19 3" xfId="744" xr:uid="{B392CC33-B6A7-4A6E-B3E4-879C09E7D7C7}"/>
    <cellStyle name="Cálculo 19 3 2" xfId="745" xr:uid="{15D6699E-832F-46D7-BE1B-9197456211F4}"/>
    <cellStyle name="Cálculo 19 3 3" xfId="746" xr:uid="{92DFB870-FD0E-44C5-A9A4-67D91BDBCD24}"/>
    <cellStyle name="Cálculo 2" xfId="747" xr:uid="{10135D84-B373-48B5-8985-4C4A3321C184}"/>
    <cellStyle name="Cálculo 2 2" xfId="748" xr:uid="{21EB0D05-7D86-416B-A0E0-29E97549D6B2}"/>
    <cellStyle name="Cálculo 2 2 2" xfId="749" xr:uid="{D1892E7C-B271-458D-8740-BB708898BB63}"/>
    <cellStyle name="Cálculo 2 2 2 2" xfId="750" xr:uid="{C80B70F5-E9D2-40D0-B41E-F2D21DF3F239}"/>
    <cellStyle name="Cálculo 2 2 3" xfId="751" xr:uid="{C407BAED-25B3-4FE7-8D5E-DFFBA1E7613A}"/>
    <cellStyle name="Cálculo 2 2 3 2" xfId="752" xr:uid="{14C84EDD-EFFB-4D7D-9FCB-3E5F13F04B7E}"/>
    <cellStyle name="Cálculo 2 2 3 3" xfId="753" xr:uid="{E8A49661-9DDE-4E43-9CB0-36FF640F3BF9}"/>
    <cellStyle name="Cálculo 2 3" xfId="754" xr:uid="{0F8C67D2-0EDA-402E-9787-1912E2E8C12B}"/>
    <cellStyle name="Cálculo 2 3 2" xfId="755" xr:uid="{16B9D8D6-E0AE-48F0-B734-2A60E24C633B}"/>
    <cellStyle name="Cálculo 2 4" xfId="756" xr:uid="{88F87708-FE88-4744-9C0B-B8254BAFC72C}"/>
    <cellStyle name="Cálculo 2 4 2" xfId="757" xr:uid="{E808831F-78B3-41A9-9838-F66A647CFB52}"/>
    <cellStyle name="Cálculo 2 4 3" xfId="758" xr:uid="{B1881842-9B30-4623-B7A4-163A13D406C9}"/>
    <cellStyle name="Cálculo 2 5" xfId="759" xr:uid="{13679FAC-ED1E-4101-A7DC-7909BCE6B0BC}"/>
    <cellStyle name="Cálculo 20" xfId="760" xr:uid="{8137879E-C1BB-4766-885B-9A019BF8DB2D}"/>
    <cellStyle name="Cálculo 20 2" xfId="761" xr:uid="{C2F8820D-3463-4DB4-B82C-9062B69D31E0}"/>
    <cellStyle name="Cálculo 20 2 2" xfId="762" xr:uid="{11F88581-4845-4303-8196-586A9D749CBC}"/>
    <cellStyle name="Cálculo 20 3" xfId="763" xr:uid="{38D4FEE4-C258-46F5-AE1C-35641DF99C5A}"/>
    <cellStyle name="Cálculo 20 3 2" xfId="764" xr:uid="{D97AE156-923E-464C-9D51-B372FE8AAF18}"/>
    <cellStyle name="Cálculo 20 3 3" xfId="765" xr:uid="{1906F3A6-4B68-469D-B695-CF8C98F83702}"/>
    <cellStyle name="Cálculo 21" xfId="766" xr:uid="{B035C2F6-7A79-4D13-96AE-477EA0B99AC0}"/>
    <cellStyle name="Cálculo 22" xfId="767" xr:uid="{3169B6D3-1F75-4971-8CAC-5033E3321121}"/>
    <cellStyle name="Cálculo 22 2" xfId="768" xr:uid="{11ECCF32-E262-43CB-AB7F-8CF169922B0E}"/>
    <cellStyle name="Cálculo 23" xfId="769" xr:uid="{45F8C731-8F2D-432C-93B0-90ACED8B0C5E}"/>
    <cellStyle name="Cálculo 23 2" xfId="770" xr:uid="{6FCABECA-174A-42D1-87B5-E9521FF60086}"/>
    <cellStyle name="Cálculo 23 3" xfId="771" xr:uid="{F2A65B2A-C45F-4FED-AB34-3A1E3BCC308D}"/>
    <cellStyle name="Cálculo 24" xfId="772" xr:uid="{F165F11B-099D-4337-A9C8-F270DD2EADC9}"/>
    <cellStyle name="Cálculo 3" xfId="773" xr:uid="{7EA95A11-4146-4B00-AD6C-2430A5EBFDAF}"/>
    <cellStyle name="Cálculo 3 2" xfId="774" xr:uid="{B0F612F3-7B12-43F3-8AD2-EFBBC6CC4A22}"/>
    <cellStyle name="Cálculo 3 2 2" xfId="775" xr:uid="{2FBD7DFF-838C-4B66-B997-AE6380E60ADF}"/>
    <cellStyle name="Cálculo 3 3" xfId="776" xr:uid="{7FD75041-9A7B-4A47-AD67-137641959A07}"/>
    <cellStyle name="Cálculo 3 3 2" xfId="777" xr:uid="{4E8EDCE7-090E-487F-B5CA-81491A9FC2CA}"/>
    <cellStyle name="Cálculo 3 3 3" xfId="778" xr:uid="{79DED98C-A405-4EF9-93B3-9C16AC8D6A87}"/>
    <cellStyle name="Cálculo 3 4" xfId="779" xr:uid="{A3761981-1DCD-4FD4-8AD8-49DABFE54845}"/>
    <cellStyle name="Cálculo 4" xfId="780" xr:uid="{6C00465A-E04F-48ED-A96D-C944CA9368AE}"/>
    <cellStyle name="Cálculo 4 2" xfId="781" xr:uid="{986F7952-BD02-42C3-B215-DBE5E8E96281}"/>
    <cellStyle name="Cálculo 4 2 2" xfId="782" xr:uid="{9E11981A-36F3-424C-A1D2-82FFFDB237EA}"/>
    <cellStyle name="Cálculo 4 3" xfId="783" xr:uid="{968D1AA6-A6DC-449E-BF69-471CAE8AF343}"/>
    <cellStyle name="Cálculo 4 3 2" xfId="784" xr:uid="{4E4283F9-D3DE-4E93-B17F-C66A9788268B}"/>
    <cellStyle name="Cálculo 4 3 3" xfId="785" xr:uid="{C20C3328-E437-4F89-9DBA-E6FFD01B5719}"/>
    <cellStyle name="Cálculo 5" xfId="786" xr:uid="{62BAAA82-A671-45FF-A1AF-6E75EC156E92}"/>
    <cellStyle name="Cálculo 5 2" xfId="787" xr:uid="{C4C58809-0B27-461E-984E-32478C6A3DAC}"/>
    <cellStyle name="Cálculo 5 2 2" xfId="788" xr:uid="{DDB11233-FAFC-4545-8C27-BBD815B9877A}"/>
    <cellStyle name="Cálculo 5 3" xfId="789" xr:uid="{2272DB6F-139D-41A4-9B64-55248E701A7F}"/>
    <cellStyle name="Cálculo 5 3 2" xfId="790" xr:uid="{5CDEA9AD-2453-4324-BFBA-04F578DF9D50}"/>
    <cellStyle name="Cálculo 5 3 3" xfId="791" xr:uid="{6A3ACB45-FF46-421F-B698-977D88109B69}"/>
    <cellStyle name="Cálculo 6" xfId="792" xr:uid="{26F8F10F-876C-4FEA-8FD9-AA6277606973}"/>
    <cellStyle name="Cálculo 6 2" xfId="793" xr:uid="{41D78088-4B1B-47F2-8382-FF21D0CFAFD2}"/>
    <cellStyle name="Cálculo 6 2 2" xfId="794" xr:uid="{92167F3C-518C-4676-B194-AC71ACB6EFC4}"/>
    <cellStyle name="Cálculo 6 3" xfId="795" xr:uid="{67BA77C4-0FA4-4E0D-97B6-323F15792618}"/>
    <cellStyle name="Cálculo 6 3 2" xfId="796" xr:uid="{A1F6ADF8-7444-407C-B058-6CF3159C3F9D}"/>
    <cellStyle name="Cálculo 6 3 3" xfId="797" xr:uid="{0946D47B-ABD2-4064-8676-FB1F83C9D4C4}"/>
    <cellStyle name="Cálculo 7" xfId="798" xr:uid="{FDE28115-8F26-4368-BC9B-0971F6F070A7}"/>
    <cellStyle name="Cálculo 7 2" xfId="799" xr:uid="{AB952F0A-1872-4FD2-A51B-4135526B149A}"/>
    <cellStyle name="Cálculo 7 2 2" xfId="800" xr:uid="{BD62321C-3A03-41FB-AD7B-EA7BF306D9D6}"/>
    <cellStyle name="Cálculo 7 3" xfId="801" xr:uid="{C7BA590D-2AFA-438A-BCD4-72E96DC2B287}"/>
    <cellStyle name="Cálculo 7 3 2" xfId="802" xr:uid="{35868527-5A4F-421E-8F85-26AD0708E4AF}"/>
    <cellStyle name="Cálculo 7 3 3" xfId="803" xr:uid="{3743558E-AE02-48F9-856A-2DB18CE70FF1}"/>
    <cellStyle name="Cálculo 8" xfId="804" xr:uid="{A8B91962-2D3D-4BEA-995F-3455FCAC159A}"/>
    <cellStyle name="Cálculo 8 2" xfId="805" xr:uid="{A8254027-93E3-47C8-8D81-D3CCD2B9B7C4}"/>
    <cellStyle name="Cálculo 8 2 2" xfId="806" xr:uid="{D58F18EE-0455-420E-9977-B073F838B1E7}"/>
    <cellStyle name="Cálculo 8 3" xfId="807" xr:uid="{FB9977F1-0DA0-487D-B342-8DEC67D4E56D}"/>
    <cellStyle name="Cálculo 8 3 2" xfId="808" xr:uid="{FD32460F-B7DF-41C1-A388-ECC5D5686AF6}"/>
    <cellStyle name="Cálculo 8 3 3" xfId="809" xr:uid="{5E9E54A8-ED28-4F31-8AAB-9231025A179C}"/>
    <cellStyle name="Cálculo 9" xfId="810" xr:uid="{9FFEE0C5-4846-41D8-AF3C-7671AF23FCB5}"/>
    <cellStyle name="Cálculo 9 2" xfId="811" xr:uid="{66A1DD1C-320E-4CB8-B09E-482D1C68B70C}"/>
    <cellStyle name="Cálculo 9 2 2" xfId="812" xr:uid="{456E5B71-F663-466C-BD8D-1C619D29F35B}"/>
    <cellStyle name="Cálculo 9 3" xfId="813" xr:uid="{2B89AC9B-E7AC-4EFB-A4D3-7CDE9553F5B8}"/>
    <cellStyle name="Cálculo 9 3 2" xfId="814" xr:uid="{A9C8B5F5-BF2F-4003-A1DB-5C01E2632B67}"/>
    <cellStyle name="Cálculo 9 3 3" xfId="815" xr:uid="{8699E9CA-C0C7-4D6B-A932-F88637039F28}"/>
    <cellStyle name="Celda de comprobación 10" xfId="816" xr:uid="{E8BEB180-5BF0-4E0A-835F-F2D172B31777}"/>
    <cellStyle name="Celda de comprobación 11" xfId="817" xr:uid="{7432AEC6-CF67-48E4-A408-A8C4207E1DD1}"/>
    <cellStyle name="Celda de comprobación 12" xfId="818" xr:uid="{8586AE30-161C-4254-A1E7-A7A5431970E1}"/>
    <cellStyle name="Celda de comprobación 13" xfId="819" xr:uid="{0768F8D4-679D-4B3B-A535-4194505615DE}"/>
    <cellStyle name="Celda de comprobación 14" xfId="820" xr:uid="{240E09C3-963A-4DAB-B81F-09873A30CCFF}"/>
    <cellStyle name="Celda de comprobación 15" xfId="821" xr:uid="{13259582-0B7C-4B86-91C6-080BBCFE8EA8}"/>
    <cellStyle name="Celda de comprobación 16" xfId="822" xr:uid="{5352ED4E-A236-440A-AA11-0A06FD011942}"/>
    <cellStyle name="Celda de comprobación 17" xfId="823" xr:uid="{95E472FE-1BBF-441C-9482-23CAC48B030E}"/>
    <cellStyle name="Celda de comprobación 18" xfId="824" xr:uid="{89361473-4CEB-4E4E-BDDE-13B6C76D1464}"/>
    <cellStyle name="Celda de comprobación 19" xfId="825" xr:uid="{079D42B4-CF22-4341-952D-B0013F01B2F7}"/>
    <cellStyle name="Celda de comprobación 2" xfId="826" xr:uid="{223B50FF-CFA7-4BBF-9FAD-6584C4D8B550}"/>
    <cellStyle name="Celda de comprobación 2 2" xfId="827" xr:uid="{A4A25D7D-B594-4049-9309-7098AC04BD55}"/>
    <cellStyle name="Celda de comprobación 20" xfId="828" xr:uid="{205CD72B-A372-4294-9B08-444EE4BD7F56}"/>
    <cellStyle name="Celda de comprobación 21" xfId="829" xr:uid="{66AFD93A-CE34-473E-A6B2-D0051C79B375}"/>
    <cellStyle name="Celda de comprobación 22" xfId="830" xr:uid="{26898413-1183-4DD1-B545-C1A4F9F2B4D3}"/>
    <cellStyle name="Celda de comprobación 3" xfId="831" xr:uid="{44EA3C97-13ED-41ED-9D43-412B27FAD5A6}"/>
    <cellStyle name="Celda de comprobación 3 2" xfId="832" xr:uid="{BDBDF823-CCD3-41BC-ABA6-E7D8100761C2}"/>
    <cellStyle name="Celda de comprobación 4" xfId="833" xr:uid="{7B239449-3F6A-422A-8A39-3FB1052522E6}"/>
    <cellStyle name="Celda de comprobación 5" xfId="834" xr:uid="{0E74C72D-AE6F-4B89-83FB-AEEC0E70C56F}"/>
    <cellStyle name="Celda de comprobación 6" xfId="835" xr:uid="{0142607A-F079-4611-88A1-32713A7348F7}"/>
    <cellStyle name="Celda de comprobación 7" xfId="836" xr:uid="{E55112F4-A42F-4433-9D5E-4AC7509B99A4}"/>
    <cellStyle name="Celda de comprobación 8" xfId="837" xr:uid="{56F48E67-5B68-41BD-985D-DB7D887137D0}"/>
    <cellStyle name="Celda de comprobación 9" xfId="838" xr:uid="{D1AA97E7-3E7A-4214-B4FB-520748405133}"/>
    <cellStyle name="Celda vinculada 10" xfId="839" xr:uid="{2C567494-CA74-4E6C-9BA6-E9AD1EEA8139}"/>
    <cellStyle name="Celda vinculada 11" xfId="840" xr:uid="{52C9B571-4908-4D01-976A-2C5D0DEE0F1D}"/>
    <cellStyle name="Celda vinculada 12" xfId="841" xr:uid="{F03529BC-831E-4890-84B9-3C5A43272C1D}"/>
    <cellStyle name="Celda vinculada 13" xfId="842" xr:uid="{5BF8DE43-2F71-49BB-B657-CE56E10155AE}"/>
    <cellStyle name="Celda vinculada 14" xfId="843" xr:uid="{769A00D8-8025-411C-9EAE-71F4B880155B}"/>
    <cellStyle name="Celda vinculada 15" xfId="844" xr:uid="{46CCA4B6-4EBB-43F2-AD52-745B3E2D8D36}"/>
    <cellStyle name="Celda vinculada 16" xfId="845" xr:uid="{8569AE8B-5B1F-4B0F-93DA-6C762B212006}"/>
    <cellStyle name="Celda vinculada 17" xfId="846" xr:uid="{99C6B220-7F52-4E89-8CDB-67856D28F14A}"/>
    <cellStyle name="Celda vinculada 18" xfId="847" xr:uid="{FB5B23A0-5B37-4062-8382-3274AC01B29B}"/>
    <cellStyle name="Celda vinculada 19" xfId="848" xr:uid="{3DDE9BE6-4F62-4A6F-B554-7D8C7871584F}"/>
    <cellStyle name="Celda vinculada 2" xfId="849" xr:uid="{CB719EDB-7895-492D-BEA4-882E68BA5528}"/>
    <cellStyle name="Celda vinculada 2 2" xfId="850" xr:uid="{3FB7CE6E-9B8C-4000-AFD2-C1763A2782D6}"/>
    <cellStyle name="Celda vinculada 20" xfId="851" xr:uid="{0A45DB13-AE1B-44BF-B095-9BD1334DE5E3}"/>
    <cellStyle name="Celda vinculada 21" xfId="852" xr:uid="{D7998A86-535A-4589-8DFF-FC79943BB68F}"/>
    <cellStyle name="Celda vinculada 22" xfId="853" xr:uid="{B72C12F2-F2FE-4EF9-ABDC-2B895AF85BCB}"/>
    <cellStyle name="Celda vinculada 23" xfId="854" xr:uid="{D3F1324B-50CC-4D3A-B70C-6F042D30F74C}"/>
    <cellStyle name="Celda vinculada 3" xfId="855" xr:uid="{AA937C47-BDD1-4258-A5A9-D1EEECB8F7A2}"/>
    <cellStyle name="Celda vinculada 3 2" xfId="856" xr:uid="{5CA90695-31F5-4748-B31D-26A5121C77E2}"/>
    <cellStyle name="Celda vinculada 4" xfId="857" xr:uid="{0BCE2F21-3986-4403-842B-4BAEF81EC131}"/>
    <cellStyle name="Celda vinculada 5" xfId="858" xr:uid="{D66EB390-C7D4-49C6-92CD-1F1514F4DC00}"/>
    <cellStyle name="Celda vinculada 6" xfId="859" xr:uid="{6674D245-35C0-46C3-9C13-AD600186918C}"/>
    <cellStyle name="Celda vinculada 7" xfId="860" xr:uid="{49E2E70E-DD7B-49CF-B1FF-70110C8FE56A}"/>
    <cellStyle name="Celda vinculada 8" xfId="861" xr:uid="{2F98FD5B-7489-43C3-B9A2-DBE54CFD288B}"/>
    <cellStyle name="Celda vinculada 9" xfId="862" xr:uid="{2AB100CA-9DE0-4ACD-9784-FF31F8765A5A}"/>
    <cellStyle name="Check Cell" xfId="82" builtinId="23" customBuiltin="1"/>
    <cellStyle name="Check Cell 2" xfId="38" xr:uid="{760DC5DB-4D9F-4401-B0CF-29872033A0E5}"/>
    <cellStyle name="Check Cell 2 2" xfId="863" xr:uid="{4A7FA869-2EF3-40CF-8AB0-D91D44160D80}"/>
    <cellStyle name="Comma 2" xfId="9" xr:uid="{775BEC45-7458-497B-BB11-55064E667555}"/>
    <cellStyle name="Comma 2 2" xfId="10" xr:uid="{F65F9B0F-DF7C-4E9E-AFBF-86D7F3675750}"/>
    <cellStyle name="Comma 2 2 2" xfId="13" xr:uid="{FC34B759-F64A-45B3-8D66-7A9670F594A3}"/>
    <cellStyle name="Comma 2 2 3" xfId="23" xr:uid="{33EBBC6C-C597-4B1D-AC39-F47C490B8822}"/>
    <cellStyle name="Comma 2 2 4" xfId="68" xr:uid="{43C51634-3BB2-423E-A0F8-35BC9068AE84}"/>
    <cellStyle name="Comma 2 3" xfId="12" xr:uid="{4A17FA2D-8470-4CF6-8DC2-474CAE021A78}"/>
    <cellStyle name="Comma 2 3 2" xfId="24" xr:uid="{68F5AAB6-9DA7-40D2-8AEF-747446C06B60}"/>
    <cellStyle name="Comma 2 3 3" xfId="69" xr:uid="{6C5D0EAF-6DBB-4C14-B44E-E0FF7F58D108}"/>
    <cellStyle name="Comma 2 3 4" xfId="866" xr:uid="{8D883AEA-5560-4D08-ABB6-935D9070FD48}"/>
    <cellStyle name="Comma 2 4" xfId="20" xr:uid="{5AD248CC-0E02-4314-9EA5-5EF75B2CABF3}"/>
    <cellStyle name="Comma 2 4 2" xfId="868" xr:uid="{94FA72A4-15C2-41F8-ABD3-C0BA115477DC}"/>
    <cellStyle name="Comma 2 4 3" xfId="867" xr:uid="{BE9D831D-B007-4816-8D36-BD9AC9240194}"/>
    <cellStyle name="Comma 2 5" xfId="67" xr:uid="{A5CCE614-5023-4389-B37A-DC20AB2349F9}"/>
    <cellStyle name="Comma 2 5 2" xfId="870" xr:uid="{2E63107A-582C-435E-8027-B797C434B90A}"/>
    <cellStyle name="Comma 2 5 3" xfId="871" xr:uid="{EF55991B-F02A-4265-8DCD-01E0774CCB8A}"/>
    <cellStyle name="Comma 2 5 4" xfId="869" xr:uid="{21A4DEB6-B012-44F3-A3EC-D2CE3C65426A}"/>
    <cellStyle name="Comma 2 6" xfId="872" xr:uid="{58F0B02D-38B9-4B41-A4CB-7CC2073B239C}"/>
    <cellStyle name="Comma 2 6 2" xfId="873" xr:uid="{D3E5C4D3-CCFB-4225-99D0-A0A4A87E70A2}"/>
    <cellStyle name="Comma 2 6 3" xfId="874" xr:uid="{F3CB42E4-D747-4CA7-9744-0FAB3FC94FDC}"/>
    <cellStyle name="Comma 2 7" xfId="875" xr:uid="{1E5834F5-BD35-49FB-9F61-2C4FD54A1E1D}"/>
    <cellStyle name="Comma 2 8" xfId="865" xr:uid="{C61E92F0-77D2-42CB-96D4-A4D33EFFA3AA}"/>
    <cellStyle name="Comma 3" xfId="11" xr:uid="{03D7843A-4C0D-4CBE-89E7-EB9FDF20B2F4}"/>
    <cellStyle name="Comma 3 2" xfId="25" xr:uid="{FFBEAD64-207A-4D48-9026-515F6A5A380D}"/>
    <cellStyle name="Comma 3 3" xfId="70" xr:uid="{C89024A7-B373-43C3-A92C-8FE7821B8E42}"/>
    <cellStyle name="Comma 3 4" xfId="876" xr:uid="{7D14FBE4-A72D-4F4C-BED9-FD3AF6BEE893}"/>
    <cellStyle name="Comma 4" xfId="65" xr:uid="{63A39079-42A5-49E0-8D94-FDEFE01A816F}"/>
    <cellStyle name="Comma 4 2" xfId="71" xr:uid="{0398E1B0-6A4A-4FF9-AB5E-8532DF02A1EC}"/>
    <cellStyle name="Comma 4 3" xfId="877" xr:uid="{27E9EB3B-FB7F-452F-AB0E-CDB048E5C673}"/>
    <cellStyle name="Comma 5" xfId="15" xr:uid="{A0D20F9D-D9AB-473B-B062-F47231DDC441}"/>
    <cellStyle name="Comma 5 2" xfId="66" xr:uid="{BD76CA48-FB84-4319-9656-8CAA840BFFD3}"/>
    <cellStyle name="Comma 5 3" xfId="878" xr:uid="{611FF933-56D9-4ECE-8F5D-9E2596AE969B}"/>
    <cellStyle name="Comma 6" xfId="879" xr:uid="{76A3408F-4733-4A2E-97C3-F862809BA751}"/>
    <cellStyle name="Comma 7" xfId="864" xr:uid="{A24B4F39-2AAE-4882-9604-1882DAE2AE82}"/>
    <cellStyle name="Comma0" xfId="880" xr:uid="{429B1CEE-FBE2-4D13-B65D-FDF726686843}"/>
    <cellStyle name="Currency 2" xfId="881" xr:uid="{84B2FD7A-FF46-400D-86E5-4530C8D91EC7}"/>
    <cellStyle name="Currency0" xfId="882" xr:uid="{0361047F-9ABA-4D17-9692-E824D311283B}"/>
    <cellStyle name="Date" xfId="883" xr:uid="{2F85C4F7-9D6A-4E00-9A84-524D578C5A1C}"/>
    <cellStyle name="Date 2" xfId="884" xr:uid="{F2FD4F30-9BA2-4E32-A7FE-10180AD0A352}"/>
    <cellStyle name="Dia" xfId="885" xr:uid="{BA0EF391-564A-41FD-BE9A-42320D0D0AEC}"/>
    <cellStyle name="Encabez1" xfId="886" xr:uid="{98AE64F7-914C-43B0-AFDA-2F8507CC41FD}"/>
    <cellStyle name="Encabez2" xfId="887" xr:uid="{1C9F4542-4937-43D9-9409-9D6730C62941}"/>
    <cellStyle name="Encabezado 4 10" xfId="888" xr:uid="{36DFF18D-3C2A-4F9E-B0D1-B45B651CDE3F}"/>
    <cellStyle name="Encabezado 4 11" xfId="889" xr:uid="{D8BFCF4F-A0CD-4C36-B68B-AF3DFDFEDF3B}"/>
    <cellStyle name="Encabezado 4 12" xfId="890" xr:uid="{9332D708-491D-4A55-8C6D-CF6141D2B69E}"/>
    <cellStyle name="Encabezado 4 13" xfId="891" xr:uid="{BEC12CA7-454C-454A-BB99-A7CD9D0E0EBA}"/>
    <cellStyle name="Encabezado 4 14" xfId="892" xr:uid="{EEEEA4BA-6FF4-4330-8DD5-EDB63DBAA548}"/>
    <cellStyle name="Encabezado 4 15" xfId="893" xr:uid="{54EC3CEE-C4B3-4451-AC34-976E8F8E5CF5}"/>
    <cellStyle name="Encabezado 4 16" xfId="894" xr:uid="{DC4820F9-B1BD-4890-94CF-2F1001FF53B3}"/>
    <cellStyle name="Encabezado 4 17" xfId="895" xr:uid="{D9233C12-C2E8-4675-8664-3FDB94A84917}"/>
    <cellStyle name="Encabezado 4 18" xfId="896" xr:uid="{FDDD99E3-2F34-4622-A5EF-E518CE346272}"/>
    <cellStyle name="Encabezado 4 19" xfId="897" xr:uid="{557430F1-D2C6-4972-A61B-29529ABE1901}"/>
    <cellStyle name="Encabezado 4 2" xfId="898" xr:uid="{6528BE9D-9E75-4FB5-AAE6-65586F5C2D8E}"/>
    <cellStyle name="Encabezado 4 2 2" xfId="899" xr:uid="{C0E6BEB4-805A-4D5E-BD78-74836502F322}"/>
    <cellStyle name="Encabezado 4 20" xfId="900" xr:uid="{985687A7-6E57-4D9F-9501-72D7CCECAFD7}"/>
    <cellStyle name="Encabezado 4 21" xfId="901" xr:uid="{10B2FCAF-0701-47BC-BDCF-006234E37FA8}"/>
    <cellStyle name="Encabezado 4 22" xfId="902" xr:uid="{BDA888CE-5C2B-4B51-B4AF-AC4B7DC07AB2}"/>
    <cellStyle name="Encabezado 4 23" xfId="903" xr:uid="{2C863750-6D84-485A-BD7E-0B592032B42B}"/>
    <cellStyle name="Encabezado 4 24" xfId="904" xr:uid="{8F256400-DEE2-47FF-AC10-30B56168FD1E}"/>
    <cellStyle name="Encabezado 4 3" xfId="905" xr:uid="{A8B6152F-0EEF-41EA-BF3C-36EBA84E56C1}"/>
    <cellStyle name="Encabezado 4 3 2" xfId="906" xr:uid="{D1B693FC-5FCE-4DCE-931B-492A27DF0879}"/>
    <cellStyle name="Encabezado 4 4" xfId="907" xr:uid="{BE373C76-A6CB-4A84-A277-4ADD025BDD6C}"/>
    <cellStyle name="Encabezado 4 5" xfId="908" xr:uid="{3C936953-C67A-4413-971E-5C73BD68C592}"/>
    <cellStyle name="Encabezado 4 6" xfId="909" xr:uid="{8A827C63-C697-4E70-91D9-24AB6871726E}"/>
    <cellStyle name="Encabezado 4 7" xfId="910" xr:uid="{95A96158-6F3C-4B40-B81B-4498C5A0397D}"/>
    <cellStyle name="Encabezado 4 8" xfId="911" xr:uid="{DBDE0B5A-4BA8-4176-AB0E-6B70BAF0D112}"/>
    <cellStyle name="Encabezado 4 9" xfId="912" xr:uid="{55ECC13D-119F-4748-9479-35947C620C68}"/>
    <cellStyle name="Énfasis1 10" xfId="913" xr:uid="{BB7F726D-26E7-472B-9FCA-83A4C6FAE4CD}"/>
    <cellStyle name="Énfasis1 11" xfId="914" xr:uid="{3B67F323-ED13-4EFE-801D-2DA1249B77BA}"/>
    <cellStyle name="Énfasis1 12" xfId="915" xr:uid="{0FB021FC-79F3-4C42-A77C-2243F60C6C9C}"/>
    <cellStyle name="Énfasis1 13" xfId="916" xr:uid="{91144965-E9DE-45A5-9242-92F245F918C6}"/>
    <cellStyle name="Énfasis1 14" xfId="917" xr:uid="{8BD2B82E-94C7-4D32-BF09-E3A056817B02}"/>
    <cellStyle name="Énfasis1 15" xfId="918" xr:uid="{AC728D46-3483-4C62-9696-F16C3D725130}"/>
    <cellStyle name="Énfasis1 16" xfId="919" xr:uid="{D3092C80-A161-41C4-96BA-8A7ED68A01A3}"/>
    <cellStyle name="Énfasis1 17" xfId="920" xr:uid="{E2DCB0D4-8A8F-45EE-B41C-5DE98B2A0D20}"/>
    <cellStyle name="Énfasis1 18" xfId="921" xr:uid="{EEA0B49F-7DEC-42FF-99D8-7A7BA672928F}"/>
    <cellStyle name="Énfasis1 19" xfId="922" xr:uid="{B80C37F9-DD7E-4497-9EE6-7549F1871033}"/>
    <cellStyle name="Énfasis1 2" xfId="923" xr:uid="{6E348387-ED52-4A77-82DF-C4F4848BB4E9}"/>
    <cellStyle name="Énfasis1 2 2" xfId="924" xr:uid="{1F0A67DA-E7DE-40D7-9EAF-C427C3BCF3E9}"/>
    <cellStyle name="Énfasis1 20" xfId="925" xr:uid="{3658CE36-F0B8-411F-9264-3D2976D216D6}"/>
    <cellStyle name="Énfasis1 21" xfId="926" xr:uid="{A0E51E4A-5F29-4821-86D8-2D584453D577}"/>
    <cellStyle name="Énfasis1 22" xfId="927" xr:uid="{CB736379-EC72-4552-BFCE-8BF4E3CE57C1}"/>
    <cellStyle name="Énfasis1 23" xfId="928" xr:uid="{F07B476C-C12C-49F3-8F76-1865B481EC00}"/>
    <cellStyle name="Énfasis1 3" xfId="929" xr:uid="{C6DF7846-4F2D-4832-9B56-231FBA4F416E}"/>
    <cellStyle name="Énfasis1 3 2" xfId="930" xr:uid="{54D506F9-AB83-438A-BFF5-8B770CAB83A4}"/>
    <cellStyle name="Énfasis1 4" xfId="931" xr:uid="{339845AF-5F0D-47DA-B5BD-ECFC5FB42B74}"/>
    <cellStyle name="Énfasis1 5" xfId="932" xr:uid="{73BDED05-D655-47F0-9021-624C869C0E7A}"/>
    <cellStyle name="Énfasis1 6" xfId="933" xr:uid="{B20867AE-209F-49AB-9890-98BB96C42859}"/>
    <cellStyle name="Énfasis1 7" xfId="934" xr:uid="{96306822-E642-4D85-BD62-DF0FE4216481}"/>
    <cellStyle name="Énfasis1 8" xfId="935" xr:uid="{668230B3-CEA8-4020-B49C-288412132A27}"/>
    <cellStyle name="Énfasis1 9" xfId="936" xr:uid="{FA152F30-AB78-413E-9AC4-EFAE8C1F276C}"/>
    <cellStyle name="Énfasis2 2" xfId="937" xr:uid="{ECA0DAC7-7229-492D-92C9-C78C7882810C}"/>
    <cellStyle name="Énfasis2 2 2" xfId="938" xr:uid="{F9ED17C4-DF50-4254-9AC2-492D4D8B36E2}"/>
    <cellStyle name="Énfasis2 3" xfId="939" xr:uid="{3112134A-3079-4154-9268-5E46E1D958DF}"/>
    <cellStyle name="Énfasis2 3 2" xfId="940" xr:uid="{695CB16B-7B6A-41C6-968A-11D9252FDD94}"/>
    <cellStyle name="Énfasis2 4" xfId="941" xr:uid="{CBE6CA37-0C95-4CE2-A139-742CD204015B}"/>
    <cellStyle name="Énfasis3 10" xfId="942" xr:uid="{1D267609-4001-486B-BE93-697015ECF226}"/>
    <cellStyle name="Énfasis3 11" xfId="943" xr:uid="{E1C8B678-9638-4912-A96E-183D7307FA13}"/>
    <cellStyle name="Énfasis3 12" xfId="944" xr:uid="{88AC907A-429D-4736-9181-04EBDDE16C56}"/>
    <cellStyle name="Énfasis3 13" xfId="945" xr:uid="{24E708B1-1E22-48DE-99AC-33F3A54D6C46}"/>
    <cellStyle name="Énfasis3 14" xfId="946" xr:uid="{D4179526-8DD4-4CA3-AD10-44CB473DAB48}"/>
    <cellStyle name="Énfasis3 15" xfId="947" xr:uid="{7BEAE7D5-0C45-460B-B872-3146A16F6CE7}"/>
    <cellStyle name="Énfasis3 16" xfId="948" xr:uid="{21482EF0-F557-4309-9F6B-221E1ACD9610}"/>
    <cellStyle name="Énfasis3 17" xfId="949" xr:uid="{B4BBFD90-1F4E-4482-B3FE-685782C2BA62}"/>
    <cellStyle name="Énfasis3 18" xfId="950" xr:uid="{E712E2FD-3ED2-4CE8-B21A-9726F1EDC063}"/>
    <cellStyle name="Énfasis3 19" xfId="951" xr:uid="{5C8E4EC2-D809-42C3-91CA-E8F538E573C1}"/>
    <cellStyle name="Énfasis3 2" xfId="952" xr:uid="{36F888BC-4B3F-4988-971A-B78FD6BE785D}"/>
    <cellStyle name="Énfasis3 2 2" xfId="953" xr:uid="{BCDFC3B3-A1C8-4C84-86B2-E8F38FCC2814}"/>
    <cellStyle name="Énfasis3 20" xfId="954" xr:uid="{9D4296AC-CCCA-4A4A-B6F3-0C0EAA37CC91}"/>
    <cellStyle name="Énfasis3 21" xfId="955" xr:uid="{7392FB10-595C-4241-8864-FC3722420DD3}"/>
    <cellStyle name="Énfasis3 22" xfId="956" xr:uid="{B42DA482-FB10-4AF6-B465-B507BCBF6BEE}"/>
    <cellStyle name="Énfasis3 23" xfId="957" xr:uid="{586ACE41-AB31-482B-B0EE-9943056C473A}"/>
    <cellStyle name="Énfasis3 3" xfId="958" xr:uid="{DF532C9F-55B5-411A-B6FE-5F327FE656D2}"/>
    <cellStyle name="Énfasis3 3 2" xfId="959" xr:uid="{FE0CEB9C-F86C-456C-822F-BC1B1DD85955}"/>
    <cellStyle name="Énfasis3 4" xfId="960" xr:uid="{3AEE60F7-1F67-4EC8-A117-4560DE768944}"/>
    <cellStyle name="Énfasis3 5" xfId="961" xr:uid="{CB17E6D0-11E7-4C56-8D0F-AC0718A54D60}"/>
    <cellStyle name="Énfasis3 6" xfId="962" xr:uid="{42F20311-1A17-4F03-BF2D-3A34CF43B74A}"/>
    <cellStyle name="Énfasis3 7" xfId="963" xr:uid="{8E43F4FD-D129-4CD2-93CF-8D0C69274209}"/>
    <cellStyle name="Énfasis3 8" xfId="964" xr:uid="{7407387C-D2B9-49FF-A660-16F552A6AE5B}"/>
    <cellStyle name="Énfasis3 9" xfId="965" xr:uid="{D6C90754-A4C9-421C-B378-F6DE03A8CD72}"/>
    <cellStyle name="Énfasis4 10" xfId="966" xr:uid="{0CB10370-A307-43C1-93E3-758C344C0C35}"/>
    <cellStyle name="Énfasis4 11" xfId="967" xr:uid="{865185AF-1F77-4C5D-8B79-448579DA144C}"/>
    <cellStyle name="Énfasis4 12" xfId="968" xr:uid="{BD493789-8F7A-4BC7-ADC0-541266F515EA}"/>
    <cellStyle name="Énfasis4 13" xfId="969" xr:uid="{09CA90A7-65A6-49FA-B62F-DF05C03453FA}"/>
    <cellStyle name="Énfasis4 14" xfId="970" xr:uid="{385944CF-5879-4168-9F8A-D3087B9418D3}"/>
    <cellStyle name="Énfasis4 15" xfId="971" xr:uid="{83793CCB-C0DB-436C-9B37-C2CBCBE64C9A}"/>
    <cellStyle name="Énfasis4 16" xfId="972" xr:uid="{B930675E-8292-4C55-8DB4-EF4CAE37CB33}"/>
    <cellStyle name="Énfasis4 17" xfId="973" xr:uid="{3722228B-BD2C-40AF-AA25-3DD7B473F98D}"/>
    <cellStyle name="Énfasis4 18" xfId="974" xr:uid="{2704BFC4-C7EE-46DC-8029-4FC6637498BB}"/>
    <cellStyle name="Énfasis4 19" xfId="975" xr:uid="{3DC0FBE6-85D0-4C84-8787-C4650E73D9AA}"/>
    <cellStyle name="Énfasis4 2" xfId="976" xr:uid="{A091EABE-D914-4781-BF15-381BE65CCF6A}"/>
    <cellStyle name="Énfasis4 2 2" xfId="977" xr:uid="{1C4941D6-39C4-470C-B8C7-82799C1F2637}"/>
    <cellStyle name="Énfasis4 20" xfId="978" xr:uid="{656D2F0E-761C-4DDA-828A-2C4D59C5DE0B}"/>
    <cellStyle name="Énfasis4 21" xfId="979" xr:uid="{C0D5338B-2380-4460-9218-19FCCADFBB3F}"/>
    <cellStyle name="Énfasis4 22" xfId="980" xr:uid="{48440EE7-A31D-46AE-9368-A09D602BA620}"/>
    <cellStyle name="Énfasis4 23" xfId="981" xr:uid="{65E3423C-E704-4716-B51D-E0DD04AEE64F}"/>
    <cellStyle name="Énfasis4 3" xfId="982" xr:uid="{8365403A-2F5C-403C-9619-998A44F0006E}"/>
    <cellStyle name="Énfasis4 3 2" xfId="983" xr:uid="{B22E20F1-761B-4DE1-A68F-F7524715E278}"/>
    <cellStyle name="Énfasis4 4" xfId="984" xr:uid="{ADD8C9CF-2DA8-429D-AAF3-C043F4F88D39}"/>
    <cellStyle name="Énfasis4 5" xfId="985" xr:uid="{B0F6629A-487F-42DE-A18F-1CF681A33BE6}"/>
    <cellStyle name="Énfasis4 6" xfId="986" xr:uid="{7C8B6C65-6A0F-4B34-B28A-55C6C6696DBF}"/>
    <cellStyle name="Énfasis4 7" xfId="987" xr:uid="{1CFC0681-948A-46C8-A2B7-76986667D0B7}"/>
    <cellStyle name="Énfasis4 8" xfId="988" xr:uid="{0AECC493-3B46-4AB4-9592-A65E50B20A62}"/>
    <cellStyle name="Énfasis4 9" xfId="989" xr:uid="{A19743F0-8795-4FA4-9E27-2E1B3DA341F0}"/>
    <cellStyle name="Énfasis5 10" xfId="990" xr:uid="{46696E4F-635A-4BDE-8CBB-D339382BCA9C}"/>
    <cellStyle name="Énfasis5 11" xfId="991" xr:uid="{9C50AF73-9467-41B7-BDAF-2455B17AE574}"/>
    <cellStyle name="Énfasis5 12" xfId="992" xr:uid="{D576F0E4-6AB9-47EC-AFE2-75DB544D24CE}"/>
    <cellStyle name="Énfasis5 13" xfId="993" xr:uid="{DD0BE98A-4225-4FBD-9230-B9C75F1BBD7D}"/>
    <cellStyle name="Énfasis5 14" xfId="994" xr:uid="{A4A02073-4458-40D3-8D6B-6E7C43CC6160}"/>
    <cellStyle name="Énfasis5 15" xfId="995" xr:uid="{40330A02-BF15-4EE2-A5B3-0AD29F6594A2}"/>
    <cellStyle name="Énfasis5 16" xfId="996" xr:uid="{58F3697D-7941-460B-99AE-986235560F76}"/>
    <cellStyle name="Énfasis5 17" xfId="997" xr:uid="{016D63BB-0637-4DB9-A670-53029E0FC5E7}"/>
    <cellStyle name="Énfasis5 18" xfId="998" xr:uid="{6618E55A-154E-459A-BF6B-C11444ACD3B7}"/>
    <cellStyle name="Énfasis5 19" xfId="999" xr:uid="{15046CFE-CB21-47AB-84CC-9CA7AB6BC471}"/>
    <cellStyle name="Énfasis5 2" xfId="1000" xr:uid="{6ACEA430-915F-48AA-BBBC-819B3385E219}"/>
    <cellStyle name="Énfasis5 2 2" xfId="1001" xr:uid="{48ED4BFE-C883-4ED1-835C-6558C27BD530}"/>
    <cellStyle name="Énfasis5 20" xfId="1002" xr:uid="{4DDBDD6B-17EA-415F-B570-D04205E4EE4F}"/>
    <cellStyle name="Énfasis5 21" xfId="1003" xr:uid="{F35BC644-681B-4598-B1A5-C2EFCDB81037}"/>
    <cellStyle name="Énfasis5 22" xfId="1004" xr:uid="{35ADFCF5-C321-46CE-90B0-39234F66A713}"/>
    <cellStyle name="Énfasis5 3" xfId="1005" xr:uid="{6E307F4B-2C19-4B57-AE38-AB792E9FA017}"/>
    <cellStyle name="Énfasis5 3 2" xfId="1006" xr:uid="{CA9A66FE-D059-44F2-92B9-A9A4E8E835B7}"/>
    <cellStyle name="Énfasis5 4" xfId="1007" xr:uid="{C3BA065F-FD5A-44AC-B9AE-D412B42B1AC6}"/>
    <cellStyle name="Énfasis5 5" xfId="1008" xr:uid="{DACAC225-2337-4014-940E-E735532FF3AF}"/>
    <cellStyle name="Énfasis5 6" xfId="1009" xr:uid="{AE72B58B-49ED-42D7-94E9-7F5B7D388F18}"/>
    <cellStyle name="Énfasis5 7" xfId="1010" xr:uid="{CE0FCA50-7E41-456B-BE63-76E14574B451}"/>
    <cellStyle name="Énfasis5 8" xfId="1011" xr:uid="{2A79AD40-219E-44F6-8EB5-E0208C1EFC6C}"/>
    <cellStyle name="Énfasis5 9" xfId="1012" xr:uid="{FF0CEF0F-E77E-439F-958B-B2F9B76AC1E5}"/>
    <cellStyle name="Énfasis6 10" xfId="1013" xr:uid="{A98ADBAA-BBF0-4A43-9AC4-C1D4110D9538}"/>
    <cellStyle name="Énfasis6 11" xfId="1014" xr:uid="{9A7867C3-AFB1-4AF8-8629-00DEF2845971}"/>
    <cellStyle name="Énfasis6 12" xfId="1015" xr:uid="{A04BDF23-1786-4B6D-AFC9-EDB234183B87}"/>
    <cellStyle name="Énfasis6 13" xfId="1016" xr:uid="{4E296F62-E518-4EEC-A2F6-0AF4E47C0D39}"/>
    <cellStyle name="Énfasis6 14" xfId="1017" xr:uid="{06CF7AFA-6A76-4008-BCD9-3382E09E7484}"/>
    <cellStyle name="Énfasis6 15" xfId="1018" xr:uid="{23B0F71D-CF52-4B6C-87D5-91F177273A00}"/>
    <cellStyle name="Énfasis6 16" xfId="1019" xr:uid="{64EDBEA7-2582-475C-8308-187F84E44D41}"/>
    <cellStyle name="Énfasis6 17" xfId="1020" xr:uid="{B97BE9D5-D40A-4981-A18C-24152B1010B1}"/>
    <cellStyle name="Énfasis6 18" xfId="1021" xr:uid="{8054A7BE-3784-4C02-BE60-E6752FB55ACF}"/>
    <cellStyle name="Énfasis6 19" xfId="1022" xr:uid="{97BAB03C-7E67-4B40-B9DA-0E8047D2881A}"/>
    <cellStyle name="Énfasis6 2" xfId="1023" xr:uid="{C7A800DF-A828-4C6D-BFB1-787D0A860A23}"/>
    <cellStyle name="Énfasis6 2 2" xfId="1024" xr:uid="{158FBF3F-0CE7-48CE-A156-B9FE0F94B5EE}"/>
    <cellStyle name="Énfasis6 20" xfId="1025" xr:uid="{94688B58-5E96-4F71-B137-8094CC8F8818}"/>
    <cellStyle name="Énfasis6 21" xfId="1026" xr:uid="{99E1050E-8168-457F-ABA2-AE6B2C423A1C}"/>
    <cellStyle name="Énfasis6 22" xfId="1027" xr:uid="{3758E418-F269-4F65-9E06-21C8D2B8240D}"/>
    <cellStyle name="Énfasis6 23" xfId="1028" xr:uid="{2FC8BBFA-843F-4FD8-8832-C662D1A3FDD5}"/>
    <cellStyle name="Énfasis6 3" xfId="1029" xr:uid="{1DF0447F-FE1B-4707-BBF5-6DECCF93FD25}"/>
    <cellStyle name="Énfasis6 3 2" xfId="1030" xr:uid="{5145446E-894F-4BAF-9BB3-B856FB85DCC5}"/>
    <cellStyle name="Énfasis6 4" xfId="1031" xr:uid="{C52E312A-6948-4011-A1F4-C634E7994DC3}"/>
    <cellStyle name="Énfasis6 5" xfId="1032" xr:uid="{91A23AFD-9C44-4272-84BA-A1FB8E7A9B7A}"/>
    <cellStyle name="Énfasis6 6" xfId="1033" xr:uid="{45548BBB-B9F6-4449-9556-08C37D85AA26}"/>
    <cellStyle name="Énfasis6 7" xfId="1034" xr:uid="{F130274F-6797-4384-B9F7-27C33D4824B4}"/>
    <cellStyle name="Énfasis6 8" xfId="1035" xr:uid="{BEC90956-C916-4686-BA28-87171FC8DD17}"/>
    <cellStyle name="Énfasis6 9" xfId="1036" xr:uid="{449AF30E-8155-44E1-A89B-57B240BB5B27}"/>
    <cellStyle name="Entrada 10" xfId="1037" xr:uid="{2D1B80C7-9CEB-4B33-8EEE-9273A2C15BEF}"/>
    <cellStyle name="Entrada 10 2" xfId="1038" xr:uid="{FFC04462-F6E6-44DF-8D41-AA1F5C35FE6F}"/>
    <cellStyle name="Entrada 10 2 2" xfId="1039" xr:uid="{CAB34185-05A9-4A91-9579-BB68E1540081}"/>
    <cellStyle name="Entrada 10 3" xfId="1040" xr:uid="{383D1A52-9CA7-4443-BD90-7BE6260CCFCF}"/>
    <cellStyle name="Entrada 10 3 2" xfId="1041" xr:uid="{5B62A4A0-F4F3-4E1F-A1DE-F2681704875F}"/>
    <cellStyle name="Entrada 10 3 3" xfId="1042" xr:uid="{CED4389C-968B-4525-9A7A-ED5A12F2E60F}"/>
    <cellStyle name="Entrada 11" xfId="1043" xr:uid="{6E02727A-1BCC-43C1-B8B1-BB649F6EA98F}"/>
    <cellStyle name="Entrada 11 2" xfId="1044" xr:uid="{3ACEB1E6-789C-4A40-8A52-6AEFE25A2A48}"/>
    <cellStyle name="Entrada 11 2 2" xfId="1045" xr:uid="{4176DE3A-FCD9-4F20-91B6-127B080299DB}"/>
    <cellStyle name="Entrada 11 3" xfId="1046" xr:uid="{D51D90B1-893C-4537-8D15-B7F5335BFE1E}"/>
    <cellStyle name="Entrada 11 3 2" xfId="1047" xr:uid="{DFEAD4BA-9EEA-4A1C-8A2C-1E364A267F9C}"/>
    <cellStyle name="Entrada 11 3 3" xfId="1048" xr:uid="{DE8E4372-4D0C-4A1C-8927-A6D0BC0933C9}"/>
    <cellStyle name="Entrada 12" xfId="1049" xr:uid="{6D965ECC-49D1-4248-9918-CD63CF5A2A6B}"/>
    <cellStyle name="Entrada 12 2" xfId="1050" xr:uid="{07772702-DE17-466B-9B11-57E925AE3ED0}"/>
    <cellStyle name="Entrada 12 2 2" xfId="1051" xr:uid="{BE8595F8-7D15-44EA-AD2D-188D54674820}"/>
    <cellStyle name="Entrada 12 3" xfId="1052" xr:uid="{D6D349D6-D0B9-4938-85B7-F8E88FE5C460}"/>
    <cellStyle name="Entrada 12 3 2" xfId="1053" xr:uid="{904F6013-CE74-4BC8-9610-D27A21A4A8B9}"/>
    <cellStyle name="Entrada 12 3 3" xfId="1054" xr:uid="{8FEEA40F-C72F-40C6-A915-61DF4B71B82A}"/>
    <cellStyle name="Entrada 13" xfId="1055" xr:uid="{486238E6-A64B-4D42-83A4-BDB20DAD0DB1}"/>
    <cellStyle name="Entrada 13 2" xfId="1056" xr:uid="{DA0A8144-7268-4C32-8FDE-867ACD9EF69C}"/>
    <cellStyle name="Entrada 13 2 2" xfId="1057" xr:uid="{F032081F-B1CC-4BB9-B351-BC9E72B18A0D}"/>
    <cellStyle name="Entrada 13 3" xfId="1058" xr:uid="{718369DA-A522-41AE-8172-B30978881BB8}"/>
    <cellStyle name="Entrada 13 3 2" xfId="1059" xr:uid="{0C420633-611F-4FA2-B8CA-D6B512BBCA25}"/>
    <cellStyle name="Entrada 13 3 3" xfId="1060" xr:uid="{29DF3AF0-771A-429C-AD2F-2C3B5BBE4167}"/>
    <cellStyle name="Entrada 14" xfId="1061" xr:uid="{708AA17F-DC82-4063-B079-EDBE6EDA7A57}"/>
    <cellStyle name="Entrada 14 2" xfId="1062" xr:uid="{6EDA7303-3557-4C60-9903-FCA671FA9FF7}"/>
    <cellStyle name="Entrada 14 2 2" xfId="1063" xr:uid="{7C4FAC3E-6F01-4D50-9ED6-E41FA93983C9}"/>
    <cellStyle name="Entrada 14 3" xfId="1064" xr:uid="{B91CFF8E-BCA1-436B-90E1-8EBCA29AED2D}"/>
    <cellStyle name="Entrada 14 3 2" xfId="1065" xr:uid="{78F9DDB7-31C4-4F19-8385-0BF946F15C35}"/>
    <cellStyle name="Entrada 14 3 3" xfId="1066" xr:uid="{32CACADA-FEEE-4878-A107-965CC9A56EAE}"/>
    <cellStyle name="Entrada 15" xfId="1067" xr:uid="{2EBD5236-2478-4623-8F79-25E0EF782FEF}"/>
    <cellStyle name="Entrada 15 2" xfId="1068" xr:uid="{5FE8A90A-E8A7-4A49-9CC1-3C9A60944CB4}"/>
    <cellStyle name="Entrada 15 2 2" xfId="1069" xr:uid="{894F012E-23CC-46AA-95DA-C5AEBB50B4D1}"/>
    <cellStyle name="Entrada 15 3" xfId="1070" xr:uid="{B6786D81-43B1-427F-8F8D-7047C4992E6F}"/>
    <cellStyle name="Entrada 15 3 2" xfId="1071" xr:uid="{4C1D3C95-66E0-4EBA-8813-2F2B71F023E5}"/>
    <cellStyle name="Entrada 15 3 3" xfId="1072" xr:uid="{FD3C0CF5-2019-46C2-943C-C2C4382F644F}"/>
    <cellStyle name="Entrada 16" xfId="1073" xr:uid="{E4653289-63F8-45BF-91FB-AEA0F5694B43}"/>
    <cellStyle name="Entrada 16 2" xfId="1074" xr:uid="{81D1E6DE-ABE6-41A8-A169-B991DB93BA1B}"/>
    <cellStyle name="Entrada 16 2 2" xfId="1075" xr:uid="{ADE769EC-F8DE-4432-9EED-BAB2FB819060}"/>
    <cellStyle name="Entrada 16 3" xfId="1076" xr:uid="{32AFF5CA-A54B-40DE-AB4D-3F42F6A24124}"/>
    <cellStyle name="Entrada 16 3 2" xfId="1077" xr:uid="{736906EF-BBE1-41C8-A94C-08F2F71A3ECD}"/>
    <cellStyle name="Entrada 16 3 3" xfId="1078" xr:uid="{E4CD94BE-8683-44C7-B91F-CEA01C1FE8A5}"/>
    <cellStyle name="Entrada 17" xfId="1079" xr:uid="{A532E74A-2EB7-4E6E-A71D-2ABCA5815FD2}"/>
    <cellStyle name="Entrada 17 2" xfId="1080" xr:uid="{759DC78D-8909-4250-86DF-C974CA8E306E}"/>
    <cellStyle name="Entrada 17 2 2" xfId="1081" xr:uid="{FC9BE092-B60C-41FA-931C-D6BC901E1700}"/>
    <cellStyle name="Entrada 17 3" xfId="1082" xr:uid="{125675F3-539B-40B8-8CF8-DF0E2BCEB203}"/>
    <cellStyle name="Entrada 17 3 2" xfId="1083" xr:uid="{E1C3BCE6-9B88-4766-A357-7FF599CBC5F0}"/>
    <cellStyle name="Entrada 17 3 3" xfId="1084" xr:uid="{953C0D66-6E30-4F94-8A9C-531233E872C4}"/>
    <cellStyle name="Entrada 18" xfId="1085" xr:uid="{CE9B5775-5207-4A5A-A1AF-2B8238264B3A}"/>
    <cellStyle name="Entrada 18 2" xfId="1086" xr:uid="{628A2280-C517-4A8F-86B4-02861EDC9657}"/>
    <cellStyle name="Entrada 18 2 2" xfId="1087" xr:uid="{97713691-1926-4D62-8C86-4A009274A38A}"/>
    <cellStyle name="Entrada 18 3" xfId="1088" xr:uid="{E5CA54A9-1D46-4AD5-B799-249A0EA943AA}"/>
    <cellStyle name="Entrada 18 3 2" xfId="1089" xr:uid="{AD7E8721-39DC-481C-9532-6A7CE4501D89}"/>
    <cellStyle name="Entrada 18 3 3" xfId="1090" xr:uid="{75B0C5EE-2E63-46FE-BBD0-6DC2C3D76738}"/>
    <cellStyle name="Entrada 19" xfId="1091" xr:uid="{F5CF808C-EC3A-43E3-897B-6A1D5EDE407A}"/>
    <cellStyle name="Entrada 19 2" xfId="1092" xr:uid="{CCFA14D2-90B5-42D4-B60F-80E1B355DEBC}"/>
    <cellStyle name="Entrada 19 2 2" xfId="1093" xr:uid="{3852124C-3966-4216-BBB5-AB7614308C77}"/>
    <cellStyle name="Entrada 19 3" xfId="1094" xr:uid="{606B3281-91E7-4222-9FC5-8E0AC5B8C231}"/>
    <cellStyle name="Entrada 19 3 2" xfId="1095" xr:uid="{E32A5D3A-8621-47D4-8B17-4130BE18E354}"/>
    <cellStyle name="Entrada 19 3 3" xfId="1096" xr:uid="{2D450362-601F-4310-BE6E-A3B7870C37C2}"/>
    <cellStyle name="Entrada 2" xfId="1097" xr:uid="{8B87F777-75FD-4F80-9719-339C1FE9BADE}"/>
    <cellStyle name="Entrada 2 2" xfId="1098" xr:uid="{F655E8FF-29B1-4626-95D6-73FB04EC68E4}"/>
    <cellStyle name="Entrada 2 2 2" xfId="1099" xr:uid="{76AE0B25-DE31-48F4-AC0C-859101550979}"/>
    <cellStyle name="Entrada 2 2 2 2" xfId="1100" xr:uid="{2F3D2B16-ADA9-48A0-9273-0D5CA4889A1F}"/>
    <cellStyle name="Entrada 2 2 3" xfId="1101" xr:uid="{F6829327-E7E3-47BD-83DC-C0F08CA68F89}"/>
    <cellStyle name="Entrada 2 2 3 2" xfId="1102" xr:uid="{261906CD-2BE1-4762-9C17-D7995A4C4118}"/>
    <cellStyle name="Entrada 2 2 3 3" xfId="1103" xr:uid="{E761F558-3D90-464F-A886-71062B64973A}"/>
    <cellStyle name="Entrada 2 3" xfId="1104" xr:uid="{B60916BA-D202-48A6-AA39-BDED6BDF63E2}"/>
    <cellStyle name="Entrada 2 3 2" xfId="1105" xr:uid="{C952CC33-7F08-4593-942E-179560C5AF92}"/>
    <cellStyle name="Entrada 2 4" xfId="1106" xr:uid="{A867D423-672E-460D-9EA2-BA349EC18E60}"/>
    <cellStyle name="Entrada 2 4 2" xfId="1107" xr:uid="{DA1826A1-99F3-4D37-8CDA-683296BACE15}"/>
    <cellStyle name="Entrada 2 4 3" xfId="1108" xr:uid="{4887EC68-7CFB-4143-B244-889AD8456776}"/>
    <cellStyle name="Entrada 2 5" xfId="1109" xr:uid="{A8DB1ED7-3A2A-4123-863A-6D386683B201}"/>
    <cellStyle name="Entrada 20" xfId="1110" xr:uid="{A89CBB92-7178-4A20-A186-E23B83A0BB83}"/>
    <cellStyle name="Entrada 20 2" xfId="1111" xr:uid="{E1E8B1C1-F4E3-43F2-8ABD-BA07430935EA}"/>
    <cellStyle name="Entrada 20 2 2" xfId="1112" xr:uid="{B0C20657-C0F3-4D89-98E2-433ADACBAAFC}"/>
    <cellStyle name="Entrada 20 3" xfId="1113" xr:uid="{168F666F-4EE2-402D-9B3F-F76A0FB0EDDC}"/>
    <cellStyle name="Entrada 20 3 2" xfId="1114" xr:uid="{47EF705E-93E2-4095-BCAD-29BC3BE8AEC3}"/>
    <cellStyle name="Entrada 20 3 3" xfId="1115" xr:uid="{40642F58-88E6-43FF-B2AA-79E772346BA9}"/>
    <cellStyle name="Entrada 21" xfId="1116" xr:uid="{81CC402F-A3EA-4B0F-9EEC-54297D2D8967}"/>
    <cellStyle name="Entrada 22" xfId="1117" xr:uid="{60CD469B-886B-4C55-930D-F6BAD59461CA}"/>
    <cellStyle name="Entrada 22 2" xfId="1118" xr:uid="{64AAFD26-200B-45E3-A51A-99FB6A973004}"/>
    <cellStyle name="Entrada 23" xfId="1119" xr:uid="{F432774A-23FF-4E3F-9D54-233D064044C6}"/>
    <cellStyle name="Entrada 23 2" xfId="1120" xr:uid="{3383D7A9-DB52-4CC2-98B8-409555647A63}"/>
    <cellStyle name="Entrada 23 3" xfId="1121" xr:uid="{C0F4B00C-AE17-4C0E-A944-387EC1A691B7}"/>
    <cellStyle name="Entrada 24" xfId="1122" xr:uid="{34B32441-C0B3-42D4-9BDD-ECF8837A83D8}"/>
    <cellStyle name="Entrada 3" xfId="1123" xr:uid="{3C63FB9F-0427-4A60-BC90-1CA4BD518637}"/>
    <cellStyle name="Entrada 3 2" xfId="1124" xr:uid="{DA2B9865-2C5E-4419-A2FD-9DD710D23ED1}"/>
    <cellStyle name="Entrada 3 2 2" xfId="1125" xr:uid="{8E4E2A79-8C93-4C50-9CA0-000D9BA545AF}"/>
    <cellStyle name="Entrada 3 3" xfId="1126" xr:uid="{903EBB95-E664-40B3-9F3F-60A0C0866985}"/>
    <cellStyle name="Entrada 3 3 2" xfId="1127" xr:uid="{1E9E6873-CC1F-4582-8605-26CB0C34315E}"/>
    <cellStyle name="Entrada 3 3 3" xfId="1128" xr:uid="{705E1B7D-1B31-409D-BAA5-82362C7663B0}"/>
    <cellStyle name="Entrada 3 4" xfId="1129" xr:uid="{9E13789F-A4A2-44E8-A4DB-FCCFF557B12F}"/>
    <cellStyle name="Entrada 4" xfId="1130" xr:uid="{AE88414D-CCBD-4733-885B-F5E3B72C6F08}"/>
    <cellStyle name="Entrada 4 2" xfId="1131" xr:uid="{8E77061F-5348-44BF-910A-E01F7309FE3A}"/>
    <cellStyle name="Entrada 4 2 2" xfId="1132" xr:uid="{1600C3D8-E8F2-414D-BCC1-6D4C0378495C}"/>
    <cellStyle name="Entrada 4 3" xfId="1133" xr:uid="{E93E4645-E283-4589-A651-4C638F59F3D0}"/>
    <cellStyle name="Entrada 4 3 2" xfId="1134" xr:uid="{0C8ED998-F00C-445E-A3E9-942BE8D80B34}"/>
    <cellStyle name="Entrada 4 3 3" xfId="1135" xr:uid="{C92FF3D8-E6CD-47F6-A114-CDADAB27EF67}"/>
    <cellStyle name="Entrada 5" xfId="1136" xr:uid="{0F68C6E3-C0E4-424B-918D-21B0E50CB197}"/>
    <cellStyle name="Entrada 5 2" xfId="1137" xr:uid="{CB1FCE79-BBFB-4F8A-B086-8C456320775A}"/>
    <cellStyle name="Entrada 5 2 2" xfId="1138" xr:uid="{8FEF2EEC-97B6-483C-9FF7-2192BEA38100}"/>
    <cellStyle name="Entrada 5 3" xfId="1139" xr:uid="{29420F29-2219-4354-BD01-3CF1D3767E44}"/>
    <cellStyle name="Entrada 5 3 2" xfId="1140" xr:uid="{2F73A8E9-4799-43BE-A144-9554D4A9A2AB}"/>
    <cellStyle name="Entrada 5 3 3" xfId="1141" xr:uid="{3E2F7E86-595E-43DE-8DE2-8547F21BA79F}"/>
    <cellStyle name="Entrada 6" xfId="1142" xr:uid="{9AC05B66-EE63-4921-B3D2-D4764AF5E807}"/>
    <cellStyle name="Entrada 6 2" xfId="1143" xr:uid="{287B334A-C888-424B-9C55-066060A9BA11}"/>
    <cellStyle name="Entrada 6 2 2" xfId="1144" xr:uid="{7F572608-B96E-452D-A073-39FDB8E7F0FE}"/>
    <cellStyle name="Entrada 6 3" xfId="1145" xr:uid="{A4F2FE74-6A22-4F80-A0D0-19721B2DE86F}"/>
    <cellStyle name="Entrada 6 3 2" xfId="1146" xr:uid="{6B0F5314-F4AD-4F9A-BAD8-BD1840E19A02}"/>
    <cellStyle name="Entrada 6 3 3" xfId="1147" xr:uid="{2B8AA5E5-7B30-4330-A9A1-37B8F1E56D0F}"/>
    <cellStyle name="Entrada 7" xfId="1148" xr:uid="{828E052B-F98C-4E0C-83F3-A0BADCFEA54A}"/>
    <cellStyle name="Entrada 7 2" xfId="1149" xr:uid="{88A485D6-B3C8-4459-9E58-39EB4827865A}"/>
    <cellStyle name="Entrada 7 2 2" xfId="1150" xr:uid="{351CCE64-FC59-4D13-B015-E13C7EDFB378}"/>
    <cellStyle name="Entrada 7 3" xfId="1151" xr:uid="{1B54E78D-5251-4260-B322-62106522EDA6}"/>
    <cellStyle name="Entrada 7 3 2" xfId="1152" xr:uid="{8767859E-871C-4A81-AE3F-A6B8654CBFC4}"/>
    <cellStyle name="Entrada 7 3 3" xfId="1153" xr:uid="{9F39B175-ED8E-4610-8A8D-12ABD79E6872}"/>
    <cellStyle name="Entrada 8" xfId="1154" xr:uid="{4D0AFAF5-F601-48FB-AFDD-E8363CAB57FA}"/>
    <cellStyle name="Entrada 8 2" xfId="1155" xr:uid="{CDC1F8AD-923A-4F0A-B041-12E96F30472C}"/>
    <cellStyle name="Entrada 8 2 2" xfId="1156" xr:uid="{329A397E-1158-4CCE-A818-7DBA5B137A0B}"/>
    <cellStyle name="Entrada 8 3" xfId="1157" xr:uid="{78DB0884-D204-4C20-ADB5-DB1B6745DA9B}"/>
    <cellStyle name="Entrada 8 3 2" xfId="1158" xr:uid="{1C427E61-F801-494E-A988-C21C925C1021}"/>
    <cellStyle name="Entrada 8 3 3" xfId="1159" xr:uid="{EF76493B-4B32-43BE-BAA7-01904E8BA0CE}"/>
    <cellStyle name="Entrada 9" xfId="1160" xr:uid="{F5C50F98-D09C-4BAA-8F1E-ACA3F82BFC66}"/>
    <cellStyle name="Entrada 9 2" xfId="1161" xr:uid="{E2FC42C5-C2DA-4E53-AB4E-22EB1527B607}"/>
    <cellStyle name="Entrada 9 2 2" xfId="1162" xr:uid="{2BD3B4E6-CB52-4244-B6EB-5C1F2268FDC5}"/>
    <cellStyle name="Entrada 9 3" xfId="1163" xr:uid="{600089DC-B372-493D-A1E1-86832F7972DD}"/>
    <cellStyle name="Entrada 9 3 2" xfId="1164" xr:uid="{F4BC69A0-C60E-489E-8148-6746B599A219}"/>
    <cellStyle name="Entrada 9 3 3" xfId="1165" xr:uid="{304388C4-E967-4ED2-BE12-7C872E67CC9C}"/>
    <cellStyle name="Estilo 1" xfId="1166" xr:uid="{70BF0705-666E-4998-8259-87182FE6AB64}"/>
    <cellStyle name="Euro" xfId="1167" xr:uid="{2017E566-B4A0-4CC8-90C3-9A6113B85996}"/>
    <cellStyle name="Euro 10" xfId="1168" xr:uid="{2EBD5D81-78F4-4FED-951C-261D9749FF2D}"/>
    <cellStyle name="Euro 10 2" xfId="1169" xr:uid="{1ED07A32-01C9-4D46-A956-036D2A9E5B73}"/>
    <cellStyle name="Euro 11" xfId="1170" xr:uid="{54747768-DA77-425E-AE84-6114F2EB874B}"/>
    <cellStyle name="Euro 11 2" xfId="1171" xr:uid="{54C8D8E4-10DA-46F9-9C9E-30F9AB346979}"/>
    <cellStyle name="Euro 12" xfId="1172" xr:uid="{EAB5E9E9-78A8-41C0-9665-1EECB56359A4}"/>
    <cellStyle name="Euro 12 2" xfId="1173" xr:uid="{C6B773A5-DE34-4B1D-8336-62BE2F078852}"/>
    <cellStyle name="Euro 13" xfId="1174" xr:uid="{D8CD7B32-E9F0-480C-9CB3-67CD5EC03CFC}"/>
    <cellStyle name="Euro 13 2" xfId="1175" xr:uid="{327DB645-E88C-43AF-B037-79FF2A7C1F7E}"/>
    <cellStyle name="Euro 14" xfId="1176" xr:uid="{E9D7EEC0-FAF5-41B5-8F50-01597ED72A7A}"/>
    <cellStyle name="Euro 14 2" xfId="1177" xr:uid="{3249C7E4-CC68-4044-89D0-1F1E62E9B3A2}"/>
    <cellStyle name="Euro 15" xfId="1178" xr:uid="{4456FCF9-A6C2-4C27-8514-817B44A9A8E5}"/>
    <cellStyle name="Euro 15 2" xfId="1179" xr:uid="{EE911094-7136-40CA-A63C-AA9064E9959A}"/>
    <cellStyle name="Euro 16" xfId="1180" xr:uid="{DFDDF485-3E5F-4F96-93B6-EA2E67A2420B}"/>
    <cellStyle name="Euro 16 2" xfId="1181" xr:uid="{8BB0EC79-3F94-459C-86EA-03741A47C9C3}"/>
    <cellStyle name="Euro 17" xfId="1182" xr:uid="{C3E1CF1D-15B3-4930-83E9-79EEF33E60C5}"/>
    <cellStyle name="Euro 17 2" xfId="1183" xr:uid="{573DBEA7-0697-4C8D-B3F2-7DD548253118}"/>
    <cellStyle name="Euro 18" xfId="1184" xr:uid="{DA8870BE-926D-4915-AA49-F3F77A49C5C0}"/>
    <cellStyle name="Euro 18 2" xfId="1185" xr:uid="{5064374D-E95C-43D7-9E44-9D6BC116DCDE}"/>
    <cellStyle name="Euro 19" xfId="1186" xr:uid="{4519772B-1EE4-4167-8049-09B0A03E1055}"/>
    <cellStyle name="Euro 19 2" xfId="1187" xr:uid="{04BFEB90-81B5-46B2-BDA7-9C2C4EC6F60C}"/>
    <cellStyle name="Euro 2" xfId="1188" xr:uid="{8F8AF6B4-75A9-4F52-AB0D-D7361CE03AD1}"/>
    <cellStyle name="Euro 2 2" xfId="1189" xr:uid="{DE451CC3-45F5-43DE-902D-F74CAE5CD85B}"/>
    <cellStyle name="Euro 2 3" xfId="1190" xr:uid="{50E3E8CA-003A-4458-BCE5-059CABD5E1DE}"/>
    <cellStyle name="Euro 2 4" xfId="1191" xr:uid="{FCB91951-A614-45D9-BB46-85B661BB9B9C}"/>
    <cellStyle name="Euro 20" xfId="1192" xr:uid="{13ED89D0-B240-4F9B-BDF3-4FC4BD225CF7}"/>
    <cellStyle name="Euro 20 2" xfId="1193" xr:uid="{E92825F8-67D4-4A37-BF96-D1E644BEEB30}"/>
    <cellStyle name="Euro 21" xfId="1194" xr:uid="{C59D8AF1-B87F-4867-B09C-71A435EC9E9B}"/>
    <cellStyle name="Euro 21 2" xfId="1195" xr:uid="{37A1076B-7964-40BA-A4A6-D5549F62508B}"/>
    <cellStyle name="Euro 22" xfId="1196" xr:uid="{06F1302E-171D-458D-A267-DB37F102E3C8}"/>
    <cellStyle name="Euro 22 2" xfId="1197" xr:uid="{6C3C6867-C9DD-496D-A3F7-83D0935A62D2}"/>
    <cellStyle name="Euro 23" xfId="1198" xr:uid="{454CD1EA-0137-4431-8BAB-4153634AD416}"/>
    <cellStyle name="Euro 23 2" xfId="1199" xr:uid="{11F4B900-A500-4ABF-AE28-57DC4D4641A7}"/>
    <cellStyle name="Euro 24" xfId="1200" xr:uid="{A7D759FA-128B-4F83-A635-DDE809BED0BE}"/>
    <cellStyle name="Euro 24 2" xfId="1201" xr:uid="{A4A184D4-4B6B-44B0-B4FC-9354AB7D4F99}"/>
    <cellStyle name="Euro 25" xfId="1202" xr:uid="{CAFFD6A5-1CC2-4AD4-93E1-C4B4005173E4}"/>
    <cellStyle name="Euro 25 2" xfId="1203" xr:uid="{84167ED8-79CA-4C68-B32F-496A0BB2BDCC}"/>
    <cellStyle name="Euro 26" xfId="1204" xr:uid="{8BA95D64-65EA-4997-9A7D-AE1FD4C1F4FD}"/>
    <cellStyle name="Euro 26 2" xfId="1205" xr:uid="{FED02305-1040-4FE1-9227-1254442E28A8}"/>
    <cellStyle name="Euro 27" xfId="1206" xr:uid="{A60CB0F2-AE21-46FE-95D1-4795EAB4AFB2}"/>
    <cellStyle name="Euro 27 2" xfId="1207" xr:uid="{AB8B7B68-C4ED-4DF9-8F03-A51CF32A3C73}"/>
    <cellStyle name="Euro 28" xfId="1208" xr:uid="{8EDEFB4F-2651-42D5-9FF0-CC19AF2D1FCF}"/>
    <cellStyle name="Euro 28 2" xfId="1209" xr:uid="{A5F72B04-A84E-4353-BC56-DDC05833070E}"/>
    <cellStyle name="Euro 29" xfId="1210" xr:uid="{75E537EF-3BD5-4801-AFED-89B2B2CF66FC}"/>
    <cellStyle name="Euro 29 2" xfId="1211" xr:uid="{0A3D229F-BE4D-4CD1-A412-E1AF125FDFDE}"/>
    <cellStyle name="Euro 3" xfId="1212" xr:uid="{98DC2D0B-1F4A-41C9-BE82-B301FED2706E}"/>
    <cellStyle name="Euro 3 2" xfId="1213" xr:uid="{6F4080CE-B74D-455C-8BC5-2E7366C9D1E5}"/>
    <cellStyle name="Euro 3 3" xfId="1214" xr:uid="{39874D36-A09E-4625-8D3E-9ECAB82C453C}"/>
    <cellStyle name="Euro 3 4" xfId="1215" xr:uid="{83E91FDE-BF63-4F5A-958D-A47985FD1240}"/>
    <cellStyle name="Euro 30" xfId="1216" xr:uid="{303BC0A2-ACF0-4501-AA6D-00C6A2A4CBB1}"/>
    <cellStyle name="Euro 30 2" xfId="1217" xr:uid="{C6FEFEF1-CB39-469F-AED2-66209BEA7D89}"/>
    <cellStyle name="Euro 31" xfId="1218" xr:uid="{1DB521A0-A05A-4DD2-9613-65A41FD9EE8C}"/>
    <cellStyle name="Euro 31 2" xfId="1219" xr:uid="{B46A89ED-CCEB-4E96-89CF-DD2A9CA4EF5B}"/>
    <cellStyle name="Euro 32" xfId="1220" xr:uid="{75739252-0247-4075-A5DE-512CECBF1220}"/>
    <cellStyle name="Euro 32 2" xfId="1221" xr:uid="{3CFCA2D2-DA6C-4DFB-9A81-8E31FC8FB990}"/>
    <cellStyle name="Euro 33" xfId="1222" xr:uid="{0995A15F-4F62-46E8-87E9-328478C77FE8}"/>
    <cellStyle name="Euro 33 2" xfId="1223" xr:uid="{CD8C413F-CB67-4E73-A92E-E7CE7BD478ED}"/>
    <cellStyle name="Euro 34" xfId="1224" xr:uid="{4A228493-DFEA-41C6-9239-6FDB91009A34}"/>
    <cellStyle name="Euro 34 2" xfId="1225" xr:uid="{A0370B17-8EB6-4A67-9791-E387DB150F2B}"/>
    <cellStyle name="Euro 35" xfId="1226" xr:uid="{9B14C25C-8194-4AE9-8618-7C00A6E76E46}"/>
    <cellStyle name="Euro 35 2" xfId="1227" xr:uid="{A92FA426-694E-46DE-809E-BAA4CFBFFE87}"/>
    <cellStyle name="Euro 36" xfId="1228" xr:uid="{1716F297-15C7-4D74-915F-BF38D258B36B}"/>
    <cellStyle name="Euro 36 2" xfId="1229" xr:uid="{0C8DF56E-55DF-4971-BCCB-F1801DCB3F87}"/>
    <cellStyle name="Euro 37" xfId="1230" xr:uid="{17A66FE5-4914-478C-B3A0-CF34E91393EA}"/>
    <cellStyle name="Euro 37 2" xfId="1231" xr:uid="{B0885A85-A40E-4420-B897-8795FA42A232}"/>
    <cellStyle name="Euro 38" xfId="1232" xr:uid="{CEC16092-1E10-49A9-8079-1A354830A142}"/>
    <cellStyle name="Euro 39" xfId="1233" xr:uid="{939AB7B8-838F-4045-844A-479024B86F0D}"/>
    <cellStyle name="Euro 4" xfId="1234" xr:uid="{61976701-0ABF-4905-B2E7-637A5D07D649}"/>
    <cellStyle name="Euro 4 2" xfId="1235" xr:uid="{2CE8C85E-2EC5-45B3-AC77-9A68AE26DA2C}"/>
    <cellStyle name="Euro 4 3" xfId="1236" xr:uid="{77DF3AE6-11A1-4347-850A-14B5770FE574}"/>
    <cellStyle name="Euro 40" xfId="1237" xr:uid="{9BFD6659-FBC5-45A2-9920-59110B8A018E}"/>
    <cellStyle name="Euro 41" xfId="1238" xr:uid="{9D5A1E4D-A34F-4738-A190-88A3BF71F2D5}"/>
    <cellStyle name="Euro 42" xfId="1239" xr:uid="{4947E2E7-01DB-4851-ABC3-19F6A8DC7C76}"/>
    <cellStyle name="Euro 43" xfId="1240" xr:uid="{D649BB48-A8ED-41B1-9DF3-2A43AB6FA0E7}"/>
    <cellStyle name="Euro 44" xfId="1241" xr:uid="{B5567D98-D39D-4CA3-8F3D-C451E9DEE52E}"/>
    <cellStyle name="Euro 45" xfId="1242" xr:uid="{A72B85A3-C7E4-4D13-965E-8172BAF4A634}"/>
    <cellStyle name="Euro 46" xfId="1243" xr:uid="{0EC75DA3-F734-4AF3-B540-B795AE9A174D}"/>
    <cellStyle name="Euro 47" xfId="1244" xr:uid="{955BEEAC-6D22-4B95-8F73-22FB5E08AF90}"/>
    <cellStyle name="Euro 48" xfId="1245" xr:uid="{C28DAD4F-1191-49AA-9BAD-AEEAE9D220FA}"/>
    <cellStyle name="Euro 49" xfId="1246" xr:uid="{6883C39B-0893-4A3D-A9BE-9085E8CC428A}"/>
    <cellStyle name="Euro 5" xfId="1247" xr:uid="{BA32E416-B066-4AE5-BC18-A030D8EB15F0}"/>
    <cellStyle name="Euro 5 2" xfId="1248" xr:uid="{1B54C4B5-7846-4D9D-8965-BBDC48E2723C}"/>
    <cellStyle name="Euro 50" xfId="1249" xr:uid="{53E14BEE-329F-4D8E-876C-D389A090A3D9}"/>
    <cellStyle name="Euro 51" xfId="1250" xr:uid="{2D82865A-C3A9-4F10-88EE-E6E4B48987A7}"/>
    <cellStyle name="Euro 52" xfId="1251" xr:uid="{9F0DD78D-D341-4B35-8725-6E4F92BE3DA0}"/>
    <cellStyle name="Euro 53" xfId="1252" xr:uid="{41958D36-DA47-4B18-A332-B627DEB39542}"/>
    <cellStyle name="Euro 54" xfId="1253" xr:uid="{4F6E246D-2F55-4004-A59C-8F67FCE2BF14}"/>
    <cellStyle name="Euro 55" xfId="1254" xr:uid="{596151E6-6CBE-4C27-BDE1-7D9EF6480A5A}"/>
    <cellStyle name="Euro 56" xfId="1255" xr:uid="{32BA05D2-E175-4494-B749-8AE160B3FF12}"/>
    <cellStyle name="Euro 57" xfId="1256" xr:uid="{62DB4A36-9432-4A6F-9753-F2B08D827305}"/>
    <cellStyle name="Euro 58" xfId="1257" xr:uid="{95463CE2-6276-4FDF-9E01-6D2DD0E77C9C}"/>
    <cellStyle name="Euro 59" xfId="1258" xr:uid="{D93C486E-B9CE-42B3-8C3B-57A06766A814}"/>
    <cellStyle name="Euro 6" xfId="1259" xr:uid="{E9685D7D-7AFE-4482-B084-4E1917DCABD7}"/>
    <cellStyle name="Euro 6 2" xfId="1260" xr:uid="{2DF0367E-317D-410E-BB91-91BB2FEDD9CC}"/>
    <cellStyle name="Euro 60" xfId="1261" xr:uid="{7BFC0F2B-4561-4D86-83AC-EB716F9E8A6E}"/>
    <cellStyle name="Euro 61" xfId="1262" xr:uid="{A7590EF9-FA8A-4C9B-95AD-AB141B7F15BF}"/>
    <cellStyle name="Euro 62" xfId="1263" xr:uid="{4A2A132E-1AB4-4042-B3CB-0E2B2BD86562}"/>
    <cellStyle name="Euro 63" xfId="1264" xr:uid="{4EB5DDC2-4135-4E6B-B39B-7991ACB7DD41}"/>
    <cellStyle name="Euro 64" xfId="1265" xr:uid="{1F890E7C-5882-4126-A9F8-6B23CC24A55D}"/>
    <cellStyle name="Euro 65" xfId="1266" xr:uid="{5D647C22-7A33-4776-9E05-60B2CAAAD8B6}"/>
    <cellStyle name="Euro 66" xfId="1267" xr:uid="{CCC3F43C-AE85-402B-84C7-C73511C80C4F}"/>
    <cellStyle name="Euro 7" xfId="1268" xr:uid="{1B21A173-5EAE-426F-AED6-EF292D0910FB}"/>
    <cellStyle name="Euro 7 2" xfId="1269" xr:uid="{56601B8C-2640-463A-8312-8A38339DB258}"/>
    <cellStyle name="Euro 8" xfId="1270" xr:uid="{2BF90978-78B1-407F-ADDA-8A1B30F3E007}"/>
    <cellStyle name="Euro 8 2" xfId="1271" xr:uid="{9FF5E32C-DAFA-410D-8472-3D63C23B6E59}"/>
    <cellStyle name="Euro 9" xfId="1272" xr:uid="{D33D7DBB-C9FA-4EFF-BBC7-7A0F661F62C0}"/>
    <cellStyle name="Euro 9 2" xfId="1273" xr:uid="{9F867BE7-4A8D-4C19-A232-9F179887E5D6}"/>
    <cellStyle name="Euro_SIC PNLP Gx" xfId="1274" xr:uid="{3F79A418-DC87-4CAE-805C-7F3B6AC0D7CC}"/>
    <cellStyle name="Explanatory Text" xfId="84" builtinId="53" customBuiltin="1"/>
    <cellStyle name="Explanatory Text 2" xfId="40" xr:uid="{D7BD36F3-A2BC-4CE7-AF9A-03CCF380BDFF}"/>
    <cellStyle name="Explanatory Text 2 2" xfId="1275" xr:uid="{8ECC9516-C20F-4169-966E-181BFBB76333}"/>
    <cellStyle name="F2" xfId="1276" xr:uid="{C16DEB33-7A11-49FA-B009-10A319F81073}"/>
    <cellStyle name="F2 2" xfId="1277" xr:uid="{3FA94608-EB5D-4C3D-9D5C-53940B38D7D1}"/>
    <cellStyle name="F3" xfId="1278" xr:uid="{DAC2348B-36A5-4A6C-AF5B-64AE6FDC1461}"/>
    <cellStyle name="F3 2" xfId="1279" xr:uid="{78FD3B94-5CA8-4281-8C1E-F0B831D09D4C}"/>
    <cellStyle name="F4" xfId="1280" xr:uid="{76616CAE-EDEA-4DA2-BB0E-FF98EB8555C5}"/>
    <cellStyle name="F4 2" xfId="1281" xr:uid="{C3AE8495-CD1F-4188-AE7D-E0C38125B56F}"/>
    <cellStyle name="F5" xfId="1282" xr:uid="{9F6BD574-C7BB-4069-BBE3-4883C2BA7793}"/>
    <cellStyle name="F5 2" xfId="1283" xr:uid="{7CE0CEEC-35E3-4C8A-90F6-21B29A4943DF}"/>
    <cellStyle name="F6" xfId="1284" xr:uid="{65024A19-F700-4F77-AF7F-877E1C4FD577}"/>
    <cellStyle name="F6 2" xfId="1285" xr:uid="{635439BA-93C8-49E7-921D-FA2EC7F6B702}"/>
    <cellStyle name="F7" xfId="1286" xr:uid="{711B4C37-DF25-4B07-ABBB-793B9929EF11}"/>
    <cellStyle name="F7 2" xfId="1287" xr:uid="{03196187-5B25-42BA-A9FC-51A9AF347029}"/>
    <cellStyle name="F8" xfId="1288" xr:uid="{AAE8CB6C-676B-46B0-BFF9-27C2727563B1}"/>
    <cellStyle name="F8 2" xfId="1289" xr:uid="{D85FEFB6-7F1D-4CCC-A83F-C0F2C347C243}"/>
    <cellStyle name="Fecha" xfId="1290" xr:uid="{8A369F15-2A0E-44AF-9C24-062EA8298CAB}"/>
    <cellStyle name="Fijo" xfId="1291" xr:uid="{FD41CF49-9651-46AE-BBEC-1087EB355DB8}"/>
    <cellStyle name="Fijo 2" xfId="1292" xr:uid="{340BA335-7265-4622-AFA2-2AB0E7E97F2B}"/>
    <cellStyle name="Financiero" xfId="1293" xr:uid="{39B86AC1-D041-4714-A617-213449C4A89C}"/>
    <cellStyle name="Fixed" xfId="1294" xr:uid="{0DC642CA-94B1-4C94-978E-378B6FE431D4}"/>
    <cellStyle name="Fixed 2" xfId="1295" xr:uid="{42BFC663-5ECA-4D51-9B85-AFB1F8B44CD0}"/>
    <cellStyle name="Good" xfId="76" builtinId="26" customBuiltin="1"/>
    <cellStyle name="Good 2" xfId="31" xr:uid="{D6167395-DB46-4460-AF13-B12579D140F4}"/>
    <cellStyle name="Good 2 2" xfId="1296" xr:uid="{858B6FAC-8FFC-419F-BDB2-2083D09D59D0}"/>
    <cellStyle name="Heading 1" xfId="72" builtinId="16" customBuiltin="1"/>
    <cellStyle name="Heading 1 2" xfId="27" xr:uid="{45A4685C-0370-4204-B46A-0DC09EBBEB60}"/>
    <cellStyle name="Heading 1 2 2" xfId="1297" xr:uid="{60910AEC-AE2C-4B69-B5A9-0C8BDE36EF20}"/>
    <cellStyle name="Heading 2" xfId="73" builtinId="17" customBuiltin="1"/>
    <cellStyle name="Heading 2 2" xfId="28" xr:uid="{89F4C52F-44F7-46F8-AA92-DB6F943CF02C}"/>
    <cellStyle name="Heading 2 2 2" xfId="1298" xr:uid="{BC9FEBE9-7538-4957-9908-B6E6DDA0F050}"/>
    <cellStyle name="Heading 3" xfId="74" builtinId="18" customBuiltin="1"/>
    <cellStyle name="Heading 3 2" xfId="29" xr:uid="{E5700B37-4D35-4A44-8B0F-47867666EDF7}"/>
    <cellStyle name="Heading 3 2 2" xfId="1299" xr:uid="{3B018E4D-825D-4DC0-9DFC-137FE8B32A34}"/>
    <cellStyle name="Heading 4" xfId="75" builtinId="19" customBuiltin="1"/>
    <cellStyle name="Heading 4 2" xfId="30" xr:uid="{42A851CE-DFBF-4104-8F9E-51F084975AEB}"/>
    <cellStyle name="Heading 4 2 2" xfId="1300" xr:uid="{2430482B-A54A-42D8-B4DA-00D3863DC498}"/>
    <cellStyle name="Heading1" xfId="1301" xr:uid="{85EB3D90-1081-43A3-8F7E-CDBF3F0C1649}"/>
    <cellStyle name="Heading1 2" xfId="1302" xr:uid="{EE57B5E5-EA05-4117-8AAC-ABCF5CD2D87C}"/>
    <cellStyle name="Heading2" xfId="1303" xr:uid="{0B1409B6-C358-4E76-9480-D317534EAEE3}"/>
    <cellStyle name="Heading2 2" xfId="1304" xr:uid="{C4D7F53A-4FF7-4DE7-8B5A-9D38FF69E971}"/>
    <cellStyle name="Hipervínculo 2" xfId="1305" xr:uid="{8AAE17E3-A3DE-483F-B142-1A715156A90C}"/>
    <cellStyle name="Hipervínculo 2 2" xfId="1306" xr:uid="{B0936CA9-633C-4860-9B62-967741DC5D03}"/>
    <cellStyle name="Hyperlink" xfId="1" builtinId="8"/>
    <cellStyle name="Hyperlink 2" xfId="1307" xr:uid="{7A6B033C-0FC4-4D30-B486-F65C03DB0945}"/>
    <cellStyle name="Incorrecto 2" xfId="1308" xr:uid="{A2A2BA5F-FFB1-4C7C-8E3E-42D23923F97D}"/>
    <cellStyle name="Incorrecto 2 2" xfId="1309" xr:uid="{194E5F7B-4A08-4F73-B879-58E24A3BDB4A}"/>
    <cellStyle name="Incorrecto 3" xfId="1310" xr:uid="{D0072C34-6652-4609-B1D2-1AB05779E143}"/>
    <cellStyle name="Incorrecto 3 2" xfId="1311" xr:uid="{A8A24456-E304-4963-8B5F-9EF6DC3E306D}"/>
    <cellStyle name="Incorrecto 4" xfId="1312" xr:uid="{8C2BF1DD-ED8A-417E-A2B9-5713BB3EE1AD}"/>
    <cellStyle name="Input" xfId="78" builtinId="20" customBuiltin="1"/>
    <cellStyle name="Input 2" xfId="34" xr:uid="{266C221C-E432-418A-BA44-4C1FFE94A758}"/>
    <cellStyle name="Input 2 2" xfId="1313" xr:uid="{697EF906-9C01-4A18-A801-97E698784CB3}"/>
    <cellStyle name="Linked Cell" xfId="81" builtinId="24" customBuiltin="1"/>
    <cellStyle name="Linked Cell 2" xfId="37" xr:uid="{45C8CD4F-8D46-4165-9BE3-960CBA003C8D}"/>
    <cellStyle name="Linked Cell 2 2" xfId="1314" xr:uid="{5311C406-73A9-480D-8072-07610E8D4DF1}"/>
    <cellStyle name="Millares [0] 2" xfId="1315" xr:uid="{A8AC05A4-2501-4B45-9D89-B1293C8B1759}"/>
    <cellStyle name="Millares [0] 2 10" xfId="1316" xr:uid="{3EE08C91-381C-4A01-B8DA-B7527A42C8BC}"/>
    <cellStyle name="Millares [0] 2 2" xfId="1317" xr:uid="{B6F3CD74-2197-4BC7-8C29-36DD66C3270D}"/>
    <cellStyle name="Millares [0] 2 2 2" xfId="1318" xr:uid="{FD4CDCB6-BDBE-42C1-947E-9A4D08005E7B}"/>
    <cellStyle name="Millares [0] 2 2 2 2" xfId="1319" xr:uid="{0F4A016D-6045-4630-B73B-5A0C451F6B68}"/>
    <cellStyle name="Millares [0] 2 2 2 3" xfId="1320" xr:uid="{4FA788DE-34A7-409C-9C0E-51087A777D35}"/>
    <cellStyle name="Millares [0] 2 2 2 3 2" xfId="1321" xr:uid="{999E280B-1E14-4186-994E-8AA2F4351D1A}"/>
    <cellStyle name="Millares [0] 2 2 2 4" xfId="1322" xr:uid="{873ED4D7-44DA-461C-8F71-E002DD047875}"/>
    <cellStyle name="Millares [0] 2 2 2 4 2" xfId="1323" xr:uid="{82F27EF5-9E14-4C80-90E6-D8EB91763A29}"/>
    <cellStyle name="Millares [0] 2 2 2 4 3" xfId="1324" xr:uid="{E8D19282-9529-4609-A514-03B2E5257D3A}"/>
    <cellStyle name="Millares [0] 2 2 2 5" xfId="1325" xr:uid="{35DAF892-4743-4DF7-B3D2-427E4165E83B}"/>
    <cellStyle name="Millares [0] 2 2 2 5 2" xfId="1326" xr:uid="{AC66CAC4-5874-4DD5-8F1D-D86B3C13BFD2}"/>
    <cellStyle name="Millares [0] 2 2 2 5 3" xfId="1327" xr:uid="{12379C4F-8E97-41AC-BE1F-8DE143E1FEE0}"/>
    <cellStyle name="Millares [0] 2 2 2 6" xfId="1328" xr:uid="{E380992A-7721-4819-8D77-611F6C1F6C57}"/>
    <cellStyle name="Millares [0] 2 2 3" xfId="1329" xr:uid="{3B2564A1-BEFA-49AD-B6BB-07FEA5FEE5AE}"/>
    <cellStyle name="Millares [0] 2 2 4" xfId="1330" xr:uid="{DB25AE86-F06F-441D-90FE-673EC7D4371C}"/>
    <cellStyle name="Millares [0] 2 2 5" xfId="1331" xr:uid="{6607FFF7-E875-4BB5-BAA2-EEE87833FCCA}"/>
    <cellStyle name="Millares [0] 2 2 6" xfId="1332" xr:uid="{23C4334C-CA33-43FA-B5C4-CDD1D089E3CA}"/>
    <cellStyle name="Millares [0] 2 2 7" xfId="1333" xr:uid="{000EB771-07A1-4163-B309-B59BF1A3299C}"/>
    <cellStyle name="Millares [0] 2 2 8" xfId="1334" xr:uid="{AC22081E-0B21-4BA1-BAD3-EBB7E7F2FA11}"/>
    <cellStyle name="Millares [0] 2 3" xfId="1335" xr:uid="{88A6E8B5-32AD-4421-BD30-80890F6F9097}"/>
    <cellStyle name="Millares [0] 2 4" xfId="1336" xr:uid="{9CC6F8D6-1B42-4011-88DE-C210A6B6BE18}"/>
    <cellStyle name="Millares [0] 2 4 2" xfId="1337" xr:uid="{B99A6AAF-432C-4EE9-BA1A-78E14F833CBE}"/>
    <cellStyle name="Millares [0] 2 4 3" xfId="1338" xr:uid="{115D5829-5C2D-4FC2-8A13-8CFEF0AF26FA}"/>
    <cellStyle name="Millares [0] 2 4 3 2" xfId="1339" xr:uid="{EB4EA711-31FA-4787-AECA-687EF3AA1EB8}"/>
    <cellStyle name="Millares [0] 2 4 4" xfId="1340" xr:uid="{0AAB2999-885A-4784-B5D1-E5A9BD624DAA}"/>
    <cellStyle name="Millares [0] 2 4 4 2" xfId="1341" xr:uid="{7B5264B3-A853-4088-88C9-E8D4F0E2425B}"/>
    <cellStyle name="Millares [0] 2 4 4 3" xfId="1342" xr:uid="{A41B7A7C-352C-4105-B80A-67E397DFC30F}"/>
    <cellStyle name="Millares [0] 2 4 5" xfId="1343" xr:uid="{D147CC2A-6E03-4E6B-9F66-8A5C0E0FE3F3}"/>
    <cellStyle name="Millares [0] 2 4 5 2" xfId="1344" xr:uid="{F418CDA9-A721-4BBE-B5B9-42F643237D5B}"/>
    <cellStyle name="Millares [0] 2 4 5 3" xfId="1345" xr:uid="{5E1A3886-89F8-45B5-AC33-859AA34A6804}"/>
    <cellStyle name="Millares [0] 2 4 6" xfId="1346" xr:uid="{5E1FC7C4-2821-4F46-83FE-D0067543FE91}"/>
    <cellStyle name="Millares [0] 2 5" xfId="1347" xr:uid="{29C862E9-77A1-486F-BF54-84718601E8F9}"/>
    <cellStyle name="Millares [0] 2 6" xfId="1348" xr:uid="{5E920137-CB69-442F-BEE9-93506D9DBA78}"/>
    <cellStyle name="Millares [0] 2 7" xfId="1349" xr:uid="{9CA4A0D7-6820-4666-ACF4-680F944C3BAE}"/>
    <cellStyle name="Millares [0] 2 8" xfId="1350" xr:uid="{FD08FA78-7A2A-4D39-8C48-305B53626123}"/>
    <cellStyle name="Millares [0] 2 9" xfId="1351" xr:uid="{DB186E2A-97C2-4572-9708-5D0313D2A13C}"/>
    <cellStyle name="Millares [0] 3" xfId="1352" xr:uid="{2F1C664F-A067-4FDF-AC2F-DA92A78F89FD}"/>
    <cellStyle name="Millares [0] 4" xfId="1353" xr:uid="{0932EBCC-05C4-4563-AF67-33D1ECC7AC45}"/>
    <cellStyle name="Millares 10" xfId="1354" xr:uid="{7A7B28AB-63EA-40B7-83B6-BE8D6F1AFDA4}"/>
    <cellStyle name="Millares 10 2" xfId="1355" xr:uid="{F709DEE1-706F-45F7-ADA0-63E1C6A8E569}"/>
    <cellStyle name="Millares 10 3" xfId="1356" xr:uid="{6E51DB11-0933-4B24-B99C-BBAEB8578DA5}"/>
    <cellStyle name="Millares 11" xfId="1357" xr:uid="{3B619609-B58B-430E-9EEA-925357DA2BEA}"/>
    <cellStyle name="Millares 11 2" xfId="1358" xr:uid="{B625A295-98C2-40D8-88E8-B46883C51C0E}"/>
    <cellStyle name="Millares 11 3" xfId="1359" xr:uid="{A6D5E207-C6DB-48D3-B75F-599EFDED5433}"/>
    <cellStyle name="Millares 11 4" xfId="1360" xr:uid="{25FDBE16-A8EE-4EA2-A88D-854558C543A4}"/>
    <cellStyle name="Millares 11 4 2" xfId="1361" xr:uid="{AB12E994-0256-4F32-98AB-3BE5D37A65EF}"/>
    <cellStyle name="Millares 11 5" xfId="1362" xr:uid="{C6A5E8D9-2A3C-4977-BA52-650DABA447E4}"/>
    <cellStyle name="Millares 11 5 2" xfId="1363" xr:uid="{EC6383FF-3DD5-483B-9D04-676544DF1D68}"/>
    <cellStyle name="Millares 11 5 3" xfId="1364" xr:uid="{0F0D8F34-979E-4D63-99EF-2374FD417D1D}"/>
    <cellStyle name="Millares 11 6" xfId="1365" xr:uid="{FA36D66A-345D-43E1-BC20-D165B325B29A}"/>
    <cellStyle name="Millares 11 6 2" xfId="1366" xr:uid="{68472D42-E78F-4415-AE02-07E8F8ED68D6}"/>
    <cellStyle name="Millares 11 6 3" xfId="1367" xr:uid="{82388718-F332-49C7-B241-F471BB9D0EBE}"/>
    <cellStyle name="Millares 11 7" xfId="1368" xr:uid="{737F0655-4CE0-47F0-BF3F-3A5328CDDA85}"/>
    <cellStyle name="Millares 12" xfId="1369" xr:uid="{BE4CF5A3-E2B1-4D29-9C77-D8E6CB75A2A7}"/>
    <cellStyle name="Millares 12 2" xfId="1370" xr:uid="{D1C30EF5-2F9A-47FD-8A11-CC9D71FD28A5}"/>
    <cellStyle name="Millares 12 3" xfId="1371" xr:uid="{CB7EBBC2-3107-4ED3-81E6-0E0BF1A872BB}"/>
    <cellStyle name="Millares 12 4" xfId="1372" xr:uid="{83811A89-BBA0-4E39-A6C6-83CF0FEAC1E2}"/>
    <cellStyle name="Millares 12 4 2" xfId="1373" xr:uid="{52244DF2-EEBD-4128-8AA0-A44A276DD674}"/>
    <cellStyle name="Millares 12 5" xfId="1374" xr:uid="{D494F5F7-56AA-4D50-83F6-EE42C61E61B8}"/>
    <cellStyle name="Millares 12 5 2" xfId="1375" xr:uid="{7C13F29D-30D2-4F2B-B214-6976264554D3}"/>
    <cellStyle name="Millares 12 5 3" xfId="1376" xr:uid="{6ADD9C14-E765-437E-81FE-4213FE5CD6FB}"/>
    <cellStyle name="Millares 12 6" xfId="1377" xr:uid="{F2E04018-9148-4FAF-9CC8-BCCD4823B029}"/>
    <cellStyle name="Millares 12 6 2" xfId="1378" xr:uid="{A0D12468-B1DB-4A6C-8061-614406D323C8}"/>
    <cellStyle name="Millares 12 6 3" xfId="1379" xr:uid="{C36517FE-5E27-4A80-97BF-35DF187440EB}"/>
    <cellStyle name="Millares 12 7" xfId="1380" xr:uid="{A36CD380-D116-4134-89ED-C4F682EE82B4}"/>
    <cellStyle name="Millares 13" xfId="1381" xr:uid="{C23882ED-944A-4232-B8F5-C72C71E59C0F}"/>
    <cellStyle name="Millares 13 2" xfId="1382" xr:uid="{A104959C-37E1-41F1-AEC0-A5FC0AE05B04}"/>
    <cellStyle name="Millares 13 3" xfId="1383" xr:uid="{6B958D11-B607-41F9-83CD-3B675CF45AB5}"/>
    <cellStyle name="Millares 13 4" xfId="1384" xr:uid="{D4B996FC-7991-43B8-8FC7-8576D0F1B562}"/>
    <cellStyle name="Millares 13 4 2" xfId="1385" xr:uid="{F1A2518A-E002-4301-B56E-A44BDF5B9CA7}"/>
    <cellStyle name="Millares 13 5" xfId="1386" xr:uid="{E7B1ABDD-56AB-42BC-B0F7-A1648057A226}"/>
    <cellStyle name="Millares 13 5 2" xfId="1387" xr:uid="{A6619985-962B-41C9-9037-D4EB349B9BC2}"/>
    <cellStyle name="Millares 13 5 3" xfId="1388" xr:uid="{8F82B59D-41DA-4234-A67F-A111FAA710CF}"/>
    <cellStyle name="Millares 13 6" xfId="1389" xr:uid="{8E5D02E8-B23A-469F-A017-FB4338E60E12}"/>
    <cellStyle name="Millares 13 6 2" xfId="1390" xr:uid="{DE3B848B-5266-4FA0-8DFE-1FC13A2707FD}"/>
    <cellStyle name="Millares 13 6 3" xfId="1391" xr:uid="{E9183EF4-2FC2-403C-A01F-61A39F96689F}"/>
    <cellStyle name="Millares 13 7" xfId="1392" xr:uid="{E4F53F91-E4A8-4D0B-BE81-0E09ED742673}"/>
    <cellStyle name="Millares 14" xfId="1393" xr:uid="{D9CF8B1D-0417-4ACC-A366-88B457BBC9E1}"/>
    <cellStyle name="Millares 14 2" xfId="1394" xr:uid="{21D2730C-61F0-41DB-A82D-95D997CA4CDC}"/>
    <cellStyle name="Millares 14 3" xfId="1395" xr:uid="{D9D26CEB-668B-420B-BB88-67B3692B0005}"/>
    <cellStyle name="Millares 14 4" xfId="1396" xr:uid="{31033313-3F9F-4490-A810-200181EF54CE}"/>
    <cellStyle name="Millares 14 4 2" xfId="1397" xr:uid="{70FB0BBA-9C86-4EE6-9021-9756DD0B811E}"/>
    <cellStyle name="Millares 14 5" xfId="1398" xr:uid="{B2D91E21-387C-499C-933F-291A3F0BCB2F}"/>
    <cellStyle name="Millares 14 5 2" xfId="1399" xr:uid="{84CAFE3F-9948-4202-BF11-D033903C37A4}"/>
    <cellStyle name="Millares 14 5 3" xfId="1400" xr:uid="{45CF6A7A-500E-40BB-8F57-625BB64F6FF5}"/>
    <cellStyle name="Millares 14 6" xfId="1401" xr:uid="{B23A5306-B1E6-4937-83CA-C08EAF4C31AB}"/>
    <cellStyle name="Millares 14 6 2" xfId="1402" xr:uid="{8B0C3C91-7BF1-46FA-8D93-629DD08A4D18}"/>
    <cellStyle name="Millares 14 6 3" xfId="1403" xr:uid="{A5E98FCA-A533-45B2-8444-7A26F31EA8B8}"/>
    <cellStyle name="Millares 14 7" xfId="1404" xr:uid="{B53F0B56-4BED-4B8E-8254-771483F75A6D}"/>
    <cellStyle name="Millares 15" xfId="1405" xr:uid="{1DBFEB1A-6C67-49C2-A1FC-812A2F3172C4}"/>
    <cellStyle name="Millares 15 2" xfId="1406" xr:uid="{F0B2BF45-F051-471C-A8CC-848BC8E498D9}"/>
    <cellStyle name="Millares 15 3" xfId="1407" xr:uid="{9963276A-1F69-4248-9287-7E623A885D91}"/>
    <cellStyle name="Millares 15 4" xfId="1408" xr:uid="{B92B7356-93E6-4BB3-9BAA-544E85B5AC6A}"/>
    <cellStyle name="Millares 15 4 2" xfId="1409" xr:uid="{DE878AC6-47BD-4D2D-BE9C-E8ED1F3CDDAC}"/>
    <cellStyle name="Millares 15 5" xfId="1410" xr:uid="{B851DB4D-88BC-4649-8850-141E2A2FA886}"/>
    <cellStyle name="Millares 15 5 2" xfId="1411" xr:uid="{A77160B2-F0E0-49C5-834A-16B6CEB9AF65}"/>
    <cellStyle name="Millares 15 5 3" xfId="1412" xr:uid="{A47B6774-6E9E-4963-8DB6-45FD980B615B}"/>
    <cellStyle name="Millares 15 6" xfId="1413" xr:uid="{B4E691C2-7258-44A1-A948-EE8247BDC059}"/>
    <cellStyle name="Millares 15 6 2" xfId="1414" xr:uid="{F3056585-2F8E-412E-9446-930C4098347C}"/>
    <cellStyle name="Millares 15 6 3" xfId="1415" xr:uid="{01D2CC61-F3AC-463F-B001-B01D898623D5}"/>
    <cellStyle name="Millares 15 7" xfId="1416" xr:uid="{2ED66F83-AB57-49AE-9CC8-43E72D765701}"/>
    <cellStyle name="Millares 16" xfId="1417" xr:uid="{76020719-B08F-4DC7-8292-6CF74B82577F}"/>
    <cellStyle name="Millares 16 2" xfId="1418" xr:uid="{82087F34-9E25-4225-9F15-91334942D176}"/>
    <cellStyle name="Millares 16 3" xfId="1419" xr:uid="{2F9118D6-859F-44A2-B38B-D8DFED180F06}"/>
    <cellStyle name="Millares 16 4" xfId="1420" xr:uid="{2DD95E1A-567D-4A27-B584-FB70D3885E8B}"/>
    <cellStyle name="Millares 16 4 2" xfId="1421" xr:uid="{52BDAE1C-FBE5-4A8C-84D5-25D66CC8105B}"/>
    <cellStyle name="Millares 16 5" xfId="1422" xr:uid="{9EEA414A-8472-4A7E-918E-04CE01012F2D}"/>
    <cellStyle name="Millares 16 5 2" xfId="1423" xr:uid="{ADB2F680-0545-47FF-BD6F-51CB4496686D}"/>
    <cellStyle name="Millares 16 5 3" xfId="1424" xr:uid="{5FA2A5F6-91C4-491D-BD31-E87EBB2BDB56}"/>
    <cellStyle name="Millares 16 6" xfId="1425" xr:uid="{7B990FCE-BB61-4B3A-A642-70FD3E99D401}"/>
    <cellStyle name="Millares 16 6 2" xfId="1426" xr:uid="{90C7B2A4-294C-4CDD-94A0-563E87519FE5}"/>
    <cellStyle name="Millares 16 6 3" xfId="1427" xr:uid="{38DDB70A-A30B-41B8-8E3A-B88217E752CD}"/>
    <cellStyle name="Millares 16 7" xfId="1428" xr:uid="{815A8819-CF88-489F-AAD2-F02F5E7BBC3E}"/>
    <cellStyle name="Millares 17" xfId="1429" xr:uid="{55C1925B-42AD-4580-BAD9-29586D1AB36B}"/>
    <cellStyle name="Millares 17 2" xfId="1430" xr:uid="{04AE4C2D-F111-41E9-B0DC-58883D0A5168}"/>
    <cellStyle name="Millares 17 3" xfId="1431" xr:uid="{2F577090-50BA-48FE-BA79-76DC675A66A5}"/>
    <cellStyle name="Millares 17 4" xfId="1432" xr:uid="{2C8AC695-9392-4B0A-A9A8-04D18DF79574}"/>
    <cellStyle name="Millares 17 4 2" xfId="1433" xr:uid="{DD6E6E38-6142-46EC-9E2B-E0C5021B23F6}"/>
    <cellStyle name="Millares 17 5" xfId="1434" xr:uid="{9982AC3C-D0FD-458E-B88F-60D3EE3C638A}"/>
    <cellStyle name="Millares 17 5 2" xfId="1435" xr:uid="{D95D8FA8-B9A5-46C0-980C-76403281E4E8}"/>
    <cellStyle name="Millares 17 5 3" xfId="1436" xr:uid="{CF81B1B9-58B5-468B-87C7-9FD73AB2EF4E}"/>
    <cellStyle name="Millares 17 6" xfId="1437" xr:uid="{A55BCA2B-53C0-483E-88EA-352DA8BBA9D7}"/>
    <cellStyle name="Millares 17 6 2" xfId="1438" xr:uid="{4FF272FF-979A-457D-80CD-66ADFDF02045}"/>
    <cellStyle name="Millares 17 6 3" xfId="1439" xr:uid="{74B45AC6-DF41-49FE-A63D-DAE59ED3C27C}"/>
    <cellStyle name="Millares 17 7" xfId="1440" xr:uid="{B1867D44-F39C-4B53-A9E1-341A38FD6E04}"/>
    <cellStyle name="Millares 18" xfId="1441" xr:uid="{62B44F1C-0D5C-4E77-8705-A9AC45518FB4}"/>
    <cellStyle name="Millares 18 2" xfId="1442" xr:uid="{FCFB75F1-0304-47C1-945C-02A061B5A4B7}"/>
    <cellStyle name="Millares 19" xfId="1443" xr:uid="{1ED48804-3D7A-4979-B7B6-695007BED1AE}"/>
    <cellStyle name="Millares 19 2" xfId="1444" xr:uid="{F0EFC25C-8DD1-4CE0-9165-88C64C4F240E}"/>
    <cellStyle name="Millares 2" xfId="1445" xr:uid="{54643474-2EBB-4720-A879-D92663F7799F}"/>
    <cellStyle name="Millares 2 2" xfId="1446" xr:uid="{EDA917A1-3D26-4346-B1E9-AA2DAAB3366E}"/>
    <cellStyle name="Millares 2 2 2" xfId="1447" xr:uid="{C7983444-7902-4665-B337-B01D74338E3B}"/>
    <cellStyle name="Millares 2 2 2 2" xfId="1448" xr:uid="{FCD83B07-88F6-46DD-9BD8-9AF4559AB28C}"/>
    <cellStyle name="Millares 2 2 3" xfId="1449" xr:uid="{D3C7EA0A-93D7-4D6A-8B91-29F2F67395DF}"/>
    <cellStyle name="Millares 2 3" xfId="1450" xr:uid="{11781031-7EC0-499C-9CD3-6EF9DA8B3C64}"/>
    <cellStyle name="Millares 2 3 2" xfId="1451" xr:uid="{62B255C4-6995-43E8-8E5A-A0390B8C6201}"/>
    <cellStyle name="Millares 2 4" xfId="1452" xr:uid="{5A654753-D148-45D5-A1C9-3789B3129ECE}"/>
    <cellStyle name="Millares 2 4 2" xfId="1453" xr:uid="{6FC0605A-2126-4E2E-953E-01843D9A94E7}"/>
    <cellStyle name="Millares 2 5" xfId="1454" xr:uid="{38ED8EE5-D0EE-4780-88B5-9EB292CAE662}"/>
    <cellStyle name="Millares 2 6" xfId="1455" xr:uid="{59B33B42-04DD-43A7-82DA-75F427B0C791}"/>
    <cellStyle name="Millares 2_Cap 3 Transacciones v27042009" xfId="1456" xr:uid="{2688650D-0F3A-41E3-BFD0-A24F4C9B58F0}"/>
    <cellStyle name="Millares 20" xfId="1457" xr:uid="{2A762D66-FBB4-44DB-99D9-3293FE30B0FE}"/>
    <cellStyle name="Millares 20 2" xfId="1458" xr:uid="{882D35E2-C0AB-4B3F-8E1B-3A25F5880198}"/>
    <cellStyle name="Millares 21" xfId="1459" xr:uid="{1A396A2E-7E11-411E-9260-017ACB9FDA5C}"/>
    <cellStyle name="Millares 21 2" xfId="1460" xr:uid="{4602ED5C-0096-49BF-991C-631EA0EEDC5F}"/>
    <cellStyle name="Millares 22" xfId="1461" xr:uid="{16797636-C34A-4C4F-8DCD-4BEA0C3BDD5D}"/>
    <cellStyle name="Millares 22 2" xfId="1462" xr:uid="{FCF5AEDE-AFE9-47A6-8B34-0D9CF00F53DE}"/>
    <cellStyle name="Millares 22 3" xfId="1463" xr:uid="{D586D9F2-E6F1-4571-8207-D9267B88A420}"/>
    <cellStyle name="Millares 22 4" xfId="1464" xr:uid="{6AFE207A-B6FD-4529-9DCB-978CF98DB5BC}"/>
    <cellStyle name="Millares 22 4 2" xfId="1465" xr:uid="{8D053297-4F2C-4347-8A2D-F6D419022C76}"/>
    <cellStyle name="Millares 22 5" xfId="1466" xr:uid="{C26115FF-742C-436B-A59B-DAC7429FC114}"/>
    <cellStyle name="Millares 22 5 2" xfId="1467" xr:uid="{3B78EC12-71D6-49E6-A79C-C259DCA7C6B4}"/>
    <cellStyle name="Millares 22 5 3" xfId="1468" xr:uid="{FF515B61-77F5-476B-917B-3C35E6BB3AEE}"/>
    <cellStyle name="Millares 22 6" xfId="1469" xr:uid="{5DE283DF-CF66-4652-8FB1-44246673F253}"/>
    <cellStyle name="Millares 22 6 2" xfId="1470" xr:uid="{5F134039-9478-4342-BA72-4FEC6A3300FE}"/>
    <cellStyle name="Millares 22 6 3" xfId="1471" xr:uid="{CA9DCBE8-2FEC-43F9-BA97-876C5228361C}"/>
    <cellStyle name="Millares 22 7" xfId="1472" xr:uid="{0BEDDCE8-99A6-4FA5-9158-D8449C2F2658}"/>
    <cellStyle name="Millares 23" xfId="1473" xr:uid="{9948FA29-2B88-455B-8F5E-6C33A54FF8DE}"/>
    <cellStyle name="Millares 24" xfId="1474" xr:uid="{1D0D36AE-E0AF-40B2-9E6B-1FDD6DB3A869}"/>
    <cellStyle name="Millares 25" xfId="1475" xr:uid="{F7071527-CF0C-45CE-B09A-13EA25A830CB}"/>
    <cellStyle name="Millares 26" xfId="1476" xr:uid="{4A3AEE5F-F48A-4124-929E-CFEE23CD916A}"/>
    <cellStyle name="Millares 27" xfId="1477" xr:uid="{9967F966-E856-4B3D-874F-EA6AE9036DE5}"/>
    <cellStyle name="Millares 28" xfId="1478" xr:uid="{909C0B7E-3937-4FF2-8419-04B022568919}"/>
    <cellStyle name="Millares 29" xfId="1479" xr:uid="{44769A07-AAAB-4A53-9668-0A66EE454FA5}"/>
    <cellStyle name="Millares 3" xfId="1480" xr:uid="{4D03F3FB-AA6A-4056-969B-5B44C7466014}"/>
    <cellStyle name="Millares 3 10" xfId="1481" xr:uid="{00128BE7-5653-4C33-B7F5-570661B7173F}"/>
    <cellStyle name="Millares 3 11" xfId="1482" xr:uid="{9D11E94B-D4F9-41EE-9411-0E5B596CCC05}"/>
    <cellStyle name="Millares 3 12" xfId="1483" xr:uid="{C8065E37-CFEC-4E38-8C10-A80B79E6D0C9}"/>
    <cellStyle name="Millares 3 13" xfId="1484" xr:uid="{38FF4088-7331-4A7F-B80F-86B4310A799E}"/>
    <cellStyle name="Millares 3 2" xfId="1485" xr:uid="{8B614AFC-DA9B-454A-BCCD-5C8E07255479}"/>
    <cellStyle name="Millares 3 2 2" xfId="1486" xr:uid="{F3DFF828-1FBE-4E23-9AA5-0862A0F6E42B}"/>
    <cellStyle name="Millares 3 3" xfId="1487" xr:uid="{521B639B-64E2-42F6-B212-1F01AE24B63F}"/>
    <cellStyle name="Millares 3 3 2" xfId="1488" xr:uid="{040DBF1D-3287-4245-BC4C-4E02AD73B44D}"/>
    <cellStyle name="Millares 3 3 2 2" xfId="1489" xr:uid="{26CECB72-F184-4C14-A789-D6354F709CDA}"/>
    <cellStyle name="Millares 3 3 2 3" xfId="1490" xr:uid="{5124E508-812F-4950-87B7-E6329ED4D483}"/>
    <cellStyle name="Millares 3 3 2 3 2" xfId="1491" xr:uid="{6660B833-1369-4AFB-850B-125A5A0BF9A9}"/>
    <cellStyle name="Millares 3 3 2 4" xfId="1492" xr:uid="{EC28CA22-F2DE-4E19-AB4E-416EFFD4B54E}"/>
    <cellStyle name="Millares 3 3 2 4 2" xfId="1493" xr:uid="{8ACC8DD5-98CA-46BF-A913-F538CE71EFFA}"/>
    <cellStyle name="Millares 3 3 2 4 3" xfId="1494" xr:uid="{A2F643F5-DA8D-4349-BB38-CAAD5351CADE}"/>
    <cellStyle name="Millares 3 3 2 5" xfId="1495" xr:uid="{93D73DDC-58F9-4F14-9C56-27051772991B}"/>
    <cellStyle name="Millares 3 3 2 5 2" xfId="1496" xr:uid="{8EB2CFA0-9058-40DF-8AB4-149EFD67FAF9}"/>
    <cellStyle name="Millares 3 3 2 5 3" xfId="1497" xr:uid="{9763348B-063C-40DC-B538-42CD05582CDB}"/>
    <cellStyle name="Millares 3 3 2 6" xfId="1498" xr:uid="{E993EF80-BA1E-4892-9CBC-6FB846127CCB}"/>
    <cellStyle name="Millares 3 3 2 7" xfId="1499" xr:uid="{C613BABC-6AB6-425E-BCE4-60A40B3C4CF8}"/>
    <cellStyle name="Millares 3 3 2 8" xfId="1500" xr:uid="{9B6A4C30-6224-4923-A98C-CFE94C11E46A}"/>
    <cellStyle name="Millares 3 3 3" xfId="1501" xr:uid="{DE6246B9-99D4-49A9-90C3-41D4312EB6A7}"/>
    <cellStyle name="Millares 3 3 4" xfId="1502" xr:uid="{60F1B9EE-EAFA-4A3A-81A2-7A516D9FB5B2}"/>
    <cellStyle name="Millares 3 3 4 2" xfId="1503" xr:uid="{BB047BCC-BB15-4066-BF5A-1A35BDE5781B}"/>
    <cellStyle name="Millares 3 3 5" xfId="1504" xr:uid="{A3978DA8-4F7F-4459-B54C-2F8886C32AD6}"/>
    <cellStyle name="Millares 3 3 5 2" xfId="1505" xr:uid="{02488F94-EFD0-4164-B2AA-A1349DBBB85E}"/>
    <cellStyle name="Millares 3 3 5 3" xfId="1506" xr:uid="{1C153ABC-5704-4855-8DFF-70D553EB60D3}"/>
    <cellStyle name="Millares 3 3 6" xfId="1507" xr:uid="{8FE36064-DD7A-42E5-B96E-0038E586C16F}"/>
    <cellStyle name="Millares 3 3 6 2" xfId="1508" xr:uid="{D1F204AF-E096-492B-BD4C-CF6CAF387B8C}"/>
    <cellStyle name="Millares 3 3 6 3" xfId="1509" xr:uid="{BF9374B3-6853-4DEC-A505-6D846A390483}"/>
    <cellStyle name="Millares 3 3 7" xfId="1510" xr:uid="{1FB5F7D0-62EF-45A7-B191-E699572BB094}"/>
    <cellStyle name="Millares 3 3 8" xfId="1511" xr:uid="{FF2C768E-CA1C-45E3-933D-EF98AAC407DC}"/>
    <cellStyle name="Millares 3 3 9" xfId="1512" xr:uid="{F9419849-0F03-4DFD-9824-3AB83E62D268}"/>
    <cellStyle name="Millares 3 4" xfId="1513" xr:uid="{F9EDB776-8D77-406F-B257-5FE9408575FC}"/>
    <cellStyle name="Millares 3 4 2" xfId="1514" xr:uid="{007304FE-8B59-4004-BBCF-3D27C1A96B2C}"/>
    <cellStyle name="Millares 3 4 2 2" xfId="1515" xr:uid="{99A49E87-34FC-4CEC-AA60-BF2D9D7AABFB}"/>
    <cellStyle name="Millares 3 4 2 3" xfId="1516" xr:uid="{C4115C01-C914-4CE2-BC60-A4AF4729FB73}"/>
    <cellStyle name="Millares 3 4 2 3 2" xfId="1517" xr:uid="{5806E473-798A-4861-9706-21A96BAF5C95}"/>
    <cellStyle name="Millares 3 4 2 4" xfId="1518" xr:uid="{7BD2130A-2791-49C2-B4DA-805E03F3339D}"/>
    <cellStyle name="Millares 3 4 2 4 2" xfId="1519" xr:uid="{2D054C11-FB7A-4C39-BD22-F9B694F36698}"/>
    <cellStyle name="Millares 3 4 2 4 3" xfId="1520" xr:uid="{A7ABFB25-28E3-4E80-B810-5D9100355087}"/>
    <cellStyle name="Millares 3 4 2 5" xfId="1521" xr:uid="{C4B0010C-0099-4447-9AB4-047850FB93B5}"/>
    <cellStyle name="Millares 3 4 2 5 2" xfId="1522" xr:uid="{72FBFA46-65D6-4156-8A6B-83F784A91313}"/>
    <cellStyle name="Millares 3 4 2 5 3" xfId="1523" xr:uid="{A2699C65-5F13-4BDD-B507-E576F8486403}"/>
    <cellStyle name="Millares 3 4 2 6" xfId="1524" xr:uid="{1C5C22B6-D5AC-4373-9CFC-9425D610AAA7}"/>
    <cellStyle name="Millares 3 4 2 7" xfId="1525" xr:uid="{2096AC3A-AC03-4B82-980F-3D1C4A463B09}"/>
    <cellStyle name="Millares 3 4 2 8" xfId="1526" xr:uid="{EC54B1BC-F7EC-45BC-AD8D-746877E57702}"/>
    <cellStyle name="Millares 3 4 3" xfId="1527" xr:uid="{3252119A-2897-40D0-9B4A-B1F1A095AC47}"/>
    <cellStyle name="Millares 3 4 4" xfId="1528" xr:uid="{84DE0316-DB60-4FE3-B089-DC9437F3E9F6}"/>
    <cellStyle name="Millares 3 4 4 2" xfId="1529" xr:uid="{C7C2FDA6-CA60-48C0-A9A9-5867FB253052}"/>
    <cellStyle name="Millares 3 4 5" xfId="1530" xr:uid="{BB3A1AFC-6CC6-40BC-8E3B-9373D2BD9E41}"/>
    <cellStyle name="Millares 3 4 5 2" xfId="1531" xr:uid="{84B14C7E-A8DF-4FF6-832E-DB10703A7C29}"/>
    <cellStyle name="Millares 3 4 5 3" xfId="1532" xr:uid="{D0A5194C-FD2F-42F3-9B66-63800998F5D6}"/>
    <cellStyle name="Millares 3 4 6" xfId="1533" xr:uid="{72129748-9884-4FC9-8AA0-8DE656206269}"/>
    <cellStyle name="Millares 3 4 6 2" xfId="1534" xr:uid="{7A7941A9-0A54-449F-AE93-626F9E5DDC61}"/>
    <cellStyle name="Millares 3 4 6 3" xfId="1535" xr:uid="{EF488113-A5AE-4987-98EA-6454885D052C}"/>
    <cellStyle name="Millares 3 4 7" xfId="1536" xr:uid="{C33E1583-F2E4-4141-B092-4B3295B4014D}"/>
    <cellStyle name="Millares 3 4 8" xfId="1537" xr:uid="{B311A27A-834B-409B-90BB-49F543A53A11}"/>
    <cellStyle name="Millares 3 4 9" xfId="1538" xr:uid="{DFA3F00A-54F4-46F2-8B1F-890C41854122}"/>
    <cellStyle name="Millares 3 5" xfId="1539" xr:uid="{316802DF-6D99-468A-8884-6BB3C9D45BC0}"/>
    <cellStyle name="Millares 3 5 2" xfId="1540" xr:uid="{BBBA10E9-7F9D-4EB8-AA8B-D5F2078697C3}"/>
    <cellStyle name="Millares 3 5 3" xfId="1541" xr:uid="{DA5FE2ED-F94F-48C7-B309-D2EE5E8A385E}"/>
    <cellStyle name="Millares 3 5 3 2" xfId="1542" xr:uid="{F8DCF6F4-03AB-4749-83FA-C18AFD261488}"/>
    <cellStyle name="Millares 3 5 4" xfId="1543" xr:uid="{F74BCDC3-659F-484B-87EF-DBEC2E08CC31}"/>
    <cellStyle name="Millares 3 5 4 2" xfId="1544" xr:uid="{B4E64636-4085-47C6-BAA3-818A1B80B2D1}"/>
    <cellStyle name="Millares 3 5 4 3" xfId="1545" xr:uid="{5ABA8DBF-3423-467E-969A-00045E0108CE}"/>
    <cellStyle name="Millares 3 5 5" xfId="1546" xr:uid="{7449F11F-907A-442D-A017-431B9605FB17}"/>
    <cellStyle name="Millares 3 5 5 2" xfId="1547" xr:uid="{53CC2BA0-5066-4673-9339-604018D62D80}"/>
    <cellStyle name="Millares 3 5 5 3" xfId="1548" xr:uid="{4EF9645E-A472-4B7F-BBE3-CE3E1AD5C34C}"/>
    <cellStyle name="Millares 3 5 6" xfId="1549" xr:uid="{05DDB52D-57D9-4889-909B-939A12C9C25E}"/>
    <cellStyle name="Millares 3 5 7" xfId="1550" xr:uid="{0465949F-BE4C-440A-920E-B4A796BF41C9}"/>
    <cellStyle name="Millares 3 5 8" xfId="1551" xr:uid="{06D84F1F-8E84-4FD0-82CF-FD35BC4ED9BC}"/>
    <cellStyle name="Millares 3 6" xfId="1552" xr:uid="{DD8447E3-2094-4B8E-A79E-3CFE49221C2F}"/>
    <cellStyle name="Millares 3 7" xfId="1553" xr:uid="{DBF5672C-87DF-4B79-8A60-2769D6014559}"/>
    <cellStyle name="Millares 3 7 2" xfId="1554" xr:uid="{DAE043E5-AA8F-4CB1-B91D-DF3616AF79DA}"/>
    <cellStyle name="Millares 3 7 3" xfId="1555" xr:uid="{EE2FA235-E27E-4AE3-B1B0-5236EFF340A3}"/>
    <cellStyle name="Millares 3 7 3 2" xfId="1556" xr:uid="{D8C78970-FB86-4527-B06B-BEDE0CA0A097}"/>
    <cellStyle name="Millares 3 7 4" xfId="1557" xr:uid="{2FE7C864-EDF7-488E-B79C-EC7DD58AAE2C}"/>
    <cellStyle name="Millares 3 7 4 2" xfId="1558" xr:uid="{5690FF79-5C34-426D-BE5D-BA7D2DFD4F8C}"/>
    <cellStyle name="Millares 3 7 4 3" xfId="1559" xr:uid="{195B8360-3424-462F-B87A-D0FEC20C0BDE}"/>
    <cellStyle name="Millares 3 7 5" xfId="1560" xr:uid="{B5957A9E-51C5-445F-8070-B33923ED55ED}"/>
    <cellStyle name="Millares 3 7 5 2" xfId="1561" xr:uid="{16B4871E-E09C-495F-AA78-0ACB4E5A940E}"/>
    <cellStyle name="Millares 3 7 5 3" xfId="1562" xr:uid="{138A8C12-4980-4100-A9B1-05B8FD4ABAFA}"/>
    <cellStyle name="Millares 3 7 6" xfId="1563" xr:uid="{17424E18-B56F-47E5-BD98-442D9E7F4827}"/>
    <cellStyle name="Millares 3 8" xfId="1564" xr:uid="{B71DF683-929B-48BA-A79F-A34843ECAC7F}"/>
    <cellStyle name="Millares 3 9" xfId="1565" xr:uid="{3E7C219B-FAFF-4D3A-880A-D7E3DC336BE6}"/>
    <cellStyle name="Millares 30" xfId="1566" xr:uid="{34486ABC-3A1F-4E2A-903F-97515F43A4F4}"/>
    <cellStyle name="Millares 31" xfId="1567" xr:uid="{7CB78410-5FC3-4C5B-B6EF-9F6E7534AB98}"/>
    <cellStyle name="Millares 32" xfId="1568" xr:uid="{66DEB894-10E1-4A74-A57D-3130FD563D6C}"/>
    <cellStyle name="Millares 33" xfId="1569" xr:uid="{AC6D074A-5301-4930-83B2-2804AFF15DFF}"/>
    <cellStyle name="Millares 34" xfId="1570" xr:uid="{1DFC74D6-CC62-44DD-B03F-F1145F9AE0B7}"/>
    <cellStyle name="Millares 35" xfId="1571" xr:uid="{6CECB91A-6163-473C-A013-E5A2414C0AC5}"/>
    <cellStyle name="Millares 36" xfId="1572" xr:uid="{647EBEA1-1246-4F7C-9A99-1A6BD8401B1F}"/>
    <cellStyle name="Millares 37" xfId="1573" xr:uid="{996B6DA2-D8F9-47FC-B89C-55BC2BA37E2C}"/>
    <cellStyle name="Millares 38" xfId="1574" xr:uid="{B5CF9DEA-D6F2-4B2F-9B03-672691D66842}"/>
    <cellStyle name="Millares 39" xfId="1575" xr:uid="{0DA65C91-79A5-475D-9490-D899102C5607}"/>
    <cellStyle name="Millares 39 2" xfId="1576" xr:uid="{4EE10042-D70B-4462-A61A-149DB4881DF0}"/>
    <cellStyle name="Millares 39 2 2" xfId="1577" xr:uid="{453DF185-9138-4D01-B6F5-0E4DD9C414C0}"/>
    <cellStyle name="Millares 39 2 3" xfId="1578" xr:uid="{F8AC6593-15E9-4FCA-AE7E-D4DE63492F60}"/>
    <cellStyle name="Millares 39 2 3 2" xfId="1579" xr:uid="{52449093-A0E8-4506-96FD-0A3B3BC417AC}"/>
    <cellStyle name="Millares 39 2 4" xfId="1580" xr:uid="{79AE57E5-8A65-4D13-94A5-77F7946542D0}"/>
    <cellStyle name="Millares 39 2 4 2" xfId="1581" xr:uid="{AF4868EE-33B2-4E13-87C7-F6A82B72BF45}"/>
    <cellStyle name="Millares 39 2 4 3" xfId="1582" xr:uid="{725A1E69-940A-48BB-935F-B6BDB595ECBB}"/>
    <cellStyle name="Millares 39 2 5" xfId="1583" xr:uid="{5B90B26E-3804-4C1E-B763-BA3BC03746FA}"/>
    <cellStyle name="Millares 39 2 5 2" xfId="1584" xr:uid="{C83864BA-3770-459C-B0B1-638D1FBA1A53}"/>
    <cellStyle name="Millares 39 2 5 3" xfId="1585" xr:uid="{2FF8B74F-F609-4194-84BB-EBDF7F8E8719}"/>
    <cellStyle name="Millares 39 2 6" xfId="1586" xr:uid="{46C347C4-AB5A-447C-9CDE-42E1E4905DB3}"/>
    <cellStyle name="Millares 39 2 7" xfId="1587" xr:uid="{3C0AD2FA-B277-42D7-BAF3-EA7A011C91EA}"/>
    <cellStyle name="Millares 39 2 8" xfId="1588" xr:uid="{035C102A-38CF-407E-A720-600118FBC2A7}"/>
    <cellStyle name="Millares 39 3" xfId="1589" xr:uid="{09387C1B-547D-4984-AB09-A390B69D21CC}"/>
    <cellStyle name="Millares 39 4" xfId="1590" xr:uid="{8B159343-15AB-4798-BB2D-268724062BDB}"/>
    <cellStyle name="Millares 39 4 2" xfId="1591" xr:uid="{A126E819-1527-455D-B6BB-C9AE4A9A6FA1}"/>
    <cellStyle name="Millares 39 5" xfId="1592" xr:uid="{C1930CC9-590E-4C91-8B4C-5334423C6DE7}"/>
    <cellStyle name="Millares 39 5 2" xfId="1593" xr:uid="{12DE3769-E50E-4B6C-B5F1-D8FFA6A38E36}"/>
    <cellStyle name="Millares 39 5 3" xfId="1594" xr:uid="{E90BC4AF-18EB-4162-B314-32EBED8B6B19}"/>
    <cellStyle name="Millares 39 6" xfId="1595" xr:uid="{3CE4623A-C208-45F5-ABD4-ED2D243B91E4}"/>
    <cellStyle name="Millares 39 6 2" xfId="1596" xr:uid="{D47498EE-EE23-4265-9FD9-EF576505AA58}"/>
    <cellStyle name="Millares 39 6 3" xfId="1597" xr:uid="{F6AADB22-5488-442E-BA3D-32B1D07B9057}"/>
    <cellStyle name="Millares 39 7" xfId="1598" xr:uid="{01AC4CFA-6A4B-4EA6-92F5-6FCD1B8FA087}"/>
    <cellStyle name="Millares 39 8" xfId="1599" xr:uid="{5C50FC8E-3A53-4022-A7C3-3062FFF6A33A}"/>
    <cellStyle name="Millares 39 9" xfId="1600" xr:uid="{4EF4C6D0-8714-4611-A3FF-14AF44738A5E}"/>
    <cellStyle name="Millares 4" xfId="1601" xr:uid="{AAF3CC75-CEC4-4682-89FA-A4607AD63C9A}"/>
    <cellStyle name="Millares 4 2" xfId="1602" xr:uid="{920AA470-AF40-4CBA-92FA-13B5FB4EDD4D}"/>
    <cellStyle name="Millares 4 3" xfId="1603" xr:uid="{3CFA6E15-C17F-4246-A34A-DF6DC80F9C62}"/>
    <cellStyle name="Millares 4 4" xfId="1604" xr:uid="{D4DBBCB0-E4BD-43D4-9970-B1AE379F9545}"/>
    <cellStyle name="Millares 40" xfId="1605" xr:uid="{EAC0BDD5-5F54-4FD7-A7C5-8A2DD4A22289}"/>
    <cellStyle name="Millares 41" xfId="1606" xr:uid="{FECE6749-1096-4C94-ACF7-6D839E7F4E94}"/>
    <cellStyle name="Millares 42" xfId="1607" xr:uid="{DBD56C4F-B80E-4E1D-A062-B79D647E8B8C}"/>
    <cellStyle name="Millares 42 2" xfId="1608" xr:uid="{87509F42-5279-4E03-B9D7-BBAED948823C}"/>
    <cellStyle name="Millares 42 3" xfId="1609" xr:uid="{01315131-2105-4534-86A9-E2D0954556C8}"/>
    <cellStyle name="Millares 43" xfId="1610" xr:uid="{058E9CFD-309E-4841-A79D-5A77515793D9}"/>
    <cellStyle name="Millares 43 2" xfId="1611" xr:uid="{19E89880-6B51-4927-95B2-72E3E8C0E021}"/>
    <cellStyle name="Millares 43 3" xfId="1612" xr:uid="{783F5BDE-66C9-4455-AA64-B4248D65C4BF}"/>
    <cellStyle name="Millares 44" xfId="1613" xr:uid="{FF05B5D4-749A-446A-A9D8-AEDEAE0060B8}"/>
    <cellStyle name="Millares 44 2" xfId="1614" xr:uid="{61879465-1EF8-4082-9ECF-47BABC4CBBB0}"/>
    <cellStyle name="Millares 44 3" xfId="1615" xr:uid="{552BC01B-8BF7-46C0-A6DE-0A57BD3C317C}"/>
    <cellStyle name="Millares 45" xfId="1616" xr:uid="{1C57CC0B-06FB-4C9D-8480-02F511150669}"/>
    <cellStyle name="Millares 45 2" xfId="1617" xr:uid="{811D3873-2478-450B-8249-67A9D110DF81}"/>
    <cellStyle name="Millares 45 3" xfId="1618" xr:uid="{3BF92481-EBD2-47F3-B4EC-268D6EA3DE9D}"/>
    <cellStyle name="Millares 46" xfId="1619" xr:uid="{D33FBA04-970C-4A69-8AB5-1E852EF2BC4E}"/>
    <cellStyle name="Millares 46 2" xfId="1620" xr:uid="{F6F6FCE6-1506-4F44-A8A3-66C53625F90F}"/>
    <cellStyle name="Millares 46 3" xfId="1621" xr:uid="{9D2DBCAC-FC79-4018-986F-7CED4AA3B8C1}"/>
    <cellStyle name="Millares 47" xfId="1622" xr:uid="{0E897464-03B8-4B3F-ADF8-70BEB30CE2BB}"/>
    <cellStyle name="Millares 47 2" xfId="1623" xr:uid="{C48F1CD7-947B-4AFE-8A39-A91DBDB2B785}"/>
    <cellStyle name="Millares 47 3" xfId="1624" xr:uid="{CFDA7725-5953-47DE-9CDE-27DBFBFDBEFC}"/>
    <cellStyle name="Millares 48" xfId="1625" xr:uid="{18B5022E-4343-4E43-8860-45948A5FB0DB}"/>
    <cellStyle name="Millares 48 2" xfId="1626" xr:uid="{B58AC618-1B2E-4819-8324-321309B98DC6}"/>
    <cellStyle name="Millares 48 3" xfId="1627" xr:uid="{A16C811C-8D96-4729-BB09-2CF06BC32DA7}"/>
    <cellStyle name="Millares 48 4" xfId="1628" xr:uid="{4397589C-3E3E-483D-B56A-AD09872F5EC7}"/>
    <cellStyle name="Millares 48 5" xfId="1629" xr:uid="{2B77D1B8-4BE0-434B-90EF-35DE43CA00AB}"/>
    <cellStyle name="Millares 49" xfId="1630" xr:uid="{E1E25909-7C10-49D5-8917-BDA19C455A05}"/>
    <cellStyle name="Millares 49 2" xfId="1631" xr:uid="{ECE86FDF-AB45-4587-80AA-21B4D5547205}"/>
    <cellStyle name="Millares 49 3" xfId="1632" xr:uid="{E5E17593-985C-40BD-A6BC-21AFC27EEC27}"/>
    <cellStyle name="Millares 5" xfId="1633" xr:uid="{55C14373-0BA4-4284-958F-E336AE4F3DFF}"/>
    <cellStyle name="Millares 5 2" xfId="1634" xr:uid="{B069EA33-F033-4FB0-B59F-1DB7A879716D}"/>
    <cellStyle name="Millares 5 2 2" xfId="1635" xr:uid="{11A718EE-5E26-40E4-98F8-307A2E2E07C4}"/>
    <cellStyle name="Millares 5 3" xfId="1636" xr:uid="{00C0AC70-3D77-4239-BC4B-98D81C3FAC05}"/>
    <cellStyle name="Millares 50" xfId="1637" xr:uid="{4F3BB6F6-0E91-4FC4-97B5-E8351C1EF1A2}"/>
    <cellStyle name="Millares 50 2" xfId="1638" xr:uid="{63FCFA70-4BA4-4F83-8210-742254D939DC}"/>
    <cellStyle name="Millares 50 3" xfId="1639" xr:uid="{0E56AD2B-EA32-4E3C-8B6A-B667047E18EE}"/>
    <cellStyle name="Millares 51" xfId="1640" xr:uid="{90E9B751-6771-4C5C-A13E-3DEEE475B223}"/>
    <cellStyle name="Millares 51 2" xfId="1641" xr:uid="{0FC3C159-91D2-4009-B49D-C8B5E75CEA95}"/>
    <cellStyle name="Millares 51 3" xfId="1642" xr:uid="{0DD1A652-D9C4-4433-9571-1AB6CDE348EF}"/>
    <cellStyle name="Millares 52" xfId="1643" xr:uid="{483AE55A-3D9B-42FF-BBE2-45DB51D4F83A}"/>
    <cellStyle name="Millares 52 2" xfId="1644" xr:uid="{AF1FF9A1-0C51-4290-830B-D0DA626C4B7C}"/>
    <cellStyle name="Millares 52 3" xfId="1645" xr:uid="{6253834C-6AE8-481F-9020-E71CA2619069}"/>
    <cellStyle name="Millares 53" xfId="1646" xr:uid="{94C06255-A0DF-47F5-9B45-97EB3EEBEE5C}"/>
    <cellStyle name="Millares 53 2" xfId="1647" xr:uid="{D818449B-D9C4-499F-AF15-9030CCFA0E69}"/>
    <cellStyle name="Millares 53 3" xfId="1648" xr:uid="{5838168E-66CB-4D24-975B-05222EB1F6DC}"/>
    <cellStyle name="Millares 54" xfId="1649" xr:uid="{54F4D0D0-405C-4668-8085-F8F494BC2540}"/>
    <cellStyle name="Millares 55" xfId="1650" xr:uid="{98D83A02-A3E6-4232-8AC1-9063B7AD0EFD}"/>
    <cellStyle name="Millares 56" xfId="1651" xr:uid="{EF344335-ADA9-4C62-BA70-CEC38E227070}"/>
    <cellStyle name="Millares 57" xfId="1652" xr:uid="{1C858654-489A-46B8-AC24-C0003AA49C5D}"/>
    <cellStyle name="Millares 58" xfId="1653" xr:uid="{41FBCE1C-9E27-49C4-928E-8EC79189CDB7}"/>
    <cellStyle name="Millares 59" xfId="1654" xr:uid="{C4067D31-A2FC-47EF-8AC7-6856ECB83CFA}"/>
    <cellStyle name="Millares 6" xfId="1655" xr:uid="{A9F48016-49F8-4E64-8E5E-3A1561E729A5}"/>
    <cellStyle name="Millares 6 2" xfId="1656" xr:uid="{52418B88-FA0A-4C97-BA2E-92ED0BB9554B}"/>
    <cellStyle name="Millares 6 2 2" xfId="1657" xr:uid="{45E5E272-D1E1-42B5-99AC-6797096811B3}"/>
    <cellStyle name="Millares 6 2 3" xfId="1658" xr:uid="{945C154D-9165-48D5-A22C-6831708F25FB}"/>
    <cellStyle name="Millares 6 2 3 2" xfId="1659" xr:uid="{C22E8432-7E82-4E7C-96C7-C097A8C029BB}"/>
    <cellStyle name="Millares 6 2 4" xfId="1660" xr:uid="{65539B3F-007D-481A-AC9C-E768830ED3E5}"/>
    <cellStyle name="Millares 6 2 4 2" xfId="1661" xr:uid="{23102F66-4D19-4F95-B7E8-C8666A1D91FE}"/>
    <cellStyle name="Millares 6 2 4 3" xfId="1662" xr:uid="{4E0052FD-FFE7-4270-8714-2C5A5B7C0EF0}"/>
    <cellStyle name="Millares 6 2 5" xfId="1663" xr:uid="{C1FC18BA-D6E0-4134-91A4-A173F80E03BF}"/>
    <cellStyle name="Millares 6 2 5 2" xfId="1664" xr:uid="{86221B97-92AB-43EB-8665-292661C5189A}"/>
    <cellStyle name="Millares 6 2 5 3" xfId="1665" xr:uid="{9E55F84D-9EF2-4E09-8A8B-1A2A1771A818}"/>
    <cellStyle name="Millares 6 2 6" xfId="1666" xr:uid="{72FBEB73-1A7E-4EC1-8867-A5F8608C05D3}"/>
    <cellStyle name="Millares 6 2 7" xfId="1667" xr:uid="{C13F38D0-4399-40EA-878E-1968FCFD968C}"/>
    <cellStyle name="Millares 6 2 8" xfId="1668" xr:uid="{FB3D7BDA-BCC6-4164-AA60-C5DD76945FF6}"/>
    <cellStyle name="Millares 6 3" xfId="1669" xr:uid="{C5B3B59F-358D-4EC0-A51B-05C757C8AB8D}"/>
    <cellStyle name="Millares 6 3 2" xfId="1670" xr:uid="{8918AAD9-06A7-48DD-9FD6-10EF2E93A711}"/>
    <cellStyle name="Millares 6 3 3" xfId="1671" xr:uid="{4350E858-A9D0-4145-A6CF-17A6DBBE0274}"/>
    <cellStyle name="Millares 6 3 3 2" xfId="1672" xr:uid="{24764904-AAFA-4FE1-A356-1E8342978E5F}"/>
    <cellStyle name="Millares 6 3 4" xfId="1673" xr:uid="{345AA82E-7D2B-44BA-9539-515F2D0DCBC1}"/>
    <cellStyle name="Millares 6 3 4 2" xfId="1674" xr:uid="{AC0806E4-8EFF-4D87-A814-C9376CED287D}"/>
    <cellStyle name="Millares 6 3 4 3" xfId="1675" xr:uid="{8173F429-8569-41AF-8DBB-5D4A93BEE44F}"/>
    <cellStyle name="Millares 6 3 5" xfId="1676" xr:uid="{473DCCAE-8514-4686-984A-911235531C8E}"/>
    <cellStyle name="Millares 6 3 5 2" xfId="1677" xr:uid="{23136BBE-1E13-4A5B-BD79-BCE89D1F8658}"/>
    <cellStyle name="Millares 6 3 5 3" xfId="1678" xr:uid="{79AEB125-ECAD-4235-985A-9B64271B15BA}"/>
    <cellStyle name="Millares 6 3 6" xfId="1679" xr:uid="{31112B3A-D620-407C-A583-3551726E2A99}"/>
    <cellStyle name="Millares 6 3 7" xfId="1680" xr:uid="{87191360-E33E-490F-8569-B57F47781B7D}"/>
    <cellStyle name="Millares 6 3 8" xfId="1681" xr:uid="{64ACB240-52C0-4C59-968C-625CA8390D98}"/>
    <cellStyle name="Millares 6 4" xfId="1682" xr:uid="{FB807C92-82D5-41FA-BEF4-FA5661ED9A31}"/>
    <cellStyle name="Millares 60" xfId="1683" xr:uid="{4F276396-B0A5-4CFA-B975-B8B9A4A87AAA}"/>
    <cellStyle name="Millares 61" xfId="1684" xr:uid="{9528304A-DC05-4EC5-A476-18B39EE99E0A}"/>
    <cellStyle name="Millares 62" xfId="1685" xr:uid="{99F4B64C-7F1D-4D05-B734-6652990B47BE}"/>
    <cellStyle name="Millares 63" xfId="1686" xr:uid="{EEE082CF-046C-43AD-ADE8-4E7DF3468882}"/>
    <cellStyle name="Millares 64" xfId="1687" xr:uid="{A3E5EB82-CADA-494E-80A2-E0B23F8B78CE}"/>
    <cellStyle name="Millares 65" xfId="1688" xr:uid="{0809B6CE-B34D-4E27-BC15-0357004CF0F7}"/>
    <cellStyle name="Millares 65 2" xfId="1689" xr:uid="{988744AC-EBB0-4AD9-9424-4DF6403FBDDF}"/>
    <cellStyle name="Millares 66" xfId="1690" xr:uid="{1B5EEDCF-FA0E-4A88-A90C-BABA0229DD7A}"/>
    <cellStyle name="Millares 66 2" xfId="1691" xr:uid="{18C92148-91CB-46B2-904C-FB46D070D470}"/>
    <cellStyle name="Millares 67" xfId="1692" xr:uid="{9E646735-91DE-4973-A01A-E8D016FA30AE}"/>
    <cellStyle name="Millares 67 2" xfId="1693" xr:uid="{2C7B14E0-816A-4275-8099-EFC3AC6978DF}"/>
    <cellStyle name="Millares 68" xfId="1694" xr:uid="{49DCCCFF-857B-471F-80CA-23BC17F298EF}"/>
    <cellStyle name="Millares 68 2" xfId="1695" xr:uid="{00D11851-2B4D-4FA1-8E70-5B1B7031B174}"/>
    <cellStyle name="Millares 69" xfId="1696" xr:uid="{E9A5EE61-3A5A-4D48-8DE4-D8FD0CA0B791}"/>
    <cellStyle name="Millares 69 2" xfId="1697" xr:uid="{53E7D304-39C4-4C66-B925-32DDEA49D9D3}"/>
    <cellStyle name="Millares 7" xfId="1698" xr:uid="{BD24D038-DC99-4038-9D24-48D5963A4FBF}"/>
    <cellStyle name="Millares 7 2" xfId="1699" xr:uid="{774FC41F-061B-4268-BB7D-A97F1EA9E876}"/>
    <cellStyle name="Millares 7 2 2" xfId="1700" xr:uid="{64EEE998-CD0D-4F08-A750-CE0404D48AC2}"/>
    <cellStyle name="Millares 7 2 2 2" xfId="1701" xr:uid="{7228568F-3425-4D69-905B-D7E0A98D391D}"/>
    <cellStyle name="Millares 7 2 2 3" xfId="1702" xr:uid="{D5373810-E852-4520-9364-088523CDA695}"/>
    <cellStyle name="Millares 7 2 2 3 2" xfId="1703" xr:uid="{B7D2ED77-B0E5-46F7-B584-44A82B384394}"/>
    <cellStyle name="Millares 7 2 2 4" xfId="1704" xr:uid="{05557897-4B9B-4E87-B073-FF58BC879D71}"/>
    <cellStyle name="Millares 7 2 2 4 2" xfId="1705" xr:uid="{04901824-EF7A-4F65-B595-1BFF98508F80}"/>
    <cellStyle name="Millares 7 2 2 4 3" xfId="1706" xr:uid="{87282E63-D111-4594-A8B7-CD95332FA7C1}"/>
    <cellStyle name="Millares 7 2 2 5" xfId="1707" xr:uid="{B4734FF1-57FD-4FBE-BF01-C47B6A656CA9}"/>
    <cellStyle name="Millares 7 2 2 5 2" xfId="1708" xr:uid="{D0EE5BE6-E10A-4FAF-BA7C-4649EA83F85A}"/>
    <cellStyle name="Millares 7 2 2 5 3" xfId="1709" xr:uid="{1CFB71F2-0752-4673-AE43-F19416A32D47}"/>
    <cellStyle name="Millares 7 2 2 6" xfId="1710" xr:uid="{CF39BA93-FC02-49E0-AC23-DD22076D5177}"/>
    <cellStyle name="Millares 7 2 3" xfId="1711" xr:uid="{665262F5-CFF7-47E5-A7DD-828137910080}"/>
    <cellStyle name="Millares 7 2 3 2" xfId="1712" xr:uid="{9C972930-D9C5-4833-B32E-90B7C7E44D2A}"/>
    <cellStyle name="Millares 7 2 4" xfId="1713" xr:uid="{53C038EE-BF06-4EA2-BBE4-861383B94FA2}"/>
    <cellStyle name="Millares 7 2 4 2" xfId="1714" xr:uid="{0225CC20-E81A-4C4D-BAB1-55463D0ACDC1}"/>
    <cellStyle name="Millares 7 2 4 3" xfId="1715" xr:uid="{7296B067-C8AB-4EAB-8B15-88B500D2BEEB}"/>
    <cellStyle name="Millares 7 2 5" xfId="1716" xr:uid="{8A585151-A583-40AF-B80F-88FF358E4889}"/>
    <cellStyle name="Millares 7 2 5 2" xfId="1717" xr:uid="{63A92CA7-42EE-41A3-805A-5C513B14BD5D}"/>
    <cellStyle name="Millares 7 2 5 3" xfId="1718" xr:uid="{C5A15626-98A1-49AB-9105-95F0014FB533}"/>
    <cellStyle name="Millares 7 2 5 4" xfId="1719" xr:uid="{FFFE3F8B-9EAE-4B1B-B071-3638907DEF4F}"/>
    <cellStyle name="Millares 7 2 6" xfId="1720" xr:uid="{836183EE-C0DF-4ACA-AD9B-8BB41DA8669A}"/>
    <cellStyle name="Millares 7 2 6 2" xfId="1721" xr:uid="{05504E22-A059-4EA8-8774-1F8E630A3701}"/>
    <cellStyle name="Millares 7 2 6 3" xfId="1722" xr:uid="{FC0D5D10-7AF8-4AFB-9AAF-C79D928ECE3A}"/>
    <cellStyle name="Millares 7 2 6 4" xfId="1723" xr:uid="{A42A33F6-A4DA-45B3-B8A0-AE0FD030F415}"/>
    <cellStyle name="Millares 7 2 7" xfId="1724" xr:uid="{2824069D-6242-4868-A70E-AA919976586E}"/>
    <cellStyle name="Millares 7 2 8" xfId="1725" xr:uid="{E0265A18-4B82-4F30-9685-DBFD1AE1F943}"/>
    <cellStyle name="Millares 7 2 9" xfId="1726" xr:uid="{D3F73DE7-3E2C-46DF-BC5A-48BEC079A666}"/>
    <cellStyle name="Millares 7 3" xfId="1727" xr:uid="{C8F22B7B-86F0-40B3-B8ED-7DBE0DEA1091}"/>
    <cellStyle name="Millares 7 3 2" xfId="1728" xr:uid="{4B2772E0-3446-4989-909D-366FF27606A8}"/>
    <cellStyle name="Millares 7 3 2 2" xfId="1729" xr:uid="{D82BB615-E0B9-4839-9527-709C5981FA68}"/>
    <cellStyle name="Millares 7 3 2 3" xfId="1730" xr:uid="{624BF114-1DAB-493C-8FEE-7AD1198C83DE}"/>
    <cellStyle name="Millares 7 3 2 3 2" xfId="1731" xr:uid="{AB7EF3DF-A918-4E74-AB0D-5FD9134753A5}"/>
    <cellStyle name="Millares 7 3 2 4" xfId="1732" xr:uid="{98B2EAB5-61F0-4FD9-9FFB-4E5940D4FC3C}"/>
    <cellStyle name="Millares 7 3 2 4 2" xfId="1733" xr:uid="{1991F6DB-7862-4A94-967C-C791BB44F64B}"/>
    <cellStyle name="Millares 7 3 2 4 3" xfId="1734" xr:uid="{EB5093E8-0A24-443E-A6A7-E2AD1B69CB32}"/>
    <cellStyle name="Millares 7 3 2 5" xfId="1735" xr:uid="{CAA416FE-276A-4CB9-B73E-2804CADCAD31}"/>
    <cellStyle name="Millares 7 3 2 5 2" xfId="1736" xr:uid="{FB426A45-3883-46CE-89CB-CA581CA73AAF}"/>
    <cellStyle name="Millares 7 3 2 5 3" xfId="1737" xr:uid="{2AB63D6D-4147-44E7-94B7-4E1F33AB1E85}"/>
    <cellStyle name="Millares 7 3 2 6" xfId="1738" xr:uid="{1176DBE4-C1F1-41AB-8591-0215884E110A}"/>
    <cellStyle name="Millares 7 3 3" xfId="1739" xr:uid="{DB74D178-916F-4046-9012-91113B3C04BB}"/>
    <cellStyle name="Millares 7 3 4" xfId="1740" xr:uid="{F80CB61D-AA9C-4021-9B2C-C47E7AA6D93B}"/>
    <cellStyle name="Millares 7 3 5" xfId="1741" xr:uid="{464092A4-5176-49A7-A658-F30D68552C27}"/>
    <cellStyle name="Millares 7 3 6" xfId="1742" xr:uid="{49434636-D202-481A-BAB6-D795DDA3B2FC}"/>
    <cellStyle name="Millares 7 3 7" xfId="1743" xr:uid="{F9D19529-41A5-4AE6-8015-FEAC9061E1F0}"/>
    <cellStyle name="Millares 7 3 8" xfId="1744" xr:uid="{D054169B-02E8-4BF1-9DD2-5EB4488FE08D}"/>
    <cellStyle name="Millares 7 4" xfId="1745" xr:uid="{9438CE45-D1BF-4A91-AF4C-87403D7F3159}"/>
    <cellStyle name="Millares 70" xfId="1746" xr:uid="{3BEF2378-BD3A-4A04-8096-605CFFA6699B}"/>
    <cellStyle name="Millares 70 2" xfId="1747" xr:uid="{E68E7EC9-A29F-4E9C-9C7B-68928BF3E9F3}"/>
    <cellStyle name="Millares 71" xfId="1748" xr:uid="{839D2071-BDAA-4A10-BCDF-2ECEE2A31A62}"/>
    <cellStyle name="Millares 71 2" xfId="1749" xr:uid="{A99D5E2E-199C-4B9B-A69C-1DB5B0744A00}"/>
    <cellStyle name="Millares 72" xfId="1750" xr:uid="{8D9EED0F-0F4F-4DEA-9C43-1E6DA675E4FC}"/>
    <cellStyle name="Millares 72 2" xfId="1751" xr:uid="{C8F12155-2638-4D18-87EF-6F84A69F2CC7}"/>
    <cellStyle name="Millares 73" xfId="1752" xr:uid="{8E063B87-9ACF-493B-B3C5-D1ECA77E9875}"/>
    <cellStyle name="Millares 73 2" xfId="1753" xr:uid="{9759B43D-4348-4D9E-8E7B-75ED30334B50}"/>
    <cellStyle name="Millares 74" xfId="1754" xr:uid="{9E0B67B0-F025-4129-95F5-C5B7577FC545}"/>
    <cellStyle name="Millares 74 2" xfId="1755" xr:uid="{7E0D9A98-470D-4C65-8089-AAC9D8DCF755}"/>
    <cellStyle name="Millares 75" xfId="1756" xr:uid="{9B493AB1-95F5-4AD1-BE44-969EF289138C}"/>
    <cellStyle name="Millares 75 2" xfId="1757" xr:uid="{50DD0665-0F24-4388-BC66-4AABEF50D80F}"/>
    <cellStyle name="Millares 75 3" xfId="1758" xr:uid="{EC9CD845-3E62-4E23-B7C2-0A04C1011822}"/>
    <cellStyle name="Millares 76" xfId="1759" xr:uid="{E2A33FE2-136C-4C3A-9B16-6628DBD4F09A}"/>
    <cellStyle name="Millares 77" xfId="1760" xr:uid="{49C78967-5E1D-4053-A6B7-DE903539D810}"/>
    <cellStyle name="Millares 78" xfId="1761" xr:uid="{BA87C0AE-8C8A-43A6-82D7-0919BA311F6A}"/>
    <cellStyle name="Millares 79" xfId="1762" xr:uid="{9F78FBBC-7027-4FFD-9FD3-B9865B0AC370}"/>
    <cellStyle name="Millares 8" xfId="1763" xr:uid="{DAF83C15-138F-4F95-B647-C31D6479FC2E}"/>
    <cellStyle name="Millares 8 2" xfId="1764" xr:uid="{1CFFA06C-F657-41F3-9915-675B88F70C50}"/>
    <cellStyle name="Millares 8 3" xfId="1765" xr:uid="{DEB26FC6-26CD-4C6B-98F7-E64766B94338}"/>
    <cellStyle name="Millares 80" xfId="1766" xr:uid="{F3DBD995-78B7-47CB-A596-473F9EB24804}"/>
    <cellStyle name="Millares 81" xfId="1767" xr:uid="{B7F355D7-2401-4DF7-8B83-1F1C7F1B0C12}"/>
    <cellStyle name="Millares 82" xfId="1768" xr:uid="{48B95C98-3E61-435A-98A9-FC8246BFF06D}"/>
    <cellStyle name="Millares 83" xfId="1769" xr:uid="{114AB59C-3770-4833-BD77-91008E5125DD}"/>
    <cellStyle name="Millares 84" xfId="1770" xr:uid="{52BD16C4-79F4-4264-93C3-0C5414BE215C}"/>
    <cellStyle name="Millares 85" xfId="1771" xr:uid="{7E448134-B81C-4C63-8420-CB939E0F6EA1}"/>
    <cellStyle name="Millares 86" xfId="1772" xr:uid="{7074A2C6-4025-41B4-9840-FADB118AA9FB}"/>
    <cellStyle name="Millares 87" xfId="1773" xr:uid="{363415BA-DE35-4948-AF39-A7E694EA7F1D}"/>
    <cellStyle name="Millares 88" xfId="1774" xr:uid="{763A6865-610F-44CA-A51A-1BD7491D5BD0}"/>
    <cellStyle name="Millares 89" xfId="1775" xr:uid="{3F7E371C-CD7C-4DAC-9D89-A3C831232288}"/>
    <cellStyle name="Millares 9" xfId="1776" xr:uid="{F2A06B86-BE6C-43D7-AC0E-79058C8344F2}"/>
    <cellStyle name="Millares 9 11" xfId="1777" xr:uid="{9D965B6F-F4F3-4714-90EE-EA556F7FC964}"/>
    <cellStyle name="Millares 9 2" xfId="1778" xr:uid="{F0DB686F-9091-477F-A7DD-6B4E9755DB6D}"/>
    <cellStyle name="Millares 90" xfId="1779" xr:uid="{82B5941C-3FD6-4A04-AACD-24A6E1B83746}"/>
    <cellStyle name="Millares 91" xfId="1780" xr:uid="{AB809D24-D52D-4CAB-9337-9B104E2665DC}"/>
    <cellStyle name="Millares 92" xfId="1781" xr:uid="{8365789C-48B1-42F2-A5FA-395D7EBD8B2D}"/>
    <cellStyle name="Millares 93" xfId="1782" xr:uid="{350E8161-3EA3-4464-A688-D6C9A5348206}"/>
    <cellStyle name="Millares 94" xfId="1783" xr:uid="{49B6624C-1B76-4ED0-B978-0AE854F5BF40}"/>
    <cellStyle name="Millares 95" xfId="1784" xr:uid="{49EAA12A-F2BF-4F3D-B203-A68A1B1711C0}"/>
    <cellStyle name="Millares 96" xfId="1785" xr:uid="{A5939491-2EE7-4D7E-B527-DA763C0508F6}"/>
    <cellStyle name="Moneda 2" xfId="1786" xr:uid="{8E603F92-B619-4330-B7BE-80B19A4D0A3F}"/>
    <cellStyle name="Moneda 2 2" xfId="1787" xr:uid="{D713E94B-33C1-4023-928C-48F3DF370644}"/>
    <cellStyle name="Moneda 3" xfId="1788" xr:uid="{AC518FE8-9FA1-4199-BD85-2512FF88C3EA}"/>
    <cellStyle name="Moneda 3 2" xfId="1789" xr:uid="{D8721499-042F-4448-A411-D48C953CEDA6}"/>
    <cellStyle name="Moneda 4" xfId="1790" xr:uid="{CE1350BF-8757-4131-A36B-3533F07D3849}"/>
    <cellStyle name="Moneda 4 2" xfId="1791" xr:uid="{D9F9B800-8998-47BC-9778-9788AA1224E7}"/>
    <cellStyle name="Moneda 4 2 2" xfId="1792" xr:uid="{B2F7BCB2-D5CC-49C2-9BB1-72DE09AD25C2}"/>
    <cellStyle name="Moneda 4 2 3" xfId="1793" xr:uid="{CA5E385B-A0CC-4FB5-98A8-31FF09FCA922}"/>
    <cellStyle name="Moneda 4 2 3 2" xfId="1794" xr:uid="{6FA9276E-DDC6-4EF0-B6CC-30BFBBC26045}"/>
    <cellStyle name="Moneda 4 2 4" xfId="1795" xr:uid="{831EC285-E7A4-4767-834B-38CA09232F58}"/>
    <cellStyle name="Moneda 4 2 4 2" xfId="1796" xr:uid="{F1370901-FE46-49A3-B9FF-6139F09BADA5}"/>
    <cellStyle name="Moneda 4 2 4 3" xfId="1797" xr:uid="{C5714F33-658E-4965-85A5-FB5361206D25}"/>
    <cellStyle name="Moneda 4 2 5" xfId="1798" xr:uid="{41EC9856-8D68-4935-B630-73DC6BA375E1}"/>
    <cellStyle name="Moneda 4 2 5 2" xfId="1799" xr:uid="{3F1D5CB2-5A26-4349-8F61-ECF6EA7CBFFA}"/>
    <cellStyle name="Moneda 4 2 5 3" xfId="1800" xr:uid="{7D523E51-E547-4100-AECB-44E763B5C5B1}"/>
    <cellStyle name="Moneda 4 2 6" xfId="1801" xr:uid="{7B7B8079-98CD-4A70-865C-65CA92401D87}"/>
    <cellStyle name="Moneda 4 2 7" xfId="1802" xr:uid="{31F71B0B-BC1A-435B-9E8C-985533BB1AC8}"/>
    <cellStyle name="Moneda 4 2 8" xfId="1803" xr:uid="{C53F8154-27A4-4B79-9093-A89FF5AC9F57}"/>
    <cellStyle name="Moneda 4 3" xfId="1804" xr:uid="{090C6ED8-417A-4658-AC1D-E906E798F362}"/>
    <cellStyle name="Moneda 4 4" xfId="1805" xr:uid="{8CCD91FF-78CD-4FA7-9257-F6A740178136}"/>
    <cellStyle name="Moneda 4 4 2" xfId="1806" xr:uid="{000A368E-0204-43B3-90D0-C5A4C89B79D8}"/>
    <cellStyle name="Moneda 4 5" xfId="1807" xr:uid="{3DC26FA0-568D-4C0E-9881-9330419C904B}"/>
    <cellStyle name="Moneda 4 5 2" xfId="1808" xr:uid="{E52AA633-E158-469F-AB24-EF2BBC27994C}"/>
    <cellStyle name="Moneda 4 5 3" xfId="1809" xr:uid="{B060EADB-3EDE-4A6D-8B34-769C2E0544E9}"/>
    <cellStyle name="Moneda 4 6" xfId="1810" xr:uid="{76F6ACCD-2355-4A50-8C9E-8965664FF8F2}"/>
    <cellStyle name="Moneda 4 6 2" xfId="1811" xr:uid="{79CD0933-C11D-4A14-A3D7-1619A144B6B2}"/>
    <cellStyle name="Moneda 4 6 3" xfId="1812" xr:uid="{B060BB5E-9A94-40CA-AED5-66631845CC77}"/>
    <cellStyle name="Moneda 4 7" xfId="1813" xr:uid="{A374C53B-90AB-4B3B-89E3-25A49C97ABE8}"/>
    <cellStyle name="Moneda 4 8" xfId="1814" xr:uid="{88492485-2D81-4A8B-89A8-13E850872878}"/>
    <cellStyle name="Moneda 4 9" xfId="1815" xr:uid="{0B5E05C5-9746-4E42-AEAB-A0C2D11477C8}"/>
    <cellStyle name="Moneda 5" xfId="1816" xr:uid="{AB094E00-E2AD-44B2-993E-C3CB518C9452}"/>
    <cellStyle name="Moneda 5 2" xfId="1817" xr:uid="{47FD5D01-E0F6-4969-875E-F0AEF5D3AE60}"/>
    <cellStyle name="Moneda 5 2 2" xfId="1818" xr:uid="{49D6621E-CAD7-4995-9264-D1B2F1D5A3D8}"/>
    <cellStyle name="Moneda 5 2 3" xfId="1819" xr:uid="{41C55303-3C86-4B44-8D5D-691D14C8C2AE}"/>
    <cellStyle name="Moneda 5 2 3 2" xfId="1820" xr:uid="{E2FCFFFF-688A-409F-A200-0283CDCC6202}"/>
    <cellStyle name="Moneda 5 2 4" xfId="1821" xr:uid="{E47E0280-5584-42A4-A4EF-1B9A3DD353B0}"/>
    <cellStyle name="Moneda 5 2 4 2" xfId="1822" xr:uid="{519CB68B-8EAF-41E6-BC74-846770935DF7}"/>
    <cellStyle name="Moneda 5 2 4 3" xfId="1823" xr:uid="{0DC2DB6E-E7EF-499A-A421-2DA88AE24371}"/>
    <cellStyle name="Moneda 5 2 5" xfId="1824" xr:uid="{4186A325-9AD8-4A55-99EC-8F316F50F4F5}"/>
    <cellStyle name="Moneda 5 2 5 2" xfId="1825" xr:uid="{857FCFD4-B04B-4F37-A711-0C8C8F8A8D75}"/>
    <cellStyle name="Moneda 5 2 5 3" xfId="1826" xr:uid="{87EEC422-5624-452C-AEB2-BE8DF78238C8}"/>
    <cellStyle name="Moneda 5 2 6" xfId="1827" xr:uid="{4C8BA35D-41E7-42BD-9ECF-DA9B58895D22}"/>
    <cellStyle name="Moneda 5 2 7" xfId="1828" xr:uid="{FB0C7F81-FF90-406B-AA0E-D7F606FBA3F7}"/>
    <cellStyle name="Moneda 5 2 8" xfId="1829" xr:uid="{F114ABA7-5A79-46F1-87A8-8C10C8D143C4}"/>
    <cellStyle name="Moneda 5 3" xfId="1830" xr:uid="{EDFB4725-8D53-49C6-95F5-C0653C122BC0}"/>
    <cellStyle name="Moneda 5 4" xfId="1831" xr:uid="{F7DB9C2A-B6A5-4400-A217-D7DF26102A85}"/>
    <cellStyle name="Moneda 5 4 2" xfId="1832" xr:uid="{59B5F3DD-FBCC-4348-AEAA-F22D251751A6}"/>
    <cellStyle name="Moneda 5 5" xfId="1833" xr:uid="{6EC91A23-B081-4781-8DD1-F34BC46BD58F}"/>
    <cellStyle name="Moneda 5 5 2" xfId="1834" xr:uid="{86F8F9BA-5872-489E-AC97-345C6EEED0CC}"/>
    <cellStyle name="Moneda 5 5 3" xfId="1835" xr:uid="{E0AB90A1-3163-4889-BE66-E6AE763EF681}"/>
    <cellStyle name="Moneda 5 6" xfId="1836" xr:uid="{DCF99837-4AD3-4823-A776-40038CA5C05C}"/>
    <cellStyle name="Moneda 5 6 2" xfId="1837" xr:uid="{902C710C-2D60-4C5A-8366-CAB37C1D83FC}"/>
    <cellStyle name="Moneda 5 6 3" xfId="1838" xr:uid="{A210126B-4E44-457D-A3D1-E95C485FCA72}"/>
    <cellStyle name="Moneda 5 7" xfId="1839" xr:uid="{C14A3F0B-3591-4968-8723-7080CE2D732F}"/>
    <cellStyle name="Moneda 5 8" xfId="1840" xr:uid="{EA53897C-4394-431E-91DB-89EF85412540}"/>
    <cellStyle name="Moneda 5 9" xfId="1841" xr:uid="{26377B2C-D9A1-45FB-BE69-899E659FBA18}"/>
    <cellStyle name="Monetario" xfId="1842" xr:uid="{FEF85DC2-2069-4713-B95A-D59F55F70535}"/>
    <cellStyle name="Monetario0" xfId="1843" xr:uid="{E43B8E65-EB66-493D-B272-8982FEE45D4F}"/>
    <cellStyle name="movimentação" xfId="1844" xr:uid="{EEFC7263-C08C-4A46-98EC-E11366AA4455}"/>
    <cellStyle name="Neutra 2" xfId="1845" xr:uid="{0F23B019-6530-4402-8E33-32B053D65C2B}"/>
    <cellStyle name="Neutral 10" xfId="1846" xr:uid="{072C2BED-6460-416D-8F7F-C1FEB26E3265}"/>
    <cellStyle name="Neutral 11" xfId="1847" xr:uid="{3BCB68FB-90B1-43A7-BDA5-694445EC79A0}"/>
    <cellStyle name="Neutral 12" xfId="1848" xr:uid="{3878E154-5A1B-4ACC-9C19-44C3143D81B3}"/>
    <cellStyle name="Neutral 13" xfId="1849" xr:uid="{5FB07663-D78E-4259-8E67-8808C3945E41}"/>
    <cellStyle name="Neutral 14" xfId="1850" xr:uid="{79CA176F-A52C-42A9-91F9-6F0AC088D2F0}"/>
    <cellStyle name="Neutral 15" xfId="1851" xr:uid="{752AD163-23A1-40BF-8B1B-F18722E05A42}"/>
    <cellStyle name="Neutral 16" xfId="1852" xr:uid="{2E8CC7AC-CD1D-4A51-8007-69813520A803}"/>
    <cellStyle name="Neutral 17" xfId="1853" xr:uid="{582A0AB7-094B-4354-BAC3-266AA8873B12}"/>
    <cellStyle name="Neutral 18" xfId="1854" xr:uid="{3B683096-0941-4122-AA33-D004A897C4BC}"/>
    <cellStyle name="Neutral 19" xfId="1855" xr:uid="{DA8FD89C-3249-44FB-BB72-0FD7A6DF0D64}"/>
    <cellStyle name="Neutral 2" xfId="33" xr:uid="{6C6B39CC-E632-47BB-A0CC-4A81A35F4EB9}"/>
    <cellStyle name="Neutral 2 2" xfId="1857" xr:uid="{CF9CB0CE-0791-44CA-BAEE-4D8F2CFEFADD}"/>
    <cellStyle name="Neutral 2 3" xfId="1856" xr:uid="{7C7D50CD-12D5-426E-A875-DF4532B08C50}"/>
    <cellStyle name="Neutral 20" xfId="1858" xr:uid="{DD5FD5CA-E39A-42F5-B056-830F10247D9D}"/>
    <cellStyle name="Neutral 21" xfId="1859" xr:uid="{D861168B-441F-4E7A-909E-31FF28A6F366}"/>
    <cellStyle name="Neutral 22" xfId="1860" xr:uid="{9A936C89-6476-46A8-B789-7FB614802B3B}"/>
    <cellStyle name="Neutral 23" xfId="1861" xr:uid="{6DBBEAF6-9015-482C-A491-65AF4BDDA997}"/>
    <cellStyle name="Neutral 24" xfId="105" xr:uid="{91A8B31F-8935-49CA-B34A-23314892EAFA}"/>
    <cellStyle name="Neutral 3" xfId="1862" xr:uid="{CE7006F5-F003-4B29-A294-E429319AB01E}"/>
    <cellStyle name="Neutral 3 2" xfId="1863" xr:uid="{C2B01B64-F73C-4862-97F2-C29A847705FE}"/>
    <cellStyle name="Neutral 4" xfId="1864" xr:uid="{D01DA3A3-3D11-4F83-AAE4-4F968B4722B4}"/>
    <cellStyle name="Neutral 5" xfId="1865" xr:uid="{6B7F0B98-B242-4936-A7AA-EFB6988E0205}"/>
    <cellStyle name="Neutral 6" xfId="1866" xr:uid="{DED786CE-0449-42F1-9B24-F8D15C88EFAD}"/>
    <cellStyle name="Neutral 7" xfId="1867" xr:uid="{5CAB1EA2-660E-43A5-91A1-259BB155B5B7}"/>
    <cellStyle name="Neutral 8" xfId="1868" xr:uid="{6C6D1CE7-099C-4666-988C-5A9990FB9A40}"/>
    <cellStyle name="Neutral 9" xfId="1869" xr:uid="{7782AAB8-1481-488C-ABA4-EBE95C57B0B3}"/>
    <cellStyle name="Normal" xfId="0" builtinId="0"/>
    <cellStyle name="Normal 10" xfId="3" xr:uid="{6DC4B372-9D5F-4A69-9920-A42DE16817F2}"/>
    <cellStyle name="Normal 10 2" xfId="1870" xr:uid="{F24F3FB1-DF2F-4DAF-A886-AD4D139D90FF}"/>
    <cellStyle name="Normal 10 2 2" xfId="1871" xr:uid="{7BAC5F3F-F35D-4C4D-A5D6-E8926104327B}"/>
    <cellStyle name="Normal 10 2 3" xfId="1872" xr:uid="{7422686A-D107-4C07-BA62-A572C02FF9FD}"/>
    <cellStyle name="Normal 10 3" xfId="1873" xr:uid="{33250C97-A5AA-4E26-B8F1-B22CACF044BE}"/>
    <cellStyle name="Normal 10 3 2" xfId="1874" xr:uid="{F9B06B5A-EE0E-452A-A749-664E5A5C4195}"/>
    <cellStyle name="Normal 10 4" xfId="1875" xr:uid="{84C59F8F-B909-4B12-93B9-64282F1009C6}"/>
    <cellStyle name="Normal 10 5" xfId="1876" xr:uid="{247995EF-8C0F-4CB3-B3AB-BACD4B81CFDA}"/>
    <cellStyle name="Normal 100" xfId="1877" xr:uid="{1A8B0E91-FBA1-4B41-865E-595BE66B2668}"/>
    <cellStyle name="Normal 11" xfId="1878" xr:uid="{686BA128-64B3-4A10-930A-B428A9FDA777}"/>
    <cellStyle name="Normal 11 2" xfId="1879" xr:uid="{9D614AFD-EDD6-4037-A831-D335A3FF818A}"/>
    <cellStyle name="Normal 11 2 2" xfId="1880" xr:uid="{671CD216-0487-49B5-BF49-AAA4EC34298B}"/>
    <cellStyle name="Normal 11 2 3" xfId="1881" xr:uid="{33DA9369-98DD-4FD6-A6C1-6E09B4563B84}"/>
    <cellStyle name="Normal 11 3" xfId="1882" xr:uid="{DFD321E2-EA73-48A8-AF84-4769E6313566}"/>
    <cellStyle name="Normal 11 4" xfId="1883" xr:uid="{EA120048-3CC0-479D-926A-ABCA64D41D32}"/>
    <cellStyle name="Normal 12" xfId="1884" xr:uid="{CE64DAB4-A235-41C0-AC73-32ED829CAEB8}"/>
    <cellStyle name="Normal 12 2" xfId="1885" xr:uid="{05E827DD-8286-4D24-8F1A-665F4F500644}"/>
    <cellStyle name="Normal 12 2 2" xfId="1886" xr:uid="{F2080232-5E73-45DF-9B8E-340536C23E90}"/>
    <cellStyle name="Normal 12 3" xfId="1887" xr:uid="{A52667C5-BE4E-4CDF-BC43-8D7811A0FFD4}"/>
    <cellStyle name="Normal 13" xfId="1888" xr:uid="{61437855-91C2-44CE-AF98-5F389E0EE4F2}"/>
    <cellStyle name="Normal 13 2" xfId="1889" xr:uid="{7218D74F-56C2-43A2-84A9-C6B2DDB74591}"/>
    <cellStyle name="Normal 13 3" xfId="1890" xr:uid="{81A9C206-47EB-421B-A381-AC582EB833C0}"/>
    <cellStyle name="Normal 14" xfId="1891" xr:uid="{A03480D5-C480-4231-991D-DC8858A843A5}"/>
    <cellStyle name="Normal 15" xfId="1892" xr:uid="{BFD32420-FC08-4AFE-900F-7A6DB91062D5}"/>
    <cellStyle name="Normal 16" xfId="1893" xr:uid="{15FD2DEB-6FF4-4391-AC7D-1D4AA6AFC500}"/>
    <cellStyle name="Normal 17" xfId="1894" xr:uid="{883D71BA-3E4B-4B7C-87A2-166141F8DA89}"/>
    <cellStyle name="Normal 18" xfId="1895" xr:uid="{7705C177-F298-451B-A028-D482EC1E5466}"/>
    <cellStyle name="Normal 19" xfId="1896" xr:uid="{5DAB3D89-2783-4F8F-A9BA-FC6AF5454533}"/>
    <cellStyle name="Normal 2" xfId="2" xr:uid="{B2F64745-2C6D-45FB-A556-9D42C8713F7A}"/>
    <cellStyle name="Normal 2 10" xfId="1897" xr:uid="{D5EC17E0-9DB5-4471-BFCE-77A24DA4CCCF}"/>
    <cellStyle name="Normal 2 11" xfId="1898" xr:uid="{A15911D3-5F4C-4DE7-8D1A-B52C4527484D}"/>
    <cellStyle name="Normal 2 12" xfId="1899" xr:uid="{3ECC68B6-CF3D-437C-80E3-B017CBBD8590}"/>
    <cellStyle name="Normal 2 13" xfId="1900" xr:uid="{FC4C12DC-DDBE-44C0-B70E-B4775E5DA1F6}"/>
    <cellStyle name="Normal 2 14" xfId="1901" xr:uid="{E3541CA4-43E6-42A7-81FB-CEDDBC719F7A}"/>
    <cellStyle name="Normal 2 15" xfId="1902" xr:uid="{03FD0910-CCDF-47F1-818D-099D667452C8}"/>
    <cellStyle name="Normal 2 15 2" xfId="1903" xr:uid="{62D9F055-3E9A-4D01-81FF-74E041435EE3}"/>
    <cellStyle name="Normal 2 16" xfId="1904" xr:uid="{4B36DE67-1046-44D3-AB98-9C34AD95C4D5}"/>
    <cellStyle name="Normal 2 17" xfId="1905" xr:uid="{AEB5FAC1-F990-4BDE-B7DC-0393432A46E8}"/>
    <cellStyle name="Normal 2 18" xfId="1906" xr:uid="{470DEEB3-1184-4C25-B0EC-96031B6C520A}"/>
    <cellStyle name="Normal 2 19" xfId="1907" xr:uid="{D5F599A6-7897-4041-9BD7-BB08C3342504}"/>
    <cellStyle name="Normal 2 2" xfId="22" xr:uid="{3525BE68-B28C-4898-88E2-93BD196F3CAA}"/>
    <cellStyle name="Normal 2 2 2" xfId="1909" xr:uid="{BEA60E83-5121-46AA-A94E-58A8BAE613AB}"/>
    <cellStyle name="Normal 2 2 2 2" xfId="1910" xr:uid="{7BA37F38-883C-44F7-A4B1-6AE52170116D}"/>
    <cellStyle name="Normal 2 2 3" xfId="1911" xr:uid="{EB2CBB2C-3885-47BC-A571-4ED075BD4BA7}"/>
    <cellStyle name="Normal 2 2 4" xfId="1908" xr:uid="{FF4C5B04-9108-4CB2-84BC-F1E175502A0C}"/>
    <cellStyle name="Normal 2 20" xfId="1912" xr:uid="{C347FBB3-F4BA-40AC-A331-AEEE920AB7EA}"/>
    <cellStyle name="Normal 2 21" xfId="1913" xr:uid="{7A3260C9-3F80-4BD3-9242-78753872D79A}"/>
    <cellStyle name="Normal 2 22" xfId="1914" xr:uid="{8C7DE127-CB51-446E-9BF8-84A103714259}"/>
    <cellStyle name="Normal 2 23" xfId="1915" xr:uid="{3AD6B7BA-5E75-4029-8E3E-1990EE174819}"/>
    <cellStyle name="Normal 2 24" xfId="1916" xr:uid="{1F22D594-D134-429B-AA95-53CCDE17B6DF}"/>
    <cellStyle name="Normal 2 25" xfId="1917" xr:uid="{59210BFE-519E-4208-9EFF-3684B6821D67}"/>
    <cellStyle name="Normal 2 26" xfId="1918" xr:uid="{A33C539E-1798-4B4D-B4C8-020E03FF8EAC}"/>
    <cellStyle name="Normal 2 27" xfId="1919" xr:uid="{3B9CDFA9-E8A6-4A5F-99D6-60102521E2E5}"/>
    <cellStyle name="Normal 2 28" xfId="1920" xr:uid="{BA12119F-60AD-4B46-88A5-A14732E291C8}"/>
    <cellStyle name="Normal 2 29" xfId="1921" xr:uid="{72F8D92D-0704-44D2-9E72-3D470D7B58D3}"/>
    <cellStyle name="Normal 2 3" xfId="1922" xr:uid="{E181E132-7D29-4F70-98C5-8AB4A58717E2}"/>
    <cellStyle name="Normal 2 3 2" xfId="1923" xr:uid="{8B44C831-5AAD-4287-B9F8-0B7B18CDF1D2}"/>
    <cellStyle name="Normal 2 3 2 2" xfId="1924" xr:uid="{385B8375-39B4-434B-AECF-0EA62C5211DC}"/>
    <cellStyle name="Normal 2 3 2 3" xfId="1925" xr:uid="{8F02E234-F0CD-44FF-9BA6-76557FABE5E2}"/>
    <cellStyle name="Normal 2 3 3" xfId="1926" xr:uid="{45452FB7-5765-4F7F-A026-0F63895CDB65}"/>
    <cellStyle name="Normal 2 30" xfId="1927" xr:uid="{CC8F86C8-4D1B-4470-9ED3-649C1B71A704}"/>
    <cellStyle name="Normal 2 31" xfId="1928" xr:uid="{9FE14A7C-E3B9-4E69-9694-7CD47358C0F7}"/>
    <cellStyle name="Normal 2 32" xfId="1929" xr:uid="{73B67B8B-82FC-49F2-8AD0-F3845D3D73A2}"/>
    <cellStyle name="Normal 2 33" xfId="1930" xr:uid="{4F478F62-0F06-491F-99BD-83B428D5D874}"/>
    <cellStyle name="Normal 2 34" xfId="1931" xr:uid="{96DC3090-28AB-486D-9900-FCB1A107A7EC}"/>
    <cellStyle name="Normal 2 35" xfId="1932" xr:uid="{D8F69488-41F3-4571-906B-2D22ABD9AC45}"/>
    <cellStyle name="Normal 2 36" xfId="1933" xr:uid="{B1FAC727-D21B-4D27-A994-322165F5CA96}"/>
    <cellStyle name="Normal 2 37" xfId="1934" xr:uid="{585DF9A7-B809-48EA-977B-09FA161E6F01}"/>
    <cellStyle name="Normal 2 38" xfId="1935" xr:uid="{D619DEBA-BA60-4A92-8023-28BBB0ACCD84}"/>
    <cellStyle name="Normal 2 38 2" xfId="1936" xr:uid="{B284EDA9-D061-4CA5-9B92-5C2395ECF007}"/>
    <cellStyle name="Normal 2 39" xfId="1937" xr:uid="{D723C994-0A9E-4CE3-BCFF-D31D82D83683}"/>
    <cellStyle name="Normal 2 39 2" xfId="1938" xr:uid="{EC7E09E9-8624-413C-8EE1-7DC845915EAC}"/>
    <cellStyle name="Normal 2 4" xfId="1939" xr:uid="{9ED4A0BD-E804-47F4-B897-55292904C7A1}"/>
    <cellStyle name="Normal 2 4 2" xfId="1940" xr:uid="{28CA9A87-385E-47F4-B201-4ABD4D239566}"/>
    <cellStyle name="Normal 2 4 3" xfId="1941" xr:uid="{28ABC96B-D4E6-4229-965D-17D0E5CB1209}"/>
    <cellStyle name="Normal 2 4 4" xfId="1942" xr:uid="{51DC606F-3F4C-429C-8237-2CD11D94B7CD}"/>
    <cellStyle name="Normal 2 40" xfId="1943" xr:uid="{3C6E30DD-046D-49D0-A8DD-C14F5D5076A2}"/>
    <cellStyle name="Normal 2 41" xfId="1944" xr:uid="{11B979FD-040D-497E-B8EE-5BA1CBD5C69D}"/>
    <cellStyle name="Normal 2 42" xfId="1945" xr:uid="{883EC12D-2385-4BAA-B0A1-E823D24A197F}"/>
    <cellStyle name="Normal 2 43" xfId="1946" xr:uid="{36BF632E-4B4E-4956-BEB8-EDBDEC187890}"/>
    <cellStyle name="Normal 2 44" xfId="1947" xr:uid="{D8D202A4-F549-4A31-84BF-414E7A910F4B}"/>
    <cellStyle name="Normal 2 45" xfId="1948" xr:uid="{0B4AB9DB-791C-42D1-A6A8-5E1F55FA07E4}"/>
    <cellStyle name="Normal 2 46" xfId="1949" xr:uid="{9BECAD26-3536-4F29-9B67-7D0A2834C636}"/>
    <cellStyle name="Normal 2 47" xfId="1950" xr:uid="{13E4DDC3-970C-46D6-9CB7-C8C03488008A}"/>
    <cellStyle name="Normal 2 48" xfId="1951" xr:uid="{C4FC6107-E5F7-4962-B214-7300BA85FC97}"/>
    <cellStyle name="Normal 2 49" xfId="1952" xr:uid="{3BFAD520-A8A6-4A84-ADFB-588AB9D707BF}"/>
    <cellStyle name="Normal 2 5" xfId="1953" xr:uid="{ABC723B0-7697-4DC1-B15F-0F131936FBC4}"/>
    <cellStyle name="Normal 2 50" xfId="1954" xr:uid="{442DA587-CBE0-45D0-8534-52F5759A1A39}"/>
    <cellStyle name="Normal 2 51" xfId="1955" xr:uid="{23E318F7-A791-4C35-A432-C856E7889DD7}"/>
    <cellStyle name="Normal 2 52" xfId="1956" xr:uid="{CA4007A0-8D35-407A-9E07-2E2847CDC0A0}"/>
    <cellStyle name="Normal 2 53" xfId="1957" xr:uid="{4E776EBD-A8FE-4A56-8C7A-285478B731FA}"/>
    <cellStyle name="Normal 2 54" xfId="1958" xr:uid="{9AD9C605-1815-4413-81C1-F1202BC72128}"/>
    <cellStyle name="Normal 2 55" xfId="1959" xr:uid="{6785610B-E462-4F06-9E51-8A8AA52FB7A0}"/>
    <cellStyle name="Normal 2 56" xfId="1960" xr:uid="{F8619EAB-6A8F-4616-8296-489E51AE3A95}"/>
    <cellStyle name="Normal 2 57" xfId="1961" xr:uid="{8BA25AB8-4DFD-4AAB-BB2A-A69D7DB81FD6}"/>
    <cellStyle name="Normal 2 58" xfId="1962" xr:uid="{6DA037CF-378C-475F-A999-B8282843565E}"/>
    <cellStyle name="Normal 2 59" xfId="1963" xr:uid="{573355DE-FD38-4DEC-A10E-EE7A087E215B}"/>
    <cellStyle name="Normal 2 6" xfId="1964" xr:uid="{90FFE004-A67A-4433-896C-0E7515B7360E}"/>
    <cellStyle name="Normal 2 6 2" xfId="1965" xr:uid="{9AE316A8-602A-40E2-8D57-7C3BB6827BFE}"/>
    <cellStyle name="Normal 2 60" xfId="1966" xr:uid="{78CEA727-06C4-4FB5-8AF3-F7E6AB475C22}"/>
    <cellStyle name="Normal 2 61" xfId="1967" xr:uid="{20F72E6E-37E9-46F1-A66F-2BFEB3BAC6F3}"/>
    <cellStyle name="Normal 2 62" xfId="1968" xr:uid="{D3BA44F1-D661-4708-8FFB-6703C4ECCE65}"/>
    <cellStyle name="Normal 2 63" xfId="1969" xr:uid="{4DA1E8F0-8C0C-4CB2-8818-81AE226CD69D}"/>
    <cellStyle name="Normal 2 64" xfId="1970" xr:uid="{FDCBD787-B357-433C-A7A1-5A93ECE5564B}"/>
    <cellStyle name="Normal 2 65" xfId="1971" xr:uid="{A3DB5849-5CC1-4EA8-9912-4028C372FBF8}"/>
    <cellStyle name="Normal 2 66" xfId="1972" xr:uid="{2CF8A964-0B5E-494E-9BB7-3D12F3AD115A}"/>
    <cellStyle name="Normal 2 67" xfId="1973" xr:uid="{6944E899-2101-4B4F-90BA-E56041F81709}"/>
    <cellStyle name="Normal 2 68" xfId="1974" xr:uid="{49514191-E982-49AF-AFF4-D81669C73A85}"/>
    <cellStyle name="Normal 2 69" xfId="1975" xr:uid="{7B5881ED-FECE-453D-BBE1-8D54852A6CB0}"/>
    <cellStyle name="Normal 2 7" xfId="1976" xr:uid="{89A156FB-9EAA-46E4-B99A-8CE5D9CF058B}"/>
    <cellStyle name="Normal 2 70" xfId="1977" xr:uid="{A8784B69-D046-4D38-BA52-341822FB66E4}"/>
    <cellStyle name="Normal 2 8" xfId="1978" xr:uid="{BF9ADDA4-40BF-423B-A0B6-AE18A8ECBA1C}"/>
    <cellStyle name="Normal 2 8 2" xfId="1979" xr:uid="{0EDCBE4B-D933-4806-A84D-0E04E1F457C1}"/>
    <cellStyle name="Normal 2 9" xfId="1980" xr:uid="{4B69E837-682C-4197-B647-CC62F1DA1EB1}"/>
    <cellStyle name="Normal 2_Indexadores Corregidos def_Indexadores_AG_rev2" xfId="1981" xr:uid="{5ECC154F-4279-4F1E-B885-42FB4486E96B}"/>
    <cellStyle name="Normal 20" xfId="1982" xr:uid="{C0E2318A-7398-454D-BED3-296D852A0514}"/>
    <cellStyle name="Normal 21" xfId="1983" xr:uid="{20418AF4-96E6-42D0-9971-C5F100B603F5}"/>
    <cellStyle name="Normal 22" xfId="1984" xr:uid="{81E02FEB-C1CE-4BD0-913C-721FDA5EAA75}"/>
    <cellStyle name="Normal 23" xfId="1985" xr:uid="{2116092B-C823-470E-BE5D-834B9D61E582}"/>
    <cellStyle name="Normal 24" xfId="1986" xr:uid="{4FCC2B29-F9E0-4471-BAD1-FAC6CA817C29}"/>
    <cellStyle name="Normal 25" xfId="1987" xr:uid="{3F3B9778-31B1-488C-906E-0F64A55A5E4B}"/>
    <cellStyle name="Normal 26" xfId="1988" xr:uid="{9452B5E4-15CE-4A73-973F-33E909623216}"/>
    <cellStyle name="Normal 27" xfId="1989" xr:uid="{E4ED612F-BB1B-4653-910B-88CB190D8CD2}"/>
    <cellStyle name="Normal 28" xfId="1990" xr:uid="{2E2818DB-F0E2-482C-9F24-122CC2656DA4}"/>
    <cellStyle name="Normal 29" xfId="1991" xr:uid="{72206005-35A6-4147-BDAA-BE296EC7FAD4}"/>
    <cellStyle name="Normal 3" xfId="4" xr:uid="{E76C72D5-4765-49C3-B627-F9ED41819FA4}"/>
    <cellStyle name="Normal 3 10" xfId="1993" xr:uid="{61D321D6-7F4C-48F8-AA1E-866C8F65B5F1}"/>
    <cellStyle name="Normal 3 11" xfId="1994" xr:uid="{AA804B61-BDF0-4D63-9823-B8CFFFC811A8}"/>
    <cellStyle name="Normal 3 12" xfId="1995" xr:uid="{5EC805A8-1B1E-4A38-9428-C934475E7083}"/>
    <cellStyle name="Normal 3 13" xfId="1996" xr:uid="{1141D9CB-9B55-4B2D-8D4F-C30718FF3E19}"/>
    <cellStyle name="Normal 3 14" xfId="1997" xr:uid="{072FB444-0B48-4A49-B431-995781CF2D89}"/>
    <cellStyle name="Normal 3 15" xfId="1998" xr:uid="{B5CC9129-19D6-4FE4-B485-818D99742058}"/>
    <cellStyle name="Normal 3 16" xfId="1999" xr:uid="{814A6A73-483E-4BAA-8E74-37961DAFF12E}"/>
    <cellStyle name="Normal 3 17" xfId="2000" xr:uid="{BD888A2B-2C24-4E68-94A0-DAB11C390946}"/>
    <cellStyle name="Normal 3 18" xfId="2001" xr:uid="{E5F80F66-78DF-4780-ACE0-0B9568CE1F03}"/>
    <cellStyle name="Normal 3 18 2" xfId="2002" xr:uid="{25D41452-A362-4AC5-834F-1DA969406271}"/>
    <cellStyle name="Normal 3 18 2 2" xfId="2003" xr:uid="{08652EB3-6AA6-4AF7-BCB1-FF8CCE9EAE13}"/>
    <cellStyle name="Normal 3 18 3" xfId="2004" xr:uid="{B04B6214-31CE-4D30-81AF-EF3525C5F393}"/>
    <cellStyle name="Normal 3 18 3 2" xfId="2005" xr:uid="{FC583732-CC07-4FD7-9B82-475C187C69AA}"/>
    <cellStyle name="Normal 3 18 4" xfId="2006" xr:uid="{91A4B1DD-19A8-41B8-8C91-D29266F46291}"/>
    <cellStyle name="Normal 3 19" xfId="2007" xr:uid="{1DD525F0-55F0-475C-8600-5F851563E599}"/>
    <cellStyle name="Normal 3 19 2" xfId="2008" xr:uid="{D5B4C5BC-EDFF-469D-B169-6A28FFB07D7A}"/>
    <cellStyle name="Normal 3 2" xfId="16" xr:uid="{B0A1893D-18D0-4D82-96ED-AAB62D3DCD23}"/>
    <cellStyle name="Normal 3 2 2" xfId="2010" xr:uid="{1A6E0D2F-5445-4C40-A881-3572496D8121}"/>
    <cellStyle name="Normal 3 2 2 2" xfId="2011" xr:uid="{E87ADAB8-1555-4AC1-9B07-1139B560CC24}"/>
    <cellStyle name="Normal 3 2 2 2 2" xfId="2012" xr:uid="{3FDAC98E-AD07-468E-80B5-9DD73E353465}"/>
    <cellStyle name="Normal 3 2 2 3" xfId="2013" xr:uid="{A7DDC1E6-287D-44E4-9E2F-2B9BD6D3605D}"/>
    <cellStyle name="Normal 3 2 2 3 2" xfId="2014" xr:uid="{BE93B691-EFF2-4B9F-98F0-916B0A3014DC}"/>
    <cellStyle name="Normal 3 2 2 4" xfId="2015" xr:uid="{728DC17E-591A-4D74-986C-48D0CB0E8089}"/>
    <cellStyle name="Normal 3 2 2 4 2" xfId="2016" xr:uid="{7001C7CA-FB72-44EF-A91B-B5B891D67608}"/>
    <cellStyle name="Normal 3 2 2 5" xfId="2017" xr:uid="{91545B9A-1338-47C0-83F3-9BF23CB72D25}"/>
    <cellStyle name="Normal 3 2 2 5 2" xfId="2018" xr:uid="{FD57E4F7-3981-419D-9C8D-577421902988}"/>
    <cellStyle name="Normal 3 2 2 6" xfId="2019" xr:uid="{30164D99-7C8F-4DCA-85CF-9F602260B4E8}"/>
    <cellStyle name="Normal 3 2 3" xfId="2020" xr:uid="{2CDBDE55-98C7-417E-9091-A48242EFBED8}"/>
    <cellStyle name="Normal 3 2 3 2" xfId="2021" xr:uid="{6F74A1BF-8320-4E4C-8976-E6AB1B10205F}"/>
    <cellStyle name="Normal 3 2 4" xfId="2022" xr:uid="{433E5419-FCB9-4C0F-B1BD-04C1FAAD3AB5}"/>
    <cellStyle name="Normal 3 2 4 2" xfId="2023" xr:uid="{F7CA8093-A28B-41DD-B74B-54989F5D0295}"/>
    <cellStyle name="Normal 3 2 5" xfId="2024" xr:uid="{8D5CAA50-9781-48F6-A953-28E7A80334FE}"/>
    <cellStyle name="Normal 3 2 6" xfId="2009" xr:uid="{D742D7DE-F7E2-46CB-AF9B-9952FF6CC640}"/>
    <cellStyle name="Normal 3 20" xfId="2025" xr:uid="{B82CD580-5E7B-47FD-B3C4-1DEC5635D8F2}"/>
    <cellStyle name="Normal 3 20 2" xfId="2026" xr:uid="{966FEA6D-E8BF-4E56-A1D0-F09D93D2535A}"/>
    <cellStyle name="Normal 3 21" xfId="2027" xr:uid="{25064F30-DB0B-45B6-8847-53D475E4071F}"/>
    <cellStyle name="Normal 3 22" xfId="1992" xr:uid="{ECC5CE13-4663-4614-8429-22FC246264A5}"/>
    <cellStyle name="Normal 3 3" xfId="2028" xr:uid="{908B28C3-79D8-40C6-84FB-0799F0066533}"/>
    <cellStyle name="Normal 3 3 2" xfId="2029" xr:uid="{E40E4DE0-17F4-408C-90C2-1A7F583B910B}"/>
    <cellStyle name="Normal 3 3 2 2" xfId="2030" xr:uid="{212F0887-783A-4DC7-8EEC-82D139293974}"/>
    <cellStyle name="Normal 3 3 2 2 2" xfId="2031" xr:uid="{58A4CEC1-52A9-49E2-9834-15B43195479C}"/>
    <cellStyle name="Normal 3 3 2 3" xfId="2032" xr:uid="{80CEE4AC-60F9-4C67-8FE6-21EC507169D5}"/>
    <cellStyle name="Normal 3 3 2 3 2" xfId="2033" xr:uid="{7E2769BC-A15F-4ABD-AE5E-AAA714331308}"/>
    <cellStyle name="Normal 3 3 2 4" xfId="2034" xr:uid="{A37EFABC-6658-4C50-9F4E-7DEDC5838693}"/>
    <cellStyle name="Normal 3 3 2 4 2" xfId="2035" xr:uid="{15E57672-4B6D-4151-893B-741AAC5D3CB3}"/>
    <cellStyle name="Normal 3 3 2 5" xfId="2036" xr:uid="{242A316A-0D18-4058-B02C-46495552F713}"/>
    <cellStyle name="Normal 3 3 2 5 2" xfId="2037" xr:uid="{C014F39F-4C16-4EEA-A39E-4270D62268F3}"/>
    <cellStyle name="Normal 3 3 2 6" xfId="2038" xr:uid="{4208A14E-0EDF-4561-9BA9-B50C7A3BAEEA}"/>
    <cellStyle name="Normal 3 3 3" xfId="2039" xr:uid="{87ED7C7E-DA37-45FA-B6C2-276A11087479}"/>
    <cellStyle name="Normal 3 3 3 2" xfId="2040" xr:uid="{0F9AF477-0E33-41E3-90CF-C3C32440A2F7}"/>
    <cellStyle name="Normal 3 3 4" xfId="2041" xr:uid="{90E854B9-A2EF-427E-B96E-79B9AB76F753}"/>
    <cellStyle name="Normal 3 3 4 2" xfId="2042" xr:uid="{55047062-9A6C-446B-B090-E1126E6EFFE4}"/>
    <cellStyle name="Normal 3 3 5" xfId="2043" xr:uid="{599018C3-79F5-4F08-9E6C-052C126DEF42}"/>
    <cellStyle name="Normal 3 4" xfId="2044" xr:uid="{F14897C1-861F-4211-BDD6-DE08B8D097CF}"/>
    <cellStyle name="Normal 3 4 2" xfId="2045" xr:uid="{8FEEC011-44F2-4893-85AC-2E971DB999C2}"/>
    <cellStyle name="Normal 3 4 3" xfId="2046" xr:uid="{B09E4231-2689-46D0-BB62-FCDD438C04BB}"/>
    <cellStyle name="Normal 3 5" xfId="2047" xr:uid="{1B2E7E50-B754-4C57-BF88-94B0E885DB20}"/>
    <cellStyle name="Normal 3 5 2" xfId="2048" xr:uid="{8F68C33E-EF92-4E1A-99FE-C194E54BB103}"/>
    <cellStyle name="Normal 3 5 2 2" xfId="2049" xr:uid="{3A7B0594-D55A-4EBD-B2A1-FEFFF5DAF32C}"/>
    <cellStyle name="Normal 3 5 3" xfId="2050" xr:uid="{A89BE084-BE8B-411D-B18E-DE58FD3E2EAA}"/>
    <cellStyle name="Normal 3 5 3 2" xfId="2051" xr:uid="{6A5F0673-40D3-4F45-88EB-83C569522EB0}"/>
    <cellStyle name="Normal 3 5 4" xfId="2052" xr:uid="{44823682-53F8-42D4-8158-B318A46B48B9}"/>
    <cellStyle name="Normal 3 6" xfId="2053" xr:uid="{B7FB452B-D26C-4D6D-A51A-83099733983E}"/>
    <cellStyle name="Normal 3 6 2" xfId="2054" xr:uid="{F3D3E159-63AD-4056-9E69-543B49968860}"/>
    <cellStyle name="Normal 3 7" xfId="2055" xr:uid="{DBA65CD7-527C-42C7-8861-9FBCE41C0C87}"/>
    <cellStyle name="Normal 3 8" xfId="2056" xr:uid="{C09628E9-855F-405F-A707-51DE172089E0}"/>
    <cellStyle name="Normal 3 9" xfId="2057" xr:uid="{548FE774-B2FC-4704-9FDA-2A24E503F9B7}"/>
    <cellStyle name="Normal 30" xfId="2058" xr:uid="{C6DE5FF0-7D30-481F-BBB9-1FE958E7F5EF}"/>
    <cellStyle name="Normal 31" xfId="2059" xr:uid="{3CF17A38-00A0-4AE8-B683-D974D564D6FC}"/>
    <cellStyle name="Normal 32" xfId="2060" xr:uid="{CA79C3D2-47FD-4EB3-98D7-F79E4A84E226}"/>
    <cellStyle name="Normal 33" xfId="2061" xr:uid="{5F35F1D2-4679-44F4-9566-B393BB3284FE}"/>
    <cellStyle name="Normal 34" xfId="2062" xr:uid="{A4FAA789-74EF-4BB4-B25B-99180166C4A4}"/>
    <cellStyle name="Normal 35" xfId="2063" xr:uid="{F3B1FEC7-54DD-4D7E-B822-2AFC112DC267}"/>
    <cellStyle name="Normal 36" xfId="2064" xr:uid="{C418E0BF-D80E-40E3-B824-C3A1D5432B02}"/>
    <cellStyle name="Normal 37" xfId="2065" xr:uid="{680A0219-D598-41AE-8C20-314921F302FC}"/>
    <cellStyle name="Normal 38" xfId="2066" xr:uid="{3BBCFCAD-4FC5-468B-84C5-68319B6B8776}"/>
    <cellStyle name="Normal 39" xfId="2067" xr:uid="{A6A1F722-60D0-4CD4-BC46-02BBBAF2728E}"/>
    <cellStyle name="Normal 4" xfId="17" xr:uid="{2CD063F8-6C38-47EE-ABA4-4129E54BD513}"/>
    <cellStyle name="Normal 4 2" xfId="2069" xr:uid="{297ABA5B-3A40-4BAA-B009-20E3063B6BEC}"/>
    <cellStyle name="Normal 4 2 2" xfId="2070" xr:uid="{D77BDED7-E40D-4B06-BC24-C32DAEEF263D}"/>
    <cellStyle name="Normal 4 2 3" xfId="2071" xr:uid="{3F3C805D-826E-423D-AF91-E4DBD195782B}"/>
    <cellStyle name="Normal 4 3" xfId="2072" xr:uid="{621BC738-3734-4EB4-AD9B-B56BAD13453C}"/>
    <cellStyle name="Normal 4 3 2" xfId="2073" xr:uid="{8F0D4060-4598-43EA-B8C8-05633CB9844F}"/>
    <cellStyle name="Normal 4 3 3" xfId="2074" xr:uid="{ADB3D5BA-2E1A-43D0-A6BF-8B1BC2EDC493}"/>
    <cellStyle name="Normal 4 3 4" xfId="2075" xr:uid="{7108E3BE-9C1F-4F73-9587-6EA072CB8C0C}"/>
    <cellStyle name="Normal 4 4" xfId="2076" xr:uid="{9EA6AE85-FC25-4617-939D-0FC36CAD9201}"/>
    <cellStyle name="Normal 4 5" xfId="2077" xr:uid="{477D580E-971C-447C-9718-EB0A806720EF}"/>
    <cellStyle name="Normal 4 6" xfId="2068" xr:uid="{6672E980-E694-4C16-8099-C4D7BC426070}"/>
    <cellStyle name="Normal 40" xfId="2078" xr:uid="{C869ED59-06C1-437C-8C0C-57D133F3D819}"/>
    <cellStyle name="Normal 41" xfId="2079" xr:uid="{2AE77C93-20F5-4DB8-828B-D8229BB3896E}"/>
    <cellStyle name="Normal 42" xfId="2080" xr:uid="{A1B879A1-CF4C-49CB-A26A-4DA058423724}"/>
    <cellStyle name="Normal 43" xfId="2081" xr:uid="{0FB411DF-D262-410B-B01E-FA36B2A2DE2E}"/>
    <cellStyle name="Normal 44" xfId="2082" xr:uid="{27F7FE02-FF10-4EE9-93C7-3A27C161B71B}"/>
    <cellStyle name="Normal 45" xfId="2083" xr:uid="{C60992A6-BB0A-43BA-B4C3-F7D665CFE837}"/>
    <cellStyle name="Normal 46" xfId="2084" xr:uid="{7606FB2F-9369-485C-A6B0-B135B25D4A94}"/>
    <cellStyle name="Normal 47" xfId="2085" xr:uid="{1EB57B54-9CBF-4D38-BFD5-FCFA7C5B96E8}"/>
    <cellStyle name="Normal 48" xfId="2086" xr:uid="{2F99A7B6-744A-40C1-9D6E-C637D85AD2CF}"/>
    <cellStyle name="Normal 49" xfId="2087" xr:uid="{59AF626D-0C13-40C6-9EEC-7DA51320369D}"/>
    <cellStyle name="Normal 5" xfId="6" xr:uid="{058AC5C4-CBA2-435F-9341-6F0E382390BF}"/>
    <cellStyle name="Normal 5 2" xfId="18" xr:uid="{6505AD23-0F68-4FAF-89B1-10535F535AF1}"/>
    <cellStyle name="Normal 5 2 2" xfId="7" xr:uid="{D959A384-A1C0-4A2B-BE10-8028A066A89E}"/>
    <cellStyle name="Normal 5 2 2 2" xfId="2089" xr:uid="{1D240358-005B-492D-BCD1-41647183A296}"/>
    <cellStyle name="Normal 5 2 3" xfId="2090" xr:uid="{EAB00B1B-185A-4B2D-AF41-A76EDAD3929D}"/>
    <cellStyle name="Normal 5 2 3 2" xfId="2091" xr:uid="{D8EF1C8A-B643-4180-BF7A-EA216CA0255E}"/>
    <cellStyle name="Normal 5 2 4" xfId="2092" xr:uid="{7A4749DF-8CD2-4CAE-A9A5-3780AEDC1E9A}"/>
    <cellStyle name="Normal 5 2 4 2" xfId="2093" xr:uid="{5ED56F07-65C1-4034-8D45-26AF65628253}"/>
    <cellStyle name="Normal 5 2 5" xfId="2094" xr:uid="{EEA6B6F9-7B16-48A9-9675-3913CBAC629B}"/>
    <cellStyle name="Normal 5 2 5 2" xfId="2095" xr:uid="{C5E1EB44-1E65-4A3B-88EF-3EDE8103BFF4}"/>
    <cellStyle name="Normal 5 2 6" xfId="2096" xr:uid="{1B86DA6C-EFD6-404E-9654-813B118A3E9F}"/>
    <cellStyle name="Normal 5 3" xfId="2097" xr:uid="{0DFCF129-1DB5-40D8-AF25-49D4EF52FEA3}"/>
    <cellStyle name="Normal 5 3 2" xfId="2098" xr:uid="{A74991CE-FA54-451C-BC4A-F96E684FD427}"/>
    <cellStyle name="Normal 5 3 3" xfId="2099" xr:uid="{C1090D31-CEB9-4477-928B-21B68DF11E08}"/>
    <cellStyle name="Normal 5 4" xfId="2100" xr:uid="{215C0BC1-F2CF-4F22-B0EC-305983E7D58F}"/>
    <cellStyle name="Normal 5 4 2" xfId="2101" xr:uid="{D6C40BD0-0516-4CE3-95F0-4B34074D4F64}"/>
    <cellStyle name="Normal 5 4 3" xfId="2102" xr:uid="{F64CE00A-547A-4877-A723-F69CBE57C3FC}"/>
    <cellStyle name="Normal 5 5" xfId="2103" xr:uid="{C7DA7D1D-4521-427A-A3BD-3F165C80799D}"/>
    <cellStyle name="Normal 5 5 2" xfId="2104" xr:uid="{A1EB6292-A353-4B8E-B1B5-E6CB8A29F8CE}"/>
    <cellStyle name="Normal 5 5 3" xfId="2105" xr:uid="{B41F24ED-CACE-4ED8-A5F4-4CDBB65C412D}"/>
    <cellStyle name="Normal 5 6" xfId="2106" xr:uid="{91D4B200-50BD-4931-B40A-BFD6AFFB667D}"/>
    <cellStyle name="Normal 5 6 2" xfId="2107" xr:uid="{C9F32952-7BC6-44CC-AF31-81A7813CFB91}"/>
    <cellStyle name="Normal 5 6 3" xfId="2108" xr:uid="{DD7F1CE4-A395-44CC-AF66-FA7BA1FF236F}"/>
    <cellStyle name="Normal 5 6 4" xfId="2109" xr:uid="{A2AFFCD5-BBE3-40DB-B1D8-F89271759E73}"/>
    <cellStyle name="Normal 5 7" xfId="2110" xr:uid="{6F5D7227-05E2-4128-9126-663C482BD402}"/>
    <cellStyle name="Normal 5 8" xfId="2111" xr:uid="{62BA448D-A5EC-4332-82A5-BFBCA7A40238}"/>
    <cellStyle name="Normal 5 9" xfId="2088" xr:uid="{E2CD93FB-358B-41E4-BE8B-BC7649DD8A1C}"/>
    <cellStyle name="Normal 50" xfId="2112" xr:uid="{72D1E367-EB28-403E-9BAD-5F898D9B9872}"/>
    <cellStyle name="Normal 51" xfId="2113" xr:uid="{16D918F3-EF2E-428C-9B5C-44B2B99BC2CE}"/>
    <cellStyle name="Normal 52" xfId="2114" xr:uid="{863F771A-6A5E-4569-884D-59DA727307AB}"/>
    <cellStyle name="Normal 53" xfId="2115" xr:uid="{EBDDB5EC-F5BD-48F8-9E61-88A18E440E6D}"/>
    <cellStyle name="Normal 54" xfId="2116" xr:uid="{2581E556-584E-416A-BE3E-B3B9148793A0}"/>
    <cellStyle name="Normal 55" xfId="2117" xr:uid="{8E6FA949-A6C4-4F88-82ED-8AABB7F04FBD}"/>
    <cellStyle name="Normal 56" xfId="2118" xr:uid="{ECE03324-C120-4850-8E3D-100DBF7D6D1B}"/>
    <cellStyle name="Normal 57" xfId="2119" xr:uid="{A4E0A711-5C14-4EAF-88EB-233F4B08DA48}"/>
    <cellStyle name="Normal 58" xfId="2120" xr:uid="{B3A1455A-C590-435C-92B0-7B6A2B79C17A}"/>
    <cellStyle name="Normal 59" xfId="2121" xr:uid="{72DAD7A5-0B64-4192-AE36-D2F5BB0E02C5}"/>
    <cellStyle name="Normal 6" xfId="21" xr:uid="{85595F0B-1A30-40BF-A354-D400F0D569DE}"/>
    <cellStyle name="Normal 6 2" xfId="2123" xr:uid="{346EF89C-9411-4052-A064-AB686D7185D5}"/>
    <cellStyle name="Normal 6 2 2" xfId="2124" xr:uid="{A850BC32-C01F-48CA-A218-01EE77311F4B}"/>
    <cellStyle name="Normal 6 2 2 2" xfId="2125" xr:uid="{A0CD18A5-EA18-41B6-AD65-19649FEA05D7}"/>
    <cellStyle name="Normal 6 2 3" xfId="2126" xr:uid="{FA112DFC-9189-4F11-A439-D76FA13712CF}"/>
    <cellStyle name="Normal 6 2 3 2" xfId="2127" xr:uid="{EA0086B9-C54F-4D5A-BAA7-FA52D6005FFB}"/>
    <cellStyle name="Normal 6 2 4" xfId="2128" xr:uid="{A432808B-7555-4AE0-BB27-2E6EEA87D4FB}"/>
    <cellStyle name="Normal 6 2 5" xfId="2129" xr:uid="{94CDCCC6-2F30-4C85-93F4-69CD4B6433CD}"/>
    <cellStyle name="Normal 6 2 6" xfId="2130" xr:uid="{EA464B62-DD0F-4282-8FC9-A6B1F8AEA9C6}"/>
    <cellStyle name="Normal 6 3" xfId="2131" xr:uid="{183C7266-AAE9-436E-8337-4B8B6519FEB4}"/>
    <cellStyle name="Normal 6 3 2" xfId="2132" xr:uid="{64303D33-D931-4231-A7D4-D0E7B7994A0E}"/>
    <cellStyle name="Normal 6 4" xfId="2133" xr:uid="{E45171D6-BF45-4F2F-B399-B0335F8054EA}"/>
    <cellStyle name="Normal 6 4 2" xfId="2134" xr:uid="{3F04AFBA-CE3D-4C38-ACF7-D2D916D49D45}"/>
    <cellStyle name="Normal 6 4 3" xfId="2135" xr:uid="{9E0B0547-8724-4313-8491-C97FEF776D85}"/>
    <cellStyle name="Normal 6 4 4" xfId="2136" xr:uid="{55B4369B-2B58-4C54-8E65-A34B5F63E8E4}"/>
    <cellStyle name="Normal 6 5" xfId="2137" xr:uid="{5FF1E999-301F-4DB2-A961-C4BC7B6E1C24}"/>
    <cellStyle name="Normal 6 5 2" xfId="2138" xr:uid="{792AE767-BFB1-42A8-A62F-9E69E25FC01F}"/>
    <cellStyle name="Normal 6 6" xfId="2139" xr:uid="{5138F840-A321-4573-B8D0-7834AE8E6354}"/>
    <cellStyle name="Normal 6 7" xfId="2140" xr:uid="{2392C81F-DEE7-4BF6-AFE5-48C62CF04148}"/>
    <cellStyle name="Normal 6 8" xfId="2122" xr:uid="{68B4244F-3AC2-4E14-B1C9-08C58F8EBED4}"/>
    <cellStyle name="Normal 60" xfId="2141" xr:uid="{6CF02B73-466B-4E7C-82A8-4A38391A7E77}"/>
    <cellStyle name="Normal 61" xfId="2142" xr:uid="{4DA1778E-8DF6-4724-BB32-7A561EB6753C}"/>
    <cellStyle name="Normal 62" xfId="2143" xr:uid="{7D5DCD7C-1543-405C-AC0B-816696A2727F}"/>
    <cellStyle name="Normal 63" xfId="2144" xr:uid="{420576D4-B870-4AE5-9B3D-5E3DFB3D0D1B}"/>
    <cellStyle name="Normal 64" xfId="2145" xr:uid="{11D3BBB0-AB2F-40CA-9744-028030DA07CA}"/>
    <cellStyle name="Normal 65" xfId="2146" xr:uid="{1EEF3216-ADAF-4810-8894-8754EB0058B4}"/>
    <cellStyle name="Normal 66" xfId="2147" xr:uid="{FDB55AF9-BE0E-43BC-8904-64EE1642460E}"/>
    <cellStyle name="Normal 67" xfId="2148" xr:uid="{E6D9A8D3-34C8-4224-A799-70D4FCA8D7D3}"/>
    <cellStyle name="Normal 68" xfId="2149" xr:uid="{88689BFE-CE97-47A6-AD0E-CDDCBD7B67A7}"/>
    <cellStyle name="Normal 69" xfId="2150" xr:uid="{27CCDC16-16EC-4E61-8A83-C2D21DFF634E}"/>
    <cellStyle name="Normal 7" xfId="2151" xr:uid="{D1491E3E-1E0C-49FE-A8AB-81B443A4A689}"/>
    <cellStyle name="Normal 7 2" xfId="2152" xr:uid="{227DD183-9968-43FA-A007-836DB90DEB1E}"/>
    <cellStyle name="Normal 7 2 2" xfId="2153" xr:uid="{46B93037-C749-4DAE-9D7D-40DCF2CBD4BA}"/>
    <cellStyle name="Normal 7 2 3" xfId="2154" xr:uid="{CD7C1006-FB11-43F5-B434-D81141E6930A}"/>
    <cellStyle name="Normal 7 2 4" xfId="2155" xr:uid="{F1587694-0C18-4277-9A42-9A418845069E}"/>
    <cellStyle name="Normal 7 3" xfId="2156" xr:uid="{170BF715-2259-4193-A0DB-8C4920A26D45}"/>
    <cellStyle name="Normal 7 3 2" xfId="2157" xr:uid="{BF25E773-AAE2-4818-A64D-7D7F0232040E}"/>
    <cellStyle name="Normal 7 4" xfId="2158" xr:uid="{879CDA98-B30F-42E1-8E7A-4EB0881AE5B2}"/>
    <cellStyle name="Normal 7 5" xfId="2159" xr:uid="{A70AEAD9-930E-48A9-A090-E90E23121BEC}"/>
    <cellStyle name="Normal 7 6" xfId="2160" xr:uid="{8C2B4C8C-27D0-48DF-A50B-E2E9BEAC1F5D}"/>
    <cellStyle name="Normal 7 6 2" xfId="2161" xr:uid="{89CBC37F-B6AE-441E-A2BB-8CCD35893879}"/>
    <cellStyle name="Normal 70" xfId="2162" xr:uid="{792005A4-0069-49A7-8A01-83285E4D4FC5}"/>
    <cellStyle name="Normal 71" xfId="2163" xr:uid="{10B2183A-BD91-451C-B739-E6780E514146}"/>
    <cellStyle name="Normal 71 2" xfId="2164" xr:uid="{020C2B14-848E-4C31-A870-7BEF632B194B}"/>
    <cellStyle name="Normal 72" xfId="2165" xr:uid="{AB4D38B4-EC48-4146-B768-DF386401B618}"/>
    <cellStyle name="Normal 72 2" xfId="2166" xr:uid="{193FD3DA-09C5-4296-90B8-381522BDF6AA}"/>
    <cellStyle name="Normal 72 2 2" xfId="2167" xr:uid="{DFB954BE-0322-4BDC-B27B-68847F477865}"/>
    <cellStyle name="Normal 72 3" xfId="2168" xr:uid="{2933B757-AE7C-41E9-A65B-057B472F572F}"/>
    <cellStyle name="Normal 73" xfId="2169" xr:uid="{8A2942F6-A5A1-401A-BB65-688AD9BC41D6}"/>
    <cellStyle name="Normal 73 2" xfId="2170" xr:uid="{778B6FA9-2169-4B1F-B9FD-021BB7250583}"/>
    <cellStyle name="Normal 73 3" xfId="2171" xr:uid="{47CBE503-9015-4EA4-93B7-426E874F7E5D}"/>
    <cellStyle name="Normal 73 4" xfId="2172" xr:uid="{158E8A34-B946-49A0-8EBB-E9541ABCF046}"/>
    <cellStyle name="Normal 73 5" xfId="2173" xr:uid="{013D30E3-C42F-46C1-95ED-4FE554ADE71A}"/>
    <cellStyle name="Normal 74" xfId="2174" xr:uid="{BEF42E12-6E91-47A4-A9BD-CDFA6C099D42}"/>
    <cellStyle name="Normal 74 2" xfId="2175" xr:uid="{4F858D93-4A05-4B10-9D10-9EFF96E2ECC1}"/>
    <cellStyle name="Normal 75" xfId="2176" xr:uid="{79188AEB-FB9A-4B96-894D-076C26A9FC8F}"/>
    <cellStyle name="Normal 75 2" xfId="2177" xr:uid="{9BEBC962-DE9A-45A4-912F-30FB9F38582E}"/>
    <cellStyle name="Normal 76" xfId="2178" xr:uid="{C131F1DD-1682-4AF2-A770-C0B6458DD0EC}"/>
    <cellStyle name="Normal 76 2" xfId="2179" xr:uid="{DFD3F2C0-4D5C-47F0-B985-E72C4B976BF4}"/>
    <cellStyle name="Normal 76 3" xfId="2180" xr:uid="{35A17354-80BA-4E0E-98A3-43EAACD4BDFB}"/>
    <cellStyle name="Normal 77" xfId="2181" xr:uid="{510778F4-8036-40B7-AEBA-FE20E507FB0B}"/>
    <cellStyle name="Normal 77 2" xfId="2182" xr:uid="{366339C7-57A3-45A1-A604-D5993C497CC8}"/>
    <cellStyle name="Normal 77 3" xfId="2183" xr:uid="{D6F6C3E5-2D1D-4EA7-A6FC-E4E641D73107}"/>
    <cellStyle name="Normal 78" xfId="2184" xr:uid="{F5BD6FFC-C833-4FAF-9784-D6C8ABEE173A}"/>
    <cellStyle name="Normal 79" xfId="2185" xr:uid="{ADD26E79-3173-43EA-8ABD-AD059EE9AA4D}"/>
    <cellStyle name="Normal 8" xfId="2186" xr:uid="{F2CD1ACC-707E-46F3-AA5C-185F5CFEFA65}"/>
    <cellStyle name="Normal 8 2" xfId="2187" xr:uid="{7B63411B-9956-4881-A38A-4BCA9B81B170}"/>
    <cellStyle name="Normal 8 2 2" xfId="2188" xr:uid="{E6DE8D6E-D782-4F85-A5FD-F51159F1A881}"/>
    <cellStyle name="Normal 8 2 3" xfId="2189" xr:uid="{6BEBAA7C-3EF9-4916-9296-24A2482EDEDC}"/>
    <cellStyle name="Normal 8 2 4" xfId="2190" xr:uid="{279216AB-9BCE-41D1-81E6-353CAA7E6A4E}"/>
    <cellStyle name="Normal 8 3" xfId="2191" xr:uid="{C954DE13-83DF-403A-A7FF-3E3D69B05916}"/>
    <cellStyle name="Normal 8 3 2" xfId="2192" xr:uid="{69EF7638-5C46-4D9B-A824-BFC9F88FE2A3}"/>
    <cellStyle name="Normal 8 3 3" xfId="2193" xr:uid="{29A9F34A-377E-4049-883F-D82746CF0F38}"/>
    <cellStyle name="Normal 8 4" xfId="2194" xr:uid="{F6DF1AB0-694D-4921-A70B-C723A388C022}"/>
    <cellStyle name="Normal 8 4 2" xfId="2195" xr:uid="{B5D2322D-2938-4318-A595-5F54BEEE6320}"/>
    <cellStyle name="Normal 8 4 3" xfId="2196" xr:uid="{DF20FBF2-B85D-4219-B5ED-93C36FBD1EF8}"/>
    <cellStyle name="Normal 8 5" xfId="2197" xr:uid="{7E943711-7DBF-490D-AA4B-6F8CCD071885}"/>
    <cellStyle name="Normal 8 5 2" xfId="2198" xr:uid="{940990DC-65C5-4562-8700-186AA38DDC99}"/>
    <cellStyle name="Normal 8 5 3" xfId="2199" xr:uid="{A7F3A445-426B-434D-A218-F58AAEEDC261}"/>
    <cellStyle name="Normal 8 6" xfId="2200" xr:uid="{306D5487-C8FF-46F7-8A3B-1555110AFDB6}"/>
    <cellStyle name="Normal 8 7" xfId="2201" xr:uid="{28125054-A534-4A04-BF96-4BF4ADA87B2F}"/>
    <cellStyle name="Normal 8 8" xfId="2202" xr:uid="{28F34DBB-7002-4FE8-BE12-B37D96E988BF}"/>
    <cellStyle name="Normal 80" xfId="2203" xr:uid="{AFC4799B-C3EF-4DD2-85C2-BD5392F1B92F}"/>
    <cellStyle name="Normal 81" xfId="2204" xr:uid="{E737C1B9-BCDE-40A3-9DC4-92323D53F538}"/>
    <cellStyle name="Normal 82" xfId="2205" xr:uid="{C823BEB4-E11E-4143-88DB-834DC43BC052}"/>
    <cellStyle name="Normal 83" xfId="2206" xr:uid="{C6D10E28-E105-4C7C-A59B-52236154C7F7}"/>
    <cellStyle name="Normal 84" xfId="2207" xr:uid="{880CF1EF-1390-4A24-AE06-13DA25C94CEC}"/>
    <cellStyle name="Normal 85" xfId="2208" xr:uid="{1C88B2D4-4201-457D-857D-3FFBEC476923}"/>
    <cellStyle name="Normal 86" xfId="2209" xr:uid="{33C10949-46E5-48BC-AAEC-2CB9447EE2DA}"/>
    <cellStyle name="Normal 87" xfId="2210" xr:uid="{CA703523-2EB7-46A6-978F-C22BEF818C1D}"/>
    <cellStyle name="Normal 88" xfId="2211" xr:uid="{49FF6888-B627-4CA4-B562-2A6D97FC1BF1}"/>
    <cellStyle name="Normal 89" xfId="2212" xr:uid="{197E6151-D7A5-4B2B-97FE-83F7BAFF382C}"/>
    <cellStyle name="Normal 9" xfId="2213" xr:uid="{177882D6-146D-411B-B46F-EF80493DE8B8}"/>
    <cellStyle name="Normal 9 2" xfId="2214" xr:uid="{6FC3C935-5BDE-4A15-9FB7-0CD9C8657092}"/>
    <cellStyle name="Normal 9 2 2" xfId="2215" xr:uid="{353E167F-25BD-4D36-BD5C-4F9922FAC532}"/>
    <cellStyle name="Normal 9 3" xfId="2216" xr:uid="{2CB19C68-25F9-4A0E-B847-4AF450F31CFE}"/>
    <cellStyle name="Normal 90" xfId="2217" xr:uid="{04D389BC-02C8-4ECB-901C-2FE85746401A}"/>
    <cellStyle name="Normal 91" xfId="2218" xr:uid="{0360C15D-77EA-4881-BE51-2A32FD302BFE}"/>
    <cellStyle name="Normal 92" xfId="2219" xr:uid="{93B3325C-0FE4-4AB2-80AE-71184A33CD16}"/>
    <cellStyle name="Normal 93" xfId="2220" xr:uid="{D1EA1613-E4F3-4BEA-9D8F-C50F51074636}"/>
    <cellStyle name="Normal 94" xfId="2221" xr:uid="{B1BE891C-C6FA-403B-B535-03AB3B3B13E3}"/>
    <cellStyle name="Normal 95" xfId="2222" xr:uid="{7B2FCACE-8303-4AED-A583-383555C2D1CC}"/>
    <cellStyle name="Normal 96" xfId="2223" xr:uid="{4595A822-FFF1-404C-805E-91D6D238C147}"/>
    <cellStyle name="Normal 97" xfId="2224" xr:uid="{49CF9A5A-AEA3-45CB-B803-A12C2C5DFC43}"/>
    <cellStyle name="Normal 98" xfId="2225" xr:uid="{EBDAF659-B87A-4FE5-A14E-28FED5D8090E}"/>
    <cellStyle name="Normal 99" xfId="2226" xr:uid="{D676887C-26C8-4452-BB68-A32E398F96EE}"/>
    <cellStyle name="Normale_B2020" xfId="2227" xr:uid="{0799F595-0228-4FA6-B475-AA8F38AB9E66}"/>
    <cellStyle name="Notas 10" xfId="2228" xr:uid="{5D6B6894-75ED-4CA9-9B5F-8D923B3BD33A}"/>
    <cellStyle name="Notas 10 2" xfId="2229" xr:uid="{CBE6F52E-11FE-4782-B52B-7FE88B75DB0A}"/>
    <cellStyle name="Notas 10 2 2" xfId="2230" xr:uid="{324E1F57-4D79-43B0-BBFE-F8570EE971EA}"/>
    <cellStyle name="Notas 10 2 2 2" xfId="2231" xr:uid="{37171DA3-E54D-4525-A1AD-9E76D240FD03}"/>
    <cellStyle name="Notas 10 2 3" xfId="2232" xr:uid="{99480675-879A-4D28-BD2D-D9573C69255B}"/>
    <cellStyle name="Notas 10 3" xfId="2233" xr:uid="{01CA302E-D4A0-4A00-9566-160CC2B37C0F}"/>
    <cellStyle name="Notas 10 3 2" xfId="2234" xr:uid="{CE784FD9-6C21-4CC0-9D0D-2A49124BE1E8}"/>
    <cellStyle name="Notas 11" xfId="2235" xr:uid="{75956423-008C-4AD3-9C9B-36886C0F7D64}"/>
    <cellStyle name="Notas 11 2" xfId="2236" xr:uid="{BED73A32-73CC-4DCB-B514-6F44EB5080FC}"/>
    <cellStyle name="Notas 11 2 2" xfId="2237" xr:uid="{CCA66586-DAA4-4B12-BB22-40C1BD8DC68E}"/>
    <cellStyle name="Notas 11 2 2 2" xfId="2238" xr:uid="{647744C9-8BC5-462D-99E0-C474FAA8DBDE}"/>
    <cellStyle name="Notas 11 2 3" xfId="2239" xr:uid="{04BF7A48-74A7-40BD-81AB-13CD465EDEE4}"/>
    <cellStyle name="Notas 11 3" xfId="2240" xr:uid="{EC59E9BE-9478-42B4-A483-2C0CE8443C22}"/>
    <cellStyle name="Notas 11 3 2" xfId="2241" xr:uid="{CBE012F4-1858-482D-B288-2F3EC167F345}"/>
    <cellStyle name="Notas 12" xfId="2242" xr:uid="{B4BFB857-9E09-4C7D-9BC4-EDB96E5E7BD2}"/>
    <cellStyle name="Notas 12 2" xfId="2243" xr:uid="{CD7A3827-63DE-476A-9B0A-906FAB5325BB}"/>
    <cellStyle name="Notas 12 2 2" xfId="2244" xr:uid="{2A0E606A-7E92-4C2D-91E0-D8FDEE907B87}"/>
    <cellStyle name="Notas 12 2 2 2" xfId="2245" xr:uid="{3BA73766-0F58-4793-9B64-2EB72ED99E67}"/>
    <cellStyle name="Notas 12 2 3" xfId="2246" xr:uid="{A351ADA5-BCAD-4AAD-B015-83C29A9E83B8}"/>
    <cellStyle name="Notas 12 3" xfId="2247" xr:uid="{DB55A088-CC49-4A79-8A28-8C3198046A80}"/>
    <cellStyle name="Notas 12 3 2" xfId="2248" xr:uid="{37C80963-A38C-4435-937C-D0E57F66BA1B}"/>
    <cellStyle name="Notas 13" xfId="2249" xr:uid="{B2F0E5E2-4D3F-4A25-B20D-C2F0B4959AE2}"/>
    <cellStyle name="Notas 13 2" xfId="2250" xr:uid="{0FBEDC6D-43C6-489F-B5C1-79DE7F756CFC}"/>
    <cellStyle name="Notas 13 2 2" xfId="2251" xr:uid="{E6D308A5-0454-42DC-BDAD-0E6B517824FD}"/>
    <cellStyle name="Notas 13 2 2 2" xfId="2252" xr:uid="{3FA4FAE6-D5D2-4CCC-BE42-8CC76FCDC470}"/>
    <cellStyle name="Notas 13 2 3" xfId="2253" xr:uid="{11E50245-B269-4041-BE31-2B49D182C70B}"/>
    <cellStyle name="Notas 13 3" xfId="2254" xr:uid="{CD689EFE-B2E4-48FF-8C61-7DF3C6E3CD6C}"/>
    <cellStyle name="Notas 13 3 2" xfId="2255" xr:uid="{48565A3D-BD1C-4A31-A1FD-73E441C16C5E}"/>
    <cellStyle name="Notas 14" xfId="2256" xr:uid="{CBEF6D53-C359-446E-B3B2-4F34E097DAF1}"/>
    <cellStyle name="Notas 14 2" xfId="2257" xr:uid="{BBFE5BEA-BF29-4553-867B-DED300383023}"/>
    <cellStyle name="Notas 14 2 2" xfId="2258" xr:uid="{F881ABD0-247B-49D1-9F03-CBD219E5CC89}"/>
    <cellStyle name="Notas 14 2 2 2" xfId="2259" xr:uid="{74FB9639-4348-4B4D-91A5-05499F221E65}"/>
    <cellStyle name="Notas 14 2 3" xfId="2260" xr:uid="{09C57A71-B733-4A4D-BD3F-5220EAC6B9FF}"/>
    <cellStyle name="Notas 14 3" xfId="2261" xr:uid="{3A5456ED-590E-4FF9-AAA4-640A4CF7E662}"/>
    <cellStyle name="Notas 14 3 2" xfId="2262" xr:uid="{65B31B24-54B0-4A0C-BA7E-B847F2E1B6F3}"/>
    <cellStyle name="Notas 15" xfId="2263" xr:uid="{CA4CFEAC-7A29-4137-9977-361D6961A690}"/>
    <cellStyle name="Notas 15 2" xfId="2264" xr:uid="{F1A8AE93-DCFE-4B55-B205-929BD58E99D8}"/>
    <cellStyle name="Notas 15 2 2" xfId="2265" xr:uid="{8B67B460-CAC2-4416-81C1-7E66435EBC12}"/>
    <cellStyle name="Notas 15 2 2 2" xfId="2266" xr:uid="{7CFEDBDD-D833-4F79-BB37-FC5E924B9AA5}"/>
    <cellStyle name="Notas 15 2 3" xfId="2267" xr:uid="{13510776-8292-4DB9-A996-8209A3C19DF6}"/>
    <cellStyle name="Notas 15 3" xfId="2268" xr:uid="{1BCCFA78-966E-453F-8AD7-2D5675058BE9}"/>
    <cellStyle name="Notas 15 3 2" xfId="2269" xr:uid="{A21112AA-03C3-4D75-A3D1-F8E5C0FD05EF}"/>
    <cellStyle name="Notas 16" xfId="2270" xr:uid="{E009411E-58C1-4740-BC13-8EF5C8F19ABC}"/>
    <cellStyle name="Notas 16 2" xfId="2271" xr:uid="{8DC4113E-155A-4A39-9AD7-79AD605947F2}"/>
    <cellStyle name="Notas 16 2 2" xfId="2272" xr:uid="{44561BCC-2EB3-4E54-842C-DA01216F536F}"/>
    <cellStyle name="Notas 16 2 2 2" xfId="2273" xr:uid="{DF975D44-ECF9-4B42-8AFA-8690ACF82AC6}"/>
    <cellStyle name="Notas 16 2 3" xfId="2274" xr:uid="{69165CA4-E20C-4091-879D-82332F83E5B1}"/>
    <cellStyle name="Notas 16 3" xfId="2275" xr:uid="{EE7ABDE2-3579-43E5-ABDA-4CA66ACC722B}"/>
    <cellStyle name="Notas 16 3 2" xfId="2276" xr:uid="{F591CC51-3FC5-4CB9-A46E-318F1531EF5E}"/>
    <cellStyle name="Notas 17" xfId="2277" xr:uid="{3E93448A-54D5-4CFD-BC7F-8F2C9D46572E}"/>
    <cellStyle name="Notas 17 2" xfId="2278" xr:uid="{F7C205AD-3E9B-4B18-B269-399174A25430}"/>
    <cellStyle name="Notas 17 2 2" xfId="2279" xr:uid="{B269F33B-C57A-4D8F-A943-8D7C7333178F}"/>
    <cellStyle name="Notas 17 2 2 2" xfId="2280" xr:uid="{04D0AE47-C47A-4BC1-803D-92B2B6F74B98}"/>
    <cellStyle name="Notas 17 2 3" xfId="2281" xr:uid="{9D4D5414-DDDC-4E9A-8928-5D14DE4AC5DF}"/>
    <cellStyle name="Notas 17 3" xfId="2282" xr:uid="{D67F5848-F89D-4D74-88CA-3931026AFAFB}"/>
    <cellStyle name="Notas 17 3 2" xfId="2283" xr:uid="{0DE18862-11A6-42EE-8556-6B74DB8CBE7E}"/>
    <cellStyle name="Notas 18" xfId="2284" xr:uid="{F1DE914E-0099-4AD6-9516-90C335E3864C}"/>
    <cellStyle name="Notas 18 2" xfId="2285" xr:uid="{0414F16A-939C-4B8C-B472-674CCF2435DB}"/>
    <cellStyle name="Notas 18 2 2" xfId="2286" xr:uid="{13CDC919-B787-4C8B-A958-A9E32C485393}"/>
    <cellStyle name="Notas 18 2 2 2" xfId="2287" xr:uid="{6E7EEDD0-0C62-44C0-B923-1AFB0B6C728C}"/>
    <cellStyle name="Notas 18 2 3" xfId="2288" xr:uid="{56EB88B9-EE0D-43A5-983C-915E00F34106}"/>
    <cellStyle name="Notas 18 3" xfId="2289" xr:uid="{A0712B35-3AC4-4D23-82C0-4B0F20B19EAE}"/>
    <cellStyle name="Notas 18 3 2" xfId="2290" xr:uid="{3EA7EC99-F891-4CE2-907D-0C872D565A97}"/>
    <cellStyle name="Notas 19" xfId="2291" xr:uid="{7B0CE7ED-D866-4A5C-B008-2E86A46A1884}"/>
    <cellStyle name="Notas 19 2" xfId="2292" xr:uid="{3C11E863-725E-4533-A28D-7BCBB0059335}"/>
    <cellStyle name="Notas 19 2 2" xfId="2293" xr:uid="{5FB92B16-48E5-479D-9C75-0F21E7917BF5}"/>
    <cellStyle name="Notas 19 2 2 2" xfId="2294" xr:uid="{F4C357F3-03D6-4D86-8E6B-C1EF872E66DA}"/>
    <cellStyle name="Notas 19 2 3" xfId="2295" xr:uid="{DD5EA807-A905-4000-B211-513903C0EF66}"/>
    <cellStyle name="Notas 19 3" xfId="2296" xr:uid="{3B4DD5FE-5528-4E5F-A4F1-11F99E615045}"/>
    <cellStyle name="Notas 19 3 2" xfId="2297" xr:uid="{8BF18CA4-13D4-49CF-BC53-2FD455480692}"/>
    <cellStyle name="Notas 2" xfId="2298" xr:uid="{CCFF9B9B-2D91-4933-B75E-AAC45917B9CE}"/>
    <cellStyle name="Notas 2 2" xfId="2299" xr:uid="{DEEAA899-0AFF-4523-A0B4-906800279B92}"/>
    <cellStyle name="Notas 2 2 2" xfId="2300" xr:uid="{0D2C37E6-A6EC-4223-A158-689F82598C5B}"/>
    <cellStyle name="Notas 2 2 2 2" xfId="2301" xr:uid="{6EDB6438-6224-4D88-BC6F-CD7BA4EEEDA6}"/>
    <cellStyle name="Notas 2 2 2 2 2" xfId="2302" xr:uid="{C1935A56-6D75-4BEE-B3C1-EBA7C3BB7D08}"/>
    <cellStyle name="Notas 2 2 2 3" xfId="2303" xr:uid="{0B86F232-7941-4FA6-AD6C-8E9CDC8D8829}"/>
    <cellStyle name="Notas 2 2 3" xfId="2304" xr:uid="{280F4BD2-7B70-48A4-A913-AF5D04AC7DF3}"/>
    <cellStyle name="Notas 2 2 3 2" xfId="2305" xr:uid="{92A706B9-AB1A-4FBF-BBC8-5DFD7F467907}"/>
    <cellStyle name="Notas 2 3" xfId="2306" xr:uid="{7962466E-DE6B-4FCE-9EFA-3E386D944DE6}"/>
    <cellStyle name="Notas 2 3 2" xfId="2307" xr:uid="{4DC25EE7-8090-44B9-841B-F6F3EFA75CF1}"/>
    <cellStyle name="Notas 2 3 2 2" xfId="2308" xr:uid="{5BF36D5D-457E-4674-BD0C-344D178E9FC9}"/>
    <cellStyle name="Notas 2 3 3" xfId="2309" xr:uid="{EAD40695-4303-4BBA-B528-BDD3A2B2B626}"/>
    <cellStyle name="Notas 2 4" xfId="2310" xr:uid="{D1BFDAEB-466E-46F8-9AEC-0CA333AAA188}"/>
    <cellStyle name="Notas 2 4 2" xfId="2311" xr:uid="{62167A6C-8023-424D-B041-DDB5B510D975}"/>
    <cellStyle name="Notas 20" xfId="2312" xr:uid="{4A112C09-A855-464A-B89F-3C37D0915803}"/>
    <cellStyle name="Notas 20 2" xfId="2313" xr:uid="{29F609F4-2F65-4E04-851C-3E016651E753}"/>
    <cellStyle name="Notas 20 2 2" xfId="2314" xr:uid="{EF6F766F-0509-4D34-B527-AE82E3BF9C98}"/>
    <cellStyle name="Notas 20 2 2 2" xfId="2315" xr:uid="{35773351-FFDB-42DC-8617-DCB9D37B64B6}"/>
    <cellStyle name="Notas 20 2 3" xfId="2316" xr:uid="{D35E4D46-06B9-4715-9B1A-BE1262729B13}"/>
    <cellStyle name="Notas 20 3" xfId="2317" xr:uid="{B223182D-7BDA-43F3-8429-BDF78AADC6E2}"/>
    <cellStyle name="Notas 20 3 2" xfId="2318" xr:uid="{CA43BCA4-B2D7-497D-9DF8-2083BBED841C}"/>
    <cellStyle name="Notas 21" xfId="2319" xr:uid="{591A2B82-E3F1-400C-804C-2E52FDF80C40}"/>
    <cellStyle name="Notas 21 10" xfId="2320" xr:uid="{BF45C2BC-4135-41C9-A71B-DECB6515454F}"/>
    <cellStyle name="Notas 21 11" xfId="2321" xr:uid="{F84CA18C-D83A-4ADE-9445-08225D2D778C}"/>
    <cellStyle name="Notas 21 2" xfId="2322" xr:uid="{046E0DF0-36B5-42F7-AFEA-BF496E0B3DF3}"/>
    <cellStyle name="Notas 21 2 2" xfId="2323" xr:uid="{28DB814A-98D9-49D8-88C5-AF2693D55A2C}"/>
    <cellStyle name="Notas 21 2 2 2" xfId="2324" xr:uid="{A603A8C3-0F09-4F73-80DE-A4A9A791A83C}"/>
    <cellStyle name="Notas 21 2 2 3" xfId="2325" xr:uid="{14A0DEAE-7EDF-4772-8946-1F21965B4B38}"/>
    <cellStyle name="Notas 21 2 2 3 2" xfId="2326" xr:uid="{028593CF-E42A-4F1E-BC4F-F866F50B4685}"/>
    <cellStyle name="Notas 21 2 2 4" xfId="2327" xr:uid="{1A63A0CB-5040-4DD0-B7CF-D272D4E687A3}"/>
    <cellStyle name="Notas 21 2 2 4 2" xfId="2328" xr:uid="{0C845067-7573-4C41-9AC1-8BF0F03E5711}"/>
    <cellStyle name="Notas 21 2 2 4 3" xfId="2329" xr:uid="{CB709128-0A74-4111-B35E-A2C31EC12270}"/>
    <cellStyle name="Notas 21 2 2 5" xfId="2330" xr:uid="{F974C813-9C6B-415E-8D79-E69799D81404}"/>
    <cellStyle name="Notas 21 2 2 5 2" xfId="2331" xr:uid="{8DF0AC4E-ABA1-40BE-85F4-9AA552239427}"/>
    <cellStyle name="Notas 21 2 2 5 3" xfId="2332" xr:uid="{277D43C5-693D-41E1-B144-8F780E7E5F70}"/>
    <cellStyle name="Notas 21 2 2 6" xfId="2333" xr:uid="{012A0A41-233E-4ABD-84A0-B2B008581A60}"/>
    <cellStyle name="Notas 21 2 2 7" xfId="2334" xr:uid="{2906BFE6-9A0C-4E4C-92CB-6A4E1A19E997}"/>
    <cellStyle name="Notas 21 2 2 8" xfId="2335" xr:uid="{DE9C860F-2328-4216-86C6-D0F9C3665CEF}"/>
    <cellStyle name="Notas 21 2 3" xfId="2336" xr:uid="{EE7011C9-FF4F-4E16-93CC-AA3E67E5BA19}"/>
    <cellStyle name="Notas 21 2 4" xfId="2337" xr:uid="{49BA8AC5-FD2E-45F2-99F1-9C4C1B5D2F1E}"/>
    <cellStyle name="Notas 21 2 4 2" xfId="2338" xr:uid="{2A35A618-C337-4C78-B8F6-CB5D1AAD08E7}"/>
    <cellStyle name="Notas 21 2 5" xfId="2339" xr:uid="{CD5ACFE7-E69F-4F92-B497-4984F2E9E3B7}"/>
    <cellStyle name="Notas 21 2 5 2" xfId="2340" xr:uid="{120BD590-6E51-4F69-A45B-40F4CB126009}"/>
    <cellStyle name="Notas 21 2 5 3" xfId="2341" xr:uid="{BB173CFF-9906-49CC-98E3-A867B604E05D}"/>
    <cellStyle name="Notas 21 2 6" xfId="2342" xr:uid="{58B970EB-CD42-41DB-AD34-ED58E54C6A3F}"/>
    <cellStyle name="Notas 21 2 6 2" xfId="2343" xr:uid="{66CAA230-6710-45C5-8AC7-8AAACB8499E9}"/>
    <cellStyle name="Notas 21 2 6 3" xfId="2344" xr:uid="{C86109D7-6A42-4D92-900F-BA42CBE888A6}"/>
    <cellStyle name="Notas 21 2 7" xfId="2345" xr:uid="{202EAED7-136C-4F60-BED6-40C66AFB89A2}"/>
    <cellStyle name="Notas 21 2 8" xfId="2346" xr:uid="{EB1349A0-DE7E-4827-8ED6-12E05BFE25D7}"/>
    <cellStyle name="Notas 21 2 9" xfId="2347" xr:uid="{6FC47A24-1485-411F-9788-7ACA58F053CE}"/>
    <cellStyle name="Notas 21 3" xfId="2348" xr:uid="{1005F00B-5362-4290-819F-588A6CA6941F}"/>
    <cellStyle name="Notas 21 3 2" xfId="2349" xr:uid="{57F36042-8C91-42EB-BAEE-697B2D48CAF5}"/>
    <cellStyle name="Notas 21 3 2 2" xfId="2350" xr:uid="{2811A844-9128-4F6B-B3BC-BD77C83CB666}"/>
    <cellStyle name="Notas 21 3 2 3" xfId="2351" xr:uid="{5BF20434-081D-4020-BB82-D1BB89FF0F68}"/>
    <cellStyle name="Notas 21 3 2 3 2" xfId="2352" xr:uid="{45CE3401-7B4F-4B62-9E22-6DAEA3746B47}"/>
    <cellStyle name="Notas 21 3 2 4" xfId="2353" xr:uid="{03659BC8-45CB-4ED3-A548-AAD72EC03B96}"/>
    <cellStyle name="Notas 21 3 2 4 2" xfId="2354" xr:uid="{5CF1F92F-FF63-415F-806C-77393A93B91E}"/>
    <cellStyle name="Notas 21 3 2 4 3" xfId="2355" xr:uid="{8947B0DA-7856-4A85-A46A-30B2B173F5A3}"/>
    <cellStyle name="Notas 21 3 2 5" xfId="2356" xr:uid="{852BD942-F93F-437F-91F2-ABB10FDF4AB3}"/>
    <cellStyle name="Notas 21 3 2 5 2" xfId="2357" xr:uid="{FF9F0F2F-D36D-46D6-B5D2-6D3D9D54A76F}"/>
    <cellStyle name="Notas 21 3 2 5 3" xfId="2358" xr:uid="{BFBBBF17-A261-43E1-8899-F6CF713C06C4}"/>
    <cellStyle name="Notas 21 3 2 6" xfId="2359" xr:uid="{499ABE77-698A-4503-8C1D-2E3DED2F1DB1}"/>
    <cellStyle name="Notas 21 3 2 7" xfId="2360" xr:uid="{58F9DBD2-93CC-4E7A-9364-92C743F453AF}"/>
    <cellStyle name="Notas 21 3 2 8" xfId="2361" xr:uid="{764BE9BE-46DC-4CE3-B88C-71966D4EAAFA}"/>
    <cellStyle name="Notas 21 3 3" xfId="2362" xr:uid="{D3E8C98D-DD6F-415D-9BDA-19051E10A041}"/>
    <cellStyle name="Notas 21 3 4" xfId="2363" xr:uid="{FFF1AC29-57DC-4B1C-8638-0A4EF5A78A66}"/>
    <cellStyle name="Notas 21 3 4 2" xfId="2364" xr:uid="{433A1CBE-BF8D-4138-A39B-B3793FD0BAC2}"/>
    <cellStyle name="Notas 21 3 5" xfId="2365" xr:uid="{40659719-74F4-426F-BBFB-5862DF01168B}"/>
    <cellStyle name="Notas 21 3 5 2" xfId="2366" xr:uid="{9078A95F-B241-4D23-AECB-39BC3BBC8D28}"/>
    <cellStyle name="Notas 21 3 5 3" xfId="2367" xr:uid="{3F83136B-5D6F-48FC-9B9B-4315CF761FF6}"/>
    <cellStyle name="Notas 21 3 6" xfId="2368" xr:uid="{7C7DE6E7-60F6-4C79-A05A-9BE36E7ADA7B}"/>
    <cellStyle name="Notas 21 3 6 2" xfId="2369" xr:uid="{E184A522-6CA8-4662-9C97-322D509B2A24}"/>
    <cellStyle name="Notas 21 3 6 3" xfId="2370" xr:uid="{EBBD02D8-733D-4E0C-9862-6EB0EFE58DF1}"/>
    <cellStyle name="Notas 21 3 7" xfId="2371" xr:uid="{6F02C911-A73D-4753-BDFA-3BA99B6DCD01}"/>
    <cellStyle name="Notas 21 3 8" xfId="2372" xr:uid="{AACD43CE-ACE7-426B-8939-247574BA40F0}"/>
    <cellStyle name="Notas 21 3 9" xfId="2373" xr:uid="{B5189A02-04C6-4D97-BE4E-ACE355538F1C}"/>
    <cellStyle name="Notas 21 4" xfId="2374" xr:uid="{AB792975-9BEE-4DCF-A7CC-10208AF9F769}"/>
    <cellStyle name="Notas 21 4 2" xfId="2375" xr:uid="{4E195BB4-9A42-4218-9A22-B0242879072F}"/>
    <cellStyle name="Notas 21 4 3" xfId="2376" xr:uid="{85435AD1-B238-40E3-8DB6-E5F79168560D}"/>
    <cellStyle name="Notas 21 4 3 2" xfId="2377" xr:uid="{2958EECC-BC7B-4B1E-B993-EDE3682E02F0}"/>
    <cellStyle name="Notas 21 4 4" xfId="2378" xr:uid="{FDF84A55-6565-40FF-85EB-B00E2CA89492}"/>
    <cellStyle name="Notas 21 4 4 2" xfId="2379" xr:uid="{B5D44BBB-A000-459D-8A2D-FA613F5E3BB1}"/>
    <cellStyle name="Notas 21 4 4 3" xfId="2380" xr:uid="{7A8BF415-AAEC-4FF4-B12C-D7D166C8D4BD}"/>
    <cellStyle name="Notas 21 4 5" xfId="2381" xr:uid="{C4D37E97-8CA7-4235-A16E-9F153B7209E5}"/>
    <cellStyle name="Notas 21 4 5 2" xfId="2382" xr:uid="{3F46D014-763A-4AE7-9F41-036AB46A55B0}"/>
    <cellStyle name="Notas 21 4 5 3" xfId="2383" xr:uid="{42972572-E50F-45DF-9F09-C7DF67A881D4}"/>
    <cellStyle name="Notas 21 4 6" xfId="2384" xr:uid="{95145456-A0D4-4A9E-A34B-34560F39FB9C}"/>
    <cellStyle name="Notas 21 4 7" xfId="2385" xr:uid="{F8D77DA5-D41E-4A4D-BFFD-A68406118C59}"/>
    <cellStyle name="Notas 21 4 8" xfId="2386" xr:uid="{EB82044B-F7E8-45AF-8D24-B9FD3FA977FF}"/>
    <cellStyle name="Notas 21 5" xfId="2387" xr:uid="{3D52A8D8-4606-4700-A6E6-41B55FF60234}"/>
    <cellStyle name="Notas 21 6" xfId="2388" xr:uid="{DFB64462-808B-4853-A443-8407D5984EF0}"/>
    <cellStyle name="Notas 21 6 2" xfId="2389" xr:uid="{BD7E918D-2612-4B74-97E2-5F21350F94FC}"/>
    <cellStyle name="Notas 21 7" xfId="2390" xr:uid="{B824B3D6-6227-44DE-990B-7007D58BCC11}"/>
    <cellStyle name="Notas 21 7 2" xfId="2391" xr:uid="{BB24B352-9AC1-405F-A81C-B9A0F23CB989}"/>
    <cellStyle name="Notas 21 7 3" xfId="2392" xr:uid="{78806D6B-1B6F-49E7-909B-11C0AA815642}"/>
    <cellStyle name="Notas 21 8" xfId="2393" xr:uid="{CAA5EE2D-76B5-4D1A-B8EC-9181EACB1C0B}"/>
    <cellStyle name="Notas 21 8 2" xfId="2394" xr:uid="{11B65DBC-0125-45A5-9D33-88CBF300C0B6}"/>
    <cellStyle name="Notas 21 8 3" xfId="2395" xr:uid="{F7B512D8-350A-418C-ADD2-33BE6A5863CA}"/>
    <cellStyle name="Notas 21 9" xfId="2396" xr:uid="{ED91FF59-FCDE-475B-B802-2EA3D336858F}"/>
    <cellStyle name="Notas 22" xfId="2397" xr:uid="{435F2871-A8E0-4587-BF12-6BB78710F0A7}"/>
    <cellStyle name="Notas 22 10" xfId="2398" xr:uid="{B2CAD764-E9E8-4538-B7F5-BE2942D3FD48}"/>
    <cellStyle name="Notas 22 2" xfId="2399" xr:uid="{8C7D0DEC-79F6-4B18-BBE8-769957182356}"/>
    <cellStyle name="Notas 22 2 2" xfId="2400" xr:uid="{C2B13E28-BFC4-4EC1-98E4-984889079E4B}"/>
    <cellStyle name="Notas 22 2 2 2" xfId="2401" xr:uid="{F7977BB6-C1FD-47AB-BB82-1874BB522E32}"/>
    <cellStyle name="Notas 22 2 2 3" xfId="2402" xr:uid="{C1CDB0B3-8594-4426-A7BE-A7210903FED7}"/>
    <cellStyle name="Notas 22 2 2 3 2" xfId="2403" xr:uid="{EE766F5D-A084-4914-89CF-A866AE1A6B44}"/>
    <cellStyle name="Notas 22 2 2 4" xfId="2404" xr:uid="{F02F758F-9026-4D9D-889C-2F2036982940}"/>
    <cellStyle name="Notas 22 2 2 4 2" xfId="2405" xr:uid="{13DDA62D-A1E4-4CBB-B48B-31DC679E9BD7}"/>
    <cellStyle name="Notas 22 2 2 4 3" xfId="2406" xr:uid="{54CD9B89-B640-4533-98F6-E15389B61FDE}"/>
    <cellStyle name="Notas 22 2 2 5" xfId="2407" xr:uid="{55A8BE26-468E-4D49-A25B-EC718141AC70}"/>
    <cellStyle name="Notas 22 2 2 5 2" xfId="2408" xr:uid="{0E15507C-AEA3-4827-B717-A6C5A401B9DC}"/>
    <cellStyle name="Notas 22 2 2 5 3" xfId="2409" xr:uid="{960EDA17-D28A-4601-8AEA-75886F8E99EC}"/>
    <cellStyle name="Notas 22 2 2 6" xfId="2410" xr:uid="{50E12F40-E4BD-49B3-9AE5-2AA9EFBEA94F}"/>
    <cellStyle name="Notas 22 2 2 7" xfId="2411" xr:uid="{4437E59E-9A21-43E3-9551-F3D11D24D52A}"/>
    <cellStyle name="Notas 22 2 2 8" xfId="2412" xr:uid="{30C14772-9807-4D57-931D-4362E12667BF}"/>
    <cellStyle name="Notas 22 2 3" xfId="2413" xr:uid="{FB17BE84-1B4A-49E8-97B9-66A2C44131DC}"/>
    <cellStyle name="Notas 22 2 4" xfId="2414" xr:uid="{3EB35DC8-FB26-49D2-A97A-C16BF988AA08}"/>
    <cellStyle name="Notas 22 2 4 2" xfId="2415" xr:uid="{0AC6337D-AF73-4621-AD81-8AFDD75EC13D}"/>
    <cellStyle name="Notas 22 2 5" xfId="2416" xr:uid="{4D22DCC0-92E2-4339-A966-ED5D30F75ED1}"/>
    <cellStyle name="Notas 22 2 5 2" xfId="2417" xr:uid="{2853EE93-4CE1-43CF-A428-308DB97653D2}"/>
    <cellStyle name="Notas 22 2 5 3" xfId="2418" xr:uid="{75C90AA8-87AF-4B04-A54E-F4ECFF2EAA6F}"/>
    <cellStyle name="Notas 22 2 6" xfId="2419" xr:uid="{21368113-2A47-45C6-9970-74F3D60473F0}"/>
    <cellStyle name="Notas 22 2 6 2" xfId="2420" xr:uid="{3248A413-655C-4637-B49A-D8303918BC40}"/>
    <cellStyle name="Notas 22 2 6 3" xfId="2421" xr:uid="{2E716F53-9D94-4824-B268-4B1DD182209A}"/>
    <cellStyle name="Notas 22 2 7" xfId="2422" xr:uid="{E290D4A7-3E2B-460B-B6A0-822AF9381A3B}"/>
    <cellStyle name="Notas 22 2 8" xfId="2423" xr:uid="{7006D11C-6D31-4EBB-A975-1CC3A7947838}"/>
    <cellStyle name="Notas 22 2 9" xfId="2424" xr:uid="{4CEEA46F-A0E4-45F7-B16F-D52E50518E07}"/>
    <cellStyle name="Notas 22 3" xfId="2425" xr:uid="{3BE80ED5-CA2E-48B9-8E80-0F73B1EC5602}"/>
    <cellStyle name="Notas 22 3 2" xfId="2426" xr:uid="{A3FE75AF-7A31-4D00-98A3-47B353D6048F}"/>
    <cellStyle name="Notas 22 3 3" xfId="2427" xr:uid="{54B4A7ED-3F50-492F-9D00-95FC4CCE48CD}"/>
    <cellStyle name="Notas 22 3 3 2" xfId="2428" xr:uid="{6F0833A0-7B4D-4CFD-B164-C2237DAB3B2A}"/>
    <cellStyle name="Notas 22 3 4" xfId="2429" xr:uid="{40611DD3-F7DE-4B06-BF40-67E4B99D1EBA}"/>
    <cellStyle name="Notas 22 3 4 2" xfId="2430" xr:uid="{43D78902-D347-4B81-9FA4-58F2838450F9}"/>
    <cellStyle name="Notas 22 3 4 3" xfId="2431" xr:uid="{202248EC-ACDB-4992-ACDC-C9E3279DFC01}"/>
    <cellStyle name="Notas 22 3 5" xfId="2432" xr:uid="{EC34253F-3748-471B-BB85-CB82C0D3FCBC}"/>
    <cellStyle name="Notas 22 3 5 2" xfId="2433" xr:uid="{4A86FEF2-84AF-41C5-8F16-90EF0ED2F6F9}"/>
    <cellStyle name="Notas 22 3 5 3" xfId="2434" xr:uid="{FDA756CB-45DA-43F8-8520-94DC1E8533FB}"/>
    <cellStyle name="Notas 22 3 6" xfId="2435" xr:uid="{824A200E-C1AC-485D-9665-2170DF6224B1}"/>
    <cellStyle name="Notas 22 3 7" xfId="2436" xr:uid="{964FB6EE-4617-4B2C-BD87-E505EBD21CE9}"/>
    <cellStyle name="Notas 22 3 8" xfId="2437" xr:uid="{249C0282-B336-4242-B757-BDBCA5AFDCB5}"/>
    <cellStyle name="Notas 22 4" xfId="2438" xr:uid="{6FEFD880-DDB5-4107-80E0-A54B172B34EF}"/>
    <cellStyle name="Notas 22 5" xfId="2439" xr:uid="{0B06B5E7-A055-4FAF-A877-A779452EF1FA}"/>
    <cellStyle name="Notas 22 5 2" xfId="2440" xr:uid="{83A3C17C-CE67-496F-BD62-93ED31CAA075}"/>
    <cellStyle name="Notas 22 6" xfId="2441" xr:uid="{01F88A69-F040-4D0A-AA65-CF1069295B61}"/>
    <cellStyle name="Notas 22 6 2" xfId="2442" xr:uid="{B3962F3B-F755-47CE-98A1-DDEC6F85B07F}"/>
    <cellStyle name="Notas 22 6 3" xfId="2443" xr:uid="{3C062DCF-E691-4034-8E16-A1D6BB9B0528}"/>
    <cellStyle name="Notas 22 7" xfId="2444" xr:uid="{0C97EEDF-25C9-4DEF-9DEB-553A6250A26D}"/>
    <cellStyle name="Notas 22 7 2" xfId="2445" xr:uid="{C43A0671-D568-49A4-AB84-B461056AF7C3}"/>
    <cellStyle name="Notas 22 7 3" xfId="2446" xr:uid="{112D5EDF-6F39-4A56-8AA7-626567F88B2D}"/>
    <cellStyle name="Notas 22 8" xfId="2447" xr:uid="{B5D10F17-E9AA-48A7-B8B2-EC4C80F21F91}"/>
    <cellStyle name="Notas 22 9" xfId="2448" xr:uid="{3C71AA01-0E34-4283-95C5-A4F4F45FCBCD}"/>
    <cellStyle name="Notas 23" xfId="2449" xr:uid="{5AEC21B1-2228-40E6-AF57-91BE5353F5EA}"/>
    <cellStyle name="Notas 23 2" xfId="2450" xr:uid="{33EDF7A4-ADC5-4543-A35B-003D8DBDCB30}"/>
    <cellStyle name="Notas 24" xfId="2451" xr:uid="{B98BC44A-FCBA-4DD2-8ABA-49C1EEB88196}"/>
    <cellStyle name="Notas 24 2" xfId="2452" xr:uid="{CFA59502-189D-4ACC-9E45-E41E26090B2B}"/>
    <cellStyle name="Notas 24 3" xfId="2453" xr:uid="{22E41CEB-B3F7-4004-AC10-FFC4204637B1}"/>
    <cellStyle name="Notas 25" xfId="2454" xr:uid="{A9F4A13F-CDA0-4501-BA8F-AD79230A48C9}"/>
    <cellStyle name="Notas 26" xfId="2455" xr:uid="{D0895C2C-54A4-4B28-A4E7-885708D554A9}"/>
    <cellStyle name="Notas 27" xfId="2456" xr:uid="{A2A00C38-2B71-41AD-889A-D358892D780E}"/>
    <cellStyle name="Notas 28" xfId="2457" xr:uid="{29CAFC3E-373F-449C-9C29-195F42662B97}"/>
    <cellStyle name="Notas 29" xfId="2458" xr:uid="{1CC77526-1B0F-48C8-B48D-08B616283B67}"/>
    <cellStyle name="Notas 3" xfId="2459" xr:uid="{3440A43A-0FD6-4A1C-BEDC-04E77C8E88C2}"/>
    <cellStyle name="Notas 3 2" xfId="2460" xr:uid="{0F2E87B5-CACA-483B-923B-EEBD452FE9BC}"/>
    <cellStyle name="Notas 3 2 2" xfId="2461" xr:uid="{829E3404-CC59-46EB-A297-D569BE90779F}"/>
    <cellStyle name="Notas 3 2 2 2" xfId="2462" xr:uid="{E57D45F8-DBC3-4C9F-9839-8F9D3E78BEE5}"/>
    <cellStyle name="Notas 3 2 3" xfId="2463" xr:uid="{860B58A1-35DB-45ED-9EFB-40DD4F47A73F}"/>
    <cellStyle name="Notas 3 3" xfId="2464" xr:uid="{777C544C-C914-4FE1-8A02-03D9D4D8FD65}"/>
    <cellStyle name="Notas 3 3 2" xfId="2465" xr:uid="{824C3E03-46B9-4EB3-B286-2D990B85D6C6}"/>
    <cellStyle name="Notas 30" xfId="2466" xr:uid="{EE59169D-E4AB-4329-9705-66E7165E6C0C}"/>
    <cellStyle name="Notas 31" xfId="2467" xr:uid="{861147F1-4B01-4C26-94EC-7889579202E0}"/>
    <cellStyle name="Notas 4" xfId="2468" xr:uid="{8F57F9C5-2072-4D00-9A14-66AFDF55FB89}"/>
    <cellStyle name="Notas 4 2" xfId="2469" xr:uid="{FA26BBFD-EC31-41D4-AE42-271F2DB05DE9}"/>
    <cellStyle name="Notas 4 2 2" xfId="2470" xr:uid="{913B6DC1-19BB-4843-992C-958CAD24EDC5}"/>
    <cellStyle name="Notas 4 2 2 2" xfId="2471" xr:uid="{25DA9F1F-4012-4867-9331-14A4671743C0}"/>
    <cellStyle name="Notas 4 2 3" xfId="2472" xr:uid="{A9BB42BC-6981-459A-82F3-4F30D1B777BD}"/>
    <cellStyle name="Notas 4 3" xfId="2473" xr:uid="{75CA6667-1543-420F-AA83-49B394C0DAA5}"/>
    <cellStyle name="Notas 4 3 2" xfId="2474" xr:uid="{A87CC246-2D2E-4AF5-98D1-D953054EE528}"/>
    <cellStyle name="Notas 4 4" xfId="2475" xr:uid="{9AACB813-366F-4A59-8E3E-E628A38F30E3}"/>
    <cellStyle name="Notas 4 5" xfId="2476" xr:uid="{6F2A5B45-C267-47E2-AF9A-E555ACE1E9CE}"/>
    <cellStyle name="Notas 4 6" xfId="2477" xr:uid="{4CD84B5E-42DF-4F96-8AF6-B3B609315334}"/>
    <cellStyle name="Notas 4 6 2" xfId="2478" xr:uid="{D63AA4F2-937E-4B37-B86F-EA6330B1B6E5}"/>
    <cellStyle name="Notas 4 7" xfId="2479" xr:uid="{24FA9DEF-0649-47A7-866E-62FC49AB4C74}"/>
    <cellStyle name="Notas 4 7 2" xfId="2480" xr:uid="{9B3AC840-6D68-4605-98AB-E310068503EB}"/>
    <cellStyle name="Notas 4 7 3" xfId="2481" xr:uid="{348D311E-295C-49FA-8593-3D68A85BED7D}"/>
    <cellStyle name="Notas 4 8" xfId="2482" xr:uid="{1E3EEC73-CC39-4D5B-9899-B4B93250EC46}"/>
    <cellStyle name="Notas 4 8 2" xfId="2483" xr:uid="{C7479CE7-8BF1-4C22-9ECE-C1C40812B247}"/>
    <cellStyle name="Notas 4 8 3" xfId="2484" xr:uid="{1E704F6E-3236-4E84-81ED-27B80F16221D}"/>
    <cellStyle name="Notas 4 9" xfId="2485" xr:uid="{43777831-C90C-4634-98A5-406BBF2F78BC}"/>
    <cellStyle name="Notas 5" xfId="2486" xr:uid="{8AF1AB0D-AB38-4A39-A78F-B06C60D324FA}"/>
    <cellStyle name="Notas 5 2" xfId="2487" xr:uid="{5D688928-7E7B-45A9-8369-5FC71D01FA0D}"/>
    <cellStyle name="Notas 5 2 2" xfId="2488" xr:uid="{681EEBC6-DB80-4511-93B7-E810FCA2C060}"/>
    <cellStyle name="Notas 5 2 2 2" xfId="2489" xr:uid="{F079AFF0-915D-4790-A1E7-8B79D3329C4E}"/>
    <cellStyle name="Notas 5 2 3" xfId="2490" xr:uid="{21576B0B-8AE1-40E6-8D0D-005CCA2A7A20}"/>
    <cellStyle name="Notas 5 3" xfId="2491" xr:uid="{C54B34DB-07C7-4E08-9D73-3B31504A6745}"/>
    <cellStyle name="Notas 5 3 2" xfId="2492" xr:uid="{A1726EF2-9365-4AF6-AEA2-4191F8335BDD}"/>
    <cellStyle name="Notas 6" xfId="2493" xr:uid="{1F962F3F-7233-4441-BDD9-79EF7D2D98D0}"/>
    <cellStyle name="Notas 6 2" xfId="2494" xr:uid="{00A1B7FB-EDDE-40DC-BEFB-9934520228D4}"/>
    <cellStyle name="Notas 6 2 2" xfId="2495" xr:uid="{8845DC5F-E1E4-406D-9210-2CA34CBB3179}"/>
    <cellStyle name="Notas 6 2 2 2" xfId="2496" xr:uid="{1531CDB6-F2CE-4E17-83FD-7E072EA54DA4}"/>
    <cellStyle name="Notas 6 2 3" xfId="2497" xr:uid="{0765C5CF-4926-4445-AE7B-4B2895863062}"/>
    <cellStyle name="Notas 6 3" xfId="2498" xr:uid="{6FA1A773-2AC8-40AE-9D6B-4206306B7D92}"/>
    <cellStyle name="Notas 6 3 2" xfId="2499" xr:uid="{8DE919E9-42D9-4672-8259-F4C288238049}"/>
    <cellStyle name="Notas 7" xfId="2500" xr:uid="{8BB12976-718A-4AE1-9C4D-AE7E196F7C16}"/>
    <cellStyle name="Notas 7 2" xfId="2501" xr:uid="{A6E84A9E-17D3-4A82-AF3C-C39089C1A672}"/>
    <cellStyle name="Notas 7 2 2" xfId="2502" xr:uid="{5AED609C-CD28-4265-B6E9-DEC9CB135293}"/>
    <cellStyle name="Notas 7 2 2 2" xfId="2503" xr:uid="{F023AD12-FBA5-4E89-BB5E-547C1A2E933A}"/>
    <cellStyle name="Notas 7 2 3" xfId="2504" xr:uid="{B558347D-4C8B-4591-B361-997D31086FAB}"/>
    <cellStyle name="Notas 7 3" xfId="2505" xr:uid="{BC6EF88F-0D59-4368-A70A-AEB11ABA5BEA}"/>
    <cellStyle name="Notas 7 3 2" xfId="2506" xr:uid="{3C9E73C6-6A76-4051-986A-E5C99F50D2B0}"/>
    <cellStyle name="Notas 8" xfId="2507" xr:uid="{C23AD57E-CBAA-4147-82B2-F332F7A8E628}"/>
    <cellStyle name="Notas 8 2" xfId="2508" xr:uid="{E9AC0018-06D9-4589-A64C-D4721A9FD76C}"/>
    <cellStyle name="Notas 8 2 2" xfId="2509" xr:uid="{A06030D9-9B32-486D-AA94-6F01291E8467}"/>
    <cellStyle name="Notas 8 2 2 2" xfId="2510" xr:uid="{7F2B790E-048C-4C8B-B371-3FDAC60AD827}"/>
    <cellStyle name="Notas 8 2 3" xfId="2511" xr:uid="{0B84F4C0-87F3-44C2-A2F5-42A272B9FCEA}"/>
    <cellStyle name="Notas 8 3" xfId="2512" xr:uid="{F807554D-7998-49C7-B366-09B151197EDA}"/>
    <cellStyle name="Notas 8 3 2" xfId="2513" xr:uid="{A6CCD5A7-0614-4216-9C95-7CCEECD154AF}"/>
    <cellStyle name="Notas 9" xfId="2514" xr:uid="{3A080FFA-62E5-460A-8052-3CC4D8073D15}"/>
    <cellStyle name="Notas 9 2" xfId="2515" xr:uid="{BAAF2A9E-B7EA-44CB-B659-4FA55968F4DC}"/>
    <cellStyle name="Notas 9 2 2" xfId="2516" xr:uid="{D1EFA14D-27BF-44DE-812D-D8FC6DE9A62F}"/>
    <cellStyle name="Notas 9 2 2 2" xfId="2517" xr:uid="{F8708450-53E0-4B21-8F56-4FFDD554B3BD}"/>
    <cellStyle name="Notas 9 2 3" xfId="2518" xr:uid="{0C308411-573F-4799-A75C-23AE11A11A13}"/>
    <cellStyle name="Notas 9 3" xfId="2519" xr:uid="{F23F5ECA-D06B-406B-ABD1-4EDE0435BDCE}"/>
    <cellStyle name="Notas 9 3 2" xfId="2520" xr:uid="{23A95BC9-0FC7-47CC-905A-DFABE2326663}"/>
    <cellStyle name="Note 2" xfId="2521" xr:uid="{0036C593-3D65-4F0F-A140-D4AC87833CA0}"/>
    <cellStyle name="Output" xfId="79" builtinId="21" customBuiltin="1"/>
    <cellStyle name="Output 2" xfId="35" xr:uid="{17A1437C-1A60-40FA-A588-F775CDFA7518}"/>
    <cellStyle name="Output 2 2" xfId="2522" xr:uid="{F43C24C7-CA50-4F81-B949-86ADBFB669DE}"/>
    <cellStyle name="p" xfId="2523" xr:uid="{37D7CCC8-ED68-4B6D-AAC8-0C6949E92BCE}"/>
    <cellStyle name="Pame" xfId="2524" xr:uid="{6EA0459D-5043-4F7A-ADDD-F5C71481F619}"/>
    <cellStyle name="Percent" xfId="14" builtinId="5"/>
    <cellStyle name="Percent 2" xfId="5" xr:uid="{A637CE7F-4299-4FA9-9479-DFA9534E0ADF}"/>
    <cellStyle name="Percent 2 2" xfId="2526" xr:uid="{29107E4D-BE0B-4792-96A6-AD5696F46A5D}"/>
    <cellStyle name="Percent 2 3" xfId="2527" xr:uid="{B3F384C2-5723-4661-85DE-2B74CC832F9D}"/>
    <cellStyle name="Percent 2 4" xfId="2528" xr:uid="{0373F2D5-AA0E-4D76-8AD4-1CC4C779CCA8}"/>
    <cellStyle name="Percent 3" xfId="8" xr:uid="{04B3451F-8C80-4D18-833E-6DDA695403F8}"/>
    <cellStyle name="Percent 3 2" xfId="2530" xr:uid="{57B957B2-F169-4A74-8A94-D2EB48361A72}"/>
    <cellStyle name="Percent 3 2 2" xfId="2531" xr:uid="{7EEA3107-F1C2-422B-8D2B-91D137239673}"/>
    <cellStyle name="Percent 3 3" xfId="2532" xr:uid="{90B42EEA-8D53-4DBD-947A-1C0267109EA0}"/>
    <cellStyle name="Percent 3 4" xfId="2533" xr:uid="{FC856D67-0236-4832-A162-716DA4B98C34}"/>
    <cellStyle name="Percent 3 4 2" xfId="2534" xr:uid="{4BC793CF-44C7-427B-81CF-70DE478184A0}"/>
    <cellStyle name="Percent 3 4 3" xfId="2535" xr:uid="{D97365A0-B6BA-4854-B4B4-CFE204223A79}"/>
    <cellStyle name="Percent 3 5" xfId="2536" xr:uid="{7AC63FF0-F7C4-44DD-842E-FFE019581A79}"/>
    <cellStyle name="Percent 3 6" xfId="2537" xr:uid="{13FB4579-8064-4607-A8D7-3D5472B343F9}"/>
    <cellStyle name="Percent 3 7" xfId="2538" xr:uid="{14788E6E-E898-4C1F-8507-1EFCA4BDFECE}"/>
    <cellStyle name="Percent 3 8" xfId="2529" xr:uid="{F653B040-F266-43B8-9E69-775072E90F47}"/>
    <cellStyle name="Percent 4" xfId="2539" xr:uid="{BD1002C9-7E13-4822-A150-F3D1C830F106}"/>
    <cellStyle name="Percent 4 2" xfId="2540" xr:uid="{A4731A11-491C-4146-80C5-9E3CA48E4D56}"/>
    <cellStyle name="Percent 4 3" xfId="2541" xr:uid="{0556F0BA-115A-4E48-989B-159B3ACB9B62}"/>
    <cellStyle name="Percent 4 4" xfId="2542" xr:uid="{C9FD6D54-F4A3-4EC1-A0DC-A1B7AC24E5FB}"/>
    <cellStyle name="Percent 4 4 2" xfId="2543" xr:uid="{AA364FAE-496B-4DE6-9710-C1E9F943ACCC}"/>
    <cellStyle name="Percent 4 4 3" xfId="2544" xr:uid="{CC6E281F-79D3-4997-B43D-47EB0FBCECD4}"/>
    <cellStyle name="Percent 4 5" xfId="2545" xr:uid="{6936C6DA-6753-4314-B62B-6601CEF5BB81}"/>
    <cellStyle name="Percent 4 6" xfId="2546" xr:uid="{274B200B-64F2-4E0B-8A18-341FF78B10C0}"/>
    <cellStyle name="Percent 5" xfId="2547" xr:uid="{9886247C-C5C7-4811-9322-E84B966C1335}"/>
    <cellStyle name="Percent 5 2" xfId="2548" xr:uid="{43AA055A-9760-4F8A-A789-21804E897D1E}"/>
    <cellStyle name="Percent 5 2 2" xfId="2549" xr:uid="{7DE5953E-80DB-498B-96D8-21BAD3310034}"/>
    <cellStyle name="Percent 5 2 3" xfId="2550" xr:uid="{D83754C6-A293-4700-A125-E2DB1C1122C0}"/>
    <cellStyle name="Percent 5 3" xfId="2551" xr:uid="{A2AAA802-8384-43DC-AB85-7618773AF16F}"/>
    <cellStyle name="Percent 5 4" xfId="2552" xr:uid="{895C4722-27C3-4129-9044-BCF034C27D64}"/>
    <cellStyle name="Percent 5 4 2" xfId="2553" xr:uid="{1346246B-73E5-44E7-8A2D-89479B8580AC}"/>
    <cellStyle name="Percent 5 5" xfId="2554" xr:uid="{560127B9-7692-447F-90D3-1FCDD7B62EEF}"/>
    <cellStyle name="Percent 6" xfId="2555" xr:uid="{AB51DB8F-CF28-4D0E-88F3-7570BAFAA137}"/>
    <cellStyle name="Percent 6 2" xfId="2556" xr:uid="{C00EE18F-4320-4CC8-A116-274DA66BD40E}"/>
    <cellStyle name="Percent 6 3" xfId="2557" xr:uid="{435B17A2-0E73-4AF4-BA0A-50DBE81771B3}"/>
    <cellStyle name="Percent 6 3 2" xfId="2558" xr:uid="{1B208EB2-4D70-4B2C-AF47-9AAFB620289E}"/>
    <cellStyle name="Percent 6 4" xfId="2559" xr:uid="{D45D4B9F-DD05-466C-ABFB-CD969DDEE794}"/>
    <cellStyle name="Percent 7" xfId="2560" xr:uid="{983EF407-67DD-4EB1-9151-A1DDCC77D762}"/>
    <cellStyle name="Percent 7 2" xfId="2561" xr:uid="{088BBA93-1CFC-43C9-AE7E-7B148E9DB282}"/>
    <cellStyle name="Percent 8" xfId="2525" xr:uid="{82A6B6AC-C637-4D75-9F6E-E1D1C739303B}"/>
    <cellStyle name="Porcentagem 2" xfId="2562" xr:uid="{542B3A32-F616-42CB-9AD6-6914E92DE6EC}"/>
    <cellStyle name="Porcentagem 2 2" xfId="2563" xr:uid="{13BCAF50-5A9A-4E3F-9FBB-57698274ACE0}"/>
    <cellStyle name="Porcentagem 2 3" xfId="2564" xr:uid="{D3058C91-CCD2-4DCE-B124-8FE87C572EBC}"/>
    <cellStyle name="Porcentagem 2 4" xfId="2565" xr:uid="{C4EA401D-EED5-406A-8C1F-B1CD7D3DFC00}"/>
    <cellStyle name="Porcentaje 10" xfId="2566" xr:uid="{B217511C-C7CD-414B-A2E1-33995CB926DF}"/>
    <cellStyle name="Porcentaje 11" xfId="2567" xr:uid="{E26791D1-D485-423E-941A-5C7140E3F364}"/>
    <cellStyle name="Porcentaje 12" xfId="2568" xr:uid="{3C66D903-F4D7-4E75-A90A-284FDAA05D48}"/>
    <cellStyle name="Porcentaje 13" xfId="2569" xr:uid="{C787FC6D-DA22-43FE-8E08-C705FC8AAD5E}"/>
    <cellStyle name="Porcentaje 13 2" xfId="2570" xr:uid="{B2FA6E08-1D79-436D-9590-5F52703394FC}"/>
    <cellStyle name="Porcentaje 14" xfId="2571" xr:uid="{B34D1AED-D779-4BE5-9D33-99A810D4B7B1}"/>
    <cellStyle name="Porcentaje 14 2" xfId="2572" xr:uid="{4E49CB50-CB40-4ABA-944D-F65F689CD1D6}"/>
    <cellStyle name="Porcentaje 14 3" xfId="2573" xr:uid="{ACB015AA-4BCF-4E6F-90A4-BF81A64D62CC}"/>
    <cellStyle name="Porcentaje 15" xfId="2574" xr:uid="{D74D3C98-53C7-4744-A5BD-67BCCD73032C}"/>
    <cellStyle name="Porcentaje 16" xfId="2575" xr:uid="{C4C8E739-EBF7-44EE-ADD7-7394B44764F2}"/>
    <cellStyle name="Porcentaje 16 2" xfId="2576" xr:uid="{7368A710-94DB-471C-99B7-695A4EB52E7D}"/>
    <cellStyle name="Porcentaje 16 3" xfId="2577" xr:uid="{C86783E9-FA59-4422-B5AB-B37BA36DB29C}"/>
    <cellStyle name="Porcentaje 2" xfId="2578" xr:uid="{FB2994A7-C449-448D-93DD-2203A40FC651}"/>
    <cellStyle name="Porcentaje 2 10" xfId="2579" xr:uid="{E7E57E5E-74BD-467F-80D7-D9A21BBE9A2D}"/>
    <cellStyle name="Porcentaje 2 11" xfId="2580" xr:uid="{5EB97FD9-653E-4423-A728-AF2574031469}"/>
    <cellStyle name="Porcentaje 2 12" xfId="2581" xr:uid="{2D889182-885A-4F23-BD25-5DBF98066958}"/>
    <cellStyle name="Porcentaje 2 2" xfId="2582" xr:uid="{B76AC496-DF70-4A35-9315-EBCC2B602ED0}"/>
    <cellStyle name="Porcentaje 2 2 10" xfId="2583" xr:uid="{0D76135E-0A8A-4DE0-815F-F000BC47C41D}"/>
    <cellStyle name="Porcentaje 2 2 2" xfId="2584" xr:uid="{C0274A34-5BFB-4BFC-AE73-9B18092D323F}"/>
    <cellStyle name="Porcentaje 2 2 2 10" xfId="2585" xr:uid="{C9718AC9-F0EC-4FB6-82DA-68209B1864D0}"/>
    <cellStyle name="Porcentaje 2 2 2 2" xfId="2586" xr:uid="{1AD2B997-D045-4DBB-80B2-B3220D1025A6}"/>
    <cellStyle name="Porcentaje 2 2 2 2 10" xfId="2587" xr:uid="{F039DBFA-27DA-4540-BF33-5DF756B32357}"/>
    <cellStyle name="Porcentaje 2 2 2 2 2" xfId="2588" xr:uid="{2ACDB7FA-002A-45B3-B1ED-CA7B4FDA54A8}"/>
    <cellStyle name="Porcentaje 2 2 2 2 2 2" xfId="2589" xr:uid="{C1009C14-47B1-4A3E-A70B-2777B396A36C}"/>
    <cellStyle name="Porcentaje 2 2 2 2 2 2 2" xfId="2590" xr:uid="{30E1CC8D-F534-46B5-B125-A2B5243E433E}"/>
    <cellStyle name="Porcentaje 2 2 2 2 2 2 3" xfId="2591" xr:uid="{B88B4B94-5896-4CB0-B0BA-1CC03A9E450F}"/>
    <cellStyle name="Porcentaje 2 2 2 2 2 2 3 2" xfId="2592" xr:uid="{10E86E09-9289-4FAC-9A74-D720EC4A0B61}"/>
    <cellStyle name="Porcentaje 2 2 2 2 2 2 4" xfId="2593" xr:uid="{90C9AB57-ECC2-4C4E-906A-FD5DC213166E}"/>
    <cellStyle name="Porcentaje 2 2 2 2 2 2 4 2" xfId="2594" xr:uid="{93091DD7-2C21-49E4-8A09-79B3D0FA1D44}"/>
    <cellStyle name="Porcentaje 2 2 2 2 2 2 4 3" xfId="2595" xr:uid="{F58F5EE3-B71E-4135-9960-FBFDCA8DC91F}"/>
    <cellStyle name="Porcentaje 2 2 2 2 2 2 5" xfId="2596" xr:uid="{77CBD140-CE76-43C5-9E3C-29FD0A9ADD73}"/>
    <cellStyle name="Porcentaje 2 2 2 2 2 2 5 2" xfId="2597" xr:uid="{CFC42F60-D46C-478C-BD10-A3D7A7665C77}"/>
    <cellStyle name="Porcentaje 2 2 2 2 2 2 5 3" xfId="2598" xr:uid="{E876C6FE-9CC5-49D4-91E7-5761E26D038D}"/>
    <cellStyle name="Porcentaje 2 2 2 2 2 2 6" xfId="2599" xr:uid="{94399938-AB46-449A-AF75-16C0BCE998D5}"/>
    <cellStyle name="Porcentaje 2 2 2 2 2 2 7" xfId="2600" xr:uid="{C15F6DFC-F772-40C0-BC02-8163D2FF2520}"/>
    <cellStyle name="Porcentaje 2 2 2 2 2 2 8" xfId="2601" xr:uid="{D96F5C3F-A59A-449A-AACE-4D928595F161}"/>
    <cellStyle name="Porcentaje 2 2 2 2 2 3" xfId="2602" xr:uid="{D2D0F797-EC9A-42E4-A83B-59F525E1058C}"/>
    <cellStyle name="Porcentaje 2 2 2 2 2 4" xfId="2603" xr:uid="{B3CBB5F7-AC01-4FBE-9E4E-2E116BACF8D4}"/>
    <cellStyle name="Porcentaje 2 2 2 2 2 4 2" xfId="2604" xr:uid="{70D70F0A-2ABE-43B0-9121-C7DDFA117844}"/>
    <cellStyle name="Porcentaje 2 2 2 2 2 5" xfId="2605" xr:uid="{7114E451-4763-4FD0-BF2B-3826A9A002FA}"/>
    <cellStyle name="Porcentaje 2 2 2 2 2 5 2" xfId="2606" xr:uid="{AA9379C8-B664-44DD-BC1A-817542E48AB5}"/>
    <cellStyle name="Porcentaje 2 2 2 2 2 5 3" xfId="2607" xr:uid="{578788CE-9049-477A-8F06-EA58C3A469B2}"/>
    <cellStyle name="Porcentaje 2 2 2 2 2 6" xfId="2608" xr:uid="{23EB4DE3-8B90-4756-8A53-2EEDAE724D16}"/>
    <cellStyle name="Porcentaje 2 2 2 2 2 6 2" xfId="2609" xr:uid="{38E4BB83-260B-4942-8629-F9270E562ABF}"/>
    <cellStyle name="Porcentaje 2 2 2 2 2 6 3" xfId="2610" xr:uid="{0E6B7396-374F-443E-BB4B-CEEE10391DE2}"/>
    <cellStyle name="Porcentaje 2 2 2 2 2 7" xfId="2611" xr:uid="{907789C2-6369-4ED3-8FC2-0DDA9DBE0C95}"/>
    <cellStyle name="Porcentaje 2 2 2 2 2 8" xfId="2612" xr:uid="{E1D51A41-C9F6-44C6-A7CA-1690826486B8}"/>
    <cellStyle name="Porcentaje 2 2 2 2 2 9" xfId="2613" xr:uid="{B60CE80E-8AD7-4897-BD4F-23E3FC1773B2}"/>
    <cellStyle name="Porcentaje 2 2 2 2 3" xfId="2614" xr:uid="{701FAB80-9592-4D14-A660-73329D7713DE}"/>
    <cellStyle name="Porcentaje 2 2 2 2 3 2" xfId="2615" xr:uid="{D751E298-38D1-4BB6-9322-8EC013405B6E}"/>
    <cellStyle name="Porcentaje 2 2 2 2 3 3" xfId="2616" xr:uid="{DE272578-8E58-4D48-83CB-684CBFFAA2E8}"/>
    <cellStyle name="Porcentaje 2 2 2 2 3 3 2" xfId="2617" xr:uid="{FA99F77B-73D5-4BC1-985D-BE4EA1EDE4BE}"/>
    <cellStyle name="Porcentaje 2 2 2 2 3 4" xfId="2618" xr:uid="{243C2983-E120-48F3-87F1-B5F4562432FD}"/>
    <cellStyle name="Porcentaje 2 2 2 2 3 4 2" xfId="2619" xr:uid="{7CA2B2D3-775F-4D06-A5F9-C705FC9932CC}"/>
    <cellStyle name="Porcentaje 2 2 2 2 3 4 3" xfId="2620" xr:uid="{576C2F3A-68E1-4D15-BEB5-3E1DFB471E36}"/>
    <cellStyle name="Porcentaje 2 2 2 2 3 5" xfId="2621" xr:uid="{BFEA2C11-1C3C-43A6-B7CC-F3A973B8CA31}"/>
    <cellStyle name="Porcentaje 2 2 2 2 3 5 2" xfId="2622" xr:uid="{A0BB4B22-DA2A-4B73-80F9-1EF42F809988}"/>
    <cellStyle name="Porcentaje 2 2 2 2 3 5 3" xfId="2623" xr:uid="{90313E9A-1F92-49F6-BAA7-66BB979E4986}"/>
    <cellStyle name="Porcentaje 2 2 2 2 3 6" xfId="2624" xr:uid="{363A7301-9D16-4C1C-9A09-759B5057D4F6}"/>
    <cellStyle name="Porcentaje 2 2 2 2 3 7" xfId="2625" xr:uid="{6A87EDAC-A7E4-4E3F-966B-6EF426846ECC}"/>
    <cellStyle name="Porcentaje 2 2 2 2 3 8" xfId="2626" xr:uid="{AE118D87-928C-4EDE-A42F-A2CEBD77FE47}"/>
    <cellStyle name="Porcentaje 2 2 2 2 4" xfId="2627" xr:uid="{870635CF-55C0-48C0-88B9-45E40F762139}"/>
    <cellStyle name="Porcentaje 2 2 2 2 5" xfId="2628" xr:uid="{BCA4E865-63B5-4C9D-97A6-BEFB3920FAE7}"/>
    <cellStyle name="Porcentaje 2 2 2 2 5 2" xfId="2629" xr:uid="{3D1F5AA7-9ECF-4575-9186-E780F19C9DC1}"/>
    <cellStyle name="Porcentaje 2 2 2 2 6" xfId="2630" xr:uid="{10A78FF2-6D7F-4E48-B20C-3DA3BEDE75A4}"/>
    <cellStyle name="Porcentaje 2 2 2 2 6 2" xfId="2631" xr:uid="{5F95BC7B-720F-4F88-95F1-3B44DDDEF6BE}"/>
    <cellStyle name="Porcentaje 2 2 2 2 6 3" xfId="2632" xr:uid="{CD8A70D9-59AE-4540-A895-602AE63D81FF}"/>
    <cellStyle name="Porcentaje 2 2 2 2 7" xfId="2633" xr:uid="{8EFB1C92-218E-4620-A86C-83674999FEF5}"/>
    <cellStyle name="Porcentaje 2 2 2 2 7 2" xfId="2634" xr:uid="{D6F8EAE5-41B3-4C85-9457-2A59C3A0EC58}"/>
    <cellStyle name="Porcentaje 2 2 2 2 7 3" xfId="2635" xr:uid="{56582C86-A7D0-4A9C-B487-436BC9605C90}"/>
    <cellStyle name="Porcentaje 2 2 2 2 8" xfId="2636" xr:uid="{794DB1A7-42CD-49DE-90CF-8F49AB4F9932}"/>
    <cellStyle name="Porcentaje 2 2 2 2 9" xfId="2637" xr:uid="{DE7CF712-62CB-47E2-8ECB-76288AD1509E}"/>
    <cellStyle name="Porcentaje 2 2 2 3" xfId="2638" xr:uid="{82A7275C-1DE4-4A1E-9543-40F8453D4939}"/>
    <cellStyle name="Porcentaje 2 2 2 3 2" xfId="2639" xr:uid="{2347DDFC-F7E5-4542-8316-49EA1E4BE257}"/>
    <cellStyle name="Porcentaje 2 2 2 3 3" xfId="2640" xr:uid="{3016E15B-6683-44C9-81DB-4D1BFE2B4937}"/>
    <cellStyle name="Porcentaje 2 2 2 3 3 2" xfId="2641" xr:uid="{D597AD18-0EE1-470E-A36D-E1EE8D7E7D16}"/>
    <cellStyle name="Porcentaje 2 2 2 3 4" xfId="2642" xr:uid="{2A407149-EB26-4CAF-8D71-6D7F1C00BCD7}"/>
    <cellStyle name="Porcentaje 2 2 2 3 4 2" xfId="2643" xr:uid="{1B74889A-C20B-4330-85AE-382A3E8AAD99}"/>
    <cellStyle name="Porcentaje 2 2 2 3 4 3" xfId="2644" xr:uid="{0A798EB7-EA8A-4C4F-A949-0A5AA099EA0D}"/>
    <cellStyle name="Porcentaje 2 2 2 3 5" xfId="2645" xr:uid="{06AA389A-79E0-4A36-8351-2DC5D082FB98}"/>
    <cellStyle name="Porcentaje 2 2 2 3 5 2" xfId="2646" xr:uid="{6E2430FD-D4D8-4BC9-9FB3-B124C949C246}"/>
    <cellStyle name="Porcentaje 2 2 2 3 5 3" xfId="2647" xr:uid="{AA4C9B58-B573-40BA-AEC4-D0BBD0D39AE7}"/>
    <cellStyle name="Porcentaje 2 2 2 3 6" xfId="2648" xr:uid="{D8477EE0-4E65-4C2F-8AA8-3237123C0926}"/>
    <cellStyle name="Porcentaje 2 2 2 3 7" xfId="2649" xr:uid="{763A8F86-E9B9-40A2-B983-38B4481A901A}"/>
    <cellStyle name="Porcentaje 2 2 2 3 8" xfId="2650" xr:uid="{E2EB9D1D-A148-47EB-BB26-3E0D03DCFD62}"/>
    <cellStyle name="Porcentaje 2 2 2 4" xfId="2651" xr:uid="{7EBDEF54-EB20-41E9-B340-75CA38F97AFD}"/>
    <cellStyle name="Porcentaje 2 2 2 5" xfId="2652" xr:uid="{88B54762-9BAF-46C4-BECF-19949BE54016}"/>
    <cellStyle name="Porcentaje 2 2 2 5 2" xfId="2653" xr:uid="{E556AEA5-27B7-48F7-AC14-894A6DB847A3}"/>
    <cellStyle name="Porcentaje 2 2 2 6" xfId="2654" xr:uid="{603CE752-815E-46AB-86D1-C8A0AF602FF8}"/>
    <cellStyle name="Porcentaje 2 2 2 6 2" xfId="2655" xr:uid="{83F503AD-3984-4DD5-ABB9-3BD915509D6D}"/>
    <cellStyle name="Porcentaje 2 2 2 6 3" xfId="2656" xr:uid="{062E2462-ADE3-4B53-A18D-D877EE2DEEC9}"/>
    <cellStyle name="Porcentaje 2 2 2 7" xfId="2657" xr:uid="{A42856A4-C2C8-4FDB-81E6-B64278E900AD}"/>
    <cellStyle name="Porcentaje 2 2 2 7 2" xfId="2658" xr:uid="{AA28A5E6-D03D-4C9F-8059-A40CE8BD2148}"/>
    <cellStyle name="Porcentaje 2 2 2 7 3" xfId="2659" xr:uid="{F3458E95-E0F4-4DEA-81BB-6A5061AA67FA}"/>
    <cellStyle name="Porcentaje 2 2 2 8" xfId="2660" xr:uid="{AA0A8B32-12CF-4522-A381-50C2B1601AF4}"/>
    <cellStyle name="Porcentaje 2 2 2 9" xfId="2661" xr:uid="{37B194A3-CFD6-4997-A052-6F063B11C70B}"/>
    <cellStyle name="Porcentaje 2 2 3" xfId="2662" xr:uid="{C1E56BC6-A453-4712-A1B3-0D42EA1B8BB0}"/>
    <cellStyle name="Porcentaje 2 2 3 2" xfId="2663" xr:uid="{B3482678-2C1C-4E00-8143-524A848796EC}"/>
    <cellStyle name="Porcentaje 2 2 3 3" xfId="2664" xr:uid="{EA9B2072-0CF1-464A-8370-BBE2FF40846B}"/>
    <cellStyle name="Porcentaje 2 2 3 3 2" xfId="2665" xr:uid="{A7464A70-34CC-4F2C-AE7E-290E979C324D}"/>
    <cellStyle name="Porcentaje 2 2 3 4" xfId="2666" xr:uid="{23528EB5-1149-4240-AC20-0E3BF5D2E180}"/>
    <cellStyle name="Porcentaje 2 2 3 4 2" xfId="2667" xr:uid="{7EC459B1-EFBB-438B-B0B0-07D1FA5F8642}"/>
    <cellStyle name="Porcentaje 2 2 3 4 3" xfId="2668" xr:uid="{3C43B0CB-9F8E-4218-9273-735CD484F4F9}"/>
    <cellStyle name="Porcentaje 2 2 3 5" xfId="2669" xr:uid="{1FC10720-4258-41C6-B981-AABE2A3712A6}"/>
    <cellStyle name="Porcentaje 2 2 3 5 2" xfId="2670" xr:uid="{E663033F-E856-4041-94A4-45D0E2172261}"/>
    <cellStyle name="Porcentaje 2 2 3 5 3" xfId="2671" xr:uid="{BCF25EEC-FD05-4826-8F69-DB0D44CA7F79}"/>
    <cellStyle name="Porcentaje 2 2 3 6" xfId="2672" xr:uid="{42D68BF9-93D0-415E-AE87-C2847C62D1E7}"/>
    <cellStyle name="Porcentaje 2 2 3 7" xfId="2673" xr:uid="{C246BDA5-76F3-4BD4-96A3-C4AF0AFDA72D}"/>
    <cellStyle name="Porcentaje 2 2 3 8" xfId="2674" xr:uid="{D72FAD90-DD72-4F94-A8D8-C5BCCB565253}"/>
    <cellStyle name="Porcentaje 2 2 4" xfId="2675" xr:uid="{4CDE7882-73C3-4744-88B0-ABCE4B2092F3}"/>
    <cellStyle name="Porcentaje 2 2 4 2" xfId="2676" xr:uid="{5321FD4B-33FA-4B3F-BABE-22058703BC6F}"/>
    <cellStyle name="Porcentaje 2 2 4 3" xfId="2677" xr:uid="{47A96851-37BF-4D67-9A04-D72C4F8CDC53}"/>
    <cellStyle name="Porcentaje 2 2 4 3 2" xfId="2678" xr:uid="{205B1CC5-9189-4552-8F17-A71733708702}"/>
    <cellStyle name="Porcentaje 2 2 4 4" xfId="2679" xr:uid="{2D3B5877-17DE-49AF-89A9-3AEF69AB9FE0}"/>
    <cellStyle name="Porcentaje 2 2 4 4 2" xfId="2680" xr:uid="{0740FA75-9959-4815-8AE1-3D302100AC69}"/>
    <cellStyle name="Porcentaje 2 2 4 4 3" xfId="2681" xr:uid="{94B5B30F-88AB-45A2-83E0-EAA3B224CD4F}"/>
    <cellStyle name="Porcentaje 2 2 4 5" xfId="2682" xr:uid="{24C3DC8F-F5A6-4AA9-AF73-677150867CF4}"/>
    <cellStyle name="Porcentaje 2 2 4 5 2" xfId="2683" xr:uid="{B2713B77-6FC8-4A83-9CFD-6C464C3188F3}"/>
    <cellStyle name="Porcentaje 2 2 4 5 3" xfId="2684" xr:uid="{4C65BF84-670A-4838-8B45-B47AD1FFA773}"/>
    <cellStyle name="Porcentaje 2 2 4 6" xfId="2685" xr:uid="{BCFFE155-5933-489B-8C9B-DA95D265F38E}"/>
    <cellStyle name="Porcentaje 2 2 5" xfId="2686" xr:uid="{A4A888DF-F7B1-46AA-B476-5B200CE2E769}"/>
    <cellStyle name="Porcentaje 2 2 6" xfId="2687" xr:uid="{5B20DBD0-6570-452F-8CEA-5E4E489FCA06}"/>
    <cellStyle name="Porcentaje 2 2 7" xfId="2688" xr:uid="{F940D57E-A00A-4F43-A10E-8DB0AB6D5A8B}"/>
    <cellStyle name="Porcentaje 2 2 8" xfId="2689" xr:uid="{2A6D9B0D-0398-4FF2-A67E-669CC487BEE3}"/>
    <cellStyle name="Porcentaje 2 2 9" xfId="2690" xr:uid="{A082747C-4CF4-4E83-AF6B-7208F66BC967}"/>
    <cellStyle name="Porcentaje 2 3" xfId="2691" xr:uid="{30106E72-4710-4F0C-957D-D42573686DB5}"/>
    <cellStyle name="Porcentaje 2 3 2" xfId="2692" xr:uid="{003E6021-AF97-4E9D-8747-011F03FD7125}"/>
    <cellStyle name="Porcentaje 2 3 2 2" xfId="2693" xr:uid="{24EB1F1A-9BE8-49E9-B78D-25DB41A23128}"/>
    <cellStyle name="Porcentaje 2 3 2 3" xfId="2694" xr:uid="{4A6A4103-07B2-49EB-B78F-D634A3FAEF79}"/>
    <cellStyle name="Porcentaje 2 3 2 3 2" xfId="2695" xr:uid="{D5178A02-8BF5-4CB7-9BB7-EA996D3896FD}"/>
    <cellStyle name="Porcentaje 2 3 2 4" xfId="2696" xr:uid="{2F2CB9B7-5561-4F3B-B2BD-91C0F4A7C478}"/>
    <cellStyle name="Porcentaje 2 3 2 4 2" xfId="2697" xr:uid="{9B2E08B1-7C18-48CB-BD42-71C790ECFBE8}"/>
    <cellStyle name="Porcentaje 2 3 2 4 3" xfId="2698" xr:uid="{D26923F0-8508-4716-B18C-FDE8B6675B5C}"/>
    <cellStyle name="Porcentaje 2 3 2 5" xfId="2699" xr:uid="{E2244E82-AB01-4519-8B50-C46561782525}"/>
    <cellStyle name="Porcentaje 2 3 2 5 2" xfId="2700" xr:uid="{55165B6B-BEEE-42D8-A41C-03BEB88B6993}"/>
    <cellStyle name="Porcentaje 2 3 2 5 3" xfId="2701" xr:uid="{4421D563-A65F-407B-8C53-52AA2B2E2B26}"/>
    <cellStyle name="Porcentaje 2 3 2 6" xfId="2702" xr:uid="{B83011F7-EAA5-422B-A427-40D2B54B7937}"/>
    <cellStyle name="Porcentaje 2 3 2 7" xfId="2703" xr:uid="{8BB7B1DB-ABCD-46EF-B71C-9CB6CF3115DC}"/>
    <cellStyle name="Porcentaje 2 3 2 8" xfId="2704" xr:uid="{383D6B9E-E76C-4463-98DD-F31D55502F30}"/>
    <cellStyle name="Porcentaje 2 3 3" xfId="2705" xr:uid="{E95E2A59-26FE-4A17-AC5C-EF73F1245885}"/>
    <cellStyle name="Porcentaje 2 3 4" xfId="2706" xr:uid="{341CA2A2-1728-49C5-A888-EC6D82507420}"/>
    <cellStyle name="Porcentaje 2 3 4 2" xfId="2707" xr:uid="{A6D60947-D9D4-492A-8D8D-309024D51443}"/>
    <cellStyle name="Porcentaje 2 3 5" xfId="2708" xr:uid="{B1F28E43-CB2B-403F-8646-1CBA4B1BAF75}"/>
    <cellStyle name="Porcentaje 2 3 5 2" xfId="2709" xr:uid="{6A271BE9-E20F-4A75-883F-D8E3072297EB}"/>
    <cellStyle name="Porcentaje 2 3 5 3" xfId="2710" xr:uid="{AE77D0E2-C89C-45A6-93E0-1E57688CAFC3}"/>
    <cellStyle name="Porcentaje 2 3 6" xfId="2711" xr:uid="{597BC4DE-C73E-4261-901E-05787B66492F}"/>
    <cellStyle name="Porcentaje 2 3 6 2" xfId="2712" xr:uid="{771F90F4-4282-4D6E-A0F2-A4F1CEABEE21}"/>
    <cellStyle name="Porcentaje 2 3 6 3" xfId="2713" xr:uid="{4D0D03F5-0790-4FE8-9F83-E302C853C577}"/>
    <cellStyle name="Porcentaje 2 3 7" xfId="2714" xr:uid="{B43E310B-3B04-4372-826D-A5E8DC60B1F8}"/>
    <cellStyle name="Porcentaje 2 3 8" xfId="2715" xr:uid="{258188C7-97DE-479A-90AB-EE2716277B64}"/>
    <cellStyle name="Porcentaje 2 3 9" xfId="2716" xr:uid="{7D116720-797F-48B4-914D-A1E072A38467}"/>
    <cellStyle name="Porcentaje 2 4" xfId="2717" xr:uid="{5A97D2F0-98AA-4F60-A8B6-9F0CC22F011B}"/>
    <cellStyle name="Porcentaje 2 4 2" xfId="2718" xr:uid="{7A93F8D9-B3D8-4606-B531-5670BBCC6989}"/>
    <cellStyle name="Porcentaje 2 4 2 2" xfId="2719" xr:uid="{4379472B-0C2A-4BD4-863E-02A2778213B2}"/>
    <cellStyle name="Porcentaje 2 4 2 3" xfId="2720" xr:uid="{DDD0627C-2C56-4677-BADC-C3079E18D5B7}"/>
    <cellStyle name="Porcentaje 2 4 2 3 2" xfId="2721" xr:uid="{AE3BBD0A-DEAF-41E3-9CB1-78D7134BAB77}"/>
    <cellStyle name="Porcentaje 2 4 2 4" xfId="2722" xr:uid="{D71B7395-790E-4105-AFF6-7486323ED001}"/>
    <cellStyle name="Porcentaje 2 4 2 4 2" xfId="2723" xr:uid="{B1089ABB-C038-47E1-B849-F861D270BC3D}"/>
    <cellStyle name="Porcentaje 2 4 2 4 3" xfId="2724" xr:uid="{C52BE28D-4633-48E3-B8F4-12C8165E2F35}"/>
    <cellStyle name="Porcentaje 2 4 2 5" xfId="2725" xr:uid="{61BC724E-CCBE-4278-9EDD-CDE663925F9E}"/>
    <cellStyle name="Porcentaje 2 4 2 5 2" xfId="2726" xr:uid="{CE6BC9B3-4AE1-4843-AFAA-8249E489B198}"/>
    <cellStyle name="Porcentaje 2 4 2 5 3" xfId="2727" xr:uid="{D31F912D-B2DA-4C2A-9649-2E3EA7543113}"/>
    <cellStyle name="Porcentaje 2 4 2 6" xfId="2728" xr:uid="{4DB6BE51-659C-4930-97BA-CB77241F0F80}"/>
    <cellStyle name="Porcentaje 2 4 2 7" xfId="2729" xr:uid="{FFD8F9DA-4079-49CA-AF7E-74F0AE345DB7}"/>
    <cellStyle name="Porcentaje 2 4 2 8" xfId="2730" xr:uid="{36031306-5691-4EEE-934E-84387308A460}"/>
    <cellStyle name="Porcentaje 2 4 3" xfId="2731" xr:uid="{FDA9709F-CF10-4FF0-80DE-E0DAE54FE4D9}"/>
    <cellStyle name="Porcentaje 2 4 4" xfId="2732" xr:uid="{1022846B-B9BE-436C-91E2-27E229F828B3}"/>
    <cellStyle name="Porcentaje 2 4 4 2" xfId="2733" xr:uid="{79630EF6-C764-45EA-A86A-E174BE639210}"/>
    <cellStyle name="Porcentaje 2 4 5" xfId="2734" xr:uid="{700DD5AF-7910-4E38-8D35-F91DE2C923DB}"/>
    <cellStyle name="Porcentaje 2 4 5 2" xfId="2735" xr:uid="{691AE395-2845-4D7D-90CB-6675D46CA029}"/>
    <cellStyle name="Porcentaje 2 4 5 3" xfId="2736" xr:uid="{DEA533CC-06C4-4795-A3AA-975B8D4F4A35}"/>
    <cellStyle name="Porcentaje 2 4 6" xfId="2737" xr:uid="{C95581BA-A6AC-4C88-B57D-8AF7C97D342D}"/>
    <cellStyle name="Porcentaje 2 4 6 2" xfId="2738" xr:uid="{33DB54A0-790C-42B6-8FB2-DBD0271D75CD}"/>
    <cellStyle name="Porcentaje 2 4 6 3" xfId="2739" xr:uid="{091AB1BA-7D52-4E3A-8509-76BD61965A20}"/>
    <cellStyle name="Porcentaje 2 4 7" xfId="2740" xr:uid="{FF4F9D5E-D178-4D51-B605-1FB386975647}"/>
    <cellStyle name="Porcentaje 2 4 8" xfId="2741" xr:uid="{89B6243B-682F-488C-A00D-B0B33E712F32}"/>
    <cellStyle name="Porcentaje 2 4 9" xfId="2742" xr:uid="{C6CD653D-5319-4E3B-8A03-E4B628D48A98}"/>
    <cellStyle name="Porcentaje 2 5" xfId="2743" xr:uid="{B76EA7F1-FB00-4B77-8EF4-E37936D8022A}"/>
    <cellStyle name="Porcentaje 2 5 2" xfId="2744" xr:uid="{CAA0572F-82BD-497D-BB84-29752C5ED2B8}"/>
    <cellStyle name="Porcentaje 2 5 3" xfId="2745" xr:uid="{8C2D5A8A-7498-4210-B66E-DA137F09E5FB}"/>
    <cellStyle name="Porcentaje 2 5 3 2" xfId="2746" xr:uid="{286ADFEF-F061-4546-8A2F-263236832B1F}"/>
    <cellStyle name="Porcentaje 2 5 4" xfId="2747" xr:uid="{731CED3B-7887-4C57-A455-2FB92BA77632}"/>
    <cellStyle name="Porcentaje 2 5 4 2" xfId="2748" xr:uid="{65F7E1AB-B33D-4B23-93CE-4EED5FCBDE44}"/>
    <cellStyle name="Porcentaje 2 5 4 3" xfId="2749" xr:uid="{09CA6F05-7A9D-4C72-9329-89F4503CEA54}"/>
    <cellStyle name="Porcentaje 2 5 5" xfId="2750" xr:uid="{CE05F515-FC06-4E4C-A866-1AF98CD08CDD}"/>
    <cellStyle name="Porcentaje 2 5 5 2" xfId="2751" xr:uid="{AE3B4218-FD66-462C-B201-6CBEC91BE466}"/>
    <cellStyle name="Porcentaje 2 5 5 3" xfId="2752" xr:uid="{8D65BED8-648C-420C-933A-CBC69712482E}"/>
    <cellStyle name="Porcentaje 2 5 6" xfId="2753" xr:uid="{54D6B54B-AC64-4D18-993B-C67374C1C728}"/>
    <cellStyle name="Porcentaje 2 5 7" xfId="2754" xr:uid="{4655C38F-5D6E-4563-B19C-69EDDA405CAF}"/>
    <cellStyle name="Porcentaje 2 5 8" xfId="2755" xr:uid="{F622849C-5863-4339-BD2E-DF86323DA361}"/>
    <cellStyle name="Porcentaje 2 6" xfId="2756" xr:uid="{C1EB2D52-CCE0-470C-86BD-523154DF8F44}"/>
    <cellStyle name="Porcentaje 2 6 2" xfId="2757" xr:uid="{77AC8991-7BEC-4625-8592-A6489EDE580E}"/>
    <cellStyle name="Porcentaje 2 6 3" xfId="2758" xr:uid="{B551CA22-4F75-4B3B-B7B0-7ABEB6271689}"/>
    <cellStyle name="Porcentaje 2 6 3 2" xfId="2759" xr:uid="{6E6EB076-7297-4BAB-A34E-3A03D9D9A7A2}"/>
    <cellStyle name="Porcentaje 2 6 4" xfId="2760" xr:uid="{21CFCE1C-A870-4A9F-85D1-8A0D5E46F328}"/>
    <cellStyle name="Porcentaje 2 6 4 2" xfId="2761" xr:uid="{55692123-824E-4F8A-A41E-C90B189B4400}"/>
    <cellStyle name="Porcentaje 2 6 4 3" xfId="2762" xr:uid="{C8455EBE-4F2F-407D-8A74-85BC108BEF2D}"/>
    <cellStyle name="Porcentaje 2 6 5" xfId="2763" xr:uid="{FA8C6C6E-EF46-412E-AF42-C5A34E18FF74}"/>
    <cellStyle name="Porcentaje 2 6 5 2" xfId="2764" xr:uid="{60992A4D-AD27-4CBA-B2D1-B7C1F8D7350F}"/>
    <cellStyle name="Porcentaje 2 6 5 3" xfId="2765" xr:uid="{0E0CF9CF-1B8F-4954-9789-FFE0BF904D5C}"/>
    <cellStyle name="Porcentaje 2 6 6" xfId="2766" xr:uid="{F1692310-6176-464B-AAC4-66618082F4C4}"/>
    <cellStyle name="Porcentaje 2 7" xfId="2767" xr:uid="{23119DCD-F91F-43C8-8C43-EE09054220FD}"/>
    <cellStyle name="Porcentaje 2 7 2" xfId="2768" xr:uid="{200A6132-C033-46AB-AE4C-AD3B5A80C2B0}"/>
    <cellStyle name="Porcentaje 2 7 3" xfId="2769" xr:uid="{E1DDA7E9-7143-451F-98A2-A6ADAFA34586}"/>
    <cellStyle name="Porcentaje 2 8" xfId="2770" xr:uid="{7FC3A1A2-34FC-4314-8FCA-51A2054E6D96}"/>
    <cellStyle name="Porcentaje 2 9" xfId="2771" xr:uid="{3503794D-7539-46E5-B639-0ACAF7673890}"/>
    <cellStyle name="Porcentaje 3" xfId="2772" xr:uid="{85B8114B-0682-4BD4-90D8-0F6577B8E8C0}"/>
    <cellStyle name="Porcentaje 3 2" xfId="2773" xr:uid="{876A8B97-4610-4AA5-B263-202B0E112BED}"/>
    <cellStyle name="Porcentaje 4" xfId="2774" xr:uid="{543BB0CD-B7C9-4FF9-8843-00C60B465965}"/>
    <cellStyle name="Porcentaje 4 2" xfId="2775" xr:uid="{545D21D5-4B0D-4D54-8824-E2DA8DCE0734}"/>
    <cellStyle name="Porcentaje 4 2 2" xfId="2776" xr:uid="{DFE68AF2-849A-49BA-A640-F8BCC32B9B65}"/>
    <cellStyle name="Porcentaje 4 2 3" xfId="2777" xr:uid="{A80AA5F3-2FA0-4FEA-AC21-E28D198AA0DB}"/>
    <cellStyle name="Porcentaje 4 2 3 2" xfId="2778" xr:uid="{4156AEA2-EFFF-44B1-8718-7743BD1DD3F3}"/>
    <cellStyle name="Porcentaje 4 2 4" xfId="2779" xr:uid="{93A48E2F-A9FB-4862-B9B4-E4541B77222D}"/>
    <cellStyle name="Porcentaje 4 2 4 2" xfId="2780" xr:uid="{DB8068DF-B302-444A-AE2C-09660FB89CB7}"/>
    <cellStyle name="Porcentaje 4 2 4 3" xfId="2781" xr:uid="{C7279B81-E9CF-4A41-AC74-D18F7CA1EDFB}"/>
    <cellStyle name="Porcentaje 4 2 5" xfId="2782" xr:uid="{77A3C934-D4E0-4DAF-955B-8D6D4BA744C5}"/>
    <cellStyle name="Porcentaje 4 2 5 2" xfId="2783" xr:uid="{F67D9C24-F578-4732-BE78-13F1E74E2BEA}"/>
    <cellStyle name="Porcentaje 4 2 5 3" xfId="2784" xr:uid="{240ABD48-452A-4DE1-B5DB-1985866443A2}"/>
    <cellStyle name="Porcentaje 4 2 6" xfId="2785" xr:uid="{EDC27C4D-9731-45C9-B50C-6B2256549ABC}"/>
    <cellStyle name="Porcentaje 4 2 7" xfId="2786" xr:uid="{443EA012-C27A-4911-8752-940A25578C2D}"/>
    <cellStyle name="Porcentaje 4 2 8" xfId="2787" xr:uid="{1CF83B1F-72B1-4F6C-AD3E-3183D261644A}"/>
    <cellStyle name="Porcentaje 4 3" xfId="2788" xr:uid="{6AFE3B96-2ABB-417A-9F15-C1C8DA116BC9}"/>
    <cellStyle name="Porcentaje 4 3 2" xfId="2789" xr:uid="{79775177-8FA0-4E5A-A64F-6DEF7F1C7189}"/>
    <cellStyle name="Porcentaje 4 3 3" xfId="2790" xr:uid="{59021FC0-AFBC-4B0D-B744-9696984D81D9}"/>
    <cellStyle name="Porcentaje 4 3 3 2" xfId="2791" xr:uid="{60F4DE31-BC01-4440-9358-3613C4FA52EE}"/>
    <cellStyle name="Porcentaje 4 3 4" xfId="2792" xr:uid="{A5F0C191-23E7-43C7-8875-44F5A1F23C55}"/>
    <cellStyle name="Porcentaje 4 3 4 2" xfId="2793" xr:uid="{8171C1AF-792F-4823-B0ED-D750F262DB6F}"/>
    <cellStyle name="Porcentaje 4 3 4 3" xfId="2794" xr:uid="{39726168-935B-464D-9027-807CD89EDC1F}"/>
    <cellStyle name="Porcentaje 4 3 5" xfId="2795" xr:uid="{72529217-B375-4582-A324-3859BE6A4283}"/>
    <cellStyle name="Porcentaje 4 3 5 2" xfId="2796" xr:uid="{F625A388-B23B-4C7C-AEC9-2B87A4F770E0}"/>
    <cellStyle name="Porcentaje 4 3 5 3" xfId="2797" xr:uid="{2D23572D-2D61-4C01-B1DF-FE8FBD3DFB64}"/>
    <cellStyle name="Porcentaje 4 3 6" xfId="2798" xr:uid="{B29699FF-4C5A-4115-B5D9-17D1CC8CC578}"/>
    <cellStyle name="Porcentaje 4 4" xfId="2799" xr:uid="{F7366B76-85BF-4D2D-B019-13790AFDA5D9}"/>
    <cellStyle name="Porcentaje 4 5" xfId="2800" xr:uid="{63EB7E77-A063-4D12-A818-81169D85DD90}"/>
    <cellStyle name="Porcentaje 4 6" xfId="2801" xr:uid="{9DA5FC0D-CAD0-4E1E-B68B-E8996CF3A164}"/>
    <cellStyle name="Porcentaje 4 7" xfId="2802" xr:uid="{A7B44E4A-9B4E-48C3-A025-15C43DB82D44}"/>
    <cellStyle name="Porcentaje 4 8" xfId="2803" xr:uid="{5CD1FD83-C1AB-4890-8699-1FD6BD5C7243}"/>
    <cellStyle name="Porcentaje 4 9" xfId="2804" xr:uid="{4107BF55-5F4E-4017-B3BD-8C669044F4A9}"/>
    <cellStyle name="Porcentaje 5" xfId="2805" xr:uid="{7C64AEF3-F943-4315-AEAA-B87F6FC0A727}"/>
    <cellStyle name="Porcentaje 5 2" xfId="2806" xr:uid="{0AF38345-E6E5-444E-9514-4CF02FFED7DC}"/>
    <cellStyle name="Porcentaje 5 2 2" xfId="2807" xr:uid="{1C95A402-C1E6-4EB7-B799-16CBC9C740A8}"/>
    <cellStyle name="Porcentaje 5 2 3" xfId="2808" xr:uid="{9E4C4ADF-2A9F-4BF5-A2A7-8552A65D1936}"/>
    <cellStyle name="Porcentaje 5 2 3 2" xfId="2809" xr:uid="{0AA1CDDF-8291-4E57-B725-D5952BF94854}"/>
    <cellStyle name="Porcentaje 5 2 4" xfId="2810" xr:uid="{2DB9FD80-BABC-4C2A-8F52-1D19A51D4ADC}"/>
    <cellStyle name="Porcentaje 5 2 4 2" xfId="2811" xr:uid="{AE32E61E-449E-4DC7-86D7-59A279496D49}"/>
    <cellStyle name="Porcentaje 5 2 4 3" xfId="2812" xr:uid="{B08E129C-18E3-4EDD-B0C0-16A77D7DEDD8}"/>
    <cellStyle name="Porcentaje 5 2 5" xfId="2813" xr:uid="{42959867-F37B-4F38-BFE9-1C64937C4428}"/>
    <cellStyle name="Porcentaje 5 2 5 2" xfId="2814" xr:uid="{C7A7A60E-2C9E-4C88-BB49-2A4D996FCDCC}"/>
    <cellStyle name="Porcentaje 5 2 5 3" xfId="2815" xr:uid="{4D63FB48-FF29-4285-8B93-A325E3417A06}"/>
    <cellStyle name="Porcentaje 5 2 6" xfId="2816" xr:uid="{8010B3E5-8AE0-495B-9D22-384940ECB814}"/>
    <cellStyle name="Porcentaje 5 2 7" xfId="2817" xr:uid="{BAE243C5-B3C7-4A36-8842-DBA48566C5D7}"/>
    <cellStyle name="Porcentaje 5 2 8" xfId="2818" xr:uid="{64B7A6C6-3951-4981-A864-0D8D8D6ED5F9}"/>
    <cellStyle name="Porcentaje 5 3" xfId="2819" xr:uid="{AAFEB95D-1BE3-47F2-B550-F75AA9B754F8}"/>
    <cellStyle name="Porcentaje 5 4" xfId="2820" xr:uid="{21D036A1-8B08-4405-807A-658B0508CF73}"/>
    <cellStyle name="Porcentaje 5 4 2" xfId="2821" xr:uid="{65CD31C6-CC5F-4BF0-ADD7-2E14CF5AA876}"/>
    <cellStyle name="Porcentaje 5 5" xfId="2822" xr:uid="{7C9956FE-9405-4B7D-ADC4-0E7ADCEE5B1E}"/>
    <cellStyle name="Porcentaje 5 5 2" xfId="2823" xr:uid="{48043010-6514-47C5-884B-4608F30E0F77}"/>
    <cellStyle name="Porcentaje 5 5 3" xfId="2824" xr:uid="{7FD495C6-1A09-4C73-BE42-E22AD9A5DEA4}"/>
    <cellStyle name="Porcentaje 5 6" xfId="2825" xr:uid="{977D90B7-BB42-42CE-BA97-094A1F24B10A}"/>
    <cellStyle name="Porcentaje 5 6 2" xfId="2826" xr:uid="{ABE404FA-BA8F-4318-9C49-07BA9A6C9BC2}"/>
    <cellStyle name="Porcentaje 5 6 3" xfId="2827" xr:uid="{1B1EF863-5439-4892-A198-095716F16F16}"/>
    <cellStyle name="Porcentaje 5 7" xfId="2828" xr:uid="{D889C3B7-6F00-413D-8C2F-07BA7B29461C}"/>
    <cellStyle name="Porcentaje 5 8" xfId="2829" xr:uid="{BEE42134-7707-46B5-8736-3C0FE989427C}"/>
    <cellStyle name="Porcentaje 5 9" xfId="2830" xr:uid="{912B351D-7F0A-40BC-A1CE-96E0F82FF5CE}"/>
    <cellStyle name="Porcentaje 6" xfId="2831" xr:uid="{D9CA9D85-BE62-4FFF-8E30-D96E69C0B2FB}"/>
    <cellStyle name="Porcentaje 7" xfId="2832" xr:uid="{2847BAF7-BA0F-451B-B72E-AF2F27BEBBE7}"/>
    <cellStyle name="Porcentaje 7 2" xfId="2833" xr:uid="{BEFFFF20-7298-457B-B84B-0DC5BB44A642}"/>
    <cellStyle name="Porcentaje 7 3" xfId="2834" xr:uid="{7B8C7000-EB5D-469F-A33E-2068B6271F76}"/>
    <cellStyle name="Porcentaje 8" xfId="2835" xr:uid="{AF763C7E-3ABA-4937-BA7C-AC9A69170C20}"/>
    <cellStyle name="Porcentaje 9" xfId="2836" xr:uid="{EC88B280-3C64-4C19-B3AA-506FA10BD4E4}"/>
    <cellStyle name="Porcentual 10" xfId="2837" xr:uid="{F6F7A147-1CE1-4A39-9F63-C88BAB50CF5A}"/>
    <cellStyle name="Porcentual 11" xfId="2838" xr:uid="{FBF84C61-DA9C-4E8F-A2D8-6B797AE7C58D}"/>
    <cellStyle name="Porcentual 12" xfId="2839" xr:uid="{A77A7B30-73F7-44A5-961B-628D716F3EF8}"/>
    <cellStyle name="Porcentual 13" xfId="2840" xr:uid="{C9FACAD5-CB3F-4DB3-99FF-88B32B8AA928}"/>
    <cellStyle name="Porcentual 14" xfId="2841" xr:uid="{9B54AA3D-4BA3-405F-89ED-4A0DAD83423D}"/>
    <cellStyle name="Porcentual 15" xfId="2842" xr:uid="{C892E1A5-4E4E-49A4-B80C-DF6D4388C368}"/>
    <cellStyle name="Porcentual 16" xfId="2843" xr:uid="{9DABAA7D-6356-4B4C-B25F-5DE56A3B13AA}"/>
    <cellStyle name="Porcentual 17" xfId="2844" xr:uid="{C3F53E27-1761-422F-B0D1-89E6A033702E}"/>
    <cellStyle name="Porcentual 18" xfId="2845" xr:uid="{7EDA51D5-2E57-4591-9A04-4F35943385D7}"/>
    <cellStyle name="Porcentual 19" xfId="2846" xr:uid="{0B6240C9-1336-49CE-A946-9AA167834734}"/>
    <cellStyle name="Porcentual 2" xfId="2847" xr:uid="{0102447F-507E-40B5-99C0-2B271883638E}"/>
    <cellStyle name="Porcentual 2 10" xfId="2848" xr:uid="{9EA43DD7-C620-4121-8B34-C3415602F2A9}"/>
    <cellStyle name="Porcentual 2 10 2" xfId="2849" xr:uid="{257E8F30-6937-4694-878E-21422FA40A90}"/>
    <cellStyle name="Porcentual 2 11" xfId="2850" xr:uid="{8872E741-A2B9-492A-BFA1-6BC5844AA3A6}"/>
    <cellStyle name="Porcentual 2 11 2" xfId="2851" xr:uid="{3641727B-C930-449F-B6C7-5812B3E2186D}"/>
    <cellStyle name="Porcentual 2 12" xfId="2852" xr:uid="{522B3539-94E4-4BA3-A7E5-D9E7013887EA}"/>
    <cellStyle name="Porcentual 2 12 2" xfId="2853" xr:uid="{720D39A5-608D-416D-A653-EF574B9FFD63}"/>
    <cellStyle name="Porcentual 2 13" xfId="2854" xr:uid="{96B72722-CACE-43D8-A46F-52E42D687AB3}"/>
    <cellStyle name="Porcentual 2 13 2" xfId="2855" xr:uid="{C471FE75-6653-42BE-B6D8-0DD3790C5A5D}"/>
    <cellStyle name="Porcentual 2 14" xfId="2856" xr:uid="{CA882AE2-2E06-4E4A-904B-E60716BE72C2}"/>
    <cellStyle name="Porcentual 2 14 2" xfId="2857" xr:uid="{F2A28A98-48C5-4458-9649-0CE10C6688D1}"/>
    <cellStyle name="Porcentual 2 15" xfId="2858" xr:uid="{BA15FD97-304D-48F5-B95B-041F6700C1DD}"/>
    <cellStyle name="Porcentual 2 15 2" xfId="2859" xr:uid="{A8EAAE25-F85B-4714-AB44-A3BEDA2013E3}"/>
    <cellStyle name="Porcentual 2 16" xfId="2860" xr:uid="{A6D11B5E-C71F-429A-A3F6-A56B45AC8D38}"/>
    <cellStyle name="Porcentual 2 16 2" xfId="2861" xr:uid="{5C6A467A-38B2-443F-A9AF-3AED69426BFB}"/>
    <cellStyle name="Porcentual 2 17" xfId="2862" xr:uid="{544B71B2-39E8-4374-BAE6-4C15E5727B60}"/>
    <cellStyle name="Porcentual 2 17 2" xfId="2863" xr:uid="{4CB44AFE-1DC0-431A-8B1B-FF6037BDF605}"/>
    <cellStyle name="Porcentual 2 18" xfId="2864" xr:uid="{A74027DB-D99D-4EFB-BC65-866F46E18157}"/>
    <cellStyle name="Porcentual 2 18 2" xfId="2865" xr:uid="{39878B49-F0CB-4A72-80B1-387790A3130F}"/>
    <cellStyle name="Porcentual 2 19" xfId="2866" xr:uid="{1E09FA81-91A0-4D0E-9692-BE8A13E91F20}"/>
    <cellStyle name="Porcentual 2 19 2" xfId="2867" xr:uid="{9CCB9264-1553-441E-A74B-2AF0A9ADFEC8}"/>
    <cellStyle name="Porcentual 2 19 3" xfId="2868" xr:uid="{42B7BE0D-EECA-48C4-8476-FE1A4E755A5B}"/>
    <cellStyle name="Porcentual 2 19 3 2" xfId="2869" xr:uid="{29BD83C1-6B56-4F7F-AEAE-9A4B7F0BD731}"/>
    <cellStyle name="Porcentual 2 19 4" xfId="2870" xr:uid="{9DFF1041-4DD0-4EFA-AD50-0CA581ADBD2A}"/>
    <cellStyle name="Porcentual 2 19 4 2" xfId="2871" xr:uid="{6D240B6A-F0F6-465E-9135-F8953E7DB1D6}"/>
    <cellStyle name="Porcentual 2 19 4 3" xfId="2872" xr:uid="{BAE742AD-AFCE-46D0-BB1C-3CAC486FDB96}"/>
    <cellStyle name="Porcentual 2 19 5" xfId="2873" xr:uid="{CFDC7FFC-C0B2-4047-8A4E-7973FFF2146E}"/>
    <cellStyle name="Porcentual 2 19 5 2" xfId="2874" xr:uid="{DA6FA636-EA76-412C-BCF9-EF18814DA0F0}"/>
    <cellStyle name="Porcentual 2 19 5 3" xfId="2875" xr:uid="{78FE5B8C-FC49-421E-9E7A-2AD60F560BF3}"/>
    <cellStyle name="Porcentual 2 19 6" xfId="2876" xr:uid="{B7D61402-142B-4945-85AD-7A7C87181952}"/>
    <cellStyle name="Porcentual 2 19 7" xfId="2877" xr:uid="{64186528-4135-4F70-B766-62C76AF5E1F8}"/>
    <cellStyle name="Porcentual 2 19 8" xfId="2878" xr:uid="{28CAE871-863F-45AB-91CB-15C4C450A2DC}"/>
    <cellStyle name="Porcentual 2 2" xfId="2879" xr:uid="{A9F22764-848E-440F-9CD0-46413B4F6AB4}"/>
    <cellStyle name="Porcentual 2 2 2" xfId="2880" xr:uid="{530E726C-1724-413E-B4F1-96DCBD062199}"/>
    <cellStyle name="Porcentual 2 2 2 2" xfId="2881" xr:uid="{1E3885B8-5FAA-49C9-8356-3D6C3DFB5D37}"/>
    <cellStyle name="Porcentual 2 2 2 3" xfId="2882" xr:uid="{82E7756A-8C4A-4784-9D4F-E0BBA0A16034}"/>
    <cellStyle name="Porcentual 2 2 2 3 2" xfId="2883" xr:uid="{FDE3D1BF-D88D-4119-B052-08413A4063BE}"/>
    <cellStyle name="Porcentual 2 2 2 4" xfId="2884" xr:uid="{3C2A0536-67F1-4DF9-9541-2B3D9BFBD5AE}"/>
    <cellStyle name="Porcentual 2 2 2 4 2" xfId="2885" xr:uid="{BB439A45-B3AA-467C-9211-B948271554B3}"/>
    <cellStyle name="Porcentual 2 2 2 4 3" xfId="2886" xr:uid="{31A711C3-0B82-4DFF-8CA3-22D7EE5414A3}"/>
    <cellStyle name="Porcentual 2 2 2 5" xfId="2887" xr:uid="{F1C7563D-5677-4B32-AD8B-1555866C8624}"/>
    <cellStyle name="Porcentual 2 2 2 5 2" xfId="2888" xr:uid="{845F0EDC-6D7E-4562-8F65-13EAF94B8873}"/>
    <cellStyle name="Porcentual 2 2 2 5 3" xfId="2889" xr:uid="{CABFAE33-1BFE-4ACA-9FEC-E2B6BB0AEC31}"/>
    <cellStyle name="Porcentual 2 2 2 6" xfId="2890" xr:uid="{E35DCF97-2228-45AD-8697-92D2F2C6B4FF}"/>
    <cellStyle name="Porcentual 2 2 2 7" xfId="2891" xr:uid="{343B1709-523C-46BD-8936-F3B3A82A710E}"/>
    <cellStyle name="Porcentual 2 2 2 8" xfId="2892" xr:uid="{B94A988F-CDCB-445B-9054-5AF0C2929AAB}"/>
    <cellStyle name="Porcentual 2 20" xfId="2893" xr:uid="{086AB5E2-732C-4ABE-860A-6B9C57868741}"/>
    <cellStyle name="Porcentual 2 21" xfId="2894" xr:uid="{C7AFE449-4686-46C6-A87C-054D84FD25AA}"/>
    <cellStyle name="Porcentual 2 22" xfId="2895" xr:uid="{623231BD-E221-4ACC-8EB4-F3CEBF8D8B15}"/>
    <cellStyle name="Porcentual 2 23" xfId="2896" xr:uid="{DB81DAA8-ECEC-4905-A098-0DA6713E1A4A}"/>
    <cellStyle name="Porcentual 2 24" xfId="2897" xr:uid="{AE6A00E9-F204-4730-92A1-AB6677D4563D}"/>
    <cellStyle name="Porcentual 2 25" xfId="2898" xr:uid="{54D18171-CB7E-4871-BDF1-5797ED26909F}"/>
    <cellStyle name="Porcentual 2 26" xfId="2899" xr:uid="{E89AAA29-F9C2-4BD1-B2EE-BE063A1E75CF}"/>
    <cellStyle name="Porcentual 2 27" xfId="2900" xr:uid="{D69FAE0B-B697-47C0-885C-7889194FD029}"/>
    <cellStyle name="Porcentual 2 28" xfId="2901" xr:uid="{B46A2833-605C-4B35-8900-808B837A9A0D}"/>
    <cellStyle name="Porcentual 2 29" xfId="2902" xr:uid="{F898A000-9AD8-426C-A780-6BD76AA05CEA}"/>
    <cellStyle name="Porcentual 2 3" xfId="2903" xr:uid="{3EB2499F-827B-45D7-9985-04955AEF7C43}"/>
    <cellStyle name="Porcentual 2 3 2" xfId="2904" xr:uid="{09A62468-A333-41BF-8AA3-A7892C4BE508}"/>
    <cellStyle name="Porcentual 2 30" xfId="2905" xr:uid="{05CCDA64-DD2D-45DE-867E-726B0301D093}"/>
    <cellStyle name="Porcentual 2 31" xfId="2906" xr:uid="{5CF453CE-03E3-4D6A-B19E-8EC62E326529}"/>
    <cellStyle name="Porcentual 2 32" xfId="2907" xr:uid="{0F1ECFFD-8477-490A-805F-A277EAD7FEAB}"/>
    <cellStyle name="Porcentual 2 33" xfId="2908" xr:uid="{BB5A59D5-9F1B-4030-83D1-9EFAAEDC22BD}"/>
    <cellStyle name="Porcentual 2 34" xfId="2909" xr:uid="{AB807104-5D55-49C3-AB2A-519712FD3D6B}"/>
    <cellStyle name="Porcentual 2 35" xfId="2910" xr:uid="{F5EF8B06-0168-43C0-9AE5-52782145BFFD}"/>
    <cellStyle name="Porcentual 2 36" xfId="2911" xr:uid="{BE8A3205-014F-432A-84A1-8D4D87E63275}"/>
    <cellStyle name="Porcentual 2 37" xfId="2912" xr:uid="{6E446D62-2BEC-4653-8CF4-F7E7E65BFFAD}"/>
    <cellStyle name="Porcentual 2 38" xfId="2913" xr:uid="{C7668714-5B86-4F82-A82A-844B6D12D03F}"/>
    <cellStyle name="Porcentual 2 39" xfId="2914" xr:uid="{DAB506CA-3F95-4DFB-A762-C8D69A0F4FC5}"/>
    <cellStyle name="Porcentual 2 4" xfId="2915" xr:uid="{77A017F4-EF72-4A96-BC15-7D61AA010CB2}"/>
    <cellStyle name="Porcentual 2 4 2" xfId="2916" xr:uid="{39654164-041E-4394-8F46-705F2ED34F0D}"/>
    <cellStyle name="Porcentual 2 40" xfId="2917" xr:uid="{9FCB76C0-34A1-44FF-B5A4-E3CB64ADF298}"/>
    <cellStyle name="Porcentual 2 41" xfId="2918" xr:uid="{1DA52FAB-3B8A-433D-A11C-D748C59C692A}"/>
    <cellStyle name="Porcentual 2 42" xfId="2919" xr:uid="{942D62EB-CAD5-461D-85C6-C0FAAB766C08}"/>
    <cellStyle name="Porcentual 2 43" xfId="2920" xr:uid="{FC9B1589-3163-4C22-87F6-1E144A9E5BFD}"/>
    <cellStyle name="Porcentual 2 44" xfId="2921" xr:uid="{6380C9B1-8585-4145-9749-F22F7879ADAE}"/>
    <cellStyle name="Porcentual 2 45" xfId="2922" xr:uid="{F420C279-BF99-463F-BB62-630980A983E9}"/>
    <cellStyle name="Porcentual 2 46" xfId="2923" xr:uid="{C4155D20-195F-41B1-9B61-EEF0C15D571D}"/>
    <cellStyle name="Porcentual 2 47" xfId="2924" xr:uid="{0CC6AE29-B54A-4DA8-B594-6159AC8602A8}"/>
    <cellStyle name="Porcentual 2 48" xfId="2925" xr:uid="{FC1F6B49-6511-4BD0-8A66-7CEB7B3A21AF}"/>
    <cellStyle name="Porcentual 2 49" xfId="2926" xr:uid="{C4E9E541-4CF6-4F20-AD50-085031003EA6}"/>
    <cellStyle name="Porcentual 2 5" xfId="2927" xr:uid="{C50256DC-9820-4620-BCF7-163DB166AD60}"/>
    <cellStyle name="Porcentual 2 5 2" xfId="2928" xr:uid="{68E39E21-8971-4C77-9AE2-8B2F1D146CAE}"/>
    <cellStyle name="Porcentual 2 50" xfId="2929" xr:uid="{799401E6-0624-416E-B129-2A34132793BB}"/>
    <cellStyle name="Porcentual 2 51" xfId="2930" xr:uid="{AD8BEA70-601E-4F80-A40E-D84721031D7F}"/>
    <cellStyle name="Porcentual 2 52" xfId="2931" xr:uid="{B3D83271-ECC2-4955-BD26-BAE639DE566F}"/>
    <cellStyle name="Porcentual 2 53" xfId="2932" xr:uid="{59344C2B-42CF-4074-A7E5-9F32C96C1496}"/>
    <cellStyle name="Porcentual 2 54" xfId="2933" xr:uid="{9A5022EF-D3FB-412D-92B5-4709DD75C42A}"/>
    <cellStyle name="Porcentual 2 55" xfId="2934" xr:uid="{E0A3E0A9-9AA6-442F-B59C-266A4B39CE4E}"/>
    <cellStyle name="Porcentual 2 56" xfId="2935" xr:uid="{2CEE7F88-43C3-4271-9BB7-34D74078FF62}"/>
    <cellStyle name="Porcentual 2 57" xfId="2936" xr:uid="{C6822A11-C462-4658-9DC4-E674DE94FCB6}"/>
    <cellStyle name="Porcentual 2 58" xfId="2937" xr:uid="{B727BEDF-84F2-44AB-B267-44709B7BEE81}"/>
    <cellStyle name="Porcentual 2 59" xfId="2938" xr:uid="{DD881EAB-7679-4466-A463-082CA152DD51}"/>
    <cellStyle name="Porcentual 2 6" xfId="2939" xr:uid="{B3946CE2-9188-4D23-80E6-266A77630A6E}"/>
    <cellStyle name="Porcentual 2 6 2" xfId="2940" xr:uid="{01732540-79ED-4EFF-923A-06EB095D74AC}"/>
    <cellStyle name="Porcentual 2 60" xfId="2941" xr:uid="{65131A9F-7DAE-4611-9541-0D308AD99210}"/>
    <cellStyle name="Porcentual 2 61" xfId="2942" xr:uid="{DEA6B8E5-F1ED-4853-A6DC-9C98FE298B6E}"/>
    <cellStyle name="Porcentual 2 62" xfId="2943" xr:uid="{12380D90-291D-4338-A9DC-8FB571895D1D}"/>
    <cellStyle name="Porcentual 2 63" xfId="2944" xr:uid="{0372B9CD-613D-42E8-98DF-6DF73B56F1B3}"/>
    <cellStyle name="Porcentual 2 64" xfId="2945" xr:uid="{67EA8159-8576-4435-BBF4-1E34774B61FB}"/>
    <cellStyle name="Porcentual 2 65" xfId="2946" xr:uid="{E1458B94-B93C-48DD-A735-F5A1BE56890D}"/>
    <cellStyle name="Porcentual 2 66" xfId="2947" xr:uid="{20126E31-B1E5-4B82-B04F-BD21D8BE667D}"/>
    <cellStyle name="Porcentual 2 67" xfId="2948" xr:uid="{1DFD99E6-B4EE-4B2A-BAEF-666C33771812}"/>
    <cellStyle name="Porcentual 2 7" xfId="2949" xr:uid="{5CAEA924-7752-4738-96CA-B6A253C1BA6F}"/>
    <cellStyle name="Porcentual 2 7 2" xfId="2950" xr:uid="{961016BB-9E94-4B6E-B278-D892D7D7CF1D}"/>
    <cellStyle name="Porcentual 2 8" xfId="2951" xr:uid="{83D90DEB-CB8F-4E86-B06D-0FB02CA04DC0}"/>
    <cellStyle name="Porcentual 2 8 2" xfId="2952" xr:uid="{2D3A43E5-0635-4E5C-AE3C-6616C2405268}"/>
    <cellStyle name="Porcentual 2 9" xfId="2953" xr:uid="{2E56D50D-483F-48A7-981A-1B05FC26AE66}"/>
    <cellStyle name="Porcentual 2 9 2" xfId="2954" xr:uid="{411E7C08-B3D8-4AAD-A5CD-1B251B877EFC}"/>
    <cellStyle name="Porcentual 20" xfId="2955" xr:uid="{6454D507-60A9-43D2-8596-7CDCE2CE8233}"/>
    <cellStyle name="Porcentual 21" xfId="2956" xr:uid="{19F5160D-C9A1-4895-98D3-D80F87001C63}"/>
    <cellStyle name="Porcentual 22" xfId="2957" xr:uid="{96CD44EC-2996-4E77-B9FC-126B7EE84296}"/>
    <cellStyle name="Porcentual 23" xfId="2958" xr:uid="{786BE3F4-C8D9-4660-8F70-6BF0BD4B2929}"/>
    <cellStyle name="Porcentual 24" xfId="2959" xr:uid="{5DCD675D-CC0B-463C-9F7E-297C1C441820}"/>
    <cellStyle name="Porcentual 25" xfId="2960" xr:uid="{55102948-6BBB-4F94-AE23-8AF857D31E4A}"/>
    <cellStyle name="Porcentual 26" xfId="2961" xr:uid="{02EE71A7-9E76-4AAF-891E-E727670F52C9}"/>
    <cellStyle name="Porcentual 27" xfId="2962" xr:uid="{CCDC8E49-17D8-4FEE-81CD-9E9900D5191D}"/>
    <cellStyle name="Porcentual 28" xfId="2963" xr:uid="{EDCC1F07-64E1-4C65-99B2-63D4B5503328}"/>
    <cellStyle name="Porcentual 29" xfId="2964" xr:uid="{A594DCCD-9090-4E73-AE0B-1627DD32997B}"/>
    <cellStyle name="Porcentual 3" xfId="2965" xr:uid="{6FA3A8F6-B46F-4E8E-9597-89B510EA4E88}"/>
    <cellStyle name="Porcentual 3 10" xfId="2966" xr:uid="{77C9DFFD-52CA-4B8E-A30C-231BB0590ABA}"/>
    <cellStyle name="Porcentual 3 11" xfId="2967" xr:uid="{491062D8-C9D5-4B0C-8D35-F433E31B870B}"/>
    <cellStyle name="Porcentual 3 12" xfId="2968" xr:uid="{3DEF91DA-D16D-4B07-A25B-14C98277D926}"/>
    <cellStyle name="Porcentual 3 13" xfId="2969" xr:uid="{DA89A184-90D9-429A-A3D7-6A8028A92F73}"/>
    <cellStyle name="Porcentual 3 14" xfId="2970" xr:uid="{9E80D88F-5A2E-4FCF-A5F5-47B730CE2FAF}"/>
    <cellStyle name="Porcentual 3 15" xfId="2971" xr:uid="{B4B39C94-8C12-448C-8FF1-5813FB688776}"/>
    <cellStyle name="Porcentual 3 16" xfId="2972" xr:uid="{9DAFFAA7-598E-404F-A759-C997E34B52DB}"/>
    <cellStyle name="Porcentual 3 17" xfId="2973" xr:uid="{7D53766C-CFA3-4818-B14D-894061720699}"/>
    <cellStyle name="Porcentual 3 18" xfId="2974" xr:uid="{5B1BF7F6-569F-4514-BD5A-EA2082F6C1F7}"/>
    <cellStyle name="Porcentual 3 19" xfId="2975" xr:uid="{D6B2CF10-63EE-4016-87BA-FF05D48D4A8A}"/>
    <cellStyle name="Porcentual 3 2" xfId="2976" xr:uid="{02E8AFFF-7658-46B9-A4D6-09C07C5A15D7}"/>
    <cellStyle name="Porcentual 3 20" xfId="2977" xr:uid="{FFD71EF3-440A-4FC4-9A49-DE734DBB02BA}"/>
    <cellStyle name="Porcentual 3 20 2" xfId="2978" xr:uid="{C5655303-C641-4CD9-B681-3702CA8F0F4D}"/>
    <cellStyle name="Porcentual 3 20 2 2" xfId="2979" xr:uid="{90DDD329-EBDF-4F92-844F-AEB3A1294A5B}"/>
    <cellStyle name="Porcentual 3 20 2 3" xfId="2980" xr:uid="{B0DA4440-1972-4439-BA73-88405FA2E4C4}"/>
    <cellStyle name="Porcentual 3 20 2 3 2" xfId="2981" xr:uid="{53231B37-78DF-4648-920F-42A294EB76F3}"/>
    <cellStyle name="Porcentual 3 20 2 4" xfId="2982" xr:uid="{630F0663-FBEE-4430-A5CD-8800F28E6218}"/>
    <cellStyle name="Porcentual 3 20 2 4 2" xfId="2983" xr:uid="{D739F784-27D0-46D9-A0D9-14C9EB8A6BA6}"/>
    <cellStyle name="Porcentual 3 20 2 4 3" xfId="2984" xr:uid="{AFEC2157-2798-4346-B4E4-9C0842A6ED0D}"/>
    <cellStyle name="Porcentual 3 20 2 5" xfId="2985" xr:uid="{4D25B665-0C1A-4C5B-B9AF-D66B14B01C7B}"/>
    <cellStyle name="Porcentual 3 20 2 5 2" xfId="2986" xr:uid="{9DB88BBF-57CA-4FC7-811C-46EEC0BFFA51}"/>
    <cellStyle name="Porcentual 3 20 2 5 3" xfId="2987" xr:uid="{DD763FD9-A9D3-479E-A6A8-D09C90BBCC1A}"/>
    <cellStyle name="Porcentual 3 20 2 6" xfId="2988" xr:uid="{4AF343DA-E66A-40E7-AE4F-E8258D257698}"/>
    <cellStyle name="Porcentual 3 20 2 7" xfId="2989" xr:uid="{367725B1-5DDF-439C-8CB7-BB77B62FCC89}"/>
    <cellStyle name="Porcentual 3 20 2 8" xfId="2990" xr:uid="{401E7370-32F6-4ED1-850A-630C07C5188A}"/>
    <cellStyle name="Porcentual 3 20 3" xfId="2991" xr:uid="{CE5D8F8D-BC23-4AC4-BF1E-D27DEBAC1E6F}"/>
    <cellStyle name="Porcentual 3 20 4" xfId="2992" xr:uid="{36ABD8FD-7EEB-49C2-896C-21562A654ECE}"/>
    <cellStyle name="Porcentual 3 20 4 2" xfId="2993" xr:uid="{069C8C8E-EDFD-4D24-947C-A9CCB50E1BF4}"/>
    <cellStyle name="Porcentual 3 20 5" xfId="2994" xr:uid="{6161B831-D86B-4741-A2D6-3C6634A6AF6E}"/>
    <cellStyle name="Porcentual 3 20 5 2" xfId="2995" xr:uid="{7AA17977-E826-4A41-A3FC-9950C9842873}"/>
    <cellStyle name="Porcentual 3 20 5 3" xfId="2996" xr:uid="{04AABE98-A7CE-423E-A17D-82DCE2FC7062}"/>
    <cellStyle name="Porcentual 3 20 6" xfId="2997" xr:uid="{8F66F22B-D520-4422-B018-AE2AE969433F}"/>
    <cellStyle name="Porcentual 3 20 6 2" xfId="2998" xr:uid="{AB0B13B5-529C-4231-AE86-514235A54FF7}"/>
    <cellStyle name="Porcentual 3 20 6 3" xfId="2999" xr:uid="{A54C07F2-9CD5-4866-9DBD-F4738567B0B0}"/>
    <cellStyle name="Porcentual 3 20 7" xfId="3000" xr:uid="{99015D9A-C200-4ED9-A744-A02042F2564C}"/>
    <cellStyle name="Porcentual 3 20 8" xfId="3001" xr:uid="{C3392057-A786-4F3D-9F39-1A4611CEF577}"/>
    <cellStyle name="Porcentual 3 20 9" xfId="3002" xr:uid="{6B3400AA-9A22-4CBA-8919-DB8AF8983CF9}"/>
    <cellStyle name="Porcentual 3 21" xfId="3003" xr:uid="{CA13FAB5-B80F-4D88-9ADB-541B69B4A69E}"/>
    <cellStyle name="Porcentual 3 21 2" xfId="3004" xr:uid="{DD951ADE-14E8-4D46-A56C-E10B48AB8092}"/>
    <cellStyle name="Porcentual 3 21 2 2" xfId="3005" xr:uid="{5E1C8485-588D-40F4-86AF-5E5285EF69AA}"/>
    <cellStyle name="Porcentual 3 21 2 3" xfId="3006" xr:uid="{A04D2FAE-32FB-429B-89ED-BAF6B4A2B88B}"/>
    <cellStyle name="Porcentual 3 21 2 3 2" xfId="3007" xr:uid="{1D736845-645A-427B-8FC4-4092177D2BA2}"/>
    <cellStyle name="Porcentual 3 21 2 4" xfId="3008" xr:uid="{9B89654F-7CFA-447E-8815-EA6A5B12A228}"/>
    <cellStyle name="Porcentual 3 21 2 4 2" xfId="3009" xr:uid="{0BAF5EDD-5F29-49FD-BC70-4435D5A57E47}"/>
    <cellStyle name="Porcentual 3 21 2 4 3" xfId="3010" xr:uid="{8DF60731-1900-4EA2-ABC9-49D29868FDAD}"/>
    <cellStyle name="Porcentual 3 21 2 5" xfId="3011" xr:uid="{F6ADF6E5-37BC-4E1C-90AC-347E70F6767D}"/>
    <cellStyle name="Porcentual 3 21 2 5 2" xfId="3012" xr:uid="{CC6FCA28-DCE3-4C67-A48F-246C4A9C4B0B}"/>
    <cellStyle name="Porcentual 3 21 2 5 3" xfId="3013" xr:uid="{7ED98297-5E00-4FFB-96CE-B1B5A21E425F}"/>
    <cellStyle name="Porcentual 3 21 2 6" xfId="3014" xr:uid="{95BB33AA-ED76-45B8-9996-4FDFE4E733F3}"/>
    <cellStyle name="Porcentual 3 21 2 7" xfId="3015" xr:uid="{CBB293CE-3FEA-4B23-B925-F5AEA5A6E46F}"/>
    <cellStyle name="Porcentual 3 21 2 8" xfId="3016" xr:uid="{3A660647-70A4-4C6D-A4CF-27C77A7C25A0}"/>
    <cellStyle name="Porcentual 3 21 3" xfId="3017" xr:uid="{ED6F0E91-CE3A-4157-B4BA-E3C5B525BA8D}"/>
    <cellStyle name="Porcentual 3 21 4" xfId="3018" xr:uid="{AE678305-5484-4666-8EDB-494D265A9193}"/>
    <cellStyle name="Porcentual 3 21 4 2" xfId="3019" xr:uid="{8C863551-C80C-4C1D-8A54-6DFF9428535F}"/>
    <cellStyle name="Porcentual 3 21 5" xfId="3020" xr:uid="{BCF5B612-CA24-4B4B-A4F4-412CAD02F545}"/>
    <cellStyle name="Porcentual 3 21 5 2" xfId="3021" xr:uid="{2F45D870-9363-49EE-9F64-67B4FA2B5FBC}"/>
    <cellStyle name="Porcentual 3 21 5 3" xfId="3022" xr:uid="{FEF7F9F9-25BF-4EC9-B156-950650B7D2D9}"/>
    <cellStyle name="Porcentual 3 21 6" xfId="3023" xr:uid="{8C26898F-E16D-474A-8495-09EFEC87975B}"/>
    <cellStyle name="Porcentual 3 21 6 2" xfId="3024" xr:uid="{1FF3AF06-0237-49FE-B036-0308F7B634F6}"/>
    <cellStyle name="Porcentual 3 21 6 3" xfId="3025" xr:uid="{C369ED16-E3C1-4596-BD8A-4CC1E4345B4D}"/>
    <cellStyle name="Porcentual 3 21 7" xfId="3026" xr:uid="{90C6D68E-0754-4821-9AC5-E37484F93953}"/>
    <cellStyle name="Porcentual 3 21 8" xfId="3027" xr:uid="{33CF5605-3098-42DB-A435-D607D142EA21}"/>
    <cellStyle name="Porcentual 3 21 9" xfId="3028" xr:uid="{4E745F68-F167-417A-9141-9C3EBD56252F}"/>
    <cellStyle name="Porcentual 3 22" xfId="3029" xr:uid="{BDC2E3CC-D8FA-4B16-8A9E-EF24DA0EBB79}"/>
    <cellStyle name="Porcentual 3 22 2" xfId="3030" xr:uid="{C36E4194-C5A7-4991-BA48-368E6A6179C3}"/>
    <cellStyle name="Porcentual 3 22 3" xfId="3031" xr:uid="{3E885A96-BD8D-40FC-86DB-8C0F43CDCCE4}"/>
    <cellStyle name="Porcentual 3 22 3 2" xfId="3032" xr:uid="{00F15618-7D0D-4083-B7A7-92A0DAAEF661}"/>
    <cellStyle name="Porcentual 3 22 4" xfId="3033" xr:uid="{1F362C0C-89FF-459B-AA78-580681935348}"/>
    <cellStyle name="Porcentual 3 22 4 2" xfId="3034" xr:uid="{67774092-8AFE-47FF-8BC4-6AAB53AE1C24}"/>
    <cellStyle name="Porcentual 3 22 4 3" xfId="3035" xr:uid="{95FE0F33-8CBE-43DD-9A1B-6346B78A74F1}"/>
    <cellStyle name="Porcentual 3 22 5" xfId="3036" xr:uid="{9DDB0E60-0780-4E73-872E-924D8C473CE6}"/>
    <cellStyle name="Porcentual 3 22 5 2" xfId="3037" xr:uid="{006DBC9D-F3A0-4ED7-8C89-2CEA8911D394}"/>
    <cellStyle name="Porcentual 3 22 5 3" xfId="3038" xr:uid="{CE3A9B44-321B-4E70-A6AC-FA4E718B9F2E}"/>
    <cellStyle name="Porcentual 3 22 6" xfId="3039" xr:uid="{EF0C4F01-E770-4E9B-87CC-3F60C9E41D07}"/>
    <cellStyle name="Porcentual 3 22 7" xfId="3040" xr:uid="{9B3D6763-50AB-4C6F-8107-D5AC4F86B00E}"/>
    <cellStyle name="Porcentual 3 22 8" xfId="3041" xr:uid="{253AB29D-9999-4C87-9E35-1BDBA529155F}"/>
    <cellStyle name="Porcentual 3 23" xfId="3042" xr:uid="{601D137A-DD25-443D-A5BF-FA38817D6004}"/>
    <cellStyle name="Porcentual 3 23 2" xfId="3043" xr:uid="{9C6C45FF-715E-4F88-96FF-0E52D1ACA257}"/>
    <cellStyle name="Porcentual 3 23 3" xfId="3044" xr:uid="{96641C8C-88A3-46C0-A133-85441BB1C001}"/>
    <cellStyle name="Porcentual 3 23 3 2" xfId="3045" xr:uid="{B4114F1D-9DC2-42FC-BFEA-D5764BBCCF89}"/>
    <cellStyle name="Porcentual 3 23 4" xfId="3046" xr:uid="{C5B63AFA-C127-4439-853A-028BBDC5B082}"/>
    <cellStyle name="Porcentual 3 23 4 2" xfId="3047" xr:uid="{DA2C4E98-82F2-40A1-9681-E525AEA498E2}"/>
    <cellStyle name="Porcentual 3 23 4 3" xfId="3048" xr:uid="{095810C1-E63F-4EE9-BAF8-13FCAE630B0F}"/>
    <cellStyle name="Porcentual 3 23 5" xfId="3049" xr:uid="{B00F1A21-77CB-4876-A172-C7B6246861F2}"/>
    <cellStyle name="Porcentual 3 23 5 2" xfId="3050" xr:uid="{37999947-3E74-4676-860E-5DA148626E26}"/>
    <cellStyle name="Porcentual 3 23 5 3" xfId="3051" xr:uid="{EF50B115-A514-4479-ADC3-01BECD1B0FE6}"/>
    <cellStyle name="Porcentual 3 23 6" xfId="3052" xr:uid="{C87C1CA7-1AD3-4F08-802F-3AAEAA7F0DFC}"/>
    <cellStyle name="Porcentual 3 24" xfId="3053" xr:uid="{9854A719-3027-4FF4-971B-00280CDEF0F9}"/>
    <cellStyle name="Porcentual 3 25" xfId="3054" xr:uid="{92D7590C-BD4B-4797-B974-42EEF90390E9}"/>
    <cellStyle name="Porcentual 3 26" xfId="3055" xr:uid="{942F087D-801D-4BE8-A2BB-B000B852A89F}"/>
    <cellStyle name="Porcentual 3 27" xfId="3056" xr:uid="{14CA191E-6F88-451A-BC0C-D5F2F74C3EE2}"/>
    <cellStyle name="Porcentual 3 28" xfId="3057" xr:uid="{EFBCC476-4A3C-433B-8206-460223356EC1}"/>
    <cellStyle name="Porcentual 3 29" xfId="3058" xr:uid="{70257162-411F-4C87-BF9E-51FB18D335DB}"/>
    <cellStyle name="Porcentual 3 3" xfId="3059" xr:uid="{79A4107D-DAE4-4187-8BC6-4D1EB77165BC}"/>
    <cellStyle name="Porcentual 3 4" xfId="3060" xr:uid="{0AE60953-ED22-4EFC-B28B-EB1717C876B4}"/>
    <cellStyle name="Porcentual 3 5" xfId="3061" xr:uid="{6ADFA905-3AD0-4A72-AE7F-054724D7D416}"/>
    <cellStyle name="Porcentual 3 6" xfId="3062" xr:uid="{89A5B8A0-954B-41C9-B8E5-B39BFF6CB465}"/>
    <cellStyle name="Porcentual 3 7" xfId="3063" xr:uid="{65012B69-4DF1-42DA-9B11-FF2B2EAA16B8}"/>
    <cellStyle name="Porcentual 3 8" xfId="3064" xr:uid="{F60A79D0-F2EC-4B79-BD9A-4CBC107AC665}"/>
    <cellStyle name="Porcentual 3 9" xfId="3065" xr:uid="{4D64521A-CA3B-4CFD-8586-5F9BC596C9F5}"/>
    <cellStyle name="Porcentual 30" xfId="3066" xr:uid="{E8516E0F-9018-4D85-997B-A0AA0139211D}"/>
    <cellStyle name="Porcentual 31" xfId="3067" xr:uid="{A61AC5E6-5273-4983-8A1E-7215C83324AE}"/>
    <cellStyle name="Porcentual 32" xfId="3068" xr:uid="{E95572D9-B94B-4806-9BBE-C880F409FF55}"/>
    <cellStyle name="Porcentual 33" xfId="3069" xr:uid="{B75FC411-835E-44C6-9EC3-588467344ED5}"/>
    <cellStyle name="Porcentual 34" xfId="3070" xr:uid="{3AE26894-E34B-494F-9184-191CF76A5405}"/>
    <cellStyle name="Porcentual 35" xfId="3071" xr:uid="{85B6E379-D346-4CE8-96C8-05DDD4A2449F}"/>
    <cellStyle name="Porcentual 36" xfId="3072" xr:uid="{CA87D7FE-66F8-4512-A421-40F75146C831}"/>
    <cellStyle name="Porcentual 37" xfId="3073" xr:uid="{4AFC6437-E5BF-46E2-BF14-A80AAF5CE62D}"/>
    <cellStyle name="Porcentual 38" xfId="3074" xr:uid="{9486E0E0-79A0-4B7A-A668-21ACAF14B323}"/>
    <cellStyle name="Porcentual 39" xfId="3075" xr:uid="{360E2AC8-19B9-4AD2-A189-BD4832F7716B}"/>
    <cellStyle name="Porcentual 4" xfId="3076" xr:uid="{A918BE4A-C399-4365-BFFD-6592D5A40088}"/>
    <cellStyle name="Porcentual 4 2" xfId="3077" xr:uid="{6551EAC3-4C39-4CC1-AF95-7D1C636B11EA}"/>
    <cellStyle name="Porcentual 4 3" xfId="3078" xr:uid="{A4D8AA47-8DD7-4BED-8261-C9B19BBFB2EF}"/>
    <cellStyle name="Porcentual 4 4" xfId="3079" xr:uid="{CF68A396-CF6A-46CF-AF52-64D27AC13C5A}"/>
    <cellStyle name="Porcentual 40" xfId="3080" xr:uid="{DBAD1631-AC30-478B-9E91-AC67353E00D0}"/>
    <cellStyle name="Porcentual 41" xfId="3081" xr:uid="{C7C56FC5-E45A-4F3A-AC4A-8E50BCA6A632}"/>
    <cellStyle name="Porcentual 42" xfId="3082" xr:uid="{6B5EB6EE-27CB-47FB-952D-F0CB7AEB85E9}"/>
    <cellStyle name="Porcentual 43" xfId="3083" xr:uid="{B0A54867-7F72-48B6-819A-4E9C42005512}"/>
    <cellStyle name="Porcentual 44" xfId="3084" xr:uid="{0D789D19-0A0F-4AEC-B551-E8D29A95B40F}"/>
    <cellStyle name="Porcentual 45" xfId="3085" xr:uid="{9C675C4C-28B7-43EB-BC3A-7D92996733AF}"/>
    <cellStyle name="Porcentual 46" xfId="3086" xr:uid="{2B1364B9-17C7-44ED-8706-1DB7F5C268D7}"/>
    <cellStyle name="Porcentual 47" xfId="3087" xr:uid="{AA6818DB-5C81-4617-9EB1-561814132BC5}"/>
    <cellStyle name="Porcentual 48" xfId="3088" xr:uid="{3EE1D686-CD57-4CED-8D52-6D390A3CC56C}"/>
    <cellStyle name="Porcentual 49" xfId="3089" xr:uid="{3D010D2B-3EE1-4A4B-9FE7-129357EE0B3E}"/>
    <cellStyle name="Porcentual 5" xfId="3090" xr:uid="{0CBF73CD-9305-4E4D-AA76-7FDA151C1828}"/>
    <cellStyle name="Porcentual 5 2" xfId="3091" xr:uid="{E17F294A-7D67-4CE2-A8AC-6837B4B7659B}"/>
    <cellStyle name="Porcentual 5 2 2" xfId="3092" xr:uid="{03739B0C-42CE-412A-AD94-D640DD7E507C}"/>
    <cellStyle name="Porcentual 5 2 3" xfId="3093" xr:uid="{F6B8B2DA-51F0-4A49-885A-BD0446B90361}"/>
    <cellStyle name="Porcentual 5 2 3 2" xfId="3094" xr:uid="{13C1215D-162F-47F4-9DC3-9B073DDC67E9}"/>
    <cellStyle name="Porcentual 5 2 4" xfId="3095" xr:uid="{FB81CAFA-065F-4743-9ACD-6AB2B21F0A95}"/>
    <cellStyle name="Porcentual 5 2 4 2" xfId="3096" xr:uid="{0AE89680-8651-4972-A19A-86121DE5E231}"/>
    <cellStyle name="Porcentual 5 2 4 3" xfId="3097" xr:uid="{77C9EF30-4505-4312-A8B1-0EA2046DEE9F}"/>
    <cellStyle name="Porcentual 5 2 5" xfId="3098" xr:uid="{EDFA5104-72FE-47E1-AFE3-F43F3675BD9B}"/>
    <cellStyle name="Porcentual 5 2 5 2" xfId="3099" xr:uid="{359304AC-7569-461D-BD74-6EEEDF8C4307}"/>
    <cellStyle name="Porcentual 5 2 5 3" xfId="3100" xr:uid="{5DAF4D1C-7DB8-4C3E-B983-85CA49EC7205}"/>
    <cellStyle name="Porcentual 5 2 6" xfId="3101" xr:uid="{E0E99253-3229-45B2-AF8C-4B4AD24F04BB}"/>
    <cellStyle name="Porcentual 5 2 7" xfId="3102" xr:uid="{79C450A6-1695-44A4-BA1C-5859B26B1D3F}"/>
    <cellStyle name="Porcentual 5 2 8" xfId="3103" xr:uid="{E94251D8-8BC2-4EE6-A4DD-2518A030FB32}"/>
    <cellStyle name="Porcentual 5 3" xfId="3104" xr:uid="{E28CB661-75A3-4AE6-BA42-403FD24C9B0C}"/>
    <cellStyle name="Porcentual 5 3 2" xfId="3105" xr:uid="{0CD7D7D8-0493-4B5F-9926-9CF6CBD868FB}"/>
    <cellStyle name="Porcentual 5 3 3" xfId="3106" xr:uid="{60BC783C-F69A-4BAA-8D0E-3D41E90043B4}"/>
    <cellStyle name="Porcentual 5 3 3 2" xfId="3107" xr:uid="{71826EB8-DA90-4356-B0A5-59023AF932C5}"/>
    <cellStyle name="Porcentual 5 3 4" xfId="3108" xr:uid="{3EE7E403-814A-4BC7-8D73-02B210766C9D}"/>
    <cellStyle name="Porcentual 5 3 4 2" xfId="3109" xr:uid="{B1F53E23-CEDE-47CA-B610-87A75DCCD044}"/>
    <cellStyle name="Porcentual 5 3 4 3" xfId="3110" xr:uid="{15E32679-4059-44C7-9E59-EF5E91AAD30A}"/>
    <cellStyle name="Porcentual 5 3 5" xfId="3111" xr:uid="{4F8A4D36-7A32-4E27-A518-307C1C72EE4F}"/>
    <cellStyle name="Porcentual 5 3 5 2" xfId="3112" xr:uid="{85F845F4-CC91-4C83-B70C-AB8038F166CC}"/>
    <cellStyle name="Porcentual 5 3 5 3" xfId="3113" xr:uid="{FC364CE8-E175-4804-8D69-F40D7CDBB51C}"/>
    <cellStyle name="Porcentual 5 3 6" xfId="3114" xr:uid="{22C7E4EE-07BB-45AA-BB6F-759CFAA3AF82}"/>
    <cellStyle name="Porcentual 5 3 7" xfId="3115" xr:uid="{1B3380AC-AC30-4811-836F-627CEA9ACABD}"/>
    <cellStyle name="Porcentual 5 3 8" xfId="3116" xr:uid="{A382E5DF-409F-4CAB-AEC7-6C910AB8F362}"/>
    <cellStyle name="Porcentual 5 4" xfId="3117" xr:uid="{5BF96373-91D1-4E97-8DA1-E0BBC55C6C9A}"/>
    <cellStyle name="Porcentual 50" xfId="3118" xr:uid="{B25B7527-57DF-45E3-8F71-5DD3804E5E52}"/>
    <cellStyle name="Porcentual 51" xfId="3119" xr:uid="{414E7670-5CD4-49F1-9F6D-E550D4E890F5}"/>
    <cellStyle name="Porcentual 52" xfId="3120" xr:uid="{B4BFFE1B-3E19-48A3-9484-128ED381BED9}"/>
    <cellStyle name="Porcentual 53" xfId="3121" xr:uid="{50339D7C-C5FC-4B6A-837D-47B5E8CFDD9B}"/>
    <cellStyle name="Porcentual 54" xfId="3122" xr:uid="{A19CDAED-AE90-4507-B445-40E2D49CD76F}"/>
    <cellStyle name="Porcentual 55" xfId="3123" xr:uid="{8007EB2E-6541-4129-9C16-9BD58C9C66F3}"/>
    <cellStyle name="Porcentual 56" xfId="3124" xr:uid="{21E9D2CA-EA19-44B6-8F0D-FAF70829E9B3}"/>
    <cellStyle name="Porcentual 57" xfId="3125" xr:uid="{63DD6D31-E43D-44A7-BF42-3EE59FC2570B}"/>
    <cellStyle name="Porcentual 58" xfId="3126" xr:uid="{A0AE014B-593B-4A74-B911-4C86ECC2AAFD}"/>
    <cellStyle name="Porcentual 59" xfId="3127" xr:uid="{D1910AF3-EC35-439F-BAE2-4D53BC8DFC0B}"/>
    <cellStyle name="Porcentual 6" xfId="3128" xr:uid="{A8049E5A-DA2C-4C8F-8480-C5D22DDFEE5E}"/>
    <cellStyle name="Porcentual 6 10" xfId="3129" xr:uid="{40E65B68-00E5-40CF-B9D8-7A1E4B5C7B53}"/>
    <cellStyle name="Porcentual 6 10 2" xfId="3130" xr:uid="{8006EF5B-6B13-4DC5-B7B6-57DF6C051DF9}"/>
    <cellStyle name="Porcentual 6 10 3" xfId="3131" xr:uid="{4D9E7CA4-3CBE-40FA-95DA-9F1233E8074C}"/>
    <cellStyle name="Porcentual 6 11" xfId="3132" xr:uid="{5559B4A6-64A6-49E4-AD57-379648A708C5}"/>
    <cellStyle name="Porcentual 6 11 2" xfId="3133" xr:uid="{DCBFB401-1DCB-4BA9-8376-AC3459B7C0DE}"/>
    <cellStyle name="Porcentual 6 11 3" xfId="3134" xr:uid="{F1E02F50-7902-4F85-AEEE-29BD3ABB7765}"/>
    <cellStyle name="Porcentual 6 12" xfId="3135" xr:uid="{B75B4FCE-E6B2-4A55-BA1D-354C4395004E}"/>
    <cellStyle name="Porcentual 6 13" xfId="3136" xr:uid="{B1F3B11B-6108-4195-836E-2774D7B780DA}"/>
    <cellStyle name="Porcentual 6 14" xfId="3137" xr:uid="{FE37C6F0-9353-4D9C-B78E-5B34DE8C6F63}"/>
    <cellStyle name="Porcentual 6 2" xfId="3138" xr:uid="{711E6D48-75A0-4189-991E-4C9C90E1602B}"/>
    <cellStyle name="Porcentual 6 2 10" xfId="3139" xr:uid="{6F98829D-D913-4E72-8DBE-062EA70AC306}"/>
    <cellStyle name="Porcentual 6 2 11" xfId="3140" xr:uid="{49723CAA-31BE-4FC7-971F-55CDEA9A23B6}"/>
    <cellStyle name="Porcentual 6 2 12" xfId="3141" xr:uid="{69797488-C67C-48A4-BF94-77D5F57DE616}"/>
    <cellStyle name="Porcentual 6 2 2" xfId="3142" xr:uid="{F67DB872-04C1-4089-A827-F46CF2F9C07A}"/>
    <cellStyle name="Porcentual 6 2 2 2" xfId="3143" xr:uid="{5E55DBC2-0DC5-47A8-8294-331FB3518893}"/>
    <cellStyle name="Porcentual 6 2 2 2 2" xfId="3144" xr:uid="{5FD8B5CE-791D-4732-82FE-2B460F57665F}"/>
    <cellStyle name="Porcentual 6 2 2 2 3" xfId="3145" xr:uid="{ADB2643D-0F81-4017-AB20-F45E4678F826}"/>
    <cellStyle name="Porcentual 6 2 2 2 3 2" xfId="3146" xr:uid="{C27D5558-7FFE-40A6-8D40-2CF3177D519D}"/>
    <cellStyle name="Porcentual 6 2 2 2 4" xfId="3147" xr:uid="{D7DCD1C3-69F9-4E40-9CE0-8E04BAE0AB7E}"/>
    <cellStyle name="Porcentual 6 2 2 2 4 2" xfId="3148" xr:uid="{7C3288C6-DF4D-45CE-86EF-CE934DBEFBFD}"/>
    <cellStyle name="Porcentual 6 2 2 2 4 3" xfId="3149" xr:uid="{38D60D22-1B66-4AA7-8701-509F3401FCA4}"/>
    <cellStyle name="Porcentual 6 2 2 2 5" xfId="3150" xr:uid="{B38330FA-0AD9-4E90-965E-9CEA5EBEC8B1}"/>
    <cellStyle name="Porcentual 6 2 2 2 5 2" xfId="3151" xr:uid="{C6934C92-FB51-4450-86B6-BA86ABD89533}"/>
    <cellStyle name="Porcentual 6 2 2 2 5 3" xfId="3152" xr:uid="{C054D3F4-6979-48A9-8C8C-258D9A04D27D}"/>
    <cellStyle name="Porcentual 6 2 2 2 6" xfId="3153" xr:uid="{07EFF303-8994-4465-95FF-940E57CAEBB1}"/>
    <cellStyle name="Porcentual 6 2 2 2 7" xfId="3154" xr:uid="{DA7BE718-DE41-46EE-B0EC-9E08DF8B30A0}"/>
    <cellStyle name="Porcentual 6 2 2 2 8" xfId="3155" xr:uid="{93C351B4-8DF4-4031-88DD-1827ECC65EF2}"/>
    <cellStyle name="Porcentual 6 2 2 3" xfId="3156" xr:uid="{4CD823A4-3E19-433D-93D1-633C02CF916E}"/>
    <cellStyle name="Porcentual 6 2 2 4" xfId="3157" xr:uid="{D70E2F88-2982-4B14-8A26-E6223A016751}"/>
    <cellStyle name="Porcentual 6 2 2 4 2" xfId="3158" xr:uid="{C44AFD1C-892C-42E9-899D-EB8EFFE31D5E}"/>
    <cellStyle name="Porcentual 6 2 2 5" xfId="3159" xr:uid="{345369AB-9C5E-4426-B2FB-E07D003BCB08}"/>
    <cellStyle name="Porcentual 6 2 2 5 2" xfId="3160" xr:uid="{FBEADB4C-051B-491B-9AD2-C9A5CFE5C08D}"/>
    <cellStyle name="Porcentual 6 2 2 5 3" xfId="3161" xr:uid="{9A800723-9F8F-4450-A9A2-C5CBA255D65C}"/>
    <cellStyle name="Porcentual 6 2 2 6" xfId="3162" xr:uid="{50CC0742-24CA-4C09-A0A2-C71FE5C7F476}"/>
    <cellStyle name="Porcentual 6 2 2 6 2" xfId="3163" xr:uid="{C803182A-15A1-4F62-85F6-8EFAF0C90B20}"/>
    <cellStyle name="Porcentual 6 2 2 6 3" xfId="3164" xr:uid="{FADC245C-DC97-4948-AE42-6036D81EBCA3}"/>
    <cellStyle name="Porcentual 6 2 2 7" xfId="3165" xr:uid="{C451AB1B-4365-4E98-9A61-5A6D3EB29FE7}"/>
    <cellStyle name="Porcentual 6 2 2 8" xfId="3166" xr:uid="{4059D1B6-B220-49BA-99CC-5C5216E3D53E}"/>
    <cellStyle name="Porcentual 6 2 2 9" xfId="3167" xr:uid="{18D47540-3911-4806-84F4-64354E25BE3D}"/>
    <cellStyle name="Porcentual 6 2 3" xfId="3168" xr:uid="{E40D66FE-3716-499F-8D58-321A3E87F171}"/>
    <cellStyle name="Porcentual 6 2 3 2" xfId="3169" xr:uid="{55A43A13-99F4-4C6D-913B-FC0040EE93C8}"/>
    <cellStyle name="Porcentual 6 2 3 2 2" xfId="3170" xr:uid="{5773A7DB-B61F-422C-AE9C-FACA9063CC6B}"/>
    <cellStyle name="Porcentual 6 2 3 2 3" xfId="3171" xr:uid="{AB5D6CBB-DCB4-4084-806A-598CEF399554}"/>
    <cellStyle name="Porcentual 6 2 3 2 3 2" xfId="3172" xr:uid="{7A7CA6B6-5622-465B-8D22-7879625D4282}"/>
    <cellStyle name="Porcentual 6 2 3 2 4" xfId="3173" xr:uid="{D5C30695-0FE0-4DA0-A0F7-031B75AE78FC}"/>
    <cellStyle name="Porcentual 6 2 3 2 4 2" xfId="3174" xr:uid="{1B44E68F-DFA3-482E-B46E-F6207975E33E}"/>
    <cellStyle name="Porcentual 6 2 3 2 4 3" xfId="3175" xr:uid="{022A0D01-4A36-4C7C-BA88-ED0D2E1F4AA9}"/>
    <cellStyle name="Porcentual 6 2 3 2 5" xfId="3176" xr:uid="{A67F64A9-F333-475E-9293-1212770A84B8}"/>
    <cellStyle name="Porcentual 6 2 3 2 5 2" xfId="3177" xr:uid="{0BB15A70-F90C-48E4-B8D5-8D72763EC2C6}"/>
    <cellStyle name="Porcentual 6 2 3 2 5 3" xfId="3178" xr:uid="{A3A08667-035D-4099-B57D-16188F607ACF}"/>
    <cellStyle name="Porcentual 6 2 3 2 6" xfId="3179" xr:uid="{D16A67CF-A876-49E0-9BE9-EEBB128893BD}"/>
    <cellStyle name="Porcentual 6 2 3 2 7" xfId="3180" xr:uid="{F826D674-BB65-4CD8-B620-099D7E0D52D0}"/>
    <cellStyle name="Porcentual 6 2 3 2 8" xfId="3181" xr:uid="{0682A8F0-2519-4C43-8553-9D46D66F7B83}"/>
    <cellStyle name="Porcentual 6 2 3 3" xfId="3182" xr:uid="{0C5A4E94-6B0E-4DBC-B49C-C847FA36802D}"/>
    <cellStyle name="Porcentual 6 2 3 4" xfId="3183" xr:uid="{846DDB0E-7BF0-4CBB-924E-97DA25C4B6BC}"/>
    <cellStyle name="Porcentual 6 2 3 4 2" xfId="3184" xr:uid="{8714D41D-F28B-43F9-A4ED-E42571B2ACC3}"/>
    <cellStyle name="Porcentual 6 2 3 5" xfId="3185" xr:uid="{AE6FD225-AE44-43D1-91FC-4DC47C6F147A}"/>
    <cellStyle name="Porcentual 6 2 3 5 2" xfId="3186" xr:uid="{4C3A586F-658F-45FD-8F79-3C55ED62DD8F}"/>
    <cellStyle name="Porcentual 6 2 3 5 3" xfId="3187" xr:uid="{62AA8A88-471A-4C32-8FE3-B98A371A6A67}"/>
    <cellStyle name="Porcentual 6 2 3 6" xfId="3188" xr:uid="{D9E7F301-1C59-41E6-9138-70367F3D1E7A}"/>
    <cellStyle name="Porcentual 6 2 3 6 2" xfId="3189" xr:uid="{DE0EC771-C525-4E9A-9AD2-E434CA6F9CD6}"/>
    <cellStyle name="Porcentual 6 2 3 6 3" xfId="3190" xr:uid="{78753412-32E0-4894-BAF6-1DD3A647621B}"/>
    <cellStyle name="Porcentual 6 2 3 7" xfId="3191" xr:uid="{CA3F5285-89B4-46B5-A2CB-9382011FD50F}"/>
    <cellStyle name="Porcentual 6 2 3 8" xfId="3192" xr:uid="{6F13DBA5-E4FE-48AA-901C-7C806B5B8358}"/>
    <cellStyle name="Porcentual 6 2 3 9" xfId="3193" xr:uid="{EB783CC0-7CA5-409B-A259-BBD5775ADB51}"/>
    <cellStyle name="Porcentual 6 2 4" xfId="3194" xr:uid="{5DA2A7A8-167D-419C-BC70-8164C3E157D1}"/>
    <cellStyle name="Porcentual 6 2 4 2" xfId="3195" xr:uid="{17E88BE8-4FF3-4314-9450-92BCDAC67227}"/>
    <cellStyle name="Porcentual 6 2 4 3" xfId="3196" xr:uid="{5367FD1F-ADC6-4B76-A4AA-12FE98AF13A1}"/>
    <cellStyle name="Porcentual 6 2 4 3 2" xfId="3197" xr:uid="{AEEB43A0-886E-483B-8859-F876DE377FF5}"/>
    <cellStyle name="Porcentual 6 2 4 4" xfId="3198" xr:uid="{E4CD4795-32F1-45B4-B0EE-3A6481771223}"/>
    <cellStyle name="Porcentual 6 2 4 4 2" xfId="3199" xr:uid="{011A4DEE-A1F6-428F-875D-818489AAFCB6}"/>
    <cellStyle name="Porcentual 6 2 4 4 3" xfId="3200" xr:uid="{8621D56D-73FE-4870-83E8-5B95AD92CD05}"/>
    <cellStyle name="Porcentual 6 2 4 5" xfId="3201" xr:uid="{5D66ED8D-CBA5-4127-BD49-0BE304E447CF}"/>
    <cellStyle name="Porcentual 6 2 4 5 2" xfId="3202" xr:uid="{82D4EAA2-4CE6-418E-90E7-19428D3D1889}"/>
    <cellStyle name="Porcentual 6 2 4 5 3" xfId="3203" xr:uid="{DE9FFAED-405C-4E6E-861A-7827B7063114}"/>
    <cellStyle name="Porcentual 6 2 4 6" xfId="3204" xr:uid="{FEF4616B-EDF8-489C-8D8C-39CDD68FC74B}"/>
    <cellStyle name="Porcentual 6 2 4 7" xfId="3205" xr:uid="{9ECB654A-0F92-4F8D-8127-25CEEEA795DE}"/>
    <cellStyle name="Porcentual 6 2 4 8" xfId="3206" xr:uid="{9FB2A5CF-37D3-4C64-9B3D-E3D4BEA5AD0E}"/>
    <cellStyle name="Porcentual 6 2 5" xfId="3207" xr:uid="{33D9A7CD-4B99-4BD0-90A7-08C8DD3E247A}"/>
    <cellStyle name="Porcentual 6 2 5 2" xfId="3208" xr:uid="{0A7E4906-33BD-4C48-9F99-78B237407F62}"/>
    <cellStyle name="Porcentual 6 2 5 3" xfId="3209" xr:uid="{C29EA212-0429-46AA-9EC2-BC51012D4D92}"/>
    <cellStyle name="Porcentual 6 2 5 3 2" xfId="3210" xr:uid="{6B254B3F-4547-445E-88E2-274744F67CB6}"/>
    <cellStyle name="Porcentual 6 2 5 4" xfId="3211" xr:uid="{660B05DD-5F54-4B3E-B842-D1338BA08042}"/>
    <cellStyle name="Porcentual 6 2 5 4 2" xfId="3212" xr:uid="{9E61F0F8-C631-476A-B5AF-EF9958D1F55B}"/>
    <cellStyle name="Porcentual 6 2 5 4 3" xfId="3213" xr:uid="{05B52D6C-4549-4842-AF7F-6EDDE2FB07BF}"/>
    <cellStyle name="Porcentual 6 2 5 5" xfId="3214" xr:uid="{E8E6F372-0D8B-4AFF-9F85-56F7D6542118}"/>
    <cellStyle name="Porcentual 6 2 5 5 2" xfId="3215" xr:uid="{DAC67683-250A-45A9-A8F2-2A1F2BFCC29A}"/>
    <cellStyle name="Porcentual 6 2 5 5 3" xfId="3216" xr:uid="{F0C7415B-7544-4A04-B6D2-8CCF91B547FF}"/>
    <cellStyle name="Porcentual 6 2 5 6" xfId="3217" xr:uid="{206BE4BF-7EDF-4DDA-A0B8-9D3EFB784448}"/>
    <cellStyle name="Porcentual 6 2 5 7" xfId="3218" xr:uid="{FA7E3DCD-22E5-4C5E-B998-44F1938B6C5A}"/>
    <cellStyle name="Porcentual 6 2 5 8" xfId="3219" xr:uid="{68B2AFCC-E824-4816-B743-2084B454F710}"/>
    <cellStyle name="Porcentual 6 2 6" xfId="3220" xr:uid="{D2B7992C-3215-4856-B3D2-8F83D3E741F6}"/>
    <cellStyle name="Porcentual 6 2 7" xfId="3221" xr:uid="{2D7473B4-7E8D-4FC6-BEE9-9D216B18AC5F}"/>
    <cellStyle name="Porcentual 6 2 7 2" xfId="3222" xr:uid="{25FD7E6F-CE6F-4BCB-9ABB-5B0C9A46EB70}"/>
    <cellStyle name="Porcentual 6 2 8" xfId="3223" xr:uid="{2F585852-0B2D-4092-8BC0-D44958F8E184}"/>
    <cellStyle name="Porcentual 6 2 8 2" xfId="3224" xr:uid="{3A6A7A6E-A191-4941-B7FE-067910330525}"/>
    <cellStyle name="Porcentual 6 2 8 3" xfId="3225" xr:uid="{D24B298E-F486-4F79-91C6-9E3702344E55}"/>
    <cellStyle name="Porcentual 6 2 9" xfId="3226" xr:uid="{524E87FD-7408-4998-9751-85565C93F825}"/>
    <cellStyle name="Porcentual 6 2 9 2" xfId="3227" xr:uid="{C37AAE5F-619C-4BCD-BB84-7A363C627EB0}"/>
    <cellStyle name="Porcentual 6 2 9 3" xfId="3228" xr:uid="{BC7E4D82-57AC-4587-806B-F8C8F6DF4F4E}"/>
    <cellStyle name="Porcentual 6 3" xfId="3229" xr:uid="{CE31CE73-662A-4DC6-8471-EFA9B8AC38B7}"/>
    <cellStyle name="Porcentual 6 4" xfId="3230" xr:uid="{4991C088-3BBB-4CE1-90DF-1D35A8DC10BE}"/>
    <cellStyle name="Porcentual 6 4 2" xfId="3231" xr:uid="{E3767E43-B270-4AEF-A450-8F40E1B8BEC6}"/>
    <cellStyle name="Porcentual 6 4 2 2" xfId="3232" xr:uid="{3507582C-ED2B-4C93-9CAD-B2D0A4F3CFDE}"/>
    <cellStyle name="Porcentual 6 4 2 3" xfId="3233" xr:uid="{67D07B8F-3C1D-4331-A486-1BC7B8850671}"/>
    <cellStyle name="Porcentual 6 4 2 3 2" xfId="3234" xr:uid="{8C375256-3926-46BB-8458-2E3A1F1E49F0}"/>
    <cellStyle name="Porcentual 6 4 2 4" xfId="3235" xr:uid="{6456B058-8F04-49A8-835B-860A3546197C}"/>
    <cellStyle name="Porcentual 6 4 2 4 2" xfId="3236" xr:uid="{4BCC50B8-32F5-4A7D-82A1-3B78CC1C3A9D}"/>
    <cellStyle name="Porcentual 6 4 2 4 3" xfId="3237" xr:uid="{4BFA5164-8804-4320-9465-1BEF77BA9C33}"/>
    <cellStyle name="Porcentual 6 4 2 5" xfId="3238" xr:uid="{171EEA64-0FCB-4727-B254-822BADEFEE39}"/>
    <cellStyle name="Porcentual 6 4 2 5 2" xfId="3239" xr:uid="{6E0EA54B-E77E-4F85-9B82-82FC52615E32}"/>
    <cellStyle name="Porcentual 6 4 2 5 3" xfId="3240" xr:uid="{826B0636-F264-4182-AF38-9CF0AD71B2FB}"/>
    <cellStyle name="Porcentual 6 4 2 6" xfId="3241" xr:uid="{08CDEB6B-34DF-4A16-9F32-31705C8E130A}"/>
    <cellStyle name="Porcentual 6 4 2 7" xfId="3242" xr:uid="{9B6A4AAA-7DDA-4E6B-BA52-C35A072D2C26}"/>
    <cellStyle name="Porcentual 6 4 2 8" xfId="3243" xr:uid="{917BD94B-F7F0-4F8C-ACC8-582CEAD9117C}"/>
    <cellStyle name="Porcentual 6 4 3" xfId="3244" xr:uid="{41E42FD4-EEEE-42BC-B31F-995BBD1083D3}"/>
    <cellStyle name="Porcentual 6 4 4" xfId="3245" xr:uid="{CB33F5CF-9220-4C33-A3FA-E9D4C3EA7175}"/>
    <cellStyle name="Porcentual 6 4 4 2" xfId="3246" xr:uid="{A13B123E-24B2-4EEF-B8C6-50FCD2D2C3B0}"/>
    <cellStyle name="Porcentual 6 4 5" xfId="3247" xr:uid="{045FE70C-169F-47E0-B561-5233CE9610A6}"/>
    <cellStyle name="Porcentual 6 4 5 2" xfId="3248" xr:uid="{02E433E1-D215-476D-81A9-8C36D19052F0}"/>
    <cellStyle name="Porcentual 6 4 5 3" xfId="3249" xr:uid="{77330BF2-783C-4DE9-B14F-FA3F9D8149E5}"/>
    <cellStyle name="Porcentual 6 4 6" xfId="3250" xr:uid="{CD728FF5-3680-40DE-ABC6-DB1127223B8A}"/>
    <cellStyle name="Porcentual 6 4 6 2" xfId="3251" xr:uid="{C3A80108-4FEB-4AEC-A465-3F9C8C590464}"/>
    <cellStyle name="Porcentual 6 4 6 3" xfId="3252" xr:uid="{14470D12-AD69-4A72-B25F-0B0D4C897D21}"/>
    <cellStyle name="Porcentual 6 4 7" xfId="3253" xr:uid="{4699B25B-6CD6-44C5-9A73-BE29E67E3AB7}"/>
    <cellStyle name="Porcentual 6 4 8" xfId="3254" xr:uid="{51AEB974-DE84-4590-9C44-6EFC8A357E31}"/>
    <cellStyle name="Porcentual 6 4 9" xfId="3255" xr:uid="{171F37CD-DE46-420E-8E40-E528CFE70392}"/>
    <cellStyle name="Porcentual 6 5" xfId="3256" xr:uid="{6F3F9B10-526A-4E89-8765-00B43BAFE056}"/>
    <cellStyle name="Porcentual 6 5 2" xfId="3257" xr:uid="{B774DBC8-3C87-434F-993B-1899F719A5AF}"/>
    <cellStyle name="Porcentual 6 5 2 2" xfId="3258" xr:uid="{47E5F2A8-39AB-4225-BDE1-E26B56639DEE}"/>
    <cellStyle name="Porcentual 6 5 2 3" xfId="3259" xr:uid="{CCD901F6-AAE1-4A34-9937-0B171F71734E}"/>
    <cellStyle name="Porcentual 6 5 2 3 2" xfId="3260" xr:uid="{FB211D8F-0C98-42A2-BD3D-5188D0D24ADF}"/>
    <cellStyle name="Porcentual 6 5 2 4" xfId="3261" xr:uid="{0E85D487-9ECE-4871-A49E-F86DC5062A98}"/>
    <cellStyle name="Porcentual 6 5 2 4 2" xfId="3262" xr:uid="{4BB9E08A-15B6-4D51-9809-CC7ACBEAC93A}"/>
    <cellStyle name="Porcentual 6 5 2 4 3" xfId="3263" xr:uid="{1338B042-0F6F-4E38-8D6F-7BF1E6AA2847}"/>
    <cellStyle name="Porcentual 6 5 2 5" xfId="3264" xr:uid="{B10F28E9-A4AB-4944-B2E8-E2A90D9C7C72}"/>
    <cellStyle name="Porcentual 6 5 2 5 2" xfId="3265" xr:uid="{ACDB77BB-E184-47EC-9E36-9360BD636D7B}"/>
    <cellStyle name="Porcentual 6 5 2 5 3" xfId="3266" xr:uid="{6975CB0A-0842-4A55-97FC-D952EE973E23}"/>
    <cellStyle name="Porcentual 6 5 2 6" xfId="3267" xr:uid="{AFEAF2F0-34F6-4739-9A37-31BC230F5C54}"/>
    <cellStyle name="Porcentual 6 5 2 7" xfId="3268" xr:uid="{0B9F84D6-90B5-4B35-8DE9-339FAD0C23D1}"/>
    <cellStyle name="Porcentual 6 5 2 8" xfId="3269" xr:uid="{46A4551B-8F5A-4C38-9286-B61937DCA28E}"/>
    <cellStyle name="Porcentual 6 5 3" xfId="3270" xr:uid="{35584A5E-50A5-43AD-A96A-EB0C2938EAAA}"/>
    <cellStyle name="Porcentual 6 5 4" xfId="3271" xr:uid="{D9E1BC50-1E89-4A4A-8C29-2A9CF1E4F461}"/>
    <cellStyle name="Porcentual 6 5 4 2" xfId="3272" xr:uid="{4D385592-BC2D-45F3-81D3-231AA02FA447}"/>
    <cellStyle name="Porcentual 6 5 5" xfId="3273" xr:uid="{9B4FCC80-28BF-4FE5-919A-24239DF7B62E}"/>
    <cellStyle name="Porcentual 6 5 5 2" xfId="3274" xr:uid="{3B0FAC55-A66B-4789-AC5E-F947139277CD}"/>
    <cellStyle name="Porcentual 6 5 5 3" xfId="3275" xr:uid="{2CCE9338-534E-474C-A2DE-1DB7B008CF86}"/>
    <cellStyle name="Porcentual 6 5 6" xfId="3276" xr:uid="{FB2452AD-AD04-4157-86F2-EEB22B26C695}"/>
    <cellStyle name="Porcentual 6 5 6 2" xfId="3277" xr:uid="{1C62E898-78A1-4C75-8511-B5E879DF3847}"/>
    <cellStyle name="Porcentual 6 5 6 3" xfId="3278" xr:uid="{250808E0-D8E3-4BDB-8996-EE8C05BB8E2E}"/>
    <cellStyle name="Porcentual 6 5 7" xfId="3279" xr:uid="{89585499-8CFB-4889-B0BA-B554742342F6}"/>
    <cellStyle name="Porcentual 6 5 8" xfId="3280" xr:uid="{6D1A47E1-DCB3-4F85-B949-5B670A7EA464}"/>
    <cellStyle name="Porcentual 6 5 9" xfId="3281" xr:uid="{50D61F15-90CA-46B6-B761-648F897FC32B}"/>
    <cellStyle name="Porcentual 6 6" xfId="3282" xr:uid="{F152751D-4C14-4B88-B7CE-1A68307D2EFA}"/>
    <cellStyle name="Porcentual 6 6 2" xfId="3283" xr:uid="{9D291D75-F9F8-4899-A685-E264A56CEB43}"/>
    <cellStyle name="Porcentual 6 6 3" xfId="3284" xr:uid="{50DAB142-0473-4F27-BAD9-F799F374FDC0}"/>
    <cellStyle name="Porcentual 6 6 3 2" xfId="3285" xr:uid="{586BAE3E-B0A9-427E-AE15-BEDA45316CC7}"/>
    <cellStyle name="Porcentual 6 6 4" xfId="3286" xr:uid="{42B82EF1-EDCA-45C3-B0EE-9C0C829D5682}"/>
    <cellStyle name="Porcentual 6 6 4 2" xfId="3287" xr:uid="{B6BF4C4A-4008-4CD8-93B6-CF52236DB484}"/>
    <cellStyle name="Porcentual 6 6 4 3" xfId="3288" xr:uid="{510DD21F-9D0B-4C37-B930-EDD4D5F86AC5}"/>
    <cellStyle name="Porcentual 6 6 5" xfId="3289" xr:uid="{FE3FE45C-A4E7-4902-B4B0-F8470B0EC4F5}"/>
    <cellStyle name="Porcentual 6 6 5 2" xfId="3290" xr:uid="{02DC8844-816E-4290-9393-252F6DC4C69E}"/>
    <cellStyle name="Porcentual 6 6 5 3" xfId="3291" xr:uid="{D32AE621-3CA2-4B93-B139-B86A7725A92E}"/>
    <cellStyle name="Porcentual 6 6 6" xfId="3292" xr:uid="{14555CAE-C2F7-473C-9C3E-01D929D09AAC}"/>
    <cellStyle name="Porcentual 6 6 7" xfId="3293" xr:uid="{1E043CF7-BDB0-4F03-9F44-84DD62817501}"/>
    <cellStyle name="Porcentual 6 6 8" xfId="3294" xr:uid="{9B692072-82C0-402D-B2C1-BCB3353F0938}"/>
    <cellStyle name="Porcentual 6 7" xfId="3295" xr:uid="{A1B19D80-4818-45BD-B932-548EF83412C1}"/>
    <cellStyle name="Porcentual 6 7 2" xfId="3296" xr:uid="{23BB0D40-6374-49B9-B49F-DD9F96FFBA6F}"/>
    <cellStyle name="Porcentual 6 7 3" xfId="3297" xr:uid="{B1F14786-4180-41A8-9B98-D9D6B37DEC4E}"/>
    <cellStyle name="Porcentual 6 7 3 2" xfId="3298" xr:uid="{71E441E7-837E-4DC8-8FAA-889B0067CCAB}"/>
    <cellStyle name="Porcentual 6 7 4" xfId="3299" xr:uid="{1368AFA6-F4A3-46B0-9370-06D3DBA97BD4}"/>
    <cellStyle name="Porcentual 6 7 4 2" xfId="3300" xr:uid="{8E06F545-B5FA-4088-8435-B8D8F8D16E98}"/>
    <cellStyle name="Porcentual 6 7 4 3" xfId="3301" xr:uid="{F90B2D5E-87CF-4B95-8A98-037894BA5E2F}"/>
    <cellStyle name="Porcentual 6 7 5" xfId="3302" xr:uid="{38082314-437A-4E6A-BF77-84C6E3615F40}"/>
    <cellStyle name="Porcentual 6 7 5 2" xfId="3303" xr:uid="{D6C9F367-7A03-4A27-AC5C-A03C0A163FD8}"/>
    <cellStyle name="Porcentual 6 7 5 3" xfId="3304" xr:uid="{299082A2-511B-47B9-82FC-5F4A3DBE24A7}"/>
    <cellStyle name="Porcentual 6 7 6" xfId="3305" xr:uid="{4BCE14A9-8990-4742-82DF-61BF07EF6669}"/>
    <cellStyle name="Porcentual 6 7 7" xfId="3306" xr:uid="{AF0AFE59-0CC5-4173-9A4A-CAC05A8FC873}"/>
    <cellStyle name="Porcentual 6 7 8" xfId="3307" xr:uid="{A0AF0097-B5C7-4AB9-811B-8A744AFB5CF1}"/>
    <cellStyle name="Porcentual 6 8" xfId="3308" xr:uid="{80C0248D-E776-4CB3-AEDF-17F022599894}"/>
    <cellStyle name="Porcentual 6 9" xfId="3309" xr:uid="{08D72A52-9D30-4203-8585-492CF1EEC4AF}"/>
    <cellStyle name="Porcentual 6 9 2" xfId="3310" xr:uid="{53DCD531-AE3E-411E-A350-CC178285A826}"/>
    <cellStyle name="Porcentual 60" xfId="3311" xr:uid="{1A6F58A7-7E84-451A-8BAA-32AFC0F78BC7}"/>
    <cellStyle name="Porcentual 61" xfId="3312" xr:uid="{A5B1A879-E9D3-457C-9061-29672E2293D6}"/>
    <cellStyle name="Porcentual 62" xfId="3313" xr:uid="{E5697E2F-C45E-4F88-9813-33D10B672EE9}"/>
    <cellStyle name="Porcentual 63" xfId="3314" xr:uid="{4AD16353-9C58-4D9D-9E5B-49994E2E6350}"/>
    <cellStyle name="Porcentual 64" xfId="3315" xr:uid="{986E392B-2589-4FCA-86C8-1C436C34BFAA}"/>
    <cellStyle name="Porcentual 65" xfId="3316" xr:uid="{88DFF34D-33D2-421B-AF4E-E3C25BBD3915}"/>
    <cellStyle name="Porcentual 66" xfId="3317" xr:uid="{26D858D8-540D-4021-9F4C-0E4980F52BCC}"/>
    <cellStyle name="Porcentual 67" xfId="3318" xr:uid="{5D6D99C0-7F0F-4F44-8F75-EB86CEF89D28}"/>
    <cellStyle name="Porcentual 7" xfId="3319" xr:uid="{25C442A4-861F-4B36-A5AE-9B84C0AA05B5}"/>
    <cellStyle name="Porcentual 7 10" xfId="3320" xr:uid="{CAC04765-F8BE-4F86-86BA-174494FF46D2}"/>
    <cellStyle name="Porcentual 7 10 2" xfId="3321" xr:uid="{3E891182-9F16-4FD2-8FE6-87190275F45E}"/>
    <cellStyle name="Porcentual 7 10 3" xfId="3322" xr:uid="{FC27C69E-C4E0-4B46-9A74-606D9845F19E}"/>
    <cellStyle name="Porcentual 7 11" xfId="3323" xr:uid="{BB63CE25-EDF5-49C4-9D9B-1B5B0D798383}"/>
    <cellStyle name="Porcentual 7 12" xfId="3324" xr:uid="{9DAABA89-4AB0-4474-9319-51610BB64453}"/>
    <cellStyle name="Porcentual 7 13" xfId="3325" xr:uid="{09A5ECEF-527F-4289-8C95-0A9515E774B0}"/>
    <cellStyle name="Porcentual 7 2" xfId="3326" xr:uid="{D7AB79D2-CA19-42AA-B649-17058EC79C7A}"/>
    <cellStyle name="Porcentual 7 2 10" xfId="3327" xr:uid="{B7364B93-3917-4F0C-8E8F-8724A8EE2E14}"/>
    <cellStyle name="Porcentual 7 2 11" xfId="3328" xr:uid="{5F9291CF-B9AB-4B74-9C76-5005A04CF78C}"/>
    <cellStyle name="Porcentual 7 2 12" xfId="3329" xr:uid="{C701B3F3-8C52-4034-AF3D-96F8F937ED8D}"/>
    <cellStyle name="Porcentual 7 2 2" xfId="3330" xr:uid="{4D0F391C-165C-49B3-8020-54991E5107F6}"/>
    <cellStyle name="Porcentual 7 2 2 2" xfId="3331" xr:uid="{89FFD8F8-C6BB-42D8-A9D1-653D5B5D2E20}"/>
    <cellStyle name="Porcentual 7 2 2 2 2" xfId="3332" xr:uid="{6440B455-0F72-4B85-B3BC-1BB9EE125B39}"/>
    <cellStyle name="Porcentual 7 2 2 2 3" xfId="3333" xr:uid="{1508805B-DCC8-4891-B1EC-F62BE8852DD6}"/>
    <cellStyle name="Porcentual 7 2 2 2 3 2" xfId="3334" xr:uid="{F1095148-662C-48A2-9236-DE363BF1B735}"/>
    <cellStyle name="Porcentual 7 2 2 2 4" xfId="3335" xr:uid="{E0C40CDE-54A3-4996-B9A6-8FC7AA880CBD}"/>
    <cellStyle name="Porcentual 7 2 2 2 4 2" xfId="3336" xr:uid="{63354276-EDF4-48BF-82F3-001513562F87}"/>
    <cellStyle name="Porcentual 7 2 2 2 4 3" xfId="3337" xr:uid="{62D64D29-491C-49BB-8A4A-5F108C92CC95}"/>
    <cellStyle name="Porcentual 7 2 2 2 5" xfId="3338" xr:uid="{303583F6-C719-49D6-9F2E-2DFF25AC36E2}"/>
    <cellStyle name="Porcentual 7 2 2 2 5 2" xfId="3339" xr:uid="{B01C7425-20F7-4832-AAAB-D6FBAEE44B59}"/>
    <cellStyle name="Porcentual 7 2 2 2 5 3" xfId="3340" xr:uid="{170F3473-33C7-421C-959E-FFBF8F0D8BFE}"/>
    <cellStyle name="Porcentual 7 2 2 2 6" xfId="3341" xr:uid="{AC42B7A1-46DD-406F-80FA-C893A1C017B8}"/>
    <cellStyle name="Porcentual 7 2 2 2 7" xfId="3342" xr:uid="{6B26A3C0-8964-474B-876A-3B901B18DFAA}"/>
    <cellStyle name="Porcentual 7 2 2 2 8" xfId="3343" xr:uid="{74F25286-7DC7-4143-A312-7E2776FA3841}"/>
    <cellStyle name="Porcentual 7 2 2 3" xfId="3344" xr:uid="{562E9EF8-854D-46C8-8CF2-BC81893E9E1D}"/>
    <cellStyle name="Porcentual 7 2 2 4" xfId="3345" xr:uid="{55510047-5760-4D75-8AEF-94F037926B5D}"/>
    <cellStyle name="Porcentual 7 2 2 4 2" xfId="3346" xr:uid="{48549D9C-19C2-40B9-8600-558852F2F5DA}"/>
    <cellStyle name="Porcentual 7 2 2 5" xfId="3347" xr:uid="{7847479D-F65C-4205-A42F-0410BD912951}"/>
    <cellStyle name="Porcentual 7 2 2 5 2" xfId="3348" xr:uid="{CC81DA74-D05B-49A7-A51B-C7E835A1AB12}"/>
    <cellStyle name="Porcentual 7 2 2 5 3" xfId="3349" xr:uid="{25E63AC4-4A33-41D3-8A10-A3222C6FA2C9}"/>
    <cellStyle name="Porcentual 7 2 2 6" xfId="3350" xr:uid="{846E0E2E-8C9C-4B6A-82AE-7A568F9E7BE8}"/>
    <cellStyle name="Porcentual 7 2 2 6 2" xfId="3351" xr:uid="{EA473F4C-4C2B-4DBF-9772-7970ABB72289}"/>
    <cellStyle name="Porcentual 7 2 2 6 3" xfId="3352" xr:uid="{BF1FB1DD-574C-4924-8069-BD9CDDE6FD40}"/>
    <cellStyle name="Porcentual 7 2 2 7" xfId="3353" xr:uid="{F535277F-B93C-4484-AFDE-B5F4C41BAB21}"/>
    <cellStyle name="Porcentual 7 2 2 8" xfId="3354" xr:uid="{2B084AB9-7892-4FE6-9837-AF803C8C36D8}"/>
    <cellStyle name="Porcentual 7 2 2 9" xfId="3355" xr:uid="{4996EA04-6A1F-451B-A19E-F79E75B0BBC0}"/>
    <cellStyle name="Porcentual 7 2 3" xfId="3356" xr:uid="{D9B95515-AB80-4897-A480-A0E1CAADA78A}"/>
    <cellStyle name="Porcentual 7 2 3 2" xfId="3357" xr:uid="{E5E5501E-FE28-43E1-9674-E1F9CDDF9157}"/>
    <cellStyle name="Porcentual 7 2 3 2 2" xfId="3358" xr:uid="{0B2A2C72-BDF1-4C72-95DE-C74D9FCD5D77}"/>
    <cellStyle name="Porcentual 7 2 3 2 3" xfId="3359" xr:uid="{0B1CB0CF-723D-4826-99F5-170174E5DA8D}"/>
    <cellStyle name="Porcentual 7 2 3 2 3 2" xfId="3360" xr:uid="{9E4EE339-AC02-4E2E-93F9-38C3CE8B0012}"/>
    <cellStyle name="Porcentual 7 2 3 2 4" xfId="3361" xr:uid="{D2E38F71-8E0C-4CF4-AA55-F87E56A49F05}"/>
    <cellStyle name="Porcentual 7 2 3 2 4 2" xfId="3362" xr:uid="{D2351AC7-81CE-4C2F-A88C-A93249118648}"/>
    <cellStyle name="Porcentual 7 2 3 2 4 3" xfId="3363" xr:uid="{A4D8B670-023D-4AC4-91A4-01A738CF08E4}"/>
    <cellStyle name="Porcentual 7 2 3 2 5" xfId="3364" xr:uid="{54E4E13B-4D1D-4078-A7A0-757CF0403507}"/>
    <cellStyle name="Porcentual 7 2 3 2 5 2" xfId="3365" xr:uid="{FB4EE525-5FED-47DF-92BE-6D3E5D59CEC2}"/>
    <cellStyle name="Porcentual 7 2 3 2 5 3" xfId="3366" xr:uid="{142E9A05-7179-4B5C-BEED-5A7F81B08E45}"/>
    <cellStyle name="Porcentual 7 2 3 2 6" xfId="3367" xr:uid="{B514E293-95F9-48A0-BC53-6D85C876BDAD}"/>
    <cellStyle name="Porcentual 7 2 3 2 7" xfId="3368" xr:uid="{D996248D-28D0-4628-9D84-D2D42C6AC576}"/>
    <cellStyle name="Porcentual 7 2 3 2 8" xfId="3369" xr:uid="{7FDF4960-521A-42F7-9078-F00157CDB008}"/>
    <cellStyle name="Porcentual 7 2 3 3" xfId="3370" xr:uid="{94BF163E-798A-4B07-90AB-489647590C2E}"/>
    <cellStyle name="Porcentual 7 2 3 4" xfId="3371" xr:uid="{59CAF259-128A-4BCA-B6FD-EFF34C55B0FF}"/>
    <cellStyle name="Porcentual 7 2 3 4 2" xfId="3372" xr:uid="{6D030B31-CE4A-4554-91B2-C7A1404C24BB}"/>
    <cellStyle name="Porcentual 7 2 3 5" xfId="3373" xr:uid="{59BE7BCF-DEA0-447F-B241-20BC6A78CCF9}"/>
    <cellStyle name="Porcentual 7 2 3 5 2" xfId="3374" xr:uid="{57F76A17-274D-4A39-BF50-435EF3FA8AF9}"/>
    <cellStyle name="Porcentual 7 2 3 5 3" xfId="3375" xr:uid="{928300E3-66C1-4469-ADF1-56B08E5851FB}"/>
    <cellStyle name="Porcentual 7 2 3 6" xfId="3376" xr:uid="{E0CF9684-496D-44AD-90B2-FB5759E034DC}"/>
    <cellStyle name="Porcentual 7 2 3 6 2" xfId="3377" xr:uid="{0F4CC33C-66C7-4351-B401-E2483288518D}"/>
    <cellStyle name="Porcentual 7 2 3 6 3" xfId="3378" xr:uid="{D57E02FF-8863-4963-ADFC-B3871E5B018A}"/>
    <cellStyle name="Porcentual 7 2 3 7" xfId="3379" xr:uid="{6496F6A1-3F3C-4E93-8BE4-8D822927C9CC}"/>
    <cellStyle name="Porcentual 7 2 3 8" xfId="3380" xr:uid="{4A4EACD9-EB25-4996-B3D8-9642FC7A95A4}"/>
    <cellStyle name="Porcentual 7 2 3 9" xfId="3381" xr:uid="{F4F138C4-7F72-4440-A365-19E8CA2867FB}"/>
    <cellStyle name="Porcentual 7 2 4" xfId="3382" xr:uid="{FC1D870B-6724-4E8B-BBDD-7FFC2EC8F82D}"/>
    <cellStyle name="Porcentual 7 2 4 2" xfId="3383" xr:uid="{E75D062F-16DD-44DE-8643-9B17D77F467B}"/>
    <cellStyle name="Porcentual 7 2 4 3" xfId="3384" xr:uid="{B038CEBC-6C3B-45EF-BD6B-9DA84110A05B}"/>
    <cellStyle name="Porcentual 7 2 4 3 2" xfId="3385" xr:uid="{46169787-7267-41BD-B4E7-8DD70C1B1F67}"/>
    <cellStyle name="Porcentual 7 2 4 4" xfId="3386" xr:uid="{893E22A6-A14B-4568-829A-C5E282F2D6D3}"/>
    <cellStyle name="Porcentual 7 2 4 4 2" xfId="3387" xr:uid="{28A29AC5-5107-4848-B3A7-D6C83B829F5D}"/>
    <cellStyle name="Porcentual 7 2 4 4 3" xfId="3388" xr:uid="{E5F8BC15-B1C2-44FF-BBFE-AA3F5090143F}"/>
    <cellStyle name="Porcentual 7 2 4 5" xfId="3389" xr:uid="{F1FB677E-F398-453F-8274-9F0FDC2660EE}"/>
    <cellStyle name="Porcentual 7 2 4 5 2" xfId="3390" xr:uid="{A8451698-DCF7-4F2C-8703-D46071A55E06}"/>
    <cellStyle name="Porcentual 7 2 4 5 3" xfId="3391" xr:uid="{D58F00D5-4F55-483A-B33E-FB57CF2F2C93}"/>
    <cellStyle name="Porcentual 7 2 4 6" xfId="3392" xr:uid="{4165248C-0C31-46B3-B9E3-8694C24E429E}"/>
    <cellStyle name="Porcentual 7 2 4 7" xfId="3393" xr:uid="{52A85BCD-3584-4F5D-9D1B-6CFC3C40E806}"/>
    <cellStyle name="Porcentual 7 2 4 8" xfId="3394" xr:uid="{0B84B5CB-06D0-4613-B2B1-55B6A21EB4E6}"/>
    <cellStyle name="Porcentual 7 2 5" xfId="3395" xr:uid="{4D1451E0-89B4-4A57-ABCA-F3A475B324A6}"/>
    <cellStyle name="Porcentual 7 2 6" xfId="3396" xr:uid="{EB528BD1-AAB1-4BD6-8B4B-787839F1318C}"/>
    <cellStyle name="Porcentual 7 2 7" xfId="3397" xr:uid="{89473F73-02E4-4127-BCC0-C76528809F1F}"/>
    <cellStyle name="Porcentual 7 2 7 2" xfId="3398" xr:uid="{933C1D37-5F0D-4AE8-B5B2-CDF0A2907874}"/>
    <cellStyle name="Porcentual 7 2 8" xfId="3399" xr:uid="{30155FE0-FEC5-4BB2-AE0E-A6FE1EC2D4E0}"/>
    <cellStyle name="Porcentual 7 2 8 2" xfId="3400" xr:uid="{53F32C16-545D-4935-9402-7A0667BEC7A3}"/>
    <cellStyle name="Porcentual 7 2 8 3" xfId="3401" xr:uid="{0EC30FE6-0113-4F52-BED5-BE71C642D3BF}"/>
    <cellStyle name="Porcentual 7 2 9" xfId="3402" xr:uid="{92D0C58D-79B3-46F5-8682-1A5C626238E4}"/>
    <cellStyle name="Porcentual 7 2 9 2" xfId="3403" xr:uid="{0A181762-C788-420E-9139-5533E030BE73}"/>
    <cellStyle name="Porcentual 7 2 9 3" xfId="3404" xr:uid="{E413931D-E551-4A3F-BA94-CBC5E423DB87}"/>
    <cellStyle name="Porcentual 7 3" xfId="3405" xr:uid="{85C43D86-DB8E-4010-86D8-034F2183F2F5}"/>
    <cellStyle name="Porcentual 7 3 2" xfId="3406" xr:uid="{89637D96-D5B4-45C1-8C35-D14F9F6B8E47}"/>
    <cellStyle name="Porcentual 7 3 2 2" xfId="3407" xr:uid="{693C851A-D728-44CF-A015-4903311DB535}"/>
    <cellStyle name="Porcentual 7 3 2 3" xfId="3408" xr:uid="{7BBB1045-F02F-4CEA-AD0B-9FEE72F80DB7}"/>
    <cellStyle name="Porcentual 7 3 2 3 2" xfId="3409" xr:uid="{62EA04B1-89DF-4971-8F07-3B4B06E3264D}"/>
    <cellStyle name="Porcentual 7 3 2 4" xfId="3410" xr:uid="{981FFFCD-49EC-457F-A4E5-6CF55EB1BD74}"/>
    <cellStyle name="Porcentual 7 3 2 4 2" xfId="3411" xr:uid="{05A78F75-CDA5-4308-8E0D-5A667F7A829F}"/>
    <cellStyle name="Porcentual 7 3 2 4 3" xfId="3412" xr:uid="{6C3E9297-BD07-40F6-8ED9-334A6D9730FA}"/>
    <cellStyle name="Porcentual 7 3 2 5" xfId="3413" xr:uid="{9DEC22F9-1BD1-4CD3-8315-CDBD600128A3}"/>
    <cellStyle name="Porcentual 7 3 2 5 2" xfId="3414" xr:uid="{5A965399-5279-46FB-9836-6C886B45FCD3}"/>
    <cellStyle name="Porcentual 7 3 2 5 3" xfId="3415" xr:uid="{2C915379-8903-4CAB-B425-86B577C10586}"/>
    <cellStyle name="Porcentual 7 3 2 6" xfId="3416" xr:uid="{9B90B00C-76AD-4A4F-A0D8-CA8C816A3F8D}"/>
    <cellStyle name="Porcentual 7 3 2 7" xfId="3417" xr:uid="{E76EE463-75A1-4977-B903-E1C765FEFEAC}"/>
    <cellStyle name="Porcentual 7 3 2 8" xfId="3418" xr:uid="{65280C0F-7E31-493B-9983-481B80DFC211}"/>
    <cellStyle name="Porcentual 7 3 3" xfId="3419" xr:uid="{6CBFA096-DC45-4FE8-96FB-F47F24EA745C}"/>
    <cellStyle name="Porcentual 7 3 4" xfId="3420" xr:uid="{CD4FD4E3-50E7-4480-876C-3E259A082E39}"/>
    <cellStyle name="Porcentual 7 3 4 2" xfId="3421" xr:uid="{2E65E85E-E952-4B83-AA8F-5F2DAED0D49E}"/>
    <cellStyle name="Porcentual 7 3 5" xfId="3422" xr:uid="{DA33D88B-237B-4C3E-9A8A-EDBB0600F3E1}"/>
    <cellStyle name="Porcentual 7 3 5 2" xfId="3423" xr:uid="{B6782C2B-9EA6-4B83-B95A-E0A8C995BFB4}"/>
    <cellStyle name="Porcentual 7 3 5 3" xfId="3424" xr:uid="{BA6F273C-BF98-4424-A85F-7980EB74C38D}"/>
    <cellStyle name="Porcentual 7 3 6" xfId="3425" xr:uid="{C820C683-AA49-4259-AC2E-6783F33C4562}"/>
    <cellStyle name="Porcentual 7 3 6 2" xfId="3426" xr:uid="{3BD51BF7-111F-492B-85E0-01914E488C25}"/>
    <cellStyle name="Porcentual 7 3 6 3" xfId="3427" xr:uid="{4907AB38-27AF-49FC-8F62-EAEADEB70B2E}"/>
    <cellStyle name="Porcentual 7 3 7" xfId="3428" xr:uid="{0D61ACC0-2A79-4A3D-AC45-1BB2C330DD9D}"/>
    <cellStyle name="Porcentual 7 3 8" xfId="3429" xr:uid="{D5F40E7A-0660-4C48-972C-7A48C8C9C8D8}"/>
    <cellStyle name="Porcentual 7 3 9" xfId="3430" xr:uid="{BC58C498-71AD-4577-942C-39604F424378}"/>
    <cellStyle name="Porcentual 7 4" xfId="3431" xr:uid="{49387FEC-AE93-45F9-814E-3AEB9CF60FD7}"/>
    <cellStyle name="Porcentual 7 4 2" xfId="3432" xr:uid="{3B56C61C-4160-45A4-95C4-AB5C38B4BEA6}"/>
    <cellStyle name="Porcentual 7 4 2 2" xfId="3433" xr:uid="{9C9170A2-1881-4F34-A68E-DA9816875CEE}"/>
    <cellStyle name="Porcentual 7 4 2 3" xfId="3434" xr:uid="{C91209A3-DB2C-48A3-8D21-B174F5B9C9FE}"/>
    <cellStyle name="Porcentual 7 4 2 3 2" xfId="3435" xr:uid="{6199D986-4A63-415C-BD71-4D3C789DE188}"/>
    <cellStyle name="Porcentual 7 4 2 4" xfId="3436" xr:uid="{EE78D33C-867A-493A-8039-E27336324028}"/>
    <cellStyle name="Porcentual 7 4 2 4 2" xfId="3437" xr:uid="{59427EA4-8090-47F4-BDB9-11F0F219EA11}"/>
    <cellStyle name="Porcentual 7 4 2 4 3" xfId="3438" xr:uid="{B8537DC0-0E53-4CDF-AC23-708518FF145E}"/>
    <cellStyle name="Porcentual 7 4 2 5" xfId="3439" xr:uid="{BFA512FA-94B2-4395-B071-076106F32FD1}"/>
    <cellStyle name="Porcentual 7 4 2 5 2" xfId="3440" xr:uid="{1C33B679-09BE-49A2-B226-E4C2A02C4AED}"/>
    <cellStyle name="Porcentual 7 4 2 5 3" xfId="3441" xr:uid="{EB3906CC-7ECE-4A71-9051-04C6C17DFC7A}"/>
    <cellStyle name="Porcentual 7 4 2 6" xfId="3442" xr:uid="{4145F61C-C65A-4CC7-9442-2CE14A59F8CD}"/>
    <cellStyle name="Porcentual 7 4 2 7" xfId="3443" xr:uid="{684976A1-DA54-4B27-AD7D-F59E2F18B1FA}"/>
    <cellStyle name="Porcentual 7 4 2 8" xfId="3444" xr:uid="{3709C476-85EA-433A-920E-D8A28E764A70}"/>
    <cellStyle name="Porcentual 7 4 3" xfId="3445" xr:uid="{3000E03B-73F6-4101-8C00-516CE1A38325}"/>
    <cellStyle name="Porcentual 7 4 4" xfId="3446" xr:uid="{7C76D859-6852-454F-BD2A-5DD5C61E2321}"/>
    <cellStyle name="Porcentual 7 4 4 2" xfId="3447" xr:uid="{2594C95A-D4F4-43FA-98D3-B32345FE4F71}"/>
    <cellStyle name="Porcentual 7 4 5" xfId="3448" xr:uid="{661BE6B7-4277-4E14-AB81-E5719C7C6008}"/>
    <cellStyle name="Porcentual 7 4 5 2" xfId="3449" xr:uid="{76AECF86-4162-4C32-9C7B-3638FB66A450}"/>
    <cellStyle name="Porcentual 7 4 5 3" xfId="3450" xr:uid="{B78749B1-2D17-4527-9429-D78A5FE0B91A}"/>
    <cellStyle name="Porcentual 7 4 6" xfId="3451" xr:uid="{AD1F6EAD-47F3-460A-9673-8FBAADA64A44}"/>
    <cellStyle name="Porcentual 7 4 6 2" xfId="3452" xr:uid="{9641AF2D-5F24-4DDB-8E2E-F3CBEDBEEB02}"/>
    <cellStyle name="Porcentual 7 4 6 3" xfId="3453" xr:uid="{5976A41A-BEA6-4D0B-ADE6-B5D0AE8626E4}"/>
    <cellStyle name="Porcentual 7 4 7" xfId="3454" xr:uid="{57464DD0-7D56-47D3-B65F-ACC2FD3ECF80}"/>
    <cellStyle name="Porcentual 7 4 8" xfId="3455" xr:uid="{95407B03-7270-41DD-B0F2-DA90AF5DD148}"/>
    <cellStyle name="Porcentual 7 4 9" xfId="3456" xr:uid="{12478C05-7296-46D4-AFFB-A5778CED9893}"/>
    <cellStyle name="Porcentual 7 5" xfId="3457" xr:uid="{F71F74A2-ED98-497F-A1D0-282CA405DD7E}"/>
    <cellStyle name="Porcentual 7 5 2" xfId="3458" xr:uid="{104BA710-C695-4854-BDB3-FD2226C329A3}"/>
    <cellStyle name="Porcentual 7 5 3" xfId="3459" xr:uid="{B7CF4CA6-1BB0-4A3E-9F62-F4DA1FAC0F7A}"/>
    <cellStyle name="Porcentual 7 5 3 2" xfId="3460" xr:uid="{C164625A-662E-45CB-A7F4-5EE20C239D86}"/>
    <cellStyle name="Porcentual 7 5 4" xfId="3461" xr:uid="{F83DEFB1-3595-437D-A466-05F5B6099006}"/>
    <cellStyle name="Porcentual 7 5 4 2" xfId="3462" xr:uid="{9CC9026A-2116-46C8-A768-31977F94A9E7}"/>
    <cellStyle name="Porcentual 7 5 4 3" xfId="3463" xr:uid="{CC1C9B7F-1915-4D8C-BF92-D0B226938CA9}"/>
    <cellStyle name="Porcentual 7 5 5" xfId="3464" xr:uid="{43C897E2-00D9-4E6F-B9BB-478C69FA9487}"/>
    <cellStyle name="Porcentual 7 5 5 2" xfId="3465" xr:uid="{1DF76A38-29E2-4BDB-91E2-B06A716850AA}"/>
    <cellStyle name="Porcentual 7 5 5 3" xfId="3466" xr:uid="{B67B1BE0-E7BB-4305-BF19-66F0D128B359}"/>
    <cellStyle name="Porcentual 7 5 6" xfId="3467" xr:uid="{3FF23950-1FFE-4ABC-88BE-8829CCA55D94}"/>
    <cellStyle name="Porcentual 7 5 7" xfId="3468" xr:uid="{426D941E-BC3F-4FB3-A890-988A4459CE7B}"/>
    <cellStyle name="Porcentual 7 5 8" xfId="3469" xr:uid="{D2F424A4-AE6C-4B54-87B4-6B986172C7EF}"/>
    <cellStyle name="Porcentual 7 6" xfId="3470" xr:uid="{A6C7AD38-1022-4217-9CC4-DC6676CFD75D}"/>
    <cellStyle name="Porcentual 7 7" xfId="3471" xr:uid="{0CB00BA0-B634-449C-B9EE-4E3843717DC9}"/>
    <cellStyle name="Porcentual 7 8" xfId="3472" xr:uid="{18315AAC-4EFA-4700-B32C-AC7DCF8E6A7D}"/>
    <cellStyle name="Porcentual 7 8 2" xfId="3473" xr:uid="{C32C34C7-B195-4B83-87A3-F8AF53850905}"/>
    <cellStyle name="Porcentual 7 9" xfId="3474" xr:uid="{6471E50F-000C-481B-86FE-BD1280E07296}"/>
    <cellStyle name="Porcentual 7 9 2" xfId="3475" xr:uid="{E333AC52-F791-48F7-8288-02E80C83B635}"/>
    <cellStyle name="Porcentual 7 9 3" xfId="3476" xr:uid="{5CA11D04-211E-4844-9F45-901B7F5228C3}"/>
    <cellStyle name="Porcentual 8" xfId="3477" xr:uid="{F2CFBCB1-6803-4B9C-9D98-F4BFACE8FB90}"/>
    <cellStyle name="Porcentual 8 10" xfId="3478" xr:uid="{744B4597-D930-4EB1-8A65-AAF85A00C5E9}"/>
    <cellStyle name="Porcentual 8 11" xfId="3479" xr:uid="{D32BD403-B389-4362-990A-2020E7E0EF2C}"/>
    <cellStyle name="Porcentual 8 12" xfId="3480" xr:uid="{2B99AAA4-ACC7-4244-9C0C-90AC308D23AB}"/>
    <cellStyle name="Porcentual 8 2" xfId="3481" xr:uid="{FA460220-02AA-4388-8662-B3F0BF3D3F56}"/>
    <cellStyle name="Porcentual 8 2 10" xfId="3482" xr:uid="{2C67DDA1-9B95-4AFE-842C-5665696C6088}"/>
    <cellStyle name="Porcentual 8 2 11" xfId="3483" xr:uid="{D5D95601-1858-4CFB-B909-907F91476C13}"/>
    <cellStyle name="Porcentual 8 2 2" xfId="3484" xr:uid="{0FFC9A82-3224-4A0B-8774-237F6791C06D}"/>
    <cellStyle name="Porcentual 8 2 2 2" xfId="3485" xr:uid="{106E6092-5B39-42AB-9D00-89D55259E881}"/>
    <cellStyle name="Porcentual 8 2 2 2 2" xfId="3486" xr:uid="{2920EBB3-5A13-443A-AB8B-86CB16C836B9}"/>
    <cellStyle name="Porcentual 8 2 2 2 3" xfId="3487" xr:uid="{A47D8955-8B65-4F98-B184-644EC5AD76D1}"/>
    <cellStyle name="Porcentual 8 2 2 2 3 2" xfId="3488" xr:uid="{FFA13F51-5FE8-4373-82CB-B8C345C2BE01}"/>
    <cellStyle name="Porcentual 8 2 2 2 4" xfId="3489" xr:uid="{0386D5D9-B231-4969-8198-37B1EDCF95AB}"/>
    <cellStyle name="Porcentual 8 2 2 2 4 2" xfId="3490" xr:uid="{648C689B-5456-4921-819B-BA91D9C5E898}"/>
    <cellStyle name="Porcentual 8 2 2 2 4 3" xfId="3491" xr:uid="{54DFA093-6949-44C3-AA5C-27A7791F94C1}"/>
    <cellStyle name="Porcentual 8 2 2 2 5" xfId="3492" xr:uid="{29648949-A435-4934-96DD-5CC85D76D5A4}"/>
    <cellStyle name="Porcentual 8 2 2 2 5 2" xfId="3493" xr:uid="{AFB6AEB7-DAFE-4EE5-9611-0A04831F2458}"/>
    <cellStyle name="Porcentual 8 2 2 2 5 3" xfId="3494" xr:uid="{BC90A04D-D072-455A-A10D-328C06171700}"/>
    <cellStyle name="Porcentual 8 2 2 2 6" xfId="3495" xr:uid="{16409936-ACA6-4D53-AFFE-E345CD0E8348}"/>
    <cellStyle name="Porcentual 8 2 2 2 7" xfId="3496" xr:uid="{5A7BBB6F-8B99-47C4-915A-DFF1C901AF3C}"/>
    <cellStyle name="Porcentual 8 2 2 2 8" xfId="3497" xr:uid="{B6784A83-75CE-42C0-BEF1-01655A9ED631}"/>
    <cellStyle name="Porcentual 8 2 2 3" xfId="3498" xr:uid="{3475132F-822F-45D5-831A-E54FA26634D5}"/>
    <cellStyle name="Porcentual 8 2 2 4" xfId="3499" xr:uid="{D55113C9-8540-4361-AB1F-BCD1AA7AAD48}"/>
    <cellStyle name="Porcentual 8 2 2 4 2" xfId="3500" xr:uid="{66E1FAFC-0864-44D5-BDDC-9C57BE26CE48}"/>
    <cellStyle name="Porcentual 8 2 2 5" xfId="3501" xr:uid="{FD80A812-E453-426F-8B38-FE134F49EC72}"/>
    <cellStyle name="Porcentual 8 2 2 5 2" xfId="3502" xr:uid="{25778E32-D4D5-49E9-B5F2-21EC4A68CB39}"/>
    <cellStyle name="Porcentual 8 2 2 5 3" xfId="3503" xr:uid="{BED01079-3435-45C9-9E43-0B19C2AC5E33}"/>
    <cellStyle name="Porcentual 8 2 2 6" xfId="3504" xr:uid="{AA45E9A6-4F15-48B9-92AD-45C7C2BE076A}"/>
    <cellStyle name="Porcentual 8 2 2 6 2" xfId="3505" xr:uid="{5453B09F-119D-44C9-AFBF-DC61BF9F2F59}"/>
    <cellStyle name="Porcentual 8 2 2 6 3" xfId="3506" xr:uid="{15EA58FC-675A-4F43-AC9C-320B10FBE48F}"/>
    <cellStyle name="Porcentual 8 2 2 7" xfId="3507" xr:uid="{ED2ACE4B-BC94-4549-9049-045A45B980D5}"/>
    <cellStyle name="Porcentual 8 2 2 8" xfId="3508" xr:uid="{E90BB116-701A-4105-861E-2631D7E7A779}"/>
    <cellStyle name="Porcentual 8 2 2 9" xfId="3509" xr:uid="{BBA543A1-C484-4011-A479-864E13B0DA6F}"/>
    <cellStyle name="Porcentual 8 2 3" xfId="3510" xr:uid="{93B21052-840F-46D8-839F-482D7197ECFA}"/>
    <cellStyle name="Porcentual 8 2 3 2" xfId="3511" xr:uid="{35A172F6-F2E9-4FD6-ADDE-CE3578975CEC}"/>
    <cellStyle name="Porcentual 8 2 3 2 2" xfId="3512" xr:uid="{5A0B081A-4003-4A04-AA50-92A73DA8F168}"/>
    <cellStyle name="Porcentual 8 2 3 2 3" xfId="3513" xr:uid="{E295A006-2524-407B-9F41-BC7C3D3C6B4D}"/>
    <cellStyle name="Porcentual 8 2 3 2 3 2" xfId="3514" xr:uid="{3F56BB4E-85DD-4443-9F4F-147F3A537907}"/>
    <cellStyle name="Porcentual 8 2 3 2 4" xfId="3515" xr:uid="{5CA34474-CAAA-4340-9DD7-F59569E8BD63}"/>
    <cellStyle name="Porcentual 8 2 3 2 4 2" xfId="3516" xr:uid="{0E7E56B6-D846-47EF-93DB-3D26CCBB4A9E}"/>
    <cellStyle name="Porcentual 8 2 3 2 4 3" xfId="3517" xr:uid="{C771F067-2E83-43A0-9A36-48097D7363EB}"/>
    <cellStyle name="Porcentual 8 2 3 2 5" xfId="3518" xr:uid="{3741F85F-C6EB-484E-9DFF-00AFFFDC72F8}"/>
    <cellStyle name="Porcentual 8 2 3 2 5 2" xfId="3519" xr:uid="{0AE87A8D-7FE3-43A1-BD07-33EF27527491}"/>
    <cellStyle name="Porcentual 8 2 3 2 5 3" xfId="3520" xr:uid="{1BED9B15-397E-41B9-AF3D-69FD324D1461}"/>
    <cellStyle name="Porcentual 8 2 3 2 6" xfId="3521" xr:uid="{B2091523-36EC-4D91-9B77-AE189E8817DE}"/>
    <cellStyle name="Porcentual 8 2 3 2 7" xfId="3522" xr:uid="{ECDB077E-029C-42DD-A4FF-5699110E7506}"/>
    <cellStyle name="Porcentual 8 2 3 2 8" xfId="3523" xr:uid="{43203DF2-90F4-497B-AF15-B841C447446A}"/>
    <cellStyle name="Porcentual 8 2 3 3" xfId="3524" xr:uid="{F577B29E-FE74-4EF3-BB35-D981833566F4}"/>
    <cellStyle name="Porcentual 8 2 3 4" xfId="3525" xr:uid="{4D83E6A6-1614-4BDF-A12F-7CCC63750B5E}"/>
    <cellStyle name="Porcentual 8 2 3 4 2" xfId="3526" xr:uid="{4B92CFBF-28C6-4B66-A92F-262D7401B681}"/>
    <cellStyle name="Porcentual 8 2 3 5" xfId="3527" xr:uid="{CB29DF9C-5B93-43EA-A3E3-C56C794A5938}"/>
    <cellStyle name="Porcentual 8 2 3 5 2" xfId="3528" xr:uid="{1522CDE9-B4DB-4E1E-A6FD-DC443E620B92}"/>
    <cellStyle name="Porcentual 8 2 3 5 3" xfId="3529" xr:uid="{BD11AA3F-2667-4A5B-A8CE-B5BC97368B6E}"/>
    <cellStyle name="Porcentual 8 2 3 6" xfId="3530" xr:uid="{07FCE196-9407-464B-AA61-AECE7F331AFA}"/>
    <cellStyle name="Porcentual 8 2 3 6 2" xfId="3531" xr:uid="{54102386-8723-491B-A08A-600E6387FB1A}"/>
    <cellStyle name="Porcentual 8 2 3 6 3" xfId="3532" xr:uid="{737879D9-C341-4F0A-9065-8652BA3BA6EE}"/>
    <cellStyle name="Porcentual 8 2 3 7" xfId="3533" xr:uid="{3F79A33C-9C88-476B-934C-D247243DF97F}"/>
    <cellStyle name="Porcentual 8 2 3 8" xfId="3534" xr:uid="{6DA86D68-1896-44FE-9548-66DB38608716}"/>
    <cellStyle name="Porcentual 8 2 3 9" xfId="3535" xr:uid="{47650743-524F-4C3C-B21D-2FB2727DD9B7}"/>
    <cellStyle name="Porcentual 8 2 4" xfId="3536" xr:uid="{C38BB122-815B-42E3-9715-0666F8E3C4D4}"/>
    <cellStyle name="Porcentual 8 2 4 2" xfId="3537" xr:uid="{1E1F2301-2901-4559-A6B0-DDBBD4472285}"/>
    <cellStyle name="Porcentual 8 2 4 3" xfId="3538" xr:uid="{2038EAEC-7CAD-40CA-B2E6-9B2B064C10B1}"/>
    <cellStyle name="Porcentual 8 2 4 3 2" xfId="3539" xr:uid="{80F54DEC-9ED7-455E-8D46-76A6CD0DE8E2}"/>
    <cellStyle name="Porcentual 8 2 4 4" xfId="3540" xr:uid="{120BB2C3-8D28-4CE0-8107-C60A1AA8C5F9}"/>
    <cellStyle name="Porcentual 8 2 4 4 2" xfId="3541" xr:uid="{94484684-15C8-44FE-83F4-C71DA1BD50A9}"/>
    <cellStyle name="Porcentual 8 2 4 4 3" xfId="3542" xr:uid="{D36E8A2D-CBFC-4593-A017-C8E01EC0E2D8}"/>
    <cellStyle name="Porcentual 8 2 4 5" xfId="3543" xr:uid="{492E9CF3-1E1D-4FBC-877A-F5EE3EDE270C}"/>
    <cellStyle name="Porcentual 8 2 4 5 2" xfId="3544" xr:uid="{BB414EC5-1741-4D9E-BD92-7C02E86D4552}"/>
    <cellStyle name="Porcentual 8 2 4 5 3" xfId="3545" xr:uid="{A1A35342-2224-4306-BEF0-CA46B01AF0D8}"/>
    <cellStyle name="Porcentual 8 2 4 6" xfId="3546" xr:uid="{37917ECC-EAAE-4188-9317-CC45628C5070}"/>
    <cellStyle name="Porcentual 8 2 4 7" xfId="3547" xr:uid="{31DEA5FE-B6B0-4767-B2A8-8529421CAE8D}"/>
    <cellStyle name="Porcentual 8 2 4 8" xfId="3548" xr:uid="{7B18A205-5A7E-422E-94CC-433A3E054C6D}"/>
    <cellStyle name="Porcentual 8 2 5" xfId="3549" xr:uid="{E72F8004-285C-4D4F-AD46-F9C676C92319}"/>
    <cellStyle name="Porcentual 8 2 6" xfId="3550" xr:uid="{0F25C8D0-AF06-4D7C-B661-9CB71480B52E}"/>
    <cellStyle name="Porcentual 8 2 6 2" xfId="3551" xr:uid="{AE90E551-76C0-4A66-B890-B15CC13F9DD6}"/>
    <cellStyle name="Porcentual 8 2 7" xfId="3552" xr:uid="{F4B4192F-2F4F-4AC0-A08F-FE3B6E169997}"/>
    <cellStyle name="Porcentual 8 2 7 2" xfId="3553" xr:uid="{65245C50-2716-44BB-B9C4-EDBCE0461A81}"/>
    <cellStyle name="Porcentual 8 2 7 3" xfId="3554" xr:uid="{34E286C7-D631-4C7F-B956-CEC4ACD754AC}"/>
    <cellStyle name="Porcentual 8 2 8" xfId="3555" xr:uid="{3C10F908-4120-4E3C-BA8B-9E74999B7C0E}"/>
    <cellStyle name="Porcentual 8 2 8 2" xfId="3556" xr:uid="{7B6D6C99-8DCA-4E60-AB0B-47B9EB9526AC}"/>
    <cellStyle name="Porcentual 8 2 8 3" xfId="3557" xr:uid="{E0516ED5-18E5-4843-BF46-2BBA5DFB1037}"/>
    <cellStyle name="Porcentual 8 2 9" xfId="3558" xr:uid="{B16D6B01-5AC0-46DA-B3E0-2FA1002D2416}"/>
    <cellStyle name="Porcentual 8 3" xfId="3559" xr:uid="{3B65FC3A-BA8C-4BEC-A463-E0BB73F14814}"/>
    <cellStyle name="Porcentual 8 3 2" xfId="3560" xr:uid="{2B4035F5-058B-4AE7-B365-35A31FE2867B}"/>
    <cellStyle name="Porcentual 8 3 2 2" xfId="3561" xr:uid="{E6CF22A4-ACAE-4B2B-9984-E07F15CBA16E}"/>
    <cellStyle name="Porcentual 8 3 2 3" xfId="3562" xr:uid="{3C8BF1CD-FAEE-4150-AC02-34944A07AE80}"/>
    <cellStyle name="Porcentual 8 3 2 3 2" xfId="3563" xr:uid="{93E6782D-E425-4FEF-AABF-DE0C1809A8EF}"/>
    <cellStyle name="Porcentual 8 3 2 4" xfId="3564" xr:uid="{6A1F405B-250C-4736-8B1B-466B512681B8}"/>
    <cellStyle name="Porcentual 8 3 2 4 2" xfId="3565" xr:uid="{B2A00B7D-5ABA-4476-83A1-D8C9C861D048}"/>
    <cellStyle name="Porcentual 8 3 2 4 3" xfId="3566" xr:uid="{AB2D2366-AA2A-4719-933D-4DC3044E07FC}"/>
    <cellStyle name="Porcentual 8 3 2 5" xfId="3567" xr:uid="{E2828E6E-4773-415D-B715-69F172D3F687}"/>
    <cellStyle name="Porcentual 8 3 2 5 2" xfId="3568" xr:uid="{114DCD7F-2789-4981-B263-FFF778774706}"/>
    <cellStyle name="Porcentual 8 3 2 5 3" xfId="3569" xr:uid="{52160B12-1E77-474E-ACC9-5DAFC7BCF7FE}"/>
    <cellStyle name="Porcentual 8 3 2 6" xfId="3570" xr:uid="{2E708299-E5AB-4752-ACEF-3F6956756573}"/>
    <cellStyle name="Porcentual 8 3 2 7" xfId="3571" xr:uid="{68111A46-E91C-4CF9-B4C0-D7944FE7C4F9}"/>
    <cellStyle name="Porcentual 8 3 2 8" xfId="3572" xr:uid="{4D4D1C20-96FA-43E8-B818-7B6DB07D4801}"/>
    <cellStyle name="Porcentual 8 3 3" xfId="3573" xr:uid="{69F8B261-200F-4442-A7E9-A1B17AE71FC9}"/>
    <cellStyle name="Porcentual 8 3 4" xfId="3574" xr:uid="{8D1D1D8D-CFFC-47F6-AE70-F2632B501615}"/>
    <cellStyle name="Porcentual 8 3 4 2" xfId="3575" xr:uid="{332BDA93-C9FD-45A2-8C56-4B666958153D}"/>
    <cellStyle name="Porcentual 8 3 5" xfId="3576" xr:uid="{FF25C0FD-932B-4BA9-A4E5-121669079877}"/>
    <cellStyle name="Porcentual 8 3 5 2" xfId="3577" xr:uid="{0AD0761E-C9A5-428A-A602-804D46E11771}"/>
    <cellStyle name="Porcentual 8 3 5 3" xfId="3578" xr:uid="{0195E47E-199F-486D-B7EC-1E5096DC45F1}"/>
    <cellStyle name="Porcentual 8 3 6" xfId="3579" xr:uid="{5737DDAB-EA7A-4D0B-969C-E8F9B3292591}"/>
    <cellStyle name="Porcentual 8 3 6 2" xfId="3580" xr:uid="{3496BA94-49E4-4C04-B4DE-B8506686F637}"/>
    <cellStyle name="Porcentual 8 3 6 3" xfId="3581" xr:uid="{74A902C3-D01B-4C5F-9184-69763ABA32A8}"/>
    <cellStyle name="Porcentual 8 3 7" xfId="3582" xr:uid="{E7316894-1BE7-42E7-BF32-EACB30866A13}"/>
    <cellStyle name="Porcentual 8 3 8" xfId="3583" xr:uid="{1D3D06D5-C41B-4FD4-8E49-B00BA84B3D70}"/>
    <cellStyle name="Porcentual 8 3 9" xfId="3584" xr:uid="{BFD7F023-44D5-4550-BE45-395F0610A843}"/>
    <cellStyle name="Porcentual 8 4" xfId="3585" xr:uid="{E82E7036-E227-43B7-AB0C-41DBABD8A79D}"/>
    <cellStyle name="Porcentual 8 4 2" xfId="3586" xr:uid="{32648AD6-50AB-40BE-8CB6-25140ABFC0C9}"/>
    <cellStyle name="Porcentual 8 4 2 2" xfId="3587" xr:uid="{C3404F3B-A6B6-4FAD-8676-A1370124A6C4}"/>
    <cellStyle name="Porcentual 8 4 2 3" xfId="3588" xr:uid="{B479B9D9-41B6-4793-A40D-69BF903731C2}"/>
    <cellStyle name="Porcentual 8 4 2 3 2" xfId="3589" xr:uid="{89C75F7D-94CE-4357-9E54-BB40816DF421}"/>
    <cellStyle name="Porcentual 8 4 2 4" xfId="3590" xr:uid="{C79BF64F-27ED-4EBA-8C68-4DDD6D069A2F}"/>
    <cellStyle name="Porcentual 8 4 2 4 2" xfId="3591" xr:uid="{7F243754-338D-47BB-9291-B4614082F114}"/>
    <cellStyle name="Porcentual 8 4 2 4 3" xfId="3592" xr:uid="{4F92BFF0-B089-4166-BC10-8BB0A7FA7243}"/>
    <cellStyle name="Porcentual 8 4 2 5" xfId="3593" xr:uid="{3324F1BD-42DA-4622-AE00-73B3591D585F}"/>
    <cellStyle name="Porcentual 8 4 2 5 2" xfId="3594" xr:uid="{397D513B-FBC2-469A-B19D-09B391AD190F}"/>
    <cellStyle name="Porcentual 8 4 2 5 3" xfId="3595" xr:uid="{FA2F0506-197F-413A-ACB1-9EA666ED8D34}"/>
    <cellStyle name="Porcentual 8 4 2 6" xfId="3596" xr:uid="{EF18CBEF-6AFA-4D50-9A92-AF441130C476}"/>
    <cellStyle name="Porcentual 8 4 2 7" xfId="3597" xr:uid="{122D0D47-FEFE-4070-8D93-8344EFB3BBED}"/>
    <cellStyle name="Porcentual 8 4 2 8" xfId="3598" xr:uid="{6644BAF2-1FC4-4459-9B22-FA568232D603}"/>
    <cellStyle name="Porcentual 8 4 3" xfId="3599" xr:uid="{C4B54D13-9784-4FBB-91B6-9D09D5A4AB51}"/>
    <cellStyle name="Porcentual 8 4 4" xfId="3600" xr:uid="{63A24C6A-7017-4DBD-BEE4-856A15C7E8EE}"/>
    <cellStyle name="Porcentual 8 4 4 2" xfId="3601" xr:uid="{D2C40BBC-A0F4-473C-849A-7A06380ABE97}"/>
    <cellStyle name="Porcentual 8 4 5" xfId="3602" xr:uid="{A964372A-99FD-404C-A886-5405E81AABCA}"/>
    <cellStyle name="Porcentual 8 4 5 2" xfId="3603" xr:uid="{33123868-EA8C-4993-ABD9-BD4C7D4411D6}"/>
    <cellStyle name="Porcentual 8 4 5 3" xfId="3604" xr:uid="{CE39256A-D374-4608-AD8C-06D04EA20BC5}"/>
    <cellStyle name="Porcentual 8 4 6" xfId="3605" xr:uid="{7D9A3459-24A3-41DF-8631-8F1788D84B27}"/>
    <cellStyle name="Porcentual 8 4 6 2" xfId="3606" xr:uid="{A62759CF-2580-4350-8095-09E708621490}"/>
    <cellStyle name="Porcentual 8 4 6 3" xfId="3607" xr:uid="{7CCD7101-A4B2-4BAB-98BD-59E2E4577B09}"/>
    <cellStyle name="Porcentual 8 4 7" xfId="3608" xr:uid="{3EC4BB6D-2027-435A-B01E-89F0574F6A76}"/>
    <cellStyle name="Porcentual 8 4 8" xfId="3609" xr:uid="{64DA345E-986A-4F9B-BB12-04FF52EC9655}"/>
    <cellStyle name="Porcentual 8 4 9" xfId="3610" xr:uid="{760FFC4D-B21F-44D0-B985-F2F53419F667}"/>
    <cellStyle name="Porcentual 8 5" xfId="3611" xr:uid="{C5C5E697-4731-49B6-A473-72433E647C49}"/>
    <cellStyle name="Porcentual 8 5 2" xfId="3612" xr:uid="{357243AE-F35E-4E15-90CE-F4BF34DA0646}"/>
    <cellStyle name="Porcentual 8 5 3" xfId="3613" xr:uid="{5A40FD23-E40A-4F5D-9E9F-C82D1044E68A}"/>
    <cellStyle name="Porcentual 8 5 3 2" xfId="3614" xr:uid="{1E1E0993-DCAB-4581-906A-C9BF50CB2782}"/>
    <cellStyle name="Porcentual 8 5 4" xfId="3615" xr:uid="{E950434D-0F8B-45D1-A892-753DE225657F}"/>
    <cellStyle name="Porcentual 8 5 4 2" xfId="3616" xr:uid="{DAEF4F58-AED3-425A-BAC8-1B5DDCD21602}"/>
    <cellStyle name="Porcentual 8 5 4 3" xfId="3617" xr:uid="{F8000448-AC45-4BCA-A38D-6DB81B6C199C}"/>
    <cellStyle name="Porcentual 8 5 5" xfId="3618" xr:uid="{698AF71E-D743-41A6-9F9D-C73366B51FCE}"/>
    <cellStyle name="Porcentual 8 5 5 2" xfId="3619" xr:uid="{BFBF636F-E3AF-4441-96C3-50C85CDF409D}"/>
    <cellStyle name="Porcentual 8 5 5 3" xfId="3620" xr:uid="{9D0C7B7A-E7C7-42CE-BADF-99E3F2C901E1}"/>
    <cellStyle name="Porcentual 8 5 6" xfId="3621" xr:uid="{6F9C8EE0-1B58-4765-A009-12447D4E9677}"/>
    <cellStyle name="Porcentual 8 5 7" xfId="3622" xr:uid="{1DBE78E4-66F4-47AA-B3DE-B33284C0B023}"/>
    <cellStyle name="Porcentual 8 5 8" xfId="3623" xr:uid="{B1DECDCB-CEE6-4FCF-9EB9-000A66500B7D}"/>
    <cellStyle name="Porcentual 8 6" xfId="3624" xr:uid="{7E5E82C7-9003-4C0E-9CFF-C68484AA0F4F}"/>
    <cellStyle name="Porcentual 8 7" xfId="3625" xr:uid="{8E63024C-1FFA-42FF-ADC8-2FE10EC38BB4}"/>
    <cellStyle name="Porcentual 8 7 2" xfId="3626" xr:uid="{A3E6912F-A4D5-4CCE-B22D-739B373264E7}"/>
    <cellStyle name="Porcentual 8 8" xfId="3627" xr:uid="{ADAB6115-F3D1-4528-8FE3-D9A5BB19236A}"/>
    <cellStyle name="Porcentual 8 8 2" xfId="3628" xr:uid="{E8B9E52D-0160-44E6-98C2-B34CAE52BF98}"/>
    <cellStyle name="Porcentual 8 8 3" xfId="3629" xr:uid="{D0EFF9AF-9D5E-41A1-8B62-6D1A22339E63}"/>
    <cellStyle name="Porcentual 8 9" xfId="3630" xr:uid="{93A97C56-7F6E-419F-AC84-5906A447C434}"/>
    <cellStyle name="Porcentual 8 9 2" xfId="3631" xr:uid="{F6705418-771A-4C0E-B9F9-76D78518191D}"/>
    <cellStyle name="Porcentual 8 9 3" xfId="3632" xr:uid="{9AF52F7C-1CE2-4D24-9940-A5D57FA065EC}"/>
    <cellStyle name="Porcentual 9" xfId="3633" xr:uid="{D4B277C1-2626-484E-97E3-BB6F0AA849E9}"/>
    <cellStyle name="Punto0" xfId="3634" xr:uid="{F6048DD5-6614-4BA5-AE1A-DD5F5189E2A7}"/>
    <cellStyle name="Salida 10" xfId="3635" xr:uid="{348604D1-2A87-446D-A358-B461E3309436}"/>
    <cellStyle name="Salida 10 2" xfId="3636" xr:uid="{70369A43-FA85-428B-B66D-EA21C59D377E}"/>
    <cellStyle name="Salida 10 2 2" xfId="3637" xr:uid="{12F8598C-D208-406D-8172-2B651D5C05DB}"/>
    <cellStyle name="Salida 10 3" xfId="3638" xr:uid="{03080ED3-A0FA-43B9-AD3C-13D8ECAE37EB}"/>
    <cellStyle name="Salida 10 3 2" xfId="3639" xr:uid="{DAA0D4FF-10E3-4DD3-A212-7B7EAA0D2EA9}"/>
    <cellStyle name="Salida 10 3 3" xfId="3640" xr:uid="{A5AFF5B9-6BBC-4F07-856D-E32F78A9183C}"/>
    <cellStyle name="Salida 11" xfId="3641" xr:uid="{8D8F0A34-505A-4A3C-8AB1-44B50F1A6B90}"/>
    <cellStyle name="Salida 11 2" xfId="3642" xr:uid="{CC68C0CC-B35F-4826-9EE5-23F100E1046B}"/>
    <cellStyle name="Salida 11 2 2" xfId="3643" xr:uid="{1DA4C671-4FBA-4F27-90F8-C91184DE796A}"/>
    <cellStyle name="Salida 11 3" xfId="3644" xr:uid="{C889E23F-F193-48CB-B162-5966C23942EB}"/>
    <cellStyle name="Salida 11 3 2" xfId="3645" xr:uid="{B95E39ED-A5A8-4E8D-8BF7-8C0087B2D7E3}"/>
    <cellStyle name="Salida 11 3 3" xfId="3646" xr:uid="{23AF90C1-82FB-4669-8F93-D48D93D3D5C3}"/>
    <cellStyle name="Salida 12" xfId="3647" xr:uid="{2604CBAF-84C9-451C-B46A-D2DCC0DDA649}"/>
    <cellStyle name="Salida 12 2" xfId="3648" xr:uid="{1A7FA5A6-9C09-4261-B1B8-A29BE523013C}"/>
    <cellStyle name="Salida 12 2 2" xfId="3649" xr:uid="{9715035B-264E-494D-9C13-457210DECB47}"/>
    <cellStyle name="Salida 12 3" xfId="3650" xr:uid="{8ACC36EC-2BEB-43F5-9395-9C50365ECF6A}"/>
    <cellStyle name="Salida 12 3 2" xfId="3651" xr:uid="{AAD9ECDE-AC01-4E9D-821C-3175E106F002}"/>
    <cellStyle name="Salida 12 3 3" xfId="3652" xr:uid="{84A981D9-E1C5-4ACC-9ECE-DFA33F44865F}"/>
    <cellStyle name="Salida 13" xfId="3653" xr:uid="{3C0D5EC6-BD09-4AD3-9071-4FF1962F4A30}"/>
    <cellStyle name="Salida 13 2" xfId="3654" xr:uid="{FF15E4B0-2CA7-47DC-9C9E-FE838B52A239}"/>
    <cellStyle name="Salida 13 2 2" xfId="3655" xr:uid="{7E946C6C-63C6-402E-8761-704139DFAC12}"/>
    <cellStyle name="Salida 13 3" xfId="3656" xr:uid="{DBD4E747-0E03-4265-8BA6-39223C1D01B5}"/>
    <cellStyle name="Salida 13 3 2" xfId="3657" xr:uid="{2CC9AEDD-D51F-4BEA-958A-82AB1231428B}"/>
    <cellStyle name="Salida 13 3 3" xfId="3658" xr:uid="{2EE0F8F4-390F-4416-B2CB-EE790F8BEA86}"/>
    <cellStyle name="Salida 14" xfId="3659" xr:uid="{0DB532A2-03CE-4D70-BBEA-A1622F20346E}"/>
    <cellStyle name="Salida 14 2" xfId="3660" xr:uid="{54B7052B-197C-46E0-A6CE-05DAE7C0E63D}"/>
    <cellStyle name="Salida 14 2 2" xfId="3661" xr:uid="{A6540D53-C792-4D51-BDAF-2B75FFBF9FA6}"/>
    <cellStyle name="Salida 14 3" xfId="3662" xr:uid="{A65DD6EF-0857-4372-97DF-24727B526FEC}"/>
    <cellStyle name="Salida 14 3 2" xfId="3663" xr:uid="{E47C3492-61F4-4738-AEB6-503F77D2E0E4}"/>
    <cellStyle name="Salida 14 3 3" xfId="3664" xr:uid="{1A85B8B9-92AE-4B1C-8513-8333506F0F65}"/>
    <cellStyle name="Salida 15" xfId="3665" xr:uid="{34A883F8-A116-4279-82CE-351B3029E75B}"/>
    <cellStyle name="Salida 15 2" xfId="3666" xr:uid="{89ADE238-9E81-40F2-BB7A-302FBC54127D}"/>
    <cellStyle name="Salida 15 2 2" xfId="3667" xr:uid="{F1CE1346-8DB8-43DE-BF71-2A53383417DC}"/>
    <cellStyle name="Salida 15 3" xfId="3668" xr:uid="{254C5F06-3065-43A7-8B26-9233968144D0}"/>
    <cellStyle name="Salida 15 3 2" xfId="3669" xr:uid="{29E4057A-D102-4D5F-8C49-255BE636F4A0}"/>
    <cellStyle name="Salida 15 3 3" xfId="3670" xr:uid="{C81D8780-A151-4C2D-B480-D8285020AC6A}"/>
    <cellStyle name="Salida 16" xfId="3671" xr:uid="{657F0766-2168-4326-A471-48D32422ED32}"/>
    <cellStyle name="Salida 16 2" xfId="3672" xr:uid="{DEFCDB99-6BE0-4615-B84F-E57B5AADF570}"/>
    <cellStyle name="Salida 16 2 2" xfId="3673" xr:uid="{99B08CA3-6D0E-4711-BD27-1CE860D4606B}"/>
    <cellStyle name="Salida 16 3" xfId="3674" xr:uid="{6A5530A6-B130-46FE-9E35-7EC2FD147D27}"/>
    <cellStyle name="Salida 16 3 2" xfId="3675" xr:uid="{FEF58ECA-003D-4107-8553-5C9EF7D45215}"/>
    <cellStyle name="Salida 16 3 3" xfId="3676" xr:uid="{72BB8245-4D0C-4F8F-A2D7-F98D8A5FA403}"/>
    <cellStyle name="Salida 17" xfId="3677" xr:uid="{CF56F0DD-AF6F-4075-A3EA-34363C30345B}"/>
    <cellStyle name="Salida 17 2" xfId="3678" xr:uid="{397B9AEA-115E-479C-8A46-4A55A21F41B8}"/>
    <cellStyle name="Salida 17 2 2" xfId="3679" xr:uid="{8CDEDA36-445D-4DB2-B0A3-F7F7CD7A3DA0}"/>
    <cellStyle name="Salida 17 3" xfId="3680" xr:uid="{76834409-A34E-45B0-BFED-0671B75D3FED}"/>
    <cellStyle name="Salida 17 3 2" xfId="3681" xr:uid="{2410F876-B25A-4922-81AE-7EE754A3DCF5}"/>
    <cellStyle name="Salida 17 3 3" xfId="3682" xr:uid="{E89F4B5E-93FB-4E23-B134-150AE925F660}"/>
    <cellStyle name="Salida 18" xfId="3683" xr:uid="{6F32EFE4-2D07-45FB-80B9-9A5E331A787B}"/>
    <cellStyle name="Salida 18 2" xfId="3684" xr:uid="{42C0EBE0-EC8C-41B6-B1DF-1BF36BC93537}"/>
    <cellStyle name="Salida 18 2 2" xfId="3685" xr:uid="{5189ED3A-095D-473A-A09E-1A0D20A28605}"/>
    <cellStyle name="Salida 18 3" xfId="3686" xr:uid="{6E6B4871-4698-4762-8D66-E0DCBAF257D0}"/>
    <cellStyle name="Salida 18 3 2" xfId="3687" xr:uid="{598BF35B-65A4-4E8D-A2F1-7EE0343862F9}"/>
    <cellStyle name="Salida 18 3 3" xfId="3688" xr:uid="{C451E599-C71F-4FB3-B060-777EAE410FB5}"/>
    <cellStyle name="Salida 19" xfId="3689" xr:uid="{CCF8BD78-2F08-4D92-94CA-F5F065C27062}"/>
    <cellStyle name="Salida 19 2" xfId="3690" xr:uid="{182AD001-F07B-42CC-AF6E-D41901C38657}"/>
    <cellStyle name="Salida 19 2 2" xfId="3691" xr:uid="{C88A4B39-B06C-4295-AA2C-9C5E40B01616}"/>
    <cellStyle name="Salida 19 3" xfId="3692" xr:uid="{EC5CFC05-101C-4B68-9DD9-8BF4659FB36E}"/>
    <cellStyle name="Salida 19 3 2" xfId="3693" xr:uid="{7DE423B0-3D21-423F-9348-5925D9CD91DA}"/>
    <cellStyle name="Salida 19 3 3" xfId="3694" xr:uid="{CB129797-1A91-4F62-8442-81AEA76D700F}"/>
    <cellStyle name="Salida 2" xfId="3695" xr:uid="{967EAC6A-7531-41C8-8445-3219FDFBD996}"/>
    <cellStyle name="Salida 2 2" xfId="3696" xr:uid="{C66A8F15-E75D-480D-B9EA-81588A3943F1}"/>
    <cellStyle name="Salida 2 2 2" xfId="3697" xr:uid="{EAB02D5D-6B77-43B2-84B7-6B8C892E3D78}"/>
    <cellStyle name="Salida 2 2 2 2" xfId="3698" xr:uid="{CB905465-7CD2-433D-85CF-69073ECAC05B}"/>
    <cellStyle name="Salida 2 2 3" xfId="3699" xr:uid="{2F4D84EA-F36C-44BC-9109-5F2107172126}"/>
    <cellStyle name="Salida 2 2 3 2" xfId="3700" xr:uid="{2D40138A-9C68-4F17-8A0D-9E3475250D2F}"/>
    <cellStyle name="Salida 2 2 3 3" xfId="3701" xr:uid="{DAAA5F77-B7CB-4A01-B76B-D0058514B871}"/>
    <cellStyle name="Salida 2 3" xfId="3702" xr:uid="{E4D8CC52-AD58-469A-ABA8-711B15878628}"/>
    <cellStyle name="Salida 2 3 2" xfId="3703" xr:uid="{CA7194D5-BC85-44E2-B992-942991F25609}"/>
    <cellStyle name="Salida 2 4" xfId="3704" xr:uid="{09FF7551-C023-4F34-8F38-0735B3ED5DDB}"/>
    <cellStyle name="Salida 2 4 2" xfId="3705" xr:uid="{40614CEB-B2B9-4D24-BFFB-6F6DF5190847}"/>
    <cellStyle name="Salida 2 4 3" xfId="3706" xr:uid="{A3475FD2-4C0C-4553-AD34-51BD014A129B}"/>
    <cellStyle name="Salida 2 5" xfId="3707" xr:uid="{7752977D-A697-4802-A976-3596DBC09B7F}"/>
    <cellStyle name="Salida 20" xfId="3708" xr:uid="{08ACC782-7300-4E7C-A65E-A53ACE4148B1}"/>
    <cellStyle name="Salida 20 2" xfId="3709" xr:uid="{35A26338-E2B7-4731-AA87-4116BB3DEACE}"/>
    <cellStyle name="Salida 20 2 2" xfId="3710" xr:uid="{72F8EB44-381F-48F6-A506-D394EDE9B674}"/>
    <cellStyle name="Salida 20 3" xfId="3711" xr:uid="{BADC4188-7A58-44D4-88B2-978D47758879}"/>
    <cellStyle name="Salida 20 3 2" xfId="3712" xr:uid="{6D767795-7E6B-46BE-AE73-34FCB7E1B7F0}"/>
    <cellStyle name="Salida 20 3 3" xfId="3713" xr:uid="{5485E61C-5843-48B6-91C5-6FBBF875DA4D}"/>
    <cellStyle name="Salida 21" xfId="3714" xr:uid="{C92EE2C1-F9A1-4B58-A412-938AF1DAF6A3}"/>
    <cellStyle name="Salida 22" xfId="3715" xr:uid="{9CB4D6B4-52C0-41F2-BD48-5ADDB06F6D42}"/>
    <cellStyle name="Salida 22 2" xfId="3716" xr:uid="{EAF0AC94-4A2B-4097-AF32-92082926AF94}"/>
    <cellStyle name="Salida 23" xfId="3717" xr:uid="{0E9C5BD8-B6BC-42C4-94AE-AF22883FD83B}"/>
    <cellStyle name="Salida 3" xfId="3718" xr:uid="{30BF82BA-1893-4BBA-B581-E7F510DD4C43}"/>
    <cellStyle name="Salida 3 2" xfId="3719" xr:uid="{10A5DE16-6B82-445B-AE02-D3789BE8AC90}"/>
    <cellStyle name="Salida 3 2 2" xfId="3720" xr:uid="{A9D7B624-70F8-4B8B-A849-A8AE47EAE426}"/>
    <cellStyle name="Salida 3 3" xfId="3721" xr:uid="{B83E55D9-A4D2-4DE4-AD10-46BE0DA598BB}"/>
    <cellStyle name="Salida 3 3 2" xfId="3722" xr:uid="{F18779A5-F0D2-45B8-96EF-6ADE908E4A02}"/>
    <cellStyle name="Salida 3 3 3" xfId="3723" xr:uid="{181E8E84-35B7-44FB-AB96-4ED98EB45C81}"/>
    <cellStyle name="Salida 3 4" xfId="3724" xr:uid="{7EA2836D-263B-4DBF-9E11-6AD48A18AFA6}"/>
    <cellStyle name="Salida 4" xfId="3725" xr:uid="{A8C7257C-AD11-4EA1-BF7E-C07D5ED9AA6D}"/>
    <cellStyle name="Salida 4 2" xfId="3726" xr:uid="{FDA45A65-EA0A-4B85-B4B7-8C08FF17BCBF}"/>
    <cellStyle name="Salida 4 2 2" xfId="3727" xr:uid="{6FEE0815-544B-4DDA-A754-A830DACB2D93}"/>
    <cellStyle name="Salida 4 3" xfId="3728" xr:uid="{A47030F0-120A-45DF-97F1-A3B3575BB2CB}"/>
    <cellStyle name="Salida 4 3 2" xfId="3729" xr:uid="{C89B1DE9-BD4D-46A8-81AB-DEEB3E358E75}"/>
    <cellStyle name="Salida 4 3 3" xfId="3730" xr:uid="{53B182AC-A21D-4914-AB5A-6B67B91C83EE}"/>
    <cellStyle name="Salida 5" xfId="3731" xr:uid="{E4F0BA95-841F-49C1-9171-5B31585E910B}"/>
    <cellStyle name="Salida 5 2" xfId="3732" xr:uid="{388EC40C-4536-4129-8C2D-A8E59D350F0D}"/>
    <cellStyle name="Salida 5 2 2" xfId="3733" xr:uid="{ECDD2D33-0EBC-4B49-81FB-A71EB70ED0CE}"/>
    <cellStyle name="Salida 5 3" xfId="3734" xr:uid="{F9E4C05B-0FD9-4470-A5E0-A4A893A448F5}"/>
    <cellStyle name="Salida 5 3 2" xfId="3735" xr:uid="{758EE133-D070-4E4C-8F17-56592CFECBC1}"/>
    <cellStyle name="Salida 5 3 3" xfId="3736" xr:uid="{FE5C02FB-7F31-4E91-AED2-F9E8BF77C163}"/>
    <cellStyle name="Salida 6" xfId="3737" xr:uid="{A1951D1A-71FF-4C54-8B3B-DB55DC36ABCB}"/>
    <cellStyle name="Salida 6 2" xfId="3738" xr:uid="{5C8F0BD0-DFD7-48B1-8990-E7A76907B075}"/>
    <cellStyle name="Salida 6 2 2" xfId="3739" xr:uid="{E42A87D9-5B25-48BA-9273-B76DE2DCA362}"/>
    <cellStyle name="Salida 6 3" xfId="3740" xr:uid="{EA7C5D7E-00E6-4347-8064-D6104BACEBEB}"/>
    <cellStyle name="Salida 6 3 2" xfId="3741" xr:uid="{36BC4700-B14F-4565-B4CE-7335F9235D6D}"/>
    <cellStyle name="Salida 6 3 3" xfId="3742" xr:uid="{B9F996C4-58FD-4EFC-BB6B-78278BA0D324}"/>
    <cellStyle name="Salida 7" xfId="3743" xr:uid="{41C6A132-1E8F-47D1-8DE8-D8FE4407802B}"/>
    <cellStyle name="Salida 7 2" xfId="3744" xr:uid="{7C8A4FB5-2C39-4EA2-8421-65E40AB195AE}"/>
    <cellStyle name="Salida 7 2 2" xfId="3745" xr:uid="{D1B299EC-40BF-4D54-8DDF-D032ACF36E77}"/>
    <cellStyle name="Salida 7 3" xfId="3746" xr:uid="{111BE54D-86B3-4FBF-96D3-E2931B5AD937}"/>
    <cellStyle name="Salida 7 3 2" xfId="3747" xr:uid="{6FE8510E-1AB8-4D8A-9923-E6EBC1C0AC5E}"/>
    <cellStyle name="Salida 7 3 3" xfId="3748" xr:uid="{B5429759-BB76-4278-9049-893887BB812E}"/>
    <cellStyle name="Salida 8" xfId="3749" xr:uid="{2D349B67-7EC3-4E98-957F-008CD98171A7}"/>
    <cellStyle name="Salida 8 2" xfId="3750" xr:uid="{C234CC86-64E3-4220-A335-429F9E317F52}"/>
    <cellStyle name="Salida 8 2 2" xfId="3751" xr:uid="{D35798DB-99DA-4502-8122-07B40A41EFB9}"/>
    <cellStyle name="Salida 8 3" xfId="3752" xr:uid="{4F8F8250-7BBF-44B4-B434-2EDF6DB993E3}"/>
    <cellStyle name="Salida 8 3 2" xfId="3753" xr:uid="{E7356CAD-F6A4-4518-AEAA-C468563E1587}"/>
    <cellStyle name="Salida 8 3 3" xfId="3754" xr:uid="{06BDCAEC-20DF-4258-A5D0-5B7703EAA2ED}"/>
    <cellStyle name="Salida 9" xfId="3755" xr:uid="{B5992AC8-0A33-4496-8AA7-E82AA65C0538}"/>
    <cellStyle name="Salida 9 2" xfId="3756" xr:uid="{ED1E6AF9-B52B-48F6-9BFD-D41DCA0C3E32}"/>
    <cellStyle name="Salida 9 2 2" xfId="3757" xr:uid="{7B22E868-BC2F-4A7C-89A1-57DE873EA754}"/>
    <cellStyle name="Salida 9 3" xfId="3758" xr:uid="{8912660B-A5DF-40FA-BC5A-8FE6F3F38365}"/>
    <cellStyle name="Salida 9 3 2" xfId="3759" xr:uid="{0E649702-37A8-4A33-9169-4A09E4BBF596}"/>
    <cellStyle name="Salida 9 3 3" xfId="3760" xr:uid="{75C920B6-A390-49B9-B507-B371BFDAB1F0}"/>
    <cellStyle name="ssubtitulo" xfId="3761" xr:uid="{E81B9169-018C-4D8C-B63A-EA041EEB0107}"/>
    <cellStyle name="Standard_EVAL-np" xfId="3762" xr:uid="{C1996770-FCE0-4EDC-B058-87EFC673B347}"/>
    <cellStyle name="subtitulo" xfId="3763" xr:uid="{4AEC5635-8F7E-41B9-9088-FA72964992B6}"/>
    <cellStyle name="Texto de advertencia 2" xfId="3764" xr:uid="{0411BD7E-AEF6-43F7-AB93-77921EC7D921}"/>
    <cellStyle name="Texto de advertencia 2 2" xfId="3765" xr:uid="{FBA07A4D-32FD-48FB-B18F-8509D2453974}"/>
    <cellStyle name="Texto de advertencia 3" xfId="3766" xr:uid="{6412BD63-D47C-4764-942B-B91FE5758A7F}"/>
    <cellStyle name="Texto de advertencia 3 2" xfId="3767" xr:uid="{90BA4179-FD3D-4A07-8A8C-25C3C88B9A93}"/>
    <cellStyle name="Texto explicativo 2" xfId="3768" xr:uid="{1FCD70EB-5B76-4048-AB2F-7903A910EF71}"/>
    <cellStyle name="Texto explicativo 2 2" xfId="3769" xr:uid="{87E08A80-7943-4543-9E86-06F77D5B71AC}"/>
    <cellStyle name="Texto explicativo 3" xfId="3770" xr:uid="{23336CEF-64CA-45A0-A66C-0A642CD2123F}"/>
    <cellStyle name="Texto explicativo 3 2" xfId="3771" xr:uid="{8848F963-B36B-4276-82E9-887D2016628E}"/>
    <cellStyle name="Title 2" xfId="26" xr:uid="{64B3A398-4AF1-4D8C-A250-2373DD487FEA}"/>
    <cellStyle name="Title 2 2" xfId="3772" xr:uid="{B53B1947-282A-44F6-9044-E24A22B81727}"/>
    <cellStyle name="Title 3" xfId="104" xr:uid="{0298FB5F-D354-408A-80F6-99BAB4991104}"/>
    <cellStyle name="titulo" xfId="3773" xr:uid="{28DA6506-91E2-4F55-AA4D-40D623C296C3}"/>
    <cellStyle name="Título 1 10" xfId="3774" xr:uid="{91970754-AC82-45DC-BB3F-3055980A1CF2}"/>
    <cellStyle name="Título 1 11" xfId="3775" xr:uid="{F5ED5F47-CB9C-49D1-9B37-D60AECE26F61}"/>
    <cellStyle name="Título 1 12" xfId="3776" xr:uid="{AF395B76-E379-4AB5-8183-A715A5CEB7EC}"/>
    <cellStyle name="Título 1 13" xfId="3777" xr:uid="{B855E80C-912D-43B5-9CAC-24A1E7651E92}"/>
    <cellStyle name="Título 1 14" xfId="3778" xr:uid="{6D06B3E6-4358-4060-BA0C-13BBB2A7E5AC}"/>
    <cellStyle name="Título 1 15" xfId="3779" xr:uid="{2B2EB62F-77B1-4F35-A4EB-8887D12DB7A7}"/>
    <cellStyle name="Título 1 16" xfId="3780" xr:uid="{584163B6-672C-4C6D-B78F-534546E90084}"/>
    <cellStyle name="Título 1 17" xfId="3781" xr:uid="{0F250108-B381-4A8E-B3F5-421D9EBBB9A7}"/>
    <cellStyle name="Título 1 18" xfId="3782" xr:uid="{8CD9A824-E918-437F-B5DA-AFD3751845C2}"/>
    <cellStyle name="Título 1 19" xfId="3783" xr:uid="{E0A9B55D-16C9-4409-8D79-A877F41791CE}"/>
    <cellStyle name="Título 1 2" xfId="3784" xr:uid="{99AF66E1-B612-4413-A697-BACB9968E669}"/>
    <cellStyle name="Título 1 2 2" xfId="3785" xr:uid="{0F2124DF-C192-44B5-8298-002918595BBC}"/>
    <cellStyle name="Título 1 20" xfId="3786" xr:uid="{327E4FBB-5C0F-4C27-84EA-0649A26308C1}"/>
    <cellStyle name="Título 1 21" xfId="3787" xr:uid="{E2EFD73D-5B63-4030-9808-5A266BA8FDD7}"/>
    <cellStyle name="Título 1 22" xfId="3788" xr:uid="{ED3834FE-F025-4868-9C29-D120952CBC9C}"/>
    <cellStyle name="Título 1 23" xfId="3789" xr:uid="{06683088-E66C-4D49-A106-F8B85AE191AC}"/>
    <cellStyle name="Título 1 3" xfId="3790" xr:uid="{D7B7BA39-BF46-4D79-80D5-D799F2D03876}"/>
    <cellStyle name="Título 1 3 2" xfId="3791" xr:uid="{A19E8A7B-0A37-466D-984D-AD44DE46599F}"/>
    <cellStyle name="Título 1 4" xfId="3792" xr:uid="{5AAE2563-E719-4817-BF42-38D48B0578E9}"/>
    <cellStyle name="Título 1 5" xfId="3793" xr:uid="{0CD053E7-5E3D-468A-A02F-9973CF8AFFE8}"/>
    <cellStyle name="Título 1 6" xfId="3794" xr:uid="{9DC49F14-077C-44C5-93F1-220059E22790}"/>
    <cellStyle name="Título 1 7" xfId="3795" xr:uid="{FE533340-9A47-4FB4-8AEA-E40F59C13C18}"/>
    <cellStyle name="Título 1 8" xfId="3796" xr:uid="{4C9D7D91-5B47-4553-B1E6-5488FF3591B5}"/>
    <cellStyle name="Título 1 9" xfId="3797" xr:uid="{66390652-763D-416E-8E91-4998AD1976B3}"/>
    <cellStyle name="Título 10" xfId="3798" xr:uid="{20332E6F-2BDC-46F5-B8BA-F2675189C366}"/>
    <cellStyle name="Título 11" xfId="3799" xr:uid="{DC74B6F8-9DF3-4F88-AD2B-EF888A79D2EB}"/>
    <cellStyle name="Título 12" xfId="3800" xr:uid="{12F01FE6-E16F-4107-B371-1D90D8D81DCF}"/>
    <cellStyle name="Título 13" xfId="3801" xr:uid="{7429FC6C-55B7-4011-AFF1-6E000BE4D38A}"/>
    <cellStyle name="Título 14" xfId="3802" xr:uid="{58983115-6F62-48F1-AD43-7E02900FE801}"/>
    <cellStyle name="Título 15" xfId="3803" xr:uid="{F67C2635-D8CD-4F28-BAD2-0EEA759D61BC}"/>
    <cellStyle name="Título 16" xfId="3804" xr:uid="{4CD2801B-F8FC-4994-80DB-D1A42DDE68FC}"/>
    <cellStyle name="Título 17" xfId="3805" xr:uid="{3D8F46FF-3B48-4D88-86B5-CB344D5C33FA}"/>
    <cellStyle name="Título 18" xfId="3806" xr:uid="{ED3667FB-E6E4-488A-9D84-4A20CBA262B2}"/>
    <cellStyle name="Título 19" xfId="3807" xr:uid="{9F783A31-092E-4DF3-9E99-5DD3899E5BB0}"/>
    <cellStyle name="Título 2 10" xfId="3808" xr:uid="{A2758C27-18CF-4672-9879-A3A84AEC5F92}"/>
    <cellStyle name="Título 2 11" xfId="3809" xr:uid="{A32D92AA-9CC7-47DD-AE58-4497EB314389}"/>
    <cellStyle name="Título 2 12" xfId="3810" xr:uid="{83880FAB-797B-4C7F-B4F4-07D2AA77D2D6}"/>
    <cellStyle name="Título 2 13" xfId="3811" xr:uid="{295309D7-EFA5-4A38-8282-B48DB2A1AB66}"/>
    <cellStyle name="Título 2 14" xfId="3812" xr:uid="{3AEDB507-F887-4FD7-9AEB-3B06381BD7C8}"/>
    <cellStyle name="Título 2 15" xfId="3813" xr:uid="{28E2DEB4-195E-4325-B57B-9EBC46EB941E}"/>
    <cellStyle name="Título 2 16" xfId="3814" xr:uid="{E5D2BBC4-59EE-46A5-923D-38EBFFBD60D1}"/>
    <cellStyle name="Título 2 17" xfId="3815" xr:uid="{77EA941A-6D8A-4944-A458-A94BE3A2A4BF}"/>
    <cellStyle name="Título 2 18" xfId="3816" xr:uid="{A9306904-F570-44B6-94BF-BCF3C53DFF5D}"/>
    <cellStyle name="Título 2 19" xfId="3817" xr:uid="{3EC5EFFB-5D49-460C-95B9-31965AB8864D}"/>
    <cellStyle name="Título 2 2" xfId="3818" xr:uid="{6A2A25C4-C985-4B47-8778-5CE81F606C65}"/>
    <cellStyle name="Título 2 2 2" xfId="3819" xr:uid="{3A2EB40D-1ACB-46DE-AC0D-A228F1F06619}"/>
    <cellStyle name="Título 2 20" xfId="3820" xr:uid="{99DB60D2-4B3F-40A4-9318-5CD83578E68E}"/>
    <cellStyle name="Título 2 21" xfId="3821" xr:uid="{AA937140-E98A-407D-BF8D-0BDB779019F8}"/>
    <cellStyle name="Título 2 22" xfId="3822" xr:uid="{2B254BD6-3A96-484F-8319-8A38A907D91B}"/>
    <cellStyle name="Título 2 23" xfId="3823" xr:uid="{4D89B75F-C5E1-497A-9A10-1D3EB9B6DF95}"/>
    <cellStyle name="Título 2 3" xfId="3824" xr:uid="{29C8798D-2F5B-446B-8FE2-8BCEF40F00D3}"/>
    <cellStyle name="Título 2 3 2" xfId="3825" xr:uid="{982F2D7A-643C-4AEE-85B7-9FAF5EF62277}"/>
    <cellStyle name="Título 2 4" xfId="3826" xr:uid="{1DF80257-43FC-4B68-BD93-79A4FCBE531B}"/>
    <cellStyle name="Título 2 5" xfId="3827" xr:uid="{F5E468D0-DD0D-42B8-A8C8-6DBA8BBF22FD}"/>
    <cellStyle name="Título 2 6" xfId="3828" xr:uid="{43F2AA3B-80CC-4411-88AE-C64BEF12D472}"/>
    <cellStyle name="Título 2 7" xfId="3829" xr:uid="{EDC3886C-633A-4A91-ABA0-02D68B02495E}"/>
    <cellStyle name="Título 2 8" xfId="3830" xr:uid="{69C33879-2C55-4098-BDD0-F30F8BBD8DC8}"/>
    <cellStyle name="Título 2 9" xfId="3831" xr:uid="{B7567193-78A9-4D84-BF3B-A5084291DAE3}"/>
    <cellStyle name="Título 20" xfId="3832" xr:uid="{0EF94E6B-0DC7-4CAD-A863-3D27DC5F5AD5}"/>
    <cellStyle name="Título 21" xfId="3833" xr:uid="{B84B399B-0E28-4662-B792-EB73723D9466}"/>
    <cellStyle name="Título 22" xfId="3834" xr:uid="{12A60F4F-E13D-4D35-AF55-AAF0EE420F86}"/>
    <cellStyle name="Título 23" xfId="3835" xr:uid="{C464D4DF-0F61-408B-B15E-3F886720C8AE}"/>
    <cellStyle name="Título 24" xfId="3836" xr:uid="{940A87D1-7B72-45A8-AC7F-BC8F6F4FD6E5}"/>
    <cellStyle name="Título 25" xfId="3837" xr:uid="{2D32488D-E4EC-426D-8CF8-AC637320BD18}"/>
    <cellStyle name="Título 3 10" xfId="3838" xr:uid="{B447CD8B-CB28-4677-A354-21B9AD407000}"/>
    <cellStyle name="Título 3 10 2" xfId="3839" xr:uid="{C6C0BE32-7847-4692-8F36-FA270B987063}"/>
    <cellStyle name="Título 3 10 2 2" xfId="3840" xr:uid="{2CC674DF-8764-4E3F-8F7F-6E1A489E47F9}"/>
    <cellStyle name="Título 3 10 2 3" xfId="3841" xr:uid="{3D993649-3D6C-4449-9E4E-A7290279B894}"/>
    <cellStyle name="Título 3 10 3" xfId="3842" xr:uid="{6E3B8992-43F7-4082-A792-EA3F24EBDFB0}"/>
    <cellStyle name="Título 3 10 4" xfId="3843" xr:uid="{C0628E7F-D87B-44AF-8C13-39279254204D}"/>
    <cellStyle name="Título 3 11" xfId="3844" xr:uid="{5E8A5BEE-51DB-4380-9E3F-A6A089FE6DDC}"/>
    <cellStyle name="Título 3 11 2" xfId="3845" xr:uid="{DAFB506D-F8BF-430D-85DF-664FB35456EB}"/>
    <cellStyle name="Título 3 11 2 2" xfId="3846" xr:uid="{B6E66049-5135-4800-99B6-BD40275BA2DD}"/>
    <cellStyle name="Título 3 11 2 3" xfId="3847" xr:uid="{2575EB7A-D2F5-4DC8-A833-3BA02F995688}"/>
    <cellStyle name="Título 3 11 3" xfId="3848" xr:uid="{3EEAAD5A-9EFA-4846-A1E7-74E1484205E5}"/>
    <cellStyle name="Título 3 11 4" xfId="3849" xr:uid="{D5FA2B90-86E0-4B23-BFAD-170B5B6B0E61}"/>
    <cellStyle name="Título 3 12" xfId="3850" xr:uid="{52F2661C-DBC7-4E97-B6BA-2D43C794A0A2}"/>
    <cellStyle name="Título 3 12 2" xfId="3851" xr:uid="{CE7AFA87-5B69-495E-A144-87F948040D53}"/>
    <cellStyle name="Título 3 12 2 2" xfId="3852" xr:uid="{DB390E02-1F50-4376-9F9F-7BC4B5027781}"/>
    <cellStyle name="Título 3 12 2 3" xfId="3853" xr:uid="{8CABE643-44CC-4D2E-8409-5F54B985136F}"/>
    <cellStyle name="Título 3 12 3" xfId="3854" xr:uid="{32DA8AE6-BCDF-465B-B4DE-1F317A32CB46}"/>
    <cellStyle name="Título 3 12 4" xfId="3855" xr:uid="{EFE4E2B7-D2FA-4788-9761-24FA04ED1C68}"/>
    <cellStyle name="Título 3 13" xfId="3856" xr:uid="{394F9F20-2D54-40EF-8BCF-F5337641FBAB}"/>
    <cellStyle name="Título 3 13 2" xfId="3857" xr:uid="{2DA14F29-0DA5-4AA8-B5C8-02B7EB38E880}"/>
    <cellStyle name="Título 3 13 2 2" xfId="3858" xr:uid="{DEE6D2C5-1FE9-412F-883A-AC1DAFE9EB1D}"/>
    <cellStyle name="Título 3 13 2 3" xfId="3859" xr:uid="{F5568770-2E16-4941-8F30-88F0EE48490D}"/>
    <cellStyle name="Título 3 13 3" xfId="3860" xr:uid="{0994B4BF-597A-4FCE-8256-771EE0FBCD83}"/>
    <cellStyle name="Título 3 13 4" xfId="3861" xr:uid="{F72242D8-2C78-4BAF-AD74-7302D0B2D6BD}"/>
    <cellStyle name="Título 3 14" xfId="3862" xr:uid="{E54DA40B-351D-4A1A-8825-0367CD2C1887}"/>
    <cellStyle name="Título 3 14 2" xfId="3863" xr:uid="{4463A1C8-2041-4ADF-A1D0-A8AF4D766B6F}"/>
    <cellStyle name="Título 3 14 2 2" xfId="3864" xr:uid="{5E6F07DF-0D45-4B13-BF6E-C10E48A3C494}"/>
    <cellStyle name="Título 3 14 2 3" xfId="3865" xr:uid="{ACB08769-9B35-422A-A9B8-530192F5BD4A}"/>
    <cellStyle name="Título 3 14 3" xfId="3866" xr:uid="{DF3D4E05-C4BB-4F27-9FC6-D2ABD0612539}"/>
    <cellStyle name="Título 3 14 4" xfId="3867" xr:uid="{7FBE0B6F-9A98-4B59-B7B8-DE5F25E84094}"/>
    <cellStyle name="Título 3 15" xfId="3868" xr:uid="{E69B66E1-E26D-4EB5-AF62-2CBD40E48A60}"/>
    <cellStyle name="Título 3 15 2" xfId="3869" xr:uid="{10F637E6-D2D3-42CF-AB27-7EB21695485F}"/>
    <cellStyle name="Título 3 15 2 2" xfId="3870" xr:uid="{09FABEAA-022F-4294-893D-9BB99A1E75E5}"/>
    <cellStyle name="Título 3 15 2 3" xfId="3871" xr:uid="{3F971D43-7A16-4FD4-A93B-CE51C71499A4}"/>
    <cellStyle name="Título 3 15 3" xfId="3872" xr:uid="{4C7851F4-A9F4-43FE-905B-48CB2B10740F}"/>
    <cellStyle name="Título 3 15 4" xfId="3873" xr:uid="{1559D474-5662-4293-8674-523AC3EDCDA6}"/>
    <cellStyle name="Título 3 16" xfId="3874" xr:uid="{BA9CACFB-5195-48DE-97BA-2E0A443E1112}"/>
    <cellStyle name="Título 3 16 2" xfId="3875" xr:uid="{BAB0CEA1-B4E4-4AF0-A353-BFB5C68CDA67}"/>
    <cellStyle name="Título 3 16 2 2" xfId="3876" xr:uid="{A7D8A411-31E9-495C-8522-DFF6C016ECC9}"/>
    <cellStyle name="Título 3 16 2 3" xfId="3877" xr:uid="{123308C4-100C-4E5C-B5C1-DA99EDED1CB0}"/>
    <cellStyle name="Título 3 16 3" xfId="3878" xr:uid="{908FC978-B50B-473C-AE11-13888993857D}"/>
    <cellStyle name="Título 3 16 4" xfId="3879" xr:uid="{7196DB56-D8ED-4225-A491-07CC902AC14B}"/>
    <cellStyle name="Título 3 17" xfId="3880" xr:uid="{841FBF27-48D2-481E-B424-61A63BFC6EA3}"/>
    <cellStyle name="Título 3 17 2" xfId="3881" xr:uid="{F06046A5-0A28-4611-99F4-EBD8FACABF1A}"/>
    <cellStyle name="Título 3 17 2 2" xfId="3882" xr:uid="{285B5632-24FF-40AB-8C6E-335E0DD58D5D}"/>
    <cellStyle name="Título 3 17 2 3" xfId="3883" xr:uid="{8ECBE179-D9D1-4E30-99E1-6567C6FB0087}"/>
    <cellStyle name="Título 3 17 3" xfId="3884" xr:uid="{D4F5E72A-AFA8-4AEF-BD10-5242AE5E3E7A}"/>
    <cellStyle name="Título 3 17 4" xfId="3885" xr:uid="{C9FB6C10-34B9-4D6A-BDE1-B5E83ED7D582}"/>
    <cellStyle name="Título 3 18" xfId="3886" xr:uid="{D5AFB89D-8FA9-4CAD-A05D-773B7BF1A194}"/>
    <cellStyle name="Título 3 18 2" xfId="3887" xr:uid="{827192E7-2CD6-4CC2-944B-9FD02AAA9924}"/>
    <cellStyle name="Título 3 18 2 2" xfId="3888" xr:uid="{9992CE4C-12DA-48C4-89EB-1028B393A487}"/>
    <cellStyle name="Título 3 18 2 3" xfId="3889" xr:uid="{836653CF-BCBA-4110-A952-943CA7A8015E}"/>
    <cellStyle name="Título 3 18 3" xfId="3890" xr:uid="{5D1CE9D8-F8A8-4CD6-BFC0-D0D609EF2CAE}"/>
    <cellStyle name="Título 3 18 4" xfId="3891" xr:uid="{CF0D592F-CE4A-4C9C-A8C4-7688E982F8D0}"/>
    <cellStyle name="Título 3 19" xfId="3892" xr:uid="{A398B257-95A0-4330-BDBD-B4F92CC79E04}"/>
    <cellStyle name="Título 3 19 2" xfId="3893" xr:uid="{12864A1B-7AF5-4ADE-817F-05C32A9A9E98}"/>
    <cellStyle name="Título 3 19 2 2" xfId="3894" xr:uid="{D53A7C0F-B0E1-405B-AD5F-A37843C85889}"/>
    <cellStyle name="Título 3 19 2 3" xfId="3895" xr:uid="{59FE1351-BF1D-432C-8ECD-96D846D2309C}"/>
    <cellStyle name="Título 3 19 3" xfId="3896" xr:uid="{13B36AB6-AF9A-4848-A581-1ACD68B89357}"/>
    <cellStyle name="Título 3 19 4" xfId="3897" xr:uid="{309D1748-D6A8-402E-B231-511D003ADE7C}"/>
    <cellStyle name="Título 3 2" xfId="3898" xr:uid="{93D819D4-AD85-4665-A46A-927BE1E7B81A}"/>
    <cellStyle name="Título 3 2 2" xfId="3899" xr:uid="{28254224-12E1-4321-97DC-871956CA604F}"/>
    <cellStyle name="Título 3 2 2 2" xfId="3900" xr:uid="{D369CB40-0138-4D57-B7DC-62114A468530}"/>
    <cellStyle name="Título 3 2 2 2 2" xfId="3901" xr:uid="{9A349A2C-6E8C-41B1-BDAB-A3C659132EFA}"/>
    <cellStyle name="Título 3 2 2 2 3" xfId="3902" xr:uid="{7CCE24A5-340C-4E06-AF6B-E5BB765D4803}"/>
    <cellStyle name="Título 3 2 2 3" xfId="3903" xr:uid="{8DEBFCCE-120E-4A0B-B75B-B30C3F36BD6E}"/>
    <cellStyle name="Título 3 2 2 4" xfId="3904" xr:uid="{8DD4CA57-1CFE-4787-86FA-40723F42D31E}"/>
    <cellStyle name="Título 3 2 3" xfId="3905" xr:uid="{F6D45A2A-D1CB-4B50-A02F-C28120CC0F7E}"/>
    <cellStyle name="Título 3 2 3 2" xfId="3906" xr:uid="{C632BF7C-EBA9-4047-B3FD-56874B09AB9F}"/>
    <cellStyle name="Título 3 2 3 2 2" xfId="3907" xr:uid="{DDF6FB79-F18C-4967-8226-548F54637FAC}"/>
    <cellStyle name="Título 3 2 3 2 3" xfId="3908" xr:uid="{93281BA9-94FD-487C-B537-AE6E9069FCB5}"/>
    <cellStyle name="Título 3 2 3 3" xfId="3909" xr:uid="{6A2CD405-3389-4573-A6B5-51BF0DB19193}"/>
    <cellStyle name="Título 3 2 3 4" xfId="3910" xr:uid="{7C8B1193-6D7F-4A97-AC0C-22FDBCA99A69}"/>
    <cellStyle name="Título 3 2 4" xfId="3911" xr:uid="{9B758EA5-10B2-4267-831C-927BFCF3836F}"/>
    <cellStyle name="Título 3 2 5" xfId="3912" xr:uid="{4CC50417-D5FF-4F28-9EBB-D350EBE926C5}"/>
    <cellStyle name="Título 3 2 6" xfId="3913" xr:uid="{1DE4F080-C14C-4112-A0B2-C4D3C67C65A7}"/>
    <cellStyle name="Título 3 20" xfId="3914" xr:uid="{9C236092-17E1-4865-9986-60B905734118}"/>
    <cellStyle name="Título 3 20 2" xfId="3915" xr:uid="{50B3E686-197B-41A6-9CFE-7B2AF62009A8}"/>
    <cellStyle name="Título 3 20 2 2" xfId="3916" xr:uid="{CA675E60-67AE-4CAC-9E60-BF994F383F9D}"/>
    <cellStyle name="Título 3 20 2 3" xfId="3917" xr:uid="{51E356BF-523F-48B2-B44E-181B5D0855B4}"/>
    <cellStyle name="Título 3 20 3" xfId="3918" xr:uid="{1B84EBF0-65FD-4ECB-8263-12C6938637B1}"/>
    <cellStyle name="Título 3 20 4" xfId="3919" xr:uid="{BBA2937F-5BA1-4839-84D8-4FE396C57D3A}"/>
    <cellStyle name="Título 3 21" xfId="3920" xr:uid="{2935EFDB-530F-4138-8F48-82D72AE4709A}"/>
    <cellStyle name="Título 3 22" xfId="3921" xr:uid="{20BF07B8-5E13-43EB-B546-721BD72B422E}"/>
    <cellStyle name="Título 3 22 2" xfId="3922" xr:uid="{BAB27825-AEC9-41F8-AAD8-F34F9B4F4359}"/>
    <cellStyle name="Título 3 22 3" xfId="3923" xr:uid="{1CC6C013-ACFB-452B-B1B7-9378CBD6D2B2}"/>
    <cellStyle name="Título 3 23" xfId="3924" xr:uid="{5667D42B-D3C7-41D7-A4EF-F7D9347B091D}"/>
    <cellStyle name="Título 3 3" xfId="3925" xr:uid="{5A7D143A-EB50-42E5-88C4-F141B0A447ED}"/>
    <cellStyle name="Título 3 3 2" xfId="3926" xr:uid="{A1A25C52-F3A6-4E97-A1A3-795EAC29F3D4}"/>
    <cellStyle name="Título 3 3 2 2" xfId="3927" xr:uid="{0BE7AF59-AD19-42D5-B151-C888995CAB5D}"/>
    <cellStyle name="Título 3 3 2 3" xfId="3928" xr:uid="{350D4CCC-644D-4F0F-838D-459FDA4305B0}"/>
    <cellStyle name="Título 3 3 3" xfId="3929" xr:uid="{EE030DC7-00E0-46C3-AC0C-95B110CBBFC0}"/>
    <cellStyle name="Título 3 3 4" xfId="3930" xr:uid="{F5F57944-0DAE-4B57-BAFA-DEE39E9535F9}"/>
    <cellStyle name="Título 3 3 5" xfId="3931" xr:uid="{1D169131-E78B-4741-8E02-A35FBCBCB4F1}"/>
    <cellStyle name="Título 3 4" xfId="3932" xr:uid="{1607EB90-7F01-4C89-AA77-C0FC2102737A}"/>
    <cellStyle name="Título 3 4 2" xfId="3933" xr:uid="{4B548047-CCFC-4828-843F-7AFCA0CE287A}"/>
    <cellStyle name="Título 3 4 2 2" xfId="3934" xr:uid="{8A5BA394-22F0-45C1-9DED-7F33EF2F91FA}"/>
    <cellStyle name="Título 3 4 2 3" xfId="3935" xr:uid="{43255A1A-3820-4C91-95A9-127FC87E5504}"/>
    <cellStyle name="Título 3 4 3" xfId="3936" xr:uid="{DCF4DA93-6F17-4845-9CAB-D9E7D08BB3B3}"/>
    <cellStyle name="Título 3 4 4" xfId="3937" xr:uid="{897C3354-BD6E-4FE1-8C60-C05FB14AEF37}"/>
    <cellStyle name="Título 3 5" xfId="3938" xr:uid="{505DAC02-5786-4885-81C4-DDF22F4BB0AF}"/>
    <cellStyle name="Título 3 5 2" xfId="3939" xr:uid="{F2D18AB3-92F5-47C0-95E8-BF8627840A4C}"/>
    <cellStyle name="Título 3 5 2 2" xfId="3940" xr:uid="{210F8155-7CAC-43F2-9F44-165A995077F5}"/>
    <cellStyle name="Título 3 5 2 3" xfId="3941" xr:uid="{440E5B2F-39F7-46FF-9219-CBB9D97CE8D6}"/>
    <cellStyle name="Título 3 5 3" xfId="3942" xr:uid="{8645786B-9193-4130-9805-C6C459A7462A}"/>
    <cellStyle name="Título 3 5 4" xfId="3943" xr:uid="{0D3EC5AC-1DE0-4835-8ED4-0DD37A301B91}"/>
    <cellStyle name="Título 3 6" xfId="3944" xr:uid="{E81E4E8F-284D-4A0A-82DC-D8CBD4F2F738}"/>
    <cellStyle name="Título 3 6 2" xfId="3945" xr:uid="{1F7F6E74-9ECD-496E-899C-13544A2AFD02}"/>
    <cellStyle name="Título 3 6 2 2" xfId="3946" xr:uid="{E533FCEA-109F-4B31-9BE6-76F903FDB65B}"/>
    <cellStyle name="Título 3 6 2 3" xfId="3947" xr:uid="{0098C6D1-73A9-4C61-A19D-13A19150DBBA}"/>
    <cellStyle name="Título 3 6 3" xfId="3948" xr:uid="{DCBBB809-EFEC-4DB0-B8EF-0429B3897EF3}"/>
    <cellStyle name="Título 3 6 4" xfId="3949" xr:uid="{B39892F1-4523-4CE8-8345-0F8712CEE98C}"/>
    <cellStyle name="Título 3 7" xfId="3950" xr:uid="{2FC7215F-F416-490A-83C3-2F33CC733BEB}"/>
    <cellStyle name="Título 3 7 2" xfId="3951" xr:uid="{70ABC79B-B268-4FC3-A001-25FADCCA4DBF}"/>
    <cellStyle name="Título 3 7 2 2" xfId="3952" xr:uid="{059D82B4-286C-4230-9AB0-3400478F429C}"/>
    <cellStyle name="Título 3 7 2 3" xfId="3953" xr:uid="{D68BD610-3D79-4E5D-983C-32439F3441C4}"/>
    <cellStyle name="Título 3 7 3" xfId="3954" xr:uid="{1E9BBB06-79C5-4FE3-B3ED-DF3F444C3ACD}"/>
    <cellStyle name="Título 3 7 4" xfId="3955" xr:uid="{5914B60D-611C-4AB6-B20A-B96DDB6B9019}"/>
    <cellStyle name="Título 3 8" xfId="3956" xr:uid="{01E36D52-08A2-4F29-A029-3038A434FDB0}"/>
    <cellStyle name="Título 3 8 2" xfId="3957" xr:uid="{01F008FB-2B22-4D36-9257-2F6CA6A6222A}"/>
    <cellStyle name="Título 3 8 2 2" xfId="3958" xr:uid="{A6DF1956-D97D-47B1-B8B8-2C5508F73F50}"/>
    <cellStyle name="Título 3 8 2 3" xfId="3959" xr:uid="{77644249-E243-4038-B66B-B48DCDF30A1F}"/>
    <cellStyle name="Título 3 8 3" xfId="3960" xr:uid="{9E079CC6-886E-419C-AC6E-F7F7F9DC7830}"/>
    <cellStyle name="Título 3 8 4" xfId="3961" xr:uid="{FB3BEE34-AD40-43B0-8B88-C8BDB2A86961}"/>
    <cellStyle name="Título 3 9" xfId="3962" xr:uid="{6E19995C-1D2F-40F3-BF92-83163A7EBA37}"/>
    <cellStyle name="Título 3 9 2" xfId="3963" xr:uid="{2A64BFA3-3127-4C76-80D8-70B77830FC7F}"/>
    <cellStyle name="Título 3 9 2 2" xfId="3964" xr:uid="{5777A8A2-0DF6-494D-972C-4A71CAAA2F3D}"/>
    <cellStyle name="Título 3 9 2 3" xfId="3965" xr:uid="{78D93ED7-3EAE-4447-B3FB-60EF6E09AD6F}"/>
    <cellStyle name="Título 3 9 3" xfId="3966" xr:uid="{DA61B8F0-2C8E-448C-8000-2401A239CD41}"/>
    <cellStyle name="Título 3 9 4" xfId="3967" xr:uid="{16245B80-E572-445C-B098-2048CED390D9}"/>
    <cellStyle name="Título 4" xfId="3968" xr:uid="{3497380E-BFEE-4652-ACC0-C3135F88C697}"/>
    <cellStyle name="Título 5" xfId="3969" xr:uid="{2857836C-5E54-4E16-9E21-7C3D5D8B5820}"/>
    <cellStyle name="Título 6" xfId="3970" xr:uid="{FBA99BFB-ECE4-4A1A-A09C-DAF010F2CE6E}"/>
    <cellStyle name="Título 7" xfId="3971" xr:uid="{A4352165-86AA-4A8E-A1CE-0D3A674F5B79}"/>
    <cellStyle name="Título 8" xfId="3972" xr:uid="{84AECD3C-2716-4798-BD12-688F252B9C67}"/>
    <cellStyle name="Título 9" xfId="3973" xr:uid="{9A1F919B-4DB7-4438-9260-17289F6E5F00}"/>
    <cellStyle name="titulomov" xfId="3974" xr:uid="{4A00410B-F399-4B1B-B8B3-F205F29AA864}"/>
    <cellStyle name="Todos" xfId="3975" xr:uid="{C731C182-839D-4E23-881B-52D4639EEDF6}"/>
    <cellStyle name="Total" xfId="85" builtinId="25" customBuiltin="1"/>
    <cellStyle name="Total 10" xfId="3976" xr:uid="{842F3D24-2015-49C0-9183-F744F6074EDE}"/>
    <cellStyle name="Total 10 2" xfId="3977" xr:uid="{A6654BF2-F32D-4FFA-A9B1-1AF642033761}"/>
    <cellStyle name="Total 10 2 2" xfId="3978" xr:uid="{7C107648-072C-4686-BCFD-07FD5535F61B}"/>
    <cellStyle name="Total 10 3" xfId="3979" xr:uid="{78AD6D6B-9467-4F16-A723-F9456914B29C}"/>
    <cellStyle name="Total 10 3 2" xfId="3980" xr:uid="{10BB59D8-283F-48C1-9BFD-CCB1C26642FA}"/>
    <cellStyle name="Total 10 3 3" xfId="3981" xr:uid="{1E2295B6-B2B6-4720-9A2A-328DA7BBCA1D}"/>
    <cellStyle name="Total 11" xfId="3982" xr:uid="{15969A95-7DEF-4974-8B98-05525411DA31}"/>
    <cellStyle name="Total 11 2" xfId="3983" xr:uid="{5E126B30-8687-49CD-BFED-7724E416F004}"/>
    <cellStyle name="Total 11 2 2" xfId="3984" xr:uid="{BE8EB045-1C79-4219-A6FA-A18E790DBD36}"/>
    <cellStyle name="Total 11 3" xfId="3985" xr:uid="{6162EFF3-A22D-4C46-B42A-88F75B0CAD25}"/>
    <cellStyle name="Total 11 3 2" xfId="3986" xr:uid="{E8612537-21B9-4173-8C43-5D39981BE891}"/>
    <cellStyle name="Total 11 3 3" xfId="3987" xr:uid="{C24A658D-2A29-4F4B-8D60-0834AE4F18DE}"/>
    <cellStyle name="Total 12" xfId="3988" xr:uid="{C5D9CD04-F515-432C-9914-A193AC7E85BA}"/>
    <cellStyle name="Total 12 2" xfId="3989" xr:uid="{D98351A1-EF59-4E86-BA7D-41491CAA22E0}"/>
    <cellStyle name="Total 12 2 2" xfId="3990" xr:uid="{67679945-92A7-4E82-A33D-3DE15DE9902E}"/>
    <cellStyle name="Total 12 3" xfId="3991" xr:uid="{7D817BCF-B4A0-4E54-9608-F1CB69308A77}"/>
    <cellStyle name="Total 12 3 2" xfId="3992" xr:uid="{A7691BD3-5382-4899-9704-EE1EC78F79E9}"/>
    <cellStyle name="Total 12 3 3" xfId="3993" xr:uid="{24DC2B2F-BBEA-44AF-BD68-17E42F79BBE3}"/>
    <cellStyle name="Total 13" xfId="3994" xr:uid="{4BA629B2-E42B-4F2D-9C6B-58C4B88AE0CF}"/>
    <cellStyle name="Total 13 2" xfId="3995" xr:uid="{830B5DEC-6BFC-497C-88DC-52AF37A7FFC0}"/>
    <cellStyle name="Total 13 2 2" xfId="3996" xr:uid="{F1FA55E4-3C0A-4669-937E-8E94D869F652}"/>
    <cellStyle name="Total 13 3" xfId="3997" xr:uid="{E4E3753A-59E6-4B14-B8B8-8430DE69FF76}"/>
    <cellStyle name="Total 13 3 2" xfId="3998" xr:uid="{2F75BDD7-26E4-46C7-BEA9-3CB066A5D72C}"/>
    <cellStyle name="Total 13 3 3" xfId="3999" xr:uid="{670AA358-436E-44E1-8553-041258B50815}"/>
    <cellStyle name="Total 14" xfId="4000" xr:uid="{25F805D0-0367-4727-9943-F496B99708C4}"/>
    <cellStyle name="Total 14 2" xfId="4001" xr:uid="{34CF373B-03AE-4E90-8CD9-9F33327BF3F3}"/>
    <cellStyle name="Total 14 2 2" xfId="4002" xr:uid="{8FD43AD4-5045-45D2-88AD-D24E4D554968}"/>
    <cellStyle name="Total 14 3" xfId="4003" xr:uid="{EE39FCA5-1821-4EAE-B5FE-9ECFFDE6C93C}"/>
    <cellStyle name="Total 14 3 2" xfId="4004" xr:uid="{4B58321B-0581-4FFB-862F-FD65CE2A399C}"/>
    <cellStyle name="Total 14 3 3" xfId="4005" xr:uid="{932454D3-4CDD-4B5C-8BF4-C46118AD83C0}"/>
    <cellStyle name="Total 15" xfId="4006" xr:uid="{9D8559EF-8E1D-4484-8057-BAE9325F1EE0}"/>
    <cellStyle name="Total 15 2" xfId="4007" xr:uid="{2BC6ABC1-AFC1-408C-8C9A-214A40F77B64}"/>
    <cellStyle name="Total 15 2 2" xfId="4008" xr:uid="{44EDA325-A788-475D-85E9-839D8107B296}"/>
    <cellStyle name="Total 15 3" xfId="4009" xr:uid="{AAE7BEE4-EC25-4B8A-89DB-69A4D1530FA7}"/>
    <cellStyle name="Total 15 3 2" xfId="4010" xr:uid="{80452560-7E0A-46AC-83C7-FD00F148E177}"/>
    <cellStyle name="Total 15 3 3" xfId="4011" xr:uid="{33BB2743-9D79-4132-AACF-5BF23D36A32D}"/>
    <cellStyle name="Total 16" xfId="4012" xr:uid="{E9193FB7-BBAF-4A76-A2D0-BEA9B68163C0}"/>
    <cellStyle name="Total 16 2" xfId="4013" xr:uid="{7696959B-8C6B-406D-B5CF-88A039E3A006}"/>
    <cellStyle name="Total 16 2 2" xfId="4014" xr:uid="{07666CFB-BBC8-40DC-ADE2-F2ECA87180C0}"/>
    <cellStyle name="Total 16 3" xfId="4015" xr:uid="{3C4BF068-0797-461F-B118-9641A80858CF}"/>
    <cellStyle name="Total 16 3 2" xfId="4016" xr:uid="{86CCBA4F-C6D9-4AB2-BA75-1DE186A73082}"/>
    <cellStyle name="Total 16 3 3" xfId="4017" xr:uid="{8D44E3D7-7177-4F86-A436-36C872164F38}"/>
    <cellStyle name="Total 17" xfId="4018" xr:uid="{7613D7F7-C429-44B0-9442-A833297BA7C2}"/>
    <cellStyle name="Total 17 2" xfId="4019" xr:uid="{4681F8BF-C814-47ED-ABB6-835BE467A1A0}"/>
    <cellStyle name="Total 17 2 2" xfId="4020" xr:uid="{9BA55F9C-515D-47E2-A2BE-7C3D51733109}"/>
    <cellStyle name="Total 17 3" xfId="4021" xr:uid="{66FD71FB-A494-43E9-A15B-6C8B6E0925C4}"/>
    <cellStyle name="Total 17 3 2" xfId="4022" xr:uid="{CCCEC64C-3467-48DA-912B-236C3F21DEA1}"/>
    <cellStyle name="Total 17 3 3" xfId="4023" xr:uid="{7A06655A-5290-4D99-9ABF-2DC4811A59A9}"/>
    <cellStyle name="Total 18" xfId="4024" xr:uid="{6F6CFC3D-0846-46A9-A350-84E66B8D6C23}"/>
    <cellStyle name="Total 18 2" xfId="4025" xr:uid="{D36A4218-3D98-497D-8D9D-59AA6405CEFD}"/>
    <cellStyle name="Total 18 2 2" xfId="4026" xr:uid="{D8B3C143-3271-4D37-8BFE-1B8A004B1962}"/>
    <cellStyle name="Total 18 3" xfId="4027" xr:uid="{320EE550-2166-42A0-8DA8-D5AF4DDE4DE9}"/>
    <cellStyle name="Total 18 3 2" xfId="4028" xr:uid="{D323C6A1-A731-43DD-B333-3F0DACAECAD8}"/>
    <cellStyle name="Total 18 3 3" xfId="4029" xr:uid="{D7564398-3E5C-4597-8D51-FCF081E70ACE}"/>
    <cellStyle name="Total 19" xfId="4030" xr:uid="{590FE95A-6F71-4E17-A11B-4F97991DFAAE}"/>
    <cellStyle name="Total 19 2" xfId="4031" xr:uid="{8B669FE6-3D0B-438A-81B3-557A61212908}"/>
    <cellStyle name="Total 19 2 2" xfId="4032" xr:uid="{2AB630AD-3D2F-4829-97E2-167079CB3B01}"/>
    <cellStyle name="Total 19 3" xfId="4033" xr:uid="{17A68637-C343-4E08-8CF4-6CAF5E18ABEA}"/>
    <cellStyle name="Total 19 3 2" xfId="4034" xr:uid="{49FA8468-F31F-4F6A-AB17-0E22E287407D}"/>
    <cellStyle name="Total 19 3 3" xfId="4035" xr:uid="{37203697-AD3D-4AA2-A647-D29CAF958026}"/>
    <cellStyle name="Total 2" xfId="41" xr:uid="{9C187C17-8347-4FCA-B3A5-51CBE4AD3E9A}"/>
    <cellStyle name="Total 2 2" xfId="4037" xr:uid="{908C987D-F353-4134-B8C0-F86A06BF51EB}"/>
    <cellStyle name="Total 2 2 2" xfId="4038" xr:uid="{CCB9B9D8-011A-45E4-AF1F-65FE04567C7C}"/>
    <cellStyle name="Total 2 2 2 2" xfId="4039" xr:uid="{9F0F6C9F-88F7-4C15-9988-577DD8F0766A}"/>
    <cellStyle name="Total 2 2 3" xfId="4040" xr:uid="{39B39EB7-47E3-49A1-9273-2C7FDF603777}"/>
    <cellStyle name="Total 2 2 3 2" xfId="4041" xr:uid="{B05B1547-9C79-4E7C-B822-6EE57E91FD22}"/>
    <cellStyle name="Total 2 2 3 3" xfId="4042" xr:uid="{78D117C4-745E-49C3-8D47-5207C3390F9F}"/>
    <cellStyle name="Total 2 2 4" xfId="4043" xr:uid="{E241284F-0FD8-4295-A926-367A96FBD6A5}"/>
    <cellStyle name="Total 2 3" xfId="4044" xr:uid="{536F0885-ACD0-4D44-AA0B-ABC65645F1A4}"/>
    <cellStyle name="Total 2 3 2" xfId="4045" xr:uid="{832211A0-3FEC-4C32-85E7-A232F609D657}"/>
    <cellStyle name="Total 2 4" xfId="4046" xr:uid="{124A632A-C1FE-49DF-953A-496E67BDC331}"/>
    <cellStyle name="Total 2 4 2" xfId="4047" xr:uid="{1B806894-47E6-4D09-A19B-145E7321D467}"/>
    <cellStyle name="Total 2 4 3" xfId="4048" xr:uid="{571F3D78-3700-4411-9824-D72BA9968FE4}"/>
    <cellStyle name="Total 2 5" xfId="4049" xr:uid="{1F211A05-6C52-4D5F-B242-6EA7577993E4}"/>
    <cellStyle name="Total 2 6" xfId="4036" xr:uid="{E6140FCD-37BD-46E1-AC07-F3A116E2E785}"/>
    <cellStyle name="Total 20" xfId="4050" xr:uid="{E4B43C1C-E05E-4F2A-9D0E-12017F05ABC2}"/>
    <cellStyle name="Total 20 2" xfId="4051" xr:uid="{EB081424-304B-4F14-94D3-8A1C026AE354}"/>
    <cellStyle name="Total 20 2 2" xfId="4052" xr:uid="{31C2D719-2A5C-4751-9E10-5E637F6D2958}"/>
    <cellStyle name="Total 20 3" xfId="4053" xr:uid="{289F4D1F-D9E5-42A2-A6BC-63FEF6AFE1A3}"/>
    <cellStyle name="Total 20 3 2" xfId="4054" xr:uid="{BF333AF8-5438-4565-AEE8-F918BB61A494}"/>
    <cellStyle name="Total 20 3 3" xfId="4055" xr:uid="{DED5758A-3672-4045-BAA0-F498FBB5F9B0}"/>
    <cellStyle name="Total 21" xfId="4056" xr:uid="{87E0CED7-74BC-404B-8DA1-D9938E183DC8}"/>
    <cellStyle name="Total 22" xfId="4057" xr:uid="{6FB7E931-FA64-4855-A59D-764B436604E9}"/>
    <cellStyle name="Total 22 2" xfId="4058" xr:uid="{4217EF2A-56E7-4F3F-A2A3-20BCB5FC703B}"/>
    <cellStyle name="Total 23" xfId="4059" xr:uid="{42778996-F4F1-4E88-9355-7976C59BA900}"/>
    <cellStyle name="Total 3" xfId="4060" xr:uid="{948C6102-32D0-403D-BB6D-EB8AFE5C65FC}"/>
    <cellStyle name="Total 3 2" xfId="4061" xr:uid="{FBAC2043-EA2F-4F7C-AF45-1514168723B2}"/>
    <cellStyle name="Total 3 2 2" xfId="4062" xr:uid="{6333C149-DEB0-45E0-862E-D4197F80B872}"/>
    <cellStyle name="Total 3 3" xfId="4063" xr:uid="{A7586664-8360-4826-AC16-9A30D42D82AA}"/>
    <cellStyle name="Total 3 3 2" xfId="4064" xr:uid="{2C0A4A39-52BE-4B93-BD7E-BF623DE83885}"/>
    <cellStyle name="Total 3 3 3" xfId="4065" xr:uid="{31724C9C-3216-4093-AFD6-F3ACCE0281BE}"/>
    <cellStyle name="Total 3 4" xfId="4066" xr:uid="{66C774F7-8C7E-4125-A54A-38C31935B9AC}"/>
    <cellStyle name="Total 4" xfId="4067" xr:uid="{7C94442B-A1E7-4F18-80D4-5C8B3E6C5044}"/>
    <cellStyle name="Total 4 2" xfId="4068" xr:uid="{0E59F5B3-6A2C-49B1-8DF8-7B6996164A9E}"/>
    <cellStyle name="Total 4 2 2" xfId="4069" xr:uid="{2F978BDC-3C67-4ED3-A967-9EB8B8BF5173}"/>
    <cellStyle name="Total 4 3" xfId="4070" xr:uid="{66417FC9-B67B-4A88-93F0-67C57B37DC33}"/>
    <cellStyle name="Total 4 3 2" xfId="4071" xr:uid="{22AFEDDE-D0BB-4F61-9484-B2E2644E7C1D}"/>
    <cellStyle name="Total 4 3 3" xfId="4072" xr:uid="{C39AFA9B-67EF-40DA-B880-1593FDD642D7}"/>
    <cellStyle name="Total 5" xfId="4073" xr:uid="{453194A3-1ED0-43C6-9494-3B6E138E89F4}"/>
    <cellStyle name="Total 5 2" xfId="4074" xr:uid="{47E69143-B2F2-406F-AFFE-4775CA72725E}"/>
    <cellStyle name="Total 5 2 2" xfId="4075" xr:uid="{98D1CEDD-4E47-4F5C-A6ED-7105258E3F4D}"/>
    <cellStyle name="Total 5 3" xfId="4076" xr:uid="{6E06F2C8-47BB-42A2-AC39-24A757AD4932}"/>
    <cellStyle name="Total 5 3 2" xfId="4077" xr:uid="{61D8CD5E-08EE-4D8F-86D2-B617F1A5E87D}"/>
    <cellStyle name="Total 5 3 3" xfId="4078" xr:uid="{2991769B-C355-406C-9393-D0AE709E44BB}"/>
    <cellStyle name="Total 6" xfId="4079" xr:uid="{47566E4F-5E1E-4022-BF0A-DFF09F63AD24}"/>
    <cellStyle name="Total 6 2" xfId="4080" xr:uid="{AAF10A8A-BA76-4C93-9106-61EFE0C8BED5}"/>
    <cellStyle name="Total 6 2 2" xfId="4081" xr:uid="{BA5FCBC0-4D7A-46F7-B8D2-87DEF61C71F3}"/>
    <cellStyle name="Total 6 3" xfId="4082" xr:uid="{5955BE06-1B58-4979-9520-F9D1F209C0E9}"/>
    <cellStyle name="Total 6 3 2" xfId="4083" xr:uid="{0C90923C-4555-44F1-B89A-A7B61B270715}"/>
    <cellStyle name="Total 6 3 3" xfId="4084" xr:uid="{87F03FE6-1C5A-4669-A55B-C13AB86C4993}"/>
    <cellStyle name="Total 7" xfId="4085" xr:uid="{55D51D48-48D7-4FBC-8DDD-CECFC78B21C0}"/>
    <cellStyle name="Total 7 2" xfId="4086" xr:uid="{6D773D45-A732-492E-99C8-7518ADD07217}"/>
    <cellStyle name="Total 7 2 2" xfId="4087" xr:uid="{CC69C4C5-9B01-4831-8DE0-DC4307C2FC80}"/>
    <cellStyle name="Total 7 3" xfId="4088" xr:uid="{B7DC79F1-2E8E-438A-B011-5534A7DAAC5F}"/>
    <cellStyle name="Total 7 3 2" xfId="4089" xr:uid="{93DCC441-EF3F-407F-AD64-6B112C102B80}"/>
    <cellStyle name="Total 7 3 3" xfId="4090" xr:uid="{D2114C08-10DF-4284-8DFF-0CDF461B5834}"/>
    <cellStyle name="Total 8" xfId="4091" xr:uid="{7A5A9988-4A53-452E-BAD1-A62D87595E71}"/>
    <cellStyle name="Total 8 2" xfId="4092" xr:uid="{2330869D-36B9-4A0A-90B5-26A2017A08AA}"/>
    <cellStyle name="Total 8 2 2" xfId="4093" xr:uid="{F8E41223-5D83-4360-9639-A3D3E88526D3}"/>
    <cellStyle name="Total 8 3" xfId="4094" xr:uid="{4B7A8831-D29B-44DC-BAF6-23B685A6FD1D}"/>
    <cellStyle name="Total 8 3 2" xfId="4095" xr:uid="{D737ECC5-B7D8-47B4-BB75-547F86D39CD3}"/>
    <cellStyle name="Total 8 3 2 2" xfId="4096" xr:uid="{A11DDF13-1FAC-424B-9CB0-284072888BDE}"/>
    <cellStyle name="Total 8 3 3" xfId="4097" xr:uid="{9D16C593-A4BA-41BF-8BCA-26835FA03E65}"/>
    <cellStyle name="Total 8 3 3 2" xfId="4098" xr:uid="{A4B7EF40-E592-4ACB-AD66-D9A6272AB5A5}"/>
    <cellStyle name="Total 9" xfId="4099" xr:uid="{4686C0A2-7B64-4A9C-A810-1F3796E2CC4C}"/>
    <cellStyle name="Total 9 2" xfId="4100" xr:uid="{AB76CF78-9752-463D-B28B-FC7204E218C0}"/>
    <cellStyle name="Total 9 2 2" xfId="4101" xr:uid="{E4175C8A-272D-4B85-AC68-750F8A5DB3AE}"/>
    <cellStyle name="Total 9 2 2 2" xfId="4102" xr:uid="{3416C2D8-5DC7-4B31-BCA1-C3DDF4A52CB1}"/>
    <cellStyle name="Total 9 2 3" xfId="4103" xr:uid="{AAA09223-F0D5-4854-A4E9-27E620FB7DD9}"/>
    <cellStyle name="Total 9 3" xfId="4104" xr:uid="{ED3B8CEA-6474-46A6-B60F-5F8E3A5247B3}"/>
    <cellStyle name="Total 9 3 2" xfId="4105" xr:uid="{68D249DD-681F-4B61-B73F-76BECA1CF170}"/>
    <cellStyle name="Total 9 3 2 2" xfId="4106" xr:uid="{15340D9A-037C-4349-B282-264AFF4299E9}"/>
    <cellStyle name="Total 9 3 3" xfId="4107" xr:uid="{7D8E2783-72FD-4FCD-9C52-CE2B50878C96}"/>
    <cellStyle name="Total 9 3 3 2" xfId="4108" xr:uid="{492D85A4-DCC0-49AE-86A9-5A34723E41EB}"/>
    <cellStyle name="Total 9 3 4" xfId="4109" xr:uid="{9FD8ECCF-94BF-47FC-A1A5-8F05A2A4CDCD}"/>
    <cellStyle name="Total 9 4" xfId="4110" xr:uid="{2FF7A2C9-51BE-4E01-9338-0939EE9F2F0E}"/>
    <cellStyle name="totalbalan" xfId="4111" xr:uid="{53FF33C4-2639-4A71-9060-07CF46B6A1F8}"/>
    <cellStyle name="totalbalan 2" xfId="4112" xr:uid="{44885095-2822-4C1B-8117-D2406E82E499}"/>
    <cellStyle name="Vírgula 2" xfId="4113" xr:uid="{C87ED364-BB91-40B8-8C35-AC57B27D5BDC}"/>
    <cellStyle name="Vírgula 2 2" xfId="4114" xr:uid="{C7E73D73-6C21-46FF-ADB5-8200044C822E}"/>
    <cellStyle name="Vírgula 3" xfId="4115" xr:uid="{87683A17-92B9-4A5D-899E-714EDE4B1409}"/>
    <cellStyle name="Vírgula 3 2" xfId="4116" xr:uid="{0FB8280A-B246-42E0-9E23-91581CB8FEAA}"/>
    <cellStyle name="Vírgula 4" xfId="4117" xr:uid="{94392148-6985-4D46-942F-679B9B88B123}"/>
    <cellStyle name="Vírgula 4 2" xfId="4118" xr:uid="{1D574821-A468-4283-8AB5-F42DC5E664BD}"/>
    <cellStyle name="Vírgula 4 2 2" xfId="4119" xr:uid="{6006854C-48F2-4981-A9E4-05F5606AE283}"/>
    <cellStyle name="Vírgula 4 3" xfId="4120" xr:uid="{02FEA3E5-E939-46D3-8E5F-4C9AAEAF1AD1}"/>
    <cellStyle name="Vírgula 4 3 2" xfId="4121" xr:uid="{F0553325-D13D-48CE-8DB2-29CEBD4E0B5F}"/>
    <cellStyle name="Vírgula 4 3 3" xfId="4122" xr:uid="{3DF93923-27DD-4A18-AE77-BDC9552BC5CE}"/>
    <cellStyle name="Vírgula 4 4" xfId="4123" xr:uid="{0B588A35-1348-498C-8854-6F1B18C3A406}"/>
    <cellStyle name="Vírgula 4 4 2" xfId="4124" xr:uid="{2ED05772-804E-42DA-8E1C-C97830E0DE2A}"/>
    <cellStyle name="Vírgula 4 4 2 2" xfId="4125" xr:uid="{07C77855-4759-4F3B-BD71-52261462F827}"/>
    <cellStyle name="Vírgula 4 4 3" xfId="4126" xr:uid="{54C589B5-9953-4B5F-A229-A0335A34FD76}"/>
    <cellStyle name="Vírgula 4 4 4" xfId="4127" xr:uid="{7AF5AA81-76B4-4425-926D-A473049B87A5}"/>
    <cellStyle name="Vírgula 4 5" xfId="4128" xr:uid="{77D66279-9184-4096-B555-2DDE2B152F59}"/>
    <cellStyle name="Vírgula 4 5 2" xfId="4129" xr:uid="{E618DBFE-A853-42F1-B57C-5DA7FB71C00B}"/>
    <cellStyle name="Vírgula 4 5 2 2" xfId="4130" xr:uid="{40F397E9-0777-4D7F-85B8-626602B38AD1}"/>
    <cellStyle name="Vírgula 4 5 2 3" xfId="4131" xr:uid="{05B6555E-7999-4D69-AC60-9B4290A3A19A}"/>
    <cellStyle name="Vírgula 4 5 3" xfId="4132" xr:uid="{F075AC80-D020-400E-8BCA-FC6BB72C1E3F}"/>
    <cellStyle name="Vírgula 4 5 4" xfId="4133" xr:uid="{29C47133-1317-4BB5-ABF9-2CFABC494996}"/>
    <cellStyle name="Vírgula 4 6" xfId="4134" xr:uid="{E0A16D06-BB46-416E-8AC4-9CF85E6551EF}"/>
    <cellStyle name="Vírgula 4 7" xfId="4135" xr:uid="{E2E65E03-F6F8-4192-954B-8AA60368C4DC}"/>
    <cellStyle name="Warning Text" xfId="83" builtinId="11" customBuiltin="1"/>
    <cellStyle name="Warning Text 2" xfId="39" xr:uid="{76DE226C-1E50-44B2-BBD1-EFBBCA097654}"/>
    <cellStyle name="Warning Text 2 2" xfId="4136" xr:uid="{00332169-ED05-4A3C-AF49-388EE75B8EB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Drop" dropStyle="combo" dx="39" fmlaLink="$A$4" fmlaRange="$A$5:$A$7" noThreeD="1" sel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9" t="6565" r="4012" b="6338"/>
        <a:stretch/>
      </xdr:blipFill>
      <xdr:spPr>
        <a:xfrm>
          <a:off x="3628275" y="7962900"/>
          <a:ext cx="1400925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19050</xdr:colOff>
          <xdr:row>3</xdr:row>
          <xdr:rowOff>0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</xdr:colOff>
      <xdr:row>62</xdr:row>
      <xdr:rowOff>15240</xdr:rowOff>
    </xdr:from>
    <xdr:to>
      <xdr:col>8</xdr:col>
      <xdr:colOff>76200</xdr:colOff>
      <xdr:row>75</xdr:row>
      <xdr:rowOff>145693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840" y="6979920"/>
          <a:ext cx="5463540" cy="2495918"/>
        </a:xfrm>
        <a:prstGeom prst="rect">
          <a:avLst/>
        </a:prstGeom>
      </xdr:spPr>
    </xdr:pic>
    <xdr:clientData/>
  </xdr:twoCellAnchor>
  <xdr:twoCellAnchor editAs="oneCell">
    <xdr:from>
      <xdr:col>8</xdr:col>
      <xdr:colOff>300958</xdr:colOff>
      <xdr:row>62</xdr:row>
      <xdr:rowOff>41399</xdr:rowOff>
    </xdr:from>
    <xdr:to>
      <xdr:col>15</xdr:col>
      <xdr:colOff>235318</xdr:colOff>
      <xdr:row>77</xdr:row>
      <xdr:rowOff>86465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27479" y="11573853"/>
          <a:ext cx="5306910" cy="283161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Vahid Aryanpur" id="{4A3ACF47-1851-4D1B-9F96-7F3B13E0B2BE}" userId="bcf850925e8c42cd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8" dT="2023-10-03T14:05:42.13" personId="{4A3ACF47-1851-4D1B-9F96-7F3B13E0B2BE}" id="{39F88E30-94DE-4149-8FC0-41BD81F323F5}">
    <text>CAP 2023</text>
  </threadedComment>
  <threadedComment ref="I9" dT="2023-10-03T14:04:21.81" personId="{4A3ACF47-1851-4D1B-9F96-7F3B13E0B2BE}" id="{EB3DCB1B-8982-4D24-8304-DBCBE04F3479}">
    <text>CLIMATE ACTION PLAN 2023
CAP23, Page 129</text>
  </threadedComment>
  <threadedComment ref="I41" dT="2023-10-03T14:51:58.12" personId="{4A3ACF47-1851-4D1B-9F96-7F3B13E0B2BE}" id="{C3394AD6-E865-4488-B7C2-96AE6AE9F254}">
    <text>CAP 2023</text>
  </threadedComment>
  <threadedComment ref="I42" dT="2023-10-03T14:52:11.99" personId="{4A3ACF47-1851-4D1B-9F96-7F3B13E0B2BE}" id="{122B1FEC-CDFA-43B1-9578-EE77FA507220}">
    <text>CAP 2023</text>
  </threadedComment>
  <threadedComment ref="I43" dT="2023-10-03T14:52:20.09" personId="{4A3ACF47-1851-4D1B-9F96-7F3B13E0B2BE}" id="{5F60B11B-92F4-4362-8C85-12A98901D200}">
    <text>CAP 2023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cms.eirgrid.ie/sites/default/files/publications/19035-EirGrid-Generation-Capacity-Statement-Combined-2023-V5-Jan-2024.pdf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so.ie/en/releasesandpublications/ep/p-vlftm/vehicleslicensedforthefirsttimedecemberandyear202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DA532-7D5D-4233-BA89-FC4C950C7D0C}">
  <sheetPr codeName="Sheet11"/>
  <dimension ref="A1:Z99"/>
  <sheetViews>
    <sheetView showGridLines="0" zoomScaleNormal="100" workbookViewId="0"/>
  </sheetViews>
  <sheetFormatPr defaultColWidth="8.81640625" defaultRowHeight="14.5"/>
  <cols>
    <col min="1" max="4" width="21.7265625" customWidth="1"/>
    <col min="5" max="6" width="14.1796875" customWidth="1"/>
    <col min="7" max="7" width="12.1796875" customWidth="1"/>
    <col min="8" max="10" width="8.1796875" customWidth="1"/>
    <col min="11" max="11" width="9.7265625" customWidth="1"/>
    <col min="12" max="12" width="8.1796875" customWidth="1"/>
    <col min="13" max="13" width="10" customWidth="1"/>
    <col min="14" max="14" width="11.453125" customWidth="1"/>
    <col min="15" max="15" width="13.453125" customWidth="1"/>
  </cols>
  <sheetData>
    <row r="1" spans="1:26">
      <c r="A1" s="21"/>
      <c r="B1" s="21"/>
      <c r="C1" s="21"/>
      <c r="D1" s="21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>
      <c r="A2" s="21"/>
      <c r="B2" s="21"/>
      <c r="C2" s="21"/>
      <c r="D2" s="21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>
      <c r="A3" s="21"/>
      <c r="B3" s="21"/>
      <c r="C3" s="21"/>
      <c r="D3" s="21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>
      <c r="A4" s="21"/>
      <c r="B4" s="21"/>
      <c r="C4" s="21"/>
      <c r="D4" s="21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>
      <c r="A5" s="21"/>
      <c r="B5" s="21"/>
      <c r="C5" s="21"/>
      <c r="D5" s="21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>
      <c r="A6" s="21"/>
      <c r="B6" s="21"/>
      <c r="C6" s="21"/>
      <c r="D6" s="21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>
      <c r="A7" s="21"/>
      <c r="B7" s="21"/>
      <c r="C7" s="21"/>
      <c r="D7" s="21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>
      <c r="A8" s="21"/>
      <c r="B8" s="21"/>
      <c r="C8" s="21"/>
      <c r="D8" s="21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>
      <c r="A9" s="21"/>
      <c r="B9" s="21"/>
      <c r="C9" s="21"/>
      <c r="D9" s="21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>
      <c r="A10" s="21"/>
      <c r="B10" s="21"/>
      <c r="C10" s="21"/>
      <c r="D10" s="21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>
      <c r="A11" s="21"/>
      <c r="B11" s="21"/>
      <c r="C11" s="21"/>
      <c r="D11" s="21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>
      <c r="A12" s="21"/>
      <c r="B12" s="21"/>
      <c r="C12" s="21"/>
      <c r="D12" s="21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>
      <c r="A13" s="21"/>
      <c r="B13" s="21"/>
      <c r="C13" s="21"/>
      <c r="D13" s="21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>
      <c r="A14" s="21"/>
      <c r="B14" s="21"/>
      <c r="C14" s="21"/>
      <c r="D14" s="21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>
      <c r="A15" s="21"/>
      <c r="B15" s="21"/>
      <c r="C15" s="21"/>
      <c r="D15" s="21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02.75" customHeight="1">
      <c r="A16" s="89" t="s">
        <v>117</v>
      </c>
      <c r="B16" s="89"/>
      <c r="C16" s="89"/>
      <c r="D16" s="89"/>
      <c r="E16" s="23"/>
      <c r="F16" s="23"/>
      <c r="G16" s="24"/>
      <c r="H16" s="24"/>
      <c r="I16" s="24"/>
      <c r="J16" s="24"/>
      <c r="K16" s="24"/>
      <c r="L16" s="24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7.25" customHeight="1">
      <c r="A17" s="25"/>
      <c r="B17" s="25"/>
      <c r="C17" s="25"/>
      <c r="D17" s="25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7.25" customHeight="1">
      <c r="A18" s="25"/>
      <c r="B18" s="25"/>
      <c r="C18" s="25"/>
      <c r="D18" s="25"/>
      <c r="E18" s="26"/>
      <c r="F18" s="26"/>
      <c r="G18" s="27"/>
      <c r="H18" s="27"/>
      <c r="I18" s="27"/>
      <c r="J18" s="27"/>
      <c r="K18" s="27"/>
      <c r="L18" s="27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7.25" customHeight="1">
      <c r="A19" s="28" t="s">
        <v>118</v>
      </c>
      <c r="B19" s="88" t="s">
        <v>86</v>
      </c>
      <c r="C19" s="88"/>
      <c r="D19" s="88"/>
      <c r="E19" s="29"/>
      <c r="F19" s="29"/>
      <c r="G19" s="30"/>
      <c r="H19" s="30"/>
      <c r="I19" s="30"/>
      <c r="J19" s="30"/>
      <c r="K19" s="30"/>
      <c r="L19" s="30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7.25" customHeight="1">
      <c r="A20" s="28" t="s">
        <v>119</v>
      </c>
      <c r="B20" s="88" t="s">
        <v>130</v>
      </c>
      <c r="C20" s="88"/>
      <c r="D20" s="88"/>
      <c r="E20" s="29"/>
      <c r="F20" s="29"/>
      <c r="G20" s="30"/>
      <c r="H20" s="30"/>
      <c r="I20" s="30"/>
      <c r="J20" s="30"/>
      <c r="K20" s="30"/>
      <c r="L20" s="30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7.25" customHeight="1">
      <c r="A21" s="28" t="s">
        <v>120</v>
      </c>
      <c r="B21" s="31" t="s">
        <v>131</v>
      </c>
      <c r="C21" s="31"/>
      <c r="D21" s="31"/>
      <c r="E21" s="29"/>
      <c r="F21" s="29"/>
      <c r="G21" s="30"/>
      <c r="H21" s="30"/>
      <c r="I21" s="30"/>
      <c r="J21" s="30"/>
      <c r="K21" s="30"/>
      <c r="L21" s="30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7.25" customHeight="1">
      <c r="A22" s="28"/>
      <c r="B22" s="31"/>
      <c r="C22" s="31"/>
      <c r="D22" s="31"/>
      <c r="E22" s="29"/>
      <c r="F22" s="29"/>
      <c r="G22" s="30"/>
      <c r="H22" s="30"/>
      <c r="I22" s="30"/>
      <c r="J22" s="30"/>
      <c r="K22" s="30"/>
      <c r="L22" s="30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7.25" customHeight="1">
      <c r="A23" s="28" t="s">
        <v>121</v>
      </c>
      <c r="B23" s="88" t="s">
        <v>129</v>
      </c>
      <c r="C23" s="88"/>
      <c r="D23" s="88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7.25" customHeight="1">
      <c r="A24" s="28"/>
      <c r="B24" s="31" t="s">
        <v>132</v>
      </c>
      <c r="C24" s="31"/>
      <c r="D24" s="31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7.25" customHeight="1">
      <c r="A25" s="28"/>
      <c r="B25" s="31"/>
      <c r="C25" s="31"/>
      <c r="D25" s="31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7.25" customHeight="1">
      <c r="A26" s="28" t="s">
        <v>122</v>
      </c>
      <c r="B26" s="88" t="s">
        <v>129</v>
      </c>
      <c r="C26" s="88"/>
      <c r="D26" s="88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7.25" customHeight="1">
      <c r="A27" s="28"/>
      <c r="B27" s="31"/>
      <c r="C27" s="31"/>
      <c r="D27" s="31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7.25" customHeight="1">
      <c r="A28" s="28"/>
      <c r="B28" s="31"/>
      <c r="C28" s="31"/>
      <c r="D28" s="31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7.25" customHeight="1">
      <c r="A29" s="28" t="s">
        <v>123</v>
      </c>
      <c r="B29" s="32">
        <v>1</v>
      </c>
      <c r="C29" s="31"/>
      <c r="D29" s="31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7.25" customHeight="1">
      <c r="A30" s="28" t="s">
        <v>124</v>
      </c>
      <c r="B30" s="90" t="s">
        <v>125</v>
      </c>
      <c r="C30" s="88"/>
      <c r="D30" s="88"/>
      <c r="E30" s="33"/>
      <c r="F30" s="33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7.25" customHeight="1">
      <c r="A31" s="28" t="s">
        <v>126</v>
      </c>
      <c r="B31" s="88" t="s">
        <v>127</v>
      </c>
      <c r="C31" s="88"/>
      <c r="D31" s="88"/>
      <c r="E31" s="33"/>
      <c r="F31" s="33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7.25" customHeight="1">
      <c r="A32" s="34"/>
      <c r="B32" s="35" t="s">
        <v>128</v>
      </c>
      <c r="C32" s="34"/>
      <c r="D32" s="34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>
      <c r="A33" s="21"/>
      <c r="B33" s="21"/>
      <c r="C33" s="21"/>
      <c r="D33" s="21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>
      <c r="A34" s="21"/>
      <c r="B34" s="21"/>
      <c r="C34" s="21"/>
      <c r="D34" s="21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>
      <c r="A35" s="21"/>
      <c r="B35" s="21"/>
      <c r="C35" s="21"/>
      <c r="D35" s="21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>
      <c r="A36" s="21"/>
      <c r="B36" s="21"/>
      <c r="C36" s="21"/>
      <c r="D36" s="21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>
      <c r="A37" s="21"/>
      <c r="B37" s="21"/>
      <c r="C37" s="21"/>
      <c r="D37" s="21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>
      <c r="A38" s="21"/>
      <c r="B38" s="21"/>
      <c r="C38" s="21"/>
      <c r="D38" s="21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>
      <c r="A39" s="21"/>
      <c r="B39" s="21"/>
      <c r="C39" s="21"/>
      <c r="D39" s="21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>
      <c r="A40" s="21"/>
      <c r="B40" s="21"/>
      <c r="C40" s="21"/>
      <c r="D40" s="21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>
      <c r="A41" s="21"/>
      <c r="B41" s="21"/>
      <c r="C41" s="21"/>
      <c r="D41" s="21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>
      <c r="A42" s="21"/>
      <c r="B42" s="21"/>
      <c r="C42" s="21"/>
      <c r="D42" s="21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</sheetData>
  <mergeCells count="7">
    <mergeCell ref="B31:D31"/>
    <mergeCell ref="A16:D16"/>
    <mergeCell ref="B19:D19"/>
    <mergeCell ref="B20:D20"/>
    <mergeCell ref="B23:D23"/>
    <mergeCell ref="B26:D26"/>
    <mergeCell ref="B30:D30"/>
  </mergeCells>
  <hyperlinks>
    <hyperlink ref="B30" r:id="rId1" xr:uid="{2CE21BF1-D3E8-48D4-8F64-E147F38E1E41}"/>
    <hyperlink ref="B32" r:id="rId2" xr:uid="{6825B251-CDEA-4BE2-8046-7657C95C462E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F7499-A5CE-4374-995E-DC72D788363A}">
  <sheetPr codeName="Sheet1"/>
  <dimension ref="A3:AD37"/>
  <sheetViews>
    <sheetView zoomScaleNormal="100" workbookViewId="0">
      <selection activeCell="A5" sqref="A5"/>
    </sheetView>
  </sheetViews>
  <sheetFormatPr defaultColWidth="9.1796875" defaultRowHeight="14.5"/>
  <cols>
    <col min="1" max="1" width="12.1796875" customWidth="1"/>
    <col min="2" max="2" width="11.7265625" customWidth="1"/>
    <col min="3" max="3" width="3.1796875" bestFit="1" customWidth="1"/>
    <col min="4" max="4" width="8.54296875" bestFit="1" customWidth="1"/>
    <col min="5" max="5" width="6.453125" bestFit="1" customWidth="1"/>
    <col min="6" max="6" width="4.81640625" bestFit="1" customWidth="1"/>
    <col min="7" max="7" width="5.7265625" bestFit="1" customWidth="1"/>
    <col min="8" max="8" width="5.81640625" bestFit="1" customWidth="1"/>
    <col min="9" max="9" width="5.453125" bestFit="1" customWidth="1"/>
    <col min="10" max="11" width="5.7265625" bestFit="1" customWidth="1"/>
    <col min="12" max="12" width="6.54296875" bestFit="1" customWidth="1"/>
    <col min="13" max="13" width="6.1796875" bestFit="1" customWidth="1"/>
    <col min="14" max="14" width="6.7265625" bestFit="1" customWidth="1"/>
    <col min="15" max="15" width="6.54296875" bestFit="1" customWidth="1"/>
    <col min="16" max="16" width="7.26953125" bestFit="1" customWidth="1"/>
    <col min="17" max="17" width="5.7265625" bestFit="1" customWidth="1"/>
    <col min="18" max="18" width="6.1796875" bestFit="1" customWidth="1"/>
    <col min="19" max="19" width="5.7265625" bestFit="1" customWidth="1"/>
    <col min="20" max="20" width="5.54296875" bestFit="1" customWidth="1"/>
    <col min="21" max="21" width="5.81640625" bestFit="1" customWidth="1"/>
    <col min="22" max="22" width="6.7265625" bestFit="1" customWidth="1"/>
    <col min="23" max="23" width="4.81640625" bestFit="1" customWidth="1"/>
    <col min="24" max="24" width="7.54296875" customWidth="1"/>
    <col min="25" max="25" width="6.7265625" bestFit="1" customWidth="1"/>
    <col min="26" max="26" width="6.1796875" bestFit="1" customWidth="1"/>
    <col min="27" max="28" width="6" bestFit="1" customWidth="1"/>
    <col min="29" max="29" width="5.7265625" bestFit="1" customWidth="1"/>
    <col min="30" max="30" width="6.7265625" bestFit="1" customWidth="1"/>
  </cols>
  <sheetData>
    <row r="3" spans="1:30">
      <c r="C3" s="11" t="str" cm="1">
        <f t="array" ref="C3">IF(LEFT(INDEX(C5:C7,$A$4),1)&lt;&gt;"*",INDEX(C5:C7,$A$4),"")</f>
        <v>IE</v>
      </c>
      <c r="D3" s="11" t="str" cm="1">
        <f t="array" ref="D3">IF(LEFT(INDEX(D5:D7,$A$4),1)&lt;&gt;"*",INDEX(D5:D7,$A$4),"")</f>
        <v>National</v>
      </c>
      <c r="E3" s="11" t="str" cm="1">
        <f t="array" ref="E3">IF(LEFT(INDEX(E5:E7,$A$4),1)&lt;&gt;"*",INDEX(E5:E7,$A$4),"")</f>
        <v>IE-CW</v>
      </c>
      <c r="F3" s="11" t="str" cm="1">
        <f t="array" ref="F3">IF(LEFT(INDEX(F5:F7,$A$4),1)&lt;&gt;"*",INDEX(F5:F7,$A$4),"")</f>
        <v>IE-D</v>
      </c>
      <c r="G3" s="11" t="str" cm="1">
        <f t="array" ref="G3">IF(LEFT(INDEX(G5:G7,$A$4),1)&lt;&gt;"*",INDEX(G5:G7,$A$4),"")</f>
        <v>IE-KE</v>
      </c>
      <c r="H3" s="11" t="str" cm="1">
        <f t="array" ref="H3">IF(LEFT(INDEX(H5:H7,$A$4),1)&lt;&gt;"*",INDEX(H5:H7,$A$4),"")</f>
        <v>IE-KK</v>
      </c>
      <c r="I3" s="11" t="str" cm="1">
        <f t="array" ref="I3">IF(LEFT(INDEX(I5:I7,$A$4),1)&lt;&gt;"*",INDEX(I5:I7,$A$4),"")</f>
        <v>IE-LS</v>
      </c>
      <c r="J3" s="11" t="str" cm="1">
        <f t="array" ref="J3">IF(LEFT(INDEX(J5:J7,$A$4),1)&lt;&gt;"*",INDEX(J5:J7,$A$4),"")</f>
        <v>IE-LD</v>
      </c>
      <c r="K3" s="11" t="str" cm="1">
        <f t="array" ref="K3">IF(LEFT(INDEX(K5:K7,$A$4),1)&lt;&gt;"*",INDEX(K5:K7,$A$4),"")</f>
        <v>IE-LH</v>
      </c>
      <c r="L3" s="11" t="str" cm="1">
        <f t="array" ref="L3">IF(LEFT(INDEX(L5:L7,$A$4),1)&lt;&gt;"*",INDEX(L5:L7,$A$4),"")</f>
        <v>IE-MH</v>
      </c>
      <c r="M3" s="11" t="str" cm="1">
        <f t="array" ref="M3">IF(LEFT(INDEX(M5:M7,$A$4),1)&lt;&gt;"*",INDEX(M5:M7,$A$4),"")</f>
        <v>IE-OY</v>
      </c>
      <c r="N3" s="11" t="str" cm="1">
        <f t="array" ref="N3">IF(LEFT(INDEX(N5:N7,$A$4),1)&lt;&gt;"*",INDEX(N5:N7,$A$4),"")</f>
        <v>IE-WH</v>
      </c>
      <c r="O3" s="11" t="str" cm="1">
        <f t="array" ref="O3">IF(LEFT(INDEX(O5:O7,$A$4),1)&lt;&gt;"*",INDEX(O5:O7,$A$4),"")</f>
        <v>IE-WX</v>
      </c>
      <c r="P3" s="11" t="str" cm="1">
        <f t="array" ref="P3">IF(LEFT(INDEX(P5:P7,$A$4),1)&lt;&gt;"*",INDEX(P5:P7,$A$4),"")</f>
        <v>IE-WW</v>
      </c>
      <c r="Q3" s="11" t="str" cm="1">
        <f t="array" ref="Q3">IF(LEFT(INDEX(Q5:Q7,$A$4),1)&lt;&gt;"*",INDEX(Q5:Q7,$A$4),"")</f>
        <v>IE-CE</v>
      </c>
      <c r="R3" s="11" t="str" cm="1">
        <f t="array" ref="R3">IF(LEFT(INDEX(R5:R7,$A$4),1)&lt;&gt;"*",INDEX(R5:R7,$A$4),"")</f>
        <v>IE-CO</v>
      </c>
      <c r="S3" s="11" t="str" cm="1">
        <f t="array" ref="S3">IF(LEFT(INDEX(S5:S7,$A$4),1)&lt;&gt;"*",INDEX(S5:S7,$A$4),"")</f>
        <v>IE-KY</v>
      </c>
      <c r="T3" s="11" t="str" cm="1">
        <f t="array" ref="T3">IF(LEFT(INDEX(T5:T7,$A$4),1)&lt;&gt;"*",INDEX(T5:T7,$A$4),"")</f>
        <v>IE-LK</v>
      </c>
      <c r="U3" s="11" t="str" cm="1">
        <f t="array" ref="U3">IF(LEFT(INDEX(U5:U7,$A$4),1)&lt;&gt;"*",INDEX(U5:U7,$A$4),"")</f>
        <v>IE-TA</v>
      </c>
      <c r="V3" s="11" t="str" cm="1">
        <f t="array" ref="V3">IF(LEFT(INDEX(V5:V7,$A$4),1)&lt;&gt;"*",INDEX(V5:V7,$A$4),"")</f>
        <v>IE-WD</v>
      </c>
      <c r="W3" s="11" t="str" cm="1">
        <f t="array" ref="W3">IF(LEFT(INDEX(W5:W7,$A$4),1)&lt;&gt;"*",INDEX(W5:W7,$A$4),"")</f>
        <v>IE-G</v>
      </c>
      <c r="X3" s="11" t="str" cm="1">
        <f t="array" ref="X3">IF(LEFT(INDEX(X5:X7,$A$4),1)&lt;&gt;"*",INDEX(X5:X7,$A$4),"")</f>
        <v>IE-LM</v>
      </c>
      <c r="Y3" s="11" t="str" cm="1">
        <f t="array" ref="Y3">IF(LEFT(INDEX(Y5:Y7,$A$4),1)&lt;&gt;"*",INDEX(Y5:Y7,$A$4),"")</f>
        <v>IE-MO</v>
      </c>
      <c r="Z3" s="11" t="str" cm="1">
        <f t="array" ref="Z3">IF(LEFT(INDEX(Z5:Z7,$A$4),1)&lt;&gt;"*",INDEX(Z5:Z7,$A$4),"")</f>
        <v>IE-RN</v>
      </c>
      <c r="AA3" s="11" t="str" cm="1">
        <f t="array" ref="AA3">IF(LEFT(INDEX(AA5:AA7,$A$4),1)&lt;&gt;"*",INDEX(AA5:AA7,$A$4),"")</f>
        <v>IE-SO</v>
      </c>
      <c r="AB3" s="11" t="str" cm="1">
        <f t="array" ref="AB3">IF(LEFT(INDEX(AB5:AB7,$A$4),1)&lt;&gt;"*",INDEX(AB5:AB7,$A$4),"")</f>
        <v>IE-CN</v>
      </c>
      <c r="AC3" s="11" t="str" cm="1">
        <f t="array" ref="AC3">IF(LEFT(INDEX(AC5:AC7,$A$4),1)&lt;&gt;"*",INDEX(AC5:AC7,$A$4),"")</f>
        <v>IE-DL</v>
      </c>
      <c r="AD3" s="11" t="str" cm="1">
        <f t="array" ref="AD3">IF(LEFT(INDEX(AD5:AD7,$A$4),1)&lt;&gt;"*",INDEX(AD5:AD7,$A$4),"")</f>
        <v>IE-MN</v>
      </c>
    </row>
    <row r="4" spans="1:30">
      <c r="A4">
        <v>1</v>
      </c>
    </row>
    <row r="5" spans="1:30">
      <c r="A5" t="s">
        <v>18</v>
      </c>
      <c r="C5" s="12" t="s">
        <v>19</v>
      </c>
      <c r="D5" s="12" t="s">
        <v>20</v>
      </c>
      <c r="E5" s="11" t="str">
        <f>Regions!A11</f>
        <v>IE-CW</v>
      </c>
      <c r="F5" s="11" t="str">
        <f>Regions!A16</f>
        <v>IE-D</v>
      </c>
      <c r="G5" s="11" t="str">
        <f>Regions!A19</f>
        <v>IE-KE</v>
      </c>
      <c r="H5" s="11" t="str">
        <f>Regions!A20</f>
        <v>IE-KK</v>
      </c>
      <c r="I5" s="11" t="str">
        <f>Regions!A21</f>
        <v>IE-LS</v>
      </c>
      <c r="J5" s="11" t="str">
        <f>Regions!A24</f>
        <v>IE-LD</v>
      </c>
      <c r="K5" s="11" t="str">
        <f>Regions!A25</f>
        <v>IE-LH</v>
      </c>
      <c r="L5" s="11" t="str">
        <f>Regions!A27</f>
        <v>IE-MH</v>
      </c>
      <c r="M5" s="11" t="str">
        <f>Regions!A29</f>
        <v>IE-OY</v>
      </c>
      <c r="N5" s="11" t="str">
        <f>Regions!A34</f>
        <v>IE-WH</v>
      </c>
      <c r="O5" s="11" t="str">
        <f>Regions!A35</f>
        <v>IE-WX</v>
      </c>
      <c r="P5" s="11" t="str">
        <f>Regions!A36</f>
        <v>IE-WW</v>
      </c>
      <c r="Q5" s="11" t="str">
        <f>Regions!A13</f>
        <v>IE-CE</v>
      </c>
      <c r="R5" s="11" t="str">
        <f>Regions!A14</f>
        <v>IE-CO</v>
      </c>
      <c r="S5" s="11" t="str">
        <f>Regions!A18</f>
        <v>IE-KY</v>
      </c>
      <c r="T5" s="11" t="str">
        <f>Regions!A23</f>
        <v>IE-LK</v>
      </c>
      <c r="U5" s="11" t="str">
        <f>Regions!A32</f>
        <v>IE-TA</v>
      </c>
      <c r="V5" s="11" t="str">
        <f>Regions!A33</f>
        <v>IE-WD</v>
      </c>
      <c r="W5" s="11" t="str">
        <f>Regions!A17</f>
        <v>IE-G</v>
      </c>
      <c r="X5" s="11" t="str">
        <f>Regions!A22</f>
        <v>IE-LM</v>
      </c>
      <c r="Y5" s="11" t="str">
        <f>Regions!A26</f>
        <v>IE-MO</v>
      </c>
      <c r="Z5" s="11" t="str">
        <f>Regions!A30</f>
        <v>IE-RN</v>
      </c>
      <c r="AA5" s="11" t="str">
        <f>Regions!A31</f>
        <v>IE-SO</v>
      </c>
      <c r="AB5" s="11" t="str">
        <f>Regions!A12</f>
        <v>IE-CN</v>
      </c>
      <c r="AC5" s="11" t="str">
        <f>Regions!A15</f>
        <v>IE-DL</v>
      </c>
      <c r="AD5" s="11" t="str">
        <f>Regions!A28</f>
        <v>IE-MN</v>
      </c>
    </row>
    <row r="6" spans="1:30">
      <c r="A6" t="s">
        <v>21</v>
      </c>
      <c r="C6" s="11" t="str">
        <f>C5</f>
        <v>IE</v>
      </c>
      <c r="D6" s="11" t="str">
        <f>IF(LEFT(D5,1)&lt;&gt;"*","*"&amp;D5,D5)</f>
        <v>*National</v>
      </c>
      <c r="E6" s="11" t="str">
        <f t="shared" ref="E6:AD6" si="0">IF(LEFT(E5,1)&lt;&gt;"*","*"&amp;E5,E5)</f>
        <v>*IE-CW</v>
      </c>
      <c r="F6" s="11" t="str">
        <f t="shared" si="0"/>
        <v>*IE-D</v>
      </c>
      <c r="G6" s="11" t="str">
        <f t="shared" si="0"/>
        <v>*IE-KE</v>
      </c>
      <c r="H6" s="11" t="str">
        <f t="shared" si="0"/>
        <v>*IE-KK</v>
      </c>
      <c r="I6" s="11" t="str">
        <f t="shared" si="0"/>
        <v>*IE-LS</v>
      </c>
      <c r="J6" s="11" t="str">
        <f t="shared" si="0"/>
        <v>*IE-LD</v>
      </c>
      <c r="K6" s="11" t="str">
        <f t="shared" si="0"/>
        <v>*IE-LH</v>
      </c>
      <c r="L6" s="11" t="str">
        <f t="shared" si="0"/>
        <v>*IE-MH</v>
      </c>
      <c r="M6" s="11" t="str">
        <f t="shared" si="0"/>
        <v>*IE-OY</v>
      </c>
      <c r="N6" s="11" t="str">
        <f t="shared" si="0"/>
        <v>*IE-WH</v>
      </c>
      <c r="O6" s="11" t="str">
        <f t="shared" si="0"/>
        <v>*IE-WX</v>
      </c>
      <c r="P6" s="11" t="str">
        <f t="shared" si="0"/>
        <v>*IE-WW</v>
      </c>
      <c r="Q6" s="11" t="str">
        <f t="shared" si="0"/>
        <v>*IE-CE</v>
      </c>
      <c r="R6" s="11" t="str">
        <f t="shared" si="0"/>
        <v>*IE-CO</v>
      </c>
      <c r="S6" s="11" t="str">
        <f t="shared" si="0"/>
        <v>*IE-KY</v>
      </c>
      <c r="T6" s="11" t="str">
        <f t="shared" si="0"/>
        <v>*IE-LK</v>
      </c>
      <c r="U6" s="11" t="str">
        <f t="shared" si="0"/>
        <v>*IE-TA</v>
      </c>
      <c r="V6" s="11" t="str">
        <f t="shared" si="0"/>
        <v>*IE-WD</v>
      </c>
      <c r="W6" s="11" t="str">
        <f t="shared" si="0"/>
        <v>*IE-G</v>
      </c>
      <c r="X6" s="11" t="str">
        <f t="shared" si="0"/>
        <v>*IE-LM</v>
      </c>
      <c r="Y6" s="11" t="str">
        <f t="shared" si="0"/>
        <v>*IE-MO</v>
      </c>
      <c r="Z6" s="11" t="str">
        <f t="shared" si="0"/>
        <v>*IE-RN</v>
      </c>
      <c r="AA6" s="11" t="str">
        <f t="shared" si="0"/>
        <v>*IE-SO</v>
      </c>
      <c r="AB6" s="11" t="str">
        <f t="shared" si="0"/>
        <v>*IE-CN</v>
      </c>
      <c r="AC6" s="11" t="str">
        <f t="shared" si="0"/>
        <v>*IE-DL</v>
      </c>
      <c r="AD6" s="11" t="str">
        <f t="shared" si="0"/>
        <v>*IE-MN</v>
      </c>
    </row>
    <row r="7" spans="1:30">
      <c r="A7" t="s">
        <v>22</v>
      </c>
      <c r="C7" s="11" t="str">
        <f>"*"&amp;C5</f>
        <v>*IE</v>
      </c>
      <c r="D7" s="11" t="str">
        <f>D5</f>
        <v>National</v>
      </c>
      <c r="E7" s="11" t="str">
        <f t="shared" ref="E7:AD7" si="1">E5</f>
        <v>IE-CW</v>
      </c>
      <c r="F7" s="11" t="str">
        <f t="shared" si="1"/>
        <v>IE-D</v>
      </c>
      <c r="G7" s="11" t="str">
        <f t="shared" si="1"/>
        <v>IE-KE</v>
      </c>
      <c r="H7" s="11" t="str">
        <f t="shared" si="1"/>
        <v>IE-KK</v>
      </c>
      <c r="I7" s="11" t="str">
        <f t="shared" si="1"/>
        <v>IE-LS</v>
      </c>
      <c r="J7" s="11" t="str">
        <f t="shared" si="1"/>
        <v>IE-LD</v>
      </c>
      <c r="K7" s="11" t="str">
        <f t="shared" si="1"/>
        <v>IE-LH</v>
      </c>
      <c r="L7" s="11" t="str">
        <f t="shared" si="1"/>
        <v>IE-MH</v>
      </c>
      <c r="M7" s="11" t="str">
        <f t="shared" si="1"/>
        <v>IE-OY</v>
      </c>
      <c r="N7" s="11" t="str">
        <f t="shared" si="1"/>
        <v>IE-WH</v>
      </c>
      <c r="O7" s="11" t="str">
        <f t="shared" si="1"/>
        <v>IE-WX</v>
      </c>
      <c r="P7" s="11" t="str">
        <f t="shared" si="1"/>
        <v>IE-WW</v>
      </c>
      <c r="Q7" s="11" t="str">
        <f t="shared" si="1"/>
        <v>IE-CE</v>
      </c>
      <c r="R7" s="11" t="str">
        <f t="shared" si="1"/>
        <v>IE-CO</v>
      </c>
      <c r="S7" s="11" t="str">
        <f t="shared" si="1"/>
        <v>IE-KY</v>
      </c>
      <c r="T7" s="11" t="str">
        <f t="shared" si="1"/>
        <v>IE-LK</v>
      </c>
      <c r="U7" s="11" t="str">
        <f t="shared" si="1"/>
        <v>IE-TA</v>
      </c>
      <c r="V7" s="11" t="str">
        <f t="shared" si="1"/>
        <v>IE-WD</v>
      </c>
      <c r="W7" s="11" t="str">
        <f t="shared" si="1"/>
        <v>IE-G</v>
      </c>
      <c r="X7" s="11" t="str">
        <f t="shared" si="1"/>
        <v>IE-LM</v>
      </c>
      <c r="Y7" s="11" t="str">
        <f t="shared" si="1"/>
        <v>IE-MO</v>
      </c>
      <c r="Z7" s="11" t="str">
        <f t="shared" si="1"/>
        <v>IE-RN</v>
      </c>
      <c r="AA7" s="11" t="str">
        <f t="shared" si="1"/>
        <v>IE-SO</v>
      </c>
      <c r="AB7" s="11" t="str">
        <f t="shared" si="1"/>
        <v>IE-CN</v>
      </c>
      <c r="AC7" s="11" t="str">
        <f t="shared" si="1"/>
        <v>IE-DL</v>
      </c>
      <c r="AD7" s="11" t="str">
        <f t="shared" si="1"/>
        <v>IE-MN</v>
      </c>
    </row>
    <row r="10" spans="1:30" ht="15" thickBot="1">
      <c r="A10" s="13" t="s">
        <v>23</v>
      </c>
      <c r="B10" s="13" t="s">
        <v>24</v>
      </c>
    </row>
    <row r="11" spans="1:30">
      <c r="A11" s="14" t="s">
        <v>25</v>
      </c>
      <c r="B11" s="14" t="s">
        <v>26</v>
      </c>
    </row>
    <row r="12" spans="1:30">
      <c r="A12" s="15" t="s">
        <v>27</v>
      </c>
      <c r="B12" s="15" t="s">
        <v>28</v>
      </c>
    </row>
    <row r="13" spans="1:30">
      <c r="A13" s="15" t="s">
        <v>29</v>
      </c>
      <c r="B13" s="15" t="s">
        <v>30</v>
      </c>
    </row>
    <row r="14" spans="1:30">
      <c r="A14" s="15" t="s">
        <v>31</v>
      </c>
      <c r="B14" s="15" t="s">
        <v>32</v>
      </c>
    </row>
    <row r="15" spans="1:30">
      <c r="A15" s="15" t="s">
        <v>33</v>
      </c>
      <c r="B15" s="15" t="s">
        <v>34</v>
      </c>
    </row>
    <row r="16" spans="1:30">
      <c r="A16" s="15" t="s">
        <v>35</v>
      </c>
      <c r="B16" s="15" t="s">
        <v>36</v>
      </c>
    </row>
    <row r="17" spans="1:2">
      <c r="A17" s="15" t="s">
        <v>37</v>
      </c>
      <c r="B17" s="15" t="s">
        <v>38</v>
      </c>
    </row>
    <row r="18" spans="1:2">
      <c r="A18" s="15" t="s">
        <v>39</v>
      </c>
      <c r="B18" s="15" t="s">
        <v>40</v>
      </c>
    </row>
    <row r="19" spans="1:2">
      <c r="A19" s="15" t="s">
        <v>41</v>
      </c>
      <c r="B19" s="15" t="s">
        <v>42</v>
      </c>
    </row>
    <row r="20" spans="1:2">
      <c r="A20" s="15" t="s">
        <v>43</v>
      </c>
      <c r="B20" s="15" t="s">
        <v>44</v>
      </c>
    </row>
    <row r="21" spans="1:2">
      <c r="A21" s="15" t="s">
        <v>45</v>
      </c>
      <c r="B21" s="15" t="s">
        <v>46</v>
      </c>
    </row>
    <row r="22" spans="1:2">
      <c r="A22" s="15" t="s">
        <v>47</v>
      </c>
      <c r="B22" s="15" t="s">
        <v>48</v>
      </c>
    </row>
    <row r="23" spans="1:2">
      <c r="A23" s="15" t="s">
        <v>49</v>
      </c>
      <c r="B23" s="15" t="s">
        <v>50</v>
      </c>
    </row>
    <row r="24" spans="1:2">
      <c r="A24" s="15" t="s">
        <v>51</v>
      </c>
      <c r="B24" s="15" t="s">
        <v>52</v>
      </c>
    </row>
    <row r="25" spans="1:2">
      <c r="A25" s="15" t="s">
        <v>53</v>
      </c>
      <c r="B25" s="15" t="s">
        <v>54</v>
      </c>
    </row>
    <row r="26" spans="1:2">
      <c r="A26" s="15" t="s">
        <v>55</v>
      </c>
      <c r="B26" s="15" t="s">
        <v>56</v>
      </c>
    </row>
    <row r="27" spans="1:2">
      <c r="A27" s="15" t="s">
        <v>57</v>
      </c>
      <c r="B27" s="15" t="s">
        <v>58</v>
      </c>
    </row>
    <row r="28" spans="1:2">
      <c r="A28" s="15" t="s">
        <v>59</v>
      </c>
      <c r="B28" s="15" t="s">
        <v>60</v>
      </c>
    </row>
    <row r="29" spans="1:2">
      <c r="A29" s="15" t="s">
        <v>61</v>
      </c>
      <c r="B29" s="15" t="s">
        <v>62</v>
      </c>
    </row>
    <row r="30" spans="1:2">
      <c r="A30" s="15" t="s">
        <v>63</v>
      </c>
      <c r="B30" s="15" t="s">
        <v>64</v>
      </c>
    </row>
    <row r="31" spans="1:2">
      <c r="A31" s="15" t="s">
        <v>65</v>
      </c>
      <c r="B31" s="15" t="s">
        <v>66</v>
      </c>
    </row>
    <row r="32" spans="1:2">
      <c r="A32" s="15" t="s">
        <v>67</v>
      </c>
      <c r="B32" s="15" t="s">
        <v>68</v>
      </c>
    </row>
    <row r="33" spans="1:2">
      <c r="A33" s="15" t="s">
        <v>69</v>
      </c>
      <c r="B33" s="15" t="s">
        <v>70</v>
      </c>
    </row>
    <row r="34" spans="1:2">
      <c r="A34" s="15" t="s">
        <v>71</v>
      </c>
      <c r="B34" s="15" t="s">
        <v>72</v>
      </c>
    </row>
    <row r="35" spans="1:2">
      <c r="A35" s="15" t="s">
        <v>73</v>
      </c>
      <c r="B35" s="15" t="s">
        <v>74</v>
      </c>
    </row>
    <row r="36" spans="1:2">
      <c r="A36" s="15" t="s">
        <v>75</v>
      </c>
      <c r="B36" s="15" t="s">
        <v>76</v>
      </c>
    </row>
    <row r="37" spans="1:2">
      <c r="A37" s="16" t="s">
        <v>77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Drop Down 1">
              <controlPr defaultSize="0" autoLine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19050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79BAD-EA44-47F0-A194-320DE6C9FB50}">
  <sheetPr codeName="Sheet2"/>
  <dimension ref="B2:W62"/>
  <sheetViews>
    <sheetView zoomScale="85" zoomScaleNormal="85" workbookViewId="0">
      <selection activeCell="R19" sqref="R19"/>
    </sheetView>
  </sheetViews>
  <sheetFormatPr defaultRowHeight="14.5"/>
  <cols>
    <col min="2" max="2" width="20.26953125" bestFit="1" customWidth="1"/>
    <col min="4" max="4" width="12.453125" bestFit="1" customWidth="1"/>
    <col min="8" max="8" width="10.453125" bestFit="1" customWidth="1"/>
    <col min="9" max="9" width="20.453125" bestFit="1" customWidth="1"/>
  </cols>
  <sheetData>
    <row r="2" spans="2:23">
      <c r="B2" s="4" t="s">
        <v>169</v>
      </c>
      <c r="N2" s="4" t="s">
        <v>169</v>
      </c>
    </row>
    <row r="3" spans="2:23">
      <c r="B3" s="4" t="s">
        <v>10</v>
      </c>
      <c r="N3" s="4" t="s">
        <v>10</v>
      </c>
    </row>
    <row r="4" spans="2:23">
      <c r="G4" t="s">
        <v>7</v>
      </c>
      <c r="S4" t="s">
        <v>7</v>
      </c>
    </row>
    <row r="5" spans="2:23">
      <c r="B5" s="3" t="s">
        <v>0</v>
      </c>
      <c r="C5" s="2" t="s">
        <v>4</v>
      </c>
      <c r="D5" s="2" t="s">
        <v>3</v>
      </c>
      <c r="E5" s="2" t="s">
        <v>5</v>
      </c>
      <c r="F5" s="2" t="s">
        <v>2</v>
      </c>
      <c r="G5" s="2" t="s">
        <v>9</v>
      </c>
      <c r="H5" t="s">
        <v>85</v>
      </c>
      <c r="I5" s="5" t="s">
        <v>17</v>
      </c>
      <c r="J5" s="3" t="s">
        <v>11</v>
      </c>
      <c r="N5" s="3" t="s">
        <v>0</v>
      </c>
      <c r="O5" s="2" t="s">
        <v>4</v>
      </c>
      <c r="P5" s="2" t="s">
        <v>3</v>
      </c>
      <c r="Q5" s="2" t="s">
        <v>5</v>
      </c>
      <c r="R5" s="2" t="s">
        <v>2</v>
      </c>
      <c r="S5" s="2" t="s">
        <v>9</v>
      </c>
      <c r="T5" t="s">
        <v>85</v>
      </c>
      <c r="U5" s="5" t="s">
        <v>17</v>
      </c>
      <c r="V5" s="5" t="s">
        <v>196</v>
      </c>
      <c r="W5" s="3" t="s">
        <v>11</v>
      </c>
    </row>
    <row r="6" spans="2:23" ht="43.5">
      <c r="B6" s="19" t="s">
        <v>145</v>
      </c>
      <c r="D6" s="20" t="s">
        <v>146</v>
      </c>
      <c r="F6" s="19">
        <v>2023</v>
      </c>
      <c r="G6" s="19" t="s">
        <v>250</v>
      </c>
      <c r="H6">
        <v>1</v>
      </c>
      <c r="I6" s="38">
        <v>0.8</v>
      </c>
      <c r="J6" s="19" t="s">
        <v>167</v>
      </c>
      <c r="N6" s="19" t="s">
        <v>193</v>
      </c>
      <c r="P6" s="20" t="s">
        <v>194</v>
      </c>
      <c r="R6" s="19">
        <v>2023</v>
      </c>
      <c r="S6" s="19" t="s">
        <v>81</v>
      </c>
      <c r="T6">
        <v>1</v>
      </c>
      <c r="U6" s="38">
        <v>0.5</v>
      </c>
      <c r="V6">
        <v>5</v>
      </c>
      <c r="W6" s="19" t="s">
        <v>195</v>
      </c>
    </row>
    <row r="7" spans="2:23">
      <c r="B7" s="19" t="s">
        <v>251</v>
      </c>
      <c r="D7" s="20" t="s">
        <v>146</v>
      </c>
      <c r="F7" s="19">
        <v>2025</v>
      </c>
      <c r="G7" s="19" t="s">
        <v>164</v>
      </c>
      <c r="H7">
        <v>1</v>
      </c>
      <c r="I7" s="38">
        <v>2.5</v>
      </c>
      <c r="J7" s="19" t="s">
        <v>144</v>
      </c>
    </row>
    <row r="8" spans="2:23">
      <c r="B8" s="19" t="s">
        <v>145</v>
      </c>
      <c r="D8" s="20" t="s">
        <v>146</v>
      </c>
      <c r="F8" s="19">
        <v>2025</v>
      </c>
      <c r="G8" s="19" t="s">
        <v>81</v>
      </c>
      <c r="H8">
        <v>1</v>
      </c>
      <c r="I8" s="38">
        <v>5</v>
      </c>
      <c r="J8" s="19" t="s">
        <v>144</v>
      </c>
    </row>
    <row r="9" spans="2:23">
      <c r="B9" s="19" t="s">
        <v>145</v>
      </c>
      <c r="D9" s="20" t="s">
        <v>146</v>
      </c>
      <c r="F9" s="19">
        <v>2030</v>
      </c>
      <c r="G9" s="19" t="s">
        <v>81</v>
      </c>
      <c r="H9">
        <v>1</v>
      </c>
      <c r="I9" s="38">
        <v>8</v>
      </c>
      <c r="J9" s="19" t="s">
        <v>144</v>
      </c>
    </row>
    <row r="10" spans="2:23">
      <c r="B10" s="19" t="s">
        <v>145</v>
      </c>
      <c r="D10" s="20" t="s">
        <v>146</v>
      </c>
      <c r="F10" s="19">
        <v>2040</v>
      </c>
      <c r="G10" s="19" t="s">
        <v>81</v>
      </c>
      <c r="H10">
        <v>1</v>
      </c>
      <c r="I10" s="38">
        <v>10</v>
      </c>
      <c r="J10" s="19" t="s">
        <v>144</v>
      </c>
    </row>
    <row r="11" spans="2:23">
      <c r="B11" s="19"/>
      <c r="D11" s="20"/>
      <c r="F11" s="19">
        <v>0</v>
      </c>
      <c r="G11" s="19" t="s">
        <v>81</v>
      </c>
      <c r="I11" s="38">
        <v>5</v>
      </c>
    </row>
    <row r="12" spans="2:23">
      <c r="B12" s="19"/>
      <c r="D12" s="20"/>
      <c r="F12" s="19"/>
      <c r="G12" s="19"/>
      <c r="I12" s="38"/>
    </row>
    <row r="13" spans="2:23">
      <c r="B13" s="19"/>
      <c r="D13" s="20"/>
      <c r="H13" s="19"/>
      <c r="I13" s="19"/>
      <c r="K13" s="19"/>
    </row>
    <row r="14" spans="2:23">
      <c r="B14" s="19"/>
      <c r="D14" s="20"/>
      <c r="H14" s="19"/>
      <c r="I14" s="19"/>
      <c r="K14" s="19"/>
    </row>
    <row r="15" spans="2:23">
      <c r="B15" s="6" t="s">
        <v>82</v>
      </c>
      <c r="M15" s="7"/>
    </row>
    <row r="16" spans="2:23" ht="15" thickBot="1">
      <c r="B16" s="8" t="s">
        <v>12</v>
      </c>
      <c r="C16" s="8" t="s">
        <v>9</v>
      </c>
      <c r="D16" s="8" t="s">
        <v>8</v>
      </c>
      <c r="E16" s="8" t="s">
        <v>2</v>
      </c>
      <c r="F16" s="9" t="s">
        <v>19</v>
      </c>
      <c r="G16" s="9" t="s">
        <v>20</v>
      </c>
      <c r="H16" s="10" t="s">
        <v>4</v>
      </c>
      <c r="I16" s="10" t="s">
        <v>3</v>
      </c>
      <c r="J16" s="10" t="s">
        <v>5</v>
      </c>
    </row>
    <row r="17" spans="2:12">
      <c r="D17" t="s">
        <v>84</v>
      </c>
      <c r="F17">
        <v>5</v>
      </c>
      <c r="G17">
        <v>5</v>
      </c>
      <c r="I17" t="s">
        <v>83</v>
      </c>
      <c r="L17" s="17" t="s">
        <v>142</v>
      </c>
    </row>
    <row r="18" spans="2:12">
      <c r="B18" s="39" t="s">
        <v>88</v>
      </c>
      <c r="C18" s="39" t="s">
        <v>81</v>
      </c>
      <c r="D18" s="39" t="s">
        <v>89</v>
      </c>
      <c r="E18" s="39">
        <v>2023</v>
      </c>
      <c r="F18" s="39">
        <v>5</v>
      </c>
      <c r="G18" s="39">
        <v>5</v>
      </c>
      <c r="H18" s="39"/>
      <c r="I18" s="39" t="s">
        <v>170</v>
      </c>
      <c r="J18" s="39"/>
      <c r="K18" s="39"/>
      <c r="L18" s="40" t="s">
        <v>171</v>
      </c>
    </row>
    <row r="19" spans="2:12">
      <c r="B19" t="s">
        <v>88</v>
      </c>
      <c r="C19" t="s">
        <v>81</v>
      </c>
      <c r="D19" t="s">
        <v>89</v>
      </c>
      <c r="E19">
        <v>2025</v>
      </c>
      <c r="F19">
        <v>0</v>
      </c>
      <c r="G19">
        <v>0</v>
      </c>
      <c r="I19" t="s">
        <v>170</v>
      </c>
      <c r="L19" s="17" t="s">
        <v>116</v>
      </c>
    </row>
    <row r="20" spans="2:12">
      <c r="B20" t="s">
        <v>88</v>
      </c>
      <c r="C20" t="s">
        <v>81</v>
      </c>
      <c r="D20" t="s">
        <v>89</v>
      </c>
      <c r="E20">
        <v>0</v>
      </c>
      <c r="F20">
        <v>5</v>
      </c>
      <c r="G20">
        <v>5</v>
      </c>
      <c r="I20" t="s">
        <v>170</v>
      </c>
    </row>
    <row r="21" spans="2:12">
      <c r="B21" s="39"/>
      <c r="C21" s="39"/>
      <c r="D21" s="39"/>
      <c r="E21" s="39"/>
      <c r="F21" s="39"/>
      <c r="G21" s="39"/>
      <c r="I21" s="39"/>
    </row>
    <row r="22" spans="2:12">
      <c r="B22" s="39"/>
      <c r="C22" s="39"/>
      <c r="D22" s="39"/>
      <c r="E22" s="39"/>
      <c r="F22" s="39"/>
      <c r="G22" s="39"/>
      <c r="I22" s="39"/>
    </row>
    <row r="23" spans="2:12">
      <c r="B23" s="6" t="s">
        <v>82</v>
      </c>
    </row>
    <row r="24" spans="2:12" ht="15" thickBot="1">
      <c r="B24" s="8" t="s">
        <v>12</v>
      </c>
      <c r="C24" s="8" t="s">
        <v>9</v>
      </c>
      <c r="D24" s="8" t="s">
        <v>8</v>
      </c>
      <c r="E24" s="8" t="s">
        <v>2</v>
      </c>
      <c r="F24" s="9" t="s">
        <v>19</v>
      </c>
      <c r="G24" s="9" t="s">
        <v>20</v>
      </c>
      <c r="H24" s="10" t="s">
        <v>4</v>
      </c>
      <c r="I24" s="10" t="s">
        <v>3</v>
      </c>
      <c r="J24" s="10" t="s">
        <v>5</v>
      </c>
    </row>
    <row r="25" spans="2:12">
      <c r="B25" s="39" t="s">
        <v>88</v>
      </c>
      <c r="C25" s="39" t="s">
        <v>81</v>
      </c>
      <c r="D25" s="39" t="s">
        <v>89</v>
      </c>
      <c r="E25" s="39">
        <v>2023</v>
      </c>
      <c r="F25" s="39">
        <v>1.5</v>
      </c>
      <c r="G25" s="39">
        <v>1.5</v>
      </c>
      <c r="I25" s="39" t="s">
        <v>172</v>
      </c>
      <c r="L25" s="40" t="s">
        <v>173</v>
      </c>
    </row>
    <row r="26" spans="2:12">
      <c r="B26" s="39" t="s">
        <v>88</v>
      </c>
      <c r="C26" s="39" t="s">
        <v>81</v>
      </c>
      <c r="D26" s="39" t="s">
        <v>89</v>
      </c>
      <c r="E26" s="39">
        <v>2023</v>
      </c>
      <c r="F26" s="39">
        <v>13.8</v>
      </c>
      <c r="G26" s="39">
        <v>13.8</v>
      </c>
      <c r="I26" s="39" t="s">
        <v>174</v>
      </c>
      <c r="L26" s="40" t="s">
        <v>173</v>
      </c>
    </row>
    <row r="27" spans="2:12">
      <c r="B27" s="39" t="s">
        <v>88</v>
      </c>
      <c r="C27" s="39" t="s">
        <v>81</v>
      </c>
      <c r="D27" s="39" t="s">
        <v>89</v>
      </c>
      <c r="E27" s="41">
        <v>2026</v>
      </c>
      <c r="F27" s="39">
        <v>0</v>
      </c>
      <c r="G27" s="39">
        <v>0</v>
      </c>
      <c r="I27" s="39" t="s">
        <v>175</v>
      </c>
      <c r="L27" s="40" t="s">
        <v>176</v>
      </c>
    </row>
    <row r="28" spans="2:12">
      <c r="B28" s="39" t="s">
        <v>88</v>
      </c>
      <c r="C28" s="39" t="s">
        <v>81</v>
      </c>
      <c r="D28" s="39" t="s">
        <v>89</v>
      </c>
      <c r="E28" s="39">
        <v>0</v>
      </c>
      <c r="F28" s="39">
        <v>5</v>
      </c>
      <c r="G28" s="39">
        <v>5</v>
      </c>
      <c r="I28" s="39" t="s">
        <v>175</v>
      </c>
    </row>
    <row r="29" spans="2:12">
      <c r="B29" s="39" t="s">
        <v>88</v>
      </c>
      <c r="C29" s="39" t="s">
        <v>81</v>
      </c>
      <c r="D29" s="39" t="s">
        <v>89</v>
      </c>
      <c r="E29" s="39">
        <v>2026</v>
      </c>
      <c r="F29" s="39">
        <v>0</v>
      </c>
      <c r="G29" s="39">
        <v>0</v>
      </c>
      <c r="H29" s="39"/>
      <c r="I29" s="39" t="s">
        <v>177</v>
      </c>
    </row>
    <row r="30" spans="2:12">
      <c r="B30" s="39" t="s">
        <v>88</v>
      </c>
      <c r="C30" s="39" t="s">
        <v>81</v>
      </c>
      <c r="D30" s="39" t="s">
        <v>89</v>
      </c>
      <c r="E30" s="39">
        <v>0</v>
      </c>
      <c r="F30" s="39">
        <v>5</v>
      </c>
      <c r="G30" s="39">
        <v>5</v>
      </c>
      <c r="H30" s="39"/>
      <c r="I30" s="39" t="s">
        <v>177</v>
      </c>
    </row>
    <row r="31" spans="2:12">
      <c r="B31" s="39" t="s">
        <v>88</v>
      </c>
      <c r="C31" s="39" t="s">
        <v>81</v>
      </c>
      <c r="D31" s="39" t="s">
        <v>89</v>
      </c>
      <c r="E31" s="39">
        <v>2023</v>
      </c>
      <c r="F31" s="39">
        <v>110</v>
      </c>
      <c r="G31" s="39">
        <v>110</v>
      </c>
      <c r="H31" s="39"/>
      <c r="I31" s="39" t="s">
        <v>178</v>
      </c>
      <c r="L31" s="40" t="s">
        <v>179</v>
      </c>
    </row>
    <row r="32" spans="2:12">
      <c r="B32" s="39" t="s">
        <v>88</v>
      </c>
      <c r="C32" s="39" t="s">
        <v>81</v>
      </c>
      <c r="D32" s="39" t="s">
        <v>89</v>
      </c>
      <c r="E32" s="39">
        <v>2050</v>
      </c>
      <c r="F32" s="39">
        <v>110</v>
      </c>
      <c r="G32" s="39">
        <v>110</v>
      </c>
      <c r="H32" s="39"/>
      <c r="I32" s="39" t="s">
        <v>178</v>
      </c>
      <c r="L32" s="40" t="s">
        <v>179</v>
      </c>
    </row>
    <row r="33" spans="2:12">
      <c r="B33" s="39" t="s">
        <v>88</v>
      </c>
      <c r="C33" s="39" t="s">
        <v>81</v>
      </c>
      <c r="D33" s="39" t="s">
        <v>89</v>
      </c>
      <c r="E33" s="39">
        <v>0</v>
      </c>
      <c r="F33" s="39">
        <v>5</v>
      </c>
      <c r="G33" s="39">
        <v>5</v>
      </c>
      <c r="H33" s="39"/>
      <c r="I33" s="39" t="s">
        <v>178</v>
      </c>
    </row>
    <row r="34" spans="2:12">
      <c r="B34" s="39"/>
      <c r="C34" s="39"/>
      <c r="D34" s="39"/>
      <c r="E34" s="39"/>
      <c r="F34" s="39"/>
      <c r="G34" s="39"/>
      <c r="I34" s="39"/>
    </row>
    <row r="36" spans="2:12">
      <c r="B36" s="6" t="s">
        <v>15</v>
      </c>
    </row>
    <row r="37" spans="2:12" ht="15" thickBot="1">
      <c r="B37" s="8" t="s">
        <v>12</v>
      </c>
      <c r="C37" s="8" t="s">
        <v>9</v>
      </c>
      <c r="D37" s="8" t="s">
        <v>8</v>
      </c>
      <c r="E37" s="8" t="s">
        <v>2</v>
      </c>
      <c r="F37" s="9" t="s">
        <v>19</v>
      </c>
      <c r="G37" s="9" t="s">
        <v>20</v>
      </c>
      <c r="H37" s="10" t="s">
        <v>4</v>
      </c>
      <c r="I37" s="10" t="s">
        <v>3</v>
      </c>
      <c r="J37" s="10" t="s">
        <v>5</v>
      </c>
    </row>
    <row r="38" spans="2:12">
      <c r="D38" t="s">
        <v>78</v>
      </c>
      <c r="F38">
        <v>2035</v>
      </c>
      <c r="G38">
        <v>2035</v>
      </c>
      <c r="I38" t="s">
        <v>95</v>
      </c>
    </row>
    <row r="39" spans="2:12">
      <c r="D39" t="s">
        <v>78</v>
      </c>
      <c r="F39" s="39">
        <v>2025</v>
      </c>
      <c r="G39" s="39">
        <v>2025</v>
      </c>
      <c r="I39" t="s">
        <v>133</v>
      </c>
      <c r="L39" s="17" t="s">
        <v>159</v>
      </c>
    </row>
    <row r="40" spans="2:12">
      <c r="D40" t="s">
        <v>78</v>
      </c>
      <c r="F40">
        <v>2100</v>
      </c>
      <c r="G40">
        <v>2100</v>
      </c>
      <c r="I40" t="s">
        <v>135</v>
      </c>
      <c r="L40" s="17" t="s">
        <v>138</v>
      </c>
    </row>
    <row r="41" spans="2:12">
      <c r="D41" t="s">
        <v>78</v>
      </c>
      <c r="F41">
        <v>2100</v>
      </c>
      <c r="G41">
        <v>2100</v>
      </c>
      <c r="I41" t="s">
        <v>136</v>
      </c>
      <c r="L41" s="17" t="s">
        <v>137</v>
      </c>
    </row>
    <row r="42" spans="2:12">
      <c r="D42" t="s">
        <v>78</v>
      </c>
      <c r="F42">
        <v>2100</v>
      </c>
      <c r="G42">
        <v>2100</v>
      </c>
      <c r="I42" t="s">
        <v>143</v>
      </c>
      <c r="L42" s="17" t="s">
        <v>139</v>
      </c>
    </row>
    <row r="43" spans="2:12">
      <c r="D43" t="s">
        <v>78</v>
      </c>
      <c r="F43">
        <v>2100</v>
      </c>
      <c r="G43">
        <v>2100</v>
      </c>
      <c r="I43" t="s">
        <v>140</v>
      </c>
      <c r="L43" s="17" t="s">
        <v>141</v>
      </c>
    </row>
    <row r="44" spans="2:12">
      <c r="D44" t="s">
        <v>78</v>
      </c>
      <c r="F44">
        <v>2030</v>
      </c>
      <c r="G44">
        <v>2030</v>
      </c>
      <c r="I44" t="s">
        <v>83</v>
      </c>
      <c r="L44" s="17" t="s">
        <v>134</v>
      </c>
    </row>
    <row r="45" spans="2:12">
      <c r="F45" s="19"/>
      <c r="G45" s="19"/>
      <c r="I45" s="38"/>
    </row>
    <row r="46" spans="2:12">
      <c r="F46" s="19"/>
      <c r="G46" s="19"/>
      <c r="I46" s="38"/>
    </row>
    <row r="47" spans="2:12">
      <c r="F47" s="19"/>
      <c r="G47" s="19"/>
      <c r="I47" s="38"/>
    </row>
    <row r="48" spans="2:12">
      <c r="G48" t="s">
        <v>7</v>
      </c>
    </row>
    <row r="49" spans="2:10">
      <c r="B49" s="3" t="s">
        <v>0</v>
      </c>
      <c r="C49" s="2" t="s">
        <v>4</v>
      </c>
      <c r="D49" s="2" t="s">
        <v>3</v>
      </c>
      <c r="E49" s="2" t="s">
        <v>5</v>
      </c>
      <c r="F49" s="2" t="s">
        <v>2</v>
      </c>
      <c r="G49" s="2" t="s">
        <v>9</v>
      </c>
      <c r="H49" t="s">
        <v>85</v>
      </c>
      <c r="I49" s="5" t="s">
        <v>17</v>
      </c>
      <c r="J49" s="3" t="s">
        <v>11</v>
      </c>
    </row>
    <row r="50" spans="2:10">
      <c r="B50" s="19" t="s">
        <v>160</v>
      </c>
      <c r="D50" s="20" t="s">
        <v>161</v>
      </c>
      <c r="F50" s="19">
        <v>2027</v>
      </c>
      <c r="G50" s="19" t="s">
        <v>81</v>
      </c>
      <c r="H50">
        <v>1</v>
      </c>
      <c r="I50" s="38">
        <v>0.2</v>
      </c>
      <c r="J50" s="19" t="s">
        <v>168</v>
      </c>
    </row>
    <row r="51" spans="2:10">
      <c r="B51" s="19" t="s">
        <v>160</v>
      </c>
      <c r="D51" s="20" t="s">
        <v>161</v>
      </c>
      <c r="F51" s="19">
        <v>2028</v>
      </c>
      <c r="G51" s="19" t="s">
        <v>81</v>
      </c>
      <c r="H51">
        <v>1</v>
      </c>
      <c r="I51" s="38">
        <v>1.5</v>
      </c>
      <c r="J51" s="19" t="s">
        <v>168</v>
      </c>
    </row>
    <row r="52" spans="2:10">
      <c r="B52" s="19" t="s">
        <v>160</v>
      </c>
      <c r="D52" s="20" t="s">
        <v>161</v>
      </c>
      <c r="F52" s="19">
        <v>2029</v>
      </c>
      <c r="G52" s="19" t="s">
        <v>81</v>
      </c>
      <c r="H52">
        <v>1</v>
      </c>
      <c r="I52" s="38">
        <v>3</v>
      </c>
      <c r="J52" s="19" t="s">
        <v>168</v>
      </c>
    </row>
    <row r="53" spans="2:10">
      <c r="B53" s="19" t="s">
        <v>160</v>
      </c>
      <c r="D53" s="20" t="s">
        <v>161</v>
      </c>
      <c r="F53" s="19">
        <v>2030</v>
      </c>
      <c r="G53" s="38" t="s">
        <v>81</v>
      </c>
      <c r="H53">
        <v>1</v>
      </c>
      <c r="I53" s="38">
        <v>6</v>
      </c>
      <c r="J53" s="19" t="s">
        <v>168</v>
      </c>
    </row>
    <row r="54" spans="2:10">
      <c r="B54" s="19" t="s">
        <v>160</v>
      </c>
      <c r="D54" s="20" t="s">
        <v>161</v>
      </c>
      <c r="F54" s="19">
        <v>2031</v>
      </c>
      <c r="G54" s="38" t="s">
        <v>81</v>
      </c>
      <c r="H54">
        <v>1</v>
      </c>
      <c r="I54" s="38">
        <v>8</v>
      </c>
      <c r="J54" s="19" t="s">
        <v>168</v>
      </c>
    </row>
    <row r="55" spans="2:10">
      <c r="B55" s="44" t="s">
        <v>160</v>
      </c>
      <c r="C55" s="18"/>
      <c r="D55" s="81" t="s">
        <v>161</v>
      </c>
      <c r="E55" s="18"/>
      <c r="F55" s="44">
        <v>2032</v>
      </c>
      <c r="G55" s="84" t="s">
        <v>81</v>
      </c>
      <c r="H55" s="18">
        <v>1</v>
      </c>
      <c r="I55" s="84">
        <v>10</v>
      </c>
      <c r="J55" s="44" t="s">
        <v>168</v>
      </c>
    </row>
    <row r="56" spans="2:10">
      <c r="B56" s="19" t="s">
        <v>162</v>
      </c>
      <c r="D56" s="20" t="s">
        <v>163</v>
      </c>
      <c r="F56" s="19">
        <v>2025</v>
      </c>
      <c r="G56" s="19" t="s">
        <v>81</v>
      </c>
      <c r="H56">
        <v>1</v>
      </c>
      <c r="I56" s="38">
        <v>6</v>
      </c>
      <c r="J56" s="19" t="s">
        <v>165</v>
      </c>
    </row>
    <row r="57" spans="2:10">
      <c r="B57" s="19" t="s">
        <v>162</v>
      </c>
      <c r="D57" s="20" t="s">
        <v>163</v>
      </c>
      <c r="F57" s="19">
        <v>2030</v>
      </c>
      <c r="G57" s="19" t="s">
        <v>81</v>
      </c>
      <c r="H57">
        <v>1</v>
      </c>
      <c r="I57" s="38">
        <v>9</v>
      </c>
      <c r="J57" s="19" t="s">
        <v>165</v>
      </c>
    </row>
    <row r="58" spans="2:10">
      <c r="B58" s="19" t="s">
        <v>162</v>
      </c>
      <c r="D58" s="20" t="s">
        <v>163</v>
      </c>
      <c r="F58" s="19">
        <v>2050</v>
      </c>
      <c r="G58" s="19" t="s">
        <v>81</v>
      </c>
      <c r="H58">
        <v>1</v>
      </c>
      <c r="I58" s="38">
        <v>30.6</v>
      </c>
      <c r="J58" s="19" t="s">
        <v>165</v>
      </c>
    </row>
    <row r="59" spans="2:10">
      <c r="F59" s="19">
        <v>0</v>
      </c>
      <c r="G59" s="19" t="s">
        <v>81</v>
      </c>
      <c r="I59" s="38">
        <v>5</v>
      </c>
    </row>
    <row r="62" spans="2:10">
      <c r="B62" t="s">
        <v>166</v>
      </c>
      <c r="J62" s="85" t="s">
        <v>249</v>
      </c>
    </row>
  </sheetData>
  <hyperlinks>
    <hyperlink ref="J62" r:id="rId1" xr:uid="{A5BAF7FC-0A2D-4758-855C-D82A0CDAD913}"/>
  </hyperlinks>
  <pageMargins left="0.7" right="0.7" top="0.75" bottom="0.75" header="0.3" footer="0.3"/>
  <pageSetup paperSize="9" orientation="portrait" r:id="rId2"/>
  <drawing r:id="rId3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4666E-C19A-4073-8183-3ACBB585B13C}">
  <sheetPr codeName="Sheet3"/>
  <dimension ref="B2:J4"/>
  <sheetViews>
    <sheetView workbookViewId="0">
      <selection activeCell="E35" sqref="E35"/>
    </sheetView>
  </sheetViews>
  <sheetFormatPr defaultRowHeight="14.5"/>
  <cols>
    <col min="2" max="2" width="10.54296875" bestFit="1" customWidth="1"/>
    <col min="4" max="4" width="12.453125" bestFit="1" customWidth="1"/>
  </cols>
  <sheetData>
    <row r="2" spans="2:10">
      <c r="B2" s="6" t="s">
        <v>15</v>
      </c>
      <c r="H2" s="7"/>
      <c r="I2" s="7"/>
      <c r="J2" s="7"/>
    </row>
    <row r="3" spans="2:10" ht="15" thickBot="1">
      <c r="B3" s="8" t="s">
        <v>12</v>
      </c>
      <c r="C3" s="8" t="s">
        <v>9</v>
      </c>
      <c r="D3" s="8" t="s">
        <v>8</v>
      </c>
      <c r="E3" s="8" t="s">
        <v>2</v>
      </c>
      <c r="F3" s="9" t="str">
        <f>IF(Regions!C$3&lt;&gt;"",Regions!C$3,"*")</f>
        <v>IE</v>
      </c>
      <c r="G3" s="9" t="str">
        <f>IF(Regions!C$3&lt;&gt;"",Regions!D$3,"*")</f>
        <v>National</v>
      </c>
      <c r="H3" s="10" t="s">
        <v>4</v>
      </c>
      <c r="I3" s="10" t="s">
        <v>3</v>
      </c>
      <c r="J3" s="10" t="s">
        <v>108</v>
      </c>
    </row>
    <row r="4" spans="2:10">
      <c r="D4" t="s">
        <v>78</v>
      </c>
      <c r="F4">
        <v>2019</v>
      </c>
      <c r="G4">
        <v>2019</v>
      </c>
      <c r="I4" t="s">
        <v>107</v>
      </c>
      <c r="J4">
        <v>2020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V60"/>
  <sheetViews>
    <sheetView zoomScaleNormal="100" workbookViewId="0">
      <selection activeCell="B2" sqref="B2"/>
    </sheetView>
  </sheetViews>
  <sheetFormatPr defaultRowHeight="14.5"/>
  <cols>
    <col min="2" max="2" width="23.7265625" customWidth="1"/>
    <col min="3" max="3" width="8.81640625" bestFit="1" customWidth="1"/>
    <col min="4" max="4" width="12.453125" bestFit="1" customWidth="1"/>
    <col min="5" max="5" width="8.453125" bestFit="1" customWidth="1"/>
    <col min="6" max="6" width="8.54296875" bestFit="1" customWidth="1"/>
    <col min="7" max="7" width="8.81640625" bestFit="1" customWidth="1"/>
    <col min="8" max="8" width="14.26953125" bestFit="1" customWidth="1"/>
    <col min="9" max="9" width="8.81640625" customWidth="1"/>
    <col min="10" max="10" width="12" bestFit="1" customWidth="1"/>
    <col min="11" max="11" width="30.26953125" customWidth="1"/>
    <col min="12" max="12" width="44.7265625" bestFit="1" customWidth="1"/>
    <col min="13" max="13" width="12" customWidth="1"/>
  </cols>
  <sheetData>
    <row r="1" spans="1:22">
      <c r="A1" t="s">
        <v>16</v>
      </c>
    </row>
    <row r="2" spans="1:22">
      <c r="B2" s="1" t="str">
        <f>"~UC_Sets: R_E: " &amp; _xlfn.TEXTJOIN(",",TRUE,Regions!C3:D3)</f>
        <v>~UC_Sets: R_E: IE,National</v>
      </c>
      <c r="M2" s="1"/>
    </row>
    <row r="3" spans="1:22">
      <c r="B3" s="4" t="s">
        <v>10</v>
      </c>
      <c r="M3" s="4"/>
    </row>
    <row r="4" spans="1:22">
      <c r="H4" t="s">
        <v>7</v>
      </c>
    </row>
    <row r="5" spans="1:22">
      <c r="B5" s="3" t="s">
        <v>0</v>
      </c>
      <c r="C5" s="2" t="s">
        <v>4</v>
      </c>
      <c r="D5" s="2" t="s">
        <v>3</v>
      </c>
      <c r="E5" s="2" t="s">
        <v>1</v>
      </c>
      <c r="F5" s="2" t="s">
        <v>6</v>
      </c>
      <c r="G5" s="2" t="s">
        <v>2</v>
      </c>
      <c r="H5" s="2" t="s">
        <v>9</v>
      </c>
      <c r="I5" t="s">
        <v>112</v>
      </c>
      <c r="J5" s="5" t="s">
        <v>17</v>
      </c>
      <c r="K5" s="3" t="s">
        <v>11</v>
      </c>
      <c r="M5" s="3" t="s">
        <v>0</v>
      </c>
      <c r="N5" s="2" t="s">
        <v>4</v>
      </c>
      <c r="O5" s="2" t="s">
        <v>3</v>
      </c>
      <c r="P5" s="2" t="s">
        <v>1</v>
      </c>
      <c r="Q5" s="2" t="s">
        <v>6</v>
      </c>
      <c r="R5" s="2" t="s">
        <v>2</v>
      </c>
      <c r="S5" s="2" t="s">
        <v>9</v>
      </c>
      <c r="T5" t="s">
        <v>112</v>
      </c>
      <c r="U5" s="5" t="s">
        <v>17</v>
      </c>
      <c r="V5" s="3" t="s">
        <v>11</v>
      </c>
    </row>
    <row r="6" spans="1:22" ht="29">
      <c r="B6" s="38" t="s">
        <v>111</v>
      </c>
      <c r="C6" s="39"/>
      <c r="D6" s="42" t="s">
        <v>191</v>
      </c>
      <c r="E6" s="39"/>
      <c r="F6" s="39"/>
      <c r="G6" s="38">
        <v>2025</v>
      </c>
      <c r="H6" s="38" t="s">
        <v>81</v>
      </c>
      <c r="I6" s="39">
        <v>1</v>
      </c>
      <c r="J6" s="38">
        <v>0</v>
      </c>
      <c r="K6" s="38" t="s">
        <v>192</v>
      </c>
      <c r="M6" s="19" t="s">
        <v>111</v>
      </c>
      <c r="O6" s="20" t="s">
        <v>110</v>
      </c>
      <c r="R6" s="19">
        <v>2025</v>
      </c>
      <c r="S6" s="19" t="s">
        <v>81</v>
      </c>
      <c r="T6">
        <v>1</v>
      </c>
      <c r="U6" s="19">
        <v>0</v>
      </c>
      <c r="V6" s="19" t="s">
        <v>109</v>
      </c>
    </row>
    <row r="7" spans="1:22">
      <c r="B7" s="38"/>
      <c r="C7" s="39"/>
      <c r="D7" s="42"/>
      <c r="E7" s="39"/>
      <c r="F7" s="39"/>
      <c r="G7" s="38">
        <v>0</v>
      </c>
      <c r="H7" s="38" t="s">
        <v>81</v>
      </c>
      <c r="I7" s="39"/>
      <c r="J7" s="38">
        <v>5</v>
      </c>
      <c r="K7" s="39"/>
      <c r="M7" s="19"/>
      <c r="O7" s="20"/>
      <c r="R7" s="19">
        <v>0</v>
      </c>
      <c r="S7" s="19" t="s">
        <v>81</v>
      </c>
      <c r="U7" s="19">
        <v>5</v>
      </c>
    </row>
    <row r="8" spans="1:22">
      <c r="B8" s="38" t="s">
        <v>115</v>
      </c>
      <c r="C8" s="39"/>
      <c r="D8" s="42" t="s">
        <v>113</v>
      </c>
      <c r="E8" s="38"/>
      <c r="F8" s="39"/>
      <c r="G8" s="38">
        <v>2020</v>
      </c>
      <c r="H8" s="38" t="s">
        <v>81</v>
      </c>
      <c r="I8" s="38">
        <v>1</v>
      </c>
      <c r="J8" s="38">
        <v>7.3689999999999998</v>
      </c>
      <c r="K8" s="38" t="s">
        <v>114</v>
      </c>
      <c r="M8" s="19" t="s">
        <v>115</v>
      </c>
      <c r="O8" s="20" t="s">
        <v>113</v>
      </c>
      <c r="P8" s="19"/>
      <c r="R8" s="19">
        <v>2020</v>
      </c>
      <c r="S8" s="19" t="s">
        <v>81</v>
      </c>
      <c r="T8" s="19">
        <v>1</v>
      </c>
      <c r="U8" s="19">
        <v>7.3689999999999998</v>
      </c>
      <c r="V8" s="19" t="s">
        <v>114</v>
      </c>
    </row>
    <row r="9" spans="1:22">
      <c r="B9" s="38"/>
      <c r="C9" s="39"/>
      <c r="D9" s="42" t="s">
        <v>113</v>
      </c>
      <c r="E9" s="38"/>
      <c r="F9" s="39"/>
      <c r="G9" s="38">
        <v>2025</v>
      </c>
      <c r="H9" s="38" t="s">
        <v>81</v>
      </c>
      <c r="I9" s="38">
        <v>1</v>
      </c>
      <c r="J9" s="38">
        <f>J8</f>
        <v>7.3689999999999998</v>
      </c>
      <c r="K9" s="38"/>
      <c r="M9" s="19"/>
      <c r="O9" s="20"/>
      <c r="P9" s="19"/>
      <c r="R9" s="19"/>
      <c r="S9" s="19"/>
      <c r="T9" s="19"/>
      <c r="U9" s="19"/>
      <c r="V9" s="19"/>
    </row>
    <row r="10" spans="1:22">
      <c r="B10" s="38"/>
      <c r="C10" s="38"/>
      <c r="D10" s="42" t="s">
        <v>113</v>
      </c>
      <c r="E10" s="38"/>
      <c r="F10" s="39"/>
      <c r="G10" s="38">
        <v>2030</v>
      </c>
      <c r="H10" s="38" t="s">
        <v>81</v>
      </c>
      <c r="I10" s="38">
        <v>1</v>
      </c>
      <c r="J10" s="38">
        <f>G59</f>
        <v>73.8</v>
      </c>
      <c r="K10" s="38"/>
      <c r="M10" s="19"/>
      <c r="N10" s="19"/>
      <c r="O10" s="20" t="s">
        <v>113</v>
      </c>
      <c r="P10" s="19"/>
      <c r="R10" s="19">
        <v>2030</v>
      </c>
      <c r="S10" s="19" t="s">
        <v>81</v>
      </c>
      <c r="T10" s="19"/>
      <c r="U10" s="19">
        <v>24.074100000000001</v>
      </c>
      <c r="V10" s="19"/>
    </row>
    <row r="11" spans="1:22">
      <c r="B11" s="38"/>
      <c r="C11" s="38"/>
      <c r="D11" s="42" t="s">
        <v>113</v>
      </c>
      <c r="E11" s="38"/>
      <c r="F11" s="39"/>
      <c r="G11" s="38">
        <v>2040</v>
      </c>
      <c r="H11" s="38" t="s">
        <v>81</v>
      </c>
      <c r="I11" s="38">
        <v>1</v>
      </c>
      <c r="J11" s="38">
        <f>I59</f>
        <v>147.6</v>
      </c>
      <c r="K11" s="38"/>
      <c r="M11" s="19"/>
      <c r="N11" s="19"/>
      <c r="O11" s="20" t="s">
        <v>113</v>
      </c>
      <c r="P11" s="19"/>
      <c r="R11" s="19">
        <v>2040</v>
      </c>
      <c r="S11" s="19" t="s">
        <v>81</v>
      </c>
      <c r="T11" s="19"/>
      <c r="U11" s="19">
        <v>48.148200000000003</v>
      </c>
      <c r="V11" s="19"/>
    </row>
    <row r="12" spans="1:22">
      <c r="B12" s="38"/>
      <c r="C12" s="38"/>
      <c r="D12" s="42" t="s">
        <v>113</v>
      </c>
      <c r="E12" s="38"/>
      <c r="F12" s="39"/>
      <c r="G12" s="38">
        <v>2050</v>
      </c>
      <c r="H12" s="38" t="s">
        <v>81</v>
      </c>
      <c r="I12" s="38">
        <v>1</v>
      </c>
      <c r="J12" s="38">
        <f>K59</f>
        <v>158.4</v>
      </c>
      <c r="K12" s="38"/>
      <c r="M12" s="19"/>
      <c r="N12" s="19"/>
      <c r="O12" s="20" t="s">
        <v>113</v>
      </c>
      <c r="P12" s="19"/>
      <c r="R12" s="19">
        <v>2050</v>
      </c>
      <c r="S12" s="19" t="s">
        <v>81</v>
      </c>
      <c r="T12" s="19"/>
      <c r="U12" s="19">
        <v>96.296400000000006</v>
      </c>
      <c r="V12" s="19"/>
    </row>
    <row r="13" spans="1:22">
      <c r="B13" s="38"/>
      <c r="C13" s="38"/>
      <c r="D13" s="42" t="s">
        <v>113</v>
      </c>
      <c r="E13" s="38"/>
      <c r="F13" s="39"/>
      <c r="G13" s="38">
        <v>0</v>
      </c>
      <c r="H13" s="38" t="s">
        <v>81</v>
      </c>
      <c r="I13" s="38"/>
      <c r="J13" s="38">
        <v>5</v>
      </c>
      <c r="K13" s="38"/>
      <c r="M13" s="19"/>
      <c r="N13" s="19"/>
      <c r="O13" s="20" t="s">
        <v>113</v>
      </c>
      <c r="P13" s="19"/>
      <c r="R13" s="19">
        <v>0</v>
      </c>
      <c r="S13" s="19" t="s">
        <v>81</v>
      </c>
      <c r="T13" s="19"/>
      <c r="U13" s="19">
        <v>15</v>
      </c>
      <c r="V13" s="19"/>
    </row>
    <row r="14" spans="1:22">
      <c r="B14" s="38"/>
      <c r="C14" s="38"/>
      <c r="D14" s="42"/>
      <c r="E14" s="38"/>
      <c r="F14" s="39"/>
      <c r="G14" s="39"/>
      <c r="H14" s="38"/>
      <c r="I14" s="38"/>
      <c r="J14" s="38"/>
      <c r="K14" s="38"/>
      <c r="L14" s="19"/>
    </row>
    <row r="15" spans="1:22">
      <c r="B15" s="19"/>
      <c r="C15" s="19"/>
      <c r="D15" s="20"/>
      <c r="E15" s="19"/>
      <c r="H15" s="19"/>
      <c r="I15" s="19"/>
      <c r="J15" s="19"/>
      <c r="K15" s="19"/>
      <c r="L15" s="19"/>
    </row>
    <row r="16" spans="1:22">
      <c r="H16" t="s">
        <v>7</v>
      </c>
    </row>
    <row r="17" spans="2:13">
      <c r="B17" s="3" t="s">
        <v>0</v>
      </c>
      <c r="C17" s="2" t="s">
        <v>5</v>
      </c>
      <c r="D17" s="2" t="s">
        <v>4</v>
      </c>
      <c r="E17" s="2" t="s">
        <v>3</v>
      </c>
      <c r="F17" s="2" t="s">
        <v>2</v>
      </c>
      <c r="G17" s="2" t="s">
        <v>9</v>
      </c>
      <c r="H17" s="2" t="s">
        <v>152</v>
      </c>
      <c r="I17" s="36" t="s">
        <v>149</v>
      </c>
      <c r="J17" s="5" t="s">
        <v>17</v>
      </c>
      <c r="K17" s="3" t="s">
        <v>11</v>
      </c>
    </row>
    <row r="18" spans="2:13">
      <c r="B18" s="18" t="s">
        <v>150</v>
      </c>
      <c r="C18" s="18"/>
      <c r="D18" s="18"/>
      <c r="E18" s="18"/>
      <c r="F18" s="18"/>
      <c r="G18" s="18"/>
      <c r="H18" s="18"/>
      <c r="I18" s="18"/>
      <c r="J18" s="18" t="s">
        <v>151</v>
      </c>
      <c r="K18" s="37"/>
    </row>
    <row r="19" spans="2:13">
      <c r="B19" s="19" t="s">
        <v>147</v>
      </c>
      <c r="C19" t="s">
        <v>155</v>
      </c>
      <c r="D19" s="20" t="s">
        <v>156</v>
      </c>
      <c r="E19" t="s">
        <v>157</v>
      </c>
      <c r="F19" s="19">
        <v>2022</v>
      </c>
      <c r="G19" s="19" t="s">
        <v>81</v>
      </c>
      <c r="H19" t="s">
        <v>153</v>
      </c>
      <c r="I19" s="19">
        <v>1</v>
      </c>
      <c r="J19" s="19">
        <v>6</v>
      </c>
      <c r="K19" t="s">
        <v>148</v>
      </c>
      <c r="M19" s="19"/>
    </row>
    <row r="20" spans="2:13">
      <c r="B20" s="19"/>
      <c r="C20" t="s">
        <v>155</v>
      </c>
      <c r="D20" s="20" t="s">
        <v>156</v>
      </c>
      <c r="E20" t="s">
        <v>158</v>
      </c>
      <c r="F20" s="19">
        <v>2022</v>
      </c>
      <c r="G20" s="19"/>
      <c r="H20" t="s">
        <v>154</v>
      </c>
      <c r="I20" s="19">
        <v>-1</v>
      </c>
      <c r="J20" s="19"/>
      <c r="M20" s="19"/>
    </row>
    <row r="21" spans="2:13">
      <c r="B21" s="19"/>
      <c r="D21" s="20"/>
      <c r="F21">
        <v>0</v>
      </c>
      <c r="G21" t="s">
        <v>81</v>
      </c>
      <c r="H21" s="19"/>
      <c r="I21" s="19"/>
      <c r="J21" s="19">
        <v>5</v>
      </c>
      <c r="M21" s="19"/>
    </row>
    <row r="22" spans="2:13">
      <c r="B22" s="19"/>
      <c r="D22" s="20"/>
      <c r="I22" s="19"/>
      <c r="J22" s="19"/>
      <c r="M22" s="19"/>
    </row>
    <row r="23" spans="2:13">
      <c r="B23" s="19"/>
      <c r="D23" s="20"/>
      <c r="I23" s="19"/>
      <c r="J23" s="19"/>
      <c r="M23" s="19"/>
    </row>
    <row r="24" spans="2:13">
      <c r="B24" s="19"/>
      <c r="D24" s="20"/>
      <c r="I24" s="19"/>
      <c r="J24" s="19"/>
      <c r="M24" s="19"/>
    </row>
    <row r="25" spans="2:13">
      <c r="B25" s="19"/>
      <c r="C25" s="19"/>
      <c r="D25" s="20"/>
      <c r="E25" s="19"/>
      <c r="H25" s="19"/>
      <c r="J25" s="19"/>
    </row>
    <row r="27" spans="2:13">
      <c r="B27" s="6" t="s">
        <v>82</v>
      </c>
      <c r="H27" s="7"/>
      <c r="I27" s="7"/>
      <c r="J27" s="7"/>
    </row>
    <row r="28" spans="2:13" ht="15" thickBot="1">
      <c r="B28" s="8" t="s">
        <v>12</v>
      </c>
      <c r="C28" s="8" t="s">
        <v>9</v>
      </c>
      <c r="D28" s="8" t="s">
        <v>8</v>
      </c>
      <c r="E28" s="8" t="s">
        <v>2</v>
      </c>
      <c r="F28" s="9" t="str">
        <f>IF(Regions!C$3&lt;&gt;"",Regions!C$3,"*")</f>
        <v>IE</v>
      </c>
      <c r="G28" s="9" t="str">
        <f>IF(Regions!C$3&lt;&gt;"",Regions!D$3,"*")</f>
        <v>National</v>
      </c>
      <c r="H28" s="10" t="s">
        <v>4</v>
      </c>
      <c r="I28" s="10" t="s">
        <v>3</v>
      </c>
      <c r="J28" s="10" t="s">
        <v>91</v>
      </c>
    </row>
    <row r="29" spans="2:13">
      <c r="C29" t="s">
        <v>81</v>
      </c>
      <c r="D29" t="s">
        <v>89</v>
      </c>
      <c r="E29">
        <v>2025</v>
      </c>
      <c r="F29">
        <v>0</v>
      </c>
      <c r="G29">
        <f>F29</f>
        <v>0</v>
      </c>
      <c r="I29" t="s">
        <v>93</v>
      </c>
      <c r="J29">
        <v>0</v>
      </c>
      <c r="L29" s="17" t="s">
        <v>90</v>
      </c>
    </row>
    <row r="30" spans="2:13">
      <c r="C30" t="str">
        <f>C29</f>
        <v>UP</v>
      </c>
      <c r="D30" t="str">
        <f t="shared" ref="D30" si="0">D29</f>
        <v>ACT_BND</v>
      </c>
      <c r="E30">
        <v>0</v>
      </c>
      <c r="F30">
        <v>5</v>
      </c>
      <c r="G30">
        <f>F30</f>
        <v>5</v>
      </c>
      <c r="I30" t="str">
        <f>I29</f>
        <v>IMPBIO*1G*2,IMPBIO*1G*3,IMPBIO*1G*4</v>
      </c>
    </row>
    <row r="33" spans="2:13">
      <c r="B33" s="6" t="s">
        <v>82</v>
      </c>
      <c r="H33" s="7"/>
      <c r="I33" s="7"/>
    </row>
    <row r="34" spans="2:13" ht="15" thickBot="1">
      <c r="B34" s="8" t="s">
        <v>12</v>
      </c>
      <c r="C34" s="8" t="s">
        <v>9</v>
      </c>
      <c r="D34" s="8" t="s">
        <v>8</v>
      </c>
      <c r="E34" s="8" t="s">
        <v>2</v>
      </c>
      <c r="F34" s="9" t="str">
        <f>IF(Regions!C$3&lt;&gt;"",Regions!C$3,"*")</f>
        <v>IE</v>
      </c>
      <c r="G34" s="9" t="str">
        <f>IF(Regions!C$3&lt;&gt;"",Regions!D$3,"*")</f>
        <v>National</v>
      </c>
      <c r="H34" s="10" t="s">
        <v>1</v>
      </c>
      <c r="I34" s="10" t="s">
        <v>3</v>
      </c>
    </row>
    <row r="35" spans="2:13">
      <c r="C35" t="s">
        <v>81</v>
      </c>
      <c r="D35" t="s">
        <v>89</v>
      </c>
      <c r="E35">
        <v>2018</v>
      </c>
      <c r="F35">
        <v>0.35</v>
      </c>
      <c r="G35">
        <f>F35</f>
        <v>0.35</v>
      </c>
      <c r="H35" t="s">
        <v>92</v>
      </c>
      <c r="I35" t="s">
        <v>106</v>
      </c>
    </row>
    <row r="36" spans="2:13">
      <c r="C36" t="str">
        <f>C35</f>
        <v>UP</v>
      </c>
      <c r="D36" t="str">
        <f t="shared" ref="D36:D38" si="1">D35</f>
        <v>ACT_BND</v>
      </c>
      <c r="E36">
        <v>0</v>
      </c>
      <c r="F36">
        <v>5</v>
      </c>
      <c r="G36">
        <f>F36</f>
        <v>5</v>
      </c>
      <c r="H36" t="s">
        <v>92</v>
      </c>
      <c r="I36" t="str">
        <f>I35</f>
        <v>*GRID</v>
      </c>
    </row>
    <row r="37" spans="2:13">
      <c r="C37" t="s">
        <v>81</v>
      </c>
      <c r="D37" t="s">
        <v>89</v>
      </c>
      <c r="E37">
        <v>2030</v>
      </c>
      <c r="F37">
        <v>0</v>
      </c>
      <c r="G37">
        <f>F37</f>
        <v>0</v>
      </c>
      <c r="I37" t="s">
        <v>94</v>
      </c>
    </row>
    <row r="38" spans="2:13">
      <c r="C38" t="str">
        <f>C37</f>
        <v>UP</v>
      </c>
      <c r="D38" t="str">
        <f t="shared" si="1"/>
        <v>ACT_BND</v>
      </c>
      <c r="E38">
        <v>0</v>
      </c>
      <c r="F38">
        <v>5</v>
      </c>
      <c r="G38">
        <f>F38</f>
        <v>5</v>
      </c>
      <c r="I38" t="str">
        <f>I37</f>
        <v>IMPH2G</v>
      </c>
    </row>
    <row r="41" spans="2:13">
      <c r="B41" s="6" t="s">
        <v>15</v>
      </c>
      <c r="J41" s="7"/>
      <c r="K41" s="7"/>
      <c r="L41" s="7"/>
    </row>
    <row r="42" spans="2:13" ht="15" thickBot="1">
      <c r="B42" s="8" t="s">
        <v>12</v>
      </c>
      <c r="C42" s="8" t="s">
        <v>9</v>
      </c>
      <c r="D42" s="8" t="s">
        <v>8</v>
      </c>
      <c r="E42" s="8" t="s">
        <v>2</v>
      </c>
      <c r="F42" s="9" t="str">
        <f>IF(Regions!C$3&lt;&gt;"",Regions!C$3,"*")</f>
        <v>IE</v>
      </c>
      <c r="G42" s="9" t="str">
        <f>IF(Regions!D$3&lt;&gt;"",Regions!D$3,"*")</f>
        <v>National</v>
      </c>
      <c r="H42" s="10" t="s">
        <v>4</v>
      </c>
      <c r="I42" s="10" t="s">
        <v>3</v>
      </c>
    </row>
    <row r="43" spans="2:13">
      <c r="D43" t="s">
        <v>78</v>
      </c>
      <c r="F43">
        <v>2018</v>
      </c>
      <c r="G43">
        <v>2018</v>
      </c>
      <c r="I43" t="s">
        <v>79</v>
      </c>
      <c r="M43" s="17" t="s">
        <v>80</v>
      </c>
    </row>
    <row r="53" spans="2:11">
      <c r="E53" t="s">
        <v>180</v>
      </c>
    </row>
    <row r="54" spans="2:11" ht="15" thickBot="1">
      <c r="B54" s="19" t="s">
        <v>181</v>
      </c>
      <c r="C54" s="52" t="s">
        <v>182</v>
      </c>
      <c r="D54" s="52" t="s">
        <v>183</v>
      </c>
      <c r="E54" s="52">
        <v>2020</v>
      </c>
      <c r="F54" s="52">
        <v>2025</v>
      </c>
      <c r="G54" s="52">
        <v>2030</v>
      </c>
      <c r="H54" s="52">
        <v>2035</v>
      </c>
      <c r="I54" s="52">
        <v>2040</v>
      </c>
      <c r="J54" s="52">
        <v>2045</v>
      </c>
      <c r="K54" s="52">
        <v>2050</v>
      </c>
    </row>
    <row r="55" spans="2:11">
      <c r="B55" s="45" t="s">
        <v>184</v>
      </c>
      <c r="C55" s="19">
        <v>34.700000000000003</v>
      </c>
      <c r="D55" s="48">
        <v>9.6388888888888893</v>
      </c>
      <c r="E55" s="19">
        <v>1.8</v>
      </c>
      <c r="F55" s="19">
        <v>1.8</v>
      </c>
      <c r="G55" s="19">
        <v>1.8</v>
      </c>
      <c r="H55" s="19">
        <v>1.8</v>
      </c>
      <c r="I55" s="19">
        <v>3.6</v>
      </c>
      <c r="J55" s="19">
        <v>7.2</v>
      </c>
      <c r="K55" s="19">
        <v>7.2</v>
      </c>
    </row>
    <row r="56" spans="2:11">
      <c r="B56" s="43" t="s">
        <v>185</v>
      </c>
      <c r="C56" s="19">
        <v>34.700000000000003</v>
      </c>
      <c r="D56" s="48">
        <v>9.6388888888888893</v>
      </c>
      <c r="E56" s="19">
        <v>0</v>
      </c>
      <c r="F56" s="19">
        <v>3.6</v>
      </c>
      <c r="G56" s="19">
        <v>18</v>
      </c>
      <c r="H56" s="19">
        <v>36</v>
      </c>
      <c r="I56" s="19">
        <v>54</v>
      </c>
      <c r="J56" s="19">
        <v>61.2</v>
      </c>
      <c r="K56" s="19">
        <v>61.2</v>
      </c>
    </row>
    <row r="57" spans="2:11">
      <c r="B57" s="43" t="s">
        <v>186</v>
      </c>
      <c r="C57" s="19">
        <v>36.6</v>
      </c>
      <c r="D57" s="48">
        <v>10.166666666666666</v>
      </c>
      <c r="E57" s="19">
        <v>0</v>
      </c>
      <c r="F57" s="19">
        <v>0</v>
      </c>
      <c r="G57" s="19">
        <v>54</v>
      </c>
      <c r="H57" s="19">
        <v>54</v>
      </c>
      <c r="I57" s="19">
        <v>54</v>
      </c>
      <c r="J57" s="19">
        <v>54</v>
      </c>
      <c r="K57" s="19">
        <v>54</v>
      </c>
    </row>
    <row r="58" spans="2:11">
      <c r="B58" s="46" t="s">
        <v>187</v>
      </c>
      <c r="C58" s="44">
        <v>40.299999999999997</v>
      </c>
      <c r="D58" s="49">
        <v>11.194444444444443</v>
      </c>
      <c r="E58" s="44">
        <v>0</v>
      </c>
      <c r="F58" s="44">
        <v>0</v>
      </c>
      <c r="G58" s="44">
        <v>0</v>
      </c>
      <c r="H58" s="44">
        <v>3.6</v>
      </c>
      <c r="I58" s="44">
        <v>36</v>
      </c>
      <c r="J58" s="44">
        <v>36</v>
      </c>
      <c r="K58" s="44">
        <v>36</v>
      </c>
    </row>
    <row r="59" spans="2:11">
      <c r="C59" s="47"/>
      <c r="D59" s="47" t="s">
        <v>188</v>
      </c>
      <c r="E59" s="47">
        <v>1.8</v>
      </c>
      <c r="F59" s="47">
        <v>5.4</v>
      </c>
      <c r="G59" s="47">
        <v>73.8</v>
      </c>
      <c r="H59" s="47">
        <v>95.399999999999991</v>
      </c>
      <c r="I59" s="47">
        <v>147.6</v>
      </c>
      <c r="J59" s="47">
        <v>158.4</v>
      </c>
      <c r="K59" s="47">
        <v>158.4</v>
      </c>
    </row>
    <row r="60" spans="2:11">
      <c r="B60" s="50" t="s">
        <v>189</v>
      </c>
      <c r="C60" s="51" t="s">
        <v>190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2AC2E-E047-4124-A56C-AD8CA9B97A1E}">
  <sheetPr codeName="Sheet5"/>
  <dimension ref="B3:I12"/>
  <sheetViews>
    <sheetView workbookViewId="0">
      <selection activeCell="F27" sqref="F27"/>
    </sheetView>
  </sheetViews>
  <sheetFormatPr defaultRowHeight="14.5"/>
  <cols>
    <col min="4" max="4" width="10.54296875" bestFit="1" customWidth="1"/>
    <col min="9" max="9" width="15.453125" bestFit="1" customWidth="1"/>
  </cols>
  <sheetData>
    <row r="3" spans="2:9">
      <c r="B3" s="6" t="s">
        <v>82</v>
      </c>
      <c r="H3" s="7"/>
      <c r="I3" s="7"/>
    </row>
    <row r="4" spans="2:9" ht="15" thickBot="1">
      <c r="B4" s="8" t="s">
        <v>12</v>
      </c>
      <c r="C4" s="8" t="s">
        <v>9</v>
      </c>
      <c r="D4" s="8" t="s">
        <v>8</v>
      </c>
      <c r="E4" s="8" t="s">
        <v>2</v>
      </c>
      <c r="F4" s="9" t="str">
        <f>IF(Regions!C$3&lt;&gt;"",Regions!C$3,"*")</f>
        <v>IE</v>
      </c>
      <c r="G4" s="9" t="str">
        <f>IF(Regions!C$3&lt;&gt;"",Regions!D$3,"*")</f>
        <v>National</v>
      </c>
      <c r="H4" s="10" t="s">
        <v>1</v>
      </c>
      <c r="I4" s="10" t="s">
        <v>3</v>
      </c>
    </row>
    <row r="5" spans="2:9">
      <c r="C5" t="s">
        <v>81</v>
      </c>
      <c r="D5" t="s">
        <v>87</v>
      </c>
      <c r="E5">
        <v>2018</v>
      </c>
      <c r="F5">
        <v>0.115</v>
      </c>
      <c r="G5">
        <f>F5</f>
        <v>0.115</v>
      </c>
      <c r="I5" t="s">
        <v>96</v>
      </c>
    </row>
    <row r="6" spans="2:9">
      <c r="C6" t="s">
        <v>81</v>
      </c>
      <c r="D6" t="s">
        <v>87</v>
      </c>
      <c r="E6">
        <v>2018</v>
      </c>
      <c r="F6">
        <v>0.115</v>
      </c>
      <c r="G6">
        <f t="shared" ref="G6:G12" si="0">F6</f>
        <v>0.115</v>
      </c>
      <c r="I6" t="s">
        <v>97</v>
      </c>
    </row>
    <row r="7" spans="2:9">
      <c r="C7" t="s">
        <v>81</v>
      </c>
      <c r="D7" t="s">
        <v>87</v>
      </c>
      <c r="E7">
        <v>2018</v>
      </c>
      <c r="F7">
        <v>0.115</v>
      </c>
      <c r="G7">
        <f t="shared" si="0"/>
        <v>0.115</v>
      </c>
      <c r="I7" t="s">
        <v>98</v>
      </c>
    </row>
    <row r="8" spans="2:9">
      <c r="C8" t="s">
        <v>81</v>
      </c>
      <c r="D8" t="s">
        <v>87</v>
      </c>
      <c r="E8">
        <v>2018</v>
      </c>
      <c r="F8">
        <v>0.115</v>
      </c>
      <c r="G8">
        <f t="shared" si="0"/>
        <v>0.115</v>
      </c>
      <c r="I8" t="s">
        <v>99</v>
      </c>
    </row>
    <row r="9" spans="2:9">
      <c r="C9" t="s">
        <v>81</v>
      </c>
      <c r="D9" t="s">
        <v>87</v>
      </c>
      <c r="E9">
        <v>2018</v>
      </c>
      <c r="F9">
        <v>0.115</v>
      </c>
      <c r="G9">
        <f>F9</f>
        <v>0.115</v>
      </c>
      <c r="I9" t="s">
        <v>100</v>
      </c>
    </row>
    <row r="10" spans="2:9">
      <c r="C10" t="s">
        <v>81</v>
      </c>
      <c r="D10" t="s">
        <v>87</v>
      </c>
      <c r="E10">
        <v>2018</v>
      </c>
      <c r="F10">
        <v>0.115</v>
      </c>
      <c r="G10">
        <f t="shared" si="0"/>
        <v>0.115</v>
      </c>
      <c r="I10" t="s">
        <v>101</v>
      </c>
    </row>
    <row r="11" spans="2:9">
      <c r="C11" t="s">
        <v>81</v>
      </c>
      <c r="D11" t="s">
        <v>87</v>
      </c>
      <c r="E11">
        <v>2018</v>
      </c>
      <c r="F11">
        <v>0.115</v>
      </c>
      <c r="G11">
        <f t="shared" si="0"/>
        <v>0.115</v>
      </c>
      <c r="I11" t="s">
        <v>102</v>
      </c>
    </row>
    <row r="12" spans="2:9">
      <c r="C12" t="s">
        <v>81</v>
      </c>
      <c r="D12" t="s">
        <v>87</v>
      </c>
      <c r="E12">
        <v>2018</v>
      </c>
      <c r="F12">
        <v>0.115</v>
      </c>
      <c r="G12">
        <f t="shared" si="0"/>
        <v>0.115</v>
      </c>
      <c r="I12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B1178-AF9A-473D-9FB3-41C2F896D89C}">
  <sheetPr codeName="Sheet7"/>
  <dimension ref="B3:M91"/>
  <sheetViews>
    <sheetView tabSelected="1" workbookViewId="0">
      <selection activeCell="L8" sqref="L8"/>
    </sheetView>
  </sheetViews>
  <sheetFormatPr defaultRowHeight="14.5"/>
  <cols>
    <col min="2" max="2" width="22.81640625" customWidth="1"/>
    <col min="3" max="3" width="13.81640625" bestFit="1" customWidth="1"/>
    <col min="4" max="4" width="13.81640625" customWidth="1"/>
    <col min="5" max="6" width="11.7265625" customWidth="1"/>
    <col min="9" max="9" width="13.453125" customWidth="1"/>
    <col min="10" max="10" width="14.7265625" customWidth="1"/>
    <col min="11" max="11" width="28.453125" customWidth="1"/>
    <col min="12" max="12" width="10.7265625" bestFit="1" customWidth="1"/>
    <col min="14" max="14" width="22.54296875" bestFit="1" customWidth="1"/>
    <col min="20" max="20" width="11.81640625" bestFit="1" customWidth="1"/>
    <col min="21" max="21" width="13.81640625" bestFit="1" customWidth="1"/>
  </cols>
  <sheetData>
    <row r="3" spans="2:13">
      <c r="B3" s="6" t="s">
        <v>15</v>
      </c>
      <c r="J3" s="7"/>
      <c r="K3" s="7"/>
    </row>
    <row r="4" spans="2:13" ht="15" thickBot="1">
      <c r="B4" s="8" t="s">
        <v>12</v>
      </c>
      <c r="C4" s="8" t="s">
        <v>9</v>
      </c>
      <c r="D4" s="8" t="s">
        <v>8</v>
      </c>
      <c r="E4" s="8" t="s">
        <v>2</v>
      </c>
      <c r="F4" s="8" t="s">
        <v>13</v>
      </c>
      <c r="G4" s="8" t="s">
        <v>14</v>
      </c>
      <c r="H4" s="9" t="str">
        <f>IF(Regions!C$3&lt;&gt;"",Regions!C$3,"*")</f>
        <v>IE</v>
      </c>
      <c r="I4" s="9" t="str">
        <f>IF(Regions!D$3&lt;&gt;"",Regions!D$3,"*")</f>
        <v>National</v>
      </c>
      <c r="J4" s="10" t="s">
        <v>6</v>
      </c>
      <c r="K4" s="10" t="s">
        <v>3</v>
      </c>
    </row>
    <row r="5" spans="2:13">
      <c r="D5" t="s">
        <v>104</v>
      </c>
      <c r="H5" s="86" t="s">
        <v>252</v>
      </c>
      <c r="I5" s="86" t="str">
        <f>H5</f>
        <v>*0.85</v>
      </c>
      <c r="K5" t="s">
        <v>105</v>
      </c>
    </row>
    <row r="6" spans="2:13">
      <c r="H6" s="86"/>
      <c r="I6" s="86"/>
    </row>
    <row r="7" spans="2:13">
      <c r="H7" s="87"/>
      <c r="I7" s="87"/>
    </row>
    <row r="9" spans="2:13" s="53" customFormat="1"/>
    <row r="11" spans="2:13">
      <c r="B11" s="74" t="str">
        <f>"~UC_Sets: R_E: " &amp; _xlfn.TEXTJOIN(",",TRUE,Regions!C3:D3)</f>
        <v>~UC_Sets: R_E: IE,National</v>
      </c>
      <c r="C11" s="74"/>
    </row>
    <row r="12" spans="2:13">
      <c r="B12" s="4" t="s">
        <v>10</v>
      </c>
    </row>
    <row r="13" spans="2:13">
      <c r="G13" t="s">
        <v>259</v>
      </c>
    </row>
    <row r="14" spans="2:13">
      <c r="B14" s="76" t="s">
        <v>0</v>
      </c>
      <c r="C14" s="77" t="s">
        <v>255</v>
      </c>
      <c r="D14" s="77" t="s">
        <v>3</v>
      </c>
      <c r="E14" s="77" t="s">
        <v>198</v>
      </c>
      <c r="F14" s="77" t="s">
        <v>2</v>
      </c>
      <c r="G14" s="77" t="s">
        <v>9</v>
      </c>
      <c r="H14" s="18" t="s">
        <v>248</v>
      </c>
      <c r="I14" s="78" t="s">
        <v>253</v>
      </c>
      <c r="J14" s="78" t="s">
        <v>256</v>
      </c>
      <c r="K14" s="76" t="s">
        <v>11</v>
      </c>
      <c r="L14" s="5" t="s">
        <v>257</v>
      </c>
      <c r="M14" s="5" t="s">
        <v>258</v>
      </c>
    </row>
    <row r="15" spans="2:13">
      <c r="B15" s="19" t="s">
        <v>233</v>
      </c>
      <c r="C15" t="s">
        <v>254</v>
      </c>
      <c r="D15" s="20" t="s">
        <v>197</v>
      </c>
      <c r="E15" t="s">
        <v>199</v>
      </c>
      <c r="F15" s="19">
        <v>2025</v>
      </c>
      <c r="G15" s="19" t="s">
        <v>164</v>
      </c>
      <c r="H15">
        <v>1</v>
      </c>
      <c r="I15" s="75">
        <f>MIN(C62:H62)/1000</f>
        <v>84.308999999999997</v>
      </c>
      <c r="J15" s="75">
        <v>5</v>
      </c>
      <c r="K15" s="19" t="s">
        <v>232</v>
      </c>
      <c r="L15">
        <v>0</v>
      </c>
      <c r="M15">
        <v>5</v>
      </c>
    </row>
    <row r="16" spans="2:13">
      <c r="B16" s="19"/>
      <c r="D16" s="20" t="s">
        <v>197</v>
      </c>
      <c r="E16" t="s">
        <v>199</v>
      </c>
      <c r="F16" s="19">
        <v>2030</v>
      </c>
      <c r="G16" s="19" t="s">
        <v>164</v>
      </c>
      <c r="H16">
        <v>1</v>
      </c>
      <c r="I16" s="75">
        <f>I15*1.1</f>
        <v>92.739900000000006</v>
      </c>
      <c r="J16" s="75"/>
      <c r="K16" s="19"/>
    </row>
    <row r="17" spans="2:13">
      <c r="B17" s="19"/>
      <c r="D17" s="20" t="s">
        <v>197</v>
      </c>
      <c r="E17" t="s">
        <v>199</v>
      </c>
      <c r="F17" s="19">
        <v>2051</v>
      </c>
      <c r="G17" s="19" t="s">
        <v>164</v>
      </c>
      <c r="H17">
        <v>1</v>
      </c>
      <c r="I17" s="75">
        <v>0</v>
      </c>
      <c r="J17" s="75"/>
      <c r="K17" s="19"/>
    </row>
    <row r="18" spans="2:13">
      <c r="B18" s="19" t="s">
        <v>234</v>
      </c>
      <c r="C18" t="s">
        <v>254</v>
      </c>
      <c r="D18" s="20" t="s">
        <v>197</v>
      </c>
      <c r="E18" t="s">
        <v>199</v>
      </c>
      <c r="F18" s="19">
        <v>2025</v>
      </c>
      <c r="G18" s="19" t="s">
        <v>81</v>
      </c>
      <c r="H18">
        <v>1</v>
      </c>
      <c r="I18" s="75">
        <f>1.2*MAX(C74:H74)/1000</f>
        <v>266.64</v>
      </c>
      <c r="J18" s="75">
        <v>5</v>
      </c>
      <c r="K18" s="19" t="s">
        <v>235</v>
      </c>
      <c r="L18">
        <v>0</v>
      </c>
      <c r="M18">
        <v>5</v>
      </c>
    </row>
    <row r="19" spans="2:13">
      <c r="B19" s="19"/>
      <c r="D19" s="20" t="s">
        <v>197</v>
      </c>
      <c r="E19" t="s">
        <v>199</v>
      </c>
      <c r="F19" s="19">
        <v>2030</v>
      </c>
      <c r="G19" s="19" t="s">
        <v>81</v>
      </c>
      <c r="H19">
        <v>1</v>
      </c>
      <c r="I19" s="75">
        <f>+I18*1.3</f>
        <v>346.63200000000001</v>
      </c>
      <c r="J19" s="75"/>
      <c r="K19" s="19"/>
    </row>
    <row r="20" spans="2:13">
      <c r="B20" s="44"/>
      <c r="C20" s="18"/>
      <c r="D20" s="81" t="s">
        <v>197</v>
      </c>
      <c r="E20" s="18" t="s">
        <v>199</v>
      </c>
      <c r="F20" s="44">
        <v>2050</v>
      </c>
      <c r="G20" s="44" t="s">
        <v>81</v>
      </c>
      <c r="H20" s="18">
        <v>1</v>
      </c>
      <c r="I20" s="79">
        <f>I18*5</f>
        <v>1333.1999999999998</v>
      </c>
      <c r="J20" s="79"/>
      <c r="K20" s="44"/>
      <c r="M20" s="18"/>
    </row>
    <row r="21" spans="2:13">
      <c r="B21" s="19"/>
      <c r="D21" s="20"/>
      <c r="F21" s="19"/>
      <c r="G21" s="19"/>
      <c r="K21" s="19"/>
    </row>
    <row r="22" spans="2:13">
      <c r="F22" s="19"/>
      <c r="G22" s="19"/>
    </row>
    <row r="23" spans="2:13">
      <c r="B23" s="74" t="str">
        <f>"~UC_Sets: R_E: " &amp; _xlfn.TEXTJOIN(",",TRUE,Regions!C3:D3)</f>
        <v>~UC_Sets: R_E: IE,National</v>
      </c>
      <c r="C23" s="74"/>
    </row>
    <row r="24" spans="2:13">
      <c r="B24" s="4" t="s">
        <v>10</v>
      </c>
    </row>
    <row r="25" spans="2:13">
      <c r="G25" t="s">
        <v>259</v>
      </c>
    </row>
    <row r="26" spans="2:13">
      <c r="B26" s="76" t="s">
        <v>0</v>
      </c>
      <c r="C26" s="77" t="s">
        <v>255</v>
      </c>
      <c r="D26" s="77" t="s">
        <v>3</v>
      </c>
      <c r="E26" s="77" t="s">
        <v>198</v>
      </c>
      <c r="F26" s="77" t="s">
        <v>2</v>
      </c>
      <c r="G26" s="77" t="s">
        <v>9</v>
      </c>
      <c r="H26" s="18" t="s">
        <v>248</v>
      </c>
      <c r="I26" s="78" t="s">
        <v>253</v>
      </c>
      <c r="J26" s="78" t="s">
        <v>256</v>
      </c>
      <c r="K26" s="76" t="s">
        <v>11</v>
      </c>
      <c r="L26" s="5" t="s">
        <v>257</v>
      </c>
      <c r="M26" s="5" t="s">
        <v>258</v>
      </c>
    </row>
    <row r="27" spans="2:13">
      <c r="B27" s="19" t="s">
        <v>236</v>
      </c>
      <c r="C27" t="s">
        <v>254</v>
      </c>
      <c r="D27" s="20" t="s">
        <v>202</v>
      </c>
      <c r="E27" t="s">
        <v>199</v>
      </c>
      <c r="F27" s="19">
        <v>2024</v>
      </c>
      <c r="G27" s="19" t="s">
        <v>164</v>
      </c>
      <c r="H27">
        <v>1</v>
      </c>
      <c r="I27" s="82">
        <f>MIN(C78:H78)*0.5/1000</f>
        <v>1.0561541074426846</v>
      </c>
      <c r="J27">
        <v>5</v>
      </c>
      <c r="K27" s="19" t="s">
        <v>237</v>
      </c>
      <c r="L27">
        <v>0</v>
      </c>
      <c r="M27">
        <v>5</v>
      </c>
    </row>
    <row r="28" spans="2:13">
      <c r="B28" s="19"/>
      <c r="D28" s="20" t="s">
        <v>202</v>
      </c>
      <c r="E28" t="s">
        <v>199</v>
      </c>
      <c r="F28" s="19">
        <v>2040</v>
      </c>
      <c r="G28" s="19" t="s">
        <v>164</v>
      </c>
      <c r="H28">
        <v>1</v>
      </c>
      <c r="I28" s="82">
        <v>0</v>
      </c>
      <c r="K28" s="19"/>
    </row>
    <row r="29" spans="2:13">
      <c r="B29" s="19"/>
      <c r="D29" s="20" t="s">
        <v>202</v>
      </c>
      <c r="E29" t="s">
        <v>199</v>
      </c>
      <c r="F29" s="19">
        <v>2055</v>
      </c>
      <c r="G29" s="19" t="s">
        <v>164</v>
      </c>
      <c r="H29">
        <v>1</v>
      </c>
      <c r="I29" s="82">
        <v>0</v>
      </c>
      <c r="K29" s="19"/>
    </row>
    <row r="30" spans="2:13">
      <c r="B30" s="19" t="s">
        <v>239</v>
      </c>
      <c r="C30" t="s">
        <v>254</v>
      </c>
      <c r="D30" s="20" t="s">
        <v>202</v>
      </c>
      <c r="E30" t="s">
        <v>199</v>
      </c>
      <c r="F30" s="19">
        <v>2024</v>
      </c>
      <c r="G30" s="19" t="s">
        <v>81</v>
      </c>
      <c r="H30">
        <v>1</v>
      </c>
      <c r="I30" s="82">
        <f>2*MAX(C78:H78)/1000</f>
        <v>5.370076461803917</v>
      </c>
      <c r="J30">
        <v>5</v>
      </c>
      <c r="K30" s="19" t="s">
        <v>238</v>
      </c>
      <c r="L30">
        <v>0</v>
      </c>
      <c r="M30">
        <v>5</v>
      </c>
    </row>
    <row r="31" spans="2:13">
      <c r="B31" s="44"/>
      <c r="C31" s="18"/>
      <c r="D31" s="81" t="s">
        <v>202</v>
      </c>
      <c r="E31" s="18" t="s">
        <v>199</v>
      </c>
      <c r="F31" s="44">
        <v>2040</v>
      </c>
      <c r="G31" s="44" t="s">
        <v>81</v>
      </c>
      <c r="H31" s="18">
        <v>1</v>
      </c>
      <c r="I31" s="80">
        <f>I30*2</f>
        <v>10.740152923607834</v>
      </c>
      <c r="J31" s="18"/>
      <c r="K31" s="44"/>
    </row>
    <row r="32" spans="2:13">
      <c r="D32" s="81" t="s">
        <v>202</v>
      </c>
      <c r="E32" s="18" t="s">
        <v>199</v>
      </c>
      <c r="F32" s="44">
        <v>2050</v>
      </c>
      <c r="G32" s="44" t="s">
        <v>81</v>
      </c>
      <c r="H32" s="18">
        <v>1</v>
      </c>
      <c r="I32" s="80">
        <f>I31*5</f>
        <v>53.700764618039173</v>
      </c>
      <c r="M32" s="18"/>
    </row>
    <row r="33" spans="2:13">
      <c r="F33" s="19"/>
      <c r="G33" s="19"/>
    </row>
    <row r="34" spans="2:13">
      <c r="F34" s="19"/>
      <c r="G34" s="19"/>
    </row>
    <row r="35" spans="2:13">
      <c r="B35" s="74" t="str">
        <f>"~UC_Sets: R_E: " &amp; _xlfn.TEXTJOIN(",",TRUE,Regions!C3:D3)</f>
        <v>~UC_Sets: R_E: IE,National</v>
      </c>
      <c r="C35" s="74"/>
    </row>
    <row r="36" spans="2:13">
      <c r="B36" s="4" t="s">
        <v>10</v>
      </c>
    </row>
    <row r="37" spans="2:13">
      <c r="G37" t="s">
        <v>259</v>
      </c>
    </row>
    <row r="38" spans="2:13">
      <c r="B38" s="76" t="s">
        <v>0</v>
      </c>
      <c r="C38" s="77" t="s">
        <v>255</v>
      </c>
      <c r="D38" s="77" t="s">
        <v>3</v>
      </c>
      <c r="E38" s="77" t="s">
        <v>198</v>
      </c>
      <c r="F38" s="77" t="s">
        <v>2</v>
      </c>
      <c r="G38" s="77" t="s">
        <v>9</v>
      </c>
      <c r="H38" s="18" t="s">
        <v>248</v>
      </c>
      <c r="I38" s="78" t="s">
        <v>253</v>
      </c>
      <c r="J38" s="78" t="s">
        <v>256</v>
      </c>
      <c r="K38" s="76" t="s">
        <v>11</v>
      </c>
      <c r="L38" s="5" t="s">
        <v>257</v>
      </c>
      <c r="M38" s="5" t="s">
        <v>258</v>
      </c>
    </row>
    <row r="39" spans="2:13">
      <c r="B39" s="19" t="s">
        <v>240</v>
      </c>
      <c r="C39" t="s">
        <v>254</v>
      </c>
      <c r="D39" s="20" t="s">
        <v>201</v>
      </c>
      <c r="E39" t="s">
        <v>199</v>
      </c>
      <c r="F39" s="19">
        <v>2024</v>
      </c>
      <c r="G39" s="19" t="s">
        <v>164</v>
      </c>
      <c r="H39">
        <v>1</v>
      </c>
      <c r="I39" s="82">
        <f>MIN(C77:H77)*0.5/1000</f>
        <v>0.45905338863054296</v>
      </c>
      <c r="J39" s="19">
        <v>5</v>
      </c>
      <c r="K39" s="19" t="s">
        <v>242</v>
      </c>
      <c r="L39">
        <v>0</v>
      </c>
      <c r="M39">
        <v>5</v>
      </c>
    </row>
    <row r="40" spans="2:13">
      <c r="B40" s="19"/>
      <c r="D40" s="20" t="s">
        <v>201</v>
      </c>
      <c r="E40" t="s">
        <v>199</v>
      </c>
      <c r="F40" s="19">
        <v>2040</v>
      </c>
      <c r="G40" s="19" t="s">
        <v>164</v>
      </c>
      <c r="H40">
        <v>1</v>
      </c>
      <c r="I40" s="82">
        <v>0</v>
      </c>
      <c r="J40" s="19"/>
      <c r="K40" s="19"/>
    </row>
    <row r="41" spans="2:13">
      <c r="B41" s="19"/>
      <c r="D41" s="20" t="s">
        <v>201</v>
      </c>
      <c r="E41" t="s">
        <v>199</v>
      </c>
      <c r="F41" s="19">
        <v>2055</v>
      </c>
      <c r="G41" s="19" t="s">
        <v>164</v>
      </c>
      <c r="H41">
        <v>1</v>
      </c>
      <c r="I41" s="82">
        <v>0</v>
      </c>
      <c r="J41" s="19"/>
      <c r="K41" s="19"/>
    </row>
    <row r="42" spans="2:13">
      <c r="B42" s="19" t="s">
        <v>241</v>
      </c>
      <c r="C42" t="s">
        <v>254</v>
      </c>
      <c r="D42" s="20" t="s">
        <v>201</v>
      </c>
      <c r="E42" t="s">
        <v>199</v>
      </c>
      <c r="F42" s="19">
        <v>2024</v>
      </c>
      <c r="G42" s="19" t="s">
        <v>81</v>
      </c>
      <c r="H42">
        <v>1</v>
      </c>
      <c r="I42" s="82">
        <f>2*MAX(C77:H77)/1000</f>
        <v>2.3340834255383354</v>
      </c>
      <c r="J42" s="19">
        <v>5</v>
      </c>
      <c r="K42" s="19" t="s">
        <v>243</v>
      </c>
      <c r="L42">
        <v>0</v>
      </c>
      <c r="M42">
        <v>5</v>
      </c>
    </row>
    <row r="43" spans="2:13">
      <c r="B43" s="44"/>
      <c r="C43" s="18"/>
      <c r="D43" s="81" t="s">
        <v>201</v>
      </c>
      <c r="E43" s="18" t="s">
        <v>199</v>
      </c>
      <c r="F43" s="44">
        <v>2040</v>
      </c>
      <c r="G43" s="44" t="s">
        <v>81</v>
      </c>
      <c r="H43" s="18">
        <v>1</v>
      </c>
      <c r="I43" s="80">
        <f>I42*2</f>
        <v>4.6681668510766707</v>
      </c>
      <c r="J43" s="44"/>
      <c r="K43" s="44"/>
    </row>
    <row r="44" spans="2:13">
      <c r="D44" s="81" t="s">
        <v>201</v>
      </c>
      <c r="E44" s="18" t="s">
        <v>199</v>
      </c>
      <c r="F44" s="44">
        <v>2050</v>
      </c>
      <c r="G44" s="44" t="s">
        <v>81</v>
      </c>
      <c r="H44" s="18">
        <v>1</v>
      </c>
      <c r="I44" s="80">
        <f>I43*5</f>
        <v>23.340834255383353</v>
      </c>
      <c r="M44" s="18"/>
    </row>
    <row r="45" spans="2:13">
      <c r="F45" s="19"/>
      <c r="G45" s="19"/>
      <c r="I45" s="83"/>
    </row>
    <row r="46" spans="2:13">
      <c r="F46" s="19"/>
      <c r="G46" s="19"/>
      <c r="I46" s="83"/>
    </row>
    <row r="47" spans="2:13">
      <c r="B47" s="74" t="str">
        <f>"~UC_Sets: R_E: " &amp; _xlfn.TEXTJOIN(",",TRUE,Regions!C3:D3)</f>
        <v>~UC_Sets: R_E: IE,National</v>
      </c>
      <c r="C47" s="74"/>
      <c r="I47" s="83"/>
    </row>
    <row r="48" spans="2:13">
      <c r="B48" s="4" t="s">
        <v>10</v>
      </c>
      <c r="I48" s="83"/>
    </row>
    <row r="49" spans="2:13">
      <c r="G49" t="s">
        <v>259</v>
      </c>
      <c r="I49" s="83"/>
    </row>
    <row r="50" spans="2:13">
      <c r="B50" s="76" t="s">
        <v>0</v>
      </c>
      <c r="C50" s="77" t="s">
        <v>255</v>
      </c>
      <c r="D50" s="77" t="s">
        <v>3</v>
      </c>
      <c r="E50" s="77" t="s">
        <v>198</v>
      </c>
      <c r="F50" s="77" t="s">
        <v>2</v>
      </c>
      <c r="G50" s="77" t="s">
        <v>9</v>
      </c>
      <c r="H50" s="18" t="s">
        <v>248</v>
      </c>
      <c r="I50" s="78" t="s">
        <v>253</v>
      </c>
      <c r="J50" s="78" t="s">
        <v>256</v>
      </c>
      <c r="K50" s="76" t="s">
        <v>11</v>
      </c>
      <c r="L50" s="5" t="s">
        <v>257</v>
      </c>
      <c r="M50" s="5" t="s">
        <v>258</v>
      </c>
    </row>
    <row r="51" spans="2:13">
      <c r="B51" s="19" t="s">
        <v>244</v>
      </c>
      <c r="C51" t="s">
        <v>254</v>
      </c>
      <c r="D51" s="20" t="s">
        <v>200</v>
      </c>
      <c r="E51" t="s">
        <v>199</v>
      </c>
      <c r="F51" s="19">
        <v>2024</v>
      </c>
      <c r="G51" s="19" t="s">
        <v>164</v>
      </c>
      <c r="H51">
        <v>1</v>
      </c>
      <c r="I51" s="82">
        <f>MIN(C76:H76)*0.5/1000</f>
        <v>14.343833406839419</v>
      </c>
      <c r="J51" s="19">
        <v>5</v>
      </c>
      <c r="K51" s="19" t="s">
        <v>246</v>
      </c>
      <c r="L51">
        <v>0</v>
      </c>
      <c r="M51">
        <v>5</v>
      </c>
    </row>
    <row r="52" spans="2:13">
      <c r="B52" s="19"/>
      <c r="D52" s="20" t="s">
        <v>200</v>
      </c>
      <c r="E52" t="s">
        <v>199</v>
      </c>
      <c r="F52" s="19">
        <v>2040</v>
      </c>
      <c r="G52" s="19" t="s">
        <v>164</v>
      </c>
      <c r="H52">
        <v>1</v>
      </c>
      <c r="I52" s="82">
        <v>0</v>
      </c>
      <c r="J52" s="19"/>
      <c r="K52" s="19" t="s">
        <v>246</v>
      </c>
    </row>
    <row r="53" spans="2:13">
      <c r="B53" s="19"/>
      <c r="D53" s="20" t="s">
        <v>200</v>
      </c>
      <c r="E53" t="s">
        <v>199</v>
      </c>
      <c r="F53" s="19">
        <v>2051</v>
      </c>
      <c r="G53" s="19" t="s">
        <v>164</v>
      </c>
      <c r="H53">
        <v>1</v>
      </c>
      <c r="I53" s="82">
        <v>0</v>
      </c>
      <c r="J53" s="19"/>
      <c r="K53" s="19"/>
    </row>
    <row r="54" spans="2:13">
      <c r="B54" s="19" t="s">
        <v>245</v>
      </c>
      <c r="C54" t="s">
        <v>254</v>
      </c>
      <c r="D54" s="20" t="s">
        <v>200</v>
      </c>
      <c r="E54" t="s">
        <v>199</v>
      </c>
      <c r="F54" s="19">
        <v>2024</v>
      </c>
      <c r="G54" s="19" t="s">
        <v>81</v>
      </c>
      <c r="H54">
        <v>1</v>
      </c>
      <c r="I54" s="82">
        <f>2*MAX(C76:H76)/1000</f>
        <v>72.932048085875735</v>
      </c>
      <c r="J54" s="19">
        <v>5</v>
      </c>
      <c r="K54" s="19" t="s">
        <v>247</v>
      </c>
      <c r="L54">
        <v>0</v>
      </c>
      <c r="M54">
        <v>5</v>
      </c>
    </row>
    <row r="55" spans="2:13">
      <c r="B55" s="44"/>
      <c r="C55" s="18"/>
      <c r="D55" s="81" t="s">
        <v>200</v>
      </c>
      <c r="E55" s="18" t="s">
        <v>199</v>
      </c>
      <c r="F55" s="44">
        <v>2040</v>
      </c>
      <c r="G55" s="44" t="s">
        <v>81</v>
      </c>
      <c r="H55" s="18">
        <v>1</v>
      </c>
      <c r="I55" s="80">
        <f>I54*2</f>
        <v>145.86409617175147</v>
      </c>
      <c r="J55" s="44"/>
      <c r="K55" s="44" t="s">
        <v>247</v>
      </c>
    </row>
    <row r="56" spans="2:13">
      <c r="D56" s="81" t="s">
        <v>200</v>
      </c>
      <c r="E56" s="18" t="s">
        <v>199</v>
      </c>
      <c r="F56" s="44">
        <v>2050</v>
      </c>
      <c r="G56" s="44" t="s">
        <v>81</v>
      </c>
      <c r="H56" s="18">
        <v>1</v>
      </c>
      <c r="I56" s="80">
        <f>I55*5</f>
        <v>729.32048085875738</v>
      </c>
      <c r="M56" s="18"/>
    </row>
    <row r="57" spans="2:13">
      <c r="F57" s="19"/>
      <c r="G57" s="19"/>
    </row>
    <row r="60" spans="2:13">
      <c r="B60" s="58" t="s">
        <v>203</v>
      </c>
      <c r="C60" s="58"/>
      <c r="D60" s="58"/>
    </row>
    <row r="61" spans="2:13" ht="15.5">
      <c r="B61" s="58"/>
      <c r="C61" s="64">
        <v>2018</v>
      </c>
      <c r="D61" s="64">
        <v>2019</v>
      </c>
      <c r="E61" s="64">
        <v>2020</v>
      </c>
      <c r="F61" s="64">
        <v>2021</v>
      </c>
      <c r="G61" s="64">
        <v>2022</v>
      </c>
      <c r="H61" s="64">
        <v>2023</v>
      </c>
    </row>
    <row r="62" spans="2:13">
      <c r="B62" s="59" t="s">
        <v>204</v>
      </c>
      <c r="C62" s="60">
        <v>121157</v>
      </c>
      <c r="D62" s="60">
        <v>113305</v>
      </c>
      <c r="E62" s="60">
        <v>84309</v>
      </c>
      <c r="F62" s="60">
        <v>101853</v>
      </c>
      <c r="G62" s="60">
        <v>101349</v>
      </c>
      <c r="H62" s="60">
        <v>117424</v>
      </c>
    </row>
    <row r="63" spans="2:13">
      <c r="B63" s="59" t="s">
        <v>205</v>
      </c>
      <c r="C63" s="60">
        <v>25459</v>
      </c>
      <c r="D63" s="60">
        <v>24645</v>
      </c>
      <c r="E63" s="60">
        <v>21495</v>
      </c>
      <c r="F63" s="60">
        <v>28387</v>
      </c>
      <c r="G63" s="60">
        <v>23655</v>
      </c>
      <c r="H63" s="60">
        <v>29038</v>
      </c>
    </row>
    <row r="64" spans="2:13">
      <c r="B64" s="59" t="s">
        <v>206</v>
      </c>
      <c r="C64" s="60">
        <v>157865</v>
      </c>
      <c r="D64" s="60">
        <v>149748</v>
      </c>
      <c r="E64" s="60">
        <v>10710</v>
      </c>
      <c r="F64" s="60">
        <v>12136</v>
      </c>
      <c r="G64" s="60">
        <v>12244</v>
      </c>
      <c r="H64" s="60">
        <v>13316</v>
      </c>
    </row>
    <row r="65" spans="2:8">
      <c r="B65" s="59" t="s">
        <v>207</v>
      </c>
      <c r="C65" s="63">
        <v>304481</v>
      </c>
      <c r="D65" s="63">
        <v>287698</v>
      </c>
      <c r="E65" s="63">
        <v>116514</v>
      </c>
      <c r="F65" s="63">
        <v>142376</v>
      </c>
      <c r="G65" s="63">
        <v>137248</v>
      </c>
      <c r="H65" s="63">
        <v>159778</v>
      </c>
    </row>
    <row r="66" spans="2:8">
      <c r="B66" s="59" t="s">
        <v>208</v>
      </c>
      <c r="C66" s="60">
        <v>99456</v>
      </c>
      <c r="D66" s="60">
        <v>108895</v>
      </c>
      <c r="E66" s="60">
        <v>78541</v>
      </c>
      <c r="F66" s="60">
        <v>68042</v>
      </c>
      <c r="G66" s="60">
        <v>46567</v>
      </c>
      <c r="H66" s="60">
        <v>50381</v>
      </c>
    </row>
    <row r="67" spans="2:8">
      <c r="B67" s="59" t="s">
        <v>209</v>
      </c>
      <c r="C67" s="60">
        <v>14859</v>
      </c>
      <c r="D67" s="60">
        <v>15152</v>
      </c>
      <c r="E67" s="60">
        <v>11573</v>
      </c>
      <c r="F67" s="60">
        <v>10631</v>
      </c>
      <c r="G67" s="60">
        <v>8063</v>
      </c>
      <c r="H67" s="60">
        <v>9443</v>
      </c>
    </row>
    <row r="68" spans="2:8">
      <c r="B68" s="59" t="s">
        <v>210</v>
      </c>
      <c r="C68" s="60">
        <v>125874</v>
      </c>
      <c r="D68" s="60">
        <v>137196</v>
      </c>
      <c r="E68" s="60">
        <v>11178</v>
      </c>
      <c r="F68" s="60">
        <v>13288</v>
      </c>
      <c r="G68" s="60">
        <v>10823</v>
      </c>
      <c r="H68" s="60">
        <v>11011</v>
      </c>
    </row>
    <row r="69" spans="2:8">
      <c r="B69" s="61" t="s">
        <v>211</v>
      </c>
      <c r="C69" s="62">
        <v>240189</v>
      </c>
      <c r="D69" s="62">
        <v>261243</v>
      </c>
      <c r="E69" s="62">
        <v>101472</v>
      </c>
      <c r="F69" s="62">
        <v>91961</v>
      </c>
      <c r="G69" s="62">
        <v>65453</v>
      </c>
      <c r="H69" s="62">
        <v>70835</v>
      </c>
    </row>
    <row r="70" spans="2:8">
      <c r="B70" s="59" t="s">
        <v>212</v>
      </c>
    </row>
    <row r="71" spans="2:8">
      <c r="B71" s="65" t="s">
        <v>213</v>
      </c>
    </row>
    <row r="73" spans="2:8" ht="15.5">
      <c r="B73" s="59" t="s">
        <v>214</v>
      </c>
      <c r="C73" s="64">
        <v>2018</v>
      </c>
      <c r="D73" s="64">
        <v>2019</v>
      </c>
      <c r="E73" s="64">
        <v>2020</v>
      </c>
      <c r="F73" s="64">
        <v>2021</v>
      </c>
      <c r="G73" s="64">
        <v>2022</v>
      </c>
      <c r="H73" s="64">
        <v>2023</v>
      </c>
    </row>
    <row r="74" spans="2:8">
      <c r="B74" t="s">
        <v>215</v>
      </c>
      <c r="C74" s="56">
        <f>C62+C66</f>
        <v>220613</v>
      </c>
      <c r="D74" s="56">
        <f t="shared" ref="D74:H74" si="0">D62+D66</f>
        <v>222200</v>
      </c>
      <c r="E74" s="56">
        <f t="shared" si="0"/>
        <v>162850</v>
      </c>
      <c r="F74" s="56">
        <f t="shared" si="0"/>
        <v>169895</v>
      </c>
      <c r="G74" s="56">
        <f t="shared" si="0"/>
        <v>147916</v>
      </c>
      <c r="H74" s="56">
        <f t="shared" si="0"/>
        <v>167805</v>
      </c>
    </row>
    <row r="75" spans="2:8">
      <c r="B75" t="s">
        <v>216</v>
      </c>
      <c r="C75" s="56">
        <f>C63+C67</f>
        <v>40318</v>
      </c>
      <c r="D75" s="56">
        <f t="shared" ref="D75:H75" si="1">D63+D67</f>
        <v>39797</v>
      </c>
      <c r="E75" s="56">
        <f t="shared" si="1"/>
        <v>33068</v>
      </c>
      <c r="F75" s="56">
        <f t="shared" si="1"/>
        <v>39018</v>
      </c>
      <c r="G75" s="56">
        <f t="shared" si="1"/>
        <v>31718</v>
      </c>
      <c r="H75" s="56">
        <f t="shared" si="1"/>
        <v>38481</v>
      </c>
    </row>
    <row r="76" spans="2:8">
      <c r="B76" t="s">
        <v>217</v>
      </c>
      <c r="C76" s="56">
        <f>C75*$G$88</f>
        <v>36466.024042937868</v>
      </c>
      <c r="D76" s="56">
        <f t="shared" ref="D76:H76" si="2">D75*$G$88</f>
        <v>35994.800308467646</v>
      </c>
      <c r="E76" s="56">
        <f t="shared" si="2"/>
        <v>29908.688006643919</v>
      </c>
      <c r="F76" s="56">
        <f t="shared" si="2"/>
        <v>35290.225857119643</v>
      </c>
      <c r="G76" s="56">
        <f t="shared" si="2"/>
        <v>28687.666813678839</v>
      </c>
      <c r="H76" s="56">
        <f t="shared" si="2"/>
        <v>34804.530760362424</v>
      </c>
    </row>
    <row r="77" spans="2:8">
      <c r="B77" t="s">
        <v>218</v>
      </c>
      <c r="C77" s="56">
        <f>C75*$G$89</f>
        <v>1167.0417127691676</v>
      </c>
      <c r="D77" s="56">
        <f t="shared" ref="D77:H77" si="3">D75*$G$89</f>
        <v>1151.9608870250152</v>
      </c>
      <c r="E77" s="56">
        <f t="shared" si="3"/>
        <v>957.18377295130801</v>
      </c>
      <c r="F77" s="56">
        <f t="shared" si="3"/>
        <v>1129.4120132156204</v>
      </c>
      <c r="G77" s="56">
        <f t="shared" si="3"/>
        <v>918.10677726108588</v>
      </c>
      <c r="H77" s="56">
        <f t="shared" si="3"/>
        <v>1113.868052707732</v>
      </c>
    </row>
    <row r="78" spans="2:8">
      <c r="B78" t="s">
        <v>219</v>
      </c>
      <c r="C78" s="56">
        <f>C75*$G$90</f>
        <v>2685.0382309019583</v>
      </c>
      <c r="D78" s="56">
        <f t="shared" ref="D78:H78" si="4">D75*$G$90</f>
        <v>2650.3414473735111</v>
      </c>
      <c r="E78" s="56">
        <f t="shared" si="4"/>
        <v>2202.2135080972753</v>
      </c>
      <c r="F78" s="56">
        <f t="shared" si="4"/>
        <v>2598.4627633645669</v>
      </c>
      <c r="G78" s="56">
        <f t="shared" si="4"/>
        <v>2112.3082148853691</v>
      </c>
      <c r="H78" s="56">
        <f t="shared" si="4"/>
        <v>2562.7004356202751</v>
      </c>
    </row>
    <row r="82" spans="2:8">
      <c r="B82" t="s">
        <v>220</v>
      </c>
    </row>
    <row r="83" spans="2:8">
      <c r="B83" s="67" t="s">
        <v>221</v>
      </c>
      <c r="C83" s="68" t="s">
        <v>222</v>
      </c>
      <c r="G83">
        <v>2022</v>
      </c>
      <c r="H83">
        <v>2050</v>
      </c>
    </row>
    <row r="84" spans="2:8">
      <c r="B84" s="69" t="s">
        <v>223</v>
      </c>
      <c r="C84" s="70">
        <v>387723</v>
      </c>
      <c r="F84" t="s">
        <v>217</v>
      </c>
      <c r="G84">
        <f>C85+C86</f>
        <v>350680</v>
      </c>
      <c r="H84" s="55">
        <v>771496.00000000012</v>
      </c>
    </row>
    <row r="85" spans="2:8">
      <c r="B85" s="71" t="s">
        <v>224</v>
      </c>
      <c r="C85" s="72">
        <v>222953</v>
      </c>
      <c r="F85" t="s">
        <v>218</v>
      </c>
      <c r="G85">
        <f>C87+C88</f>
        <v>11223</v>
      </c>
      <c r="H85" s="55">
        <v>24690.600000000002</v>
      </c>
    </row>
    <row r="86" spans="2:8">
      <c r="B86" s="69" t="s">
        <v>225</v>
      </c>
      <c r="C86" s="70">
        <v>127727</v>
      </c>
      <c r="F86" t="s">
        <v>219</v>
      </c>
      <c r="G86">
        <f>C89+C90</f>
        <v>25821</v>
      </c>
      <c r="H86" s="55">
        <v>56806.200000000004</v>
      </c>
    </row>
    <row r="87" spans="2:8">
      <c r="B87" s="71" t="s">
        <v>226</v>
      </c>
      <c r="C87" s="72">
        <v>4421</v>
      </c>
      <c r="G87" t="s">
        <v>227</v>
      </c>
    </row>
    <row r="88" spans="2:8">
      <c r="B88" s="69" t="s">
        <v>228</v>
      </c>
      <c r="C88" s="70">
        <v>6802</v>
      </c>
      <c r="F88" t="s">
        <v>217</v>
      </c>
      <c r="G88" s="54">
        <f>G84/$C$84</f>
        <v>0.90446014293709687</v>
      </c>
    </row>
    <row r="89" spans="2:8">
      <c r="B89" s="71" t="s">
        <v>229</v>
      </c>
      <c r="C89" s="72">
        <v>9100</v>
      </c>
      <c r="F89" t="s">
        <v>218</v>
      </c>
      <c r="G89" s="54">
        <f t="shared" ref="G89:G90" si="5">G85/$C$84</f>
        <v>2.8945922733497883E-2</v>
      </c>
    </row>
    <row r="90" spans="2:8">
      <c r="B90" s="73" t="s">
        <v>230</v>
      </c>
      <c r="C90" s="66">
        <v>16721</v>
      </c>
      <c r="F90" t="s">
        <v>219</v>
      </c>
      <c r="G90" s="54">
        <f t="shared" si="5"/>
        <v>6.659651349030106E-2</v>
      </c>
    </row>
    <row r="91" spans="2:8">
      <c r="B91" s="57" t="s">
        <v>231</v>
      </c>
    </row>
  </sheetData>
  <phoneticPr fontId="49" type="noConversion"/>
  <hyperlinks>
    <hyperlink ref="B71" r:id="rId1" location=":~:text=The%20number%20of%20new%20cars,2022%20(50%2C381%20versus%2046%2C567)." xr:uid="{D6FC7503-56E3-4D02-ABAF-AE1C4A4C08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Regions</vt:lpstr>
      <vt:lpstr>PWR</vt:lpstr>
      <vt:lpstr>SYS</vt:lpstr>
      <vt:lpstr>SUP</vt:lpstr>
      <vt:lpstr>SRV</vt:lpstr>
      <vt:lpstr>TRA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Neha Jaggeshar</cp:lastModifiedBy>
  <dcterms:created xsi:type="dcterms:W3CDTF">2009-05-27T15:40:55Z</dcterms:created>
  <dcterms:modified xsi:type="dcterms:W3CDTF">2026-02-02T12:07:13Z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129812121391296</vt:r8>
  </property>
</Properties>
</file>