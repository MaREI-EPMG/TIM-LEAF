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SuppXLS\"/>
    </mc:Choice>
  </mc:AlternateContent>
  <xr:revisionPtr revIDLastSave="0" documentId="13_ncr:1_{0B6F6984-931B-4C3D-AA73-05613D1D54F2}" xr6:coauthVersionLast="47" xr6:coauthVersionMax="47" xr10:uidLastSave="{00000000-0000-0000-0000-000000000000}"/>
  <bookViews>
    <workbookView xWindow="15120" yWindow="-16310" windowWidth="29020" windowHeight="15700" xr2:uid="{00000000-000D-0000-FFFF-FFFF00000000}"/>
  </bookViews>
  <sheets>
    <sheet name="Cover" sheetId="4" r:id="rId1"/>
    <sheet name="Regions" sheetId="2" r:id="rId2"/>
    <sheet name="UC_CCS" sheetId="1" r:id="rId3"/>
    <sheet name="FLO_EMIS" sheetId="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3" l="1"/>
  <c r="K5" i="3"/>
  <c r="K6" i="3"/>
  <c r="K8" i="3"/>
  <c r="K7" i="3"/>
  <c r="K9" i="3"/>
  <c r="K10" i="3"/>
  <c r="K11" i="3"/>
  <c r="G11" i="3"/>
  <c r="G10" i="3"/>
  <c r="G4" i="3" l="1"/>
  <c r="G5" i="3"/>
  <c r="G6" i="3"/>
  <c r="G8" i="3"/>
  <c r="G7" i="3"/>
  <c r="G9" i="3"/>
  <c r="G3" i="3"/>
  <c r="F3" i="3"/>
  <c r="B2" i="1"/>
  <c r="D7" i="2"/>
  <c r="C7" i="2"/>
  <c r="AC6" i="2"/>
  <c r="AB6" i="2"/>
  <c r="AA6" i="2"/>
  <c r="U6" i="2"/>
  <c r="T6" i="2"/>
  <c r="S6" i="2"/>
  <c r="M6" i="2"/>
  <c r="L6" i="2"/>
  <c r="K6" i="2"/>
  <c r="E6" i="2"/>
  <c r="D6" i="2"/>
  <c r="C6" i="2"/>
  <c r="AD5" i="2"/>
  <c r="AD7" i="2" s="1"/>
  <c r="AC5" i="2"/>
  <c r="AC7" i="2" s="1"/>
  <c r="AB5" i="2"/>
  <c r="AB7" i="2" s="1"/>
  <c r="AA5" i="2"/>
  <c r="AA7" i="2" s="1"/>
  <c r="Z5" i="2"/>
  <c r="Z6" i="2" s="1"/>
  <c r="Y5" i="2"/>
  <c r="Y6" i="2" s="1"/>
  <c r="X5" i="2"/>
  <c r="X6" i="2" s="1"/>
  <c r="W5" i="2"/>
  <c r="W7" i="2" s="1"/>
  <c r="V5" i="2"/>
  <c r="V7" i="2" s="1"/>
  <c r="U5" i="2"/>
  <c r="U7" i="2" s="1"/>
  <c r="T5" i="2"/>
  <c r="T7" i="2" s="1"/>
  <c r="S5" i="2"/>
  <c r="S7" i="2" s="1"/>
  <c r="R5" i="2"/>
  <c r="R6" i="2" s="1"/>
  <c r="Q5" i="2"/>
  <c r="Q6" i="2" s="1"/>
  <c r="P5" i="2"/>
  <c r="P6" i="2" s="1"/>
  <c r="O5" i="2"/>
  <c r="O3" i="2" s="1" a="1"/>
  <c r="O3" i="2" s="1"/>
  <c r="N5" i="2"/>
  <c r="N7" i="2" s="1"/>
  <c r="M5" i="2"/>
  <c r="M7" i="2" s="1"/>
  <c r="L5" i="2"/>
  <c r="L7" i="2" s="1"/>
  <c r="K5" i="2"/>
  <c r="K7" i="2" s="1"/>
  <c r="J5" i="2"/>
  <c r="J6" i="2" s="1"/>
  <c r="I5" i="2"/>
  <c r="I6" i="2" s="1"/>
  <c r="H5" i="2"/>
  <c r="H6" i="2" s="1"/>
  <c r="G5" i="2"/>
  <c r="G3" i="2" s="1" a="1"/>
  <c r="G3" i="2" s="1"/>
  <c r="F5" i="2"/>
  <c r="F7" i="2" s="1"/>
  <c r="E5" i="2"/>
  <c r="E7" i="2" s="1"/>
  <c r="AD3" i="2" a="1"/>
  <c r="AD3" i="2" s="1"/>
  <c r="AC3" i="2" a="1"/>
  <c r="AC3" i="2" s="1"/>
  <c r="AB3" i="2" a="1"/>
  <c r="AB3" i="2" s="1"/>
  <c r="AA3" i="2" a="1"/>
  <c r="AA3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U3" i="2" a="1"/>
  <c r="U3" i="2" s="1"/>
  <c r="T3" i="2" a="1"/>
  <c r="T3" i="2" s="1"/>
  <c r="S3" i="2" a="1"/>
  <c r="S3" i="2" s="1"/>
  <c r="R3" i="2" a="1"/>
  <c r="R3" i="2" s="1"/>
  <c r="Q3" i="2" a="1"/>
  <c r="Q3" i="2" s="1"/>
  <c r="P3" i="2" a="1"/>
  <c r="P3" i="2" s="1"/>
  <c r="N3" i="2" a="1"/>
  <c r="N3" i="2" s="1"/>
  <c r="M3" i="2" a="1"/>
  <c r="M3" i="2" s="1"/>
  <c r="L3" i="2" a="1"/>
  <c r="L3" i="2" s="1"/>
  <c r="K3" i="2" a="1"/>
  <c r="K3" i="2" s="1"/>
  <c r="J3" i="2" a="1"/>
  <c r="J3" i="2" s="1"/>
  <c r="I3" i="2" a="1"/>
  <c r="I3" i="2" s="1"/>
  <c r="H3" i="2" a="1"/>
  <c r="H3" i="2" s="1"/>
  <c r="F3" i="2" a="1"/>
  <c r="F3" i="2" s="1"/>
  <c r="E3" i="2" a="1"/>
  <c r="E3" i="2" s="1"/>
  <c r="D3" i="2" a="1"/>
  <c r="D3" i="2" s="1"/>
  <c r="C3" i="2" a="1"/>
  <c r="C3" i="2" s="1"/>
  <c r="O7" i="2" l="1"/>
  <c r="H7" i="2"/>
  <c r="P7" i="2"/>
  <c r="X7" i="2"/>
  <c r="I7" i="2"/>
  <c r="Q7" i="2"/>
  <c r="Y7" i="2"/>
  <c r="F6" i="2"/>
  <c r="N6" i="2"/>
  <c r="V6" i="2"/>
  <c r="AD6" i="2"/>
  <c r="J7" i="2"/>
  <c r="R7" i="2"/>
  <c r="Z7" i="2"/>
  <c r="G7" i="2"/>
  <c r="G6" i="2"/>
  <c r="O6" i="2"/>
  <c r="W6" i="2"/>
  <c r="G10" i="1" l="1"/>
  <c r="G8" i="1"/>
  <c r="G9" i="1"/>
  <c r="G7" i="1"/>
  <c r="H8" i="1" l="1"/>
  <c r="H9" i="1"/>
  <c r="H7" i="1"/>
  <c r="H10" i="1"/>
  <c r="G6" i="1"/>
  <c r="H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<sst xmlns="http://schemas.openxmlformats.org/spreadsheetml/2006/main" count="181" uniqueCount="151">
  <si>
    <t>UC_N</t>
  </si>
  <si>
    <t>Year</t>
  </si>
  <si>
    <t>Pset_PN</t>
  </si>
  <si>
    <t>UC_CAP</t>
  </si>
  <si>
    <t>LimType</t>
  </si>
  <si>
    <t>UC_Desc</t>
  </si>
  <si>
    <t>UC - Each Region/Period</t>
  </si>
  <si>
    <t>CCS_Cork_MaxCap</t>
  </si>
  <si>
    <t>UP</t>
  </si>
  <si>
    <t>Maximum CCS capacity in the Cork area</t>
  </si>
  <si>
    <t>UC_RHSRTS~UP~0</t>
  </si>
  <si>
    <t>CCS_Dublin_MaxCap</t>
  </si>
  <si>
    <t>Maximum CCS capacity in the Dublin area</t>
  </si>
  <si>
    <t>CCS_Moneypoint_MaxCap</t>
  </si>
  <si>
    <t>CCS_Offaly_MaxCap</t>
  </si>
  <si>
    <t>Maximum CCS capacity in the Moneypoint area</t>
  </si>
  <si>
    <t>Maximum CCS capacity in the Offaly area</t>
  </si>
  <si>
    <t>Maximum CCS capacity in the Kilroot area</t>
  </si>
  <si>
    <t>CCS_Kilroot_MaxCap</t>
  </si>
  <si>
    <t>~UC_Sets: T_E:</t>
  </si>
  <si>
    <t>~UC_T</t>
  </si>
  <si>
    <t>UC_RHSRTS~2050</t>
  </si>
  <si>
    <t>UC_RHSRTS~2015</t>
  </si>
  <si>
    <t>*Max Capacity</t>
  </si>
  <si>
    <t>TechName</t>
  </si>
  <si>
    <t>TechDesc</t>
  </si>
  <si>
    <t>*Technology Name</t>
  </si>
  <si>
    <t>Technology Description</t>
  </si>
  <si>
    <t>EUSTCOHSCS_Moneypoint1</t>
  </si>
  <si>
    <t xml:space="preserve">CCS Coal Hard Steam Turbine CO2seq Moneypoint Kinsale </t>
  </si>
  <si>
    <t>EUIGCOHS_Moneypoint1</t>
  </si>
  <si>
    <t xml:space="preserve">CCS Coal Hard IGCC CO2seq Moneypoint Kinsale </t>
  </si>
  <si>
    <t>EUSTCOHSCS_Moneypoint2</t>
  </si>
  <si>
    <t xml:space="preserve">CCS Coal Hard Steam Turbine CO2seq Moneypoint Spanish Point </t>
  </si>
  <si>
    <t>EUIGCOHS-Moneypoint2</t>
  </si>
  <si>
    <t xml:space="preserve">CCS Coal Hard IGCC CO2seq Moneypoint Spanish Point </t>
  </si>
  <si>
    <t>EUCCGASS_Cork1</t>
  </si>
  <si>
    <t>CCS Gas CO2seq Cork Kinsale</t>
  </si>
  <si>
    <t>EUCCGASS_Cork2</t>
  </si>
  <si>
    <t>CCS Gas  CO2Seq Cork Spanish Point</t>
  </si>
  <si>
    <t>EUIGCOLS_Offaly1</t>
  </si>
  <si>
    <t>CCS Peat IGCC CO2seq Offaly Kinsale</t>
  </si>
  <si>
    <t>EUIGCOLS_Offaly2</t>
  </si>
  <si>
    <t>CCS Peat IGCC CO2seq Offaly East Irish Sea</t>
  </si>
  <si>
    <t>EUIGCOLS_Offaly3</t>
  </si>
  <si>
    <t>CCS Peat IGCC CO2seq Offaly Central Irish Sea</t>
  </si>
  <si>
    <t>EUCCGASS_Dublin1</t>
  </si>
  <si>
    <t>CCS Gas  CO2Seq Dublin East Irish Sea</t>
  </si>
  <si>
    <t>EUCCGASS_Dublin2</t>
  </si>
  <si>
    <t>CCS Gas  CO2Seq Dublin Central Irish Sea</t>
  </si>
  <si>
    <t>EUSTCOHSCS_Kilroot1</t>
  </si>
  <si>
    <t>CCS Coal Hard Steam Turbine CO2seq Kilroot Portpatrick</t>
  </si>
  <si>
    <t>P-*CCS*MP*</t>
  </si>
  <si>
    <t>P-*CCS*Cork*</t>
  </si>
  <si>
    <t>P-*CCS*Dublin*</t>
  </si>
  <si>
    <t>P-*CCS*Offaly*</t>
  </si>
  <si>
    <t>P-*CCS*Kilroot*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</si>
  <si>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</si>
  <si>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</si>
  <si>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</si>
  <si>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</si>
  <si>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</si>
  <si>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</si>
  <si>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</si>
  <si>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</si>
  <si>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</si>
  <si>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</si>
  <si>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</si>
  <si>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</si>
  <si>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</si>
  <si>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</si>
  <si>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</si>
  <si>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</si>
  <si>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</si>
  <si>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</si>
  <si>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</si>
  <si>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</si>
  <si>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</si>
  <si>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</si>
  <si>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</si>
  <si>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</si>
  <si>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</si>
  <si>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</si>
  <si>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</si>
  <si>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</si>
  <si>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</si>
  <si>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</si>
  <si>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</si>
  <si>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</si>
  <si>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</si>
  <si>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</si>
  <si>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</si>
  <si>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</si>
  <si>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</si>
  <si>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</si>
  <si>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</si>
  <si>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</si>
  <si>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</si>
  <si>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</si>
  <si>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</si>
  <si>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</si>
  <si>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</si>
  <si>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</si>
  <si>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</si>
  <si>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</si>
  <si>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</si>
  <si>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</si>
  <si>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</si>
  <si>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</si>
  <si>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</si>
  <si>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</si>
  <si>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</si>
  <si>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</si>
  <si>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</si>
  <si>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</si>
  <si>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</si>
  <si>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</si>
  <si>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~TFM_INS</t>
  </si>
  <si>
    <t>TimeSlice</t>
  </si>
  <si>
    <t>Attribute</t>
  </si>
  <si>
    <t>Other_Indexes</t>
  </si>
  <si>
    <t>Pset_PD</t>
  </si>
  <si>
    <t>Pset_CI</t>
  </si>
  <si>
    <t>Cset_CN</t>
  </si>
  <si>
    <t>FLO_EMIS</t>
  </si>
  <si>
    <t>P-TH*CCS*</t>
    <phoneticPr fontId="0" type="noConversion"/>
  </si>
  <si>
    <t>PWRCO2N</t>
  </si>
  <si>
    <t>PWRGAS</t>
  </si>
  <si>
    <t>PWRCOA</t>
  </si>
  <si>
    <t>PWRPEA</t>
  </si>
  <si>
    <t>PWRCO2S</t>
  </si>
  <si>
    <t>PWRBIO</t>
  </si>
  <si>
    <t>P-*CCS*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</si>
  <si>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</si>
  <si>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</si>
  <si>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</si>
  <si>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</si>
  <si>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</si>
  <si>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</si>
  <si>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</si>
  <si>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</si>
  <si>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</si>
  <si>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</si>
  <si>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</si>
  <si>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</si>
  <si>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</t>
  </si>
  <si>
    <t>Power sector (PWR)</t>
  </si>
  <si>
    <t>Set max new CCS capacity and emissions</t>
  </si>
  <si>
    <t>Xiufeng Yue (UCC, xiufeng.yue@ucc.ie)</t>
  </si>
  <si>
    <t>James Glynn (UCC, james.glynn@ucc.ie)</t>
  </si>
  <si>
    <t>Olexandr Balyk (UCC, olexandr.balyk@ucc.ie)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</si>
</sst>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3" fillId="0" borderId="0"/>
  </cellStyleXfs>
  <cellXfs count="48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4" borderId="0" xfId="0" applyFont="1" applyFill="1"/>
    <xf numFmtId="0" fontId="1" fillId="0" borderId="0" xfId="0" applyFont="1"/>
    <xf numFmtId="0" fontId="3" fillId="0" borderId="0" xfId="0" applyFont="1"/>
    <xf numFmtId="0" fontId="3" fillId="5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6" borderId="1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4" fillId="8" borderId="5" xfId="0" applyFont="1" applyFill="1" applyBorder="1" applyAlignment="1">
      <alignment horizontal="left" vertical="center"/>
    </xf>
    <xf numFmtId="0" fontId="4" fillId="8" borderId="5" xfId="0" applyFont="1" applyFill="1" applyBorder="1" applyAlignment="1" applyProtection="1">
      <alignment horizontal="left" vertical="center"/>
      <protection locked="0"/>
    </xf>
    <xf numFmtId="0" fontId="4" fillId="9" borderId="3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/>
    <xf numFmtId="0" fontId="2" fillId="0" borderId="0" xfId="0" applyFont="1" applyAlignment="1">
      <alignment horizontal="center"/>
    </xf>
    <xf numFmtId="0" fontId="2" fillId="6" borderId="3" xfId="0" applyFont="1" applyFill="1" applyBorder="1"/>
    <xf numFmtId="0" fontId="2" fillId="5" borderId="3" xfId="0" applyFont="1" applyFill="1" applyBorder="1"/>
    <xf numFmtId="0" fontId="0" fillId="6" borderId="3" xfId="0" applyFill="1" applyBorder="1"/>
    <xf numFmtId="0" fontId="6" fillId="2" borderId="0" xfId="0" applyFont="1" applyFill="1"/>
    <xf numFmtId="2" fontId="6" fillId="2" borderId="0" xfId="0" applyNumberFormat="1" applyFont="1" applyFill="1"/>
    <xf numFmtId="0" fontId="6" fillId="0" borderId="0" xfId="0" applyFont="1"/>
    <xf numFmtId="2" fontId="6" fillId="0" borderId="0" xfId="0" applyNumberFormat="1" applyFont="1"/>
    <xf numFmtId="0" fontId="6" fillId="0" borderId="5" xfId="0" applyFont="1" applyBorder="1"/>
    <xf numFmtId="0" fontId="7" fillId="10" borderId="0" xfId="2" applyFont="1" applyFill="1" applyAlignment="1">
      <alignment vertical="center"/>
    </xf>
    <xf numFmtId="0" fontId="7" fillId="11" borderId="0" xfId="2" applyFont="1" applyFill="1" applyAlignment="1">
      <alignment vertical="center"/>
    </xf>
    <xf numFmtId="0" fontId="9" fillId="11" borderId="0" xfId="2" applyFont="1" applyFill="1" applyAlignment="1">
      <alignment vertical="center"/>
    </xf>
    <xf numFmtId="0" fontId="8" fillId="11" borderId="0" xfId="2" applyFont="1" applyFill="1" applyAlignment="1">
      <alignment vertical="center"/>
    </xf>
    <xf numFmtId="0" fontId="7" fillId="12" borderId="0" xfId="2" applyFont="1" applyFill="1" applyAlignment="1">
      <alignment vertical="center"/>
    </xf>
    <xf numFmtId="0" fontId="10" fillId="11" borderId="0" xfId="2" applyFont="1" applyFill="1" applyAlignment="1">
      <alignment vertical="center"/>
    </xf>
    <xf numFmtId="0" fontId="11" fillId="11" borderId="0" xfId="2" applyFont="1" applyFill="1" applyAlignment="1">
      <alignment vertical="center"/>
    </xf>
    <xf numFmtId="0" fontId="12" fillId="10" borderId="0" xfId="2" applyFont="1" applyFill="1" applyAlignment="1">
      <alignment vertical="center"/>
    </xf>
    <xf numFmtId="0" fontId="13" fillId="11" borderId="0" xfId="2" applyFont="1" applyFill="1" applyAlignment="1">
      <alignment vertical="center"/>
    </xf>
    <xf numFmtId="0" fontId="14" fillId="11" borderId="0" xfId="2" applyFont="1" applyFill="1" applyAlignment="1">
      <alignment vertical="center"/>
    </xf>
    <xf numFmtId="0" fontId="13" fillId="10" borderId="0" xfId="2" applyFont="1" applyFill="1" applyAlignment="1">
      <alignment vertical="center"/>
    </xf>
    <xf numFmtId="164" fontId="13" fillId="10" borderId="0" xfId="2" applyNumberFormat="1" applyFont="1" applyFill="1" applyAlignment="1">
      <alignment horizontal="left" vertical="center"/>
    </xf>
    <xf numFmtId="0" fontId="15" fillId="11" borderId="0" xfId="2" applyFont="1" applyFill="1" applyAlignment="1">
      <alignment vertical="center"/>
    </xf>
    <xf numFmtId="0" fontId="16" fillId="10" borderId="0" xfId="2" applyFont="1" applyFill="1" applyAlignment="1">
      <alignment vertical="center"/>
    </xf>
    <xf numFmtId="0" fontId="8" fillId="10" borderId="0" xfId="1" applyFill="1" applyAlignment="1">
      <alignment vertical="center"/>
    </xf>
    <xf numFmtId="0" fontId="13" fillId="10" borderId="0" xfId="2" applyFont="1" applyFill="1" applyAlignment="1">
      <alignment vertical="center"/>
    </xf>
    <xf numFmtId="0" fontId="9" fillId="10" borderId="0" xfId="2" applyFont="1" applyFill="1" applyAlignment="1">
      <alignment horizontal="center" vertical="center"/>
    </xf>
    <xf numFmtId="0" fontId="8" fillId="10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A77F0074-EA7E-4482-A662-3BE81C7164A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4800</xdr:colOff>
      <xdr:row>12</xdr:row>
      <xdr:rowOff>38211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64FA54-A6A5-4814-94A1-EE51171DD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75400" cy="22480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EEE0C5-3084-49C8-8BB1-014F2C96A4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266341-908C-4877-86F8-BFB9C209D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796934-DE01-4CF1-B8F1-6F931D63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395C93-E5F0-4719-B66B-B3179F306E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DA99CF-D999-4126-93F2-D73EBC0FCE7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2E5F-77EA-41F2-8245-0D266C59AC5F}">
  <sheetPr codeName="Sheet4"/>
  <dimension ref="A1:Z99"/>
  <sheetViews>
    <sheetView showGridLines="0" tabSelected="1" topLeftCell="A18" zoomScaleNormal="100" workbookViewId="0">
      <selection activeCell="K39" sqref="K39"/>
    </sheetView>
  </sheetViews>
  <sheetFormatPr defaultColWidth="8.81640625" defaultRowHeight="14.5" x14ac:dyDescent="0.3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 x14ac:dyDescent="0.35">
      <c r="A1" s="30"/>
      <c r="B1" s="30"/>
      <c r="C1" s="30"/>
      <c r="D1" s="30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35">
      <c r="A2" s="30"/>
      <c r="B2" s="30"/>
      <c r="C2" s="30"/>
      <c r="D2" s="30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x14ac:dyDescent="0.35">
      <c r="A3" s="30"/>
      <c r="B3" s="30"/>
      <c r="C3" s="30"/>
      <c r="D3" s="30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x14ac:dyDescent="0.35">
      <c r="A4" s="30"/>
      <c r="B4" s="30"/>
      <c r="C4" s="30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x14ac:dyDescent="0.35">
      <c r="A5" s="30"/>
      <c r="B5" s="30"/>
      <c r="C5" s="30"/>
      <c r="D5" s="30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x14ac:dyDescent="0.35">
      <c r="A6" s="30"/>
      <c r="B6" s="30"/>
      <c r="C6" s="30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x14ac:dyDescent="0.35">
      <c r="A7" s="30"/>
      <c r="B7" s="30"/>
      <c r="C7" s="30"/>
      <c r="D7" s="30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x14ac:dyDescent="0.35">
      <c r="A8" s="30"/>
      <c r="B8" s="30"/>
      <c r="C8" s="30"/>
      <c r="D8" s="3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x14ac:dyDescent="0.35">
      <c r="A9" s="30"/>
      <c r="B9" s="30"/>
      <c r="C9" s="30"/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x14ac:dyDescent="0.35">
      <c r="A10" s="30"/>
      <c r="B10" s="30"/>
      <c r="C10" s="30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x14ac:dyDescent="0.35">
      <c r="A11" s="30"/>
      <c r="B11" s="30"/>
      <c r="C11" s="30"/>
      <c r="D11" s="30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x14ac:dyDescent="0.35">
      <c r="A12" s="30"/>
      <c r="B12" s="30"/>
      <c r="C12" s="30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x14ac:dyDescent="0.35">
      <c r="A13" s="30"/>
      <c r="B13" s="30"/>
      <c r="C13" s="30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x14ac:dyDescent="0.35">
      <c r="A14" s="30"/>
      <c r="B14" s="30"/>
      <c r="C14" s="30"/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x14ac:dyDescent="0.35">
      <c r="A15" s="30"/>
      <c r="B15" s="30"/>
      <c r="C15" s="30"/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02.75" customHeight="1" x14ac:dyDescent="0.35">
      <c r="A16" s="46" t="s">
        <v>133</v>
      </c>
      <c r="B16" s="46"/>
      <c r="C16" s="46"/>
      <c r="D16" s="46"/>
      <c r="E16" s="32"/>
      <c r="F16" s="32"/>
      <c r="G16" s="33"/>
      <c r="H16" s="33"/>
      <c r="I16" s="33"/>
      <c r="J16" s="33"/>
      <c r="K16" s="33"/>
      <c r="L16" s="33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7.25" customHeight="1" x14ac:dyDescent="0.35">
      <c r="A17" s="34"/>
      <c r="B17" s="34"/>
      <c r="C17" s="34"/>
      <c r="D17" s="34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7.25" customHeight="1" x14ac:dyDescent="0.35">
      <c r="A18" s="34"/>
      <c r="B18" s="34"/>
      <c r="C18" s="34"/>
      <c r="D18" s="34"/>
      <c r="E18" s="35"/>
      <c r="F18" s="35"/>
      <c r="G18" s="36"/>
      <c r="H18" s="36"/>
      <c r="I18" s="36"/>
      <c r="J18" s="36"/>
      <c r="K18" s="36"/>
      <c r="L18" s="36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7.25" customHeight="1" x14ac:dyDescent="0.35">
      <c r="A19" s="37" t="s">
        <v>134</v>
      </c>
      <c r="B19" s="45" t="s">
        <v>145</v>
      </c>
      <c r="C19" s="45"/>
      <c r="D19" s="45"/>
      <c r="E19" s="38"/>
      <c r="F19" s="38"/>
      <c r="G19" s="39"/>
      <c r="H19" s="39"/>
      <c r="I19" s="39"/>
      <c r="J19" s="39"/>
      <c r="K19" s="39"/>
      <c r="L19" s="3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7.25" customHeight="1" x14ac:dyDescent="0.35">
      <c r="A20" s="37" t="s">
        <v>135</v>
      </c>
      <c r="B20" s="45" t="s">
        <v>146</v>
      </c>
      <c r="C20" s="45"/>
      <c r="D20" s="45"/>
      <c r="E20" s="38"/>
      <c r="F20" s="38"/>
      <c r="G20" s="39"/>
      <c r="H20" s="39"/>
      <c r="I20" s="39"/>
      <c r="J20" s="39"/>
      <c r="K20" s="39"/>
      <c r="L20" s="39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7.25" customHeight="1" x14ac:dyDescent="0.35">
      <c r="A21" s="37" t="s">
        <v>136</v>
      </c>
      <c r="B21" s="40" t="s">
        <v>147</v>
      </c>
      <c r="C21" s="40"/>
      <c r="D21" s="40"/>
      <c r="E21" s="38"/>
      <c r="F21" s="38"/>
      <c r="G21" s="39"/>
      <c r="H21" s="39"/>
      <c r="I21" s="39"/>
      <c r="J21" s="39"/>
      <c r="K21" s="39"/>
      <c r="L21" s="39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7.25" customHeight="1" x14ac:dyDescent="0.35">
      <c r="A22" s="37"/>
      <c r="B22" s="40"/>
      <c r="C22" s="40"/>
      <c r="D22" s="40"/>
      <c r="E22" s="38"/>
      <c r="F22" s="38"/>
      <c r="G22" s="39"/>
      <c r="H22" s="39"/>
      <c r="I22" s="39"/>
      <c r="J22" s="39"/>
      <c r="K22" s="39"/>
      <c r="L22" s="39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7.25" customHeight="1" x14ac:dyDescent="0.35">
      <c r="A23" s="37" t="s">
        <v>137</v>
      </c>
      <c r="B23" s="45" t="s">
        <v>148</v>
      </c>
      <c r="C23" s="45"/>
      <c r="D23" s="45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7.25" customHeight="1" x14ac:dyDescent="0.35">
      <c r="A24" s="37"/>
      <c r="B24" s="40" t="s">
        <v>149</v>
      </c>
      <c r="C24" s="40"/>
      <c r="D24" s="40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7.25" customHeight="1" x14ac:dyDescent="0.35">
      <c r="A25" s="37"/>
      <c r="B25" s="40"/>
      <c r="C25" s="40"/>
      <c r="D25" s="40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7.25" customHeight="1" x14ac:dyDescent="0.35">
      <c r="A26" s="37" t="s">
        <v>138</v>
      </c>
      <c r="B26" s="45" t="s">
        <v>150</v>
      </c>
      <c r="C26" s="45"/>
      <c r="D26" s="4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7.25" customHeight="1" x14ac:dyDescent="0.35">
      <c r="A27" s="37"/>
      <c r="B27" s="40"/>
      <c r="C27" s="40"/>
      <c r="D27" s="40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7.25" customHeight="1" x14ac:dyDescent="0.35">
      <c r="A28" s="37"/>
      <c r="B28" s="40"/>
      <c r="C28" s="40"/>
      <c r="D28" s="40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7.25" customHeight="1" x14ac:dyDescent="0.35">
      <c r="A29" s="37" t="s">
        <v>139</v>
      </c>
      <c r="B29" s="41">
        <v>1</v>
      </c>
      <c r="C29" s="40"/>
      <c r="D29" s="40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7.25" customHeight="1" x14ac:dyDescent="0.35">
      <c r="A30" s="37" t="s">
        <v>140</v>
      </c>
      <c r="B30" s="47" t="s">
        <v>141</v>
      </c>
      <c r="C30" s="45"/>
      <c r="D30" s="45"/>
      <c r="E30" s="42"/>
      <c r="F30" s="42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7.25" customHeight="1" x14ac:dyDescent="0.35">
      <c r="A31" s="37" t="s">
        <v>142</v>
      </c>
      <c r="B31" s="45" t="s">
        <v>143</v>
      </c>
      <c r="C31" s="45"/>
      <c r="D31" s="45"/>
      <c r="E31" s="42"/>
      <c r="F31" s="4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7.25" customHeight="1" x14ac:dyDescent="0.35">
      <c r="A32" s="43"/>
      <c r="B32" s="44" t="s">
        <v>144</v>
      </c>
      <c r="C32" s="43"/>
      <c r="D32" s="43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x14ac:dyDescent="0.35">
      <c r="A33" s="30"/>
      <c r="B33" s="30"/>
      <c r="C33" s="30"/>
      <c r="D33" s="30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x14ac:dyDescent="0.35">
      <c r="A34" s="30"/>
      <c r="B34" s="30"/>
      <c r="C34" s="30"/>
      <c r="D34" s="30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x14ac:dyDescent="0.35">
      <c r="A35" s="30"/>
      <c r="B35" s="30"/>
      <c r="C35" s="30"/>
      <c r="D35" s="30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x14ac:dyDescent="0.35">
      <c r="A36" s="30"/>
      <c r="B36" s="30"/>
      <c r="C36" s="30"/>
      <c r="D36" s="30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x14ac:dyDescent="0.35">
      <c r="A37" s="30"/>
      <c r="B37" s="30"/>
      <c r="C37" s="30"/>
      <c r="D37" s="30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x14ac:dyDescent="0.35">
      <c r="A38" s="30"/>
      <c r="B38" s="30"/>
      <c r="C38" s="30"/>
      <c r="D38" s="30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x14ac:dyDescent="0.35">
      <c r="A39" s="30"/>
      <c r="B39" s="30"/>
      <c r="C39" s="30"/>
      <c r="D39" s="30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x14ac:dyDescent="0.35">
      <c r="A40" s="30"/>
      <c r="B40" s="30"/>
      <c r="C40" s="30"/>
      <c r="D40" s="30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x14ac:dyDescent="0.35">
      <c r="A41" s="30"/>
      <c r="B41" s="30"/>
      <c r="C41" s="30"/>
      <c r="D41" s="30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x14ac:dyDescent="0.35">
      <c r="A42" s="30"/>
      <c r="B42" s="30"/>
      <c r="C42" s="30"/>
      <c r="D42" s="30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x14ac:dyDescent="0.3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x14ac:dyDescent="0.3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x14ac:dyDescent="0.3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x14ac:dyDescent="0.3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x14ac:dyDescent="0.3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x14ac:dyDescent="0.3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x14ac:dyDescent="0.3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x14ac:dyDescent="0.3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x14ac:dyDescent="0.3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x14ac:dyDescent="0.3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x14ac:dyDescent="0.3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x14ac:dyDescent="0.3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x14ac:dyDescent="0.3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x14ac:dyDescent="0.3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x14ac:dyDescent="0.3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x14ac:dyDescent="0.3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x14ac:dyDescent="0.3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x14ac:dyDescent="0.3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x14ac:dyDescent="0.3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x14ac:dyDescent="0.3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x14ac:dyDescent="0.3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x14ac:dyDescent="0.3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x14ac:dyDescent="0.3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x14ac:dyDescent="0.3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x14ac:dyDescent="0.3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x14ac:dyDescent="0.3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x14ac:dyDescent="0.3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x14ac:dyDescent="0.3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x14ac:dyDescent="0.3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x14ac:dyDescent="0.3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x14ac:dyDescent="0.3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x14ac:dyDescent="0.3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x14ac:dyDescent="0.3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x14ac:dyDescent="0.3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x14ac:dyDescent="0.3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x14ac:dyDescent="0.3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x14ac:dyDescent="0.3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x14ac:dyDescent="0.3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x14ac:dyDescent="0.3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x14ac:dyDescent="0.3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x14ac:dyDescent="0.3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x14ac:dyDescent="0.3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x14ac:dyDescent="0.3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x14ac:dyDescent="0.3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x14ac:dyDescent="0.3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x14ac:dyDescent="0.3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x14ac:dyDescent="0.3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x14ac:dyDescent="0.3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x14ac:dyDescent="0.3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x14ac:dyDescent="0.3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x14ac:dyDescent="0.3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x14ac:dyDescent="0.3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x14ac:dyDescent="0.3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x14ac:dyDescent="0.3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x14ac:dyDescent="0.3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x14ac:dyDescent="0.3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x14ac:dyDescent="0.3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5020EF91-173A-47CA-B840-BD4AAA7DE139}"/>
    <hyperlink ref="B32" r:id="rId2" xr:uid="{CE30CFA6-EF4E-4A30-82E5-334ADFD147C3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1441-2996-400B-948C-BB555D1B8F18}">
  <sheetPr codeName="Sheet2"/>
  <dimension ref="A3:AD37"/>
  <sheetViews>
    <sheetView zoomScaleNormal="100" workbookViewId="0">
      <selection activeCell="G33" sqref="G33"/>
    </sheetView>
  </sheetViews>
  <sheetFormatPr defaultColWidth="9" defaultRowHeight="14.5" x14ac:dyDescent="0.3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" bestFit="1" customWidth="1"/>
    <col min="14" max="14" width="6.7265625" bestFit="1" customWidth="1"/>
    <col min="15" max="15" width="6.54296875" bestFit="1" customWidth="1"/>
    <col min="16" max="16" width="7.1796875" bestFit="1" customWidth="1"/>
    <col min="17" max="17" width="5.7265625" bestFit="1" customWidth="1"/>
    <col min="18" max="18" width="6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5" bestFit="1" customWidth="1"/>
    <col min="24" max="24" width="7.54296875" customWidth="1"/>
    <col min="25" max="25" width="6.7265625" bestFit="1" customWidth="1"/>
    <col min="26" max="28" width="6" bestFit="1" customWidth="1"/>
    <col min="29" max="29" width="5.7265625" bestFit="1" customWidth="1"/>
    <col min="30" max="30" width="6.7265625" bestFit="1" customWidth="1"/>
  </cols>
  <sheetData>
    <row r="3" spans="1:30" x14ac:dyDescent="0.35">
      <c r="C3" s="14" t="str" cm="1">
        <f t="array" ref="C3">INDEX(C5:C7,$A$4)</f>
        <v>IE</v>
      </c>
      <c r="D3" s="14" t="str" cm="1">
        <f t="array" ref="D3">INDEX(D5:D7,$A$4)</f>
        <v>National</v>
      </c>
      <c r="E3" s="14" t="str" cm="1">
        <f t="array" ref="E3">INDEX(E5:E7,$A$4)</f>
        <v>IE-CW</v>
      </c>
      <c r="F3" s="14" t="str" cm="1">
        <f t="array" ref="F3">INDEX(F5:F7,$A$4)</f>
        <v>IE-D</v>
      </c>
      <c r="G3" s="14" t="str" cm="1">
        <f t="array" ref="G3">INDEX(G5:G7,$A$4)</f>
        <v>IE-KE</v>
      </c>
      <c r="H3" s="14" t="str" cm="1">
        <f t="array" ref="H3">INDEX(H5:H7,$A$4)</f>
        <v>IE-KK</v>
      </c>
      <c r="I3" s="14" t="str" cm="1">
        <f t="array" ref="I3">INDEX(I5:I7,$A$4)</f>
        <v>IE-LS</v>
      </c>
      <c r="J3" s="14" t="str" cm="1">
        <f t="array" ref="J3">INDEX(J5:J7,$A$4)</f>
        <v>IE-LD</v>
      </c>
      <c r="K3" s="14" t="str" cm="1">
        <f t="array" ref="K3">INDEX(K5:K7,$A$4)</f>
        <v>IE-LH</v>
      </c>
      <c r="L3" s="14" t="str" cm="1">
        <f t="array" ref="L3">INDEX(L5:L7,$A$4)</f>
        <v>IE-MH</v>
      </c>
      <c r="M3" s="14" t="str" cm="1">
        <f t="array" ref="M3">INDEX(M5:M7,$A$4)</f>
        <v>IE-OY</v>
      </c>
      <c r="N3" s="14" t="str" cm="1">
        <f t="array" ref="N3">INDEX(N5:N7,$A$4)</f>
        <v>IE-WH</v>
      </c>
      <c r="O3" s="14" t="str" cm="1">
        <f t="array" ref="O3">INDEX(O5:O7,$A$4)</f>
        <v>IE-WX</v>
      </c>
      <c r="P3" s="14" t="str" cm="1">
        <f t="array" ref="P3">INDEX(P5:P7,$A$4)</f>
        <v>IE-WW</v>
      </c>
      <c r="Q3" s="14" t="str" cm="1">
        <f t="array" ref="Q3">INDEX(Q5:Q7,$A$4)</f>
        <v>IE-CE</v>
      </c>
      <c r="R3" s="14" t="str" cm="1">
        <f t="array" ref="R3">INDEX(R5:R7,$A$4)</f>
        <v>IE-CO</v>
      </c>
      <c r="S3" s="14" t="str" cm="1">
        <f t="array" ref="S3">INDEX(S5:S7,$A$4)</f>
        <v>IE-KY</v>
      </c>
      <c r="T3" s="14" t="str" cm="1">
        <f t="array" ref="T3">INDEX(T5:T7,$A$4)</f>
        <v>IE-LK</v>
      </c>
      <c r="U3" s="14" t="str" cm="1">
        <f t="array" ref="U3">INDEX(U5:U7,$A$4)</f>
        <v>IE-TA</v>
      </c>
      <c r="V3" s="14" t="str" cm="1">
        <f t="array" ref="V3">INDEX(V5:V7,$A$4)</f>
        <v>IE-WD</v>
      </c>
      <c r="W3" s="14" t="str" cm="1">
        <f t="array" ref="W3">INDEX(W5:W7,$A$4)</f>
        <v>IE-G</v>
      </c>
      <c r="X3" s="14" t="str" cm="1">
        <f t="array" ref="X3">INDEX(X5:X7,$A$4)</f>
        <v>IE-LM</v>
      </c>
      <c r="Y3" s="14" t="str" cm="1">
        <f t="array" ref="Y3">INDEX(Y5:Y7,$A$4)</f>
        <v>IE-MO</v>
      </c>
      <c r="Z3" s="14" t="str" cm="1">
        <f t="array" ref="Z3">INDEX(Z5:Z7,$A$4)</f>
        <v>IE-RN</v>
      </c>
      <c r="AA3" s="14" t="str" cm="1">
        <f t="array" ref="AA3">INDEX(AA5:AA7,$A$4)</f>
        <v>IE-SO</v>
      </c>
      <c r="AB3" s="14" t="str" cm="1">
        <f t="array" ref="AB3">INDEX(AB5:AB7,$A$4)</f>
        <v>IE-CN</v>
      </c>
      <c r="AC3" s="14" t="str" cm="1">
        <f t="array" ref="AC3">INDEX(AC5:AC7,$A$4)</f>
        <v>IE-DL</v>
      </c>
      <c r="AD3" s="14" t="str" cm="1">
        <f t="array" ref="AD3">INDEX(AD5:AD7,$A$4)</f>
        <v>IE-MN</v>
      </c>
    </row>
    <row r="4" spans="1:30" x14ac:dyDescent="0.35">
      <c r="A4">
        <v>1</v>
      </c>
    </row>
    <row r="5" spans="1:30" x14ac:dyDescent="0.35">
      <c r="A5" t="s">
        <v>57</v>
      </c>
      <c r="C5" s="15" t="s">
        <v>58</v>
      </c>
      <c r="D5" s="15" t="s">
        <v>59</v>
      </c>
      <c r="E5" s="14" t="str">
        <f>A11</f>
        <v>IE-CW</v>
      </c>
      <c r="F5" s="14" t="str">
        <f>A16</f>
        <v>IE-D</v>
      </c>
      <c r="G5" s="14" t="str">
        <f>A19</f>
        <v>IE-KE</v>
      </c>
      <c r="H5" s="14" t="str">
        <f>A20</f>
        <v>IE-KK</v>
      </c>
      <c r="I5" s="14" t="str">
        <f>A21</f>
        <v>IE-LS</v>
      </c>
      <c r="J5" s="14" t="str">
        <f>A24</f>
        <v>IE-LD</v>
      </c>
      <c r="K5" s="14" t="str">
        <f>A25</f>
        <v>IE-LH</v>
      </c>
      <c r="L5" s="14" t="str">
        <f>A27</f>
        <v>IE-MH</v>
      </c>
      <c r="M5" s="14" t="str">
        <f>A29</f>
        <v>IE-OY</v>
      </c>
      <c r="N5" s="14" t="str">
        <f>A34</f>
        <v>IE-WH</v>
      </c>
      <c r="O5" s="14" t="str">
        <f>A35</f>
        <v>IE-WX</v>
      </c>
      <c r="P5" s="14" t="str">
        <f>A36</f>
        <v>IE-WW</v>
      </c>
      <c r="Q5" s="14" t="str">
        <f>A13</f>
        <v>IE-CE</v>
      </c>
      <c r="R5" s="14" t="str">
        <f>A14</f>
        <v>IE-CO</v>
      </c>
      <c r="S5" s="14" t="str">
        <f>A18</f>
        <v>IE-KY</v>
      </c>
      <c r="T5" s="14" t="str">
        <f>A23</f>
        <v>IE-LK</v>
      </c>
      <c r="U5" s="14" t="str">
        <f>A32</f>
        <v>IE-TA</v>
      </c>
      <c r="V5" s="14" t="str">
        <f>A33</f>
        <v>IE-WD</v>
      </c>
      <c r="W5" s="14" t="str">
        <f>A17</f>
        <v>IE-G</v>
      </c>
      <c r="X5" s="14" t="str">
        <f>A22</f>
        <v>IE-LM</v>
      </c>
      <c r="Y5" s="14" t="str">
        <f>A26</f>
        <v>IE-MO</v>
      </c>
      <c r="Z5" s="14" t="str">
        <f>A30</f>
        <v>IE-RN</v>
      </c>
      <c r="AA5" s="14" t="str">
        <f>A31</f>
        <v>IE-SO</v>
      </c>
      <c r="AB5" s="14" t="str">
        <f>A12</f>
        <v>IE-CN</v>
      </c>
      <c r="AC5" s="14" t="str">
        <f>A15</f>
        <v>IE-DL</v>
      </c>
      <c r="AD5" s="14" t="str">
        <f>A28</f>
        <v>IE-MN</v>
      </c>
    </row>
    <row r="6" spans="1:30" x14ac:dyDescent="0.35">
      <c r="A6" t="s">
        <v>60</v>
      </c>
      <c r="C6" s="14" t="str">
        <f>C5</f>
        <v>IE</v>
      </c>
      <c r="D6" s="14" t="str">
        <f>"*"&amp;D5</f>
        <v>*National</v>
      </c>
      <c r="E6" s="14" t="str">
        <f>"*"&amp;E5</f>
        <v>*IE-CW</v>
      </c>
      <c r="F6" s="14" t="str">
        <f t="shared" ref="F6:AD6" si="0">"*"&amp;F5</f>
        <v>*IE-D</v>
      </c>
      <c r="G6" s="14" t="str">
        <f t="shared" si="0"/>
        <v>*IE-KE</v>
      </c>
      <c r="H6" s="14" t="str">
        <f t="shared" si="0"/>
        <v>*IE-KK</v>
      </c>
      <c r="I6" s="14" t="str">
        <f t="shared" si="0"/>
        <v>*IE-LS</v>
      </c>
      <c r="J6" s="14" t="str">
        <f t="shared" si="0"/>
        <v>*IE-LD</v>
      </c>
      <c r="K6" s="14" t="str">
        <f t="shared" si="0"/>
        <v>*IE-LH</v>
      </c>
      <c r="L6" s="14" t="str">
        <f t="shared" si="0"/>
        <v>*IE-MH</v>
      </c>
      <c r="M6" s="14" t="str">
        <f t="shared" si="0"/>
        <v>*IE-OY</v>
      </c>
      <c r="N6" s="14" t="str">
        <f t="shared" si="0"/>
        <v>*IE-WH</v>
      </c>
      <c r="O6" s="14" t="str">
        <f t="shared" si="0"/>
        <v>*IE-WX</v>
      </c>
      <c r="P6" s="14" t="str">
        <f t="shared" si="0"/>
        <v>*IE-WW</v>
      </c>
      <c r="Q6" s="14" t="str">
        <f t="shared" si="0"/>
        <v>*IE-CE</v>
      </c>
      <c r="R6" s="14" t="str">
        <f t="shared" si="0"/>
        <v>*IE-CO</v>
      </c>
      <c r="S6" s="14" t="str">
        <f t="shared" si="0"/>
        <v>*IE-KY</v>
      </c>
      <c r="T6" s="14" t="str">
        <f t="shared" si="0"/>
        <v>*IE-LK</v>
      </c>
      <c r="U6" s="14" t="str">
        <f t="shared" si="0"/>
        <v>*IE-TA</v>
      </c>
      <c r="V6" s="14" t="str">
        <f t="shared" si="0"/>
        <v>*IE-WD</v>
      </c>
      <c r="W6" s="14" t="str">
        <f t="shared" si="0"/>
        <v>*IE-G</v>
      </c>
      <c r="X6" s="14" t="str">
        <f t="shared" si="0"/>
        <v>*IE-LM</v>
      </c>
      <c r="Y6" s="14" t="str">
        <f t="shared" si="0"/>
        <v>*IE-MO</v>
      </c>
      <c r="Z6" s="14" t="str">
        <f t="shared" si="0"/>
        <v>*IE-RN</v>
      </c>
      <c r="AA6" s="14" t="str">
        <f t="shared" si="0"/>
        <v>*IE-SO</v>
      </c>
      <c r="AB6" s="14" t="str">
        <f t="shared" si="0"/>
        <v>*IE-CN</v>
      </c>
      <c r="AC6" s="14" t="str">
        <f t="shared" si="0"/>
        <v>*IE-DL</v>
      </c>
      <c r="AD6" s="14" t="str">
        <f t="shared" si="0"/>
        <v>*IE-MN</v>
      </c>
    </row>
    <row r="7" spans="1:30" x14ac:dyDescent="0.35">
      <c r="A7" t="s">
        <v>61</v>
      </c>
      <c r="C7" s="14" t="str">
        <f>"*"&amp;C5</f>
        <v>*IE</v>
      </c>
      <c r="D7" s="14" t="str">
        <f>D5</f>
        <v>National</v>
      </c>
      <c r="E7" s="14" t="str">
        <f t="shared" ref="E7:AD7" si="1">E5</f>
        <v>IE-CW</v>
      </c>
      <c r="F7" s="14" t="str">
        <f t="shared" si="1"/>
        <v>IE-D</v>
      </c>
      <c r="G7" s="14" t="str">
        <f t="shared" si="1"/>
        <v>IE-KE</v>
      </c>
      <c r="H7" s="14" t="str">
        <f t="shared" si="1"/>
        <v>IE-KK</v>
      </c>
      <c r="I7" s="14" t="str">
        <f t="shared" si="1"/>
        <v>IE-LS</v>
      </c>
      <c r="J7" s="14" t="str">
        <f t="shared" si="1"/>
        <v>IE-LD</v>
      </c>
      <c r="K7" s="14" t="str">
        <f t="shared" si="1"/>
        <v>IE-LH</v>
      </c>
      <c r="L7" s="14" t="str">
        <f t="shared" si="1"/>
        <v>IE-MH</v>
      </c>
      <c r="M7" s="14" t="str">
        <f t="shared" si="1"/>
        <v>IE-OY</v>
      </c>
      <c r="N7" s="14" t="str">
        <f t="shared" si="1"/>
        <v>IE-WH</v>
      </c>
      <c r="O7" s="14" t="str">
        <f t="shared" si="1"/>
        <v>IE-WX</v>
      </c>
      <c r="P7" s="14" t="str">
        <f t="shared" si="1"/>
        <v>IE-WW</v>
      </c>
      <c r="Q7" s="14" t="str">
        <f t="shared" si="1"/>
        <v>IE-CE</v>
      </c>
      <c r="R7" s="14" t="str">
        <f t="shared" si="1"/>
        <v>IE-CO</v>
      </c>
      <c r="S7" s="14" t="str">
        <f t="shared" si="1"/>
        <v>IE-KY</v>
      </c>
      <c r="T7" s="14" t="str">
        <f t="shared" si="1"/>
        <v>IE-LK</v>
      </c>
      <c r="U7" s="14" t="str">
        <f t="shared" si="1"/>
        <v>IE-TA</v>
      </c>
      <c r="V7" s="14" t="str">
        <f t="shared" si="1"/>
        <v>IE-WD</v>
      </c>
      <c r="W7" s="14" t="str">
        <f t="shared" si="1"/>
        <v>IE-G</v>
      </c>
      <c r="X7" s="14" t="str">
        <f t="shared" si="1"/>
        <v>IE-LM</v>
      </c>
      <c r="Y7" s="14" t="str">
        <f t="shared" si="1"/>
        <v>IE-MO</v>
      </c>
      <c r="Z7" s="14" t="str">
        <f t="shared" si="1"/>
        <v>IE-RN</v>
      </c>
      <c r="AA7" s="14" t="str">
        <f t="shared" si="1"/>
        <v>IE-SO</v>
      </c>
      <c r="AB7" s="14" t="str">
        <f t="shared" si="1"/>
        <v>IE-CN</v>
      </c>
      <c r="AC7" s="14" t="str">
        <f t="shared" si="1"/>
        <v>IE-DL</v>
      </c>
      <c r="AD7" s="14" t="str">
        <f t="shared" si="1"/>
        <v>IE-MN</v>
      </c>
    </row>
    <row r="10" spans="1:30" ht="15" thickBot="1" x14ac:dyDescent="0.4">
      <c r="A10" s="16" t="s">
        <v>62</v>
      </c>
      <c r="B10" s="16" t="s">
        <v>63</v>
      </c>
    </row>
    <row r="11" spans="1:30" x14ac:dyDescent="0.35">
      <c r="A11" s="17" t="s">
        <v>64</v>
      </c>
      <c r="B11" s="17" t="s">
        <v>65</v>
      </c>
    </row>
    <row r="12" spans="1:30" x14ac:dyDescent="0.35">
      <c r="A12" s="18" t="s">
        <v>66</v>
      </c>
      <c r="B12" s="18" t="s">
        <v>67</v>
      </c>
    </row>
    <row r="13" spans="1:30" x14ac:dyDescent="0.35">
      <c r="A13" s="18" t="s">
        <v>68</v>
      </c>
      <c r="B13" s="18" t="s">
        <v>69</v>
      </c>
    </row>
    <row r="14" spans="1:30" x14ac:dyDescent="0.35">
      <c r="A14" s="18" t="s">
        <v>70</v>
      </c>
      <c r="B14" s="18" t="s">
        <v>71</v>
      </c>
    </row>
    <row r="15" spans="1:30" x14ac:dyDescent="0.35">
      <c r="A15" s="18" t="s">
        <v>72</v>
      </c>
      <c r="B15" s="18" t="s">
        <v>73</v>
      </c>
    </row>
    <row r="16" spans="1:30" x14ac:dyDescent="0.35">
      <c r="A16" s="18" t="s">
        <v>74</v>
      </c>
      <c r="B16" s="18" t="s">
        <v>75</v>
      </c>
    </row>
    <row r="17" spans="1:2" x14ac:dyDescent="0.35">
      <c r="A17" s="18" t="s">
        <v>76</v>
      </c>
      <c r="B17" s="18" t="s">
        <v>77</v>
      </c>
    </row>
    <row r="18" spans="1:2" x14ac:dyDescent="0.35">
      <c r="A18" s="18" t="s">
        <v>78</v>
      </c>
      <c r="B18" s="18" t="s">
        <v>79</v>
      </c>
    </row>
    <row r="19" spans="1:2" x14ac:dyDescent="0.35">
      <c r="A19" s="18" t="s">
        <v>80</v>
      </c>
      <c r="B19" s="18" t="s">
        <v>81</v>
      </c>
    </row>
    <row r="20" spans="1:2" x14ac:dyDescent="0.35">
      <c r="A20" s="18" t="s">
        <v>82</v>
      </c>
      <c r="B20" s="18" t="s">
        <v>83</v>
      </c>
    </row>
    <row r="21" spans="1:2" x14ac:dyDescent="0.35">
      <c r="A21" s="18" t="s">
        <v>84</v>
      </c>
      <c r="B21" s="18" t="s">
        <v>85</v>
      </c>
    </row>
    <row r="22" spans="1:2" x14ac:dyDescent="0.35">
      <c r="A22" s="18" t="s">
        <v>86</v>
      </c>
      <c r="B22" s="18" t="s">
        <v>87</v>
      </c>
    </row>
    <row r="23" spans="1:2" x14ac:dyDescent="0.35">
      <c r="A23" s="18" t="s">
        <v>88</v>
      </c>
      <c r="B23" s="18" t="s">
        <v>89</v>
      </c>
    </row>
    <row r="24" spans="1:2" x14ac:dyDescent="0.35">
      <c r="A24" s="18" t="s">
        <v>90</v>
      </c>
      <c r="B24" s="18" t="s">
        <v>91</v>
      </c>
    </row>
    <row r="25" spans="1:2" x14ac:dyDescent="0.35">
      <c r="A25" s="18" t="s">
        <v>92</v>
      </c>
      <c r="B25" s="18" t="s">
        <v>93</v>
      </c>
    </row>
    <row r="26" spans="1:2" x14ac:dyDescent="0.35">
      <c r="A26" s="18" t="s">
        <v>94</v>
      </c>
      <c r="B26" s="18" t="s">
        <v>95</v>
      </c>
    </row>
    <row r="27" spans="1:2" x14ac:dyDescent="0.35">
      <c r="A27" s="18" t="s">
        <v>96</v>
      </c>
      <c r="B27" s="18" t="s">
        <v>97</v>
      </c>
    </row>
    <row r="28" spans="1:2" x14ac:dyDescent="0.35">
      <c r="A28" s="18" t="s">
        <v>98</v>
      </c>
      <c r="B28" s="18" t="s">
        <v>99</v>
      </c>
    </row>
    <row r="29" spans="1:2" x14ac:dyDescent="0.35">
      <c r="A29" s="18" t="s">
        <v>100</v>
      </c>
      <c r="B29" s="18" t="s">
        <v>101</v>
      </c>
    </row>
    <row r="30" spans="1:2" x14ac:dyDescent="0.35">
      <c r="A30" s="18" t="s">
        <v>102</v>
      </c>
      <c r="B30" s="18" t="s">
        <v>103</v>
      </c>
    </row>
    <row r="31" spans="1:2" x14ac:dyDescent="0.35">
      <c r="A31" s="18" t="s">
        <v>104</v>
      </c>
      <c r="B31" s="18" t="s">
        <v>105</v>
      </c>
    </row>
    <row r="32" spans="1:2" x14ac:dyDescent="0.35">
      <c r="A32" s="18" t="s">
        <v>106</v>
      </c>
      <c r="B32" s="18" t="s">
        <v>107</v>
      </c>
    </row>
    <row r="33" spans="1:2" x14ac:dyDescent="0.35">
      <c r="A33" s="18" t="s">
        <v>108</v>
      </c>
      <c r="B33" s="18" t="s">
        <v>109</v>
      </c>
    </row>
    <row r="34" spans="1:2" x14ac:dyDescent="0.35">
      <c r="A34" s="18" t="s">
        <v>110</v>
      </c>
      <c r="B34" s="18" t="s">
        <v>111</v>
      </c>
    </row>
    <row r="35" spans="1:2" x14ac:dyDescent="0.35">
      <c r="A35" s="18" t="s">
        <v>112</v>
      </c>
      <c r="B35" s="18" t="s">
        <v>113</v>
      </c>
    </row>
    <row r="36" spans="1:2" x14ac:dyDescent="0.35">
      <c r="A36" s="18" t="s">
        <v>114</v>
      </c>
      <c r="B36" s="18" t="s">
        <v>115</v>
      </c>
    </row>
    <row r="37" spans="1:2" x14ac:dyDescent="0.35">
      <c r="A37" s="19" t="s">
        <v>116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9"/>
  <sheetViews>
    <sheetView zoomScaleNormal="100" workbookViewId="0">
      <selection activeCell="J12" sqref="J12"/>
    </sheetView>
  </sheetViews>
  <sheetFormatPr defaultRowHeight="14.5" x14ac:dyDescent="0.35"/>
  <cols>
    <col min="2" max="2" width="24.54296875" bestFit="1" customWidth="1"/>
    <col min="3" max="3" width="16.26953125" bestFit="1" customWidth="1"/>
    <col min="7" max="8" width="17.453125" bestFit="1" customWidth="1"/>
    <col min="9" max="9" width="18.1796875" bestFit="1" customWidth="1"/>
    <col min="10" max="10" width="43.453125" bestFit="1" customWidth="1"/>
  </cols>
  <sheetData>
    <row r="1" spans="1:10" x14ac:dyDescent="0.35">
      <c r="A1" t="s">
        <v>6</v>
      </c>
    </row>
    <row r="2" spans="1:10" x14ac:dyDescent="0.35">
      <c r="B2" s="5" t="str">
        <f>_xlfn.TEXTJOIN(" ",TRUE,"~UC_Sets: R_E:",_xlfn.TEXTJOIN(",",TRUE,IF(LEFT(Regions!$C$3,1)&lt;&gt;"*",Regions!$C$3,""),IF(LEFT(Regions!$D$3,1)&lt;&gt;"*",Regions!$D$3,"")))</f>
        <v>~UC_Sets: R_E: IE,National</v>
      </c>
    </row>
    <row r="3" spans="1:10" x14ac:dyDescent="0.35">
      <c r="B3" s="5" t="s">
        <v>19</v>
      </c>
    </row>
    <row r="4" spans="1:10" x14ac:dyDescent="0.35">
      <c r="E4" t="s">
        <v>20</v>
      </c>
    </row>
    <row r="5" spans="1:10" x14ac:dyDescent="0.35">
      <c r="B5" s="4" t="s">
        <v>0</v>
      </c>
      <c r="C5" s="1" t="s">
        <v>2</v>
      </c>
      <c r="D5" s="3" t="s">
        <v>1</v>
      </c>
      <c r="E5" s="3" t="s">
        <v>4</v>
      </c>
      <c r="F5" s="2" t="s">
        <v>3</v>
      </c>
      <c r="G5" s="7" t="s">
        <v>22</v>
      </c>
      <c r="H5" s="7" t="s">
        <v>21</v>
      </c>
      <c r="I5" s="6" t="s">
        <v>10</v>
      </c>
      <c r="J5" s="4" t="s">
        <v>5</v>
      </c>
    </row>
    <row r="6" spans="1:10" x14ac:dyDescent="0.35">
      <c r="B6" t="s">
        <v>13</v>
      </c>
      <c r="C6" t="s">
        <v>52</v>
      </c>
      <c r="E6" t="s">
        <v>8</v>
      </c>
      <c r="F6">
        <v>1</v>
      </c>
      <c r="G6" s="9">
        <f>D17</f>
        <v>0.61565217391304339</v>
      </c>
      <c r="H6" s="9">
        <f>G6*1.1</f>
        <v>0.67721739130434777</v>
      </c>
      <c r="I6">
        <v>5</v>
      </c>
      <c r="J6" t="s">
        <v>15</v>
      </c>
    </row>
    <row r="7" spans="1:10" x14ac:dyDescent="0.35">
      <c r="B7" t="s">
        <v>7</v>
      </c>
      <c r="C7" t="s">
        <v>53</v>
      </c>
      <c r="E7" t="s">
        <v>8</v>
      </c>
      <c r="F7">
        <v>1</v>
      </c>
      <c r="G7" s="9">
        <f>D21</f>
        <v>0.59</v>
      </c>
      <c r="H7" s="9">
        <f t="shared" ref="H7:H10" si="0">G7*1.1</f>
        <v>0.64900000000000002</v>
      </c>
      <c r="I7">
        <v>5</v>
      </c>
      <c r="J7" t="s">
        <v>9</v>
      </c>
    </row>
    <row r="8" spans="1:10" x14ac:dyDescent="0.35">
      <c r="B8" t="s">
        <v>14</v>
      </c>
      <c r="C8" t="s">
        <v>55</v>
      </c>
      <c r="E8" t="s">
        <v>8</v>
      </c>
      <c r="F8">
        <v>1</v>
      </c>
      <c r="G8" s="9">
        <f>D23</f>
        <v>0.61565217391304339</v>
      </c>
      <c r="H8" s="9">
        <f t="shared" si="0"/>
        <v>0.67721739130434777</v>
      </c>
      <c r="I8">
        <v>5</v>
      </c>
      <c r="J8" t="s">
        <v>16</v>
      </c>
    </row>
    <row r="9" spans="1:10" x14ac:dyDescent="0.35">
      <c r="B9" t="s">
        <v>11</v>
      </c>
      <c r="C9" t="s">
        <v>54</v>
      </c>
      <c r="E9" t="s">
        <v>8</v>
      </c>
      <c r="F9">
        <v>1</v>
      </c>
      <c r="G9" s="9">
        <f>D26</f>
        <v>0.59</v>
      </c>
      <c r="H9" s="9">
        <f>G9*1.1</f>
        <v>0.64900000000000002</v>
      </c>
      <c r="I9">
        <v>5</v>
      </c>
      <c r="J9" t="s">
        <v>12</v>
      </c>
    </row>
    <row r="10" spans="1:10" x14ac:dyDescent="0.35">
      <c r="B10" t="s">
        <v>18</v>
      </c>
      <c r="C10" t="s">
        <v>56</v>
      </c>
      <c r="E10" t="s">
        <v>8</v>
      </c>
      <c r="F10">
        <v>1</v>
      </c>
      <c r="G10" s="9">
        <f>D28</f>
        <v>0.61565217391304339</v>
      </c>
      <c r="H10" s="9">
        <f t="shared" si="0"/>
        <v>0.67721739130434777</v>
      </c>
      <c r="I10">
        <v>5</v>
      </c>
      <c r="J10" t="s">
        <v>17</v>
      </c>
    </row>
    <row r="15" spans="1:10" ht="26" x14ac:dyDescent="0.35">
      <c r="B15" s="10" t="s">
        <v>24</v>
      </c>
      <c r="C15" s="10" t="s">
        <v>25</v>
      </c>
      <c r="D15" s="8" t="s">
        <v>23</v>
      </c>
    </row>
    <row r="16" spans="1:10" ht="26.5" thickBot="1" x14ac:dyDescent="0.4">
      <c r="B16" s="11" t="s">
        <v>26</v>
      </c>
      <c r="C16" s="11" t="s">
        <v>27</v>
      </c>
      <c r="D16" s="12"/>
    </row>
    <row r="17" spans="2:7" x14ac:dyDescent="0.35">
      <c r="B17" s="6" t="s">
        <v>28</v>
      </c>
      <c r="C17" s="6" t="s">
        <v>29</v>
      </c>
      <c r="D17" s="13">
        <v>0.61565217391304339</v>
      </c>
    </row>
    <row r="18" spans="2:7" x14ac:dyDescent="0.35">
      <c r="B18" t="s">
        <v>30</v>
      </c>
      <c r="C18" t="s">
        <v>31</v>
      </c>
      <c r="D18" s="13">
        <v>0.61565217391304339</v>
      </c>
    </row>
    <row r="19" spans="2:7" x14ac:dyDescent="0.35">
      <c r="B19" s="6" t="s">
        <v>32</v>
      </c>
      <c r="C19" s="6" t="s">
        <v>33</v>
      </c>
      <c r="D19" s="13">
        <v>0.61565217391304339</v>
      </c>
    </row>
    <row r="20" spans="2:7" x14ac:dyDescent="0.35">
      <c r="B20" t="s">
        <v>34</v>
      </c>
      <c r="C20" t="s">
        <v>35</v>
      </c>
      <c r="D20" s="13">
        <v>0.61565217391304339</v>
      </c>
    </row>
    <row r="21" spans="2:7" x14ac:dyDescent="0.35">
      <c r="B21" t="s">
        <v>36</v>
      </c>
      <c r="C21" t="s">
        <v>37</v>
      </c>
      <c r="D21" s="13">
        <v>0.59</v>
      </c>
    </row>
    <row r="22" spans="2:7" x14ac:dyDescent="0.35">
      <c r="B22" t="s">
        <v>38</v>
      </c>
      <c r="C22" t="s">
        <v>39</v>
      </c>
      <c r="D22" s="13">
        <v>0.59</v>
      </c>
    </row>
    <row r="23" spans="2:7" x14ac:dyDescent="0.35">
      <c r="B23" t="s">
        <v>40</v>
      </c>
      <c r="C23" t="s">
        <v>41</v>
      </c>
      <c r="D23" s="13">
        <v>0.61565217391304339</v>
      </c>
    </row>
    <row r="24" spans="2:7" x14ac:dyDescent="0.35">
      <c r="B24" t="s">
        <v>42</v>
      </c>
      <c r="C24" t="s">
        <v>43</v>
      </c>
      <c r="D24" s="13">
        <v>0.61565217391304339</v>
      </c>
    </row>
    <row r="25" spans="2:7" x14ac:dyDescent="0.35">
      <c r="B25" t="s">
        <v>44</v>
      </c>
      <c r="C25" t="s">
        <v>45</v>
      </c>
      <c r="D25" s="13">
        <v>0.61565217391304339</v>
      </c>
    </row>
    <row r="26" spans="2:7" x14ac:dyDescent="0.35">
      <c r="B26" s="6" t="s">
        <v>46</v>
      </c>
      <c r="C26" t="s">
        <v>47</v>
      </c>
      <c r="D26" s="13">
        <v>0.59</v>
      </c>
    </row>
    <row r="27" spans="2:7" x14ac:dyDescent="0.35">
      <c r="B27" s="6" t="s">
        <v>48</v>
      </c>
      <c r="C27" t="s">
        <v>49</v>
      </c>
      <c r="D27" s="13">
        <v>0.59</v>
      </c>
    </row>
    <row r="28" spans="2:7" x14ac:dyDescent="0.35">
      <c r="B28" t="s">
        <v>50</v>
      </c>
      <c r="C28" s="6" t="s">
        <v>51</v>
      </c>
      <c r="D28" s="13">
        <v>0.61565217391304339</v>
      </c>
    </row>
    <row r="29" spans="2:7" x14ac:dyDescent="0.35">
      <c r="G29" s="9"/>
    </row>
  </sheetData>
  <phoneticPr fontId="0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FA53-D765-4D61-875F-79F603B8624E}">
  <sheetPr codeName="Sheet3"/>
  <dimension ref="B2:L11"/>
  <sheetViews>
    <sheetView workbookViewId="0">
      <selection activeCell="O14" sqref="O14"/>
    </sheetView>
  </sheetViews>
  <sheetFormatPr defaultRowHeight="14.5" x14ac:dyDescent="0.35"/>
  <cols>
    <col min="4" max="4" width="10.81640625" customWidth="1"/>
    <col min="6" max="6" width="10.1796875" bestFit="1" customWidth="1"/>
    <col min="7" max="7" width="12.26953125" customWidth="1"/>
    <col min="8" max="8" width="16.7265625" customWidth="1"/>
    <col min="9" max="9" width="10.453125" bestFit="1" customWidth="1"/>
    <col min="10" max="10" width="8.26953125" bestFit="1" customWidth="1"/>
    <col min="11" max="11" width="9.453125" bestFit="1" customWidth="1"/>
    <col min="12" max="12" width="14.453125" bestFit="1" customWidth="1"/>
  </cols>
  <sheetData>
    <row r="2" spans="2:12" x14ac:dyDescent="0.35">
      <c r="B2" s="20" t="s">
        <v>117</v>
      </c>
      <c r="I2" s="21"/>
      <c r="J2" s="21"/>
      <c r="K2" s="21"/>
      <c r="L2" s="21"/>
    </row>
    <row r="3" spans="2:12" ht="15" thickBot="1" x14ac:dyDescent="0.4">
      <c r="B3" s="22" t="s">
        <v>118</v>
      </c>
      <c r="C3" s="22" t="s">
        <v>4</v>
      </c>
      <c r="D3" s="22" t="s">
        <v>119</v>
      </c>
      <c r="E3" s="22" t="s">
        <v>1</v>
      </c>
      <c r="F3" s="23" t="str">
        <f>Regions!C3</f>
        <v>IE</v>
      </c>
      <c r="G3" s="23" t="str">
        <f>Regions!D3</f>
        <v>National</v>
      </c>
      <c r="H3" s="24" t="s">
        <v>120</v>
      </c>
      <c r="I3" s="24" t="s">
        <v>2</v>
      </c>
      <c r="J3" s="24" t="s">
        <v>121</v>
      </c>
      <c r="K3" s="24" t="s">
        <v>122</v>
      </c>
      <c r="L3" s="24" t="s">
        <v>123</v>
      </c>
    </row>
    <row r="4" spans="2:12" x14ac:dyDescent="0.35">
      <c r="D4" s="25" t="s">
        <v>124</v>
      </c>
      <c r="F4" s="26">
        <v>6.7320000000000002</v>
      </c>
      <c r="G4" s="26">
        <f t="shared" ref="G4:G8" si="0">F4</f>
        <v>6.7320000000000002</v>
      </c>
      <c r="H4" s="25" t="s">
        <v>127</v>
      </c>
      <c r="I4" s="25" t="s">
        <v>125</v>
      </c>
      <c r="J4" s="25"/>
      <c r="K4" s="25" t="str">
        <f t="shared" ref="K4:K11" si="1">H4</f>
        <v>PWRGAS</v>
      </c>
      <c r="L4" s="25" t="s">
        <v>126</v>
      </c>
    </row>
    <row r="5" spans="2:12" x14ac:dyDescent="0.35">
      <c r="D5" s="27" t="s">
        <v>124</v>
      </c>
      <c r="F5" s="28">
        <v>49.368000000000002</v>
      </c>
      <c r="G5" s="28">
        <f t="shared" si="0"/>
        <v>49.368000000000002</v>
      </c>
      <c r="H5" s="27" t="s">
        <v>127</v>
      </c>
      <c r="I5" s="25" t="s">
        <v>125</v>
      </c>
      <c r="J5" s="27"/>
      <c r="K5" s="27" t="str">
        <f t="shared" si="1"/>
        <v>PWRGAS</v>
      </c>
      <c r="L5" s="27" t="s">
        <v>130</v>
      </c>
    </row>
    <row r="6" spans="2:12" x14ac:dyDescent="0.35">
      <c r="D6" s="25" t="s">
        <v>124</v>
      </c>
      <c r="F6" s="26">
        <v>11.795999999999999</v>
      </c>
      <c r="G6" s="26">
        <f t="shared" si="0"/>
        <v>11.795999999999999</v>
      </c>
      <c r="H6" s="25" t="s">
        <v>128</v>
      </c>
      <c r="I6" s="25" t="s">
        <v>125</v>
      </c>
      <c r="J6" s="25"/>
      <c r="K6" s="25" t="str">
        <f t="shared" si="1"/>
        <v>PWRCOA</v>
      </c>
      <c r="L6" s="25" t="s">
        <v>126</v>
      </c>
    </row>
    <row r="7" spans="2:12" x14ac:dyDescent="0.35">
      <c r="D7" s="27" t="s">
        <v>124</v>
      </c>
      <c r="E7" s="27"/>
      <c r="F7" s="27">
        <v>87.204000000000008</v>
      </c>
      <c r="G7" s="28">
        <f>F7</f>
        <v>87.204000000000008</v>
      </c>
      <c r="H7" s="25" t="s">
        <v>128</v>
      </c>
      <c r="I7" s="25" t="s">
        <v>125</v>
      </c>
      <c r="J7" s="27"/>
      <c r="K7" s="25" t="str">
        <f>H7</f>
        <v>PWRCOA</v>
      </c>
      <c r="L7" s="27" t="s">
        <v>130</v>
      </c>
    </row>
    <row r="8" spans="2:12" x14ac:dyDescent="0.35">
      <c r="D8" s="25" t="s">
        <v>124</v>
      </c>
      <c r="F8" s="26">
        <v>12.144</v>
      </c>
      <c r="G8" s="26">
        <f t="shared" si="0"/>
        <v>12.144</v>
      </c>
      <c r="H8" s="25" t="s">
        <v>129</v>
      </c>
      <c r="I8" s="25" t="s">
        <v>125</v>
      </c>
      <c r="J8" s="25"/>
      <c r="K8" s="25" t="str">
        <f t="shared" si="1"/>
        <v>PWRPEA</v>
      </c>
      <c r="L8" s="25" t="s">
        <v>126</v>
      </c>
    </row>
    <row r="9" spans="2:12" x14ac:dyDescent="0.35">
      <c r="D9" s="29" t="s">
        <v>124</v>
      </c>
      <c r="E9" s="29"/>
      <c r="F9" s="29">
        <v>95.855999999999995</v>
      </c>
      <c r="G9" s="28">
        <f>F9</f>
        <v>95.855999999999995</v>
      </c>
      <c r="H9" s="25" t="s">
        <v>129</v>
      </c>
      <c r="I9" s="25" t="s">
        <v>125</v>
      </c>
      <c r="J9" s="29"/>
      <c r="K9" s="25" t="str">
        <f>H9</f>
        <v>PWRPEA</v>
      </c>
      <c r="L9" s="27" t="s">
        <v>130</v>
      </c>
    </row>
    <row r="10" spans="2:12" x14ac:dyDescent="0.35">
      <c r="D10" s="27" t="s">
        <v>124</v>
      </c>
      <c r="E10" s="27"/>
      <c r="F10" s="27">
        <v>-79.73</v>
      </c>
      <c r="G10" s="28">
        <f t="shared" ref="G10:G11" si="2">F10</f>
        <v>-79.73</v>
      </c>
      <c r="H10" s="25" t="s">
        <v>131</v>
      </c>
      <c r="I10" s="25" t="s">
        <v>132</v>
      </c>
      <c r="J10" s="27"/>
      <c r="K10" s="25" t="str">
        <f t="shared" si="1"/>
        <v>PWRBIO</v>
      </c>
      <c r="L10" s="27" t="s">
        <v>126</v>
      </c>
    </row>
    <row r="11" spans="2:12" x14ac:dyDescent="0.35">
      <c r="D11" s="29" t="s">
        <v>124</v>
      </c>
      <c r="E11" s="29"/>
      <c r="F11" s="29">
        <v>79.73</v>
      </c>
      <c r="G11" s="28">
        <f t="shared" si="2"/>
        <v>79.73</v>
      </c>
      <c r="H11" s="25" t="s">
        <v>131</v>
      </c>
      <c r="I11" s="25" t="s">
        <v>132</v>
      </c>
      <c r="J11" s="29"/>
      <c r="K11" s="25" t="str">
        <f t="shared" si="1"/>
        <v>PWRBIO</v>
      </c>
      <c r="L11" s="27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74FDAF7A4FB4D876E5EA45926113E" ma:contentTypeVersion="4" ma:contentTypeDescription="Create a new document." ma:contentTypeScope="" ma:versionID="327522a6d5518d67d5f1063e9cc64cf0">
  <xsd:schema xmlns:xsd="http://www.w3.org/2001/XMLSchema" xmlns:xs="http://www.w3.org/2001/XMLSchema" xmlns:p="http://schemas.microsoft.com/office/2006/metadata/properties" xmlns:ns2="3a32fc56-8470-4d77-ad86-bef2a7229878" targetNamespace="http://schemas.microsoft.com/office/2006/metadata/properties" ma:root="true" ma:fieldsID="ffd5532d255be23b9fb13183c07e1fd0" ns2:_="">
    <xsd:import namespace="3a32fc56-8470-4d77-ad86-bef2a7229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2fc56-8470-4d77-ad86-bef2a7229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886123-9BA9-4DD3-969B-04E6087189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A27B0CF-89B5-4B4C-B311-C0E79941CE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32fc56-8470-4d77-ad86-bef2a72298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B0C690-3E0C-4B9D-864A-3F51F2CB2C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UC_CCS</vt:lpstr>
      <vt:lpstr>FLO_EMIS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2026-08-10T14:02:00Z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0x01010087B74FDAF7A4FB4D876E5EA45926113E</vt:lpwstr>
  </property>
  <property fmtid="{D5CDD505-2E9C-101B-9397-08002B2CF9AE}" pid="3" name="SaveCode">
    <vt:r8>905610144138336</vt:r8>
  </property>
</Properties>
</file>