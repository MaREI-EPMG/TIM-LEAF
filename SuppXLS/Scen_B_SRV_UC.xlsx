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924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-VAv2\SuppXLS\"/>
    </mc:Choice>
  </mc:AlternateContent>
  <bookViews>
    <workbookView xWindow="2805" yWindow="1815" windowWidth="19200" windowHeight="11175" activeTab="0"/>
  </bookViews>
  <sheets>
    <sheet name="Cover" sheetId="37" r:id="rId3"/>
    <sheet name="Legend" sheetId="36" r:id="rId4"/>
    <sheet name="Ambient Heat" sheetId="35" r:id="rId5"/>
    <sheet name="FillData" sheetId="18" r:id="rId6"/>
    <sheet name="COP" sheetId="34" r:id="rId7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_Order2" hidden="1">255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35" l="1"/>
</calcChain>
</file>

<file path=xl/sharedStrings.xml><?xml version="1.0" encoding="utf-8"?>
<sst xmlns="http://schemas.openxmlformats.org/spreadsheetml/2006/main" count="2299" uniqueCount="178">
  <si>
    <t>LimType</t>
  </si>
  <si>
    <t>Attribute</t>
  </si>
  <si>
    <t>Year</t>
  </si>
  <si>
    <t>AllRegions</t>
  </si>
  <si>
    <t>Scenario</t>
  </si>
  <si>
    <t>Document type:</t>
  </si>
  <si>
    <t>Sector:</t>
  </si>
  <si>
    <t>Developer:</t>
  </si>
  <si>
    <t>Version date:</t>
  </si>
  <si>
    <t>Description:</t>
  </si>
  <si>
    <t>Source data:</t>
  </si>
  <si>
    <t>Scenario file on User Constraints</t>
  </si>
  <si>
    <t>Pset_PN</t>
  </si>
  <si>
    <t>Electricity</t>
  </si>
  <si>
    <t>VEDA-TIMES data input tables</t>
  </si>
  <si>
    <t>Tab colour legend</t>
  </si>
  <si>
    <t>LPG</t>
  </si>
  <si>
    <t>Biodiesel</t>
  </si>
  <si>
    <t>Ethanol</t>
  </si>
  <si>
    <t>Solar</t>
  </si>
  <si>
    <t>process</t>
  </si>
  <si>
    <t>commodity</t>
  </si>
  <si>
    <t>IE</t>
  </si>
  <si>
    <t>sow</t>
  </si>
  <si>
    <t>scenario</t>
  </si>
  <si>
    <t>National</t>
  </si>
  <si>
    <t>2020</t>
  </si>
  <si>
    <t>year2</t>
  </si>
  <si>
    <t>ANNUAL</t>
  </si>
  <si>
    <t>2050</t>
  </si>
  <si>
    <t>SRV_NewTechs</t>
  </si>
  <si>
    <t>2030</t>
  </si>
  <si>
    <t>COA</t>
  </si>
  <si>
    <t>Cooking</t>
  </si>
  <si>
    <t>~TFM_Fill-R: w=COP; Hcol=Region</t>
  </si>
  <si>
    <t>CEFF</t>
  </si>
  <si>
    <t>2018</t>
  </si>
  <si>
    <t>~TFM_INS-TS</t>
  </si>
  <si>
    <t>PSET_PN</t>
  </si>
  <si>
    <t>Cset_CN</t>
  </si>
  <si>
    <t>Other_Indexes</t>
  </si>
  <si>
    <t>Input to control ambient heat per unit of heat produced</t>
  </si>
  <si>
    <t>FLO_SHAR</t>
  </si>
  <si>
    <t>SRVAHT</t>
  </si>
  <si>
    <t>TIMES-Ireland Model (TIM)</t>
  </si>
  <si>
    <t>Services</t>
  </si>
  <si>
    <t>SRV</t>
  </si>
  <si>
    <t>Cell colour legend</t>
  </si>
  <si>
    <t>aaa</t>
  </si>
  <si>
    <t>Model input</t>
  </si>
  <si>
    <t>Model input based on own assumptions</t>
  </si>
  <si>
    <t>Calculated value (not recommended to directly modify)</t>
  </si>
  <si>
    <t>Codes for processes and commodities names</t>
  </si>
  <si>
    <t>Dimension</t>
  </si>
  <si>
    <t>Short code</t>
  </si>
  <si>
    <t>Full code</t>
  </si>
  <si>
    <t>Sub-sectors</t>
  </si>
  <si>
    <t>Commercial Services</t>
  </si>
  <si>
    <t>CS</t>
  </si>
  <si>
    <t>Public Services</t>
  </si>
  <si>
    <t>PU</t>
  </si>
  <si>
    <t>Thermal uses</t>
  </si>
  <si>
    <t>Space heating</t>
  </si>
  <si>
    <t>SH</t>
  </si>
  <si>
    <t>Water heating</t>
  </si>
  <si>
    <t>WH</t>
  </si>
  <si>
    <t>Space cooling</t>
  </si>
  <si>
    <t>SC</t>
  </si>
  <si>
    <t>Other uses</t>
  </si>
  <si>
    <t>CK</t>
  </si>
  <si>
    <t>Building lighting</t>
  </si>
  <si>
    <t>LIG</t>
  </si>
  <si>
    <t>Refrigeration</t>
  </si>
  <si>
    <t>REF</t>
  </si>
  <si>
    <t>Other appliances</t>
  </si>
  <si>
    <t>OEL</t>
  </si>
  <si>
    <t>Data centers</t>
  </si>
  <si>
    <t>DCE</t>
  </si>
  <si>
    <t>Public lighting</t>
  </si>
  <si>
    <t>PLIG</t>
  </si>
  <si>
    <t>Other services</t>
  </si>
  <si>
    <t>OTS</t>
  </si>
  <si>
    <t>Fuels</t>
  </si>
  <si>
    <t>Solids</t>
  </si>
  <si>
    <t>SRVCOA</t>
  </si>
  <si>
    <t>SRVLPG</t>
  </si>
  <si>
    <t>Oil</t>
  </si>
  <si>
    <t>OIL</t>
  </si>
  <si>
    <t>SRVOIL</t>
  </si>
  <si>
    <t>Natural Gas</t>
  </si>
  <si>
    <t>GAS</t>
  </si>
  <si>
    <t>SRVGAS</t>
  </si>
  <si>
    <t>Biomass</t>
  </si>
  <si>
    <t>BIO</t>
  </si>
  <si>
    <t>SRVBIO</t>
  </si>
  <si>
    <t>Biogas</t>
  </si>
  <si>
    <t>BGS</t>
  </si>
  <si>
    <t>SRVBGS</t>
  </si>
  <si>
    <t>SOL</t>
  </si>
  <si>
    <t>SRVSOL</t>
  </si>
  <si>
    <t>ELC</t>
  </si>
  <si>
    <t>SRVELC</t>
  </si>
  <si>
    <t>Ambient Heat</t>
  </si>
  <si>
    <t>AHT</t>
  </si>
  <si>
    <t>District heating</t>
  </si>
  <si>
    <t>HET</t>
  </si>
  <si>
    <t>SRVHET</t>
  </si>
  <si>
    <t>Wind</t>
  </si>
  <si>
    <t>WIN</t>
  </si>
  <si>
    <t>SRVWIN</t>
  </si>
  <si>
    <t>Hydrogen (gaseous)</t>
  </si>
  <si>
    <t>H2G</t>
  </si>
  <si>
    <t>SRVH2G</t>
  </si>
  <si>
    <t>Hydrogen (liquid)</t>
  </si>
  <si>
    <t>H2L</t>
  </si>
  <si>
    <t>SRVH2L</t>
  </si>
  <si>
    <t>BDL</t>
  </si>
  <si>
    <t>SRVBDL</t>
  </si>
  <si>
    <t>ETH</t>
  </si>
  <si>
    <t>SRVETH</t>
  </si>
  <si>
    <t>Veda fill table</t>
  </si>
  <si>
    <t>SubRes data</t>
  </si>
  <si>
    <t>Controller for Ambient Heat</t>
  </si>
  <si>
    <t>S-SH-CS_ELC_N2</t>
  </si>
  <si>
    <t>SRVSH-CS</t>
  </si>
  <si>
    <t>S-SH-CS_ELC_N3</t>
  </si>
  <si>
    <t>SRVWH-CS</t>
  </si>
  <si>
    <t>S-SH-CS_ELC_N4</t>
  </si>
  <si>
    <t>S-SH-CS_ELC_N5</t>
  </si>
  <si>
    <t>2040</t>
  </si>
  <si>
    <t>S-SH-CS_ELC_N6</t>
  </si>
  <si>
    <t>S-SH-CS_ELC_N7</t>
  </si>
  <si>
    <t>S-SH-CS_ELC_N8</t>
  </si>
  <si>
    <t>S-SH-CS_ELC_N9</t>
  </si>
  <si>
    <t>S-SH-CS_GAS_N6</t>
  </si>
  <si>
    <t>S-SH-PU_ELC_N2</t>
  </si>
  <si>
    <t>SRVSH-PU</t>
  </si>
  <si>
    <t>S-SH-PU_ELC_N3</t>
  </si>
  <si>
    <t>SRVWH-PU</t>
  </si>
  <si>
    <t>S-SH-PU_ELC_N4</t>
  </si>
  <si>
    <t>S-SH-PU_ELC_N5</t>
  </si>
  <si>
    <t>-</t>
  </si>
  <si>
    <t>S-SH-PU_ELC_N6</t>
  </si>
  <si>
    <t>S-SH-PU_ELC_N7</t>
  </si>
  <si>
    <t>S-SH-PU_ELC_N8</t>
  </si>
  <si>
    <t>S-SH-PU_ELC_N9</t>
  </si>
  <si>
    <t>S-SH-PU_GAS_N6</t>
  </si>
  <si>
    <t>S-SH-CS_GAS_N5</t>
  </si>
  <si>
    <t>S-SH-PU_GAS_N5</t>
  </si>
  <si>
    <t>S-SH*ELC_N*, S-SH*GAS_N5, S-SH*GAS_N6, -*N1</t>
  </si>
  <si>
    <t>SRVSC-CS</t>
  </si>
  <si>
    <t>\I: Public services HPs - SH</t>
  </si>
  <si>
    <t>\I: Commercial services HPs - SH</t>
  </si>
  <si>
    <t>\I: Public services HPs -WH</t>
  </si>
  <si>
    <t>\I: Commercial services HPs - WH</t>
  </si>
  <si>
    <t>SRVAHT2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</si>
  <si>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</si>
  <si>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</si>
  <si>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</si>
  <si>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</si>
  <si>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</si>
  <si>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</si>
  <si>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</si>
  <si>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</si>
  <si>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</si>
  <si>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</si>
  <si>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</si>
  <si>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Service sector (SRV)</t>
  </si>
  <si>
    <t>Olexandr Balyk (UCC, olexandr.balyk@ucc.ie)</t>
  </si>
  <si>
    <t>Specify utilisation of ambient heat by heat pumps</t>
  </si>
  <si>
    <t>lim_type</t>
  </si>
  <si>
    <t>year</t>
  </si>
  <si>
    <t>attribute</t>
  </si>
  <si>
    <t>stage</t>
  </si>
  <si>
    <t>commodity_group</t>
  </si>
  <si>
    <t>time_slice</t>
  </si>
  <si>
    <t>currency</t>
  </si>
  <si>
    <t>SRVSC-PU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</si>
</sst>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color theme="7" tint="-0.499199986457825"/>
      <name val="Calibri"/>
      <family val="2"/>
      <scheme val="minor"/>
    </font>
    <font>
      <sz val="11"/>
      <color theme="7" tint="-0.499199986457825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0" tint="-0.149220004677773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0"/>
      </top>
      <bottom style="medium">
        <color theme="0"/>
      </bottom>
    </border>
    <border>
      <left/>
      <right/>
      <top/>
      <bottom style="thin">
        <color theme="0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theme="0"/>
      </top>
      <bottom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17" fillId="0" borderId="0" applyNumberFormat="0" applyFill="0" applyBorder="0" applyAlignment="0" applyProtection="0"/>
  </cellStyleXfs>
  <cellXfs count="65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top"/>
    </xf>
    <xf numFmtId="14" fontId="0" fillId="0" borderId="0" xfId="0" applyNumberFormat="1" applyAlignment="1">
      <alignment horizontal="left" vertical="center"/>
    </xf>
    <xf numFmtId="0" fontId="8" fillId="4" borderId="2" xfId="0" applyFont="1" applyFill="1" applyBorder="1" applyAlignment="1">
      <alignment vertical="top"/>
    </xf>
    <xf numFmtId="0" fontId="0" fillId="0" borderId="2" xfId="0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0" fillId="5" borderId="6" xfId="0" applyFill="1" applyBorder="1"/>
    <xf numFmtId="0" fontId="8" fillId="0" borderId="0" xfId="0" applyFont="1"/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0" fillId="6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6" borderId="10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2" borderId="13" xfId="0" applyFont="1" applyFill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0" xfId="0" applyFont="1" applyAlignment="1">
      <alignment vertical="center"/>
    </xf>
    <xf numFmtId="0" fontId="0" fillId="7" borderId="15" xfId="0" applyFill="1" applyBorder="1"/>
    <xf numFmtId="0" fontId="7" fillId="0" borderId="1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2" fontId="7" fillId="0" borderId="14" xfId="0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3" borderId="0" xfId="20" applyFont="1" applyFill="1" applyAlignment="1">
      <alignment vertical="center"/>
      <protection/>
    </xf>
    <xf numFmtId="0" fontId="2" fillId="8" borderId="0" xfId="20" applyFont="1" applyFill="1" applyAlignment="1">
      <alignment vertical="center"/>
      <protection/>
    </xf>
    <xf numFmtId="0" fontId="2" fillId="0" borderId="0" xfId="21">
      <alignment/>
      <protection/>
    </xf>
    <xf numFmtId="0" fontId="16" fillId="8" borderId="0" xfId="20" applyFont="1" applyFill="1" applyAlignment="1">
      <alignment vertical="center"/>
      <protection/>
    </xf>
    <xf numFmtId="0" fontId="17" fillId="8" borderId="0" xfId="20" applyFont="1" applyFill="1" applyAlignment="1">
      <alignment vertical="center"/>
      <protection/>
    </xf>
    <xf numFmtId="0" fontId="2" fillId="4" borderId="0" xfId="20" applyFont="1" applyFill="1" applyAlignment="1">
      <alignment vertical="center"/>
      <protection/>
    </xf>
    <xf numFmtId="0" fontId="11" fillId="8" borderId="0" xfId="20" applyFont="1" applyFill="1" applyAlignment="1">
      <alignment vertical="center"/>
      <protection/>
    </xf>
    <xf numFmtId="0" fontId="18" fillId="8" borderId="0" xfId="20" applyFont="1" applyFill="1" applyAlignment="1">
      <alignment vertical="center"/>
      <protection/>
    </xf>
    <xf numFmtId="0" fontId="6" fillId="3" borderId="0" xfId="20" applyFont="1" applyFill="1" applyAlignment="1">
      <alignment vertical="center"/>
      <protection/>
    </xf>
    <xf numFmtId="0" fontId="7" fillId="8" borderId="0" xfId="20" applyFont="1" applyFill="1" applyAlignment="1">
      <alignment vertical="center"/>
      <protection/>
    </xf>
    <xf numFmtId="0" fontId="19" fillId="8" borderId="0" xfId="20" applyFont="1" applyFill="1" applyAlignment="1">
      <alignment vertical="center"/>
      <protection/>
    </xf>
    <xf numFmtId="0" fontId="7" fillId="3" borderId="0" xfId="20" applyFont="1" applyFill="1" applyAlignment="1">
      <alignment vertical="center"/>
      <protection/>
    </xf>
    <xf numFmtId="164" fontId="7" fillId="3" borderId="0" xfId="20" applyNumberFormat="1" applyFont="1" applyFill="1" applyAlignment="1">
      <alignment horizontal="left" vertical="center"/>
      <protection/>
    </xf>
    <xf numFmtId="0" fontId="20" fillId="8" borderId="0" xfId="20" applyFont="1" applyFill="1" applyAlignment="1">
      <alignment vertical="center"/>
      <protection/>
    </xf>
    <xf numFmtId="0" fontId="21" fillId="3" borderId="0" xfId="20" applyFont="1" applyFill="1" applyAlignment="1">
      <alignment vertical="center"/>
      <protection/>
    </xf>
    <xf numFmtId="0" fontId="17" fillId="3" borderId="0" xfId="22" applyFill="1" applyAlignment="1">
      <alignment vertical="center"/>
    </xf>
    <xf numFmtId="0" fontId="7" fillId="3" borderId="0" xfId="20" applyFont="1" applyFill="1" applyAlignment="1">
      <alignment vertical="center"/>
      <protection/>
    </xf>
    <xf numFmtId="0" fontId="16" fillId="3" borderId="0" xfId="20" applyFont="1" applyFill="1" applyAlignment="1">
      <alignment horizontal="center" vertical="center"/>
      <protection/>
    </xf>
    <xf numFmtId="0" fontId="17" fillId="3" borderId="0" xfId="22" applyFill="1" applyAlignment="1">
      <alignment vertical="center"/>
    </xf>
    <xf numFmtId="0" fontId="0" fillId="0" borderId="16" xfId="0" applyFont="1" applyBorder="1"/>
    <xf numFmtId="0" fontId="0" fillId="0" borderId="17" xfId="0" applyBorder="1"/>
    <xf numFmtId="0" fontId="0" fillId="0" borderId="11" xfId="0" applyBorder="1"/>
    <xf numFmtId="0" fontId="0" fillId="0" borderId="18" xfId="0" applyBorder="1"/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Hyperlink 2" xfId="2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customXml" Target="../customXml/item1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customXml" Target="../customXml/item3.xml" /><Relationship Id="rId10" Type="http://schemas.openxmlformats.org/officeDocument/2006/relationships/customXml" Target="../customXml/item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1.jpeg" /><Relationship Id="rId1" Type="http://schemas.openxmlformats.org/officeDocument/2006/relationships/image" Target="../media/image3.png" /><Relationship Id="rId6" Type="http://schemas.openxmlformats.org/officeDocument/2006/relationships/image" Target="../media/image2.jpeg" /><Relationship Id="rId7" Type="http://schemas.openxmlformats.org/officeDocument/2006/relationships/image" Target="../media/image5.pn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62949-a749-49ef-8f1e-fb359b26b247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b9e88-41ca-4285-a359-ea9ca0ab4991}"/>
            </a:ext>
          </a:extLst>
        </xdr:cNvPr>
        <xdr:cNvPicPr>
          <a:picLocks noChangeAspect="1"/>
        </xdr:cNvPicPr>
      </xdr:nvPicPr>
      <xdr:blipFill>
        <a:blip r:embed="rId2"/>
        <a:srcRect l="4501" t="8816" r="7629" b="12808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241ee3-df2f-406b-a7aa-a85c59d381d6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0134f6-7c42-408d-9e5d-8b4ebb09ad19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3da8e9-9cf7-4595-ba74-1722db6b9c5c}"/>
            </a:ext>
          </a:extLst>
        </xdr:cNvPr>
        <xdr:cNvPicPr>
          <a:picLocks noChangeAspect="1"/>
        </xdr:cNvPicPr>
      </xdr:nvPicPr>
      <xdr:blipFill>
        <a:blip r:embed="rId5"/>
        <a:srcRect l="1251" t="6446" r="3894" b="6250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571902-3f12-4eff-8030-c5ec81f0be1a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81" t="26081" r="3881" b="26080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1009650</xdr:colOff>
      <xdr:row>23</xdr:row>
      <xdr:rowOff>171437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6994e2b-15ab-411c-a1f6-d19565d49e87}"/>
            </a:ext>
          </a:extLst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38275" y="5476875"/>
          <a:ext cx="2447925" cy="390525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11906</xdr:colOff>
      <xdr:row>4</xdr:row>
      <xdr:rowOff>95250</xdr:rowOff>
    </xdr:from>
    <xdr:to>
      <xdr:col>2</xdr:col>
      <xdr:colOff>650081</xdr:colOff>
      <xdr:row>4</xdr:row>
      <xdr:rowOff>485762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64c5-dcbe-46a0-8306-15cb06807e37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1038225"/>
          <a:ext cx="2466975" cy="390525"/>
        </a:xfrm>
        <a:prstGeom prst="rect"/>
      </xdr:spPr>
    </xdr:pic>
    <xdr:clientData/>
  </xdr:twoCellAnchor>
  <xdr:twoCellAnchor editAs="oneCell">
    <xdr:from>
      <xdr:col>1</xdr:col>
      <xdr:colOff>11906</xdr:colOff>
      <xdr:row>4</xdr:row>
      <xdr:rowOff>95250</xdr:rowOff>
    </xdr:from>
    <xdr:to>
      <xdr:col>2</xdr:col>
      <xdr:colOff>650081</xdr:colOff>
      <xdr:row>4</xdr:row>
      <xdr:rowOff>485762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73451a-888a-4000-af29-4b51545200ca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1038225"/>
          <a:ext cx="2466975" cy="3905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D803BE-A7C3-498A-ABB2-2CAA0BB61080}">
  <sheetPr codeName="Sheet5"/>
  <dimension ref="A1:Z99"/>
  <sheetViews>
    <sheetView showGridLines="0" tabSelected="1" workbookViewId="0" topLeftCell="A2">
      <selection pane="topLeft" activeCell="B22" sqref="B22"/>
    </sheetView>
  </sheetViews>
  <sheetFormatPr defaultColWidth="8.85428571428571" defaultRowHeight="15"/>
  <cols>
    <col min="1" max="4" width="21.5714285714286" style="44" customWidth="1"/>
    <col min="5" max="6" width="14.1428571428571" style="44" customWidth="1"/>
    <col min="7" max="7" width="12.1428571428571" style="44" customWidth="1"/>
    <col min="8" max="10" width="8.14285714285714" style="44" customWidth="1"/>
    <col min="11" max="11" width="9.57142857142857" style="44" customWidth="1"/>
    <col min="12" max="12" width="8.14285714285714" style="44" customWidth="1"/>
    <col min="13" max="13" width="10" style="44" customWidth="1"/>
    <col min="14" max="14" width="11.4285714285714" style="44" customWidth="1"/>
    <col min="15" max="15" width="13.4285714285714" style="44" customWidth="1"/>
    <col min="16" max="16384" width="8.85714285714286" style="44"/>
  </cols>
  <sheetData>
    <row r="1" spans="1:26" ht="15">
      <c r="A1" s="42"/>
      <c r="B1" s="42"/>
      <c r="C1" s="42"/>
      <c r="D1" s="42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">
      <c r="A2" s="42"/>
      <c r="B2" s="42"/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5">
      <c r="A3" s="42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5">
      <c r="A4" s="42"/>
      <c r="B4" s="42"/>
      <c r="C4" s="42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5">
      <c r="A5" s="42"/>
      <c r="B5" s="42"/>
      <c r="C5" s="42"/>
      <c r="D5" s="42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5">
      <c r="A6" s="42"/>
      <c r="B6" s="42"/>
      <c r="C6" s="42"/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5">
      <c r="A7" s="42"/>
      <c r="B7" s="42"/>
      <c r="C7" s="4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5">
      <c r="A8" s="42"/>
      <c r="B8" s="42"/>
      <c r="C8" s="42"/>
      <c r="D8" s="42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5">
      <c r="A9" s="42"/>
      <c r="B9" s="42"/>
      <c r="C9" s="42"/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5">
      <c r="A10" s="42"/>
      <c r="B10" s="42"/>
      <c r="C10" s="42"/>
      <c r="D10" s="42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5">
      <c r="A11" s="42"/>
      <c r="B11" s="42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5">
      <c r="A12" s="42"/>
      <c r="B12" s="42"/>
      <c r="C12" s="42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5">
      <c r="A13" s="42"/>
      <c r="B13" s="42"/>
      <c r="C13" s="42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5">
      <c r="A14" s="42"/>
      <c r="B14" s="42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5">
      <c r="A15" s="42"/>
      <c r="B15" s="42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02.75" customHeight="1">
      <c r="A16" s="59" t="s">
        <v>156</v>
      </c>
      <c r="B16" s="59"/>
      <c r="C16" s="59"/>
      <c r="D16" s="59"/>
      <c r="E16" s="45"/>
      <c r="F16" s="45"/>
      <c r="G16" s="46"/>
      <c r="H16" s="46"/>
      <c r="I16" s="46"/>
      <c r="J16" s="46"/>
      <c r="K16" s="46"/>
      <c r="L16" s="46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7.25" customHeight="1">
      <c r="A17" s="47"/>
      <c r="B17" s="47"/>
      <c r="C17" s="47"/>
      <c r="D17" s="4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7.25" customHeight="1">
      <c r="A18" s="47"/>
      <c r="B18" s="47"/>
      <c r="C18" s="47"/>
      <c r="D18" s="47"/>
      <c r="E18" s="48"/>
      <c r="F18" s="48"/>
      <c r="G18" s="49"/>
      <c r="H18" s="49"/>
      <c r="I18" s="49"/>
      <c r="J18" s="49"/>
      <c r="K18" s="49"/>
      <c r="L18" s="49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7.25" customHeight="1">
      <c r="A19" s="50" t="s">
        <v>5</v>
      </c>
      <c r="B19" s="58" t="s">
        <v>4</v>
      </c>
      <c r="C19" s="58"/>
      <c r="D19" s="58"/>
      <c r="E19" s="51"/>
      <c r="F19" s="51"/>
      <c r="G19" s="52"/>
      <c r="H19" s="52"/>
      <c r="I19" s="52"/>
      <c r="J19" s="52"/>
      <c r="K19" s="52"/>
      <c r="L19" s="52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7.25" customHeight="1">
      <c r="A20" s="50" t="s">
        <v>157</v>
      </c>
      <c r="B20" s="58" t="s">
        <v>167</v>
      </c>
      <c r="C20" s="58"/>
      <c r="D20" s="58"/>
      <c r="E20" s="51"/>
      <c r="F20" s="51"/>
      <c r="G20" s="52"/>
      <c r="H20" s="52"/>
      <c r="I20" s="52"/>
      <c r="J20" s="52"/>
      <c r="K20" s="52"/>
      <c r="L20" s="52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7.25" customHeight="1">
      <c r="A21" s="50" t="s">
        <v>158</v>
      </c>
      <c r="B21" s="53" t="s">
        <v>169</v>
      </c>
      <c r="C21" s="53"/>
      <c r="D21" s="53"/>
      <c r="E21" s="51"/>
      <c r="F21" s="51"/>
      <c r="G21" s="52"/>
      <c r="H21" s="52"/>
      <c r="I21" s="52"/>
      <c r="J21" s="52"/>
      <c r="K21" s="52"/>
      <c r="L21" s="52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7.25" customHeight="1">
      <c r="A22" s="50"/>
      <c r="B22" s="53"/>
      <c r="C22" s="53"/>
      <c r="D22" s="53"/>
      <c r="E22" s="51"/>
      <c r="F22" s="51"/>
      <c r="G22" s="52"/>
      <c r="H22" s="52"/>
      <c r="I22" s="52"/>
      <c r="J22" s="52"/>
      <c r="K22" s="52"/>
      <c r="L22" s="52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7.25" customHeight="1">
      <c r="A23" s="50" t="s">
        <v>159</v>
      </c>
      <c r="B23" s="58"/>
      <c r="C23" s="58"/>
      <c r="D23" s="58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7.25" customHeight="1">
      <c r="A24" s="50"/>
      <c r="B24" s="53"/>
      <c r="C24" s="53"/>
      <c r="D24" s="5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7.25" customHeight="1">
      <c r="A25" s="50"/>
      <c r="B25" s="53"/>
      <c r="C25" s="53"/>
      <c r="D25" s="5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7.25" customHeight="1">
      <c r="A26" s="50" t="s">
        <v>160</v>
      </c>
      <c r="B26" s="58" t="s">
        <v>168</v>
      </c>
      <c r="C26" s="58"/>
      <c r="D26" s="58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7.25" customHeight="1">
      <c r="A27" s="50"/>
      <c r="B27" s="53"/>
      <c r="C27" s="53"/>
      <c r="D27" s="5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7.25" customHeight="1">
      <c r="A28" s="50"/>
      <c r="B28" s="53"/>
      <c r="C28" s="53"/>
      <c r="D28" s="5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7.25" customHeight="1">
      <c r="A29" s="50" t="s">
        <v>161</v>
      </c>
      <c r="B29" s="54">
        <v>1</v>
      </c>
      <c r="C29" s="53"/>
      <c r="D29" s="5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7.25" customHeight="1">
      <c r="A30" s="50" t="s">
        <v>162</v>
      </c>
      <c r="B30" s="60" t="s">
        <v>163</v>
      </c>
      <c r="C30" s="58"/>
      <c r="D30" s="58"/>
      <c r="E30" s="55"/>
      <c r="F30" s="55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7.25" customHeight="1">
      <c r="A31" s="50" t="s">
        <v>164</v>
      </c>
      <c r="B31" s="58" t="s">
        <v>165</v>
      </c>
      <c r="C31" s="58"/>
      <c r="D31" s="58"/>
      <c r="E31" s="55"/>
      <c r="F31" s="55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7.25" customHeight="1">
      <c r="A32" s="56"/>
      <c r="B32" s="57" t="s">
        <v>166</v>
      </c>
      <c r="C32" s="56"/>
      <c r="D32" s="5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">
      <c r="A33" s="42"/>
      <c r="B33" s="42"/>
      <c r="C33" s="42"/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">
      <c r="A34" s="42"/>
      <c r="B34" s="42"/>
      <c r="C34" s="42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">
      <c r="A35" s="42"/>
      <c r="B35" s="42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">
      <c r="A36" s="42"/>
      <c r="B36" s="42"/>
      <c r="C36" s="42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">
      <c r="A37" s="42"/>
      <c r="B37" s="42"/>
      <c r="C37" s="42"/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">
      <c r="A38" s="42"/>
      <c r="B38" s="42"/>
      <c r="C38" s="42"/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">
      <c r="A39" s="42"/>
      <c r="B39" s="42"/>
      <c r="C39" s="42"/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">
      <c r="A40" s="42"/>
      <c r="B40" s="42"/>
      <c r="C40" s="42"/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">
      <c r="A41" s="42"/>
      <c r="B41" s="42"/>
      <c r="C41" s="42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">
      <c r="A42" s="42"/>
      <c r="B42" s="42"/>
      <c r="C42" s="42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180648-252A-4FDB-8AB4-EE4382E51946}">
  <sheetPr codeName="Sheet1">
    <tabColor rgb="FFFFFF00"/>
  </sheetPr>
  <dimension ref="A1:I53"/>
  <sheetViews>
    <sheetView showGridLines="0" workbookViewId="0" topLeftCell="A1">
      <selection pane="topLeft" activeCell="H21" sqref="H21"/>
    </sheetView>
  </sheetViews>
  <sheetFormatPr defaultColWidth="9.14428571428571" defaultRowHeight="12.75"/>
  <cols>
    <col min="1" max="1" width="19.5714285714286" customWidth="1"/>
    <col min="2" max="3" width="27.4285714285714" customWidth="1"/>
    <col min="7" max="7" width="42.5714285714286" customWidth="1"/>
    <col min="8" max="8" width="56.5714285714286" customWidth="1"/>
    <col min="9" max="9" width="101.571428571429" bestFit="1" customWidth="1"/>
  </cols>
  <sheetData>
    <row r="1" spans="1:2" ht="23.25">
      <c r="A1" s="7" t="s">
        <v>44</v>
      </c>
      <c r="B1" s="8"/>
    </row>
    <row r="2" spans="1:2" ht="21">
      <c r="A2" s="9"/>
      <c r="B2" s="8"/>
    </row>
    <row r="3" spans="1:2" ht="15">
      <c r="A3" s="10" t="s">
        <v>5</v>
      </c>
      <c r="B3" s="2" t="s">
        <v>11</v>
      </c>
    </row>
    <row r="4" spans="1:3" ht="15">
      <c r="A4" s="10" t="s">
        <v>6</v>
      </c>
      <c r="B4" s="4" t="s">
        <v>45</v>
      </c>
      <c r="C4" t="s">
        <v>46</v>
      </c>
    </row>
    <row r="5" spans="1:2" ht="45.75" customHeight="1">
      <c r="A5" s="10" t="s">
        <v>7</v>
      </c>
      <c r="B5" s="8"/>
    </row>
    <row r="6" spans="1:2" ht="15">
      <c r="A6" s="10" t="s">
        <v>8</v>
      </c>
      <c r="B6" s="11">
        <v>44315</v>
      </c>
    </row>
    <row r="7" spans="1:2" ht="15">
      <c r="A7" s="10" t="s">
        <v>9</v>
      </c>
      <c r="B7" s="11" t="s">
        <v>122</v>
      </c>
    </row>
    <row r="8" spans="1:9" ht="15">
      <c r="A8" s="12" t="s">
        <v>10</v>
      </c>
      <c r="B8" s="13" t="s">
        <v>121</v>
      </c>
      <c r="C8" s="13"/>
      <c r="D8" s="13"/>
      <c r="E8" s="13"/>
      <c r="F8" s="13"/>
      <c r="G8" s="13"/>
      <c r="H8" s="13"/>
      <c r="I8" s="13"/>
    </row>
    <row r="11" spans="1:3" ht="18.75">
      <c r="A11" s="14" t="s">
        <v>15</v>
      </c>
      <c r="B11" s="15"/>
      <c r="C11" s="16"/>
    </row>
    <row r="12" spans="1:3" ht="12.75">
      <c r="A12" s="34"/>
      <c r="B12" s="61" t="s">
        <v>120</v>
      </c>
      <c r="C12" s="62"/>
    </row>
    <row r="13" spans="1:3" ht="12.75">
      <c r="A13" s="17"/>
      <c r="B13" s="63" t="s">
        <v>14</v>
      </c>
      <c r="C13" s="64"/>
    </row>
    <row r="14" spans="1:1" ht="15">
      <c r="A14" s="18"/>
    </row>
    <row r="15" spans="1:3" ht="18.75">
      <c r="A15" s="19" t="s">
        <v>47</v>
      </c>
      <c r="B15" s="20"/>
      <c r="C15" s="21"/>
    </row>
    <row r="16" spans="1:3" ht="12.75">
      <c r="A16" s="22" t="s">
        <v>48</v>
      </c>
      <c r="B16" s="23" t="s">
        <v>49</v>
      </c>
      <c r="C16" s="24"/>
    </row>
    <row r="17" spans="1:3" ht="15">
      <c r="A17" s="25" t="s">
        <v>48</v>
      </c>
      <c r="B17" s="26" t="s">
        <v>50</v>
      </c>
      <c r="C17" s="27"/>
    </row>
    <row r="18" spans="1:3" ht="12.75">
      <c r="A18" s="28"/>
      <c r="B18" s="23" t="s">
        <v>51</v>
      </c>
      <c r="C18" s="28"/>
    </row>
    <row r="21" spans="1:1" ht="21">
      <c r="A21" s="9" t="s">
        <v>52</v>
      </c>
    </row>
    <row r="22" spans="1:3" ht="15">
      <c r="A22" s="29" t="s">
        <v>53</v>
      </c>
      <c r="B22" s="29" t="s">
        <v>54</v>
      </c>
      <c r="C22" s="29" t="s">
        <v>55</v>
      </c>
    </row>
    <row r="23" spans="1:3" ht="15">
      <c r="A23" s="30" t="s">
        <v>56</v>
      </c>
      <c r="B23" s="31"/>
      <c r="C23" s="31"/>
    </row>
    <row r="24" spans="1:3" ht="12.75">
      <c r="A24" s="8" t="s">
        <v>57</v>
      </c>
      <c r="B24" s="8"/>
      <c r="C24" s="8" t="s">
        <v>58</v>
      </c>
    </row>
    <row r="25" spans="1:3" ht="12.75">
      <c r="A25" s="32" t="s">
        <v>59</v>
      </c>
      <c r="B25" s="32"/>
      <c r="C25" s="32" t="s">
        <v>60</v>
      </c>
    </row>
    <row r="26" spans="1:3" ht="15">
      <c r="A26" s="33" t="s">
        <v>61</v>
      </c>
      <c r="B26" s="8"/>
      <c r="C26" s="8"/>
    </row>
    <row r="27" spans="1:3" ht="12.75">
      <c r="A27" s="8" t="s">
        <v>62</v>
      </c>
      <c r="B27" s="8"/>
      <c r="C27" s="8" t="s">
        <v>63</v>
      </c>
    </row>
    <row r="28" spans="1:3" ht="12.75">
      <c r="A28" s="8" t="s">
        <v>64</v>
      </c>
      <c r="B28" s="8"/>
      <c r="C28" s="8" t="s">
        <v>65</v>
      </c>
    </row>
    <row r="29" spans="1:3" ht="12.75">
      <c r="A29" s="8" t="s">
        <v>66</v>
      </c>
      <c r="B29" s="8"/>
      <c r="C29" s="8" t="s">
        <v>67</v>
      </c>
    </row>
    <row r="30" spans="1:3" ht="15">
      <c r="A30" s="33" t="s">
        <v>68</v>
      </c>
      <c r="B30" s="8"/>
      <c r="C30" s="8"/>
    </row>
    <row r="31" spans="1:3" ht="12.75">
      <c r="A31" s="8" t="s">
        <v>33</v>
      </c>
      <c r="B31" s="8"/>
      <c r="C31" s="8" t="s">
        <v>69</v>
      </c>
    </row>
    <row r="32" spans="1:3" ht="12.75">
      <c r="A32" s="8" t="s">
        <v>70</v>
      </c>
      <c r="B32" s="8"/>
      <c r="C32" s="8" t="s">
        <v>71</v>
      </c>
    </row>
    <row r="33" spans="1:3" ht="12.75">
      <c r="A33" s="8" t="s">
        <v>72</v>
      </c>
      <c r="B33" s="8"/>
      <c r="C33" s="8" t="s">
        <v>73</v>
      </c>
    </row>
    <row r="34" spans="1:3" ht="12.75">
      <c r="A34" s="8" t="s">
        <v>74</v>
      </c>
      <c r="B34" s="8"/>
      <c r="C34" s="8" t="s">
        <v>75</v>
      </c>
    </row>
    <row r="35" spans="1:3" ht="12.75">
      <c r="A35" s="8" t="s">
        <v>76</v>
      </c>
      <c r="B35" s="8"/>
      <c r="C35" s="8" t="s">
        <v>77</v>
      </c>
    </row>
    <row r="36" spans="1:3" ht="12.75">
      <c r="A36" s="8" t="s">
        <v>78</v>
      </c>
      <c r="B36" s="8"/>
      <c r="C36" s="8" t="s">
        <v>79</v>
      </c>
    </row>
    <row r="37" spans="1:3" ht="12.75">
      <c r="A37" s="32" t="s">
        <v>80</v>
      </c>
      <c r="B37" s="32"/>
      <c r="C37" s="32" t="s">
        <v>81</v>
      </c>
    </row>
    <row r="38" spans="1:1" ht="15">
      <c r="A38" s="33" t="s">
        <v>82</v>
      </c>
    </row>
    <row r="39" spans="1:3" ht="12.75">
      <c r="A39" s="8" t="s">
        <v>83</v>
      </c>
      <c r="B39" s="8" t="s">
        <v>32</v>
      </c>
      <c r="C39" s="8" t="s">
        <v>84</v>
      </c>
    </row>
    <row r="40" spans="1:3" ht="12.75">
      <c r="A40" s="8" t="s">
        <v>16</v>
      </c>
      <c r="B40" s="8" t="s">
        <v>16</v>
      </c>
      <c r="C40" s="8" t="s">
        <v>85</v>
      </c>
    </row>
    <row r="41" spans="1:3" ht="12.75">
      <c r="A41" s="8" t="s">
        <v>86</v>
      </c>
      <c r="B41" s="8" t="s">
        <v>87</v>
      </c>
      <c r="C41" s="8" t="s">
        <v>88</v>
      </c>
    </row>
    <row r="42" spans="1:3" ht="12.75">
      <c r="A42" s="8" t="s">
        <v>89</v>
      </c>
      <c r="B42" s="8" t="s">
        <v>90</v>
      </c>
      <c r="C42" s="8" t="s">
        <v>91</v>
      </c>
    </row>
    <row r="43" spans="1:3" ht="12.75">
      <c r="A43" s="8" t="s">
        <v>92</v>
      </c>
      <c r="B43" s="8" t="s">
        <v>93</v>
      </c>
      <c r="C43" s="8" t="s">
        <v>94</v>
      </c>
    </row>
    <row r="44" spans="1:3" ht="12.75">
      <c r="A44" s="8" t="s">
        <v>95</v>
      </c>
      <c r="B44" s="8" t="s">
        <v>96</v>
      </c>
      <c r="C44" s="8" t="s">
        <v>97</v>
      </c>
    </row>
    <row r="45" spans="1:3" ht="12.75">
      <c r="A45" s="8" t="s">
        <v>19</v>
      </c>
      <c r="B45" s="8" t="s">
        <v>98</v>
      </c>
      <c r="C45" s="8" t="s">
        <v>99</v>
      </c>
    </row>
    <row r="46" spans="1:3" ht="12.75">
      <c r="A46" s="8" t="s">
        <v>13</v>
      </c>
      <c r="B46" s="8" t="s">
        <v>100</v>
      </c>
      <c r="C46" s="8" t="s">
        <v>101</v>
      </c>
    </row>
    <row r="47" spans="1:3" ht="12.75">
      <c r="A47" s="8" t="s">
        <v>102</v>
      </c>
      <c r="B47" s="8" t="s">
        <v>103</v>
      </c>
      <c r="C47" s="8" t="s">
        <v>43</v>
      </c>
    </row>
    <row r="48" spans="1:3" ht="12.75">
      <c r="A48" s="8" t="s">
        <v>104</v>
      </c>
      <c r="B48" s="8" t="s">
        <v>105</v>
      </c>
      <c r="C48" s="8" t="s">
        <v>106</v>
      </c>
    </row>
    <row r="49" spans="1:3" ht="12.75">
      <c r="A49" s="8" t="s">
        <v>107</v>
      </c>
      <c r="B49" s="8" t="s">
        <v>108</v>
      </c>
      <c r="C49" s="8" t="s">
        <v>109</v>
      </c>
    </row>
    <row r="50" spans="1:3" ht="12.75">
      <c r="A50" s="8" t="s">
        <v>110</v>
      </c>
      <c r="B50" s="8" t="s">
        <v>111</v>
      </c>
      <c r="C50" s="8" t="s">
        <v>112</v>
      </c>
    </row>
    <row r="51" spans="1:3" ht="12.75">
      <c r="A51" s="8" t="s">
        <v>113</v>
      </c>
      <c r="B51" s="8" t="s">
        <v>114</v>
      </c>
      <c r="C51" s="8" t="s">
        <v>115</v>
      </c>
    </row>
    <row r="52" spans="1:3" ht="12.75">
      <c r="A52" s="8" t="s">
        <v>17</v>
      </c>
      <c r="B52" s="8" t="s">
        <v>116</v>
      </c>
      <c r="C52" s="8" t="s">
        <v>117</v>
      </c>
    </row>
    <row r="53" spans="1:3" ht="12.75">
      <c r="A53" s="32" t="s">
        <v>18</v>
      </c>
      <c r="B53" s="32" t="s">
        <v>118</v>
      </c>
      <c r="C53" s="32" t="s">
        <v>119</v>
      </c>
    </row>
  </sheetData>
  <mergeCells count="2">
    <mergeCell ref="B12:C12"/>
    <mergeCell ref="B13:C13"/>
  </mergeCells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D67F23-4C99-42E2-AFA4-C05C3B36C20D}">
  <sheetPr codeName="Sheet2">
    <tabColor theme="9" tint="0.599990010261536"/>
  </sheetPr>
  <dimension ref="B1:J36"/>
  <sheetViews>
    <sheetView workbookViewId="0" topLeftCell="A1">
      <selection pane="topLeft" activeCell="L15" sqref="L15"/>
    </sheetView>
  </sheetViews>
  <sheetFormatPr defaultColWidth="9.14428571428571" defaultRowHeight="15"/>
  <cols>
    <col min="1" max="1" width="9.14285714285714" style="4"/>
    <col min="2" max="2" width="22" style="4" bestFit="1" customWidth="1"/>
    <col min="3" max="3" width="10" style="4" bestFit="1" customWidth="1"/>
    <col min="4" max="4" width="9" style="4" bestFit="1" customWidth="1"/>
    <col min="5" max="5" width="15" style="4" customWidth="1"/>
    <col min="6" max="9" width="9.14285714285714" style="4"/>
    <col min="10" max="10" width="8.57142857142857" style="4" customWidth="1"/>
    <col min="11" max="11" width="9.14285714285714" style="4"/>
    <col min="12" max="12" width="16" style="4" bestFit="1" customWidth="1"/>
    <col min="13" max="16384" width="9.14285714285714" style="4"/>
  </cols>
  <sheetData>
    <row r="1" spans="2:2" ht="21">
      <c r="B1" s="5" t="s">
        <v>41</v>
      </c>
    </row>
    <row r="3" spans="2:2" ht="15">
      <c r="B3" s="3" t="s">
        <v>37</v>
      </c>
    </row>
    <row r="4" spans="2:10" ht="15.75" thickBot="1">
      <c r="B4" s="1" t="s">
        <v>38</v>
      </c>
      <c r="C4" s="1" t="s">
        <v>1</v>
      </c>
      <c r="D4" s="1" t="s">
        <v>39</v>
      </c>
      <c r="E4" s="1" t="s">
        <v>40</v>
      </c>
      <c r="F4" s="36">
        <v>2018</v>
      </c>
      <c r="G4" s="36">
        <v>2030</v>
      </c>
      <c r="H4" s="36">
        <v>2040</v>
      </c>
      <c r="I4" s="36">
        <v>2050</v>
      </c>
      <c r="J4" s="36">
        <v>0</v>
      </c>
    </row>
    <row r="5" spans="2:2" s="0" customFormat="1" ht="15">
      <c r="B5" s="6" t="s">
        <v>151</v>
      </c>
    </row>
    <row r="6" spans="2:10" ht="15">
      <c r="B6" s="4" t="s">
        <v>135</v>
      </c>
      <c r="C6" s="4" t="s">
        <v>42</v>
      </c>
      <c r="D6" s="4" t="s">
        <v>43</v>
      </c>
      <c r="E6" s="4" t="s">
        <v>136</v>
      </c>
      <c r="F6" s="37">
        <f>MAX(0,1-(1/AVERAGEIFS(COP!$L$2:$L$500,COP!$C$2:$C$500,'Ambient Heat'!$B6,COP!$G$2:$G$500,'Ambient Heat'!F$4,COP!$D$2:$D$500,$E6)))</f>
        <v>0.52380952380952384</v>
      </c>
      <c r="G6" s="37">
        <f>MAX(0,1-(1/AVERAGEIFS(COP!$L$2:$L$500,COP!$C$2:$C$500,'Ambient Heat'!$B6,COP!$G$2:$G$500,'Ambient Heat'!G$4,COP!$D$2:$D$500,$E6)))</f>
        <v>0.61389961389961289</v>
      </c>
      <c r="H6" s="37">
        <f>MAX(0,1-(1/AVERAGEIFS(COP!$L$2:$L$500,COP!$C$2:$C$500,'Ambient Heat'!$B6,COP!$G$2:$G$500,'Ambient Heat'!H$4,COP!$D$2:$D$500,$E6)))</f>
        <v>0.64285714285714191</v>
      </c>
      <c r="I6" s="37">
        <f>MAX(0,1-(1/AVERAGEIFS(COP!$L$2:$L$500,COP!$C$2:$C$500,'Ambient Heat'!$B6,COP!$G$2:$G$500,'Ambient Heat'!I$4,COP!$D$2:$D$500,$E6)))</f>
        <v>0.64285714285714191</v>
      </c>
      <c r="J6" s="38">
        <v>5</v>
      </c>
    </row>
    <row r="7" spans="2:10" ht="15">
      <c r="B7" s="4" t="s">
        <v>137</v>
      </c>
      <c r="C7" s="4" t="s">
        <v>42</v>
      </c>
      <c r="D7" s="4" t="s">
        <v>43</v>
      </c>
      <c r="E7" s="4" t="s">
        <v>136</v>
      </c>
      <c r="F7" s="37">
        <f>MAX(0,1-(1/AVERAGEIFS(COP!$L$2:$L$500,COP!$C$2:$C$500,'Ambient Heat'!$B7,COP!$G$2:$G$500,'Ambient Heat'!F$4,COP!$D$2:$D$500,$E7)))</f>
        <v>0.52380952380952384</v>
      </c>
      <c r="G7" s="37">
        <f>MAX(0,1-(1/AVERAGEIFS(COP!$L$2:$L$500,COP!$C$2:$C$500,'Ambient Heat'!$B7,COP!$G$2:$G$500,'Ambient Heat'!G$4,COP!$D$2:$D$500,$E7)))</f>
        <v>0.61389961389961289</v>
      </c>
      <c r="H7" s="37">
        <f>MAX(0,1-(1/AVERAGEIFS(COP!$L$2:$L$500,COP!$C$2:$C$500,'Ambient Heat'!$B7,COP!$G$2:$G$500,'Ambient Heat'!H$4,COP!$D$2:$D$500,$E7)))</f>
        <v>0.64285714285714191</v>
      </c>
      <c r="I7" s="37">
        <f>MAX(0,1-(1/AVERAGEIFS(COP!$L$2:$L$500,COP!$C$2:$C$500,'Ambient Heat'!$B7,COP!$G$2:$G$500,'Ambient Heat'!I$4,COP!$D$2:$D$500,$E7)))</f>
        <v>0.64285714285714191</v>
      </c>
      <c r="J7" s="38">
        <v>5</v>
      </c>
    </row>
    <row r="8" spans="2:10" ht="15">
      <c r="B8" s="4" t="s">
        <v>139</v>
      </c>
      <c r="C8" s="4" t="s">
        <v>42</v>
      </c>
      <c r="D8" s="4" t="s">
        <v>43</v>
      </c>
      <c r="E8" s="4" t="s">
        <v>136</v>
      </c>
      <c r="F8" s="37">
        <f>MAX(0,1-(1/AVERAGEIFS(COP!$L$2:$L$500,COP!$C$2:$C$500,'Ambient Heat'!$B8,COP!$G$2:$G$500,'Ambient Heat'!F$4,COP!$D$2:$D$500,$E8)))</f>
        <v>0.52380952380952384</v>
      </c>
      <c r="G8" s="37">
        <f>MAX(0,1-(1/AVERAGEIFS(COP!$L$2:$L$500,COP!$C$2:$C$500,'Ambient Heat'!$B8,COP!$G$2:$G$500,'Ambient Heat'!G$4,COP!$D$2:$D$500,$E8)))</f>
        <v>0.61389961389961289</v>
      </c>
      <c r="H8" s="37">
        <f>MAX(0,1-(1/AVERAGEIFS(COP!$L$2:$L$500,COP!$C$2:$C$500,'Ambient Heat'!$B8,COP!$G$2:$G$500,'Ambient Heat'!H$4,COP!$D$2:$D$500,$E8)))</f>
        <v>0.64285714285714191</v>
      </c>
      <c r="I8" s="37">
        <f>MAX(0,1-(1/AVERAGEIFS(COP!$L$2:$L$500,COP!$C$2:$C$500,'Ambient Heat'!$B8,COP!$G$2:$G$500,'Ambient Heat'!I$4,COP!$D$2:$D$500,$E8)))</f>
        <v>0.64285714285714191</v>
      </c>
      <c r="J8" s="38">
        <v>5</v>
      </c>
    </row>
    <row r="9" spans="2:10" ht="15">
      <c r="B9" s="4" t="s">
        <v>140</v>
      </c>
      <c r="C9" s="4" t="s">
        <v>42</v>
      </c>
      <c r="D9" s="4" t="s">
        <v>43</v>
      </c>
      <c r="E9" s="4" t="s">
        <v>136</v>
      </c>
      <c r="F9" s="37">
        <f>MAX(0,1-(1/AVERAGEIFS(COP!$L$2:$L$500,COP!$C$2:$C$500,'Ambient Heat'!$B9,COP!$G$2:$G$500,'Ambient Heat'!F$4,COP!$D$2:$D$500,$E9)))</f>
        <v>0.52380952380952384</v>
      </c>
      <c r="G9" s="37">
        <f>MAX(0,1-(1/AVERAGEIFS(COP!$L$2:$L$500,COP!$C$2:$C$500,'Ambient Heat'!$B9,COP!$G$2:$G$500,'Ambient Heat'!G$4,COP!$D$2:$D$500,$E9)))</f>
        <v>0.61389961389961289</v>
      </c>
      <c r="H9" s="37">
        <f>MAX(0,1-(1/AVERAGEIFS(COP!$L$2:$L$500,COP!$C$2:$C$500,'Ambient Heat'!$B9,COP!$G$2:$G$500,'Ambient Heat'!H$4,COP!$D$2:$D$500,$E9)))</f>
        <v>0.64285714285714191</v>
      </c>
      <c r="I9" s="37">
        <f>MAX(0,1-(1/AVERAGEIFS(COP!$L$2:$L$500,COP!$C$2:$C$500,'Ambient Heat'!$B9,COP!$G$2:$G$500,'Ambient Heat'!I$4,COP!$D$2:$D$500,$E9)))</f>
        <v>0.64285714285714191</v>
      </c>
      <c r="J9" s="38">
        <v>5</v>
      </c>
    </row>
    <row r="10" spans="2:10" ht="15">
      <c r="B10" s="4" t="s">
        <v>142</v>
      </c>
      <c r="C10" s="4" t="s">
        <v>42</v>
      </c>
      <c r="D10" s="4" t="s">
        <v>43</v>
      </c>
      <c r="E10" s="4" t="s">
        <v>136</v>
      </c>
      <c r="F10" s="37">
        <f>MAX(0,1-(1/AVERAGEIFS(COP!$L$2:$L$500,COP!$C$2:$C$500,'Ambient Heat'!$B10,COP!$G$2:$G$500,'Ambient Heat'!F$4,COP!$D$2:$D$500,$E10)))</f>
        <v>0.52380952380952384</v>
      </c>
      <c r="G10" s="37">
        <f>MAX(0,1-(1/AVERAGEIFS(COP!$L$2:$L$500,COP!$C$2:$C$500,'Ambient Heat'!$B10,COP!$G$2:$G$500,'Ambient Heat'!G$4,COP!$D$2:$D$500,$E10)))</f>
        <v>0.60493046776232506</v>
      </c>
      <c r="H10" s="37">
        <f>MAX(0,1-(1/AVERAGEIFS(COP!$L$2:$L$500,COP!$C$2:$C$500,'Ambient Heat'!$B10,COP!$G$2:$G$500,'Ambient Heat'!H$4,COP!$D$2:$D$500,$E10)))</f>
        <v>0.63181148748158966</v>
      </c>
      <c r="I10" s="37">
        <f>MAX(0,1-(1/AVERAGEIFS(COP!$L$2:$L$500,COP!$C$2:$C$500,'Ambient Heat'!$B10,COP!$G$2:$G$500,'Ambient Heat'!I$4,COP!$D$2:$D$500,$E10)))</f>
        <v>0.63181148748158966</v>
      </c>
      <c r="J10" s="38">
        <v>5</v>
      </c>
    </row>
    <row r="11" spans="2:10" ht="15">
      <c r="B11" s="4" t="s">
        <v>143</v>
      </c>
      <c r="C11" s="4" t="s">
        <v>42</v>
      </c>
      <c r="D11" s="4" t="s">
        <v>43</v>
      </c>
      <c r="E11" s="4" t="s">
        <v>136</v>
      </c>
      <c r="F11" s="37">
        <f>MAX(0,1-(1/AVERAGEIFS(COP!$L$2:$L$500,COP!$C$2:$C$500,'Ambient Heat'!$B11,COP!$G$2:$G$500,'Ambient Heat'!F$4,COP!$D$2:$D$500,$E11)))</f>
        <v>0.56709956709956721</v>
      </c>
      <c r="G11" s="37">
        <f>MAX(0,1-(1/AVERAGEIFS(COP!$L$2:$L$500,COP!$C$2:$C$500,'Ambient Heat'!$B11,COP!$G$2:$G$500,'Ambient Heat'!G$4,COP!$D$2:$D$500,$E11)))</f>
        <v>0.64285714285714191</v>
      </c>
      <c r="H11" s="37">
        <f>MAX(0,1-(1/AVERAGEIFS(COP!$L$2:$L$500,COP!$C$2:$C$500,'Ambient Heat'!$B11,COP!$G$2:$G$500,'Ambient Heat'!H$4,COP!$D$2:$D$500,$E11)))</f>
        <v>0.68253968253968256</v>
      </c>
      <c r="I11" s="37">
        <f>MAX(0,1-(1/AVERAGEIFS(COP!$L$2:$L$500,COP!$C$2:$C$500,'Ambient Heat'!$B11,COP!$G$2:$G$500,'Ambient Heat'!I$4,COP!$D$2:$D$500,$E11)))</f>
        <v>0.68253968253968256</v>
      </c>
      <c r="J11" s="38">
        <v>5</v>
      </c>
    </row>
    <row r="12" spans="2:10" ht="15">
      <c r="B12" s="4" t="s">
        <v>144</v>
      </c>
      <c r="C12" s="4" t="s">
        <v>42</v>
      </c>
      <c r="D12" s="4" t="s">
        <v>43</v>
      </c>
      <c r="E12" s="4" t="s">
        <v>136</v>
      </c>
      <c r="F12" s="37">
        <f>MAX(0,1-(1/AVERAGEIFS(COP!$L$2:$L$500,COP!$C$2:$C$500,'Ambient Heat'!$B12,COP!$G$2:$G$500,'Ambient Heat'!F$4,COP!$D$2:$D$500,$E12)))</f>
        <v>0.56709956709956721</v>
      </c>
      <c r="G12" s="37">
        <f>MAX(0,1-(1/AVERAGEIFS(COP!$L$2:$L$500,COP!$C$2:$C$500,'Ambient Heat'!$B12,COP!$G$2:$G$500,'Ambient Heat'!G$4,COP!$D$2:$D$500,$E12)))</f>
        <v>0.64285714285714191</v>
      </c>
      <c r="H12" s="37">
        <f>MAX(0,1-(1/AVERAGEIFS(COP!$L$2:$L$500,COP!$C$2:$C$500,'Ambient Heat'!$B12,COP!$G$2:$G$500,'Ambient Heat'!H$4,COP!$D$2:$D$500,$E12)))</f>
        <v>0.68253968253968256</v>
      </c>
      <c r="I12" s="37">
        <f>MAX(0,1-(1/AVERAGEIFS(COP!$L$2:$L$500,COP!$C$2:$C$500,'Ambient Heat'!$B12,COP!$G$2:$G$500,'Ambient Heat'!I$4,COP!$D$2:$D$500,$E12)))</f>
        <v>0.68253968253968256</v>
      </c>
      <c r="J12" s="38">
        <v>5</v>
      </c>
    </row>
    <row r="13" spans="2:10" ht="15">
      <c r="B13" s="4" t="s">
        <v>145</v>
      </c>
      <c r="C13" s="4" t="s">
        <v>42</v>
      </c>
      <c r="D13" s="4" t="s">
        <v>43</v>
      </c>
      <c r="E13" s="4" t="s">
        <v>136</v>
      </c>
      <c r="F13" s="37">
        <f>MAX(0,1-(1/AVERAGEIFS(COP!$L$2:$L$500,COP!$C$2:$C$500,'Ambient Heat'!$B13,COP!$G$2:$G$500,'Ambient Heat'!F$4,COP!$D$2:$D$500,$E13)))</f>
        <v>0.52380952380952384</v>
      </c>
      <c r="G13" s="37">
        <f>MAX(0,1-(1/AVERAGEIFS(COP!$L$2:$L$500,COP!$C$2:$C$500,'Ambient Heat'!$B13,COP!$G$2:$G$500,'Ambient Heat'!G$4,COP!$D$2:$D$500,$E13)))</f>
        <v>0.57983193277310807</v>
      </c>
      <c r="H13" s="37">
        <f>MAX(0,1-(1/AVERAGEIFS(COP!$L$2:$L$500,COP!$C$2:$C$500,'Ambient Heat'!$B13,COP!$G$2:$G$500,'Ambient Heat'!H$4,COP!$D$2:$D$500,$E13)))</f>
        <v>0.59183673469387876</v>
      </c>
      <c r="I13" s="37">
        <f>MAX(0,1-(1/AVERAGEIFS(COP!$L$2:$L$500,COP!$C$2:$C$500,'Ambient Heat'!$B13,COP!$G$2:$G$500,'Ambient Heat'!I$4,COP!$D$2:$D$500,$E13)))</f>
        <v>0.59183673469387876</v>
      </c>
      <c r="J13" s="38">
        <v>5</v>
      </c>
    </row>
    <row r="14" spans="2:10" ht="15">
      <c r="B14" s="4" t="s">
        <v>148</v>
      </c>
      <c r="C14" s="4" t="s">
        <v>42</v>
      </c>
      <c r="D14" s="4" t="s">
        <v>43</v>
      </c>
      <c r="E14" s="4" t="s">
        <v>136</v>
      </c>
      <c r="F14" s="37">
        <f>MAX(0,1-(1/AVERAGEIFS(COP!$L$2:$L$500,COP!$C$2:$C$500,'Ambient Heat'!$B14,COP!$G$2:$G$500,'Ambient Heat'!F$4,COP!$D$2:$D$500,$E14)))</f>
        <v>0.022562356664954542</v>
      </c>
      <c r="G14" s="37">
        <f>MAX(0,1-(1/AVERAGEIFS(COP!$L$2:$L$500,COP!$C$2:$C$500,'Ambient Heat'!$B14,COP!$G$2:$G$500,'Ambient Heat'!G$4,COP!$D$2:$D$500,$E14)))</f>
        <v>0.22379951852805113</v>
      </c>
      <c r="H14" s="37">
        <f>MAX(0,1-(1/AVERAGEIFS(COP!$L$2:$L$500,COP!$C$2:$C$500,'Ambient Heat'!$B14,COP!$G$2:$G$500,'Ambient Heat'!H$4,COP!$D$2:$D$500,$E14)))</f>
        <v>0.22379951852805113</v>
      </c>
      <c r="I14" s="37">
        <f>MAX(0,1-(1/AVERAGEIFS(COP!$L$2:$L$500,COP!$C$2:$C$500,'Ambient Heat'!$B14,COP!$G$2:$G$500,'Ambient Heat'!I$4,COP!$D$2:$D$500,$E14)))</f>
        <v>0.22379951852805113</v>
      </c>
      <c r="J14" s="38">
        <v>5</v>
      </c>
    </row>
    <row r="15" spans="2:10" ht="15">
      <c r="B15" s="35" t="s">
        <v>146</v>
      </c>
      <c r="C15" s="35" t="s">
        <v>42</v>
      </c>
      <c r="D15" s="35" t="s">
        <v>43</v>
      </c>
      <c r="E15" s="35" t="s">
        <v>136</v>
      </c>
      <c r="F15" s="39">
        <f>MAX(0,1-(1/AVERAGEIFS(COP!$L$2:$L$500,COP!$C$2:$C$500,'Ambient Heat'!$B15,COP!$G$2:$G$500,'Ambient Heat'!F$4,COP!$D$2:$D$500,$E15)))</f>
        <v>0.12030612099845761</v>
      </c>
      <c r="G15" s="39">
        <f>MAX(0,1-(1/AVERAGEIFS(COP!$L$2:$L$500,COP!$C$2:$C$500,'Ambient Heat'!$B15,COP!$G$2:$G$500,'Ambient Heat'!G$4,COP!$D$2:$D$500,$E15)))</f>
        <v>0.14868334290172902</v>
      </c>
      <c r="H15" s="39">
        <f>MAX(0,1-(1/AVERAGEIFS(COP!$L$2:$L$500,COP!$C$2:$C$500,'Ambient Heat'!$B15,COP!$G$2:$G$500,'Ambient Heat'!H$4,COP!$D$2:$D$500,$E15)))</f>
        <v>0.17528698843605151</v>
      </c>
      <c r="I15" s="39">
        <f>MAX(0,1-(1/AVERAGEIFS(COP!$L$2:$L$500,COP!$C$2:$C$500,'Ambient Heat'!$B15,COP!$G$2:$G$500,'Ambient Heat'!I$4,COP!$D$2:$D$500,$E15)))</f>
        <v>0.17528698843605151</v>
      </c>
      <c r="J15" s="40">
        <v>5</v>
      </c>
    </row>
    <row r="16" spans="2:10" ht="15">
      <c r="B16" s="6" t="s">
        <v>152</v>
      </c>
      <c r="C16"/>
      <c r="D16"/>
      <c r="E16"/>
      <c r="F16" s="41"/>
      <c r="G16" s="41"/>
      <c r="H16" s="41"/>
      <c r="I16" s="41"/>
      <c r="J16" s="38"/>
    </row>
    <row r="17" spans="2:10" ht="15">
      <c r="B17" s="4" t="s">
        <v>123</v>
      </c>
      <c r="C17" s="4" t="s">
        <v>42</v>
      </c>
      <c r="D17" s="4" t="s">
        <v>43</v>
      </c>
      <c r="E17" s="4" t="s">
        <v>124</v>
      </c>
      <c r="F17" s="37">
        <f>MAX(0,1-(1/AVERAGEIFS(COP!$L$2:$L$500,COP!$C$2:$C$500,'Ambient Heat'!$B17,COP!$G$2:$G$500,'Ambient Heat'!F$4,COP!$D$2:$D$500,$E17)))</f>
        <v>0.52380952380952384</v>
      </c>
      <c r="G17" s="37">
        <f>MAX(0,1-(1/AVERAGEIFS(COP!$L$2:$L$500,COP!$C$2:$C$500,'Ambient Heat'!$B17,COP!$G$2:$G$500,'Ambient Heat'!G$4,COP!$D$2:$D$500,$E17)))</f>
        <v>0.61389961389961289</v>
      </c>
      <c r="H17" s="37">
        <f>MAX(0,1-(1/AVERAGEIFS(COP!$L$2:$L$500,COP!$C$2:$C$500,'Ambient Heat'!$B17,COP!$G$2:$G$500,'Ambient Heat'!H$4,COP!$D$2:$D$500,$E17)))</f>
        <v>0.64285714285714191</v>
      </c>
      <c r="I17" s="37">
        <f>MAX(0,1-(1/AVERAGEIFS(COP!$L$2:$L$500,COP!$C$2:$C$500,'Ambient Heat'!$B17,COP!$G$2:$G$500,'Ambient Heat'!I$4,COP!$D$2:$D$500,$E17)))</f>
        <v>0.64285714285714191</v>
      </c>
      <c r="J17" s="38">
        <v>5</v>
      </c>
    </row>
    <row r="18" spans="2:10" ht="15">
      <c r="B18" s="4" t="s">
        <v>125</v>
      </c>
      <c r="C18" s="4" t="s">
        <v>42</v>
      </c>
      <c r="D18" s="4" t="s">
        <v>43</v>
      </c>
      <c r="E18" s="4" t="s">
        <v>124</v>
      </c>
      <c r="F18" s="37">
        <f>MAX(0,1-(1/AVERAGEIFS(COP!$L$2:$L$500,COP!$C$2:$C$500,'Ambient Heat'!$B18,COP!$G$2:$G$500,'Ambient Heat'!F$4,COP!$D$2:$D$500,$E18)))</f>
        <v>0.52380952380952384</v>
      </c>
      <c r="G18" s="37">
        <f>MAX(0,1-(1/AVERAGEIFS(COP!$L$2:$L$500,COP!$C$2:$C$500,'Ambient Heat'!$B18,COP!$G$2:$G$500,'Ambient Heat'!G$4,COP!$D$2:$D$500,$E18)))</f>
        <v>0.61389961389961289</v>
      </c>
      <c r="H18" s="37">
        <f>MAX(0,1-(1/AVERAGEIFS(COP!$L$2:$L$500,COP!$C$2:$C$500,'Ambient Heat'!$B18,COP!$G$2:$G$500,'Ambient Heat'!H$4,COP!$D$2:$D$500,$E18)))</f>
        <v>0.64285714285714191</v>
      </c>
      <c r="I18" s="37">
        <f>MAX(0,1-(1/AVERAGEIFS(COP!$L$2:$L$500,COP!$C$2:$C$500,'Ambient Heat'!$B18,COP!$G$2:$G$500,'Ambient Heat'!I$4,COP!$D$2:$D$500,$E18)))</f>
        <v>0.64285714285714191</v>
      </c>
      <c r="J18" s="38">
        <v>5</v>
      </c>
    </row>
    <row r="19" spans="2:10" ht="15">
      <c r="B19" s="4" t="s">
        <v>127</v>
      </c>
      <c r="C19" s="4" t="s">
        <v>42</v>
      </c>
      <c r="D19" s="4" t="s">
        <v>43</v>
      </c>
      <c r="E19" s="4" t="s">
        <v>124</v>
      </c>
      <c r="F19" s="37">
        <f>MAX(0,1-(1/AVERAGEIFS(COP!$L$2:$L$500,COP!$C$2:$C$500,'Ambient Heat'!$B19,COP!$G$2:$G$500,'Ambient Heat'!F$4,COP!$D$2:$D$500,$E19)))</f>
        <v>0.52380952380952384</v>
      </c>
      <c r="G19" s="37">
        <f>MAX(0,1-(1/AVERAGEIFS(COP!$L$2:$L$500,COP!$C$2:$C$500,'Ambient Heat'!$B19,COP!$G$2:$G$500,'Ambient Heat'!G$4,COP!$D$2:$D$500,$E19)))</f>
        <v>0.61389961389961289</v>
      </c>
      <c r="H19" s="37">
        <f>MAX(0,1-(1/AVERAGEIFS(COP!$L$2:$L$500,COP!$C$2:$C$500,'Ambient Heat'!$B19,COP!$G$2:$G$500,'Ambient Heat'!H$4,COP!$D$2:$D$500,$E19)))</f>
        <v>0.64285714285714191</v>
      </c>
      <c r="I19" s="37">
        <f>MAX(0,1-(1/AVERAGEIFS(COP!$L$2:$L$500,COP!$C$2:$C$500,'Ambient Heat'!$B19,COP!$G$2:$G$500,'Ambient Heat'!I$4,COP!$D$2:$D$500,$E19)))</f>
        <v>0.64285714285714191</v>
      </c>
      <c r="J19" s="38">
        <v>5</v>
      </c>
    </row>
    <row r="20" spans="2:10" ht="15">
      <c r="B20" s="4" t="s">
        <v>128</v>
      </c>
      <c r="C20" s="4" t="s">
        <v>42</v>
      </c>
      <c r="D20" s="4" t="s">
        <v>43</v>
      </c>
      <c r="E20" s="4" t="s">
        <v>124</v>
      </c>
      <c r="F20" s="37">
        <f>MAX(0,1-(1/AVERAGEIFS(COP!$L$2:$L$500,COP!$C$2:$C$500,'Ambient Heat'!$B20,COP!$G$2:$G$500,'Ambient Heat'!F$4,COP!$D$2:$D$500,$E20)))</f>
        <v>0.52380952380952384</v>
      </c>
      <c r="G20" s="37">
        <f>MAX(0,1-(1/AVERAGEIFS(COP!$L$2:$L$500,COP!$C$2:$C$500,'Ambient Heat'!$B20,COP!$G$2:$G$500,'Ambient Heat'!G$4,COP!$D$2:$D$500,$E20)))</f>
        <v>0.61389961389961289</v>
      </c>
      <c r="H20" s="37">
        <f>MAX(0,1-(1/AVERAGEIFS(COP!$L$2:$L$500,COP!$C$2:$C$500,'Ambient Heat'!$B20,COP!$G$2:$G$500,'Ambient Heat'!H$4,COP!$D$2:$D$500,$E20)))</f>
        <v>0.64285714285714191</v>
      </c>
      <c r="I20" s="37">
        <f>MAX(0,1-(1/AVERAGEIFS(COP!$L$2:$L$500,COP!$C$2:$C$500,'Ambient Heat'!$B20,COP!$G$2:$G$500,'Ambient Heat'!I$4,COP!$D$2:$D$500,$E20)))</f>
        <v>0.64285714285714191</v>
      </c>
      <c r="J20" s="38">
        <v>5</v>
      </c>
    </row>
    <row r="21" spans="2:10" ht="15">
      <c r="B21" s="4" t="s">
        <v>130</v>
      </c>
      <c r="C21" s="4" t="s">
        <v>42</v>
      </c>
      <c r="D21" s="4" t="s">
        <v>43</v>
      </c>
      <c r="E21" s="4" t="s">
        <v>124</v>
      </c>
      <c r="F21" s="37">
        <f>MAX(0,1-(1/AVERAGEIFS(COP!$L$2:$L$500,COP!$C$2:$C$500,'Ambient Heat'!$B21,COP!$G$2:$G$500,'Ambient Heat'!F$4,COP!$D$2:$D$500,$E21)))</f>
        <v>0.52380952380952384</v>
      </c>
      <c r="G21" s="37">
        <f>MAX(0,1-(1/AVERAGEIFS(COP!$L$2:$L$500,COP!$C$2:$C$500,'Ambient Heat'!$B21,COP!$G$2:$G$500,'Ambient Heat'!G$4,COP!$D$2:$D$500,$E21)))</f>
        <v>0.60493046776232506</v>
      </c>
      <c r="H21" s="37">
        <f>MAX(0,1-(1/AVERAGEIFS(COP!$L$2:$L$500,COP!$C$2:$C$500,'Ambient Heat'!$B21,COP!$G$2:$G$500,'Ambient Heat'!H$4,COP!$D$2:$D$500,$E21)))</f>
        <v>0.63181148748158966</v>
      </c>
      <c r="I21" s="37">
        <f>MAX(0,1-(1/AVERAGEIFS(COP!$L$2:$L$500,COP!$C$2:$C$500,'Ambient Heat'!$B21,COP!$G$2:$G$500,'Ambient Heat'!I$4,COP!$D$2:$D$500,$E21)))</f>
        <v>0.63181148748158966</v>
      </c>
      <c r="J21" s="38">
        <v>5</v>
      </c>
    </row>
    <row r="22" spans="2:10" ht="15">
      <c r="B22" s="4" t="s">
        <v>131</v>
      </c>
      <c r="C22" s="4" t="s">
        <v>42</v>
      </c>
      <c r="D22" s="4" t="s">
        <v>43</v>
      </c>
      <c r="E22" s="4" t="s">
        <v>124</v>
      </c>
      <c r="F22" s="37">
        <f>MAX(0,1-(1/AVERAGEIFS(COP!$L$2:$L$500,COP!$C$2:$C$500,'Ambient Heat'!$B22,COP!$G$2:$G$500,'Ambient Heat'!F$4,COP!$D$2:$D$500,$E22)))</f>
        <v>0.56709956709956721</v>
      </c>
      <c r="G22" s="37">
        <f>MAX(0,1-(1/AVERAGEIFS(COP!$L$2:$L$500,COP!$C$2:$C$500,'Ambient Heat'!$B22,COP!$G$2:$G$500,'Ambient Heat'!G$4,COP!$D$2:$D$500,$E22)))</f>
        <v>0.64285714285714191</v>
      </c>
      <c r="H22" s="37">
        <f>MAX(0,1-(1/AVERAGEIFS(COP!$L$2:$L$500,COP!$C$2:$C$500,'Ambient Heat'!$B22,COP!$G$2:$G$500,'Ambient Heat'!H$4,COP!$D$2:$D$500,$E22)))</f>
        <v>0.68253968253968256</v>
      </c>
      <c r="I22" s="37">
        <f>MAX(0,1-(1/AVERAGEIFS(COP!$L$2:$L$500,COP!$C$2:$C$500,'Ambient Heat'!$B22,COP!$G$2:$G$500,'Ambient Heat'!I$4,COP!$D$2:$D$500,$E22)))</f>
        <v>0.68253968253968256</v>
      </c>
      <c r="J22" s="38">
        <v>5</v>
      </c>
    </row>
    <row r="23" spans="2:10" ht="15">
      <c r="B23" s="4" t="s">
        <v>132</v>
      </c>
      <c r="C23" s="4" t="s">
        <v>42</v>
      </c>
      <c r="D23" s="4" t="s">
        <v>43</v>
      </c>
      <c r="E23" s="4" t="s">
        <v>124</v>
      </c>
      <c r="F23" s="37">
        <f>MAX(0,1-(1/AVERAGEIFS(COP!$L$2:$L$500,COP!$C$2:$C$500,'Ambient Heat'!$B23,COP!$G$2:$G$500,'Ambient Heat'!F$4,COP!$D$2:$D$500,$E23)))</f>
        <v>0.56709956709956721</v>
      </c>
      <c r="G23" s="37">
        <f>MAX(0,1-(1/AVERAGEIFS(COP!$L$2:$L$500,COP!$C$2:$C$500,'Ambient Heat'!$B23,COP!$G$2:$G$500,'Ambient Heat'!G$4,COP!$D$2:$D$500,$E23)))</f>
        <v>0.64285714285714191</v>
      </c>
      <c r="H23" s="37">
        <f>MAX(0,1-(1/AVERAGEIFS(COP!$L$2:$L$500,COP!$C$2:$C$500,'Ambient Heat'!$B23,COP!$G$2:$G$500,'Ambient Heat'!H$4,COP!$D$2:$D$500,$E23)))</f>
        <v>0.68253968253968256</v>
      </c>
      <c r="I23" s="37">
        <f>MAX(0,1-(1/AVERAGEIFS(COP!$L$2:$L$500,COP!$C$2:$C$500,'Ambient Heat'!$B23,COP!$G$2:$G$500,'Ambient Heat'!I$4,COP!$D$2:$D$500,$E23)))</f>
        <v>0.68253968253968256</v>
      </c>
      <c r="J23" s="38">
        <v>5</v>
      </c>
    </row>
    <row r="24" spans="2:10" ht="15">
      <c r="B24" s="4" t="s">
        <v>133</v>
      </c>
      <c r="C24" s="4" t="s">
        <v>42</v>
      </c>
      <c r="D24" s="4" t="s">
        <v>43</v>
      </c>
      <c r="E24" s="4" t="s">
        <v>124</v>
      </c>
      <c r="F24" s="37">
        <f>MAX(0,1-(1/AVERAGEIFS(COP!$L$2:$L$500,COP!$C$2:$C$500,'Ambient Heat'!$B24,COP!$G$2:$G$500,'Ambient Heat'!F$4,COP!$D$2:$D$500,$E24)))</f>
        <v>0.52380952380952384</v>
      </c>
      <c r="G24" s="37">
        <f>MAX(0,1-(1/AVERAGEIFS(COP!$L$2:$L$500,COP!$C$2:$C$500,'Ambient Heat'!$B24,COP!$G$2:$G$500,'Ambient Heat'!G$4,COP!$D$2:$D$500,$E24)))</f>
        <v>0.57983193277310807</v>
      </c>
      <c r="H24" s="37">
        <f>MAX(0,1-(1/AVERAGEIFS(COP!$L$2:$L$500,COP!$C$2:$C$500,'Ambient Heat'!$B24,COP!$G$2:$G$500,'Ambient Heat'!H$4,COP!$D$2:$D$500,$E24)))</f>
        <v>0.59183673469387876</v>
      </c>
      <c r="I24" s="37">
        <f>MAX(0,1-(1/AVERAGEIFS(COP!$L$2:$L$500,COP!$C$2:$C$500,'Ambient Heat'!$B24,COP!$G$2:$G$500,'Ambient Heat'!I$4,COP!$D$2:$D$500,$E24)))</f>
        <v>0.59183673469387876</v>
      </c>
      <c r="J24" s="38">
        <v>5</v>
      </c>
    </row>
    <row r="25" spans="2:10" ht="15">
      <c r="B25" s="4" t="s">
        <v>147</v>
      </c>
      <c r="C25" s="4" t="s">
        <v>42</v>
      </c>
      <c r="D25" s="4" t="s">
        <v>43</v>
      </c>
      <c r="E25" s="4" t="s">
        <v>124</v>
      </c>
      <c r="F25" s="37">
        <f>MAX(0,1-(1/AVERAGEIFS(COP!$L$2:$L$500,COP!$C$2:$C$500,'Ambient Heat'!$B25,COP!$G$2:$G$500,'Ambient Heat'!F$4,COP!$D$2:$D$500,$E25)))</f>
        <v>0.022562356664954542</v>
      </c>
      <c r="G25" s="37">
        <f>MAX(0,1-(1/AVERAGEIFS(COP!$L$2:$L$500,COP!$C$2:$C$500,'Ambient Heat'!$B25,COP!$G$2:$G$500,'Ambient Heat'!G$4,COP!$D$2:$D$500,$E25)))</f>
        <v>0.22379951852805113</v>
      </c>
      <c r="H25" s="37">
        <f>MAX(0,1-(1/AVERAGEIFS(COP!$L$2:$L$500,COP!$C$2:$C$500,'Ambient Heat'!$B25,COP!$G$2:$G$500,'Ambient Heat'!H$4,COP!$D$2:$D$500,$E25)))</f>
        <v>0.22379951852805113</v>
      </c>
      <c r="I25" s="37">
        <f>MAX(0,1-(1/AVERAGEIFS(COP!$L$2:$L$500,COP!$C$2:$C$500,'Ambient Heat'!$B25,COP!$G$2:$G$500,'Ambient Heat'!I$4,COP!$D$2:$D$500,$E25)))</f>
        <v>0.22379951852805113</v>
      </c>
      <c r="J25" s="38">
        <v>5</v>
      </c>
    </row>
    <row r="26" spans="2:10" ht="15">
      <c r="B26" s="35" t="s">
        <v>134</v>
      </c>
      <c r="C26" s="35" t="s">
        <v>42</v>
      </c>
      <c r="D26" s="35" t="s">
        <v>43</v>
      </c>
      <c r="E26" s="35" t="s">
        <v>124</v>
      </c>
      <c r="F26" s="39">
        <f>MAX(0,1-(1/AVERAGEIFS(COP!$L$2:$L$500,COP!$C$2:$C$500,'Ambient Heat'!$B26,COP!$G$2:$G$500,'Ambient Heat'!F$4,COP!$D$2:$D$500,$E26)))</f>
        <v>0.12030612099845761</v>
      </c>
      <c r="G26" s="39">
        <f>MAX(0,1-(1/AVERAGEIFS(COP!$L$2:$L$500,COP!$C$2:$C$500,'Ambient Heat'!$B26,COP!$G$2:$G$500,'Ambient Heat'!G$4,COP!$D$2:$D$500,$E26)))</f>
        <v>0.14868334290172902</v>
      </c>
      <c r="H26" s="39">
        <f>MAX(0,1-(1/AVERAGEIFS(COP!$L$2:$L$500,COP!$C$2:$C$500,'Ambient Heat'!$B26,COP!$G$2:$G$500,'Ambient Heat'!H$4,COP!$D$2:$D$500,$E26)))</f>
        <v>0.17528698843605151</v>
      </c>
      <c r="I26" s="39">
        <f>MAX(0,1-(1/AVERAGEIFS(COP!$L$2:$L$500,COP!$C$2:$C$500,'Ambient Heat'!$B26,COP!$G$2:$G$500,'Ambient Heat'!I$4,COP!$D$2:$D$500,$E26)))</f>
        <v>0.17528698843605151</v>
      </c>
      <c r="J26" s="40">
        <v>5</v>
      </c>
    </row>
    <row r="27" spans="2:10" ht="15">
      <c r="B27" s="6" t="s">
        <v>153</v>
      </c>
      <c r="C27"/>
      <c r="D27"/>
      <c r="E27"/>
      <c r="F27" s="41"/>
      <c r="G27" s="41"/>
      <c r="H27" s="41"/>
      <c r="I27" s="41"/>
      <c r="J27" s="41"/>
    </row>
    <row r="28" spans="2:10" ht="15">
      <c r="B28" s="4" t="s">
        <v>140</v>
      </c>
      <c r="C28" s="4" t="s">
        <v>42</v>
      </c>
      <c r="D28" s="4" t="s">
        <v>155</v>
      </c>
      <c r="E28" s="4" t="s">
        <v>138</v>
      </c>
      <c r="F28" s="37">
        <f>MAX(0,1-(1/AVERAGEIFS(COP!$L$2:$L$500,COP!$C$2:$C$500,'Ambient Heat'!$B28,COP!$G$2:$G$500,'Ambient Heat'!F$4,COP!$D$2:$D$500,$E28)))</f>
        <v>0.31972789115646261</v>
      </c>
      <c r="G28" s="37">
        <f>MAX(0,1-(1/AVERAGEIFS(COP!$L$2:$L$500,COP!$C$2:$C$500,'Ambient Heat'!$B28,COP!$G$2:$G$500,'Ambient Heat'!G$4,COP!$D$2:$D$500,$E28)))</f>
        <v>0.44842801985659109</v>
      </c>
      <c r="H28" s="37">
        <f>MAX(0,1-(1/AVERAGEIFS(COP!$L$2:$L$500,COP!$C$2:$C$500,'Ambient Heat'!$B28,COP!$G$2:$G$500,'Ambient Heat'!H$4,COP!$D$2:$D$500,$E28)))</f>
        <v>0.48979591836734682</v>
      </c>
      <c r="I28" s="37">
        <f>MAX(0,1-(1/AVERAGEIFS(COP!$L$2:$L$500,COP!$C$2:$C$500,'Ambient Heat'!$B28,COP!$G$2:$G$500,'Ambient Heat'!I$4,COP!$D$2:$D$500,$E28)))</f>
        <v>0.48979591836734682</v>
      </c>
      <c r="J28" s="38">
        <v>5</v>
      </c>
    </row>
    <row r="29" spans="2:10" ht="15">
      <c r="B29" s="4" t="s">
        <v>142</v>
      </c>
      <c r="C29" s="4" t="s">
        <v>42</v>
      </c>
      <c r="D29" s="4" t="s">
        <v>155</v>
      </c>
      <c r="E29" s="4" t="s">
        <v>138</v>
      </c>
      <c r="F29" s="37">
        <f>MAX(0,1-(1/AVERAGEIFS(COP!$L$2:$L$500,COP!$C$2:$C$500,'Ambient Heat'!$B29,COP!$G$2:$G$500,'Ambient Heat'!F$4,COP!$D$2:$D$500,$E29)))</f>
        <v>0.656180161595324</v>
      </c>
      <c r="G29" s="37">
        <f>MAX(0,1-(1/AVERAGEIFS(COP!$L$2:$L$500,COP!$C$2:$C$500,'Ambient Heat'!$B29,COP!$G$2:$G$500,'Ambient Heat'!G$4,COP!$D$2:$D$500,$E29)))</f>
        <v>0.6775961569461908</v>
      </c>
      <c r="H29" s="37">
        <f>MAX(0,1-(1/AVERAGEIFS(COP!$L$2:$L$500,COP!$C$2:$C$500,'Ambient Heat'!$B29,COP!$G$2:$G$500,'Ambient Heat'!H$4,COP!$D$2:$D$500,$E29)))</f>
        <v>0.69078540507111941</v>
      </c>
      <c r="I29" s="37">
        <f>MAX(0,1-(1/AVERAGEIFS(COP!$L$2:$L$500,COP!$C$2:$C$500,'Ambient Heat'!$B29,COP!$G$2:$G$500,'Ambient Heat'!I$4,COP!$D$2:$D$500,$E29)))</f>
        <v>0.69078540507111941</v>
      </c>
      <c r="J29" s="38">
        <v>5</v>
      </c>
    </row>
    <row r="30" spans="2:10" ht="15">
      <c r="B30" s="4" t="s">
        <v>148</v>
      </c>
      <c r="C30" s="4" t="s">
        <v>42</v>
      </c>
      <c r="D30" s="4" t="s">
        <v>155</v>
      </c>
      <c r="E30" s="4" t="s">
        <v>138</v>
      </c>
      <c r="F30" s="37">
        <f>MAX(0,1-(1/AVERAGEIFS(COP!$L$2:$L$500,COP!$C$2:$C$500,'Ambient Heat'!$B30,COP!$G$2:$G$500,'Ambient Heat'!F$4,COP!$D$2:$D$500,$E30)))</f>
        <v>0</v>
      </c>
      <c r="G30" s="37">
        <f>MAX(0,1-(1/AVERAGEIFS(COP!$L$2:$L$500,COP!$C$2:$C$500,'Ambient Heat'!$B30,COP!$G$2:$G$500,'Ambient Heat'!G$4,COP!$D$2:$D$500,$E30)))</f>
        <v>0</v>
      </c>
      <c r="H30" s="37">
        <f>MAX(0,1-(1/AVERAGEIFS(COP!$L$2:$L$500,COP!$C$2:$C$500,'Ambient Heat'!$B30,COP!$G$2:$G$500,'Ambient Heat'!H$4,COP!$D$2:$D$500,$E30)))</f>
        <v>0</v>
      </c>
      <c r="I30" s="37">
        <f>MAX(0,1-(1/AVERAGEIFS(COP!$L$2:$L$500,COP!$C$2:$C$500,'Ambient Heat'!$B30,COP!$G$2:$G$500,'Ambient Heat'!I$4,COP!$D$2:$D$500,$E30)))</f>
        <v>0</v>
      </c>
      <c r="J30" s="38">
        <v>5</v>
      </c>
    </row>
    <row r="31" spans="2:10" ht="15">
      <c r="B31" s="35" t="s">
        <v>146</v>
      </c>
      <c r="C31" s="35" t="s">
        <v>42</v>
      </c>
      <c r="D31" s="35" t="s">
        <v>155</v>
      </c>
      <c r="E31" s="35" t="s">
        <v>138</v>
      </c>
      <c r="F31" s="39">
        <f>MAX(0,1-(1/AVERAGEIFS(COP!$L$2:$L$500,COP!$C$2:$C$500,'Ambient Heat'!$B31,COP!$G$2:$G$500,'Ambient Heat'!F$4,COP!$D$2:$D$500,$E31)))</f>
        <v>0</v>
      </c>
      <c r="G31" s="39">
        <f>MAX(0,1-(1/AVERAGEIFS(COP!$L$2:$L$500,COP!$C$2:$C$500,'Ambient Heat'!$B31,COP!$G$2:$G$500,'Ambient Heat'!G$4,COP!$D$2:$D$500,$E31)))</f>
        <v>0</v>
      </c>
      <c r="H31" s="39">
        <f>MAX(0,1-(1/AVERAGEIFS(COP!$L$2:$L$500,COP!$C$2:$C$500,'Ambient Heat'!$B31,COP!$G$2:$G$500,'Ambient Heat'!H$4,COP!$D$2:$D$500,$E31)))</f>
        <v>0</v>
      </c>
      <c r="I31" s="39">
        <f>MAX(0,1-(1/AVERAGEIFS(COP!$L$2:$L$500,COP!$C$2:$C$500,'Ambient Heat'!$B31,COP!$G$2:$G$500,'Ambient Heat'!I$4,COP!$D$2:$D$500,$E31)))</f>
        <v>0</v>
      </c>
      <c r="J31" s="40">
        <v>5</v>
      </c>
    </row>
    <row r="32" spans="2:10" ht="15">
      <c r="B32" s="6" t="s">
        <v>154</v>
      </c>
      <c r="C32"/>
      <c r="D32"/>
      <c r="E32"/>
      <c r="F32" s="41"/>
      <c r="G32" s="41"/>
      <c r="H32" s="41"/>
      <c r="I32" s="41"/>
      <c r="J32" s="38"/>
    </row>
    <row r="33" spans="2:10" ht="15">
      <c r="B33" s="4" t="s">
        <v>128</v>
      </c>
      <c r="C33" s="4" t="s">
        <v>42</v>
      </c>
      <c r="D33" s="4" t="s">
        <v>155</v>
      </c>
      <c r="E33" s="4" t="s">
        <v>126</v>
      </c>
      <c r="F33" s="37">
        <f>MAX(0,1-(1/AVERAGEIFS(COP!$L$2:$L$500,COP!$C$2:$C$500,'Ambient Heat'!$B33,COP!$G$2:$G$500,'Ambient Heat'!F$4,COP!$D$2:$D$500,$E33)))</f>
        <v>0.31972789115646261</v>
      </c>
      <c r="G33" s="37">
        <f>MAX(0,1-(1/AVERAGEIFS(COP!$L$2:$L$500,COP!$C$2:$C$500,'Ambient Heat'!$B33,COP!$G$2:$G$500,'Ambient Heat'!G$4,COP!$D$2:$D$500,$E33)))</f>
        <v>0.44842801985659109</v>
      </c>
      <c r="H33" s="37">
        <f>MAX(0,1-(1/AVERAGEIFS(COP!$L$2:$L$500,COP!$C$2:$C$500,'Ambient Heat'!$B33,COP!$G$2:$G$500,'Ambient Heat'!H$4,COP!$D$2:$D$500,$E33)))</f>
        <v>0.48979591836734682</v>
      </c>
      <c r="I33" s="37">
        <f>MAX(0,1-(1/AVERAGEIFS(COP!$L$2:$L$500,COP!$C$2:$C$500,'Ambient Heat'!$B33,COP!$G$2:$G$500,'Ambient Heat'!I$4,COP!$D$2:$D$500,$E33)))</f>
        <v>0.48979591836734682</v>
      </c>
      <c r="J33" s="38">
        <v>5</v>
      </c>
    </row>
    <row r="34" spans="2:10" ht="15">
      <c r="B34" s="4" t="s">
        <v>130</v>
      </c>
      <c r="C34" s="4" t="s">
        <v>42</v>
      </c>
      <c r="D34" s="4" t="s">
        <v>155</v>
      </c>
      <c r="E34" s="4" t="s">
        <v>126</v>
      </c>
      <c r="F34" s="37">
        <f>MAX(0,1-(1/AVERAGEIFS(COP!$L$2:$L$500,COP!$C$2:$C$500,'Ambient Heat'!$B34,COP!$G$2:$G$500,'Ambient Heat'!F$4,COP!$D$2:$D$500,$E34)))</f>
        <v>0.656180161595324</v>
      </c>
      <c r="G34" s="37">
        <f>MAX(0,1-(1/AVERAGEIFS(COP!$L$2:$L$500,COP!$C$2:$C$500,'Ambient Heat'!$B34,COP!$G$2:$G$500,'Ambient Heat'!G$4,COP!$D$2:$D$500,$E34)))</f>
        <v>0.6775961569461908</v>
      </c>
      <c r="H34" s="37">
        <f>MAX(0,1-(1/AVERAGEIFS(COP!$L$2:$L$500,COP!$C$2:$C$500,'Ambient Heat'!$B34,COP!$G$2:$G$500,'Ambient Heat'!H$4,COP!$D$2:$D$500,$E34)))</f>
        <v>0.69078540507111941</v>
      </c>
      <c r="I34" s="37">
        <f>MAX(0,1-(1/AVERAGEIFS(COP!$L$2:$L$500,COP!$C$2:$C$500,'Ambient Heat'!$B34,COP!$G$2:$G$500,'Ambient Heat'!I$4,COP!$D$2:$D$500,$E34)))</f>
        <v>0.69078540507111941</v>
      </c>
      <c r="J34" s="38">
        <v>5</v>
      </c>
    </row>
    <row r="35" spans="2:10" ht="15">
      <c r="B35" s="4" t="s">
        <v>147</v>
      </c>
      <c r="C35" s="4" t="s">
        <v>42</v>
      </c>
      <c r="D35" s="4" t="s">
        <v>155</v>
      </c>
      <c r="E35" s="4" t="s">
        <v>126</v>
      </c>
      <c r="F35" s="37">
        <f>MAX(0,1-(1/AVERAGEIFS(COP!$L$2:$L$500,COP!$C$2:$C$500,'Ambient Heat'!$B35,COP!$G$2:$G$500,'Ambient Heat'!F$4,COP!$D$2:$D$500,$E35)))</f>
        <v>0</v>
      </c>
      <c r="G35" s="37">
        <f>MAX(0,1-(1/AVERAGEIFS(COP!$L$2:$L$500,COP!$C$2:$C$500,'Ambient Heat'!$B35,COP!$G$2:$G$500,'Ambient Heat'!G$4,COP!$D$2:$D$500,$E35)))</f>
        <v>0</v>
      </c>
      <c r="H35" s="37">
        <f>MAX(0,1-(1/AVERAGEIFS(COP!$L$2:$L$500,COP!$C$2:$C$500,'Ambient Heat'!$B35,COP!$G$2:$G$500,'Ambient Heat'!H$4,COP!$D$2:$D$500,$E35)))</f>
        <v>0</v>
      </c>
      <c r="I35" s="37">
        <f>MAX(0,1-(1/AVERAGEIFS(COP!$L$2:$L$500,COP!$C$2:$C$500,'Ambient Heat'!$B35,COP!$G$2:$G$500,'Ambient Heat'!I$4,COP!$D$2:$D$500,$E35)))</f>
        <v>0</v>
      </c>
      <c r="J35" s="38">
        <v>5</v>
      </c>
    </row>
    <row r="36" spans="2:10" ht="15">
      <c r="B36" s="35" t="s">
        <v>134</v>
      </c>
      <c r="C36" s="35" t="s">
        <v>42</v>
      </c>
      <c r="D36" s="35" t="s">
        <v>155</v>
      </c>
      <c r="E36" s="35" t="s">
        <v>126</v>
      </c>
      <c r="F36" s="39">
        <f>MAX(0,1-(1/AVERAGEIFS(COP!$L$2:$L$500,COP!$C$2:$C$500,'Ambient Heat'!$B36,COP!$G$2:$G$500,'Ambient Heat'!F$4,COP!$D$2:$D$500,$E36)))</f>
        <v>0</v>
      </c>
      <c r="G36" s="39">
        <f>MAX(0,1-(1/AVERAGEIFS(COP!$L$2:$L$500,COP!$C$2:$C$500,'Ambient Heat'!$B36,COP!$G$2:$G$500,'Ambient Heat'!G$4,COP!$D$2:$D$500,$E36)))</f>
        <v>0</v>
      </c>
      <c r="H36" s="39">
        <f>MAX(0,1-(1/AVERAGEIFS(COP!$L$2:$L$500,COP!$C$2:$C$500,'Ambient Heat'!$B36,COP!$G$2:$G$500,'Ambient Heat'!H$4,COP!$D$2:$D$500,$E36)))</f>
        <v>0</v>
      </c>
      <c r="I36" s="39">
        <f>MAX(0,1-(1/AVERAGEIFS(COP!$L$2:$L$500,COP!$C$2:$C$500,'Ambient Heat'!$B36,COP!$G$2:$G$500,'Ambient Heat'!I$4,COP!$D$2:$D$500,$E36)))</f>
        <v>0</v>
      </c>
      <c r="J36" s="4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5" tint="0.599990010261536"/>
  </sheetPr>
  <dimension ref="A1:H17"/>
  <sheetViews>
    <sheetView workbookViewId="0" topLeftCell="A1">
      <selection pane="topLeft" activeCell="F17" sqref="F17"/>
    </sheetView>
  </sheetViews>
  <sheetFormatPr defaultColWidth="9.14428571428571" defaultRowHeight="15"/>
  <cols>
    <col min="1" max="1" width="16.5714285714286" style="4" customWidth="1"/>
    <col min="2" max="2" width="12.5714285714286" style="4" customWidth="1"/>
    <col min="3" max="3" width="13.4285714285714" style="4" bestFit="1" customWidth="1"/>
    <col min="4" max="4" width="8.57142857142857" style="4" customWidth="1"/>
    <col min="5" max="5" width="15.1428571428571" style="4" customWidth="1"/>
    <col min="6" max="6" width="44.1428571428571" style="4" bestFit="1" customWidth="1"/>
    <col min="7" max="7" width="15.5714285714286" style="4" customWidth="1"/>
    <col min="8" max="8" width="11.5714285714286" style="4" bestFit="1" customWidth="1"/>
    <col min="9" max="9" width="9.42857142857143" style="4" bestFit="1" customWidth="1"/>
    <col min="10" max="10" width="8.57142857142857" style="4" bestFit="1" customWidth="1"/>
    <col min="11" max="11" width="16.4285714285714" style="4" bestFit="1" customWidth="1"/>
    <col min="12" max="13" width="8.42857142857143" style="4" bestFit="1" customWidth="1"/>
    <col min="14" max="18" width="9.14285714285714" style="4"/>
    <col min="19" max="19" width="12.5714285714286" style="4" bestFit="1" customWidth="1"/>
    <col min="20" max="16384" width="9.14285714285714" style="4"/>
  </cols>
  <sheetData>
    <row r="1" spans="1:8" ht="15">
      <c r="A1"/>
      <c r="B1"/>
      <c r="C1"/>
      <c r="D1"/>
      <c r="E1"/>
      <c r="F1"/>
      <c r="G1"/>
      <c r="H1"/>
    </row>
    <row r="2" spans="1:8" ht="15">
      <c r="A2" s="3" t="s">
        <v>34</v>
      </c>
      <c r="H2"/>
    </row>
    <row r="3" spans="1:8" ht="15.75" thickBot="1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12</v>
      </c>
      <c r="G3"/>
      <c r="H3"/>
    </row>
    <row r="4" spans="3:8" ht="15">
      <c r="C4" s="4" t="s">
        <v>35</v>
      </c>
      <c r="E4" s="4">
        <v>1</v>
      </c>
      <c r="F4" s="4" t="s">
        <v>149</v>
      </c>
      <c r="G4"/>
      <c r="H4"/>
    </row>
    <row r="5" spans="1:8" ht="15">
      <c r="A5"/>
      <c r="B5"/>
      <c r="G5"/>
      <c r="H5"/>
    </row>
    <row r="6" spans="1:8" ht="15">
      <c r="A6"/>
      <c r="B6"/>
      <c r="C6"/>
      <c r="D6"/>
      <c r="E6"/>
      <c r="F6"/>
      <c r="G6"/>
      <c r="H6"/>
    </row>
    <row r="7" spans="1:8" ht="15">
      <c r="A7"/>
      <c r="B7"/>
      <c r="C7"/>
      <c r="D7"/>
      <c r="E7"/>
      <c r="F7"/>
      <c r="G7"/>
      <c r="H7"/>
    </row>
    <row r="8" spans="1:8" ht="15">
      <c r="A8"/>
      <c r="B8"/>
      <c r="C8"/>
      <c r="D8"/>
      <c r="E8"/>
      <c r="F8"/>
      <c r="G8"/>
      <c r="H8"/>
    </row>
    <row r="9" spans="1:8" ht="15">
      <c r="A9"/>
      <c r="B9"/>
      <c r="C9"/>
      <c r="D9"/>
      <c r="E9"/>
      <c r="F9"/>
      <c r="G9"/>
      <c r="H9"/>
    </row>
    <row r="10" spans="1:8" ht="15">
      <c r="A10"/>
      <c r="B10"/>
      <c r="C10"/>
      <c r="D10"/>
      <c r="E10"/>
      <c r="F10"/>
      <c r="G10"/>
      <c r="H10"/>
    </row>
    <row r="11" spans="1:8" ht="15">
      <c r="A11"/>
      <c r="B11"/>
      <c r="C11"/>
      <c r="D11"/>
      <c r="E11"/>
      <c r="F11"/>
      <c r="G11"/>
      <c r="H11"/>
    </row>
    <row r="12" spans="1:8" ht="15">
      <c r="A12"/>
      <c r="B12"/>
      <c r="C12"/>
      <c r="D12"/>
      <c r="E12"/>
      <c r="F12"/>
      <c r="G12"/>
      <c r="H12"/>
    </row>
    <row r="13" spans="1:8" ht="15">
      <c r="A13"/>
      <c r="B13"/>
      <c r="C13"/>
      <c r="D13"/>
      <c r="E13"/>
      <c r="F13"/>
      <c r="G13"/>
      <c r="H13"/>
    </row>
    <row r="14" spans="1:8" ht="15">
      <c r="A14"/>
      <c r="B14"/>
      <c r="C14"/>
      <c r="D14"/>
      <c r="E14"/>
      <c r="F14"/>
      <c r="G14"/>
      <c r="H14"/>
    </row>
    <row r="15" spans="1:8" ht="15">
      <c r="A15"/>
      <c r="B15"/>
      <c r="C15"/>
      <c r="D15"/>
      <c r="E15"/>
      <c r="F15"/>
      <c r="G15"/>
      <c r="H15"/>
    </row>
    <row r="16" spans="1:8" ht="15">
      <c r="A16"/>
      <c r="B16"/>
      <c r="C16"/>
      <c r="D16"/>
      <c r="E16"/>
      <c r="F16"/>
      <c r="G16"/>
      <c r="H16"/>
    </row>
    <row r="17" spans="1:8" ht="15">
      <c r="A17"/>
      <c r="B17"/>
      <c r="C17"/>
      <c r="D17"/>
      <c r="E17"/>
      <c r="F17"/>
      <c r="G17"/>
      <c r="H17"/>
    </row>
  </sheetData>
  <pageMargins left="0.75" right="0.75" top="1" bottom="1" header="0.5" footer="0.5"/>
  <pageSetup orientation="portrait" paperSiz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98A00F-9DD7-420C-BB72-4F80FE1758C4}">
  <sheetPr codeName="Sheet4"/>
  <dimension ref="A1:N171"/>
  <sheetViews>
    <sheetView workbookViewId="0" topLeftCell="A1">
      <selection pane="topLeft" activeCell="H167" sqref="H167"/>
    </sheetView>
  </sheetViews>
  <sheetFormatPr defaultRowHeight="12.75"/>
  <cols>
    <col min="3" max="3" width="22.4285714285714" bestFit="1" customWidth="1"/>
    <col min="4" max="4" width="14" customWidth="1"/>
  </cols>
  <sheetData>
    <row r="1" spans="1:14" ht="12.75">
      <c r="A1" t="s">
        <v>24</v>
      </c>
      <c r="B1" t="s">
        <v>172</v>
      </c>
      <c r="C1" t="s">
        <v>20</v>
      </c>
      <c r="D1" t="s">
        <v>21</v>
      </c>
      <c r="E1" t="s">
        <v>170</v>
      </c>
      <c r="F1" t="s">
        <v>175</v>
      </c>
      <c r="G1" t="s">
        <v>171</v>
      </c>
      <c r="H1" t="s">
        <v>174</v>
      </c>
      <c r="I1" t="s">
        <v>176</v>
      </c>
      <c r="J1" t="s">
        <v>173</v>
      </c>
      <c r="K1" t="s">
        <v>23</v>
      </c>
      <c r="L1" t="s">
        <v>22</v>
      </c>
      <c r="M1" t="s">
        <v>25</v>
      </c>
      <c r="N1" t="s">
        <v>27</v>
      </c>
    </row>
    <row r="2" spans="1:14" ht="12.75">
      <c r="A2" t="s">
        <v>30</v>
      </c>
      <c r="B2" t="s">
        <v>35</v>
      </c>
      <c r="C2" t="s">
        <v>123</v>
      </c>
      <c r="D2" t="s">
        <v>124</v>
      </c>
      <c r="E2" t="s">
        <v>141</v>
      </c>
      <c r="F2" t="s">
        <v>28</v>
      </c>
      <c r="G2" t="s">
        <v>36</v>
      </c>
      <c r="H2" t="s">
        <v>141</v>
      </c>
      <c r="I2" t="s">
        <v>141</v>
      </c>
      <c r="J2" t="s">
        <v>141</v>
      </c>
      <c r="K2" t="s">
        <v>141</v>
      </c>
      <c r="L2">
        <v>2.1000000000000001</v>
      </c>
      <c r="M2">
        <v>2.1000000000000001</v>
      </c>
      <c r="N2" t="s">
        <v>141</v>
      </c>
    </row>
    <row r="3" spans="1:14" ht="12.75">
      <c r="A3" t="s">
        <v>30</v>
      </c>
      <c r="B3" t="s">
        <v>35</v>
      </c>
      <c r="C3" t="s">
        <v>123</v>
      </c>
      <c r="D3" t="s">
        <v>124</v>
      </c>
      <c r="E3" t="s">
        <v>141</v>
      </c>
      <c r="F3" t="s">
        <v>28</v>
      </c>
      <c r="G3" t="s">
        <v>26</v>
      </c>
      <c r="H3" t="s">
        <v>141</v>
      </c>
      <c r="I3" t="s">
        <v>141</v>
      </c>
      <c r="J3" t="s">
        <v>141</v>
      </c>
      <c r="K3" t="s">
        <v>141</v>
      </c>
      <c r="L3">
        <v>2.2400000000000069</v>
      </c>
      <c r="M3">
        <v>2.2400000000000069</v>
      </c>
      <c r="N3" t="s">
        <v>141</v>
      </c>
    </row>
    <row r="4" spans="1:14" ht="12.75">
      <c r="A4" t="s">
        <v>30</v>
      </c>
      <c r="B4" t="s">
        <v>35</v>
      </c>
      <c r="C4" t="s">
        <v>123</v>
      </c>
      <c r="D4" t="s">
        <v>124</v>
      </c>
      <c r="E4" t="s">
        <v>141</v>
      </c>
      <c r="F4" t="s">
        <v>28</v>
      </c>
      <c r="G4" t="s">
        <v>31</v>
      </c>
      <c r="H4" t="s">
        <v>141</v>
      </c>
      <c r="I4" t="s">
        <v>141</v>
      </c>
      <c r="J4" t="s">
        <v>141</v>
      </c>
      <c r="K4" t="s">
        <v>141</v>
      </c>
      <c r="L4">
        <v>2.5899999999999932</v>
      </c>
      <c r="M4">
        <v>2.5899999999999932</v>
      </c>
      <c r="N4" t="s">
        <v>141</v>
      </c>
    </row>
    <row r="5" spans="1:14" ht="12.75">
      <c r="A5" t="s">
        <v>30</v>
      </c>
      <c r="B5" t="s">
        <v>35</v>
      </c>
      <c r="C5" t="s">
        <v>123</v>
      </c>
      <c r="D5" t="s">
        <v>124</v>
      </c>
      <c r="E5" t="s">
        <v>141</v>
      </c>
      <c r="F5" t="s">
        <v>28</v>
      </c>
      <c r="G5" t="s">
        <v>129</v>
      </c>
      <c r="H5" t="s">
        <v>141</v>
      </c>
      <c r="I5" t="s">
        <v>141</v>
      </c>
      <c r="J5" t="s">
        <v>141</v>
      </c>
      <c r="K5" t="s">
        <v>141</v>
      </c>
      <c r="L5">
        <v>2.7999999999999932</v>
      </c>
      <c r="M5">
        <v>2.7999999999999932</v>
      </c>
      <c r="N5" t="s">
        <v>141</v>
      </c>
    </row>
    <row r="6" spans="1:14" ht="12.75">
      <c r="A6" t="s">
        <v>30</v>
      </c>
      <c r="B6" t="s">
        <v>35</v>
      </c>
      <c r="C6" t="s">
        <v>123</v>
      </c>
      <c r="D6" t="s">
        <v>124</v>
      </c>
      <c r="E6" t="s">
        <v>141</v>
      </c>
      <c r="F6" t="s">
        <v>28</v>
      </c>
      <c r="G6" t="s">
        <v>29</v>
      </c>
      <c r="H6" t="s">
        <v>141</v>
      </c>
      <c r="I6" t="s">
        <v>141</v>
      </c>
      <c r="J6" t="s">
        <v>141</v>
      </c>
      <c r="K6" t="s">
        <v>141</v>
      </c>
      <c r="L6">
        <v>2.7999999999999932</v>
      </c>
      <c r="M6">
        <v>2.7999999999999932</v>
      </c>
      <c r="N6" t="s">
        <v>141</v>
      </c>
    </row>
    <row r="7" spans="1:14" ht="12.75">
      <c r="A7" t="s">
        <v>30</v>
      </c>
      <c r="B7" t="s">
        <v>35</v>
      </c>
      <c r="C7" t="s">
        <v>125</v>
      </c>
      <c r="D7" t="s">
        <v>150</v>
      </c>
      <c r="E7" t="s">
        <v>141</v>
      </c>
      <c r="F7" t="s">
        <v>28</v>
      </c>
      <c r="G7" t="s">
        <v>36</v>
      </c>
      <c r="H7" t="s">
        <v>141</v>
      </c>
      <c r="I7" t="s">
        <v>141</v>
      </c>
      <c r="J7" t="s">
        <v>141</v>
      </c>
      <c r="K7" t="s">
        <v>141</v>
      </c>
      <c r="L7">
        <v>2.7466471585410202</v>
      </c>
      <c r="M7">
        <v>2.7466471585410202</v>
      </c>
      <c r="N7" t="s">
        <v>141</v>
      </c>
    </row>
    <row r="8" spans="1:14" ht="12.75">
      <c r="A8" t="s">
        <v>30</v>
      </c>
      <c r="B8" t="s">
        <v>35</v>
      </c>
      <c r="C8" t="s">
        <v>125</v>
      </c>
      <c r="D8" t="s">
        <v>150</v>
      </c>
      <c r="E8" t="s">
        <v>141</v>
      </c>
      <c r="F8" t="s">
        <v>28</v>
      </c>
      <c r="G8" t="s">
        <v>26</v>
      </c>
      <c r="H8" t="s">
        <v>141</v>
      </c>
      <c r="I8" t="s">
        <v>141</v>
      </c>
      <c r="J8" t="s">
        <v>141</v>
      </c>
      <c r="K8" t="s">
        <v>141</v>
      </c>
      <c r="L8">
        <v>2.7466471585410202</v>
      </c>
      <c r="M8">
        <v>2.7466471585410202</v>
      </c>
      <c r="N8" t="s">
        <v>141</v>
      </c>
    </row>
    <row r="9" spans="1:14" ht="12.75">
      <c r="A9" t="s">
        <v>30</v>
      </c>
      <c r="B9" t="s">
        <v>35</v>
      </c>
      <c r="C9" t="s">
        <v>125</v>
      </c>
      <c r="D9" t="s">
        <v>150</v>
      </c>
      <c r="E9" t="s">
        <v>141</v>
      </c>
      <c r="F9" t="s">
        <v>28</v>
      </c>
      <c r="G9" t="s">
        <v>31</v>
      </c>
      <c r="H9" t="s">
        <v>141</v>
      </c>
      <c r="I9" t="s">
        <v>141</v>
      </c>
      <c r="J9" t="s">
        <v>141</v>
      </c>
      <c r="K9" t="s">
        <v>141</v>
      </c>
      <c r="L9">
        <v>2.7466471585410202</v>
      </c>
      <c r="M9">
        <v>2.7466471585410202</v>
      </c>
      <c r="N9" t="s">
        <v>141</v>
      </c>
    </row>
    <row r="10" spans="1:14" ht="12.75">
      <c r="A10" t="s">
        <v>30</v>
      </c>
      <c r="B10" t="s">
        <v>35</v>
      </c>
      <c r="C10" t="s">
        <v>125</v>
      </c>
      <c r="D10" t="s">
        <v>150</v>
      </c>
      <c r="E10" t="s">
        <v>141</v>
      </c>
      <c r="F10" t="s">
        <v>28</v>
      </c>
      <c r="G10" t="s">
        <v>129</v>
      </c>
      <c r="H10" t="s">
        <v>141</v>
      </c>
      <c r="I10" t="s">
        <v>141</v>
      </c>
      <c r="J10" t="s">
        <v>141</v>
      </c>
      <c r="K10" t="s">
        <v>141</v>
      </c>
      <c r="L10">
        <v>2.7466471585410202</v>
      </c>
      <c r="M10">
        <v>2.7466471585410202</v>
      </c>
      <c r="N10" t="s">
        <v>141</v>
      </c>
    </row>
    <row r="11" spans="1:14" ht="12.75">
      <c r="A11" t="s">
        <v>30</v>
      </c>
      <c r="B11" t="s">
        <v>35</v>
      </c>
      <c r="C11" t="s">
        <v>125</v>
      </c>
      <c r="D11" t="s">
        <v>150</v>
      </c>
      <c r="E11" t="s">
        <v>141</v>
      </c>
      <c r="F11" t="s">
        <v>28</v>
      </c>
      <c r="G11" t="s">
        <v>29</v>
      </c>
      <c r="H11" t="s">
        <v>141</v>
      </c>
      <c r="I11" t="s">
        <v>141</v>
      </c>
      <c r="J11" t="s">
        <v>141</v>
      </c>
      <c r="K11" t="s">
        <v>141</v>
      </c>
      <c r="L11">
        <v>2.7466471585410202</v>
      </c>
      <c r="M11">
        <v>2.7466471585410202</v>
      </c>
      <c r="N11" t="s">
        <v>141</v>
      </c>
    </row>
    <row r="12" spans="1:14" ht="12.75">
      <c r="A12" t="s">
        <v>30</v>
      </c>
      <c r="B12" t="s">
        <v>35</v>
      </c>
      <c r="C12" t="s">
        <v>125</v>
      </c>
      <c r="D12" t="s">
        <v>124</v>
      </c>
      <c r="E12" t="s">
        <v>141</v>
      </c>
      <c r="F12" t="s">
        <v>28</v>
      </c>
      <c r="G12" t="s">
        <v>36</v>
      </c>
      <c r="H12" t="s">
        <v>141</v>
      </c>
      <c r="I12" t="s">
        <v>141</v>
      </c>
      <c r="J12" t="s">
        <v>141</v>
      </c>
      <c r="K12" t="s">
        <v>141</v>
      </c>
      <c r="L12">
        <v>2.1000000000000001</v>
      </c>
      <c r="M12">
        <v>2.1000000000000001</v>
      </c>
      <c r="N12" t="s">
        <v>141</v>
      </c>
    </row>
    <row r="13" spans="1:14" ht="12.75">
      <c r="A13" t="s">
        <v>30</v>
      </c>
      <c r="B13" t="s">
        <v>35</v>
      </c>
      <c r="C13" t="s">
        <v>125</v>
      </c>
      <c r="D13" t="s">
        <v>124</v>
      </c>
      <c r="E13" t="s">
        <v>141</v>
      </c>
      <c r="F13" t="s">
        <v>28</v>
      </c>
      <c r="G13" t="s">
        <v>26</v>
      </c>
      <c r="H13" t="s">
        <v>141</v>
      </c>
      <c r="I13" t="s">
        <v>141</v>
      </c>
      <c r="J13" t="s">
        <v>141</v>
      </c>
      <c r="K13" t="s">
        <v>141</v>
      </c>
      <c r="L13">
        <v>2.2400000000000069</v>
      </c>
      <c r="M13">
        <v>2.2400000000000069</v>
      </c>
      <c r="N13" t="s">
        <v>141</v>
      </c>
    </row>
    <row r="14" spans="1:14" ht="12.75">
      <c r="A14" t="s">
        <v>30</v>
      </c>
      <c r="B14" t="s">
        <v>35</v>
      </c>
      <c r="C14" t="s">
        <v>125</v>
      </c>
      <c r="D14" t="s">
        <v>124</v>
      </c>
      <c r="E14" t="s">
        <v>141</v>
      </c>
      <c r="F14" t="s">
        <v>28</v>
      </c>
      <c r="G14" t="s">
        <v>31</v>
      </c>
      <c r="H14" t="s">
        <v>141</v>
      </c>
      <c r="I14" t="s">
        <v>141</v>
      </c>
      <c r="J14" t="s">
        <v>141</v>
      </c>
      <c r="K14" t="s">
        <v>141</v>
      </c>
      <c r="L14">
        <v>2.5899999999999932</v>
      </c>
      <c r="M14">
        <v>2.5899999999999932</v>
      </c>
      <c r="N14" t="s">
        <v>141</v>
      </c>
    </row>
    <row r="15" spans="1:14" ht="12.75">
      <c r="A15" t="s">
        <v>30</v>
      </c>
      <c r="B15" t="s">
        <v>35</v>
      </c>
      <c r="C15" t="s">
        <v>125</v>
      </c>
      <c r="D15" t="s">
        <v>124</v>
      </c>
      <c r="E15" t="s">
        <v>141</v>
      </c>
      <c r="F15" t="s">
        <v>28</v>
      </c>
      <c r="G15" t="s">
        <v>129</v>
      </c>
      <c r="H15" t="s">
        <v>141</v>
      </c>
      <c r="I15" t="s">
        <v>141</v>
      </c>
      <c r="J15" t="s">
        <v>141</v>
      </c>
      <c r="K15" t="s">
        <v>141</v>
      </c>
      <c r="L15">
        <v>2.7999999999999932</v>
      </c>
      <c r="M15">
        <v>2.7999999999999932</v>
      </c>
      <c r="N15" t="s">
        <v>141</v>
      </c>
    </row>
    <row r="16" spans="1:14" ht="12.75">
      <c r="A16" t="s">
        <v>30</v>
      </c>
      <c r="B16" t="s">
        <v>35</v>
      </c>
      <c r="C16" t="s">
        <v>125</v>
      </c>
      <c r="D16" t="s">
        <v>124</v>
      </c>
      <c r="E16" t="s">
        <v>141</v>
      </c>
      <c r="F16" t="s">
        <v>28</v>
      </c>
      <c r="G16" t="s">
        <v>29</v>
      </c>
      <c r="H16" t="s">
        <v>141</v>
      </c>
      <c r="I16" t="s">
        <v>141</v>
      </c>
      <c r="J16" t="s">
        <v>141</v>
      </c>
      <c r="K16" t="s">
        <v>141</v>
      </c>
      <c r="L16">
        <v>2.7999999999999932</v>
      </c>
      <c r="M16">
        <v>2.7999999999999932</v>
      </c>
      <c r="N16" t="s">
        <v>141</v>
      </c>
    </row>
    <row r="17" spans="1:14" ht="12.75">
      <c r="A17" t="s">
        <v>30</v>
      </c>
      <c r="B17" t="s">
        <v>35</v>
      </c>
      <c r="C17" t="s">
        <v>127</v>
      </c>
      <c r="D17" t="s">
        <v>124</v>
      </c>
      <c r="E17" t="s">
        <v>141</v>
      </c>
      <c r="F17" t="s">
        <v>28</v>
      </c>
      <c r="G17" t="s">
        <v>36</v>
      </c>
      <c r="H17" t="s">
        <v>141</v>
      </c>
      <c r="I17" t="s">
        <v>141</v>
      </c>
      <c r="J17" t="s">
        <v>141</v>
      </c>
      <c r="K17" t="s">
        <v>141</v>
      </c>
      <c r="L17">
        <v>2.1000000000000001</v>
      </c>
      <c r="M17">
        <v>2.1000000000000001</v>
      </c>
      <c r="N17" t="s">
        <v>141</v>
      </c>
    </row>
    <row r="18" spans="1:14" ht="12.75">
      <c r="A18" t="s">
        <v>30</v>
      </c>
      <c r="B18" t="s">
        <v>35</v>
      </c>
      <c r="C18" t="s">
        <v>127</v>
      </c>
      <c r="D18" t="s">
        <v>124</v>
      </c>
      <c r="E18" t="s">
        <v>141</v>
      </c>
      <c r="F18" t="s">
        <v>28</v>
      </c>
      <c r="G18" t="s">
        <v>26</v>
      </c>
      <c r="H18" t="s">
        <v>141</v>
      </c>
      <c r="I18" t="s">
        <v>141</v>
      </c>
      <c r="J18" t="s">
        <v>141</v>
      </c>
      <c r="K18" t="s">
        <v>141</v>
      </c>
      <c r="L18">
        <v>2.3100000000000005</v>
      </c>
      <c r="M18">
        <v>2.3100000000000005</v>
      </c>
      <c r="N18" t="s">
        <v>141</v>
      </c>
    </row>
    <row r="19" spans="1:14" ht="12.75">
      <c r="A19" t="s">
        <v>30</v>
      </c>
      <c r="B19" t="s">
        <v>35</v>
      </c>
      <c r="C19" t="s">
        <v>127</v>
      </c>
      <c r="D19" t="s">
        <v>124</v>
      </c>
      <c r="E19" t="s">
        <v>141</v>
      </c>
      <c r="F19" t="s">
        <v>28</v>
      </c>
      <c r="G19" t="s">
        <v>31</v>
      </c>
      <c r="H19" t="s">
        <v>141</v>
      </c>
      <c r="I19" t="s">
        <v>141</v>
      </c>
      <c r="J19" t="s">
        <v>141</v>
      </c>
      <c r="K19" t="s">
        <v>141</v>
      </c>
      <c r="L19">
        <v>2.5899999999999932</v>
      </c>
      <c r="M19">
        <v>2.5899999999999932</v>
      </c>
      <c r="N19" t="s">
        <v>141</v>
      </c>
    </row>
    <row r="20" spans="1:14" ht="12.75">
      <c r="A20" t="s">
        <v>30</v>
      </c>
      <c r="B20" t="s">
        <v>35</v>
      </c>
      <c r="C20" t="s">
        <v>127</v>
      </c>
      <c r="D20" t="s">
        <v>124</v>
      </c>
      <c r="E20" t="s">
        <v>141</v>
      </c>
      <c r="F20" t="s">
        <v>28</v>
      </c>
      <c r="G20" t="s">
        <v>129</v>
      </c>
      <c r="H20" t="s">
        <v>141</v>
      </c>
      <c r="I20" t="s">
        <v>141</v>
      </c>
      <c r="J20" t="s">
        <v>141</v>
      </c>
      <c r="K20" t="s">
        <v>141</v>
      </c>
      <c r="L20">
        <v>2.7999999999999932</v>
      </c>
      <c r="M20">
        <v>2.7999999999999932</v>
      </c>
      <c r="N20" t="s">
        <v>141</v>
      </c>
    </row>
    <row r="21" spans="1:14" ht="12.75">
      <c r="A21" t="s">
        <v>30</v>
      </c>
      <c r="B21" t="s">
        <v>35</v>
      </c>
      <c r="C21" t="s">
        <v>127</v>
      </c>
      <c r="D21" t="s">
        <v>124</v>
      </c>
      <c r="E21" t="s">
        <v>141</v>
      </c>
      <c r="F21" t="s">
        <v>28</v>
      </c>
      <c r="G21" t="s">
        <v>29</v>
      </c>
      <c r="H21" t="s">
        <v>141</v>
      </c>
      <c r="I21" t="s">
        <v>141</v>
      </c>
      <c r="J21" t="s">
        <v>141</v>
      </c>
      <c r="K21" t="s">
        <v>141</v>
      </c>
      <c r="L21">
        <v>2.7999999999999932</v>
      </c>
      <c r="M21">
        <v>2.7999999999999932</v>
      </c>
      <c r="N21" t="s">
        <v>141</v>
      </c>
    </row>
    <row r="22" spans="1:14" ht="12.75">
      <c r="A22" t="s">
        <v>30</v>
      </c>
      <c r="B22" t="s">
        <v>35</v>
      </c>
      <c r="C22" t="s">
        <v>128</v>
      </c>
      <c r="D22" t="s">
        <v>124</v>
      </c>
      <c r="E22" t="s">
        <v>141</v>
      </c>
      <c r="F22" t="s">
        <v>28</v>
      </c>
      <c r="G22" t="s">
        <v>36</v>
      </c>
      <c r="H22" t="s">
        <v>141</v>
      </c>
      <c r="I22" t="s">
        <v>141</v>
      </c>
      <c r="J22" t="s">
        <v>141</v>
      </c>
      <c r="K22" t="s">
        <v>141</v>
      </c>
      <c r="L22">
        <v>2.1000000000000001</v>
      </c>
      <c r="M22">
        <v>2.1000000000000001</v>
      </c>
      <c r="N22" t="s">
        <v>141</v>
      </c>
    </row>
    <row r="23" spans="1:14" ht="12.75">
      <c r="A23" t="s">
        <v>30</v>
      </c>
      <c r="B23" t="s">
        <v>35</v>
      </c>
      <c r="C23" t="s">
        <v>128</v>
      </c>
      <c r="D23" t="s">
        <v>124</v>
      </c>
      <c r="E23" t="s">
        <v>141</v>
      </c>
      <c r="F23" t="s">
        <v>28</v>
      </c>
      <c r="G23" t="s">
        <v>26</v>
      </c>
      <c r="H23" t="s">
        <v>141</v>
      </c>
      <c r="I23" t="s">
        <v>141</v>
      </c>
      <c r="J23" t="s">
        <v>141</v>
      </c>
      <c r="K23" t="s">
        <v>141</v>
      </c>
      <c r="L23">
        <v>2.3100000000000005</v>
      </c>
      <c r="M23">
        <v>2.3100000000000005</v>
      </c>
      <c r="N23" t="s">
        <v>141</v>
      </c>
    </row>
    <row r="24" spans="1:14" ht="12.75">
      <c r="A24" t="s">
        <v>30</v>
      </c>
      <c r="B24" t="s">
        <v>35</v>
      </c>
      <c r="C24" t="s">
        <v>128</v>
      </c>
      <c r="D24" t="s">
        <v>124</v>
      </c>
      <c r="E24" t="s">
        <v>141</v>
      </c>
      <c r="F24" t="s">
        <v>28</v>
      </c>
      <c r="G24" t="s">
        <v>31</v>
      </c>
      <c r="H24" t="s">
        <v>141</v>
      </c>
      <c r="I24" t="s">
        <v>141</v>
      </c>
      <c r="J24" t="s">
        <v>141</v>
      </c>
      <c r="K24" t="s">
        <v>141</v>
      </c>
      <c r="L24">
        <v>2.5899999999999932</v>
      </c>
      <c r="M24">
        <v>2.5899999999999932</v>
      </c>
      <c r="N24" t="s">
        <v>141</v>
      </c>
    </row>
    <row r="25" spans="1:14" ht="12.75">
      <c r="A25" t="s">
        <v>30</v>
      </c>
      <c r="B25" t="s">
        <v>35</v>
      </c>
      <c r="C25" t="s">
        <v>128</v>
      </c>
      <c r="D25" t="s">
        <v>124</v>
      </c>
      <c r="E25" t="s">
        <v>141</v>
      </c>
      <c r="F25" t="s">
        <v>28</v>
      </c>
      <c r="G25" t="s">
        <v>129</v>
      </c>
      <c r="H25" t="s">
        <v>141</v>
      </c>
      <c r="I25" t="s">
        <v>141</v>
      </c>
      <c r="J25" t="s">
        <v>141</v>
      </c>
      <c r="K25" t="s">
        <v>141</v>
      </c>
      <c r="L25">
        <v>2.7999999999999932</v>
      </c>
      <c r="M25">
        <v>2.7999999999999932</v>
      </c>
      <c r="N25" t="s">
        <v>141</v>
      </c>
    </row>
    <row r="26" spans="1:14" ht="12.75">
      <c r="A26" t="s">
        <v>30</v>
      </c>
      <c r="B26" t="s">
        <v>35</v>
      </c>
      <c r="C26" t="s">
        <v>128</v>
      </c>
      <c r="D26" t="s">
        <v>124</v>
      </c>
      <c r="E26" t="s">
        <v>141</v>
      </c>
      <c r="F26" t="s">
        <v>28</v>
      </c>
      <c r="G26" t="s">
        <v>29</v>
      </c>
      <c r="H26" t="s">
        <v>141</v>
      </c>
      <c r="I26" t="s">
        <v>141</v>
      </c>
      <c r="J26" t="s">
        <v>141</v>
      </c>
      <c r="K26" t="s">
        <v>141</v>
      </c>
      <c r="L26">
        <v>2.7999999999999932</v>
      </c>
      <c r="M26">
        <v>2.7999999999999932</v>
      </c>
      <c r="N26" t="s">
        <v>141</v>
      </c>
    </row>
    <row r="27" spans="1:14" ht="12.75">
      <c r="A27" t="s">
        <v>30</v>
      </c>
      <c r="B27" t="s">
        <v>35</v>
      </c>
      <c r="C27" t="s">
        <v>128</v>
      </c>
      <c r="D27" t="s">
        <v>126</v>
      </c>
      <c r="E27" t="s">
        <v>141</v>
      </c>
      <c r="F27" t="s">
        <v>28</v>
      </c>
      <c r="G27" t="s">
        <v>36</v>
      </c>
      <c r="H27" t="s">
        <v>141</v>
      </c>
      <c r="I27" t="s">
        <v>141</v>
      </c>
      <c r="J27" t="s">
        <v>141</v>
      </c>
      <c r="K27" t="s">
        <v>141</v>
      </c>
      <c r="L27">
        <v>1.47</v>
      </c>
      <c r="M27">
        <v>1.47</v>
      </c>
      <c r="N27" t="s">
        <v>141</v>
      </c>
    </row>
    <row r="28" spans="1:14" ht="12.75">
      <c r="A28" t="s">
        <v>30</v>
      </c>
      <c r="B28" t="s">
        <v>35</v>
      </c>
      <c r="C28" t="s">
        <v>128</v>
      </c>
      <c r="D28" t="s">
        <v>126</v>
      </c>
      <c r="E28" t="s">
        <v>141</v>
      </c>
      <c r="F28" t="s">
        <v>28</v>
      </c>
      <c r="G28" t="s">
        <v>26</v>
      </c>
      <c r="H28" t="s">
        <v>141</v>
      </c>
      <c r="I28" t="s">
        <v>141</v>
      </c>
      <c r="J28" t="s">
        <v>141</v>
      </c>
      <c r="K28" t="s">
        <v>141</v>
      </c>
      <c r="L28">
        <v>1.6170000000000002</v>
      </c>
      <c r="M28">
        <v>1.6170000000000002</v>
      </c>
      <c r="N28" t="s">
        <v>141</v>
      </c>
    </row>
    <row r="29" spans="1:14" ht="12.75">
      <c r="A29" t="s">
        <v>30</v>
      </c>
      <c r="B29" t="s">
        <v>35</v>
      </c>
      <c r="C29" t="s">
        <v>128</v>
      </c>
      <c r="D29" t="s">
        <v>126</v>
      </c>
      <c r="E29" t="s">
        <v>141</v>
      </c>
      <c r="F29" t="s">
        <v>28</v>
      </c>
      <c r="G29" t="s">
        <v>31</v>
      </c>
      <c r="H29" t="s">
        <v>141</v>
      </c>
      <c r="I29" t="s">
        <v>141</v>
      </c>
      <c r="J29" t="s">
        <v>141</v>
      </c>
      <c r="K29" t="s">
        <v>141</v>
      </c>
      <c r="L29">
        <v>1.8129999999999993</v>
      </c>
      <c r="M29">
        <v>1.8129999999999993</v>
      </c>
      <c r="N29" t="s">
        <v>141</v>
      </c>
    </row>
    <row r="30" spans="1:14" ht="12.75">
      <c r="A30" t="s">
        <v>30</v>
      </c>
      <c r="B30" t="s">
        <v>35</v>
      </c>
      <c r="C30" t="s">
        <v>128</v>
      </c>
      <c r="D30" t="s">
        <v>126</v>
      </c>
      <c r="E30" t="s">
        <v>141</v>
      </c>
      <c r="F30" t="s">
        <v>28</v>
      </c>
      <c r="G30" t="s">
        <v>129</v>
      </c>
      <c r="H30" t="s">
        <v>141</v>
      </c>
      <c r="I30" t="s">
        <v>141</v>
      </c>
      <c r="J30" t="s">
        <v>141</v>
      </c>
      <c r="K30" t="s">
        <v>141</v>
      </c>
      <c r="L30">
        <v>1.9599999999999995</v>
      </c>
      <c r="M30">
        <v>1.9599999999999995</v>
      </c>
      <c r="N30" t="s">
        <v>141</v>
      </c>
    </row>
    <row r="31" spans="1:14" ht="12.75">
      <c r="A31" t="s">
        <v>30</v>
      </c>
      <c r="B31" t="s">
        <v>35</v>
      </c>
      <c r="C31" t="s">
        <v>128</v>
      </c>
      <c r="D31" t="s">
        <v>126</v>
      </c>
      <c r="E31" t="s">
        <v>141</v>
      </c>
      <c r="F31" t="s">
        <v>28</v>
      </c>
      <c r="G31" t="s">
        <v>29</v>
      </c>
      <c r="H31" t="s">
        <v>141</v>
      </c>
      <c r="I31" t="s">
        <v>141</v>
      </c>
      <c r="J31" t="s">
        <v>141</v>
      </c>
      <c r="K31" t="s">
        <v>141</v>
      </c>
      <c r="L31">
        <v>1.9599999999999995</v>
      </c>
      <c r="M31">
        <v>1.9599999999999995</v>
      </c>
      <c r="N31" t="s">
        <v>141</v>
      </c>
    </row>
    <row r="32" spans="1:14" ht="12.75">
      <c r="A32" t="s">
        <v>30</v>
      </c>
      <c r="B32" t="s">
        <v>35</v>
      </c>
      <c r="C32" t="s">
        <v>130</v>
      </c>
      <c r="D32" t="s">
        <v>124</v>
      </c>
      <c r="E32" t="s">
        <v>141</v>
      </c>
      <c r="F32" t="s">
        <v>28</v>
      </c>
      <c r="G32" t="s">
        <v>36</v>
      </c>
      <c r="H32" t="s">
        <v>141</v>
      </c>
      <c r="I32" t="s">
        <v>141</v>
      </c>
      <c r="J32" t="s">
        <v>141</v>
      </c>
      <c r="K32" t="s">
        <v>141</v>
      </c>
      <c r="L32">
        <v>2.1000000000000001</v>
      </c>
      <c r="M32">
        <v>2.1000000000000001</v>
      </c>
      <c r="N32" t="s">
        <v>141</v>
      </c>
    </row>
    <row r="33" spans="1:14" ht="12.75">
      <c r="A33" t="s">
        <v>30</v>
      </c>
      <c r="B33" t="s">
        <v>35</v>
      </c>
      <c r="C33" t="s">
        <v>130</v>
      </c>
      <c r="D33" t="s">
        <v>124</v>
      </c>
      <c r="E33" t="s">
        <v>141</v>
      </c>
      <c r="F33" t="s">
        <v>28</v>
      </c>
      <c r="G33" t="s">
        <v>26</v>
      </c>
      <c r="H33" t="s">
        <v>141</v>
      </c>
      <c r="I33" t="s">
        <v>141</v>
      </c>
      <c r="J33" t="s">
        <v>141</v>
      </c>
      <c r="K33" t="s">
        <v>141</v>
      </c>
      <c r="L33">
        <v>2.2890000000000001</v>
      </c>
      <c r="M33">
        <v>2.2890000000000001</v>
      </c>
      <c r="N33" t="s">
        <v>141</v>
      </c>
    </row>
    <row r="34" spans="1:14" ht="12.75">
      <c r="A34" t="s">
        <v>30</v>
      </c>
      <c r="B34" t="s">
        <v>35</v>
      </c>
      <c r="C34" t="s">
        <v>130</v>
      </c>
      <c r="D34" t="s">
        <v>124</v>
      </c>
      <c r="E34" t="s">
        <v>141</v>
      </c>
      <c r="F34" t="s">
        <v>28</v>
      </c>
      <c r="G34" t="s">
        <v>31</v>
      </c>
      <c r="H34" t="s">
        <v>141</v>
      </c>
      <c r="I34" t="s">
        <v>141</v>
      </c>
      <c r="J34" t="s">
        <v>141</v>
      </c>
      <c r="K34" t="s">
        <v>141</v>
      </c>
      <c r="L34">
        <v>2.531199999999993</v>
      </c>
      <c r="M34">
        <v>2.531199999999993</v>
      </c>
      <c r="N34" t="s">
        <v>141</v>
      </c>
    </row>
    <row r="35" spans="1:14" ht="12.75">
      <c r="A35" t="s">
        <v>30</v>
      </c>
      <c r="B35" t="s">
        <v>35</v>
      </c>
      <c r="C35" t="s">
        <v>130</v>
      </c>
      <c r="D35" t="s">
        <v>124</v>
      </c>
      <c r="E35" t="s">
        <v>141</v>
      </c>
      <c r="F35" t="s">
        <v>28</v>
      </c>
      <c r="G35" t="s">
        <v>129</v>
      </c>
      <c r="H35" t="s">
        <v>141</v>
      </c>
      <c r="I35" t="s">
        <v>141</v>
      </c>
      <c r="J35" t="s">
        <v>141</v>
      </c>
      <c r="K35" t="s">
        <v>141</v>
      </c>
      <c r="L35">
        <v>2.7159999999999931</v>
      </c>
      <c r="M35">
        <v>2.7159999999999931</v>
      </c>
      <c r="N35" t="s">
        <v>141</v>
      </c>
    </row>
    <row r="36" spans="1:14" ht="12.75">
      <c r="A36" t="s">
        <v>30</v>
      </c>
      <c r="B36" t="s">
        <v>35</v>
      </c>
      <c r="C36" t="s">
        <v>130</v>
      </c>
      <c r="D36" t="s">
        <v>124</v>
      </c>
      <c r="E36" t="s">
        <v>141</v>
      </c>
      <c r="F36" t="s">
        <v>28</v>
      </c>
      <c r="G36" t="s">
        <v>29</v>
      </c>
      <c r="H36" t="s">
        <v>141</v>
      </c>
      <c r="I36" t="s">
        <v>141</v>
      </c>
      <c r="J36" t="s">
        <v>141</v>
      </c>
      <c r="K36" t="s">
        <v>141</v>
      </c>
      <c r="L36">
        <v>2.7159999999999931</v>
      </c>
      <c r="M36">
        <v>2.7159999999999931</v>
      </c>
      <c r="N36" t="s">
        <v>141</v>
      </c>
    </row>
    <row r="37" spans="1:14" ht="12.75">
      <c r="A37" t="s">
        <v>30</v>
      </c>
      <c r="B37" t="s">
        <v>35</v>
      </c>
      <c r="C37" t="s">
        <v>130</v>
      </c>
      <c r="D37" t="s">
        <v>126</v>
      </c>
      <c r="E37" t="s">
        <v>141</v>
      </c>
      <c r="F37" t="s">
        <v>28</v>
      </c>
      <c r="G37" t="s">
        <v>36</v>
      </c>
      <c r="H37" t="s">
        <v>141</v>
      </c>
      <c r="I37" t="s">
        <v>141</v>
      </c>
      <c r="J37" t="s">
        <v>141</v>
      </c>
      <c r="K37" t="s">
        <v>141</v>
      </c>
      <c r="L37">
        <v>2.9085000000000001</v>
      </c>
      <c r="M37">
        <v>2.9085000000000001</v>
      </c>
      <c r="N37" t="s">
        <v>141</v>
      </c>
    </row>
    <row r="38" spans="1:14" ht="12.75">
      <c r="A38" t="s">
        <v>30</v>
      </c>
      <c r="B38" t="s">
        <v>35</v>
      </c>
      <c r="C38" t="s">
        <v>130</v>
      </c>
      <c r="D38" t="s">
        <v>126</v>
      </c>
      <c r="E38" t="s">
        <v>141</v>
      </c>
      <c r="F38" t="s">
        <v>28</v>
      </c>
      <c r="G38" t="s">
        <v>26</v>
      </c>
      <c r="H38" t="s">
        <v>141</v>
      </c>
      <c r="I38" t="s">
        <v>141</v>
      </c>
      <c r="J38" t="s">
        <v>141</v>
      </c>
      <c r="K38" t="s">
        <v>141</v>
      </c>
      <c r="L38">
        <v>3.0628500000000001</v>
      </c>
      <c r="M38">
        <v>3.0628500000000001</v>
      </c>
      <c r="N38" t="s">
        <v>141</v>
      </c>
    </row>
    <row r="39" spans="1:14" ht="12.75">
      <c r="A39" t="s">
        <v>30</v>
      </c>
      <c r="B39" t="s">
        <v>35</v>
      </c>
      <c r="C39" t="s">
        <v>130</v>
      </c>
      <c r="D39" t="s">
        <v>126</v>
      </c>
      <c r="E39" t="s">
        <v>141</v>
      </c>
      <c r="F39" t="s">
        <v>28</v>
      </c>
      <c r="G39" t="s">
        <v>31</v>
      </c>
      <c r="H39" t="s">
        <v>141</v>
      </c>
      <c r="I39" t="s">
        <v>141</v>
      </c>
      <c r="J39" t="s">
        <v>141</v>
      </c>
      <c r="K39" t="s">
        <v>141</v>
      </c>
      <c r="L39">
        <v>3.1017000000000001</v>
      </c>
      <c r="M39">
        <v>3.1017000000000001</v>
      </c>
      <c r="N39" t="s">
        <v>141</v>
      </c>
    </row>
    <row r="40" spans="1:14" ht="12.75">
      <c r="A40" t="s">
        <v>30</v>
      </c>
      <c r="B40" t="s">
        <v>35</v>
      </c>
      <c r="C40" t="s">
        <v>130</v>
      </c>
      <c r="D40" t="s">
        <v>126</v>
      </c>
      <c r="E40" t="s">
        <v>141</v>
      </c>
      <c r="F40" t="s">
        <v>28</v>
      </c>
      <c r="G40" t="s">
        <v>129</v>
      </c>
      <c r="H40" t="s">
        <v>141</v>
      </c>
      <c r="I40" t="s">
        <v>141</v>
      </c>
      <c r="J40" t="s">
        <v>141</v>
      </c>
      <c r="K40" t="s">
        <v>141</v>
      </c>
      <c r="L40">
        <v>3.2340000000000004</v>
      </c>
      <c r="M40">
        <v>3.2340000000000004</v>
      </c>
      <c r="N40" t="s">
        <v>141</v>
      </c>
    </row>
    <row r="41" spans="1:14" ht="12.75">
      <c r="A41" t="s">
        <v>30</v>
      </c>
      <c r="B41" t="s">
        <v>35</v>
      </c>
      <c r="C41" t="s">
        <v>130</v>
      </c>
      <c r="D41" t="s">
        <v>126</v>
      </c>
      <c r="E41" t="s">
        <v>141</v>
      </c>
      <c r="F41" t="s">
        <v>28</v>
      </c>
      <c r="G41" t="s">
        <v>29</v>
      </c>
      <c r="H41" t="s">
        <v>141</v>
      </c>
      <c r="I41" t="s">
        <v>141</v>
      </c>
      <c r="J41" t="s">
        <v>141</v>
      </c>
      <c r="K41" t="s">
        <v>141</v>
      </c>
      <c r="L41">
        <v>3.2340000000000004</v>
      </c>
      <c r="M41">
        <v>3.2340000000000004</v>
      </c>
      <c r="N41" t="s">
        <v>141</v>
      </c>
    </row>
    <row r="42" spans="1:14" ht="12.75">
      <c r="A42" t="s">
        <v>30</v>
      </c>
      <c r="B42" t="s">
        <v>35</v>
      </c>
      <c r="C42" t="s">
        <v>131</v>
      </c>
      <c r="D42" t="s">
        <v>124</v>
      </c>
      <c r="E42" t="s">
        <v>141</v>
      </c>
      <c r="F42" t="s">
        <v>28</v>
      </c>
      <c r="G42" t="s">
        <v>36</v>
      </c>
      <c r="H42" t="s">
        <v>141</v>
      </c>
      <c r="I42" t="s">
        <v>141</v>
      </c>
      <c r="J42" t="s">
        <v>141</v>
      </c>
      <c r="K42" t="s">
        <v>141</v>
      </c>
      <c r="L42">
        <v>2.3100000000000005</v>
      </c>
      <c r="M42">
        <v>2.3100000000000005</v>
      </c>
      <c r="N42" t="s">
        <v>141</v>
      </c>
    </row>
    <row r="43" spans="1:14" ht="12.75">
      <c r="A43" t="s">
        <v>30</v>
      </c>
      <c r="B43" t="s">
        <v>35</v>
      </c>
      <c r="C43" t="s">
        <v>131</v>
      </c>
      <c r="D43" t="s">
        <v>124</v>
      </c>
      <c r="E43" t="s">
        <v>141</v>
      </c>
      <c r="F43" t="s">
        <v>28</v>
      </c>
      <c r="G43" t="s">
        <v>26</v>
      </c>
      <c r="H43" t="s">
        <v>141</v>
      </c>
      <c r="I43" t="s">
        <v>141</v>
      </c>
      <c r="J43" t="s">
        <v>141</v>
      </c>
      <c r="K43" t="s">
        <v>141</v>
      </c>
      <c r="L43">
        <v>2.4500000000000073</v>
      </c>
      <c r="M43">
        <v>2.4500000000000073</v>
      </c>
      <c r="N43" t="s">
        <v>141</v>
      </c>
    </row>
    <row r="44" spans="1:14" ht="12.75">
      <c r="A44" t="s">
        <v>30</v>
      </c>
      <c r="B44" t="s">
        <v>35</v>
      </c>
      <c r="C44" t="s">
        <v>131</v>
      </c>
      <c r="D44" t="s">
        <v>124</v>
      </c>
      <c r="E44" t="s">
        <v>141</v>
      </c>
      <c r="F44" t="s">
        <v>28</v>
      </c>
      <c r="G44" t="s">
        <v>31</v>
      </c>
      <c r="H44" t="s">
        <v>141</v>
      </c>
      <c r="I44" t="s">
        <v>141</v>
      </c>
      <c r="J44" t="s">
        <v>141</v>
      </c>
      <c r="K44" t="s">
        <v>141</v>
      </c>
      <c r="L44">
        <v>2.7999999999999932</v>
      </c>
      <c r="M44">
        <v>2.7999999999999932</v>
      </c>
      <c r="N44" t="s">
        <v>141</v>
      </c>
    </row>
    <row r="45" spans="1:14" ht="12.75">
      <c r="A45" t="s">
        <v>30</v>
      </c>
      <c r="B45" t="s">
        <v>35</v>
      </c>
      <c r="C45" t="s">
        <v>131</v>
      </c>
      <c r="D45" t="s">
        <v>124</v>
      </c>
      <c r="E45" t="s">
        <v>141</v>
      </c>
      <c r="F45" t="s">
        <v>28</v>
      </c>
      <c r="G45" t="s">
        <v>129</v>
      </c>
      <c r="H45" t="s">
        <v>141</v>
      </c>
      <c r="I45" t="s">
        <v>141</v>
      </c>
      <c r="J45" t="s">
        <v>141</v>
      </c>
      <c r="K45" t="s">
        <v>141</v>
      </c>
      <c r="L45">
        <v>3.1500000000000004</v>
      </c>
      <c r="M45">
        <v>3.1500000000000004</v>
      </c>
      <c r="N45" t="s">
        <v>141</v>
      </c>
    </row>
    <row r="46" spans="1:14" ht="12.75">
      <c r="A46" t="s">
        <v>30</v>
      </c>
      <c r="B46" t="s">
        <v>35</v>
      </c>
      <c r="C46" t="s">
        <v>131</v>
      </c>
      <c r="D46" t="s">
        <v>124</v>
      </c>
      <c r="E46" t="s">
        <v>141</v>
      </c>
      <c r="F46" t="s">
        <v>28</v>
      </c>
      <c r="G46" t="s">
        <v>29</v>
      </c>
      <c r="H46" t="s">
        <v>141</v>
      </c>
      <c r="I46" t="s">
        <v>141</v>
      </c>
      <c r="J46" t="s">
        <v>141</v>
      </c>
      <c r="K46" t="s">
        <v>141</v>
      </c>
      <c r="L46">
        <v>3.1500000000000004</v>
      </c>
      <c r="M46">
        <v>3.1500000000000004</v>
      </c>
      <c r="N46" t="s">
        <v>141</v>
      </c>
    </row>
    <row r="47" spans="1:14" ht="12.75">
      <c r="A47" t="s">
        <v>30</v>
      </c>
      <c r="B47" t="s">
        <v>35</v>
      </c>
      <c r="C47" t="s">
        <v>132</v>
      </c>
      <c r="D47" t="s">
        <v>150</v>
      </c>
      <c r="E47" t="s">
        <v>141</v>
      </c>
      <c r="F47" t="s">
        <v>28</v>
      </c>
      <c r="G47" t="s">
        <v>36</v>
      </c>
      <c r="H47" t="s">
        <v>141</v>
      </c>
      <c r="I47" t="s">
        <v>141</v>
      </c>
      <c r="J47" t="s">
        <v>141</v>
      </c>
      <c r="K47" t="s">
        <v>141</v>
      </c>
      <c r="L47">
        <v>3.0213118743951224</v>
      </c>
      <c r="M47">
        <v>3.0213118743951224</v>
      </c>
      <c r="N47" t="s">
        <v>141</v>
      </c>
    </row>
    <row r="48" spans="1:14" ht="12.75">
      <c r="A48" t="s">
        <v>30</v>
      </c>
      <c r="B48" t="s">
        <v>35</v>
      </c>
      <c r="C48" t="s">
        <v>132</v>
      </c>
      <c r="D48" t="s">
        <v>150</v>
      </c>
      <c r="E48" t="s">
        <v>141</v>
      </c>
      <c r="F48" t="s">
        <v>28</v>
      </c>
      <c r="G48" t="s">
        <v>26</v>
      </c>
      <c r="H48" t="s">
        <v>141</v>
      </c>
      <c r="I48" t="s">
        <v>141</v>
      </c>
      <c r="J48" t="s">
        <v>141</v>
      </c>
      <c r="K48" t="s">
        <v>141</v>
      </c>
      <c r="L48">
        <v>3.2044216849645331</v>
      </c>
      <c r="M48">
        <v>3.2044216849645331</v>
      </c>
      <c r="N48" t="s">
        <v>141</v>
      </c>
    </row>
    <row r="49" spans="1:14" ht="12.75">
      <c r="A49" t="s">
        <v>30</v>
      </c>
      <c r="B49" t="s">
        <v>35</v>
      </c>
      <c r="C49" t="s">
        <v>132</v>
      </c>
      <c r="D49" t="s">
        <v>150</v>
      </c>
      <c r="E49" t="s">
        <v>141</v>
      </c>
      <c r="F49" t="s">
        <v>28</v>
      </c>
      <c r="G49" t="s">
        <v>31</v>
      </c>
      <c r="H49" t="s">
        <v>141</v>
      </c>
      <c r="I49" t="s">
        <v>141</v>
      </c>
      <c r="J49" t="s">
        <v>141</v>
      </c>
      <c r="K49" t="s">
        <v>141</v>
      </c>
      <c r="L49">
        <v>3.6621962113880175</v>
      </c>
      <c r="M49">
        <v>3.6621962113880175</v>
      </c>
      <c r="N49" t="s">
        <v>141</v>
      </c>
    </row>
    <row r="50" spans="1:14" ht="12.75">
      <c r="A50" t="s">
        <v>30</v>
      </c>
      <c r="B50" t="s">
        <v>35</v>
      </c>
      <c r="C50" t="s">
        <v>132</v>
      </c>
      <c r="D50" t="s">
        <v>150</v>
      </c>
      <c r="E50" t="s">
        <v>141</v>
      </c>
      <c r="F50" t="s">
        <v>28</v>
      </c>
      <c r="G50" t="s">
        <v>129</v>
      </c>
      <c r="H50" t="s">
        <v>141</v>
      </c>
      <c r="I50" t="s">
        <v>141</v>
      </c>
      <c r="J50" t="s">
        <v>141</v>
      </c>
      <c r="K50" t="s">
        <v>141</v>
      </c>
      <c r="L50">
        <v>4.1199707378115304</v>
      </c>
      <c r="M50">
        <v>4.1199707378115304</v>
      </c>
      <c r="N50" t="s">
        <v>141</v>
      </c>
    </row>
    <row r="51" spans="1:14" ht="12.75">
      <c r="A51" t="s">
        <v>30</v>
      </c>
      <c r="B51" t="s">
        <v>35</v>
      </c>
      <c r="C51" t="s">
        <v>132</v>
      </c>
      <c r="D51" t="s">
        <v>150</v>
      </c>
      <c r="E51" t="s">
        <v>141</v>
      </c>
      <c r="F51" t="s">
        <v>28</v>
      </c>
      <c r="G51" t="s">
        <v>29</v>
      </c>
      <c r="H51" t="s">
        <v>141</v>
      </c>
      <c r="I51" t="s">
        <v>141</v>
      </c>
      <c r="J51" t="s">
        <v>141</v>
      </c>
      <c r="K51" t="s">
        <v>141</v>
      </c>
      <c r="L51">
        <v>4.1199707378115304</v>
      </c>
      <c r="M51">
        <v>4.1199707378115304</v>
      </c>
      <c r="N51" t="s">
        <v>141</v>
      </c>
    </row>
    <row r="52" spans="1:14" ht="12.75">
      <c r="A52" t="s">
        <v>30</v>
      </c>
      <c r="B52" t="s">
        <v>35</v>
      </c>
      <c r="C52" t="s">
        <v>132</v>
      </c>
      <c r="D52" t="s">
        <v>124</v>
      </c>
      <c r="E52" t="s">
        <v>141</v>
      </c>
      <c r="F52" t="s">
        <v>28</v>
      </c>
      <c r="G52" t="s">
        <v>36</v>
      </c>
      <c r="H52" t="s">
        <v>141</v>
      </c>
      <c r="I52" t="s">
        <v>141</v>
      </c>
      <c r="J52" t="s">
        <v>141</v>
      </c>
      <c r="K52" t="s">
        <v>141</v>
      </c>
      <c r="L52">
        <v>2.3100000000000005</v>
      </c>
      <c r="M52">
        <v>2.3100000000000005</v>
      </c>
      <c r="N52" t="s">
        <v>141</v>
      </c>
    </row>
    <row r="53" spans="1:14" ht="12.75">
      <c r="A53" t="s">
        <v>30</v>
      </c>
      <c r="B53" t="s">
        <v>35</v>
      </c>
      <c r="C53" t="s">
        <v>132</v>
      </c>
      <c r="D53" t="s">
        <v>124</v>
      </c>
      <c r="E53" t="s">
        <v>141</v>
      </c>
      <c r="F53" t="s">
        <v>28</v>
      </c>
      <c r="G53" t="s">
        <v>26</v>
      </c>
      <c r="H53" t="s">
        <v>141</v>
      </c>
      <c r="I53" t="s">
        <v>141</v>
      </c>
      <c r="J53" t="s">
        <v>141</v>
      </c>
      <c r="K53" t="s">
        <v>141</v>
      </c>
      <c r="L53">
        <v>2.4500000000000073</v>
      </c>
      <c r="M53">
        <v>2.4500000000000073</v>
      </c>
      <c r="N53" t="s">
        <v>141</v>
      </c>
    </row>
    <row r="54" spans="1:14" ht="12.75">
      <c r="A54" t="s">
        <v>30</v>
      </c>
      <c r="B54" t="s">
        <v>35</v>
      </c>
      <c r="C54" t="s">
        <v>132</v>
      </c>
      <c r="D54" t="s">
        <v>124</v>
      </c>
      <c r="E54" t="s">
        <v>141</v>
      </c>
      <c r="F54" t="s">
        <v>28</v>
      </c>
      <c r="G54" t="s">
        <v>31</v>
      </c>
      <c r="H54" t="s">
        <v>141</v>
      </c>
      <c r="I54" t="s">
        <v>141</v>
      </c>
      <c r="J54" t="s">
        <v>141</v>
      </c>
      <c r="K54" t="s">
        <v>141</v>
      </c>
      <c r="L54">
        <v>2.7999999999999932</v>
      </c>
      <c r="M54">
        <v>2.7999999999999932</v>
      </c>
      <c r="N54" t="s">
        <v>141</v>
      </c>
    </row>
    <row r="55" spans="1:14" ht="12.75">
      <c r="A55" t="s">
        <v>30</v>
      </c>
      <c r="B55" t="s">
        <v>35</v>
      </c>
      <c r="C55" t="s">
        <v>132</v>
      </c>
      <c r="D55" t="s">
        <v>124</v>
      </c>
      <c r="E55" t="s">
        <v>141</v>
      </c>
      <c r="F55" t="s">
        <v>28</v>
      </c>
      <c r="G55" t="s">
        <v>129</v>
      </c>
      <c r="H55" t="s">
        <v>141</v>
      </c>
      <c r="I55" t="s">
        <v>141</v>
      </c>
      <c r="J55" t="s">
        <v>141</v>
      </c>
      <c r="K55" t="s">
        <v>141</v>
      </c>
      <c r="L55">
        <v>3.1500000000000004</v>
      </c>
      <c r="M55">
        <v>3.1500000000000004</v>
      </c>
      <c r="N55" t="s">
        <v>141</v>
      </c>
    </row>
    <row r="56" spans="1:14" ht="12.75">
      <c r="A56" t="s">
        <v>30</v>
      </c>
      <c r="B56" t="s">
        <v>35</v>
      </c>
      <c r="C56" t="s">
        <v>132</v>
      </c>
      <c r="D56" t="s">
        <v>124</v>
      </c>
      <c r="E56" t="s">
        <v>141</v>
      </c>
      <c r="F56" t="s">
        <v>28</v>
      </c>
      <c r="G56" t="s">
        <v>29</v>
      </c>
      <c r="H56" t="s">
        <v>141</v>
      </c>
      <c r="I56" t="s">
        <v>141</v>
      </c>
      <c r="J56" t="s">
        <v>141</v>
      </c>
      <c r="K56" t="s">
        <v>141</v>
      </c>
      <c r="L56">
        <v>3.1500000000000004</v>
      </c>
      <c r="M56">
        <v>3.1500000000000004</v>
      </c>
      <c r="N56" t="s">
        <v>141</v>
      </c>
    </row>
    <row r="57" spans="1:14" ht="12.75">
      <c r="A57" t="s">
        <v>30</v>
      </c>
      <c r="B57" t="s">
        <v>35</v>
      </c>
      <c r="C57" t="s">
        <v>133</v>
      </c>
      <c r="D57" t="s">
        <v>150</v>
      </c>
      <c r="E57" t="s">
        <v>141</v>
      </c>
      <c r="F57" t="s">
        <v>28</v>
      </c>
      <c r="G57" t="s">
        <v>36</v>
      </c>
      <c r="H57" t="s">
        <v>141</v>
      </c>
      <c r="I57" t="s">
        <v>141</v>
      </c>
      <c r="J57" t="s">
        <v>141</v>
      </c>
      <c r="K57" t="s">
        <v>141</v>
      </c>
      <c r="L57">
        <v>2.7466471585410202</v>
      </c>
      <c r="M57">
        <v>2.7466471585410202</v>
      </c>
      <c r="N57" t="s">
        <v>141</v>
      </c>
    </row>
    <row r="58" spans="1:14" ht="12.75">
      <c r="A58" t="s">
        <v>30</v>
      </c>
      <c r="B58" t="s">
        <v>35</v>
      </c>
      <c r="C58" t="s">
        <v>133</v>
      </c>
      <c r="D58" t="s">
        <v>150</v>
      </c>
      <c r="E58" t="s">
        <v>141</v>
      </c>
      <c r="F58" t="s">
        <v>28</v>
      </c>
      <c r="G58" t="s">
        <v>26</v>
      </c>
      <c r="H58" t="s">
        <v>141</v>
      </c>
      <c r="I58" t="s">
        <v>141</v>
      </c>
      <c r="J58" t="s">
        <v>141</v>
      </c>
      <c r="K58" t="s">
        <v>141</v>
      </c>
      <c r="L58">
        <v>2.8382020638257122</v>
      </c>
      <c r="M58">
        <v>2.8382020638257122</v>
      </c>
      <c r="N58" t="s">
        <v>141</v>
      </c>
    </row>
    <row r="59" spans="1:14" ht="12.75">
      <c r="A59" t="s">
        <v>30</v>
      </c>
      <c r="B59" t="s">
        <v>35</v>
      </c>
      <c r="C59" t="s">
        <v>133</v>
      </c>
      <c r="D59" t="s">
        <v>150</v>
      </c>
      <c r="E59" t="s">
        <v>141</v>
      </c>
      <c r="F59" t="s">
        <v>28</v>
      </c>
      <c r="G59" t="s">
        <v>31</v>
      </c>
      <c r="H59" t="s">
        <v>141</v>
      </c>
      <c r="I59" t="s">
        <v>141</v>
      </c>
      <c r="J59" t="s">
        <v>141</v>
      </c>
      <c r="K59" t="s">
        <v>141</v>
      </c>
      <c r="L59">
        <v>3.1128667796798135</v>
      </c>
      <c r="M59">
        <v>3.1128667796798135</v>
      </c>
      <c r="N59" t="s">
        <v>141</v>
      </c>
    </row>
    <row r="60" spans="1:14" ht="12.75">
      <c r="A60" t="s">
        <v>30</v>
      </c>
      <c r="B60" t="s">
        <v>35</v>
      </c>
      <c r="C60" t="s">
        <v>133</v>
      </c>
      <c r="D60" t="s">
        <v>150</v>
      </c>
      <c r="E60" t="s">
        <v>141</v>
      </c>
      <c r="F60" t="s">
        <v>28</v>
      </c>
      <c r="G60" t="s">
        <v>129</v>
      </c>
      <c r="H60" t="s">
        <v>141</v>
      </c>
      <c r="I60" t="s">
        <v>141</v>
      </c>
      <c r="J60" t="s">
        <v>141</v>
      </c>
      <c r="K60" t="s">
        <v>141</v>
      </c>
      <c r="L60">
        <v>3.2044216849645331</v>
      </c>
      <c r="M60">
        <v>3.2044216849645331</v>
      </c>
      <c r="N60" t="s">
        <v>141</v>
      </c>
    </row>
    <row r="61" spans="1:14" ht="12.75">
      <c r="A61" t="s">
        <v>30</v>
      </c>
      <c r="B61" t="s">
        <v>35</v>
      </c>
      <c r="C61" t="s">
        <v>133</v>
      </c>
      <c r="D61" t="s">
        <v>150</v>
      </c>
      <c r="E61" t="s">
        <v>141</v>
      </c>
      <c r="F61" t="s">
        <v>28</v>
      </c>
      <c r="G61" t="s">
        <v>29</v>
      </c>
      <c r="H61" t="s">
        <v>141</v>
      </c>
      <c r="I61" t="s">
        <v>141</v>
      </c>
      <c r="J61" t="s">
        <v>141</v>
      </c>
      <c r="K61" t="s">
        <v>141</v>
      </c>
      <c r="L61">
        <v>3.2044216849645331</v>
      </c>
      <c r="M61">
        <v>3.2044216849645331</v>
      </c>
      <c r="N61" t="s">
        <v>141</v>
      </c>
    </row>
    <row r="62" spans="1:14" ht="12.75">
      <c r="A62" t="s">
        <v>30</v>
      </c>
      <c r="B62" t="s">
        <v>35</v>
      </c>
      <c r="C62" t="s">
        <v>133</v>
      </c>
      <c r="D62" t="s">
        <v>124</v>
      </c>
      <c r="E62" t="s">
        <v>141</v>
      </c>
      <c r="F62" t="s">
        <v>28</v>
      </c>
      <c r="G62" t="s">
        <v>36</v>
      </c>
      <c r="H62" t="s">
        <v>141</v>
      </c>
      <c r="I62" t="s">
        <v>141</v>
      </c>
      <c r="J62" t="s">
        <v>141</v>
      </c>
      <c r="K62" t="s">
        <v>141</v>
      </c>
      <c r="L62">
        <v>2.1000000000000001</v>
      </c>
      <c r="M62">
        <v>2.1000000000000001</v>
      </c>
      <c r="N62" t="s">
        <v>141</v>
      </c>
    </row>
    <row r="63" spans="1:14" ht="12.75">
      <c r="A63" t="s">
        <v>30</v>
      </c>
      <c r="B63" t="s">
        <v>35</v>
      </c>
      <c r="C63" t="s">
        <v>133</v>
      </c>
      <c r="D63" t="s">
        <v>124</v>
      </c>
      <c r="E63" t="s">
        <v>141</v>
      </c>
      <c r="F63" t="s">
        <v>28</v>
      </c>
      <c r="G63" t="s">
        <v>26</v>
      </c>
      <c r="H63" t="s">
        <v>141</v>
      </c>
      <c r="I63" t="s">
        <v>141</v>
      </c>
      <c r="J63" t="s">
        <v>141</v>
      </c>
      <c r="K63" t="s">
        <v>141</v>
      </c>
      <c r="L63">
        <v>2.1699999999999933</v>
      </c>
      <c r="M63">
        <v>2.1699999999999933</v>
      </c>
      <c r="N63" t="s">
        <v>141</v>
      </c>
    </row>
    <row r="64" spans="1:14" ht="12.75">
      <c r="A64" t="s">
        <v>30</v>
      </c>
      <c r="B64" t="s">
        <v>35</v>
      </c>
      <c r="C64" t="s">
        <v>133</v>
      </c>
      <c r="D64" t="s">
        <v>124</v>
      </c>
      <c r="E64" t="s">
        <v>141</v>
      </c>
      <c r="F64" t="s">
        <v>28</v>
      </c>
      <c r="G64" t="s">
        <v>31</v>
      </c>
      <c r="H64" t="s">
        <v>141</v>
      </c>
      <c r="I64" t="s">
        <v>141</v>
      </c>
      <c r="J64" t="s">
        <v>141</v>
      </c>
      <c r="K64" t="s">
        <v>141</v>
      </c>
      <c r="L64">
        <v>2.3799999999999932</v>
      </c>
      <c r="M64">
        <v>2.3799999999999932</v>
      </c>
      <c r="N64" t="s">
        <v>141</v>
      </c>
    </row>
    <row r="65" spans="1:14" ht="12.75">
      <c r="A65" t="s">
        <v>30</v>
      </c>
      <c r="B65" t="s">
        <v>35</v>
      </c>
      <c r="C65" t="s">
        <v>133</v>
      </c>
      <c r="D65" t="s">
        <v>124</v>
      </c>
      <c r="E65" t="s">
        <v>141</v>
      </c>
      <c r="F65" t="s">
        <v>28</v>
      </c>
      <c r="G65" t="s">
        <v>129</v>
      </c>
      <c r="H65" t="s">
        <v>141</v>
      </c>
      <c r="I65" t="s">
        <v>141</v>
      </c>
      <c r="J65" t="s">
        <v>141</v>
      </c>
      <c r="K65" t="s">
        <v>141</v>
      </c>
      <c r="L65">
        <v>2.4500000000000073</v>
      </c>
      <c r="M65">
        <v>2.4500000000000073</v>
      </c>
      <c r="N65" t="s">
        <v>141</v>
      </c>
    </row>
    <row r="66" spans="1:14" ht="12.75">
      <c r="A66" t="s">
        <v>30</v>
      </c>
      <c r="B66" t="s">
        <v>35</v>
      </c>
      <c r="C66" t="s">
        <v>133</v>
      </c>
      <c r="D66" t="s">
        <v>124</v>
      </c>
      <c r="E66" t="s">
        <v>141</v>
      </c>
      <c r="F66" t="s">
        <v>28</v>
      </c>
      <c r="G66" t="s">
        <v>29</v>
      </c>
      <c r="H66" t="s">
        <v>141</v>
      </c>
      <c r="I66" t="s">
        <v>141</v>
      </c>
      <c r="J66" t="s">
        <v>141</v>
      </c>
      <c r="K66" t="s">
        <v>141</v>
      </c>
      <c r="L66">
        <v>2.4500000000000073</v>
      </c>
      <c r="M66">
        <v>2.4500000000000073</v>
      </c>
      <c r="N66" t="s">
        <v>141</v>
      </c>
    </row>
    <row r="67" spans="1:14" ht="12.75">
      <c r="A67" t="s">
        <v>30</v>
      </c>
      <c r="B67" t="s">
        <v>35</v>
      </c>
      <c r="C67" t="s">
        <v>147</v>
      </c>
      <c r="D67" t="s">
        <v>124</v>
      </c>
      <c r="E67" t="s">
        <v>141</v>
      </c>
      <c r="F67" t="s">
        <v>28</v>
      </c>
      <c r="G67" t="s">
        <v>36</v>
      </c>
      <c r="H67" t="s">
        <v>141</v>
      </c>
      <c r="I67" t="s">
        <v>141</v>
      </c>
      <c r="J67" t="s">
        <v>141</v>
      </c>
      <c r="K67" t="s">
        <v>141</v>
      </c>
      <c r="L67">
        <v>1.0230831673189618</v>
      </c>
      <c r="M67">
        <v>1.0230831673189618</v>
      </c>
      <c r="N67" t="s">
        <v>141</v>
      </c>
    </row>
    <row r="68" spans="1:14" ht="12.75">
      <c r="A68" t="s">
        <v>30</v>
      </c>
      <c r="B68" t="s">
        <v>35</v>
      </c>
      <c r="C68" t="s">
        <v>147</v>
      </c>
      <c r="D68" t="s">
        <v>124</v>
      </c>
      <c r="E68" t="s">
        <v>141</v>
      </c>
      <c r="F68" t="s">
        <v>28</v>
      </c>
      <c r="G68" t="s">
        <v>26</v>
      </c>
      <c r="H68" t="s">
        <v>141</v>
      </c>
      <c r="I68" t="s">
        <v>141</v>
      </c>
      <c r="J68" t="s">
        <v>141</v>
      </c>
      <c r="K68" t="s">
        <v>141</v>
      </c>
      <c r="L68">
        <v>1.098867105638881</v>
      </c>
      <c r="M68">
        <v>1.098867105638881</v>
      </c>
      <c r="N68" t="s">
        <v>141</v>
      </c>
    </row>
    <row r="69" spans="1:14" ht="12.75">
      <c r="A69" t="s">
        <v>30</v>
      </c>
      <c r="B69" t="s">
        <v>35</v>
      </c>
      <c r="C69" t="s">
        <v>147</v>
      </c>
      <c r="D69" t="s">
        <v>124</v>
      </c>
      <c r="E69" t="s">
        <v>141</v>
      </c>
      <c r="F69" t="s">
        <v>28</v>
      </c>
      <c r="G69" t="s">
        <v>31</v>
      </c>
      <c r="H69" t="s">
        <v>141</v>
      </c>
      <c r="I69" t="s">
        <v>141</v>
      </c>
      <c r="J69" t="s">
        <v>141</v>
      </c>
      <c r="K69" t="s">
        <v>141</v>
      </c>
      <c r="L69">
        <v>1.288326951438691</v>
      </c>
      <c r="M69">
        <v>1.288326951438691</v>
      </c>
      <c r="N69" t="s">
        <v>141</v>
      </c>
    </row>
    <row r="70" spans="1:14" ht="12.75">
      <c r="A70" t="s">
        <v>30</v>
      </c>
      <c r="B70" t="s">
        <v>35</v>
      </c>
      <c r="C70" t="s">
        <v>147</v>
      </c>
      <c r="D70" t="s">
        <v>124</v>
      </c>
      <c r="E70" t="s">
        <v>141</v>
      </c>
      <c r="F70" t="s">
        <v>28</v>
      </c>
      <c r="G70" t="s">
        <v>129</v>
      </c>
      <c r="H70" t="s">
        <v>141</v>
      </c>
      <c r="I70" t="s">
        <v>141</v>
      </c>
      <c r="J70" t="s">
        <v>141</v>
      </c>
      <c r="K70" t="s">
        <v>141</v>
      </c>
      <c r="L70">
        <v>1.288326951438691</v>
      </c>
      <c r="M70">
        <v>1.288326951438691</v>
      </c>
      <c r="N70" t="s">
        <v>141</v>
      </c>
    </row>
    <row r="71" spans="1:14" ht="12.75">
      <c r="A71" t="s">
        <v>30</v>
      </c>
      <c r="B71" t="s">
        <v>35</v>
      </c>
      <c r="C71" t="s">
        <v>147</v>
      </c>
      <c r="D71" t="s">
        <v>124</v>
      </c>
      <c r="E71" t="s">
        <v>141</v>
      </c>
      <c r="F71" t="s">
        <v>28</v>
      </c>
      <c r="G71" t="s">
        <v>29</v>
      </c>
      <c r="H71" t="s">
        <v>141</v>
      </c>
      <c r="I71" t="s">
        <v>141</v>
      </c>
      <c r="J71" t="s">
        <v>141</v>
      </c>
      <c r="K71" t="s">
        <v>141</v>
      </c>
      <c r="L71">
        <v>1.288326951438691</v>
      </c>
      <c r="M71">
        <v>1.288326951438691</v>
      </c>
      <c r="N71" t="s">
        <v>141</v>
      </c>
    </row>
    <row r="72" spans="1:14" ht="12.75">
      <c r="A72" t="s">
        <v>30</v>
      </c>
      <c r="B72" t="s">
        <v>35</v>
      </c>
      <c r="C72" t="s">
        <v>147</v>
      </c>
      <c r="D72" t="s">
        <v>126</v>
      </c>
      <c r="E72" t="s">
        <v>141</v>
      </c>
      <c r="F72" t="s">
        <v>28</v>
      </c>
      <c r="G72" t="s">
        <v>36</v>
      </c>
      <c r="H72" t="s">
        <v>141</v>
      </c>
      <c r="I72" t="s">
        <v>141</v>
      </c>
      <c r="J72" t="s">
        <v>141</v>
      </c>
      <c r="K72" t="s">
        <v>141</v>
      </c>
      <c r="L72">
        <v>0.58390584482113206</v>
      </c>
      <c r="M72">
        <v>0.58390584482113206</v>
      </c>
      <c r="N72" t="s">
        <v>141</v>
      </c>
    </row>
    <row r="73" spans="1:14" ht="12.75">
      <c r="A73" t="s">
        <v>30</v>
      </c>
      <c r="B73" t="s">
        <v>35</v>
      </c>
      <c r="C73" t="s">
        <v>147</v>
      </c>
      <c r="D73" t="s">
        <v>126</v>
      </c>
      <c r="E73" t="s">
        <v>141</v>
      </c>
      <c r="F73" t="s">
        <v>28</v>
      </c>
      <c r="G73" t="s">
        <v>26</v>
      </c>
      <c r="H73" t="s">
        <v>141</v>
      </c>
      <c r="I73" t="s">
        <v>141</v>
      </c>
      <c r="J73" t="s">
        <v>141</v>
      </c>
      <c r="K73" t="s">
        <v>141</v>
      </c>
      <c r="L73">
        <v>0.62715812962269724</v>
      </c>
      <c r="M73">
        <v>0.62715812962269724</v>
      </c>
      <c r="N73" t="s">
        <v>141</v>
      </c>
    </row>
    <row r="74" spans="1:14" ht="12.75">
      <c r="A74" t="s">
        <v>30</v>
      </c>
      <c r="B74" t="s">
        <v>35</v>
      </c>
      <c r="C74" t="s">
        <v>147</v>
      </c>
      <c r="D74" t="s">
        <v>126</v>
      </c>
      <c r="E74" t="s">
        <v>141</v>
      </c>
      <c r="F74" t="s">
        <v>28</v>
      </c>
      <c r="G74" t="s">
        <v>31</v>
      </c>
      <c r="H74" t="s">
        <v>141</v>
      </c>
      <c r="I74" t="s">
        <v>141</v>
      </c>
      <c r="J74" t="s">
        <v>141</v>
      </c>
      <c r="K74" t="s">
        <v>141</v>
      </c>
      <c r="L74">
        <v>0.73528884162661301</v>
      </c>
      <c r="M74">
        <v>0.73528884162661301</v>
      </c>
      <c r="N74" t="s">
        <v>141</v>
      </c>
    </row>
    <row r="75" spans="1:14" ht="12.75">
      <c r="A75" t="s">
        <v>30</v>
      </c>
      <c r="B75" t="s">
        <v>35</v>
      </c>
      <c r="C75" t="s">
        <v>147</v>
      </c>
      <c r="D75" t="s">
        <v>126</v>
      </c>
      <c r="E75" t="s">
        <v>141</v>
      </c>
      <c r="F75" t="s">
        <v>28</v>
      </c>
      <c r="G75" t="s">
        <v>129</v>
      </c>
      <c r="H75" t="s">
        <v>141</v>
      </c>
      <c r="I75" t="s">
        <v>141</v>
      </c>
      <c r="J75" t="s">
        <v>141</v>
      </c>
      <c r="K75" t="s">
        <v>141</v>
      </c>
      <c r="L75">
        <v>0.73528884162661301</v>
      </c>
      <c r="M75">
        <v>0.73528884162661301</v>
      </c>
      <c r="N75" t="s">
        <v>141</v>
      </c>
    </row>
    <row r="76" spans="1:14" ht="12.75">
      <c r="A76" t="s">
        <v>30</v>
      </c>
      <c r="B76" t="s">
        <v>35</v>
      </c>
      <c r="C76" t="s">
        <v>147</v>
      </c>
      <c r="D76" t="s">
        <v>126</v>
      </c>
      <c r="E76" t="s">
        <v>141</v>
      </c>
      <c r="F76" t="s">
        <v>28</v>
      </c>
      <c r="G76" t="s">
        <v>29</v>
      </c>
      <c r="H76" t="s">
        <v>141</v>
      </c>
      <c r="I76" t="s">
        <v>141</v>
      </c>
      <c r="J76" t="s">
        <v>141</v>
      </c>
      <c r="K76" t="s">
        <v>141</v>
      </c>
      <c r="L76">
        <v>0.73528884162661301</v>
      </c>
      <c r="M76">
        <v>0.73528884162661301</v>
      </c>
      <c r="N76" t="s">
        <v>141</v>
      </c>
    </row>
    <row r="77" spans="1:14" ht="12.75">
      <c r="A77" t="s">
        <v>30</v>
      </c>
      <c r="B77" t="s">
        <v>35</v>
      </c>
      <c r="C77" t="s">
        <v>134</v>
      </c>
      <c r="D77" t="s">
        <v>124</v>
      </c>
      <c r="E77" t="s">
        <v>141</v>
      </c>
      <c r="F77" t="s">
        <v>28</v>
      </c>
      <c r="G77" t="s">
        <v>36</v>
      </c>
      <c r="H77" t="s">
        <v>141</v>
      </c>
      <c r="I77" t="s">
        <v>141</v>
      </c>
      <c r="J77" t="s">
        <v>141</v>
      </c>
      <c r="K77" t="s">
        <v>141</v>
      </c>
      <c r="L77">
        <v>1.1367590747988445</v>
      </c>
      <c r="M77">
        <v>1.1367590747988445</v>
      </c>
      <c r="N77" t="s">
        <v>141</v>
      </c>
    </row>
    <row r="78" spans="1:14" ht="12.75">
      <c r="A78" t="s">
        <v>30</v>
      </c>
      <c r="B78" t="s">
        <v>35</v>
      </c>
      <c r="C78" t="s">
        <v>134</v>
      </c>
      <c r="D78" t="s">
        <v>124</v>
      </c>
      <c r="E78" t="s">
        <v>141</v>
      </c>
      <c r="F78" t="s">
        <v>28</v>
      </c>
      <c r="G78" t="s">
        <v>26</v>
      </c>
      <c r="H78" t="s">
        <v>141</v>
      </c>
      <c r="I78" t="s">
        <v>141</v>
      </c>
      <c r="J78" t="s">
        <v>141</v>
      </c>
      <c r="K78" t="s">
        <v>141</v>
      </c>
      <c r="L78">
        <v>1.1746510439588003</v>
      </c>
      <c r="M78">
        <v>1.1746510439588003</v>
      </c>
      <c r="N78" t="s">
        <v>141</v>
      </c>
    </row>
    <row r="79" spans="1:14" ht="12.75">
      <c r="A79" t="s">
        <v>30</v>
      </c>
      <c r="B79" t="s">
        <v>35</v>
      </c>
      <c r="C79" t="s">
        <v>134</v>
      </c>
      <c r="D79" t="s">
        <v>124</v>
      </c>
      <c r="E79" t="s">
        <v>141</v>
      </c>
      <c r="F79" t="s">
        <v>28</v>
      </c>
      <c r="G79" t="s">
        <v>31</v>
      </c>
      <c r="H79" t="s">
        <v>141</v>
      </c>
      <c r="I79" t="s">
        <v>141</v>
      </c>
      <c r="J79" t="s">
        <v>141</v>
      </c>
      <c r="K79" t="s">
        <v>141</v>
      </c>
      <c r="L79">
        <v>1.1746510439588003</v>
      </c>
      <c r="M79">
        <v>1.1746510439588003</v>
      </c>
      <c r="N79" t="s">
        <v>141</v>
      </c>
    </row>
    <row r="80" spans="1:14" ht="12.75">
      <c r="A80" t="s">
        <v>30</v>
      </c>
      <c r="B80" t="s">
        <v>35</v>
      </c>
      <c r="C80" t="s">
        <v>134</v>
      </c>
      <c r="D80" t="s">
        <v>124</v>
      </c>
      <c r="E80" t="s">
        <v>141</v>
      </c>
      <c r="F80" t="s">
        <v>28</v>
      </c>
      <c r="G80" t="s">
        <v>129</v>
      </c>
      <c r="H80" t="s">
        <v>141</v>
      </c>
      <c r="I80" t="s">
        <v>141</v>
      </c>
      <c r="J80" t="s">
        <v>141</v>
      </c>
      <c r="K80" t="s">
        <v>141</v>
      </c>
      <c r="L80">
        <v>1.2125430131187638</v>
      </c>
      <c r="M80">
        <v>1.2125430131187638</v>
      </c>
      <c r="N80" t="s">
        <v>141</v>
      </c>
    </row>
    <row r="81" spans="1:14" ht="12.75">
      <c r="A81" t="s">
        <v>30</v>
      </c>
      <c r="B81" t="s">
        <v>35</v>
      </c>
      <c r="C81" t="s">
        <v>134</v>
      </c>
      <c r="D81" t="s">
        <v>124</v>
      </c>
      <c r="E81" t="s">
        <v>141</v>
      </c>
      <c r="F81" t="s">
        <v>28</v>
      </c>
      <c r="G81" t="s">
        <v>29</v>
      </c>
      <c r="H81" t="s">
        <v>141</v>
      </c>
      <c r="I81" t="s">
        <v>141</v>
      </c>
      <c r="J81" t="s">
        <v>141</v>
      </c>
      <c r="K81" t="s">
        <v>141</v>
      </c>
      <c r="L81">
        <v>1.2125430131187638</v>
      </c>
      <c r="M81">
        <v>1.2125430131187638</v>
      </c>
      <c r="N81" t="s">
        <v>141</v>
      </c>
    </row>
    <row r="82" spans="1:14" ht="12.75">
      <c r="A82" t="s">
        <v>30</v>
      </c>
      <c r="B82" t="s">
        <v>35</v>
      </c>
      <c r="C82" t="s">
        <v>134</v>
      </c>
      <c r="D82" t="s">
        <v>126</v>
      </c>
      <c r="E82" t="s">
        <v>141</v>
      </c>
      <c r="F82" t="s">
        <v>28</v>
      </c>
      <c r="G82" t="s">
        <v>36</v>
      </c>
      <c r="H82" t="s">
        <v>141</v>
      </c>
      <c r="I82" t="s">
        <v>141</v>
      </c>
      <c r="J82" t="s">
        <v>141</v>
      </c>
      <c r="K82" t="s">
        <v>141</v>
      </c>
      <c r="L82">
        <v>0.64878427202347866</v>
      </c>
      <c r="M82">
        <v>0.64878427202347866</v>
      </c>
      <c r="N82" t="s">
        <v>141</v>
      </c>
    </row>
    <row r="83" spans="1:14" ht="12.75">
      <c r="A83" t="s">
        <v>30</v>
      </c>
      <c r="B83" t="s">
        <v>35</v>
      </c>
      <c r="C83" t="s">
        <v>134</v>
      </c>
      <c r="D83" t="s">
        <v>126</v>
      </c>
      <c r="E83" t="s">
        <v>141</v>
      </c>
      <c r="F83" t="s">
        <v>28</v>
      </c>
      <c r="G83" t="s">
        <v>26</v>
      </c>
      <c r="H83" t="s">
        <v>141</v>
      </c>
      <c r="I83" t="s">
        <v>141</v>
      </c>
      <c r="J83" t="s">
        <v>141</v>
      </c>
      <c r="K83" t="s">
        <v>141</v>
      </c>
      <c r="L83">
        <v>0.67041041442426386</v>
      </c>
      <c r="M83">
        <v>0.67041041442426386</v>
      </c>
      <c r="N83" t="s">
        <v>141</v>
      </c>
    </row>
    <row r="84" spans="1:14" ht="12.75">
      <c r="A84" t="s">
        <v>30</v>
      </c>
      <c r="B84" t="s">
        <v>35</v>
      </c>
      <c r="C84" t="s">
        <v>134</v>
      </c>
      <c r="D84" t="s">
        <v>126</v>
      </c>
      <c r="E84" t="s">
        <v>141</v>
      </c>
      <c r="F84" t="s">
        <v>28</v>
      </c>
      <c r="G84" t="s">
        <v>31</v>
      </c>
      <c r="H84" t="s">
        <v>141</v>
      </c>
      <c r="I84" t="s">
        <v>141</v>
      </c>
      <c r="J84" t="s">
        <v>141</v>
      </c>
      <c r="K84" t="s">
        <v>141</v>
      </c>
      <c r="L84">
        <v>0.67041041442426386</v>
      </c>
      <c r="M84">
        <v>0.67041041442426386</v>
      </c>
      <c r="N84" t="s">
        <v>141</v>
      </c>
    </row>
    <row r="85" spans="1:14" ht="12.75">
      <c r="A85" t="s">
        <v>30</v>
      </c>
      <c r="B85" t="s">
        <v>35</v>
      </c>
      <c r="C85" t="s">
        <v>134</v>
      </c>
      <c r="D85" t="s">
        <v>126</v>
      </c>
      <c r="E85" t="s">
        <v>141</v>
      </c>
      <c r="F85" t="s">
        <v>28</v>
      </c>
      <c r="G85" t="s">
        <v>129</v>
      </c>
      <c r="H85" t="s">
        <v>141</v>
      </c>
      <c r="I85" t="s">
        <v>141</v>
      </c>
      <c r="J85" t="s">
        <v>141</v>
      </c>
      <c r="K85" t="s">
        <v>141</v>
      </c>
      <c r="L85">
        <v>0.69203655682504261</v>
      </c>
      <c r="M85">
        <v>0.69203655682504261</v>
      </c>
      <c r="N85" t="s">
        <v>141</v>
      </c>
    </row>
    <row r="86" spans="1:14" ht="12.75">
      <c r="A86" t="s">
        <v>30</v>
      </c>
      <c r="B86" t="s">
        <v>35</v>
      </c>
      <c r="C86" t="s">
        <v>134</v>
      </c>
      <c r="D86" t="s">
        <v>126</v>
      </c>
      <c r="E86" t="s">
        <v>141</v>
      </c>
      <c r="F86" t="s">
        <v>28</v>
      </c>
      <c r="G86" t="s">
        <v>29</v>
      </c>
      <c r="H86" t="s">
        <v>141</v>
      </c>
      <c r="I86" t="s">
        <v>141</v>
      </c>
      <c r="J86" t="s">
        <v>141</v>
      </c>
      <c r="K86" t="s">
        <v>141</v>
      </c>
      <c r="L86">
        <v>0.69203655682504261</v>
      </c>
      <c r="M86">
        <v>0.69203655682504261</v>
      </c>
      <c r="N86" t="s">
        <v>141</v>
      </c>
    </row>
    <row r="87" spans="1:14" ht="12.75">
      <c r="A87" t="s">
        <v>30</v>
      </c>
      <c r="B87" t="s">
        <v>35</v>
      </c>
      <c r="C87" t="s">
        <v>135</v>
      </c>
      <c r="D87" t="s">
        <v>136</v>
      </c>
      <c r="E87" t="s">
        <v>141</v>
      </c>
      <c r="F87" t="s">
        <v>28</v>
      </c>
      <c r="G87" t="s">
        <v>36</v>
      </c>
      <c r="H87" t="s">
        <v>141</v>
      </c>
      <c r="I87" t="s">
        <v>141</v>
      </c>
      <c r="J87" t="s">
        <v>141</v>
      </c>
      <c r="K87" t="s">
        <v>141</v>
      </c>
      <c r="L87">
        <v>2.1000000000000001</v>
      </c>
      <c r="M87">
        <v>2.1000000000000001</v>
      </c>
      <c r="N87" t="s">
        <v>141</v>
      </c>
    </row>
    <row r="88" spans="1:14" ht="12.75">
      <c r="A88" t="s">
        <v>30</v>
      </c>
      <c r="B88" t="s">
        <v>35</v>
      </c>
      <c r="C88" t="s">
        <v>135</v>
      </c>
      <c r="D88" t="s">
        <v>136</v>
      </c>
      <c r="E88" t="s">
        <v>141</v>
      </c>
      <c r="F88" t="s">
        <v>28</v>
      </c>
      <c r="G88" t="s">
        <v>26</v>
      </c>
      <c r="H88" t="s">
        <v>141</v>
      </c>
      <c r="I88" t="s">
        <v>141</v>
      </c>
      <c r="J88" t="s">
        <v>141</v>
      </c>
      <c r="K88" t="s">
        <v>141</v>
      </c>
      <c r="L88">
        <v>2.2400000000000069</v>
      </c>
      <c r="M88">
        <v>2.2400000000000069</v>
      </c>
      <c r="N88" t="s">
        <v>141</v>
      </c>
    </row>
    <row r="89" spans="1:14" ht="12.75">
      <c r="A89" t="s">
        <v>30</v>
      </c>
      <c r="B89" t="s">
        <v>35</v>
      </c>
      <c r="C89" t="s">
        <v>135</v>
      </c>
      <c r="D89" t="s">
        <v>136</v>
      </c>
      <c r="E89" t="s">
        <v>141</v>
      </c>
      <c r="F89" t="s">
        <v>28</v>
      </c>
      <c r="G89" t="s">
        <v>31</v>
      </c>
      <c r="H89" t="s">
        <v>141</v>
      </c>
      <c r="I89" t="s">
        <v>141</v>
      </c>
      <c r="J89" t="s">
        <v>141</v>
      </c>
      <c r="K89" t="s">
        <v>141</v>
      </c>
      <c r="L89">
        <v>2.5899999999999932</v>
      </c>
      <c r="M89">
        <v>2.5899999999999932</v>
      </c>
      <c r="N89" t="s">
        <v>141</v>
      </c>
    </row>
    <row r="90" spans="1:14" ht="12.75">
      <c r="A90" t="s">
        <v>30</v>
      </c>
      <c r="B90" t="s">
        <v>35</v>
      </c>
      <c r="C90" t="s">
        <v>135</v>
      </c>
      <c r="D90" t="s">
        <v>136</v>
      </c>
      <c r="E90" t="s">
        <v>141</v>
      </c>
      <c r="F90" t="s">
        <v>28</v>
      </c>
      <c r="G90" t="s">
        <v>129</v>
      </c>
      <c r="H90" t="s">
        <v>141</v>
      </c>
      <c r="I90" t="s">
        <v>141</v>
      </c>
      <c r="J90" t="s">
        <v>141</v>
      </c>
      <c r="K90" t="s">
        <v>141</v>
      </c>
      <c r="L90">
        <v>2.7999999999999932</v>
      </c>
      <c r="M90">
        <v>2.7999999999999932</v>
      </c>
      <c r="N90" t="s">
        <v>141</v>
      </c>
    </row>
    <row r="91" spans="1:14" ht="12.75">
      <c r="A91" t="s">
        <v>30</v>
      </c>
      <c r="B91" t="s">
        <v>35</v>
      </c>
      <c r="C91" t="s">
        <v>135</v>
      </c>
      <c r="D91" t="s">
        <v>136</v>
      </c>
      <c r="E91" t="s">
        <v>141</v>
      </c>
      <c r="F91" t="s">
        <v>28</v>
      </c>
      <c r="G91" t="s">
        <v>29</v>
      </c>
      <c r="H91" t="s">
        <v>141</v>
      </c>
      <c r="I91" t="s">
        <v>141</v>
      </c>
      <c r="J91" t="s">
        <v>141</v>
      </c>
      <c r="K91" t="s">
        <v>141</v>
      </c>
      <c r="L91">
        <v>2.7999999999999932</v>
      </c>
      <c r="M91">
        <v>2.7999999999999932</v>
      </c>
      <c r="N91" t="s">
        <v>141</v>
      </c>
    </row>
    <row r="92" spans="1:14" ht="12.75">
      <c r="A92" t="s">
        <v>30</v>
      </c>
      <c r="B92" t="s">
        <v>35</v>
      </c>
      <c r="C92" t="s">
        <v>137</v>
      </c>
      <c r="D92" t="s">
        <v>177</v>
      </c>
      <c r="E92" t="s">
        <v>141</v>
      </c>
      <c r="F92" t="s">
        <v>28</v>
      </c>
      <c r="G92" t="s">
        <v>36</v>
      </c>
      <c r="H92" t="s">
        <v>141</v>
      </c>
      <c r="I92" t="s">
        <v>141</v>
      </c>
      <c r="J92" t="s">
        <v>141</v>
      </c>
      <c r="K92" t="s">
        <v>141</v>
      </c>
      <c r="L92">
        <v>2.7466471585410202</v>
      </c>
      <c r="M92">
        <v>2.7466471585410202</v>
      </c>
      <c r="N92" t="s">
        <v>141</v>
      </c>
    </row>
    <row r="93" spans="1:14" ht="12.75">
      <c r="A93" t="s">
        <v>30</v>
      </c>
      <c r="B93" t="s">
        <v>35</v>
      </c>
      <c r="C93" t="s">
        <v>137</v>
      </c>
      <c r="D93" t="s">
        <v>177</v>
      </c>
      <c r="E93" t="s">
        <v>141</v>
      </c>
      <c r="F93" t="s">
        <v>28</v>
      </c>
      <c r="G93" t="s">
        <v>26</v>
      </c>
      <c r="H93" t="s">
        <v>141</v>
      </c>
      <c r="I93" t="s">
        <v>141</v>
      </c>
      <c r="J93" t="s">
        <v>141</v>
      </c>
      <c r="K93" t="s">
        <v>141</v>
      </c>
      <c r="L93">
        <v>2.7466471585410202</v>
      </c>
      <c r="M93">
        <v>2.7466471585410202</v>
      </c>
      <c r="N93" t="s">
        <v>141</v>
      </c>
    </row>
    <row r="94" spans="1:14" ht="12.75">
      <c r="A94" t="s">
        <v>30</v>
      </c>
      <c r="B94" t="s">
        <v>35</v>
      </c>
      <c r="C94" t="s">
        <v>137</v>
      </c>
      <c r="D94" t="s">
        <v>177</v>
      </c>
      <c r="E94" t="s">
        <v>141</v>
      </c>
      <c r="F94" t="s">
        <v>28</v>
      </c>
      <c r="G94" t="s">
        <v>31</v>
      </c>
      <c r="H94" t="s">
        <v>141</v>
      </c>
      <c r="I94" t="s">
        <v>141</v>
      </c>
      <c r="J94" t="s">
        <v>141</v>
      </c>
      <c r="K94" t="s">
        <v>141</v>
      </c>
      <c r="L94">
        <v>2.7466471585410202</v>
      </c>
      <c r="M94">
        <v>2.7466471585410202</v>
      </c>
      <c r="N94" t="s">
        <v>141</v>
      </c>
    </row>
    <row r="95" spans="1:14" ht="12.75">
      <c r="A95" t="s">
        <v>30</v>
      </c>
      <c r="B95" t="s">
        <v>35</v>
      </c>
      <c r="C95" t="s">
        <v>137</v>
      </c>
      <c r="D95" t="s">
        <v>177</v>
      </c>
      <c r="E95" t="s">
        <v>141</v>
      </c>
      <c r="F95" t="s">
        <v>28</v>
      </c>
      <c r="G95" t="s">
        <v>129</v>
      </c>
      <c r="H95" t="s">
        <v>141</v>
      </c>
      <c r="I95" t="s">
        <v>141</v>
      </c>
      <c r="J95" t="s">
        <v>141</v>
      </c>
      <c r="K95" t="s">
        <v>141</v>
      </c>
      <c r="L95">
        <v>2.7466471585410202</v>
      </c>
      <c r="M95">
        <v>2.7466471585410202</v>
      </c>
      <c r="N95" t="s">
        <v>141</v>
      </c>
    </row>
    <row r="96" spans="1:14" ht="12.75">
      <c r="A96" t="s">
        <v>30</v>
      </c>
      <c r="B96" t="s">
        <v>35</v>
      </c>
      <c r="C96" t="s">
        <v>137</v>
      </c>
      <c r="D96" t="s">
        <v>177</v>
      </c>
      <c r="E96" t="s">
        <v>141</v>
      </c>
      <c r="F96" t="s">
        <v>28</v>
      </c>
      <c r="G96" t="s">
        <v>29</v>
      </c>
      <c r="H96" t="s">
        <v>141</v>
      </c>
      <c r="I96" t="s">
        <v>141</v>
      </c>
      <c r="J96" t="s">
        <v>141</v>
      </c>
      <c r="K96" t="s">
        <v>141</v>
      </c>
      <c r="L96">
        <v>2.7466471585410202</v>
      </c>
      <c r="M96">
        <v>2.7466471585410202</v>
      </c>
      <c r="N96" t="s">
        <v>141</v>
      </c>
    </row>
    <row r="97" spans="1:14" ht="12.75">
      <c r="A97" t="s">
        <v>30</v>
      </c>
      <c r="B97" t="s">
        <v>35</v>
      </c>
      <c r="C97" t="s">
        <v>137</v>
      </c>
      <c r="D97" t="s">
        <v>136</v>
      </c>
      <c r="E97" t="s">
        <v>141</v>
      </c>
      <c r="F97" t="s">
        <v>28</v>
      </c>
      <c r="G97" t="s">
        <v>36</v>
      </c>
      <c r="H97" t="s">
        <v>141</v>
      </c>
      <c r="I97" t="s">
        <v>141</v>
      </c>
      <c r="J97" t="s">
        <v>141</v>
      </c>
      <c r="K97" t="s">
        <v>141</v>
      </c>
      <c r="L97">
        <v>2.1000000000000001</v>
      </c>
      <c r="M97">
        <v>2.1000000000000001</v>
      </c>
      <c r="N97" t="s">
        <v>141</v>
      </c>
    </row>
    <row r="98" spans="1:14" ht="12.75">
      <c r="A98" t="s">
        <v>30</v>
      </c>
      <c r="B98" t="s">
        <v>35</v>
      </c>
      <c r="C98" t="s">
        <v>137</v>
      </c>
      <c r="D98" t="s">
        <v>136</v>
      </c>
      <c r="E98" t="s">
        <v>141</v>
      </c>
      <c r="F98" t="s">
        <v>28</v>
      </c>
      <c r="G98" t="s">
        <v>26</v>
      </c>
      <c r="H98" t="s">
        <v>141</v>
      </c>
      <c r="I98" t="s">
        <v>141</v>
      </c>
      <c r="J98" t="s">
        <v>141</v>
      </c>
      <c r="K98" t="s">
        <v>141</v>
      </c>
      <c r="L98">
        <v>2.2400000000000069</v>
      </c>
      <c r="M98">
        <v>2.2400000000000069</v>
      </c>
      <c r="N98" t="s">
        <v>141</v>
      </c>
    </row>
    <row r="99" spans="1:14" ht="12.75">
      <c r="A99" t="s">
        <v>30</v>
      </c>
      <c r="B99" t="s">
        <v>35</v>
      </c>
      <c r="C99" t="s">
        <v>137</v>
      </c>
      <c r="D99" t="s">
        <v>136</v>
      </c>
      <c r="E99" t="s">
        <v>141</v>
      </c>
      <c r="F99" t="s">
        <v>28</v>
      </c>
      <c r="G99" t="s">
        <v>31</v>
      </c>
      <c r="H99" t="s">
        <v>141</v>
      </c>
      <c r="I99" t="s">
        <v>141</v>
      </c>
      <c r="J99" t="s">
        <v>141</v>
      </c>
      <c r="K99" t="s">
        <v>141</v>
      </c>
      <c r="L99">
        <v>2.5899999999999932</v>
      </c>
      <c r="M99">
        <v>2.5899999999999932</v>
      </c>
      <c r="N99" t="s">
        <v>141</v>
      </c>
    </row>
    <row r="100" spans="1:14" ht="12.75">
      <c r="A100" t="s">
        <v>30</v>
      </c>
      <c r="B100" t="s">
        <v>35</v>
      </c>
      <c r="C100" t="s">
        <v>137</v>
      </c>
      <c r="D100" t="s">
        <v>136</v>
      </c>
      <c r="E100" t="s">
        <v>141</v>
      </c>
      <c r="F100" t="s">
        <v>28</v>
      </c>
      <c r="G100" t="s">
        <v>129</v>
      </c>
      <c r="H100" t="s">
        <v>141</v>
      </c>
      <c r="I100" t="s">
        <v>141</v>
      </c>
      <c r="J100" t="s">
        <v>141</v>
      </c>
      <c r="K100" t="s">
        <v>141</v>
      </c>
      <c r="L100">
        <v>2.7999999999999932</v>
      </c>
      <c r="M100">
        <v>2.7999999999999932</v>
      </c>
      <c r="N100" t="s">
        <v>141</v>
      </c>
    </row>
    <row r="101" spans="1:14" ht="12.75">
      <c r="A101" t="s">
        <v>30</v>
      </c>
      <c r="B101" t="s">
        <v>35</v>
      </c>
      <c r="C101" t="s">
        <v>137</v>
      </c>
      <c r="D101" t="s">
        <v>136</v>
      </c>
      <c r="E101" t="s">
        <v>141</v>
      </c>
      <c r="F101" t="s">
        <v>28</v>
      </c>
      <c r="G101" t="s">
        <v>29</v>
      </c>
      <c r="H101" t="s">
        <v>141</v>
      </c>
      <c r="I101" t="s">
        <v>141</v>
      </c>
      <c r="J101" t="s">
        <v>141</v>
      </c>
      <c r="K101" t="s">
        <v>141</v>
      </c>
      <c r="L101">
        <v>2.7999999999999932</v>
      </c>
      <c r="M101">
        <v>2.7999999999999932</v>
      </c>
      <c r="N101" t="s">
        <v>141</v>
      </c>
    </row>
    <row r="102" spans="1:14" ht="12.75">
      <c r="A102" t="s">
        <v>30</v>
      </c>
      <c r="B102" t="s">
        <v>35</v>
      </c>
      <c r="C102" t="s">
        <v>139</v>
      </c>
      <c r="D102" t="s">
        <v>136</v>
      </c>
      <c r="E102" t="s">
        <v>141</v>
      </c>
      <c r="F102" t="s">
        <v>28</v>
      </c>
      <c r="G102" t="s">
        <v>36</v>
      </c>
      <c r="H102" t="s">
        <v>141</v>
      </c>
      <c r="I102" t="s">
        <v>141</v>
      </c>
      <c r="J102" t="s">
        <v>141</v>
      </c>
      <c r="K102" t="s">
        <v>141</v>
      </c>
      <c r="L102">
        <v>2.1000000000000001</v>
      </c>
      <c r="M102">
        <v>2.1000000000000001</v>
      </c>
      <c r="N102" t="s">
        <v>141</v>
      </c>
    </row>
    <row r="103" spans="1:14" ht="12.75">
      <c r="A103" t="s">
        <v>30</v>
      </c>
      <c r="B103" t="s">
        <v>35</v>
      </c>
      <c r="C103" t="s">
        <v>139</v>
      </c>
      <c r="D103" t="s">
        <v>136</v>
      </c>
      <c r="E103" t="s">
        <v>141</v>
      </c>
      <c r="F103" t="s">
        <v>28</v>
      </c>
      <c r="G103" t="s">
        <v>26</v>
      </c>
      <c r="H103" t="s">
        <v>141</v>
      </c>
      <c r="I103" t="s">
        <v>141</v>
      </c>
      <c r="J103" t="s">
        <v>141</v>
      </c>
      <c r="K103" t="s">
        <v>141</v>
      </c>
      <c r="L103">
        <v>2.3100000000000005</v>
      </c>
      <c r="M103">
        <v>2.3100000000000005</v>
      </c>
      <c r="N103" t="s">
        <v>141</v>
      </c>
    </row>
    <row r="104" spans="1:14" ht="12.75">
      <c r="A104" t="s">
        <v>30</v>
      </c>
      <c r="B104" t="s">
        <v>35</v>
      </c>
      <c r="C104" t="s">
        <v>139</v>
      </c>
      <c r="D104" t="s">
        <v>136</v>
      </c>
      <c r="E104" t="s">
        <v>141</v>
      </c>
      <c r="F104" t="s">
        <v>28</v>
      </c>
      <c r="G104" t="s">
        <v>31</v>
      </c>
      <c r="H104" t="s">
        <v>141</v>
      </c>
      <c r="I104" t="s">
        <v>141</v>
      </c>
      <c r="J104" t="s">
        <v>141</v>
      </c>
      <c r="K104" t="s">
        <v>141</v>
      </c>
      <c r="L104">
        <v>2.5899999999999932</v>
      </c>
      <c r="M104">
        <v>2.5899999999999932</v>
      </c>
      <c r="N104" t="s">
        <v>141</v>
      </c>
    </row>
    <row r="105" spans="1:14" ht="12.75">
      <c r="A105" t="s">
        <v>30</v>
      </c>
      <c r="B105" t="s">
        <v>35</v>
      </c>
      <c r="C105" t="s">
        <v>139</v>
      </c>
      <c r="D105" t="s">
        <v>136</v>
      </c>
      <c r="E105" t="s">
        <v>141</v>
      </c>
      <c r="F105" t="s">
        <v>28</v>
      </c>
      <c r="G105" t="s">
        <v>129</v>
      </c>
      <c r="H105" t="s">
        <v>141</v>
      </c>
      <c r="I105" t="s">
        <v>141</v>
      </c>
      <c r="J105" t="s">
        <v>141</v>
      </c>
      <c r="K105" t="s">
        <v>141</v>
      </c>
      <c r="L105">
        <v>2.7999999999999932</v>
      </c>
      <c r="M105">
        <v>2.7999999999999932</v>
      </c>
      <c r="N105" t="s">
        <v>141</v>
      </c>
    </row>
    <row r="106" spans="1:14" ht="12.75">
      <c r="A106" t="s">
        <v>30</v>
      </c>
      <c r="B106" t="s">
        <v>35</v>
      </c>
      <c r="C106" t="s">
        <v>139</v>
      </c>
      <c r="D106" t="s">
        <v>136</v>
      </c>
      <c r="E106" t="s">
        <v>141</v>
      </c>
      <c r="F106" t="s">
        <v>28</v>
      </c>
      <c r="G106" t="s">
        <v>29</v>
      </c>
      <c r="H106" t="s">
        <v>141</v>
      </c>
      <c r="I106" t="s">
        <v>141</v>
      </c>
      <c r="J106" t="s">
        <v>141</v>
      </c>
      <c r="K106" t="s">
        <v>141</v>
      </c>
      <c r="L106">
        <v>2.7999999999999932</v>
      </c>
      <c r="M106">
        <v>2.7999999999999932</v>
      </c>
      <c r="N106" t="s">
        <v>141</v>
      </c>
    </row>
    <row r="107" spans="1:14" ht="12.75">
      <c r="A107" t="s">
        <v>30</v>
      </c>
      <c r="B107" t="s">
        <v>35</v>
      </c>
      <c r="C107" t="s">
        <v>140</v>
      </c>
      <c r="D107" t="s">
        <v>136</v>
      </c>
      <c r="E107" t="s">
        <v>141</v>
      </c>
      <c r="F107" t="s">
        <v>28</v>
      </c>
      <c r="G107" t="s">
        <v>36</v>
      </c>
      <c r="H107" t="s">
        <v>141</v>
      </c>
      <c r="I107" t="s">
        <v>141</v>
      </c>
      <c r="J107" t="s">
        <v>141</v>
      </c>
      <c r="K107" t="s">
        <v>141</v>
      </c>
      <c r="L107">
        <v>2.1000000000000001</v>
      </c>
      <c r="M107">
        <v>2.1000000000000001</v>
      </c>
      <c r="N107" t="s">
        <v>141</v>
      </c>
    </row>
    <row r="108" spans="1:14" ht="12.75">
      <c r="A108" t="s">
        <v>30</v>
      </c>
      <c r="B108" t="s">
        <v>35</v>
      </c>
      <c r="C108" t="s">
        <v>140</v>
      </c>
      <c r="D108" t="s">
        <v>136</v>
      </c>
      <c r="E108" t="s">
        <v>141</v>
      </c>
      <c r="F108" t="s">
        <v>28</v>
      </c>
      <c r="G108" t="s">
        <v>26</v>
      </c>
      <c r="H108" t="s">
        <v>141</v>
      </c>
      <c r="I108" t="s">
        <v>141</v>
      </c>
      <c r="J108" t="s">
        <v>141</v>
      </c>
      <c r="K108" t="s">
        <v>141</v>
      </c>
      <c r="L108">
        <v>2.3100000000000005</v>
      </c>
      <c r="M108">
        <v>2.3100000000000005</v>
      </c>
      <c r="N108" t="s">
        <v>141</v>
      </c>
    </row>
    <row r="109" spans="1:14" ht="12.75">
      <c r="A109" t="s">
        <v>30</v>
      </c>
      <c r="B109" t="s">
        <v>35</v>
      </c>
      <c r="C109" t="s">
        <v>140</v>
      </c>
      <c r="D109" t="s">
        <v>136</v>
      </c>
      <c r="E109" t="s">
        <v>141</v>
      </c>
      <c r="F109" t="s">
        <v>28</v>
      </c>
      <c r="G109" t="s">
        <v>31</v>
      </c>
      <c r="H109" t="s">
        <v>141</v>
      </c>
      <c r="I109" t="s">
        <v>141</v>
      </c>
      <c r="J109" t="s">
        <v>141</v>
      </c>
      <c r="K109" t="s">
        <v>141</v>
      </c>
      <c r="L109">
        <v>2.5899999999999932</v>
      </c>
      <c r="M109">
        <v>2.5899999999999932</v>
      </c>
      <c r="N109" t="s">
        <v>141</v>
      </c>
    </row>
    <row r="110" spans="1:14" ht="12.75">
      <c r="A110" t="s">
        <v>30</v>
      </c>
      <c r="B110" t="s">
        <v>35</v>
      </c>
      <c r="C110" t="s">
        <v>140</v>
      </c>
      <c r="D110" t="s">
        <v>136</v>
      </c>
      <c r="E110" t="s">
        <v>141</v>
      </c>
      <c r="F110" t="s">
        <v>28</v>
      </c>
      <c r="G110" t="s">
        <v>129</v>
      </c>
      <c r="H110" t="s">
        <v>141</v>
      </c>
      <c r="I110" t="s">
        <v>141</v>
      </c>
      <c r="J110" t="s">
        <v>141</v>
      </c>
      <c r="K110" t="s">
        <v>141</v>
      </c>
      <c r="L110">
        <v>2.7999999999999932</v>
      </c>
      <c r="M110">
        <v>2.7999999999999932</v>
      </c>
      <c r="N110" t="s">
        <v>141</v>
      </c>
    </row>
    <row r="111" spans="1:14" ht="12.75">
      <c r="A111" t="s">
        <v>30</v>
      </c>
      <c r="B111" t="s">
        <v>35</v>
      </c>
      <c r="C111" t="s">
        <v>140</v>
      </c>
      <c r="D111" t="s">
        <v>136</v>
      </c>
      <c r="E111" t="s">
        <v>141</v>
      </c>
      <c r="F111" t="s">
        <v>28</v>
      </c>
      <c r="G111" t="s">
        <v>29</v>
      </c>
      <c r="H111" t="s">
        <v>141</v>
      </c>
      <c r="I111" t="s">
        <v>141</v>
      </c>
      <c r="J111" t="s">
        <v>141</v>
      </c>
      <c r="K111" t="s">
        <v>141</v>
      </c>
      <c r="L111">
        <v>2.7999999999999932</v>
      </c>
      <c r="M111">
        <v>2.7999999999999932</v>
      </c>
      <c r="N111" t="s">
        <v>141</v>
      </c>
    </row>
    <row r="112" spans="1:14" ht="12.75">
      <c r="A112" t="s">
        <v>30</v>
      </c>
      <c r="B112" t="s">
        <v>35</v>
      </c>
      <c r="C112" t="s">
        <v>140</v>
      </c>
      <c r="D112" t="s">
        <v>138</v>
      </c>
      <c r="E112" t="s">
        <v>141</v>
      </c>
      <c r="F112" t="s">
        <v>28</v>
      </c>
      <c r="G112" t="s">
        <v>36</v>
      </c>
      <c r="H112" t="s">
        <v>141</v>
      </c>
      <c r="I112" t="s">
        <v>141</v>
      </c>
      <c r="J112" t="s">
        <v>141</v>
      </c>
      <c r="K112" t="s">
        <v>141</v>
      </c>
      <c r="L112">
        <v>1.47</v>
      </c>
      <c r="M112">
        <v>1.47</v>
      </c>
      <c r="N112" t="s">
        <v>141</v>
      </c>
    </row>
    <row r="113" spans="1:14" ht="12.75">
      <c r="A113" t="s">
        <v>30</v>
      </c>
      <c r="B113" t="s">
        <v>35</v>
      </c>
      <c r="C113" t="s">
        <v>140</v>
      </c>
      <c r="D113" t="s">
        <v>138</v>
      </c>
      <c r="E113" t="s">
        <v>141</v>
      </c>
      <c r="F113" t="s">
        <v>28</v>
      </c>
      <c r="G113" t="s">
        <v>26</v>
      </c>
      <c r="H113" t="s">
        <v>141</v>
      </c>
      <c r="I113" t="s">
        <v>141</v>
      </c>
      <c r="J113" t="s">
        <v>141</v>
      </c>
      <c r="K113" t="s">
        <v>141</v>
      </c>
      <c r="L113">
        <v>1.6170000000000002</v>
      </c>
      <c r="M113">
        <v>1.6170000000000002</v>
      </c>
      <c r="N113" t="s">
        <v>141</v>
      </c>
    </row>
    <row r="114" spans="1:14" ht="12.75">
      <c r="A114" t="s">
        <v>30</v>
      </c>
      <c r="B114" t="s">
        <v>35</v>
      </c>
      <c r="C114" t="s">
        <v>140</v>
      </c>
      <c r="D114" t="s">
        <v>138</v>
      </c>
      <c r="E114" t="s">
        <v>141</v>
      </c>
      <c r="F114" t="s">
        <v>28</v>
      </c>
      <c r="G114" t="s">
        <v>31</v>
      </c>
      <c r="H114" t="s">
        <v>141</v>
      </c>
      <c r="I114" t="s">
        <v>141</v>
      </c>
      <c r="J114" t="s">
        <v>141</v>
      </c>
      <c r="K114" t="s">
        <v>141</v>
      </c>
      <c r="L114">
        <v>1.8129999999999993</v>
      </c>
      <c r="M114">
        <v>1.8129999999999993</v>
      </c>
      <c r="N114" t="s">
        <v>141</v>
      </c>
    </row>
    <row r="115" spans="1:14" ht="12.75">
      <c r="A115" t="s">
        <v>30</v>
      </c>
      <c r="B115" t="s">
        <v>35</v>
      </c>
      <c r="C115" t="s">
        <v>140</v>
      </c>
      <c r="D115" t="s">
        <v>138</v>
      </c>
      <c r="E115" t="s">
        <v>141</v>
      </c>
      <c r="F115" t="s">
        <v>28</v>
      </c>
      <c r="G115" t="s">
        <v>129</v>
      </c>
      <c r="H115" t="s">
        <v>141</v>
      </c>
      <c r="I115" t="s">
        <v>141</v>
      </c>
      <c r="J115" t="s">
        <v>141</v>
      </c>
      <c r="K115" t="s">
        <v>141</v>
      </c>
      <c r="L115">
        <v>1.9599999999999995</v>
      </c>
      <c r="M115">
        <v>1.9599999999999995</v>
      </c>
      <c r="N115" t="s">
        <v>141</v>
      </c>
    </row>
    <row r="116" spans="1:14" ht="12.75">
      <c r="A116" t="s">
        <v>30</v>
      </c>
      <c r="B116" t="s">
        <v>35</v>
      </c>
      <c r="C116" t="s">
        <v>140</v>
      </c>
      <c r="D116" t="s">
        <v>138</v>
      </c>
      <c r="E116" t="s">
        <v>141</v>
      </c>
      <c r="F116" t="s">
        <v>28</v>
      </c>
      <c r="G116" t="s">
        <v>29</v>
      </c>
      <c r="H116" t="s">
        <v>141</v>
      </c>
      <c r="I116" t="s">
        <v>141</v>
      </c>
      <c r="J116" t="s">
        <v>141</v>
      </c>
      <c r="K116" t="s">
        <v>141</v>
      </c>
      <c r="L116">
        <v>1.9599999999999995</v>
      </c>
      <c r="M116">
        <v>1.9599999999999995</v>
      </c>
      <c r="N116" t="s">
        <v>141</v>
      </c>
    </row>
    <row r="117" spans="1:14" ht="12.75">
      <c r="A117" t="s">
        <v>30</v>
      </c>
      <c r="B117" t="s">
        <v>35</v>
      </c>
      <c r="C117" t="s">
        <v>142</v>
      </c>
      <c r="D117" t="s">
        <v>136</v>
      </c>
      <c r="E117" t="s">
        <v>141</v>
      </c>
      <c r="F117" t="s">
        <v>28</v>
      </c>
      <c r="G117" t="s">
        <v>36</v>
      </c>
      <c r="H117" t="s">
        <v>141</v>
      </c>
      <c r="I117" t="s">
        <v>141</v>
      </c>
      <c r="J117" t="s">
        <v>141</v>
      </c>
      <c r="K117" t="s">
        <v>141</v>
      </c>
      <c r="L117">
        <v>2.1000000000000001</v>
      </c>
      <c r="M117">
        <v>2.1000000000000001</v>
      </c>
      <c r="N117" t="s">
        <v>141</v>
      </c>
    </row>
    <row r="118" spans="1:14" ht="12.75">
      <c r="A118" t="s">
        <v>30</v>
      </c>
      <c r="B118" t="s">
        <v>35</v>
      </c>
      <c r="C118" t="s">
        <v>142</v>
      </c>
      <c r="D118" t="s">
        <v>136</v>
      </c>
      <c r="E118" t="s">
        <v>141</v>
      </c>
      <c r="F118" t="s">
        <v>28</v>
      </c>
      <c r="G118" t="s">
        <v>26</v>
      </c>
      <c r="H118" t="s">
        <v>141</v>
      </c>
      <c r="I118" t="s">
        <v>141</v>
      </c>
      <c r="J118" t="s">
        <v>141</v>
      </c>
      <c r="K118" t="s">
        <v>141</v>
      </c>
      <c r="L118">
        <v>2.2890000000000001</v>
      </c>
      <c r="M118">
        <v>2.2890000000000001</v>
      </c>
      <c r="N118" t="s">
        <v>141</v>
      </c>
    </row>
    <row r="119" spans="1:14" ht="12.75">
      <c r="A119" t="s">
        <v>30</v>
      </c>
      <c r="B119" t="s">
        <v>35</v>
      </c>
      <c r="C119" t="s">
        <v>142</v>
      </c>
      <c r="D119" t="s">
        <v>136</v>
      </c>
      <c r="E119" t="s">
        <v>141</v>
      </c>
      <c r="F119" t="s">
        <v>28</v>
      </c>
      <c r="G119" t="s">
        <v>31</v>
      </c>
      <c r="H119" t="s">
        <v>141</v>
      </c>
      <c r="I119" t="s">
        <v>141</v>
      </c>
      <c r="J119" t="s">
        <v>141</v>
      </c>
      <c r="K119" t="s">
        <v>141</v>
      </c>
      <c r="L119">
        <v>2.531199999999993</v>
      </c>
      <c r="M119">
        <v>2.531199999999993</v>
      </c>
      <c r="N119" t="s">
        <v>141</v>
      </c>
    </row>
    <row r="120" spans="1:14" ht="12.75">
      <c r="A120" t="s">
        <v>30</v>
      </c>
      <c r="B120" t="s">
        <v>35</v>
      </c>
      <c r="C120" t="s">
        <v>142</v>
      </c>
      <c r="D120" t="s">
        <v>136</v>
      </c>
      <c r="E120" t="s">
        <v>141</v>
      </c>
      <c r="F120" t="s">
        <v>28</v>
      </c>
      <c r="G120" t="s">
        <v>129</v>
      </c>
      <c r="H120" t="s">
        <v>141</v>
      </c>
      <c r="I120" t="s">
        <v>141</v>
      </c>
      <c r="J120" t="s">
        <v>141</v>
      </c>
      <c r="K120" t="s">
        <v>141</v>
      </c>
      <c r="L120">
        <v>2.7159999999999931</v>
      </c>
      <c r="M120">
        <v>2.7159999999999931</v>
      </c>
      <c r="N120" t="s">
        <v>141</v>
      </c>
    </row>
    <row r="121" spans="1:14" ht="12.75">
      <c r="A121" t="s">
        <v>30</v>
      </c>
      <c r="B121" t="s">
        <v>35</v>
      </c>
      <c r="C121" t="s">
        <v>142</v>
      </c>
      <c r="D121" t="s">
        <v>136</v>
      </c>
      <c r="E121" t="s">
        <v>141</v>
      </c>
      <c r="F121" t="s">
        <v>28</v>
      </c>
      <c r="G121" t="s">
        <v>29</v>
      </c>
      <c r="H121" t="s">
        <v>141</v>
      </c>
      <c r="I121" t="s">
        <v>141</v>
      </c>
      <c r="J121" t="s">
        <v>141</v>
      </c>
      <c r="K121" t="s">
        <v>141</v>
      </c>
      <c r="L121">
        <v>2.7159999999999931</v>
      </c>
      <c r="M121">
        <v>2.7159999999999931</v>
      </c>
      <c r="N121" t="s">
        <v>141</v>
      </c>
    </row>
    <row r="122" spans="1:14" ht="12.75">
      <c r="A122" t="s">
        <v>30</v>
      </c>
      <c r="B122" t="s">
        <v>35</v>
      </c>
      <c r="C122" t="s">
        <v>142</v>
      </c>
      <c r="D122" t="s">
        <v>138</v>
      </c>
      <c r="E122" t="s">
        <v>141</v>
      </c>
      <c r="F122" t="s">
        <v>28</v>
      </c>
      <c r="G122" t="s">
        <v>36</v>
      </c>
      <c r="H122" t="s">
        <v>141</v>
      </c>
      <c r="I122" t="s">
        <v>141</v>
      </c>
      <c r="J122" t="s">
        <v>141</v>
      </c>
      <c r="K122" t="s">
        <v>141</v>
      </c>
      <c r="L122">
        <v>2.9085000000000001</v>
      </c>
      <c r="M122">
        <v>2.9085000000000001</v>
      </c>
      <c r="N122" t="s">
        <v>141</v>
      </c>
    </row>
    <row r="123" spans="1:14" ht="12.75">
      <c r="A123" t="s">
        <v>30</v>
      </c>
      <c r="B123" t="s">
        <v>35</v>
      </c>
      <c r="C123" t="s">
        <v>142</v>
      </c>
      <c r="D123" t="s">
        <v>138</v>
      </c>
      <c r="E123" t="s">
        <v>141</v>
      </c>
      <c r="F123" t="s">
        <v>28</v>
      </c>
      <c r="G123" t="s">
        <v>26</v>
      </c>
      <c r="H123" t="s">
        <v>141</v>
      </c>
      <c r="I123" t="s">
        <v>141</v>
      </c>
      <c r="J123" t="s">
        <v>141</v>
      </c>
      <c r="K123" t="s">
        <v>141</v>
      </c>
      <c r="L123">
        <v>3.0628500000000001</v>
      </c>
      <c r="M123">
        <v>3.0628500000000001</v>
      </c>
      <c r="N123" t="s">
        <v>141</v>
      </c>
    </row>
    <row r="124" spans="1:14" ht="12.75">
      <c r="A124" t="s">
        <v>30</v>
      </c>
      <c r="B124" t="s">
        <v>35</v>
      </c>
      <c r="C124" t="s">
        <v>142</v>
      </c>
      <c r="D124" t="s">
        <v>138</v>
      </c>
      <c r="E124" t="s">
        <v>141</v>
      </c>
      <c r="F124" t="s">
        <v>28</v>
      </c>
      <c r="G124" t="s">
        <v>31</v>
      </c>
      <c r="H124" t="s">
        <v>141</v>
      </c>
      <c r="I124" t="s">
        <v>141</v>
      </c>
      <c r="J124" t="s">
        <v>141</v>
      </c>
      <c r="K124" t="s">
        <v>141</v>
      </c>
      <c r="L124">
        <v>3.1017000000000001</v>
      </c>
      <c r="M124">
        <v>3.1017000000000001</v>
      </c>
      <c r="N124" t="s">
        <v>141</v>
      </c>
    </row>
    <row r="125" spans="1:14" ht="12.75">
      <c r="A125" t="s">
        <v>30</v>
      </c>
      <c r="B125" t="s">
        <v>35</v>
      </c>
      <c r="C125" t="s">
        <v>142</v>
      </c>
      <c r="D125" t="s">
        <v>138</v>
      </c>
      <c r="E125" t="s">
        <v>141</v>
      </c>
      <c r="F125" t="s">
        <v>28</v>
      </c>
      <c r="G125" t="s">
        <v>129</v>
      </c>
      <c r="H125" t="s">
        <v>141</v>
      </c>
      <c r="I125" t="s">
        <v>141</v>
      </c>
      <c r="J125" t="s">
        <v>141</v>
      </c>
      <c r="K125" t="s">
        <v>141</v>
      </c>
      <c r="L125">
        <v>3.2340000000000004</v>
      </c>
      <c r="M125">
        <v>3.2340000000000004</v>
      </c>
      <c r="N125" t="s">
        <v>141</v>
      </c>
    </row>
    <row r="126" spans="1:14" ht="12.75">
      <c r="A126" t="s">
        <v>30</v>
      </c>
      <c r="B126" t="s">
        <v>35</v>
      </c>
      <c r="C126" t="s">
        <v>142</v>
      </c>
      <c r="D126" t="s">
        <v>138</v>
      </c>
      <c r="E126" t="s">
        <v>141</v>
      </c>
      <c r="F126" t="s">
        <v>28</v>
      </c>
      <c r="G126" t="s">
        <v>29</v>
      </c>
      <c r="H126" t="s">
        <v>141</v>
      </c>
      <c r="I126" t="s">
        <v>141</v>
      </c>
      <c r="J126" t="s">
        <v>141</v>
      </c>
      <c r="K126" t="s">
        <v>141</v>
      </c>
      <c r="L126">
        <v>3.2340000000000004</v>
      </c>
      <c r="M126">
        <v>3.2340000000000004</v>
      </c>
      <c r="N126" t="s">
        <v>141</v>
      </c>
    </row>
    <row r="127" spans="1:14" ht="12.75">
      <c r="A127" t="s">
        <v>30</v>
      </c>
      <c r="B127" t="s">
        <v>35</v>
      </c>
      <c r="C127" t="s">
        <v>143</v>
      </c>
      <c r="D127" t="s">
        <v>136</v>
      </c>
      <c r="E127" t="s">
        <v>141</v>
      </c>
      <c r="F127" t="s">
        <v>28</v>
      </c>
      <c r="G127" t="s">
        <v>36</v>
      </c>
      <c r="H127" t="s">
        <v>141</v>
      </c>
      <c r="I127" t="s">
        <v>141</v>
      </c>
      <c r="J127" t="s">
        <v>141</v>
      </c>
      <c r="K127" t="s">
        <v>141</v>
      </c>
      <c r="L127">
        <v>2.3100000000000005</v>
      </c>
      <c r="M127">
        <v>2.3100000000000005</v>
      </c>
      <c r="N127" t="s">
        <v>141</v>
      </c>
    </row>
    <row r="128" spans="1:14" ht="12.75">
      <c r="A128" t="s">
        <v>30</v>
      </c>
      <c r="B128" t="s">
        <v>35</v>
      </c>
      <c r="C128" t="s">
        <v>143</v>
      </c>
      <c r="D128" t="s">
        <v>136</v>
      </c>
      <c r="E128" t="s">
        <v>141</v>
      </c>
      <c r="F128" t="s">
        <v>28</v>
      </c>
      <c r="G128" t="s">
        <v>26</v>
      </c>
      <c r="H128" t="s">
        <v>141</v>
      </c>
      <c r="I128" t="s">
        <v>141</v>
      </c>
      <c r="J128" t="s">
        <v>141</v>
      </c>
      <c r="K128" t="s">
        <v>141</v>
      </c>
      <c r="L128">
        <v>2.4500000000000073</v>
      </c>
      <c r="M128">
        <v>2.4500000000000073</v>
      </c>
      <c r="N128" t="s">
        <v>141</v>
      </c>
    </row>
    <row r="129" spans="1:14" ht="12.75">
      <c r="A129" t="s">
        <v>30</v>
      </c>
      <c r="B129" t="s">
        <v>35</v>
      </c>
      <c r="C129" t="s">
        <v>143</v>
      </c>
      <c r="D129" t="s">
        <v>136</v>
      </c>
      <c r="E129" t="s">
        <v>141</v>
      </c>
      <c r="F129" t="s">
        <v>28</v>
      </c>
      <c r="G129" t="s">
        <v>31</v>
      </c>
      <c r="H129" t="s">
        <v>141</v>
      </c>
      <c r="I129" t="s">
        <v>141</v>
      </c>
      <c r="J129" t="s">
        <v>141</v>
      </c>
      <c r="K129" t="s">
        <v>141</v>
      </c>
      <c r="L129">
        <v>2.7999999999999932</v>
      </c>
      <c r="M129">
        <v>2.7999999999999932</v>
      </c>
      <c r="N129" t="s">
        <v>141</v>
      </c>
    </row>
    <row r="130" spans="1:14" ht="12.75">
      <c r="A130" t="s">
        <v>30</v>
      </c>
      <c r="B130" t="s">
        <v>35</v>
      </c>
      <c r="C130" t="s">
        <v>143</v>
      </c>
      <c r="D130" t="s">
        <v>136</v>
      </c>
      <c r="E130" t="s">
        <v>141</v>
      </c>
      <c r="F130" t="s">
        <v>28</v>
      </c>
      <c r="G130" t="s">
        <v>129</v>
      </c>
      <c r="H130" t="s">
        <v>141</v>
      </c>
      <c r="I130" t="s">
        <v>141</v>
      </c>
      <c r="J130" t="s">
        <v>141</v>
      </c>
      <c r="K130" t="s">
        <v>141</v>
      </c>
      <c r="L130">
        <v>3.1500000000000004</v>
      </c>
      <c r="M130">
        <v>3.1500000000000004</v>
      </c>
      <c r="N130" t="s">
        <v>141</v>
      </c>
    </row>
    <row r="131" spans="1:14" ht="12.75">
      <c r="A131" t="s">
        <v>30</v>
      </c>
      <c r="B131" t="s">
        <v>35</v>
      </c>
      <c r="C131" t="s">
        <v>143</v>
      </c>
      <c r="D131" t="s">
        <v>136</v>
      </c>
      <c r="E131" t="s">
        <v>141</v>
      </c>
      <c r="F131" t="s">
        <v>28</v>
      </c>
      <c r="G131" t="s">
        <v>29</v>
      </c>
      <c r="H131" t="s">
        <v>141</v>
      </c>
      <c r="I131" t="s">
        <v>141</v>
      </c>
      <c r="J131" t="s">
        <v>141</v>
      </c>
      <c r="K131" t="s">
        <v>141</v>
      </c>
      <c r="L131">
        <v>3.1500000000000004</v>
      </c>
      <c r="M131">
        <v>3.1500000000000004</v>
      </c>
      <c r="N131" t="s">
        <v>141</v>
      </c>
    </row>
    <row r="132" spans="1:14" ht="12.75">
      <c r="A132" t="s">
        <v>30</v>
      </c>
      <c r="B132" t="s">
        <v>35</v>
      </c>
      <c r="C132" t="s">
        <v>144</v>
      </c>
      <c r="D132" t="s">
        <v>177</v>
      </c>
      <c r="E132" t="s">
        <v>141</v>
      </c>
      <c r="F132" t="s">
        <v>28</v>
      </c>
      <c r="G132" t="s">
        <v>36</v>
      </c>
      <c r="H132" t="s">
        <v>141</v>
      </c>
      <c r="I132" t="s">
        <v>141</v>
      </c>
      <c r="J132" t="s">
        <v>141</v>
      </c>
      <c r="K132" t="s">
        <v>141</v>
      </c>
      <c r="L132">
        <v>3.0213118743951224</v>
      </c>
      <c r="M132">
        <v>3.0213118743951224</v>
      </c>
      <c r="N132" t="s">
        <v>141</v>
      </c>
    </row>
    <row r="133" spans="1:14" ht="12.75">
      <c r="A133" t="s">
        <v>30</v>
      </c>
      <c r="B133" t="s">
        <v>35</v>
      </c>
      <c r="C133" t="s">
        <v>144</v>
      </c>
      <c r="D133" t="s">
        <v>177</v>
      </c>
      <c r="E133" t="s">
        <v>141</v>
      </c>
      <c r="F133" t="s">
        <v>28</v>
      </c>
      <c r="G133" t="s">
        <v>26</v>
      </c>
      <c r="H133" t="s">
        <v>141</v>
      </c>
      <c r="I133" t="s">
        <v>141</v>
      </c>
      <c r="J133" t="s">
        <v>141</v>
      </c>
      <c r="K133" t="s">
        <v>141</v>
      </c>
      <c r="L133">
        <v>3.2044216849645331</v>
      </c>
      <c r="M133">
        <v>3.2044216849645331</v>
      </c>
      <c r="N133" t="s">
        <v>141</v>
      </c>
    </row>
    <row r="134" spans="1:14" ht="12.75">
      <c r="A134" t="s">
        <v>30</v>
      </c>
      <c r="B134" t="s">
        <v>35</v>
      </c>
      <c r="C134" t="s">
        <v>144</v>
      </c>
      <c r="D134" t="s">
        <v>177</v>
      </c>
      <c r="E134" t="s">
        <v>141</v>
      </c>
      <c r="F134" t="s">
        <v>28</v>
      </c>
      <c r="G134" t="s">
        <v>31</v>
      </c>
      <c r="H134" t="s">
        <v>141</v>
      </c>
      <c r="I134" t="s">
        <v>141</v>
      </c>
      <c r="J134" t="s">
        <v>141</v>
      </c>
      <c r="K134" t="s">
        <v>141</v>
      </c>
      <c r="L134">
        <v>3.6621962113880175</v>
      </c>
      <c r="M134">
        <v>3.6621962113880175</v>
      </c>
      <c r="N134" t="s">
        <v>141</v>
      </c>
    </row>
    <row r="135" spans="1:14" ht="12.75">
      <c r="A135" t="s">
        <v>30</v>
      </c>
      <c r="B135" t="s">
        <v>35</v>
      </c>
      <c r="C135" t="s">
        <v>144</v>
      </c>
      <c r="D135" t="s">
        <v>177</v>
      </c>
      <c r="E135" t="s">
        <v>141</v>
      </c>
      <c r="F135" t="s">
        <v>28</v>
      </c>
      <c r="G135" t="s">
        <v>129</v>
      </c>
      <c r="H135" t="s">
        <v>141</v>
      </c>
      <c r="I135" t="s">
        <v>141</v>
      </c>
      <c r="J135" t="s">
        <v>141</v>
      </c>
      <c r="K135" t="s">
        <v>141</v>
      </c>
      <c r="L135">
        <v>4.1199707378115304</v>
      </c>
      <c r="M135">
        <v>4.1199707378115304</v>
      </c>
      <c r="N135" t="s">
        <v>141</v>
      </c>
    </row>
    <row r="136" spans="1:14" ht="12.75">
      <c r="A136" t="s">
        <v>30</v>
      </c>
      <c r="B136" t="s">
        <v>35</v>
      </c>
      <c r="C136" t="s">
        <v>144</v>
      </c>
      <c r="D136" t="s">
        <v>177</v>
      </c>
      <c r="E136" t="s">
        <v>141</v>
      </c>
      <c r="F136" t="s">
        <v>28</v>
      </c>
      <c r="G136" t="s">
        <v>29</v>
      </c>
      <c r="H136" t="s">
        <v>141</v>
      </c>
      <c r="I136" t="s">
        <v>141</v>
      </c>
      <c r="J136" t="s">
        <v>141</v>
      </c>
      <c r="K136" t="s">
        <v>141</v>
      </c>
      <c r="L136">
        <v>4.1199707378115304</v>
      </c>
      <c r="M136">
        <v>4.1199707378115304</v>
      </c>
      <c r="N136" t="s">
        <v>141</v>
      </c>
    </row>
    <row r="137" spans="1:14" ht="12.75">
      <c r="A137" t="s">
        <v>30</v>
      </c>
      <c r="B137" t="s">
        <v>35</v>
      </c>
      <c r="C137" t="s">
        <v>144</v>
      </c>
      <c r="D137" t="s">
        <v>136</v>
      </c>
      <c r="E137" t="s">
        <v>141</v>
      </c>
      <c r="F137" t="s">
        <v>28</v>
      </c>
      <c r="G137" t="s">
        <v>36</v>
      </c>
      <c r="H137" t="s">
        <v>141</v>
      </c>
      <c r="I137" t="s">
        <v>141</v>
      </c>
      <c r="J137" t="s">
        <v>141</v>
      </c>
      <c r="K137" t="s">
        <v>141</v>
      </c>
      <c r="L137">
        <v>2.3100000000000005</v>
      </c>
      <c r="M137">
        <v>2.3100000000000005</v>
      </c>
      <c r="N137" t="s">
        <v>141</v>
      </c>
    </row>
    <row r="138" spans="1:14" ht="12.75">
      <c r="A138" t="s">
        <v>30</v>
      </c>
      <c r="B138" t="s">
        <v>35</v>
      </c>
      <c r="C138" t="s">
        <v>144</v>
      </c>
      <c r="D138" t="s">
        <v>136</v>
      </c>
      <c r="E138" t="s">
        <v>141</v>
      </c>
      <c r="F138" t="s">
        <v>28</v>
      </c>
      <c r="G138" t="s">
        <v>26</v>
      </c>
      <c r="H138" t="s">
        <v>141</v>
      </c>
      <c r="I138" t="s">
        <v>141</v>
      </c>
      <c r="J138" t="s">
        <v>141</v>
      </c>
      <c r="K138" t="s">
        <v>141</v>
      </c>
      <c r="L138">
        <v>2.4500000000000073</v>
      </c>
      <c r="M138">
        <v>2.4500000000000073</v>
      </c>
      <c r="N138" t="s">
        <v>141</v>
      </c>
    </row>
    <row r="139" spans="1:14" ht="12.75">
      <c r="A139" t="s">
        <v>30</v>
      </c>
      <c r="B139" t="s">
        <v>35</v>
      </c>
      <c r="C139" t="s">
        <v>144</v>
      </c>
      <c r="D139" t="s">
        <v>136</v>
      </c>
      <c r="E139" t="s">
        <v>141</v>
      </c>
      <c r="F139" t="s">
        <v>28</v>
      </c>
      <c r="G139" t="s">
        <v>31</v>
      </c>
      <c r="H139" t="s">
        <v>141</v>
      </c>
      <c r="I139" t="s">
        <v>141</v>
      </c>
      <c r="J139" t="s">
        <v>141</v>
      </c>
      <c r="K139" t="s">
        <v>141</v>
      </c>
      <c r="L139">
        <v>2.7999999999999932</v>
      </c>
      <c r="M139">
        <v>2.7999999999999932</v>
      </c>
      <c r="N139" t="s">
        <v>141</v>
      </c>
    </row>
    <row r="140" spans="1:14" ht="12.75">
      <c r="A140" t="s">
        <v>30</v>
      </c>
      <c r="B140" t="s">
        <v>35</v>
      </c>
      <c r="C140" t="s">
        <v>144</v>
      </c>
      <c r="D140" t="s">
        <v>136</v>
      </c>
      <c r="E140" t="s">
        <v>141</v>
      </c>
      <c r="F140" t="s">
        <v>28</v>
      </c>
      <c r="G140" t="s">
        <v>129</v>
      </c>
      <c r="H140" t="s">
        <v>141</v>
      </c>
      <c r="I140" t="s">
        <v>141</v>
      </c>
      <c r="J140" t="s">
        <v>141</v>
      </c>
      <c r="K140" t="s">
        <v>141</v>
      </c>
      <c r="L140">
        <v>3.1500000000000004</v>
      </c>
      <c r="M140">
        <v>3.1500000000000004</v>
      </c>
      <c r="N140" t="s">
        <v>141</v>
      </c>
    </row>
    <row r="141" spans="1:14" ht="12.75">
      <c r="A141" t="s">
        <v>30</v>
      </c>
      <c r="B141" t="s">
        <v>35</v>
      </c>
      <c r="C141" t="s">
        <v>144</v>
      </c>
      <c r="D141" t="s">
        <v>136</v>
      </c>
      <c r="E141" t="s">
        <v>141</v>
      </c>
      <c r="F141" t="s">
        <v>28</v>
      </c>
      <c r="G141" t="s">
        <v>29</v>
      </c>
      <c r="H141" t="s">
        <v>141</v>
      </c>
      <c r="I141" t="s">
        <v>141</v>
      </c>
      <c r="J141" t="s">
        <v>141</v>
      </c>
      <c r="K141" t="s">
        <v>141</v>
      </c>
      <c r="L141">
        <v>3.1500000000000004</v>
      </c>
      <c r="M141">
        <v>3.1500000000000004</v>
      </c>
      <c r="N141" t="s">
        <v>141</v>
      </c>
    </row>
    <row r="142" spans="1:14" ht="12.75">
      <c r="A142" t="s">
        <v>30</v>
      </c>
      <c r="B142" t="s">
        <v>35</v>
      </c>
      <c r="C142" t="s">
        <v>145</v>
      </c>
      <c r="D142" t="s">
        <v>177</v>
      </c>
      <c r="E142" t="s">
        <v>141</v>
      </c>
      <c r="F142" t="s">
        <v>28</v>
      </c>
      <c r="G142" t="s">
        <v>36</v>
      </c>
      <c r="H142" t="s">
        <v>141</v>
      </c>
      <c r="I142" t="s">
        <v>141</v>
      </c>
      <c r="J142" t="s">
        <v>141</v>
      </c>
      <c r="K142" t="s">
        <v>141</v>
      </c>
      <c r="L142">
        <v>2.7466471585410202</v>
      </c>
      <c r="M142">
        <v>2.7466471585410202</v>
      </c>
      <c r="N142" t="s">
        <v>141</v>
      </c>
    </row>
    <row r="143" spans="1:14" ht="12.75">
      <c r="A143" t="s">
        <v>30</v>
      </c>
      <c r="B143" t="s">
        <v>35</v>
      </c>
      <c r="C143" t="s">
        <v>145</v>
      </c>
      <c r="D143" t="s">
        <v>177</v>
      </c>
      <c r="E143" t="s">
        <v>141</v>
      </c>
      <c r="F143" t="s">
        <v>28</v>
      </c>
      <c r="G143" t="s">
        <v>26</v>
      </c>
      <c r="H143" t="s">
        <v>141</v>
      </c>
      <c r="I143" t="s">
        <v>141</v>
      </c>
      <c r="J143" t="s">
        <v>141</v>
      </c>
      <c r="K143" t="s">
        <v>141</v>
      </c>
      <c r="L143">
        <v>2.8382020638257122</v>
      </c>
      <c r="M143">
        <v>2.8382020638257122</v>
      </c>
      <c r="N143" t="s">
        <v>141</v>
      </c>
    </row>
    <row r="144" spans="1:14" ht="12.75">
      <c r="A144" t="s">
        <v>30</v>
      </c>
      <c r="B144" t="s">
        <v>35</v>
      </c>
      <c r="C144" t="s">
        <v>145</v>
      </c>
      <c r="D144" t="s">
        <v>177</v>
      </c>
      <c r="E144" t="s">
        <v>141</v>
      </c>
      <c r="F144" t="s">
        <v>28</v>
      </c>
      <c r="G144" t="s">
        <v>31</v>
      </c>
      <c r="H144" t="s">
        <v>141</v>
      </c>
      <c r="I144" t="s">
        <v>141</v>
      </c>
      <c r="J144" t="s">
        <v>141</v>
      </c>
      <c r="K144" t="s">
        <v>141</v>
      </c>
      <c r="L144">
        <v>3.1128667796798135</v>
      </c>
      <c r="M144">
        <v>3.1128667796798135</v>
      </c>
      <c r="N144" t="s">
        <v>141</v>
      </c>
    </row>
    <row r="145" spans="1:14" ht="12.75">
      <c r="A145" t="s">
        <v>30</v>
      </c>
      <c r="B145" t="s">
        <v>35</v>
      </c>
      <c r="C145" t="s">
        <v>145</v>
      </c>
      <c r="D145" t="s">
        <v>177</v>
      </c>
      <c r="E145" t="s">
        <v>141</v>
      </c>
      <c r="F145" t="s">
        <v>28</v>
      </c>
      <c r="G145" t="s">
        <v>129</v>
      </c>
      <c r="H145" t="s">
        <v>141</v>
      </c>
      <c r="I145" t="s">
        <v>141</v>
      </c>
      <c r="J145" t="s">
        <v>141</v>
      </c>
      <c r="K145" t="s">
        <v>141</v>
      </c>
      <c r="L145">
        <v>3.2044216849645331</v>
      </c>
      <c r="M145">
        <v>3.2044216849645331</v>
      </c>
      <c r="N145" t="s">
        <v>141</v>
      </c>
    </row>
    <row r="146" spans="1:14" ht="12.75">
      <c r="A146" t="s">
        <v>30</v>
      </c>
      <c r="B146" t="s">
        <v>35</v>
      </c>
      <c r="C146" t="s">
        <v>145</v>
      </c>
      <c r="D146" t="s">
        <v>177</v>
      </c>
      <c r="E146" t="s">
        <v>141</v>
      </c>
      <c r="F146" t="s">
        <v>28</v>
      </c>
      <c r="G146" t="s">
        <v>29</v>
      </c>
      <c r="H146" t="s">
        <v>141</v>
      </c>
      <c r="I146" t="s">
        <v>141</v>
      </c>
      <c r="J146" t="s">
        <v>141</v>
      </c>
      <c r="K146" t="s">
        <v>141</v>
      </c>
      <c r="L146">
        <v>3.2044216849645331</v>
      </c>
      <c r="M146">
        <v>3.2044216849645331</v>
      </c>
      <c r="N146" t="s">
        <v>141</v>
      </c>
    </row>
    <row r="147" spans="1:14" ht="12.75">
      <c r="A147" t="s">
        <v>30</v>
      </c>
      <c r="B147" t="s">
        <v>35</v>
      </c>
      <c r="C147" t="s">
        <v>145</v>
      </c>
      <c r="D147" t="s">
        <v>136</v>
      </c>
      <c r="E147" t="s">
        <v>141</v>
      </c>
      <c r="F147" t="s">
        <v>28</v>
      </c>
      <c r="G147" t="s">
        <v>36</v>
      </c>
      <c r="H147" t="s">
        <v>141</v>
      </c>
      <c r="I147" t="s">
        <v>141</v>
      </c>
      <c r="J147" t="s">
        <v>141</v>
      </c>
      <c r="K147" t="s">
        <v>141</v>
      </c>
      <c r="L147">
        <v>2.1000000000000001</v>
      </c>
      <c r="M147">
        <v>2.1000000000000001</v>
      </c>
      <c r="N147" t="s">
        <v>141</v>
      </c>
    </row>
    <row r="148" spans="1:14" ht="12.75">
      <c r="A148" t="s">
        <v>30</v>
      </c>
      <c r="B148" t="s">
        <v>35</v>
      </c>
      <c r="C148" t="s">
        <v>145</v>
      </c>
      <c r="D148" t="s">
        <v>136</v>
      </c>
      <c r="E148" t="s">
        <v>141</v>
      </c>
      <c r="F148" t="s">
        <v>28</v>
      </c>
      <c r="G148" t="s">
        <v>26</v>
      </c>
      <c r="H148" t="s">
        <v>141</v>
      </c>
      <c r="I148" t="s">
        <v>141</v>
      </c>
      <c r="J148" t="s">
        <v>141</v>
      </c>
      <c r="K148" t="s">
        <v>141</v>
      </c>
      <c r="L148">
        <v>2.1699999999999933</v>
      </c>
      <c r="M148">
        <v>2.1699999999999933</v>
      </c>
      <c r="N148" t="s">
        <v>141</v>
      </c>
    </row>
    <row r="149" spans="1:14" ht="12.75">
      <c r="A149" t="s">
        <v>30</v>
      </c>
      <c r="B149" t="s">
        <v>35</v>
      </c>
      <c r="C149" t="s">
        <v>145</v>
      </c>
      <c r="D149" t="s">
        <v>136</v>
      </c>
      <c r="E149" t="s">
        <v>141</v>
      </c>
      <c r="F149" t="s">
        <v>28</v>
      </c>
      <c r="G149" t="s">
        <v>31</v>
      </c>
      <c r="H149" t="s">
        <v>141</v>
      </c>
      <c r="I149" t="s">
        <v>141</v>
      </c>
      <c r="J149" t="s">
        <v>141</v>
      </c>
      <c r="K149" t="s">
        <v>141</v>
      </c>
      <c r="L149">
        <v>2.3799999999999932</v>
      </c>
      <c r="M149">
        <v>2.3799999999999932</v>
      </c>
      <c r="N149" t="s">
        <v>141</v>
      </c>
    </row>
    <row r="150" spans="1:14" ht="12.75">
      <c r="A150" t="s">
        <v>30</v>
      </c>
      <c r="B150" t="s">
        <v>35</v>
      </c>
      <c r="C150" t="s">
        <v>145</v>
      </c>
      <c r="D150" t="s">
        <v>136</v>
      </c>
      <c r="E150" t="s">
        <v>141</v>
      </c>
      <c r="F150" t="s">
        <v>28</v>
      </c>
      <c r="G150" t="s">
        <v>129</v>
      </c>
      <c r="H150" t="s">
        <v>141</v>
      </c>
      <c r="I150" t="s">
        <v>141</v>
      </c>
      <c r="J150" t="s">
        <v>141</v>
      </c>
      <c r="K150" t="s">
        <v>141</v>
      </c>
      <c r="L150">
        <v>2.4500000000000073</v>
      </c>
      <c r="M150">
        <v>2.4500000000000073</v>
      </c>
      <c r="N150" t="s">
        <v>141</v>
      </c>
    </row>
    <row r="151" spans="1:14" ht="12.75">
      <c r="A151" t="s">
        <v>30</v>
      </c>
      <c r="B151" t="s">
        <v>35</v>
      </c>
      <c r="C151" t="s">
        <v>145</v>
      </c>
      <c r="D151" t="s">
        <v>136</v>
      </c>
      <c r="E151" t="s">
        <v>141</v>
      </c>
      <c r="F151" t="s">
        <v>28</v>
      </c>
      <c r="G151" t="s">
        <v>29</v>
      </c>
      <c r="H151" t="s">
        <v>141</v>
      </c>
      <c r="I151" t="s">
        <v>141</v>
      </c>
      <c r="J151" t="s">
        <v>141</v>
      </c>
      <c r="K151" t="s">
        <v>141</v>
      </c>
      <c r="L151">
        <v>2.4500000000000073</v>
      </c>
      <c r="M151">
        <v>2.4500000000000073</v>
      </c>
      <c r="N151" t="s">
        <v>141</v>
      </c>
    </row>
    <row r="152" spans="1:14" ht="12.75">
      <c r="A152" t="s">
        <v>30</v>
      </c>
      <c r="B152" t="s">
        <v>35</v>
      </c>
      <c r="C152" t="s">
        <v>148</v>
      </c>
      <c r="D152" t="s">
        <v>136</v>
      </c>
      <c r="E152" t="s">
        <v>141</v>
      </c>
      <c r="F152" t="s">
        <v>28</v>
      </c>
      <c r="G152" t="s">
        <v>36</v>
      </c>
      <c r="H152" t="s">
        <v>141</v>
      </c>
      <c r="I152" t="s">
        <v>141</v>
      </c>
      <c r="J152" t="s">
        <v>141</v>
      </c>
      <c r="K152" t="s">
        <v>141</v>
      </c>
      <c r="L152">
        <v>1.0230831673189618</v>
      </c>
      <c r="M152">
        <v>1.0230831673189618</v>
      </c>
      <c r="N152" t="s">
        <v>141</v>
      </c>
    </row>
    <row r="153" spans="1:14" ht="12.75">
      <c r="A153" t="s">
        <v>30</v>
      </c>
      <c r="B153" t="s">
        <v>35</v>
      </c>
      <c r="C153" t="s">
        <v>148</v>
      </c>
      <c r="D153" t="s">
        <v>136</v>
      </c>
      <c r="E153" t="s">
        <v>141</v>
      </c>
      <c r="F153" t="s">
        <v>28</v>
      </c>
      <c r="G153" t="s">
        <v>26</v>
      </c>
      <c r="H153" t="s">
        <v>141</v>
      </c>
      <c r="I153" t="s">
        <v>141</v>
      </c>
      <c r="J153" t="s">
        <v>141</v>
      </c>
      <c r="K153" t="s">
        <v>141</v>
      </c>
      <c r="L153">
        <v>1.098867105638881</v>
      </c>
      <c r="M153">
        <v>1.098867105638881</v>
      </c>
      <c r="N153" t="s">
        <v>141</v>
      </c>
    </row>
    <row r="154" spans="1:14" ht="12.75">
      <c r="A154" t="s">
        <v>30</v>
      </c>
      <c r="B154" t="s">
        <v>35</v>
      </c>
      <c r="C154" t="s">
        <v>148</v>
      </c>
      <c r="D154" t="s">
        <v>136</v>
      </c>
      <c r="E154" t="s">
        <v>141</v>
      </c>
      <c r="F154" t="s">
        <v>28</v>
      </c>
      <c r="G154" t="s">
        <v>31</v>
      </c>
      <c r="H154" t="s">
        <v>141</v>
      </c>
      <c r="I154" t="s">
        <v>141</v>
      </c>
      <c r="J154" t="s">
        <v>141</v>
      </c>
      <c r="K154" t="s">
        <v>141</v>
      </c>
      <c r="L154">
        <v>1.288326951438691</v>
      </c>
      <c r="M154">
        <v>1.288326951438691</v>
      </c>
      <c r="N154" t="s">
        <v>141</v>
      </c>
    </row>
    <row r="155" spans="1:14" ht="12.75">
      <c r="A155" t="s">
        <v>30</v>
      </c>
      <c r="B155" t="s">
        <v>35</v>
      </c>
      <c r="C155" t="s">
        <v>148</v>
      </c>
      <c r="D155" t="s">
        <v>136</v>
      </c>
      <c r="E155" t="s">
        <v>141</v>
      </c>
      <c r="F155" t="s">
        <v>28</v>
      </c>
      <c r="G155" t="s">
        <v>129</v>
      </c>
      <c r="H155" t="s">
        <v>141</v>
      </c>
      <c r="I155" t="s">
        <v>141</v>
      </c>
      <c r="J155" t="s">
        <v>141</v>
      </c>
      <c r="K155" t="s">
        <v>141</v>
      </c>
      <c r="L155">
        <v>1.288326951438691</v>
      </c>
      <c r="M155">
        <v>1.288326951438691</v>
      </c>
      <c r="N155" t="s">
        <v>141</v>
      </c>
    </row>
    <row r="156" spans="1:14" ht="12.75">
      <c r="A156" t="s">
        <v>30</v>
      </c>
      <c r="B156" t="s">
        <v>35</v>
      </c>
      <c r="C156" t="s">
        <v>148</v>
      </c>
      <c r="D156" t="s">
        <v>136</v>
      </c>
      <c r="E156" t="s">
        <v>141</v>
      </c>
      <c r="F156" t="s">
        <v>28</v>
      </c>
      <c r="G156" t="s">
        <v>29</v>
      </c>
      <c r="H156" t="s">
        <v>141</v>
      </c>
      <c r="I156" t="s">
        <v>141</v>
      </c>
      <c r="J156" t="s">
        <v>141</v>
      </c>
      <c r="K156" t="s">
        <v>141</v>
      </c>
      <c r="L156">
        <v>1.288326951438691</v>
      </c>
      <c r="M156">
        <v>1.288326951438691</v>
      </c>
      <c r="N156" t="s">
        <v>141</v>
      </c>
    </row>
    <row r="157" spans="1:14" ht="12.75">
      <c r="A157" t="s">
        <v>30</v>
      </c>
      <c r="B157" t="s">
        <v>35</v>
      </c>
      <c r="C157" t="s">
        <v>148</v>
      </c>
      <c r="D157" t="s">
        <v>138</v>
      </c>
      <c r="E157" t="s">
        <v>141</v>
      </c>
      <c r="F157" t="s">
        <v>28</v>
      </c>
      <c r="G157" t="s">
        <v>36</v>
      </c>
      <c r="H157" t="s">
        <v>141</v>
      </c>
      <c r="I157" t="s">
        <v>141</v>
      </c>
      <c r="J157" t="s">
        <v>141</v>
      </c>
      <c r="K157" t="s">
        <v>141</v>
      </c>
      <c r="L157">
        <v>0.58390584482113206</v>
      </c>
      <c r="M157">
        <v>0.58390584482113206</v>
      </c>
      <c r="N157" t="s">
        <v>141</v>
      </c>
    </row>
    <row r="158" spans="1:14" ht="12.75">
      <c r="A158" t="s">
        <v>30</v>
      </c>
      <c r="B158" t="s">
        <v>35</v>
      </c>
      <c r="C158" t="s">
        <v>148</v>
      </c>
      <c r="D158" t="s">
        <v>138</v>
      </c>
      <c r="E158" t="s">
        <v>141</v>
      </c>
      <c r="F158" t="s">
        <v>28</v>
      </c>
      <c r="G158" t="s">
        <v>26</v>
      </c>
      <c r="H158" t="s">
        <v>141</v>
      </c>
      <c r="I158" t="s">
        <v>141</v>
      </c>
      <c r="J158" t="s">
        <v>141</v>
      </c>
      <c r="K158" t="s">
        <v>141</v>
      </c>
      <c r="L158">
        <v>0.62715812962269724</v>
      </c>
      <c r="M158">
        <v>0.62715812962269724</v>
      </c>
      <c r="N158" t="s">
        <v>141</v>
      </c>
    </row>
    <row r="159" spans="1:14" ht="12.75">
      <c r="A159" t="s">
        <v>30</v>
      </c>
      <c r="B159" t="s">
        <v>35</v>
      </c>
      <c r="C159" t="s">
        <v>148</v>
      </c>
      <c r="D159" t="s">
        <v>138</v>
      </c>
      <c r="E159" t="s">
        <v>141</v>
      </c>
      <c r="F159" t="s">
        <v>28</v>
      </c>
      <c r="G159" t="s">
        <v>31</v>
      </c>
      <c r="H159" t="s">
        <v>141</v>
      </c>
      <c r="I159" t="s">
        <v>141</v>
      </c>
      <c r="J159" t="s">
        <v>141</v>
      </c>
      <c r="K159" t="s">
        <v>141</v>
      </c>
      <c r="L159">
        <v>0.73528884162661301</v>
      </c>
      <c r="M159">
        <v>0.73528884162661301</v>
      </c>
      <c r="N159" t="s">
        <v>141</v>
      </c>
    </row>
    <row r="160" spans="1:14" ht="12.75">
      <c r="A160" t="s">
        <v>30</v>
      </c>
      <c r="B160" t="s">
        <v>35</v>
      </c>
      <c r="C160" t="s">
        <v>148</v>
      </c>
      <c r="D160" t="s">
        <v>138</v>
      </c>
      <c r="E160" t="s">
        <v>141</v>
      </c>
      <c r="F160" t="s">
        <v>28</v>
      </c>
      <c r="G160" t="s">
        <v>129</v>
      </c>
      <c r="H160" t="s">
        <v>141</v>
      </c>
      <c r="I160" t="s">
        <v>141</v>
      </c>
      <c r="J160" t="s">
        <v>141</v>
      </c>
      <c r="K160" t="s">
        <v>141</v>
      </c>
      <c r="L160">
        <v>0.73528884162661301</v>
      </c>
      <c r="M160">
        <v>0.73528884162661301</v>
      </c>
      <c r="N160" t="s">
        <v>141</v>
      </c>
    </row>
    <row r="161" spans="1:14" ht="12.75">
      <c r="A161" t="s">
        <v>30</v>
      </c>
      <c r="B161" t="s">
        <v>35</v>
      </c>
      <c r="C161" t="s">
        <v>148</v>
      </c>
      <c r="D161" t="s">
        <v>138</v>
      </c>
      <c r="E161" t="s">
        <v>141</v>
      </c>
      <c r="F161" t="s">
        <v>28</v>
      </c>
      <c r="G161" t="s">
        <v>29</v>
      </c>
      <c r="H161" t="s">
        <v>141</v>
      </c>
      <c r="I161" t="s">
        <v>141</v>
      </c>
      <c r="J161" t="s">
        <v>141</v>
      </c>
      <c r="K161" t="s">
        <v>141</v>
      </c>
      <c r="L161">
        <v>0.73528884162661301</v>
      </c>
      <c r="M161">
        <v>0.73528884162661301</v>
      </c>
      <c r="N161" t="s">
        <v>141</v>
      </c>
    </row>
    <row r="162" spans="1:14" ht="12.75">
      <c r="A162" t="s">
        <v>30</v>
      </c>
      <c r="B162" t="s">
        <v>35</v>
      </c>
      <c r="C162" t="s">
        <v>146</v>
      </c>
      <c r="D162" t="s">
        <v>136</v>
      </c>
      <c r="E162" t="s">
        <v>141</v>
      </c>
      <c r="F162" t="s">
        <v>28</v>
      </c>
      <c r="G162" t="s">
        <v>36</v>
      </c>
      <c r="H162" t="s">
        <v>141</v>
      </c>
      <c r="I162" t="s">
        <v>141</v>
      </c>
      <c r="J162" t="s">
        <v>141</v>
      </c>
      <c r="K162" t="s">
        <v>141</v>
      </c>
      <c r="L162">
        <v>1.1367590747988445</v>
      </c>
      <c r="M162">
        <v>1.1367590747988445</v>
      </c>
      <c r="N162" t="s">
        <v>141</v>
      </c>
    </row>
    <row r="163" spans="1:14" ht="12.75">
      <c r="A163" t="s">
        <v>30</v>
      </c>
      <c r="B163" t="s">
        <v>35</v>
      </c>
      <c r="C163" t="s">
        <v>146</v>
      </c>
      <c r="D163" t="s">
        <v>136</v>
      </c>
      <c r="E163" t="s">
        <v>141</v>
      </c>
      <c r="F163" t="s">
        <v>28</v>
      </c>
      <c r="G163" t="s">
        <v>26</v>
      </c>
      <c r="H163" t="s">
        <v>141</v>
      </c>
      <c r="I163" t="s">
        <v>141</v>
      </c>
      <c r="J163" t="s">
        <v>141</v>
      </c>
      <c r="K163" t="s">
        <v>141</v>
      </c>
      <c r="L163">
        <v>1.1746510439588003</v>
      </c>
      <c r="M163">
        <v>1.1746510439588003</v>
      </c>
      <c r="N163" t="s">
        <v>141</v>
      </c>
    </row>
    <row r="164" spans="1:14" ht="12.75">
      <c r="A164" t="s">
        <v>30</v>
      </c>
      <c r="B164" t="s">
        <v>35</v>
      </c>
      <c r="C164" t="s">
        <v>146</v>
      </c>
      <c r="D164" t="s">
        <v>136</v>
      </c>
      <c r="E164" t="s">
        <v>141</v>
      </c>
      <c r="F164" t="s">
        <v>28</v>
      </c>
      <c r="G164" t="s">
        <v>31</v>
      </c>
      <c r="H164" t="s">
        <v>141</v>
      </c>
      <c r="I164" t="s">
        <v>141</v>
      </c>
      <c r="J164" t="s">
        <v>141</v>
      </c>
      <c r="K164" t="s">
        <v>141</v>
      </c>
      <c r="L164">
        <v>1.1746510439588003</v>
      </c>
      <c r="M164">
        <v>1.1746510439588003</v>
      </c>
      <c r="N164" t="s">
        <v>141</v>
      </c>
    </row>
    <row r="165" spans="1:14" ht="12.75">
      <c r="A165" t="s">
        <v>30</v>
      </c>
      <c r="B165" t="s">
        <v>35</v>
      </c>
      <c r="C165" t="s">
        <v>146</v>
      </c>
      <c r="D165" t="s">
        <v>136</v>
      </c>
      <c r="E165" t="s">
        <v>141</v>
      </c>
      <c r="F165" t="s">
        <v>28</v>
      </c>
      <c r="G165" t="s">
        <v>129</v>
      </c>
      <c r="H165" t="s">
        <v>141</v>
      </c>
      <c r="I165" t="s">
        <v>141</v>
      </c>
      <c r="J165" t="s">
        <v>141</v>
      </c>
      <c r="K165" t="s">
        <v>141</v>
      </c>
      <c r="L165">
        <v>1.2125430131187638</v>
      </c>
      <c r="M165">
        <v>1.2125430131187638</v>
      </c>
      <c r="N165" t="s">
        <v>141</v>
      </c>
    </row>
    <row r="166" spans="1:14" ht="12.75">
      <c r="A166" t="s">
        <v>30</v>
      </c>
      <c r="B166" t="s">
        <v>35</v>
      </c>
      <c r="C166" t="s">
        <v>146</v>
      </c>
      <c r="D166" t="s">
        <v>136</v>
      </c>
      <c r="E166" t="s">
        <v>141</v>
      </c>
      <c r="F166" t="s">
        <v>28</v>
      </c>
      <c r="G166" t="s">
        <v>29</v>
      </c>
      <c r="H166" t="s">
        <v>141</v>
      </c>
      <c r="I166" t="s">
        <v>141</v>
      </c>
      <c r="J166" t="s">
        <v>141</v>
      </c>
      <c r="K166" t="s">
        <v>141</v>
      </c>
      <c r="L166">
        <v>1.2125430131187638</v>
      </c>
      <c r="M166">
        <v>1.2125430131187638</v>
      </c>
      <c r="N166" t="s">
        <v>141</v>
      </c>
    </row>
    <row r="167" spans="1:14" ht="12.75">
      <c r="A167" t="s">
        <v>30</v>
      </c>
      <c r="B167" t="s">
        <v>35</v>
      </c>
      <c r="C167" t="s">
        <v>146</v>
      </c>
      <c r="D167" t="s">
        <v>138</v>
      </c>
      <c r="E167" t="s">
        <v>141</v>
      </c>
      <c r="F167" t="s">
        <v>28</v>
      </c>
      <c r="G167" t="s">
        <v>36</v>
      </c>
      <c r="H167" t="s">
        <v>141</v>
      </c>
      <c r="I167" t="s">
        <v>141</v>
      </c>
      <c r="J167" t="s">
        <v>141</v>
      </c>
      <c r="K167" t="s">
        <v>141</v>
      </c>
      <c r="L167">
        <v>0.64878427202347866</v>
      </c>
      <c r="M167">
        <v>0.64878427202347866</v>
      </c>
      <c r="N167" t="s">
        <v>141</v>
      </c>
    </row>
    <row r="168" spans="1:14" ht="12.75">
      <c r="A168" t="s">
        <v>30</v>
      </c>
      <c r="B168" t="s">
        <v>35</v>
      </c>
      <c r="C168" t="s">
        <v>146</v>
      </c>
      <c r="D168" t="s">
        <v>138</v>
      </c>
      <c r="E168" t="s">
        <v>141</v>
      </c>
      <c r="F168" t="s">
        <v>28</v>
      </c>
      <c r="G168" t="s">
        <v>26</v>
      </c>
      <c r="H168" t="s">
        <v>141</v>
      </c>
      <c r="I168" t="s">
        <v>141</v>
      </c>
      <c r="J168" t="s">
        <v>141</v>
      </c>
      <c r="K168" t="s">
        <v>141</v>
      </c>
      <c r="L168">
        <v>0.67041041442426386</v>
      </c>
      <c r="M168">
        <v>0.67041041442426386</v>
      </c>
      <c r="N168" t="s">
        <v>141</v>
      </c>
    </row>
    <row r="169" spans="1:14" ht="12.75">
      <c r="A169" t="s">
        <v>30</v>
      </c>
      <c r="B169" t="s">
        <v>35</v>
      </c>
      <c r="C169" t="s">
        <v>146</v>
      </c>
      <c r="D169" t="s">
        <v>138</v>
      </c>
      <c r="E169" t="s">
        <v>141</v>
      </c>
      <c r="F169" t="s">
        <v>28</v>
      </c>
      <c r="G169" t="s">
        <v>31</v>
      </c>
      <c r="H169" t="s">
        <v>141</v>
      </c>
      <c r="I169" t="s">
        <v>141</v>
      </c>
      <c r="J169" t="s">
        <v>141</v>
      </c>
      <c r="K169" t="s">
        <v>141</v>
      </c>
      <c r="L169">
        <v>0.67041041442426386</v>
      </c>
      <c r="M169">
        <v>0.67041041442426386</v>
      </c>
      <c r="N169" t="s">
        <v>141</v>
      </c>
    </row>
    <row r="170" spans="1:14" ht="12.75">
      <c r="A170" t="s">
        <v>30</v>
      </c>
      <c r="B170" t="s">
        <v>35</v>
      </c>
      <c r="C170" t="s">
        <v>146</v>
      </c>
      <c r="D170" t="s">
        <v>138</v>
      </c>
      <c r="E170" t="s">
        <v>141</v>
      </c>
      <c r="F170" t="s">
        <v>28</v>
      </c>
      <c r="G170" t="s">
        <v>129</v>
      </c>
      <c r="H170" t="s">
        <v>141</v>
      </c>
      <c r="I170" t="s">
        <v>141</v>
      </c>
      <c r="J170" t="s">
        <v>141</v>
      </c>
      <c r="K170" t="s">
        <v>141</v>
      </c>
      <c r="L170">
        <v>0.69203655682504261</v>
      </c>
      <c r="M170">
        <v>0.69203655682504261</v>
      </c>
      <c r="N170" t="s">
        <v>141</v>
      </c>
    </row>
    <row r="171" spans="1:14" ht="12.75">
      <c r="A171" t="s">
        <v>30</v>
      </c>
      <c r="B171" t="s">
        <v>35</v>
      </c>
      <c r="C171" t="s">
        <v>146</v>
      </c>
      <c r="D171" t="s">
        <v>138</v>
      </c>
      <c r="E171" t="s">
        <v>141</v>
      </c>
      <c r="F171" t="s">
        <v>28</v>
      </c>
      <c r="G171" t="s">
        <v>29</v>
      </c>
      <c r="H171" t="s">
        <v>141</v>
      </c>
      <c r="I171" t="s">
        <v>141</v>
      </c>
      <c r="J171" t="s">
        <v>141</v>
      </c>
      <c r="K171" t="s">
        <v>141</v>
      </c>
      <c r="L171">
        <v>0.69203655682504261</v>
      </c>
      <c r="M171">
        <v>0.69203655682504261</v>
      </c>
      <c r="N171" t="s">
        <v>141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35AAEA1B2FCB4388BD96CEDC55F277" ma:contentTypeVersion="9" ma:contentTypeDescription="Creare un nuovo documento." ma:contentTypeScope="" ma:versionID="3dbe2424fad29e82dbed878f9c5e39b8">
  <xsd:schema xmlns:xsd="http://www.w3.org/2001/XMLSchema" xmlns:xs="http://www.w3.org/2001/XMLSchema" xmlns:p="http://schemas.microsoft.com/office/2006/metadata/properties" xmlns:ns2="0e3883c7-7fd1-40f0-8067-c70ec1cfb7e8" xmlns:ns3="5976181e-0ba6-4027-87bb-22a58e318fb6" targetNamespace="http://schemas.microsoft.com/office/2006/metadata/properties" ma:root="true" ma:fieldsID="13ef504368312e798a12ea4dafd4e8bd" ns2:_="" ns3:_="">
    <xsd:import namespace="0e3883c7-7fd1-40f0-8067-c70ec1cfb7e8"/>
    <xsd:import namespace="5976181e-0ba6-4027-87bb-22a58e318f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883c7-7fd1-40f0-8067-c70ec1cfb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6181e-0ba6-4027-87bb-22a58e318fb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CB3A9-2CA1-4A4E-9EDD-514DC96AFA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758C89-CF33-4130-A0A6-B2C8CC236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883c7-7fd1-40f0-8067-c70ec1cfb7e8"/>
    <ds:schemaRef ds:uri="5976181e-0ba6-4027-87bb-22a58e318f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8053DF-99EC-45E5-BF37-45C9F8FBB5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Legend</vt:lpstr>
      <vt:lpstr>Ambient Heat</vt:lpstr>
      <vt:lpstr>FillData</vt:lpstr>
      <vt:lpstr>COP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E4SMA</dc:creator>
  <cp:keywords/>
  <dc:description/>
  <cp:lastModifiedBy>Bakytzhan Suleimenov</cp:lastModifiedBy>
  <cp:lastPrinted>2001-09-28T20:39:50Z</cp:lastPrinted>
  <dcterms:created xsi:type="dcterms:W3CDTF">2001-09-28T18:48:17Z</dcterms:created>
  <dcterms:modified xsi:type="dcterms:W3CDTF">2023-11-16T00:16:26Z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0x0101003D35AAEA1B2FCB4388BD96CEDC55F277</vt:lpwstr>
  </property>
  <property fmtid="{D5CDD505-2E9C-101B-9397-08002B2CF9AE}" pid="3" name="SaveCode">
    <vt:r8>978313863277435</vt:r8>
  </property>
</Properties>
</file>