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ersons/person.xml" ContentType="application/vnd.ms-excel.perso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Default Extension="jpeg" ContentType="image/jpeg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s4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Default Extension="vml" ContentType="application/vnd.openxmlformats-officedocument.vmlDrawing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ctrProps/ctrProp1.xml" ContentType="application/vnd.ms-excel.controlproperties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30131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VEDA\Demo_models\Demo_models\TIM-LEAF 080626\TIM-LEAF 080626\tim-leaf 080626\SuppXLS\"/>
    </mc:Choice>
  </mc:AlternateContent>
  <bookViews>
    <workbookView xWindow="15120" yWindow="-16310" windowWidth="29020" windowHeight="15700" activeTab="0"/>
  </bookViews>
  <sheets>
    <sheet name="Cover" sheetId="5" r:id="rId4"/>
    <sheet name="BY-Demands" sheetId="4" r:id="rId5"/>
    <sheet name="REG_TRA_DEMANDS" sheetId="3" r:id="rId6"/>
    <sheet name="DEMANDS" sheetId="1" r:id="rId7"/>
    <sheet name="AGR demand" sheetId="7" r:id="rId8"/>
    <sheet name="AGR_DEMAND_LED" sheetId="8" r:id="rId9"/>
    <sheet name="Sheet1" sheetId="9" r:id="rId10"/>
    <sheet name="Regions" sheetId="2" r:id="rId11"/>
    <sheet name="TRA-2021" sheetId="6" r:id="rId12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CAGR">DEMANDS!$U$5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_alku">"1.1."</definedName>
    <definedName name="I_loppu">"31.3."</definedName>
    <definedName name="II_alku">"1.4."</definedName>
    <definedName name="II_loppu">"30.6."</definedName>
    <definedName name="III_alku">"1.7."</definedName>
    <definedName name="III_loppu">"30.9."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IV_alku">"1.10."</definedName>
    <definedName name="IV_loppu">"31.12."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8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 a="1"/>
</calcChain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vahid Aryanpur</author>
    <author>11</author>
    <author>tc={9B57E161-550D-4A4E-97F2-382B8393D1FF}</author>
    <author>tc={FA644243-5C82-49A2-9E18-155BC945F002}</author>
    <author>tc={58A128E1-0CEE-4B03-8BAC-A4332CB39BA7}</author>
    <author>tc={005BD459-4167-434A-824B-E28EB95E63A1}</author>
    <author>tc={B60F1593-6574-4356-A75A-A449B53F0694}</author>
    <author>tc={B19ADDE3-46E4-4537-9333-0A41E976B211}</author>
  </authors>
  <commentList>
    <comment ref="J17" authorId="0" shapeId="0" xr:uid="{C4E603A2-B847-453D-B34E-0123FD2189DB}">
      <text>
        <r>
          <rPr>
            <b/>
            <sz val="9"/>
            <rFont val="Tahoma"/>
            <family val="2"/>
          </rPr>
          <t>vahid Aryanpur:</t>
        </r>
        <r>
          <rPr>
            <sz val="9"/>
            <rFont val="Tahoma"/>
            <family val="2"/>
          </rPr>
          <t xml:space="preserve">
Updated, based on proportion of total fuel consumption</t>
        </r>
      </text>
    </comment>
    <comment ref="M17" authorId="1" shapeId="0" xr:uid="{595B8A25-D805-4679-A5C2-C75F70A5ED19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1.125% growth rate</t>
        </r>
      </text>
    </comment>
    <comment ref="M18" authorId="1" shapeId="0" xr:uid="{C66F5F0E-AC10-4552-BE42-FA3851A656CB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1.15% growth rate</t>
        </r>
      </text>
    </comment>
    <comment ref="M19" authorId="1" shapeId="0" xr:uid="{F43EA194-CE39-409F-87DD-5C63EB2607EB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1.25% growth rate</t>
        </r>
      </text>
    </comment>
    <comment ref="H20" authorId="2" shapeId="0" xr:uid="{9B57E161-550D-4A4E-97F2-382B8393D1FF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I20" authorId="3" shapeId="0" xr:uid="{FA644243-5C82-49A2-9E18-155BC945F002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J20" authorId="4" shapeId="0" xr:uid="{58A128E1-0CEE-4B03-8BAC-A4332CB39BA7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J114" authorId="0" shapeId="0" xr:uid="{79ABF290-CD41-44AD-ADDE-8C7D0AD6D8D0}">
      <text>
        <r>
          <rPr>
            <b/>
            <sz val="9"/>
            <rFont val="Tahoma"/>
            <family val="2"/>
          </rPr>
          <t>vahid Aryanpur:</t>
        </r>
        <r>
          <rPr>
            <sz val="9"/>
            <rFont val="Tahoma"/>
            <family val="2"/>
          </rPr>
          <t xml:space="preserve">
Updated, based on proportion of total fuel consumption</t>
        </r>
      </text>
    </comment>
    <comment ref="M114" authorId="1" shapeId="0" xr:uid="{3CB497A0-E0E4-420B-A0FE-E57FA0EE42EC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1.125% growth rate</t>
        </r>
      </text>
    </comment>
    <comment ref="M115" authorId="1" shapeId="0" xr:uid="{49E6C170-A7CA-478E-BCB3-1C184AF1CD9D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1.15% growth rate</t>
        </r>
      </text>
    </comment>
    <comment ref="M116" authorId="1" shapeId="0" xr:uid="{B1C7C1CD-C386-4A75-AE41-C34E89354256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1.25% growth rate</t>
        </r>
      </text>
    </comment>
    <comment ref="H117" authorId="5" shapeId="0" xr:uid="{005BD459-4167-434A-824B-E28EB95E63A1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I117" authorId="6" shapeId="0" xr:uid="{B60F1593-6574-4356-A75A-A449B53F0694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J117" authorId="7" shapeId="0" xr:uid="{B19ADDE3-46E4-4537-9333-0A41E976B211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<sst xmlns="http://schemas.openxmlformats.org/spreadsheetml/2006/main" count="971" uniqueCount="262">
  <si>
    <t>~TFM_INS-TS</t>
  </si>
  <si>
    <t xml:space="preserve"> </t>
  </si>
  <si>
    <t>LimType</t>
  </si>
  <si>
    <t>Attribute</t>
  </si>
  <si>
    <t>Region</t>
  </si>
  <si>
    <t>Cset_CN</t>
  </si>
  <si>
    <t>COM_PROJ</t>
  </si>
  <si>
    <t>INEM</t>
  </si>
  <si>
    <t xml:space="preserve">Non-Energy Mining </t>
  </si>
  <si>
    <t>IFAB</t>
  </si>
  <si>
    <t xml:space="preserve">Food and beverages </t>
  </si>
  <si>
    <t>ITAP</t>
  </si>
  <si>
    <t xml:space="preserve">Textiles and textile products </t>
  </si>
  <si>
    <t>IWAP</t>
  </si>
  <si>
    <t xml:space="preserve">Wood and wood products </t>
  </si>
  <si>
    <t>IPX4</t>
  </si>
  <si>
    <t xml:space="preserve">Pulp, paper, publishing and printing </t>
  </si>
  <si>
    <t>ICAF</t>
  </si>
  <si>
    <t xml:space="preserve">Chemicals and man-made fibres </t>
  </si>
  <si>
    <t>IRAP</t>
  </si>
  <si>
    <t xml:space="preserve">Rubber and plastic products </t>
  </si>
  <si>
    <t>IONM</t>
  </si>
  <si>
    <t xml:space="preserve">Other non-metallic mineral products </t>
  </si>
  <si>
    <t>IMAP</t>
  </si>
  <si>
    <t xml:space="preserve">Basic metals and fabricated metal products </t>
  </si>
  <si>
    <t>IMAE</t>
  </si>
  <si>
    <t xml:space="preserve">Machinery and equipment n.e.c. </t>
  </si>
  <si>
    <t>IEOE</t>
  </si>
  <si>
    <t>Electrical and optical equipment demand</t>
  </si>
  <si>
    <t>ITEM</t>
  </si>
  <si>
    <t xml:space="preserve">Transport equipment manufacture </t>
  </si>
  <si>
    <t>IOMA</t>
  </si>
  <si>
    <t xml:space="preserve">Other manufacturing </t>
  </si>
  <si>
    <t>ICON</t>
  </si>
  <si>
    <t>Construction</t>
  </si>
  <si>
    <t>TRAPS</t>
  </si>
  <si>
    <t>Transport Demand: Short-range passenger travels</t>
  </si>
  <si>
    <t>TRAPM</t>
  </si>
  <si>
    <t>Transport Demand: Medium-range passenger travels</t>
  </si>
  <si>
    <t>TRAPL</t>
  </si>
  <si>
    <t>Transport Demand: Long-range passenger travels</t>
  </si>
  <si>
    <t>TRAF</t>
  </si>
  <si>
    <t>Transport Demand: Goods vehicle for freight</t>
  </si>
  <si>
    <t>TTURS</t>
  </si>
  <si>
    <t xml:space="preserve">Transport Demand: Turism fuel </t>
  </si>
  <si>
    <t>TNAV</t>
  </si>
  <si>
    <t xml:space="preserve">Transport Demand: Navigation fuel </t>
  </si>
  <si>
    <t>TOTH</t>
  </si>
  <si>
    <t>Transport Demand: Unspecified fuel</t>
  </si>
  <si>
    <t>TAVIDOM</t>
  </si>
  <si>
    <t>Transport Demand: Aviation domestic</t>
  </si>
  <si>
    <t>TAVIINT</t>
  </si>
  <si>
    <t>Transport Demand: Aviation international</t>
  </si>
  <si>
    <t>RSD_Apt</t>
  </si>
  <si>
    <t>Residential Apartment Demand</t>
  </si>
  <si>
    <t>RSD_Att</t>
  </si>
  <si>
    <t>Residential Attached Demand</t>
  </si>
  <si>
    <t>RSD_Det</t>
  </si>
  <si>
    <t>Residential Detached Demand</t>
  </si>
  <si>
    <t>*Description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</si>
  <si>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</si>
  <si>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</si>
  <si>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</si>
  <si>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</si>
  <si>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</si>
  <si>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</si>
  <si>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</si>
  <si>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</si>
  <si>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</si>
  <si>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</si>
  <si>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</si>
  <si>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</si>
  <si>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</si>
  <si>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</si>
  <si>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</si>
  <si>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</si>
  <si>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</si>
  <si>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</si>
  <si>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</si>
  <si>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</si>
  <si>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</si>
  <si>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</si>
  <si>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</si>
  <si>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</si>
  <si>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</si>
  <si>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</si>
  <si>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</si>
  <si>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</si>
  <si>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</si>
  <si>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</si>
  <si>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</si>
  <si>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</si>
  <si>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</si>
  <si>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</si>
  <si>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</si>
  <si>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</si>
  <si>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</si>
  <si>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</si>
  <si>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</si>
  <si>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</si>
  <si>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</si>
  <si>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</si>
  <si>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</si>
  <si>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</si>
  <si>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</si>
  <si>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</si>
  <si>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</si>
  <si>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</si>
  <si>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</si>
  <si>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</si>
  <si>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</si>
  <si>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</si>
  <si>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</si>
  <si>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</si>
  <si>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</si>
  <si>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</si>
  <si>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</si>
  <si>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</si>
  <si>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</si>
  <si>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  <family val="2"/>
      </rPr>
      <t>https://en.wikipedia.org/wiki/ISO_3166-2:IE</t>
    </r>
  </si>
  <si>
    <t>Year</t>
  </si>
  <si>
    <t>TimeSlice</t>
  </si>
  <si>
    <t>~TFM_DINS</t>
  </si>
  <si>
    <t>~TFM_FILL</t>
  </si>
  <si>
    <t>Operation_Sum_Avg_Count</t>
  </si>
  <si>
    <t>Scenario Name</t>
  </si>
  <si>
    <t>A</t>
  </si>
  <si>
    <t>BASE</t>
  </si>
  <si>
    <t>RSDRF</t>
  </si>
  <si>
    <t>RSDCK</t>
  </si>
  <si>
    <t>RSDCW</t>
  </si>
  <si>
    <t>RSDCD</t>
  </si>
  <si>
    <t>RSDDW</t>
  </si>
  <si>
    <t>RSDOE</t>
  </si>
  <si>
    <t>RSDOA</t>
  </si>
  <si>
    <t>SRV-CS</t>
  </si>
  <si>
    <t>Services - Commercial Services</t>
  </si>
  <si>
    <t>SRV-PU</t>
  </si>
  <si>
    <t>Services - Public Services</t>
  </si>
  <si>
    <t>SRVDCE-CS</t>
  </si>
  <si>
    <t>SRV-Commercial Services: Data centers</t>
  </si>
  <si>
    <t>SRVPLIG-PU</t>
  </si>
  <si>
    <t>SRV-Public Services: Public lighting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</si>
  <si>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</si>
  <si>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</si>
  <si>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</si>
  <si>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</si>
  <si>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</si>
  <si>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</si>
  <si>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</si>
  <si>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</si>
  <si>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</si>
  <si>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</si>
  <si>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</si>
  <si>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</si>
  <si>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Scenario</t>
  </si>
  <si>
    <t>All end-use sectors</t>
  </si>
  <si>
    <t>Specify end-use demand projections</t>
  </si>
  <si>
    <t>Ankita Gaur (UCC, agaur@ucc.ie)</t>
  </si>
  <si>
    <t>Olexandr Balyk (UCC, olexandr.balyk@ucc.ie)</t>
  </si>
  <si>
    <t>Vahid Aryanpur (UCC, vahid.aryanpur@ucc.ie)</t>
  </si>
  <si>
    <t>IE,National</t>
  </si>
  <si>
    <t>Residential Refrigeration Demand</t>
  </si>
  <si>
    <t>Residential Cooking Demand</t>
  </si>
  <si>
    <t>Residential Cloth Washing Demand</t>
  </si>
  <si>
    <t>Residential Cloth Drying Demand</t>
  </si>
  <si>
    <t>Residential Dish Washing Demand</t>
  </si>
  <si>
    <t>Residential ELC Appliances Demand</t>
  </si>
  <si>
    <t>Residential Other Applications Demand</t>
  </si>
  <si>
    <t>Total fuel consumption (litre)</t>
  </si>
  <si>
    <t>6,681,011,455</t>
  </si>
  <si>
    <t>6,688,720,344</t>
  </si>
  <si>
    <t>6,132,509,241</t>
  </si>
  <si>
    <t>Source: NORA (National Oil Reserves Agency), https://www.nora.ie/statistics.312.html</t>
  </si>
  <si>
    <t>Proportion of total fuel consumption</t>
  </si>
  <si>
    <t>ALL FUELS</t>
  </si>
  <si>
    <t>2021/2018</t>
  </si>
  <si>
    <t>2021/2020</t>
  </si>
  <si>
    <t>Original value (2021)</t>
  </si>
  <si>
    <t>January</t>
  </si>
  <si>
    <t>February</t>
  </si>
  <si>
    <t>March</t>
  </si>
  <si>
    <t>April</t>
  </si>
  <si>
    <t>May</t>
  </si>
  <si>
    <t>June</t>
  </si>
  <si>
    <t>July</t>
  </si>
  <si>
    <t>Volume of fuel consumption (litre)</t>
  </si>
  <si>
    <t>7 months fuel consumption</t>
  </si>
  <si>
    <t>Increase</t>
  </si>
  <si>
    <t>2022/2018</t>
  </si>
  <si>
    <t>2023/2022</t>
  </si>
  <si>
    <t>Table 1 Metered Electricity Consumption 2015-2022</t>
  </si>
  <si>
    <t>% of Total</t>
  </si>
  <si>
    <t>Data Centre</t>
  </si>
  <si>
    <t>Other Metered Customers</t>
  </si>
  <si>
    <t>Total</t>
  </si>
  <si>
    <t>% Data Centre</t>
  </si>
  <si>
    <t>GWh</t>
  </si>
  <si>
    <t>PJ</t>
  </si>
  <si>
    <t>Indigenous Generation</t>
  </si>
  <si>
    <t>Net imports</t>
  </si>
  <si>
    <t>Electricity Generation (GWh)</t>
  </si>
  <si>
    <t>Total (GWh)</t>
  </si>
  <si>
    <t>Previous model results for 2022 (PJ)</t>
  </si>
  <si>
    <t>Required decrease for calibration</t>
  </si>
  <si>
    <t>Source: SEAI, https://www.seai.ie/data-and-insights/seai-statistics/monthly-energy-data/electricity/</t>
  </si>
  <si>
    <t>Original</t>
  </si>
  <si>
    <t>2022/2021</t>
  </si>
  <si>
    <t>CommName</t>
  </si>
  <si>
    <t>IELC</t>
  </si>
  <si>
    <t>IOIL</t>
  </si>
  <si>
    <t>ICEM</t>
  </si>
  <si>
    <t>IFAP</t>
  </si>
  <si>
    <t>ILIM</t>
  </si>
  <si>
    <t>ADCAT</t>
  </si>
  <si>
    <t>ANDCAT</t>
  </si>
  <si>
    <t>ASHE</t>
  </si>
  <si>
    <t>APIG</t>
  </si>
  <si>
    <t>APOU</t>
  </si>
  <si>
    <t>AOTH</t>
  </si>
  <si>
    <t>AWHE</t>
  </si>
  <si>
    <t>AOAT</t>
  </si>
  <si>
    <t>ABAR</t>
  </si>
  <si>
    <t>APUL</t>
  </si>
  <si>
    <t>APOT</t>
  </si>
  <si>
    <t xml:space="preserve">CROP DATA  - CSO database  - area harvested, production and yield </t>
  </si>
  <si>
    <t>Statistic</t>
  </si>
  <si>
    <t xml:space="preserve">Type of crop </t>
  </si>
  <si>
    <t xml:space="preserve">Average </t>
  </si>
  <si>
    <t>Area Harvested (000 heactares )</t>
  </si>
  <si>
    <t>Wheat</t>
  </si>
  <si>
    <t>Oats</t>
  </si>
  <si>
    <t>Barley</t>
  </si>
  <si>
    <t>Beans and peas</t>
  </si>
  <si>
    <t>Oil seed rape</t>
  </si>
  <si>
    <t xml:space="preserve">Potatoes </t>
  </si>
  <si>
    <t>Yield (ton per hectare)</t>
  </si>
  <si>
    <t xml:space="preserve">                                                                                                                                                                                                                            </t>
  </si>
  <si>
    <t>Production (000 Ton)</t>
  </si>
  <si>
    <t>Dairy cattle</t>
  </si>
  <si>
    <t>Total Cattle</t>
  </si>
  <si>
    <t>Ndairy</t>
  </si>
  <si>
    <t>Oat</t>
  </si>
  <si>
    <t>wheat</t>
  </si>
  <si>
    <t>oats</t>
  </si>
  <si>
    <t>barley</t>
  </si>
  <si>
    <t xml:space="preserve">Tonnes </t>
  </si>
  <si>
    <t>whe</t>
  </si>
  <si>
    <t>oat</t>
  </si>
  <si>
    <t>Milk</t>
  </si>
  <si>
    <t>TFM_INS-TS</t>
  </si>
  <si>
    <t>Land used</t>
  </si>
  <si>
    <t>Energy use Pj</t>
  </si>
  <si>
    <t>Total energy use</t>
  </si>
  <si>
    <t>Potatoes</t>
  </si>
  <si>
    <t>Beans and pulses</t>
  </si>
  <si>
    <t>Dairy</t>
  </si>
  <si>
    <t xml:space="preserve">Non dairy </t>
  </si>
  <si>
    <t xml:space="preserve">Normal </t>
  </si>
  <si>
    <t>LED</t>
  </si>
  <si>
    <t xml:space="preserve">50% PERCENT LESS CATTLE </t>
  </si>
  <si>
    <t>Neha Jaggeshar (UCC, Neha.Jaggeshar@ucc.ie)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</si>
</sst>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* #,##0.00_);_(* \(#,##0.00\);_(* &quot;-&quot;??_);_(@_)"/>
    <numFmt numFmtId="165" formatCode="0.000"/>
    <numFmt numFmtId="166" formatCode="0.0"/>
    <numFmt numFmtId="167" formatCode="0.0%"/>
    <numFmt numFmtId="168" formatCode="_(&quot;$&quot;* #,##0.00_);_(&quot;$&quot;* \(#,##0.00\);_(&quot;$&quot;* &quot;-&quot;??_);_(@_)"/>
    <numFmt numFmtId="169" formatCode="0.00_)"/>
    <numFmt numFmtId="170" formatCode="_-* #,##0.000_-;\-* #,##0.000_-;_-* &quot;-&quot;??_-;_-@_-"/>
    <numFmt numFmtId="171" formatCode="\Te\x\t"/>
  </numFmts>
  <fonts count="4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0"/>
      <color indexed="12"/>
      <name val="Arial"/>
      <family val="2"/>
    </font>
    <font>
      <sz val="11"/>
      <color rgb="FF444444"/>
      <name val="Calibri"/>
      <family val="2"/>
    </font>
    <font>
      <b/>
      <sz val="10"/>
      <color indexed="10"/>
      <name val="Arial"/>
      <family val="2"/>
    </font>
    <font>
      <b/>
      <sz val="10"/>
      <color rgb="FFFF0000"/>
      <name val="Arial"/>
      <family val="2"/>
    </font>
    <font>
      <u val="single"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color theme="7" tint="-0.495889991521835"/>
      <name val="Calibri"/>
      <family val="2"/>
      <scheme val="minor"/>
    </font>
    <font>
      <b/>
      <u val="single"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5889991521835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b/>
      <sz val="10"/>
      <name val="Times New Roman"/>
      <family val="1"/>
    </font>
    <font>
      <sz val="10"/>
      <name val="MS Sans Serif"/>
      <family val="2"/>
    </font>
    <font>
      <sz val="12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8"/>
      <name val="Arial"/>
      <family val="2"/>
    </font>
    <font>
      <b/>
      <i/>
      <sz val="8"/>
      <name val="Arial"/>
      <family val="2"/>
    </font>
    <font>
      <b/>
      <i/>
      <sz val="8"/>
      <name val="Calibri"/>
      <family val="2"/>
      <scheme val="minor"/>
    </font>
    <font>
      <sz val="8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0"/>
      <name val="Courier"/>
      <family val="3"/>
    </font>
    <font>
      <sz val="12"/>
      <color indexed="0"/>
      <name val="Arial"/>
      <family val="2"/>
    </font>
    <font>
      <u val="single"/>
      <sz val="12"/>
      <color theme="10"/>
      <name val="Arial"/>
      <family val="2"/>
    </font>
    <font>
      <sz val="11"/>
      <color indexed="8"/>
      <name val="Calibri"/>
      <family val="2"/>
      <scheme val="minor"/>
    </font>
    <font>
      <sz val="10"/>
      <name val="Calibri"/>
      <family val="2"/>
    </font>
    <font>
      <sz val="10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name val="Arial"/>
      <family val="2"/>
    </font>
    <font>
      <sz val="14"/>
      <color theme="1" tint="0.349999994039536"/>
      <name val="Calibri"/>
      <family val="2"/>
      <scheme val="minor"/>
    </font>
    <font>
      <sz val="9"/>
      <color theme="1" tint="0.349999994039536"/>
      <name val="Calibri"/>
      <family val="2"/>
      <scheme val="minor"/>
    </font>
    <font>
      <sz val="14"/>
      <color theme="1" tint="0.35"/>
      <name val="Calibri"/>
      <family val="2"/>
      <scheme val="minor"/>
    </font>
    <font>
      <sz val="9"/>
      <color theme="1" tint="0.35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80008602142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860000610352"/>
        <bgColor indexed="64"/>
      </patternFill>
    </fill>
    <fill>
      <patternFill patternType="solid">
        <fgColor theme="4" tint="0.599749982357025"/>
        <bgColor indexed="64"/>
      </patternFill>
    </fill>
    <fill>
      <patternFill patternType="solid">
        <fgColor theme="5" tint="0.799860000610352"/>
        <bgColor indexed="64"/>
      </patternFill>
    </fill>
    <fill>
      <patternFill patternType="solid">
        <fgColor theme="5" tint="0.599749982357025"/>
        <bgColor indexed="64"/>
      </patternFill>
    </fill>
    <fill>
      <patternFill patternType="solid">
        <fgColor theme="6" tint="0.799860000610352"/>
        <bgColor indexed="64"/>
      </patternFill>
    </fill>
    <fill>
      <patternFill patternType="solid">
        <fgColor theme="6" tint="0.599749982357025"/>
        <bgColor indexed="64"/>
      </patternFill>
    </fill>
    <fill>
      <patternFill patternType="solid">
        <fgColor theme="7" tint="0.799860000610352"/>
        <bgColor indexed="64"/>
      </patternFill>
    </fill>
    <fill>
      <patternFill patternType="solid">
        <fgColor theme="7" tint="0.599749982357025"/>
        <bgColor indexed="64"/>
      </patternFill>
    </fill>
    <fill>
      <patternFill patternType="solid">
        <fgColor theme="8" tint="0.799860000610352"/>
        <bgColor indexed="64"/>
      </patternFill>
    </fill>
    <fill>
      <patternFill patternType="solid">
        <fgColor theme="8" tint="0.599749982357025"/>
        <bgColor indexed="64"/>
      </patternFill>
    </fill>
    <fill>
      <patternFill patternType="solid">
        <fgColor theme="9" tint="0.799860000610352"/>
        <bgColor indexed="64"/>
      </patternFill>
    </fill>
    <fill>
      <patternFill patternType="solid">
        <fgColor theme="9" tint="0.5997499823570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8600006103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64C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589999616146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1F497D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n">
        <color auto="1"/>
      </bottom>
    </border>
    <border>
      <left/>
      <right/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/>
    </border>
    <border>
      <left/>
      <right/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  <border>
      <left/>
      <right/>
      <top style="thin">
        <color rgb="FFFFFFFF"/>
      </top>
      <bottom style="medium">
        <color rgb="FFFFFFFF"/>
      </bottom>
    </border>
  </borders>
  <cellStyleXfs count="3263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5" fillId="0" borderId="0">
      <alignment/>
      <protection/>
    </xf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169" fontId="5" fillId="0" borderId="0">
      <alignment/>
      <protection/>
    </xf>
    <xf numFmtId="169" fontId="5" fillId="0" borderId="0">
      <alignment/>
      <protection/>
    </xf>
    <xf numFmtId="0" fontId="5" fillId="0" borderId="0">
      <alignment/>
      <protection/>
    </xf>
    <xf numFmtId="0" fontId="24" fillId="0" borderId="0">
      <alignment/>
      <protection/>
    </xf>
    <xf numFmtId="0" fontId="24" fillId="0" borderId="0">
      <alignment/>
      <protection/>
    </xf>
    <xf numFmtId="0" fontId="24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169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23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23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23" fillId="0" borderId="0">
      <alignment/>
      <protection/>
    </xf>
    <xf numFmtId="0" fontId="23" fillId="0" borderId="0">
      <alignment/>
      <protection/>
    </xf>
    <xf numFmtId="0" fontId="23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23" fillId="0" borderId="0">
      <alignment/>
      <protection/>
    </xf>
    <xf numFmtId="0" fontId="23" fillId="0" borderId="0">
      <alignment/>
      <protection/>
    </xf>
    <xf numFmtId="0" fontId="23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9" fontId="5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25" fillId="8" borderId="0" applyNumberFormat="0" applyBorder="0" applyAlignment="0" applyProtection="0"/>
    <xf numFmtId="0" fontId="26" fillId="0" borderId="0" applyNumberForma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5" fillId="0" borderId="0">
      <alignment/>
      <protection/>
    </xf>
    <xf numFmtId="0" fontId="35" fillId="0" borderId="0">
      <alignment/>
      <protection/>
    </xf>
    <xf numFmtId="0" fontId="0" fillId="0" borderId="0">
      <alignment/>
      <protection/>
    </xf>
    <xf numFmtId="0" fontId="12" fillId="0" borderId="0" applyNumberForma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0" fontId="5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0" fontId="5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34" fillId="0" borderId="0" applyBorder="0">
      <alignment/>
      <protection/>
    </xf>
    <xf numFmtId="0" fontId="37" fillId="0" borderId="0" applyNumberFormat="0" applyFill="0" applyBorder="0">
      <alignment/>
      <protection locked="0"/>
    </xf>
    <xf numFmtId="0" fontId="36" fillId="0" borderId="0">
      <alignment vertical="top"/>
      <protection locked="0"/>
    </xf>
    <xf numFmtId="9" fontId="36" fillId="0" borderId="0" applyFont="0" applyFill="0" applyBorder="0" applyAlignment="0" applyProtection="0"/>
    <xf numFmtId="0" fontId="3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9" fontId="5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5" fillId="0" borderId="0">
      <alignment/>
      <protection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5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39" fillId="0" borderId="0">
      <alignment/>
      <protection/>
    </xf>
    <xf numFmtId="0" fontId="5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6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4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3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9" borderId="1" applyNumberFormat="0" applyFont="0" applyAlignment="0" applyProtection="0"/>
    <xf numFmtId="0" fontId="0" fillId="0" borderId="0">
      <alignment/>
      <protection/>
    </xf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9" borderId="1" applyNumberFormat="0" applyFont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7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</cellStyleXfs>
  <cellXfs count="106">
    <xf numFmtId="0" fontId="0" fillId="0" borderId="0" xfId="0"/>
    <xf numFmtId="0" fontId="29" fillId="0" borderId="2" xfId="0" applyFont="1" applyBorder="1" applyAlignment="1">
      <alignment horizontal="left"/>
    </xf>
    <xf numFmtId="0" fontId="31" fillId="0" borderId="2" xfId="0" applyFont="1" applyBorder="1" applyAlignment="1">
      <alignment horizontal="right"/>
    </xf>
    <xf numFmtId="0" fontId="30" fillId="0" borderId="2" xfId="0" applyFont="1" applyBorder="1" applyAlignment="1">
      <alignment horizontal="right"/>
    </xf>
    <xf numFmtId="0" fontId="12" fillId="22" borderId="0" xfId="20" applyFill="1" applyAlignment="1">
      <alignment vertical="center"/>
    </xf>
    <xf numFmtId="0" fontId="13" fillId="22" borderId="0" xfId="21" applyFont="1" applyFill="1" applyAlignment="1">
      <alignment horizontal="center" vertical="center"/>
      <protection/>
    </xf>
    <xf numFmtId="0" fontId="16" fillId="22" borderId="0" xfId="21" applyFont="1" applyFill="1" applyAlignment="1">
      <alignment vertical="center"/>
      <protection/>
    </xf>
    <xf numFmtId="166" fontId="43" fillId="0" borderId="0" xfId="0" applyNumberFormat="1" applyFont="1" applyAlignment="1">
      <alignment horizontal="center" vertical="center"/>
    </xf>
    <xf numFmtId="0" fontId="29" fillId="0" borderId="2" xfId="0" applyFont="1" applyBorder="1" applyAlignment="1">
      <alignment horizontal="left"/>
    </xf>
    <xf numFmtId="0" fontId="12" fillId="22" borderId="0" xfId="20" applyFill="1" applyAlignment="1">
      <alignment vertical="center"/>
    </xf>
    <xf numFmtId="0" fontId="16" fillId="22" borderId="0" xfId="21" applyFont="1" applyFill="1" applyAlignment="1">
      <alignment vertical="center"/>
      <protection/>
    </xf>
    <xf numFmtId="0" fontId="3" fillId="23" borderId="2" xfId="0" applyFont="1" applyFill="1" applyBorder="1" applyAlignment="1">
      <alignment horizontal="left" vertical="center"/>
    </xf>
    <xf numFmtId="0" fontId="3" fillId="23" borderId="2" xfId="0" applyFont="1" applyFill="1" applyBorder="1" applyAlignment="1" applyProtection="1">
      <alignment horizontal="left" vertical="center"/>
      <protection locked="0"/>
    </xf>
    <xf numFmtId="0" fontId="3" fillId="24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165" fontId="0" fillId="0" borderId="2" xfId="0" applyNumberFormat="1" applyBorder="1"/>
    <xf numFmtId="165" fontId="0" fillId="0" borderId="0" xfId="0" applyNumberFormat="1"/>
    <xf numFmtId="0" fontId="0" fillId="0" borderId="7" xfId="0" applyBorder="1"/>
    <xf numFmtId="165" fontId="0" fillId="0" borderId="7" xfId="0" applyNumberFormat="1" applyBorder="1"/>
    <xf numFmtId="0" fontId="6" fillId="25" borderId="3" xfId="0" applyFont="1" applyFill="1" applyBorder="1"/>
    <xf numFmtId="0" fontId="7" fillId="26" borderId="3" xfId="0" applyFont="1" applyFill="1" applyBorder="1" applyAlignment="1">
      <alignment vertical="center"/>
    </xf>
    <xf numFmtId="0" fontId="8" fillId="0" borderId="0" xfId="0" applyFont="1"/>
    <xf numFmtId="0" fontId="9" fillId="0" borderId="0" xfId="0" applyFont="1"/>
    <xf numFmtId="0" fontId="10" fillId="27" borderId="3" xfId="0" applyFont="1" applyFill="1" applyBorder="1"/>
    <xf numFmtId="0" fontId="6" fillId="26" borderId="3" xfId="0" applyFont="1" applyFill="1" applyBorder="1"/>
    <xf numFmtId="0" fontId="5" fillId="26" borderId="3" xfId="0" applyFont="1" applyFill="1" applyBorder="1"/>
    <xf numFmtId="0" fontId="6" fillId="0" borderId="0" xfId="0" applyFont="1"/>
    <xf numFmtId="2" fontId="6" fillId="28" borderId="0" xfId="0" applyNumberFormat="1" applyFont="1" applyFill="1"/>
    <xf numFmtId="0" fontId="6" fillId="28" borderId="0" xfId="0" applyFont="1" applyFill="1"/>
    <xf numFmtId="0" fontId="11" fillId="0" borderId="0" xfId="0" applyFont="1"/>
    <xf numFmtId="0" fontId="2" fillId="0" borderId="0" xfId="0" applyFont="1"/>
    <xf numFmtId="0" fontId="5" fillId="0" borderId="0" xfId="0" applyFont="1"/>
    <xf numFmtId="0" fontId="0" fillId="29" borderId="0" xfId="0" applyFill="1"/>
    <xf numFmtId="1" fontId="0" fillId="0" borderId="0" xfId="0" applyNumberFormat="1"/>
    <xf numFmtId="1" fontId="0" fillId="0" borderId="2" xfId="0" applyNumberFormat="1" applyBorder="1"/>
    <xf numFmtId="1" fontId="0" fillId="0" borderId="7" xfId="0" applyNumberFormat="1" applyBorder="1"/>
    <xf numFmtId="0" fontId="0" fillId="22" borderId="0" xfId="21" applyFont="1" applyFill="1" applyAlignment="1">
      <alignment vertical="center"/>
      <protection/>
    </xf>
    <xf numFmtId="0" fontId="0" fillId="30" borderId="0" xfId="21" applyFont="1" applyFill="1" applyAlignment="1">
      <alignment vertical="center"/>
      <protection/>
    </xf>
    <xf numFmtId="0" fontId="13" fillId="30" borderId="0" xfId="21" applyFont="1" applyFill="1" applyAlignment="1">
      <alignment vertical="center"/>
      <protection/>
    </xf>
    <xf numFmtId="0" fontId="12" fillId="30" borderId="0" xfId="21" applyFont="1" applyFill="1" applyAlignment="1">
      <alignment vertical="center"/>
      <protection/>
    </xf>
    <xf numFmtId="0" fontId="0" fillId="31" borderId="0" xfId="21" applyFont="1" applyFill="1" applyAlignment="1">
      <alignment vertical="center"/>
      <protection/>
    </xf>
    <xf numFmtId="0" fontId="7" fillId="30" borderId="0" xfId="21" applyFont="1" applyFill="1" applyAlignment="1">
      <alignment vertical="center"/>
      <protection/>
    </xf>
    <xf numFmtId="0" fontId="14" fillId="30" borderId="0" xfId="21" applyFont="1" applyFill="1" applyAlignment="1">
      <alignment vertical="center"/>
      <protection/>
    </xf>
    <xf numFmtId="0" fontId="15" fillId="22" borderId="0" xfId="21" applyFont="1" applyFill="1" applyAlignment="1">
      <alignment vertical="center"/>
      <protection/>
    </xf>
    <xf numFmtId="0" fontId="16" fillId="30" borderId="0" xfId="21" applyFont="1" applyFill="1" applyAlignment="1">
      <alignment vertical="center"/>
      <protection/>
    </xf>
    <xf numFmtId="0" fontId="17" fillId="30" borderId="0" xfId="21" applyFont="1" applyFill="1" applyAlignment="1">
      <alignment vertical="center"/>
      <protection/>
    </xf>
    <xf numFmtId="166" fontId="16" fillId="22" borderId="0" xfId="21" applyNumberFormat="1" applyFont="1" applyFill="1" applyAlignment="1">
      <alignment horizontal="left" vertical="center"/>
      <protection/>
    </xf>
    <xf numFmtId="0" fontId="18" fillId="30" borderId="0" xfId="21" applyFont="1" applyFill="1" applyAlignment="1">
      <alignment vertical="center"/>
      <protection/>
    </xf>
    <xf numFmtId="0" fontId="19" fillId="22" borderId="0" xfId="21" applyFont="1" applyFill="1" applyAlignment="1">
      <alignment vertical="center"/>
      <protection/>
    </xf>
    <xf numFmtId="2" fontId="2" fillId="0" borderId="0" xfId="0" applyNumberFormat="1" applyFont="1"/>
    <xf numFmtId="2" fontId="0" fillId="0" borderId="0" xfId="0" applyNumberFormat="1"/>
    <xf numFmtId="0" fontId="7" fillId="26" borderId="3" xfId="21" applyFont="1" applyFill="1" applyBorder="1" applyAlignment="1">
      <alignment vertical="center"/>
      <protection/>
    </xf>
    <xf numFmtId="0" fontId="3" fillId="0" borderId="2" xfId="0" applyFont="1" applyBorder="1"/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/>
    </xf>
    <xf numFmtId="167" fontId="0" fillId="0" borderId="0" xfId="15" applyNumberFormat="1" applyFont="1" applyAlignment="1">
      <alignment horizontal="center"/>
    </xf>
    <xf numFmtId="166" fontId="0" fillId="0" borderId="0" xfId="0" applyNumberFormat="1"/>
    <xf numFmtId="17" fontId="0" fillId="0" borderId="0" xfId="0" applyNumberFormat="1"/>
    <xf numFmtId="0" fontId="32" fillId="0" borderId="2" xfId="0" applyFont="1" applyBorder="1"/>
    <xf numFmtId="3" fontId="29" fillId="0" borderId="2" xfId="0" applyNumberFormat="1" applyFont="1" applyBorder="1"/>
    <xf numFmtId="3" fontId="32" fillId="0" borderId="2" xfId="0" applyNumberFormat="1" applyFont="1" applyBorder="1"/>
    <xf numFmtId="0" fontId="32" fillId="0" borderId="0" xfId="0" applyFont="1"/>
    <xf numFmtId="3" fontId="29" fillId="0" borderId="0" xfId="0" applyNumberFormat="1" applyFont="1"/>
    <xf numFmtId="3" fontId="32" fillId="0" borderId="0" xfId="0" applyNumberFormat="1" applyFont="1"/>
    <xf numFmtId="0" fontId="29" fillId="0" borderId="0" xfId="0" applyFont="1" applyAlignment="1">
      <alignment horizontal="left"/>
    </xf>
    <xf numFmtId="0" fontId="29" fillId="0" borderId="8" xfId="0" applyFont="1" applyBorder="1" applyAlignment="1">
      <alignment horizontal="right" wrapText="1"/>
    </xf>
    <xf numFmtId="0" fontId="29" fillId="0" borderId="2" xfId="0" applyFont="1" applyBorder="1" applyAlignment="1">
      <alignment horizontal="right" wrapText="1"/>
    </xf>
    <xf numFmtId="0" fontId="29" fillId="0" borderId="8" xfId="0" applyFont="1" applyBorder="1" applyAlignment="1">
      <alignment horizontal="left" wrapText="1"/>
    </xf>
    <xf numFmtId="0" fontId="3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6" fillId="0" borderId="0" xfId="0" applyFont="1"/>
    <xf numFmtId="3" fontId="0" fillId="0" borderId="0" xfId="0" applyNumberFormat="1"/>
    <xf numFmtId="0" fontId="28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3" fontId="27" fillId="0" borderId="0" xfId="0" applyNumberFormat="1" applyFont="1"/>
    <xf numFmtId="0" fontId="22" fillId="0" borderId="0" xfId="0" applyFont="1" applyAlignment="1">
      <alignment horizontal="left"/>
    </xf>
    <xf numFmtId="1" fontId="0" fillId="0" borderId="0" xfId="18" applyNumberFormat="1" applyFont="1"/>
    <xf numFmtId="0" fontId="28" fillId="0" borderId="0" xfId="0" applyFont="1" applyAlignment="1">
      <alignment horizontal="center"/>
    </xf>
    <xf numFmtId="3" fontId="27" fillId="0" borderId="0" xfId="0" applyNumberFormat="1" applyFont="1" applyAlignment="1">
      <alignment horizontal="center"/>
    </xf>
    <xf numFmtId="167" fontId="0" fillId="0" borderId="0" xfId="15" applyNumberFormat="1" applyFont="1"/>
    <xf numFmtId="167" fontId="0" fillId="0" borderId="0" xfId="15" applyNumberFormat="1" applyFont="1" applyBorder="1" applyAlignment="1">
      <alignment horizontal="center"/>
    </xf>
    <xf numFmtId="170" fontId="0" fillId="0" borderId="0" xfId="0" applyNumberFormat="1"/>
    <xf numFmtId="164" fontId="0" fillId="0" borderId="0" xfId="0" applyNumberFormat="1"/>
    <xf numFmtId="2" fontId="16" fillId="0" borderId="0" xfId="0" applyNumberFormat="1" applyFont="1"/>
    <xf numFmtId="3" fontId="0" fillId="0" borderId="2" xfId="0" applyNumberFormat="1" applyBorder="1"/>
    <xf numFmtId="0" fontId="33" fillId="32" borderId="9" xfId="0" applyFont="1" applyFill="1" applyBorder="1" applyAlignment="1">
      <alignment horizontal="left" vertical="center"/>
    </xf>
    <xf numFmtId="171" fontId="5" fillId="0" borderId="0" xfId="0" applyNumberFormat="1" applyFont="1"/>
    <xf numFmtId="0" fontId="16" fillId="0" borderId="0" xfId="371" applyFont="1">
      <alignment/>
      <protection/>
    </xf>
    <xf numFmtId="0" fontId="16" fillId="0" borderId="0" xfId="29" applyFont="1">
      <alignment/>
      <protection/>
    </xf>
    <xf numFmtId="2" fontId="40" fillId="0" borderId="0" xfId="0" applyNumberFormat="1" applyFont="1"/>
    <xf numFmtId="2" fontId="0" fillId="0" borderId="0" xfId="13991" applyNumberFormat="1">
      <alignment/>
      <protection/>
    </xf>
    <xf numFmtId="2" fontId="19" fillId="0" borderId="0" xfId="13991" applyNumberFormat="1" applyFont="1">
      <alignment/>
      <protection/>
    </xf>
    <xf numFmtId="2" fontId="16" fillId="0" borderId="0" xfId="13991" applyNumberFormat="1" applyFont="1">
      <alignment/>
      <protection/>
    </xf>
    <xf numFmtId="2" fontId="40" fillId="0" borderId="0" xfId="13991" applyNumberFormat="1" applyFont="1">
      <alignment/>
      <protection/>
    </xf>
    <xf numFmtId="0" fontId="3" fillId="0" borderId="0" xfId="0" applyFont="1"/>
    <xf numFmtId="0" fontId="42" fillId="0" borderId="0" xfId="0" applyFont="1"/>
    <xf numFmtId="0" fontId="41" fillId="0" borderId="0" xfId="0" applyFont="1"/>
    <xf numFmtId="2" fontId="40" fillId="29" borderId="0" xfId="0" applyNumberFormat="1" applyFont="1" applyFill="1"/>
    <xf numFmtId="2" fontId="16" fillId="29" borderId="0" xfId="0" applyNumberFormat="1" applyFont="1" applyFill="1"/>
    <xf numFmtId="2" fontId="16" fillId="29" borderId="0" xfId="13991" applyNumberFormat="1" applyFont="1" applyFill="1">
      <alignment/>
      <protection/>
    </xf>
    <xf numFmtId="2" fontId="40" fillId="29" borderId="0" xfId="13991" applyNumberFormat="1" applyFont="1" applyFill="1">
      <alignment/>
      <protection/>
    </xf>
    <xf numFmtId="0" fontId="41" fillId="29" borderId="0" xfId="0" applyFont="1" applyFill="1"/>
  </cellXfs>
  <cellStyles count="3261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  <cellStyle name="Normal 2" xfId="21"/>
    <cellStyle name="Comma 2" xfId="22"/>
    <cellStyle name="Currency 2" xfId="23"/>
    <cellStyle name="Currency 2 2" xfId="24"/>
    <cellStyle name="Currency 3" xfId="25"/>
    <cellStyle name="Currency 4" xfId="26"/>
    <cellStyle name="Currency 4 2" xfId="27"/>
    <cellStyle name="Currency 4 3" xfId="28"/>
    <cellStyle name="Normal 10" xfId="29"/>
    <cellStyle name="Normal 10 2" xfId="30"/>
    <cellStyle name="Normal 10 2 2" xfId="31"/>
    <cellStyle name="Normal 10 2_BOS Workings" xfId="32"/>
    <cellStyle name="Normal 10 3" xfId="33"/>
    <cellStyle name="Normal 10_BOS Workings" xfId="34"/>
    <cellStyle name="Normal 100" xfId="35"/>
    <cellStyle name="Normal 100 2" xfId="36"/>
    <cellStyle name="Normal 101" xfId="37"/>
    <cellStyle name="Normal 101 2" xfId="38"/>
    <cellStyle name="Normal 102" xfId="39"/>
    <cellStyle name="Normal 102 2" xfId="40"/>
    <cellStyle name="Normal 103" xfId="41"/>
    <cellStyle name="Normal 103 2" xfId="42"/>
    <cellStyle name="Normal 104" xfId="43"/>
    <cellStyle name="Normal 104 2" xfId="44"/>
    <cellStyle name="Normal 105" xfId="45"/>
    <cellStyle name="Normal 105 2" xfId="46"/>
    <cellStyle name="Normal 106" xfId="47"/>
    <cellStyle name="Normal 106 2" xfId="48"/>
    <cellStyle name="Normal 107" xfId="49"/>
    <cellStyle name="Normal 107 2" xfId="50"/>
    <cellStyle name="Normal 108" xfId="51"/>
    <cellStyle name="Normal 108 2" xfId="52"/>
    <cellStyle name="Normal 109" xfId="53"/>
    <cellStyle name="Normal 11" xfId="54"/>
    <cellStyle name="Normal 11 2" xfId="55"/>
    <cellStyle name="Normal 11 2 2" xfId="56"/>
    <cellStyle name="Normal 11 2_BOS Workings" xfId="57"/>
    <cellStyle name="Normal 11 3" xfId="58"/>
    <cellStyle name="Normal 11_BOS Workings" xfId="59"/>
    <cellStyle name="Normal 110" xfId="60"/>
    <cellStyle name="Normal 111" xfId="61"/>
    <cellStyle name="Normal 112" xfId="62"/>
    <cellStyle name="Normal 113" xfId="63"/>
    <cellStyle name="Normal 114" xfId="64"/>
    <cellStyle name="Normal 115" xfId="65"/>
    <cellStyle name="Normal 116" xfId="66"/>
    <cellStyle name="Normal 117" xfId="67"/>
    <cellStyle name="Normal 118" xfId="68"/>
    <cellStyle name="Normal 119" xfId="69"/>
    <cellStyle name="Normal 12" xfId="70"/>
    <cellStyle name="Normal 12 2" xfId="71"/>
    <cellStyle name="Normal 12 2 2" xfId="72"/>
    <cellStyle name="Normal 12 2_BOS Workings" xfId="73"/>
    <cellStyle name="Normal 12 3" xfId="74"/>
    <cellStyle name="Normal 12_BOS Workings" xfId="75"/>
    <cellStyle name="Normal 13" xfId="76"/>
    <cellStyle name="Normal 13 2" xfId="77"/>
    <cellStyle name="Normal 13 2 2" xfId="78"/>
    <cellStyle name="Normal 13 2_BOS Workings" xfId="79"/>
    <cellStyle name="Normal 13 3" xfId="80"/>
    <cellStyle name="Normal 13_BOS Workings" xfId="81"/>
    <cellStyle name="Normal 14" xfId="82"/>
    <cellStyle name="Normal 14 2" xfId="83"/>
    <cellStyle name="Normal 14_BOS Workings" xfId="84"/>
    <cellStyle name="Normal 15" xfId="85"/>
    <cellStyle name="Normal 15 2" xfId="86"/>
    <cellStyle name="Normal 15_BOS Workings" xfId="87"/>
    <cellStyle name="Normal 16" xfId="88"/>
    <cellStyle name="Normal 16 2" xfId="89"/>
    <cellStyle name="Normal 16_BOS Workings" xfId="90"/>
    <cellStyle name="Normal 17" xfId="91"/>
    <cellStyle name="Normal 17 2" xfId="92"/>
    <cellStyle name="Normal 17_BOS Workings" xfId="93"/>
    <cellStyle name="Normal 18" xfId="94"/>
    <cellStyle name="Normal 18 2" xfId="95"/>
    <cellStyle name="Normal 18_BOS Workings" xfId="96"/>
    <cellStyle name="Normal 19" xfId="97"/>
    <cellStyle name="Normal 19 2" xfId="98"/>
    <cellStyle name="Normal 19_BOS Workings" xfId="99"/>
    <cellStyle name="Normal 2 2" xfId="100"/>
    <cellStyle name="Normal 20" xfId="101"/>
    <cellStyle name="Normal 20 2" xfId="102"/>
    <cellStyle name="Normal 20_BOS Workings" xfId="103"/>
    <cellStyle name="Normal 21" xfId="104"/>
    <cellStyle name="Normal 21 2" xfId="105"/>
    <cellStyle name="Normal 21_BOS Workings" xfId="106"/>
    <cellStyle name="Normal 22" xfId="107"/>
    <cellStyle name="Normal 22 2" xfId="108"/>
    <cellStyle name="Normal 22_BOS Workings" xfId="109"/>
    <cellStyle name="Normal 23" xfId="110"/>
    <cellStyle name="Normal 23 2" xfId="111"/>
    <cellStyle name="Normal 23_BOS Workings" xfId="112"/>
    <cellStyle name="Normal 24" xfId="113"/>
    <cellStyle name="Normal 24 2" xfId="114"/>
    <cellStyle name="Normal 24_BOS Workings" xfId="115"/>
    <cellStyle name="Normal 25" xfId="116"/>
    <cellStyle name="Normal 25 2" xfId="117"/>
    <cellStyle name="Normal 25_BOS Workings" xfId="118"/>
    <cellStyle name="Normal 26" xfId="119"/>
    <cellStyle name="Normal 26 2" xfId="120"/>
    <cellStyle name="Normal 26_BOS Workings" xfId="121"/>
    <cellStyle name="Normal 27" xfId="122"/>
    <cellStyle name="Normal 27 2" xfId="123"/>
    <cellStyle name="Normal 27_BOS Workings" xfId="124"/>
    <cellStyle name="Normal 28" xfId="125"/>
    <cellStyle name="Normal 28 2" xfId="126"/>
    <cellStyle name="Normal 28_BOS Workings" xfId="127"/>
    <cellStyle name="Normal 29" xfId="128"/>
    <cellStyle name="Normal 29 2" xfId="129"/>
    <cellStyle name="Normal 29_BOS Workings" xfId="130"/>
    <cellStyle name="Normal 3" xfId="131"/>
    <cellStyle name="Normal 3 2" xfId="132"/>
    <cellStyle name="Normal 30" xfId="133"/>
    <cellStyle name="Normal 30 2" xfId="134"/>
    <cellStyle name="Normal 30_BOS Workings" xfId="135"/>
    <cellStyle name="Normal 31" xfId="136"/>
    <cellStyle name="Normal 31 2" xfId="137"/>
    <cellStyle name="Normal 31_BOS Workings" xfId="138"/>
    <cellStyle name="Normal 32" xfId="139"/>
    <cellStyle name="Normal 32 2" xfId="140"/>
    <cellStyle name="Normal 32_BOS Workings" xfId="141"/>
    <cellStyle name="Normal 33" xfId="142"/>
    <cellStyle name="Normal 33 2" xfId="143"/>
    <cellStyle name="Normal 33_BOS Workings" xfId="144"/>
    <cellStyle name="Normal 34" xfId="145"/>
    <cellStyle name="Normal 34 2" xfId="146"/>
    <cellStyle name="Normal 34_BOS Workings" xfId="147"/>
    <cellStyle name="Normal 35" xfId="148"/>
    <cellStyle name="Normal 35 2" xfId="149"/>
    <cellStyle name="Normal 35_BOS Workings" xfId="150"/>
    <cellStyle name="Normal 36" xfId="151"/>
    <cellStyle name="Normal 36 2" xfId="152"/>
    <cellStyle name="Normal 36_BOS Workings" xfId="153"/>
    <cellStyle name="Normal 37" xfId="154"/>
    <cellStyle name="Normal 37 2" xfId="155"/>
    <cellStyle name="Normal 37_BOS Workings" xfId="156"/>
    <cellStyle name="Normal 38" xfId="157"/>
    <cellStyle name="Normal 38 2" xfId="158"/>
    <cellStyle name="Normal 38_BOS Workings" xfId="159"/>
    <cellStyle name="Normal 39" xfId="160"/>
    <cellStyle name="Normal 39 2" xfId="161"/>
    <cellStyle name="Normal 39_BOS Workings" xfId="162"/>
    <cellStyle name="Normal 4" xfId="163"/>
    <cellStyle name="Normal 4 2" xfId="164"/>
    <cellStyle name="Normal 4 3" xfId="165"/>
    <cellStyle name="Normal 4_BOS Workings" xfId="166"/>
    <cellStyle name="Normal 40" xfId="167"/>
    <cellStyle name="Normal 40 2" xfId="168"/>
    <cellStyle name="Normal 40_BOS Workings" xfId="169"/>
    <cellStyle name="Normal 41" xfId="170"/>
    <cellStyle name="Normal 41 2" xfId="171"/>
    <cellStyle name="Normal 41_BOS Workings" xfId="172"/>
    <cellStyle name="Normal 42" xfId="173"/>
    <cellStyle name="Normal 42 2" xfId="174"/>
    <cellStyle name="Normal 42_BOS Workings" xfId="175"/>
    <cellStyle name="Normal 43" xfId="176"/>
    <cellStyle name="Normal 43 2" xfId="177"/>
    <cellStyle name="Normal 43_BOS Workings" xfId="178"/>
    <cellStyle name="Normal 44" xfId="179"/>
    <cellStyle name="Normal 44 2" xfId="180"/>
    <cellStyle name="Normal 44_BOS Workings" xfId="181"/>
    <cellStyle name="Normal 45" xfId="182"/>
    <cellStyle name="Normal 45 2" xfId="183"/>
    <cellStyle name="Normal 45_BOS Workings" xfId="184"/>
    <cellStyle name="Normal 46" xfId="185"/>
    <cellStyle name="Normal 46 2" xfId="186"/>
    <cellStyle name="Normal 46_BOS Workings" xfId="187"/>
    <cellStyle name="Normal 47" xfId="188"/>
    <cellStyle name="Normal 47 2" xfId="189"/>
    <cellStyle name="Normal 47_BOS Workings" xfId="190"/>
    <cellStyle name="Normal 48" xfId="191"/>
    <cellStyle name="Normal 48 2" xfId="192"/>
    <cellStyle name="Normal 48_BOS Workings" xfId="193"/>
    <cellStyle name="Normal 49" xfId="194"/>
    <cellStyle name="Normal 49 2" xfId="195"/>
    <cellStyle name="Normal 49_BOS Workings" xfId="196"/>
    <cellStyle name="Normal 5" xfId="197"/>
    <cellStyle name="Normal 5 2" xfId="198"/>
    <cellStyle name="Normal 5_BOS Workings" xfId="199"/>
    <cellStyle name="Normal 50" xfId="200"/>
    <cellStyle name="Normal 50 2" xfId="201"/>
    <cellStyle name="Normal 50_BOS Workings" xfId="202"/>
    <cellStyle name="Normal 51" xfId="203"/>
    <cellStyle name="Normal 51 2" xfId="204"/>
    <cellStyle name="Normal 51_BOS Workings" xfId="205"/>
    <cellStyle name="Normal 52" xfId="206"/>
    <cellStyle name="Normal 52 2" xfId="207"/>
    <cellStyle name="Normal 52_BOS Workings" xfId="208"/>
    <cellStyle name="Normal 53" xfId="209"/>
    <cellStyle name="Normal 53 2" xfId="210"/>
    <cellStyle name="Normal 53_BOS Workings" xfId="211"/>
    <cellStyle name="Normal 54" xfId="212"/>
    <cellStyle name="Normal 54 2" xfId="213"/>
    <cellStyle name="Normal 54_BOS Workings" xfId="214"/>
    <cellStyle name="Normal 55" xfId="215"/>
    <cellStyle name="Normal 55 2" xfId="216"/>
    <cellStyle name="Normal 55_BOS Workings" xfId="217"/>
    <cellStyle name="Normal 56" xfId="218"/>
    <cellStyle name="Normal 56 2" xfId="219"/>
    <cellStyle name="Normal 56_BOS Workings" xfId="220"/>
    <cellStyle name="Normal 57" xfId="221"/>
    <cellStyle name="Normal 57 2" xfId="222"/>
    <cellStyle name="Normal 57_BOS Workings" xfId="223"/>
    <cellStyle name="Normal 58" xfId="224"/>
    <cellStyle name="Normal 58 2" xfId="225"/>
    <cellStyle name="Normal 58_BOS Workings" xfId="226"/>
    <cellStyle name="Normal 59" xfId="227"/>
    <cellStyle name="Normal 59 2" xfId="228"/>
    <cellStyle name="Normal 59_BOS Workings" xfId="229"/>
    <cellStyle name="Normal 6" xfId="230"/>
    <cellStyle name="Normal 6 2" xfId="231"/>
    <cellStyle name="Normal 6_BOS Workings" xfId="232"/>
    <cellStyle name="Normal 60" xfId="233"/>
    <cellStyle name="Normal 60 2" xfId="234"/>
    <cellStyle name="Normal 60_BOS Workings" xfId="235"/>
    <cellStyle name="Normal 61" xfId="236"/>
    <cellStyle name="Normal 61 2" xfId="237"/>
    <cellStyle name="Normal 61_BOS Workings" xfId="238"/>
    <cellStyle name="Normal 62" xfId="239"/>
    <cellStyle name="Normal 62 2" xfId="240"/>
    <cellStyle name="Normal 62_BOS Workings" xfId="241"/>
    <cellStyle name="Normal 63" xfId="242"/>
    <cellStyle name="Normal 63 2" xfId="243"/>
    <cellStyle name="Normal 63_BOS Workings" xfId="244"/>
    <cellStyle name="Normal 64" xfId="245"/>
    <cellStyle name="Normal 64 2" xfId="246"/>
    <cellStyle name="Normal 64_BOS Workings" xfId="247"/>
    <cellStyle name="Normal 65" xfId="248"/>
    <cellStyle name="Normal 65 2" xfId="249"/>
    <cellStyle name="Normal 65_BOS Workings" xfId="250"/>
    <cellStyle name="Normal 66" xfId="251"/>
    <cellStyle name="Normal 66 2" xfId="252"/>
    <cellStyle name="Normal 66_BOS Workings" xfId="253"/>
    <cellStyle name="Normal 67" xfId="254"/>
    <cellStyle name="Normal 67 2" xfId="255"/>
    <cellStyle name="Normal 67_BOS Workings" xfId="256"/>
    <cellStyle name="Normal 68" xfId="257"/>
    <cellStyle name="Normal 68 2" xfId="258"/>
    <cellStyle name="Normal 68_BOS Workings" xfId="259"/>
    <cellStyle name="Normal 69" xfId="260"/>
    <cellStyle name="Normal 69 2" xfId="261"/>
    <cellStyle name="Normal 69_BOS Workings" xfId="262"/>
    <cellStyle name="Normal 7" xfId="263"/>
    <cellStyle name="Normal 7 2" xfId="264"/>
    <cellStyle name="Normal 7_BOS Workings" xfId="265"/>
    <cellStyle name="Normal 70" xfId="266"/>
    <cellStyle name="Normal 70 2" xfId="267"/>
    <cellStyle name="Normal 70_BOS Workings" xfId="268"/>
    <cellStyle name="Normal 71" xfId="269"/>
    <cellStyle name="Normal 71 2" xfId="270"/>
    <cellStyle name="Normal 71_BOS Workings" xfId="271"/>
    <cellStyle name="Normal 72" xfId="272"/>
    <cellStyle name="Normal 72 2" xfId="273"/>
    <cellStyle name="Normal 72_BOS Workings" xfId="274"/>
    <cellStyle name="Normal 73" xfId="275"/>
    <cellStyle name="Normal 73 2" xfId="276"/>
    <cellStyle name="Normal 73_BOS Workings" xfId="277"/>
    <cellStyle name="Normal 74" xfId="278"/>
    <cellStyle name="Normal 74 2" xfId="279"/>
    <cellStyle name="Normal 74_BOS Workings" xfId="280"/>
    <cellStyle name="Normal 75" xfId="281"/>
    <cellStyle name="Normal 75 2" xfId="282"/>
    <cellStyle name="Normal 75_BOS Workings" xfId="283"/>
    <cellStyle name="Normal 76" xfId="284"/>
    <cellStyle name="Normal 76 2" xfId="285"/>
    <cellStyle name="Normal 76_BOS Workings" xfId="286"/>
    <cellStyle name="Normal 77" xfId="287"/>
    <cellStyle name="Normal 77 2" xfId="288"/>
    <cellStyle name="Normal 77_BOS Workings" xfId="289"/>
    <cellStyle name="Normal 78" xfId="290"/>
    <cellStyle name="Normal 78 2" xfId="291"/>
    <cellStyle name="Normal 78_BOS Workings" xfId="292"/>
    <cellStyle name="Normal 79" xfId="293"/>
    <cellStyle name="Normal 79 2" xfId="294"/>
    <cellStyle name="Normal 79_BOS Workings" xfId="295"/>
    <cellStyle name="Normal 8" xfId="296"/>
    <cellStyle name="Normal 8 2" xfId="297"/>
    <cellStyle name="Normal 8_BOS Workings" xfId="298"/>
    <cellStyle name="Normal 80" xfId="299"/>
    <cellStyle name="Normal 80 2" xfId="300"/>
    <cellStyle name="Normal 80_BOS Workings" xfId="301"/>
    <cellStyle name="Normal 81" xfId="302"/>
    <cellStyle name="Normal 81 2" xfId="303"/>
    <cellStyle name="Normal 81_BOS Workings" xfId="304"/>
    <cellStyle name="Normal 82" xfId="305"/>
    <cellStyle name="Normal 82 2" xfId="306"/>
    <cellStyle name="Normal 82_BOS Workings" xfId="307"/>
    <cellStyle name="Normal 83" xfId="308"/>
    <cellStyle name="Normal 83 2" xfId="309"/>
    <cellStyle name="Normal 83_BOS Workings" xfId="310"/>
    <cellStyle name="Normal 84" xfId="311"/>
    <cellStyle name="Normal 84 2" xfId="312"/>
    <cellStyle name="Normal 84_BOS Workings" xfId="313"/>
    <cellStyle name="Normal 85" xfId="314"/>
    <cellStyle name="Normal 85 2" xfId="315"/>
    <cellStyle name="Normal 85_BOS Workings" xfId="316"/>
    <cellStyle name="Normal 86" xfId="317"/>
    <cellStyle name="Normal 86 2" xfId="318"/>
    <cellStyle name="Normal 86_BOS Workings" xfId="319"/>
    <cellStyle name="Normal 87" xfId="320"/>
    <cellStyle name="Normal 87 2" xfId="321"/>
    <cellStyle name="Normal 87_BOS Workings" xfId="322"/>
    <cellStyle name="Normal 88" xfId="323"/>
    <cellStyle name="Normal 88 2" xfId="324"/>
    <cellStyle name="Normal 88_BOS Workings" xfId="325"/>
    <cellStyle name="Normal 89" xfId="326"/>
    <cellStyle name="Normal 89 2" xfId="327"/>
    <cellStyle name="Normal 89_BOS Workings" xfId="328"/>
    <cellStyle name="Normal 9" xfId="329"/>
    <cellStyle name="Normal 9 2" xfId="330"/>
    <cellStyle name="Normal 9 3" xfId="331"/>
    <cellStyle name="Normal 9 3 2" xfId="332"/>
    <cellStyle name="Normal 9 3_BOS Workings" xfId="333"/>
    <cellStyle name="Normal 90" xfId="334"/>
    <cellStyle name="Normal 90 2" xfId="335"/>
    <cellStyle name="Normal 91" xfId="336"/>
    <cellStyle name="Normal 91 2" xfId="337"/>
    <cellStyle name="Normal 92" xfId="338"/>
    <cellStyle name="Normal 92 2" xfId="339"/>
    <cellStyle name="Normal 93" xfId="340"/>
    <cellStyle name="Normal 93 2" xfId="341"/>
    <cellStyle name="Normal 94" xfId="342"/>
    <cellStyle name="Normal 94 2" xfId="343"/>
    <cellStyle name="Normal 95" xfId="344"/>
    <cellStyle name="Normal 95 2" xfId="345"/>
    <cellStyle name="Normal 95 3" xfId="346"/>
    <cellStyle name="Normal 96" xfId="347"/>
    <cellStyle name="Normal 96 2" xfId="348"/>
    <cellStyle name="Normal 96 3" xfId="349"/>
    <cellStyle name="Normal 97" xfId="350"/>
    <cellStyle name="Normal 97 2" xfId="351"/>
    <cellStyle name="Normal 98" xfId="352"/>
    <cellStyle name="Normal 98 2" xfId="353"/>
    <cellStyle name="Normal 99" xfId="354"/>
    <cellStyle name="Normal 99 2" xfId="355"/>
    <cellStyle name="Percent 2" xfId="356"/>
    <cellStyle name="60% - Accent6 2" xfId="357"/>
    <cellStyle name="60% - Accent5 2" xfId="358"/>
    <cellStyle name="60% - Accent4 2" xfId="359"/>
    <cellStyle name="60% - Accent3 2" xfId="360"/>
    <cellStyle name="60% - Accent2 2" xfId="361"/>
    <cellStyle name="60% - Accent1 2" xfId="362"/>
    <cellStyle name="Neutral 2" xfId="363"/>
    <cellStyle name="Title 2" xfId="364"/>
    <cellStyle name="Comma 3" xfId="365"/>
    <cellStyle name="Comma 4" xfId="366"/>
    <cellStyle name="Comma 5" xfId="367"/>
    <cellStyle name="Comma 2 2" xfId="368"/>
    <cellStyle name="Comma 3 2" xfId="369"/>
    <cellStyle name="Comma 4 2" xfId="370"/>
    <cellStyle name="Normal 120" xfId="371"/>
    <cellStyle name="Normale_B2020" xfId="372"/>
    <cellStyle name="Normal 3 2 14" xfId="373"/>
    <cellStyle name="Hyperlink 2" xfId="374"/>
    <cellStyle name="Normal 3 3" xfId="375"/>
    <cellStyle name="Normal 3 4" xfId="376"/>
    <cellStyle name="Normal 3 5" xfId="377"/>
    <cellStyle name="Normal 3 2 2" xfId="378"/>
    <cellStyle name="Normal 3 3 2" xfId="379"/>
    <cellStyle name="Normal 3 4 2" xfId="380"/>
    <cellStyle name="Normal 3 5 2" xfId="381"/>
    <cellStyle name="Normal 5 13" xfId="382"/>
    <cellStyle name="Percent 3" xfId="383"/>
    <cellStyle name="Note 2" xfId="384"/>
    <cellStyle name="Normal 3 6" xfId="385"/>
    <cellStyle name="Normal 2 2 3" xfId="386"/>
    <cellStyle name="Comma 2 18" xfId="387"/>
    <cellStyle name="Comma 3 17" xfId="388"/>
    <cellStyle name="Percent 4" xfId="389"/>
    <cellStyle name="Normal 3 7" xfId="390"/>
    <cellStyle name="Note 3" xfId="391"/>
    <cellStyle name="20% - Accent1 2" xfId="392"/>
    <cellStyle name="40% - Accent1 2" xfId="393"/>
    <cellStyle name="60% - Accent1 2 13" xfId="394"/>
    <cellStyle name="20% - Accent2 2" xfId="395"/>
    <cellStyle name="40% - Accent2 2" xfId="396"/>
    <cellStyle name="60% - Accent2 2 13" xfId="397"/>
    <cellStyle name="20% - Accent3 2" xfId="398"/>
    <cellStyle name="40% - Accent3 2" xfId="399"/>
    <cellStyle name="60% - Accent3 2 13" xfId="400"/>
    <cellStyle name="20% - Accent4 2" xfId="401"/>
    <cellStyle name="40% - Accent4 2" xfId="402"/>
    <cellStyle name="60% - Accent4 2 13" xfId="403"/>
    <cellStyle name="20% - Accent5 2" xfId="404"/>
    <cellStyle name="40% - Accent5 2" xfId="405"/>
    <cellStyle name="60% - Accent5 2 13" xfId="406"/>
    <cellStyle name="20% - Accent6 2" xfId="407"/>
    <cellStyle name="40% - Accent6 2" xfId="408"/>
    <cellStyle name="60% - Accent6 2 13" xfId="409"/>
    <cellStyle name="Comma 2 2 16" xfId="410"/>
    <cellStyle name="Comma 4 16" xfId="411"/>
    <cellStyle name="Percent 12" xfId="412"/>
    <cellStyle name="Normal 3 8" xfId="413"/>
    <cellStyle name="Normal 7 12" xfId="414"/>
    <cellStyle name="Comma 5 14" xfId="415"/>
    <cellStyle name="20% - Accent1 3" xfId="416"/>
    <cellStyle name="40% - Accent1 3" xfId="417"/>
    <cellStyle name="60% - Accent1 3" xfId="418"/>
    <cellStyle name="20% - Accent2 3" xfId="419"/>
    <cellStyle name="40% - Accent2 3" xfId="420"/>
    <cellStyle name="60% - Accent2 3" xfId="421"/>
    <cellStyle name="20% - Accent3 3" xfId="422"/>
    <cellStyle name="40% - Accent3 3" xfId="423"/>
    <cellStyle name="60% - Accent3 3" xfId="424"/>
    <cellStyle name="20% - Accent4 3" xfId="425"/>
    <cellStyle name="40% - Accent4 3" xfId="426"/>
    <cellStyle name="60% - Accent4 3" xfId="427"/>
    <cellStyle name="20% - Accent5 3" xfId="428"/>
    <cellStyle name="40% - Accent5 3" xfId="429"/>
    <cellStyle name="60% - Accent5 3" xfId="430"/>
    <cellStyle name="20% - Accent6 3" xfId="431"/>
    <cellStyle name="40% - Accent6 3" xfId="432"/>
    <cellStyle name="60% - Accent6 3" xfId="433"/>
    <cellStyle name="Normal 3 2 3" xfId="434"/>
    <cellStyle name="Normal 3 3 3" xfId="435"/>
    <cellStyle name="Normal 3 4 3" xfId="436"/>
    <cellStyle name="Normal 3 5 3" xfId="437"/>
    <cellStyle name="Normal 3 2 2 2" xfId="438"/>
    <cellStyle name="Normal 3 3 2 2" xfId="439"/>
    <cellStyle name="Normal 3 4 2 2" xfId="440"/>
    <cellStyle name="Normal 3 5 2 2" xfId="441"/>
    <cellStyle name="Normal 5 2 12" xfId="442"/>
    <cellStyle name="Percent 3 2" xfId="443"/>
    <cellStyle name="Note 2 2" xfId="444"/>
    <cellStyle name="Normal 3 6 2" xfId="445"/>
    <cellStyle name="Normal 2 2 2" xfId="446"/>
    <cellStyle name="Comma 2 3" xfId="447"/>
    <cellStyle name="Comma 3 2 14" xfId="448"/>
    <cellStyle name="Percent 4 2" xfId="449"/>
    <cellStyle name="Normal 3 7 2" xfId="450"/>
    <cellStyle name="Note 3 2" xfId="451"/>
    <cellStyle name="20% - Accent1 2 2" xfId="452"/>
    <cellStyle name="40% - Accent1 2 2" xfId="453"/>
    <cellStyle name="60% - Accent1 2 2" xfId="454"/>
    <cellStyle name="20% - Accent2 2 2" xfId="455"/>
    <cellStyle name="40% - Accent2 2 2" xfId="456"/>
    <cellStyle name="60% - Accent2 2 2" xfId="457"/>
    <cellStyle name="20% - Accent3 2 2" xfId="458"/>
    <cellStyle name="40% - Accent3 2 2" xfId="459"/>
    <cellStyle name="60% - Accent3 2 2" xfId="460"/>
    <cellStyle name="20% - Accent4 2 2" xfId="461"/>
    <cellStyle name="40% - Accent4 2 2" xfId="462"/>
    <cellStyle name="60% - Accent4 2 2" xfId="463"/>
    <cellStyle name="20% - Accent5 2 2" xfId="464"/>
    <cellStyle name="40% - Accent5 2 2" xfId="465"/>
    <cellStyle name="60% - Accent5 2 2" xfId="466"/>
    <cellStyle name="20% - Accent6 2 2" xfId="467"/>
    <cellStyle name="40% - Accent6 2 2" xfId="468"/>
    <cellStyle name="60% - Accent6 2 2" xfId="469"/>
    <cellStyle name="Comma 2 2 2" xfId="470"/>
    <cellStyle name="Comma 4 2 14" xfId="471"/>
    <cellStyle name="Percent 5" xfId="472"/>
    <cellStyle name="Normal 3 8 2" xfId="473"/>
    <cellStyle name="Normal 8 10" xfId="474"/>
    <cellStyle name="Comma 6" xfId="475"/>
    <cellStyle name="20% - Accent1 4" xfId="476"/>
    <cellStyle name="40% - Accent1 4" xfId="477"/>
    <cellStyle name="60% - Accent1 4" xfId="478"/>
    <cellStyle name="20% - Accent2 4" xfId="479"/>
    <cellStyle name="40% - Accent2 4" xfId="480"/>
    <cellStyle name="60% - Accent2 4" xfId="481"/>
    <cellStyle name="20% - Accent3 4" xfId="482"/>
    <cellStyle name="40% - Accent3 4" xfId="483"/>
    <cellStyle name="60% - Accent3 4" xfId="484"/>
    <cellStyle name="20% - Accent4 4" xfId="485"/>
    <cellStyle name="40% - Accent4 4" xfId="486"/>
    <cellStyle name="60% - Accent4 4" xfId="487"/>
    <cellStyle name="20% - Accent5 4" xfId="488"/>
    <cellStyle name="40% - Accent5 4" xfId="489"/>
    <cellStyle name="60% - Accent5 4" xfId="490"/>
    <cellStyle name="20% - Accent6 4" xfId="491"/>
    <cellStyle name="40% - Accent6 4" xfId="492"/>
    <cellStyle name="60% - Accent6 4" xfId="493"/>
    <cellStyle name="Normal 3 2 4" xfId="494"/>
    <cellStyle name="Normal 3 3 4" xfId="495"/>
    <cellStyle name="Normal 3 4 4" xfId="496"/>
    <cellStyle name="Normal 3 5 4" xfId="497"/>
    <cellStyle name="Normal 3 2 2 3" xfId="498"/>
    <cellStyle name="Normal 3 3 2 3" xfId="499"/>
    <cellStyle name="Normal 3 4 2 3" xfId="500"/>
    <cellStyle name="Normal 3 5 2 3" xfId="501"/>
    <cellStyle name="Normal 5 3" xfId="502"/>
    <cellStyle name="Percent 3 3" xfId="503"/>
    <cellStyle name="Note 2 3" xfId="504"/>
    <cellStyle name="Normal 3 6 3" xfId="505"/>
    <cellStyle name="Comma 2 5" xfId="506"/>
    <cellStyle name="Comma 3 4" xfId="507"/>
    <cellStyle name="Percent 4 3" xfId="508"/>
    <cellStyle name="Normal 3 7 3" xfId="509"/>
    <cellStyle name="Note 3 3" xfId="510"/>
    <cellStyle name="20% - Accent1 2 3" xfId="511"/>
    <cellStyle name="40% - Accent1 2 3" xfId="512"/>
    <cellStyle name="60% - Accent1 2 3" xfId="513"/>
    <cellStyle name="20% - Accent2 2 3" xfId="514"/>
    <cellStyle name="40% - Accent2 2 3" xfId="515"/>
    <cellStyle name="60% - Accent2 2 3" xfId="516"/>
    <cellStyle name="20% - Accent3 2 3" xfId="517"/>
    <cellStyle name="40% - Accent3 2 3" xfId="518"/>
    <cellStyle name="60% - Accent3 2 3" xfId="519"/>
    <cellStyle name="20% - Accent4 2 3" xfId="520"/>
    <cellStyle name="40% - Accent4 2 3" xfId="521"/>
    <cellStyle name="60% - Accent4 2 3" xfId="522"/>
    <cellStyle name="20% - Accent5 2 3" xfId="523"/>
    <cellStyle name="40% - Accent5 2 3" xfId="524"/>
    <cellStyle name="60% - Accent5 2 3" xfId="525"/>
    <cellStyle name="20% - Accent6 2 3" xfId="526"/>
    <cellStyle name="40% - Accent6 2 3" xfId="527"/>
    <cellStyle name="60% - Accent6 2 3" xfId="528"/>
    <cellStyle name="Comma 2 2 4" xfId="529"/>
    <cellStyle name="Comma 4 4" xfId="530"/>
    <cellStyle name="Normal 3 8 3" xfId="531"/>
    <cellStyle name="Comma 2 4" xfId="532"/>
    <cellStyle name="Comma 3 3" xfId="533"/>
    <cellStyle name="Comma 2 2 3" xfId="534"/>
    <cellStyle name="Comma 4 3" xfId="535"/>
    <cellStyle name="Normal 7 2 10" xfId="536"/>
    <cellStyle name="Comma 5 2" xfId="537"/>
    <cellStyle name="20% - Accent1 3 2" xfId="538"/>
    <cellStyle name="40% - Accent1 3 2" xfId="539"/>
    <cellStyle name="60% - Accent1 3 2" xfId="540"/>
    <cellStyle name="20% - Accent2 3 2" xfId="541"/>
    <cellStyle name="40% - Accent2 3 2" xfId="542"/>
    <cellStyle name="60% - Accent2 3 2" xfId="543"/>
    <cellStyle name="20% - Accent3 3 2" xfId="544"/>
    <cellStyle name="40% - Accent3 3 2" xfId="545"/>
    <cellStyle name="60% - Accent3 3 2" xfId="546"/>
    <cellStyle name="20% - Accent4 3 2" xfId="547"/>
    <cellStyle name="40% - Accent4 3 2" xfId="548"/>
    <cellStyle name="60% - Accent4 3 2" xfId="549"/>
    <cellStyle name="20% - Accent5 3 2" xfId="550"/>
    <cellStyle name="40% - Accent5 3 2" xfId="551"/>
    <cellStyle name="60% - Accent5 3 2" xfId="552"/>
    <cellStyle name="20% - Accent6 3 2" xfId="553"/>
    <cellStyle name="40% - Accent6 3 2" xfId="554"/>
    <cellStyle name="60% - Accent6 3 2" xfId="555"/>
    <cellStyle name="Normal 3 2 3 2" xfId="556"/>
    <cellStyle name="Normal 3 3 3 2" xfId="557"/>
    <cellStyle name="Normal 3 4 3 2" xfId="558"/>
    <cellStyle name="Normal 3 5 3 2" xfId="559"/>
    <cellStyle name="Normal 3 2 2 2 2" xfId="560"/>
    <cellStyle name="Normal 3 3 2 2 2" xfId="561"/>
    <cellStyle name="Normal 3 4 2 2 2" xfId="562"/>
    <cellStyle name="Normal 3 5 2 2 2" xfId="563"/>
    <cellStyle name="Normal 5 2 2" xfId="564"/>
    <cellStyle name="Percent 3 2 2" xfId="565"/>
    <cellStyle name="Note 2 2 2" xfId="566"/>
    <cellStyle name="Normal 3 6 2 2" xfId="567"/>
    <cellStyle name="Comma 2 3 2" xfId="568"/>
    <cellStyle name="Comma 3 2 2" xfId="569"/>
    <cellStyle name="Percent 4 2 2" xfId="570"/>
    <cellStyle name="Normal 3 7 2 2" xfId="571"/>
    <cellStyle name="Note 3 2 2" xfId="572"/>
    <cellStyle name="20% - Accent1 2 2 2" xfId="573"/>
    <cellStyle name="40% - Accent1 2 2 2" xfId="574"/>
    <cellStyle name="60% - Accent1 2 2 2" xfId="575"/>
    <cellStyle name="20% - Accent2 2 2 2" xfId="576"/>
    <cellStyle name="40% - Accent2 2 2 2" xfId="577"/>
    <cellStyle name="60% - Accent2 2 2 2" xfId="578"/>
    <cellStyle name="20% - Accent3 2 2 2" xfId="579"/>
    <cellStyle name="40% - Accent3 2 2 2" xfId="580"/>
    <cellStyle name="60% - Accent3 2 2 2" xfId="581"/>
    <cellStyle name="20% - Accent4 2 2 2" xfId="582"/>
    <cellStyle name="40% - Accent4 2 2 2" xfId="583"/>
    <cellStyle name="60% - Accent4 2 2 2" xfId="584"/>
    <cellStyle name="20% - Accent5 2 2 2" xfId="585"/>
    <cellStyle name="40% - Accent5 2 2 2" xfId="586"/>
    <cellStyle name="60% - Accent5 2 2 2" xfId="587"/>
    <cellStyle name="20% - Accent6 2 2 2" xfId="588"/>
    <cellStyle name="40% - Accent6 2 2 2" xfId="589"/>
    <cellStyle name="60% - Accent6 2 2 2" xfId="590"/>
    <cellStyle name="Comma 2 2 2 2" xfId="591"/>
    <cellStyle name="Comma 4 2 2" xfId="592"/>
    <cellStyle name="Normal 3 8 2 2" xfId="593"/>
    <cellStyle name="Normal 2 3" xfId="594"/>
    <cellStyle name="Hyperlink 3" xfId="595"/>
    <cellStyle name="Normal 9 4" xfId="596"/>
    <cellStyle name="Percent 6" xfId="597"/>
    <cellStyle name="Normal 3 9" xfId="598"/>
    <cellStyle name="Normal 3 10" xfId="599"/>
    <cellStyle name="Normal 3 11" xfId="600"/>
    <cellStyle name="Normal 3 12" xfId="601"/>
    <cellStyle name="Normal 3 2 5" xfId="602"/>
    <cellStyle name="Normal 3 3 5" xfId="603"/>
    <cellStyle name="Normal 3 4 5" xfId="604"/>
    <cellStyle name="Normal 3 5 5" xfId="605"/>
    <cellStyle name="20% - Accent1 5" xfId="606"/>
    <cellStyle name="40% - Accent1 5" xfId="607"/>
    <cellStyle name="60% - Accent1 5" xfId="608"/>
    <cellStyle name="20% - Accent2 5" xfId="609"/>
    <cellStyle name="40% - Accent2 5" xfId="610"/>
    <cellStyle name="60% - Accent2 5" xfId="611"/>
    <cellStyle name="20% - Accent3 5" xfId="612"/>
    <cellStyle name="40% - Accent3 5" xfId="613"/>
    <cellStyle name="60% - Accent3 5" xfId="614"/>
    <cellStyle name="20% - Accent4 5" xfId="615"/>
    <cellStyle name="40% - Accent4 5" xfId="616"/>
    <cellStyle name="60% - Accent4 5" xfId="617"/>
    <cellStyle name="20% - Accent5 5" xfId="618"/>
    <cellStyle name="40% - Accent5 5" xfId="619"/>
    <cellStyle name="60% - Accent5 5" xfId="620"/>
    <cellStyle name="20% - Accent6 5" xfId="621"/>
    <cellStyle name="40% - Accent6 5" xfId="622"/>
    <cellStyle name="60% - Accent6 5" xfId="623"/>
    <cellStyle name="Normal 3 2 2 4" xfId="624"/>
    <cellStyle name="Normal 3 3 2 4" xfId="625"/>
    <cellStyle name="Normal 3 4 2 4" xfId="626"/>
    <cellStyle name="Normal 3 5 2 4" xfId="627"/>
    <cellStyle name="Normal 5 4" xfId="628"/>
    <cellStyle name="Percent 3 4" xfId="629"/>
    <cellStyle name="Note 2 4" xfId="630"/>
    <cellStyle name="Normal 3 6 4" xfId="631"/>
    <cellStyle name="Comma 2 6" xfId="632"/>
    <cellStyle name="Comma 3 5" xfId="633"/>
    <cellStyle name="Percent 4 4" xfId="634"/>
    <cellStyle name="Normal 3 7 4" xfId="635"/>
    <cellStyle name="Note 3 4" xfId="636"/>
    <cellStyle name="20% - Accent1 2 4" xfId="637"/>
    <cellStyle name="40% - Accent1 2 4" xfId="638"/>
    <cellStyle name="60% - Accent1 2 4" xfId="639"/>
    <cellStyle name="20% - Accent2 2 4" xfId="640"/>
    <cellStyle name="40% - Accent2 2 4" xfId="641"/>
    <cellStyle name="60% - Accent2 2 4" xfId="642"/>
    <cellStyle name="20% - Accent3 2 4" xfId="643"/>
    <cellStyle name="40% - Accent3 2 4" xfId="644"/>
    <cellStyle name="60% - Accent3 2 4" xfId="645"/>
    <cellStyle name="20% - Accent4 2 4" xfId="646"/>
    <cellStyle name="40% - Accent4 2 4" xfId="647"/>
    <cellStyle name="60% - Accent4 2 4" xfId="648"/>
    <cellStyle name="20% - Accent5 2 4" xfId="649"/>
    <cellStyle name="40% - Accent5 2 4" xfId="650"/>
    <cellStyle name="60% - Accent5 2 4" xfId="651"/>
    <cellStyle name="20% - Accent6 2 4" xfId="652"/>
    <cellStyle name="40% - Accent6 2 4" xfId="653"/>
    <cellStyle name="60% - Accent6 2 4" xfId="654"/>
    <cellStyle name="Comma 2 2 5" xfId="655"/>
    <cellStyle name="Comma 4 5" xfId="656"/>
    <cellStyle name="Normal 3 8 4" xfId="657"/>
    <cellStyle name="Normal 7 3" xfId="658"/>
    <cellStyle name="Comma 5 3" xfId="659"/>
    <cellStyle name="20% - Accent1 3 3" xfId="660"/>
    <cellStyle name="40% - Accent1 3 3" xfId="661"/>
    <cellStyle name="60% - Accent1 3 3" xfId="662"/>
    <cellStyle name="20% - Accent2 3 3" xfId="663"/>
    <cellStyle name="40% - Accent2 3 3" xfId="664"/>
    <cellStyle name="60% - Accent2 3 3" xfId="665"/>
    <cellStyle name="20% - Accent3 3 3" xfId="666"/>
    <cellStyle name="40% - Accent3 3 3" xfId="667"/>
    <cellStyle name="60% - Accent3 3 3" xfId="668"/>
    <cellStyle name="20% - Accent4 3 3" xfId="669"/>
    <cellStyle name="40% - Accent4 3 3" xfId="670"/>
    <cellStyle name="60% - Accent4 3 3" xfId="671"/>
    <cellStyle name="20% - Accent5 3 3" xfId="672"/>
    <cellStyle name="40% - Accent5 3 3" xfId="673"/>
    <cellStyle name="60% - Accent5 3 3" xfId="674"/>
    <cellStyle name="20% - Accent6 3 3" xfId="675"/>
    <cellStyle name="40% - Accent6 3 3" xfId="676"/>
    <cellStyle name="60% - Accent6 3 3" xfId="677"/>
    <cellStyle name="Normal 3 2 3 3" xfId="678"/>
    <cellStyle name="Normal 3 3 3 3" xfId="679"/>
    <cellStyle name="Normal 3 4 3 3" xfId="680"/>
    <cellStyle name="Normal 3 5 3 3" xfId="681"/>
    <cellStyle name="Normal 3 2 2 2 3" xfId="682"/>
    <cellStyle name="Normal 3 3 2 2 3" xfId="683"/>
    <cellStyle name="Normal 3 4 2 2 3" xfId="684"/>
    <cellStyle name="Normal 3 5 2 2 3" xfId="685"/>
    <cellStyle name="Normal 5 2 3" xfId="686"/>
    <cellStyle name="Percent 3 2 3" xfId="687"/>
    <cellStyle name="Note 2 2 3" xfId="688"/>
    <cellStyle name="Normal 3 6 2 3" xfId="689"/>
    <cellStyle name="Comma 2 3 3" xfId="690"/>
    <cellStyle name="Comma 3 2 3" xfId="691"/>
    <cellStyle name="Percent 4 2 3" xfId="692"/>
    <cellStyle name="Normal 3 7 2 3" xfId="693"/>
    <cellStyle name="Note 3 2 3" xfId="694"/>
    <cellStyle name="20% - Accent1 2 2 3" xfId="695"/>
    <cellStyle name="40% - Accent1 2 2 3" xfId="696"/>
    <cellStyle name="60% - Accent1 2 2 3" xfId="697"/>
    <cellStyle name="20% - Accent2 2 2 3" xfId="698"/>
    <cellStyle name="40% - Accent2 2 2 3" xfId="699"/>
    <cellStyle name="60% - Accent2 2 2 3" xfId="700"/>
    <cellStyle name="20% - Accent3 2 2 3" xfId="701"/>
    <cellStyle name="40% - Accent3 2 2 3" xfId="702"/>
    <cellStyle name="60% - Accent3 2 2 3" xfId="703"/>
    <cellStyle name="20% - Accent4 2 2 3" xfId="704"/>
    <cellStyle name="40% - Accent4 2 2 3" xfId="705"/>
    <cellStyle name="60% - Accent4 2 2 3" xfId="706"/>
    <cellStyle name="20% - Accent5 2 2 3" xfId="707"/>
    <cellStyle name="40% - Accent5 2 2 3" xfId="708"/>
    <cellStyle name="60% - Accent5 2 2 3" xfId="709"/>
    <cellStyle name="20% - Accent6 2 2 3" xfId="710"/>
    <cellStyle name="40% - Accent6 2 2 3" xfId="711"/>
    <cellStyle name="60% - Accent6 2 2 3" xfId="712"/>
    <cellStyle name="Comma 2 2 2 3" xfId="713"/>
    <cellStyle name="Comma 4 2 3" xfId="714"/>
    <cellStyle name="Normal 3 8 2 3" xfId="715"/>
    <cellStyle name="Normal 8 2 8" xfId="716"/>
    <cellStyle name="Comma 6 2" xfId="717"/>
    <cellStyle name="20% - Accent1 4 2" xfId="718"/>
    <cellStyle name="40% - Accent1 4 2" xfId="719"/>
    <cellStyle name="60% - Accent1 4 2" xfId="720"/>
    <cellStyle name="20% - Accent2 4 2" xfId="721"/>
    <cellStyle name="40% - Accent2 4 2" xfId="722"/>
    <cellStyle name="60% - Accent2 4 2" xfId="723"/>
    <cellStyle name="20% - Accent3 4 2" xfId="724"/>
    <cellStyle name="40% - Accent3 4 2" xfId="725"/>
    <cellStyle name="60% - Accent3 4 2" xfId="726"/>
    <cellStyle name="20% - Accent4 4 2" xfId="727"/>
    <cellStyle name="40% - Accent4 4 2" xfId="728"/>
    <cellStyle name="60% - Accent4 4 2" xfId="729"/>
    <cellStyle name="20% - Accent5 4 2" xfId="730"/>
    <cellStyle name="40% - Accent5 4 2" xfId="731"/>
    <cellStyle name="60% - Accent5 4 2" xfId="732"/>
    <cellStyle name="20% - Accent6 4 2" xfId="733"/>
    <cellStyle name="40% - Accent6 4 2" xfId="734"/>
    <cellStyle name="60% - Accent6 4 2" xfId="735"/>
    <cellStyle name="Normal 3 2 4 2" xfId="736"/>
    <cellStyle name="Normal 3 3 4 2" xfId="737"/>
    <cellStyle name="Normal 3 4 4 2" xfId="738"/>
    <cellStyle name="Normal 3 5 4 2" xfId="739"/>
    <cellStyle name="Normal 3 2 2 3 2" xfId="740"/>
    <cellStyle name="Normal 3 3 2 3 2" xfId="741"/>
    <cellStyle name="Normal 3 4 2 3 2" xfId="742"/>
    <cellStyle name="Normal 3 5 2 3 2" xfId="743"/>
    <cellStyle name="Normal 5 3 2" xfId="744"/>
    <cellStyle name="Percent 3 3 2" xfId="745"/>
    <cellStyle name="Note 2 3 2" xfId="746"/>
    <cellStyle name="Normal 3 6 3 2" xfId="747"/>
    <cellStyle name="Comma 2 5 2" xfId="748"/>
    <cellStyle name="Comma 3 4 2" xfId="749"/>
    <cellStyle name="Percent 4 3 2" xfId="750"/>
    <cellStyle name="Normal 3 7 3 2" xfId="751"/>
    <cellStyle name="Note 3 3 2" xfId="752"/>
    <cellStyle name="20% - Accent1 2 3 2" xfId="753"/>
    <cellStyle name="40% - Accent1 2 3 2" xfId="754"/>
    <cellStyle name="60% - Accent1 2 3 2" xfId="755"/>
    <cellStyle name="20% - Accent2 2 3 2" xfId="756"/>
    <cellStyle name="40% - Accent2 2 3 2" xfId="757"/>
    <cellStyle name="60% - Accent2 2 3 2" xfId="758"/>
    <cellStyle name="20% - Accent3 2 3 2" xfId="759"/>
    <cellStyle name="40% - Accent3 2 3 2" xfId="760"/>
    <cellStyle name="60% - Accent3 2 3 2" xfId="761"/>
    <cellStyle name="20% - Accent4 2 3 2" xfId="762"/>
    <cellStyle name="40% - Accent4 2 3 2" xfId="763"/>
    <cellStyle name="60% - Accent4 2 3 2" xfId="764"/>
    <cellStyle name="20% - Accent5 2 3 2" xfId="765"/>
    <cellStyle name="40% - Accent5 2 3 2" xfId="766"/>
    <cellStyle name="60% - Accent5 2 3 2" xfId="767"/>
    <cellStyle name="20% - Accent6 2 3 2" xfId="768"/>
    <cellStyle name="40% - Accent6 2 3 2" xfId="769"/>
    <cellStyle name="60% - Accent6 2 3 2" xfId="770"/>
    <cellStyle name="Comma 2 2 4 2" xfId="771"/>
    <cellStyle name="Comma 4 4 2" xfId="772"/>
    <cellStyle name="Normal 3 8 3 2" xfId="773"/>
    <cellStyle name="Comma 2 4 2" xfId="774"/>
    <cellStyle name="Comma 3 3 2" xfId="775"/>
    <cellStyle name="Comma 2 2 3 2" xfId="776"/>
    <cellStyle name="Comma 4 3 2" xfId="777"/>
    <cellStyle name="Normal 7 2 2" xfId="778"/>
    <cellStyle name="Comma 5 2 2" xfId="779"/>
    <cellStyle name="20% - Accent1 3 2 2" xfId="780"/>
    <cellStyle name="40% - Accent1 3 2 2" xfId="781"/>
    <cellStyle name="60% - Accent1 3 2 2" xfId="782"/>
    <cellStyle name="20% - Accent2 3 2 2" xfId="783"/>
    <cellStyle name="40% - Accent2 3 2 2" xfId="784"/>
    <cellStyle name="60% - Accent2 3 2 2" xfId="785"/>
    <cellStyle name="20% - Accent3 3 2 2" xfId="786"/>
    <cellStyle name="40% - Accent3 3 2 2" xfId="787"/>
    <cellStyle name="60% - Accent3 3 2 2" xfId="788"/>
    <cellStyle name="20% - Accent4 3 2 2" xfId="789"/>
    <cellStyle name="40% - Accent4 3 2 2" xfId="790"/>
    <cellStyle name="60% - Accent4 3 2 2" xfId="791"/>
    <cellStyle name="20% - Accent5 3 2 2" xfId="792"/>
    <cellStyle name="40% - Accent5 3 2 2" xfId="793"/>
    <cellStyle name="60% - Accent5 3 2 2" xfId="794"/>
    <cellStyle name="20% - Accent6 3 2 2" xfId="795"/>
    <cellStyle name="40% - Accent6 3 2 2" xfId="796"/>
    <cellStyle name="60% - Accent6 3 2 2" xfId="797"/>
    <cellStyle name="Normal 3 2 3 2 2" xfId="798"/>
    <cellStyle name="Normal 3 3 3 2 2" xfId="799"/>
    <cellStyle name="Normal 3 4 3 2 2" xfId="800"/>
    <cellStyle name="Normal 3 5 3 2 2" xfId="801"/>
    <cellStyle name="Normal 3 2 2 2 2 2" xfId="802"/>
    <cellStyle name="Normal 3 3 2 2 2 2" xfId="803"/>
    <cellStyle name="Normal 3 4 2 2 2 2" xfId="804"/>
    <cellStyle name="Normal 3 5 2 2 2 2" xfId="805"/>
    <cellStyle name="Normal 5 2 2 2" xfId="806"/>
    <cellStyle name="Percent 3 2 2 2" xfId="807"/>
    <cellStyle name="Note 2 2 2 2" xfId="808"/>
    <cellStyle name="Normal 3 6 2 2 2" xfId="809"/>
    <cellStyle name="Comma 2 3 2 2" xfId="810"/>
    <cellStyle name="Comma 3 2 2 2" xfId="811"/>
    <cellStyle name="Percent 4 2 2 2" xfId="812"/>
    <cellStyle name="Normal 3 7 2 2 2" xfId="813"/>
    <cellStyle name="Note 3 2 2 2" xfId="814"/>
    <cellStyle name="20% - Accent1 2 2 2 2" xfId="815"/>
    <cellStyle name="40% - Accent1 2 2 2 2" xfId="816"/>
    <cellStyle name="60% - Accent1 2 2 2 2" xfId="817"/>
    <cellStyle name="20% - Accent2 2 2 2 2" xfId="818"/>
    <cellStyle name="40% - Accent2 2 2 2 2" xfId="819"/>
    <cellStyle name="60% - Accent2 2 2 2 2" xfId="820"/>
    <cellStyle name="20% - Accent3 2 2 2 2" xfId="821"/>
    <cellStyle name="40% - Accent3 2 2 2 2" xfId="822"/>
    <cellStyle name="60% - Accent3 2 2 2 2" xfId="823"/>
    <cellStyle name="20% - Accent4 2 2 2 2" xfId="824"/>
    <cellStyle name="40% - Accent4 2 2 2 2" xfId="825"/>
    <cellStyle name="60% - Accent4 2 2 2 2" xfId="826"/>
    <cellStyle name="20% - Accent5 2 2 2 2" xfId="827"/>
    <cellStyle name="40% - Accent5 2 2 2 2" xfId="828"/>
    <cellStyle name="60% - Accent5 2 2 2 2" xfId="829"/>
    <cellStyle name="20% - Accent6 2 2 2 2" xfId="830"/>
    <cellStyle name="40% - Accent6 2 2 2 2" xfId="831"/>
    <cellStyle name="60% - Accent6 2 2 2 2" xfId="832"/>
    <cellStyle name="Comma 2 2 2 2 2" xfId="833"/>
    <cellStyle name="Comma 4 2 2 2" xfId="834"/>
    <cellStyle name="Normal 3 8 2 2 2" xfId="835"/>
    <cellStyle name="Normal 3 10 2" xfId="836"/>
    <cellStyle name="Normal 3 11 2" xfId="837"/>
    <cellStyle name="Normal 3 2 6" xfId="838"/>
    <cellStyle name="Normal 3 3 6" xfId="839"/>
    <cellStyle name="Normal 3 4 6" xfId="840"/>
    <cellStyle name="Normal 3 5 6" xfId="841"/>
    <cellStyle name="20% - Accent1 6" xfId="842"/>
    <cellStyle name="40% - Accent1 6" xfId="843"/>
    <cellStyle name="60% - Accent1 6" xfId="844"/>
    <cellStyle name="20% - Accent2 6" xfId="845"/>
    <cellStyle name="40% - Accent2 6" xfId="846"/>
    <cellStyle name="60% - Accent2 6" xfId="847"/>
    <cellStyle name="20% - Accent3 6" xfId="848"/>
    <cellStyle name="40% - Accent3 6" xfId="849"/>
    <cellStyle name="60% - Accent3 6" xfId="850"/>
    <cellStyle name="20% - Accent4 6" xfId="851"/>
    <cellStyle name="40% - Accent4 6" xfId="852"/>
    <cellStyle name="60% - Accent4 6" xfId="853"/>
    <cellStyle name="20% - Accent5 6" xfId="854"/>
    <cellStyle name="40% - Accent5 6" xfId="855"/>
    <cellStyle name="60% - Accent5 6" xfId="856"/>
    <cellStyle name="20% - Accent6 6" xfId="857"/>
    <cellStyle name="40% - Accent6 6" xfId="858"/>
    <cellStyle name="60% - Accent6 6" xfId="859"/>
    <cellStyle name="Normal 3 2 2 5" xfId="860"/>
    <cellStyle name="Normal 3 3 2 5" xfId="861"/>
    <cellStyle name="Normal 3 4 2 5" xfId="862"/>
    <cellStyle name="Normal 3 5 2 5" xfId="863"/>
    <cellStyle name="Normal 5 5" xfId="864"/>
    <cellStyle name="Percent 3 5" xfId="865"/>
    <cellStyle name="Note 2 5" xfId="866"/>
    <cellStyle name="Normal 3 6 5" xfId="867"/>
    <cellStyle name="Comma 2 7" xfId="868"/>
    <cellStyle name="Comma 3 7" xfId="869"/>
    <cellStyle name="Percent 4 5" xfId="870"/>
    <cellStyle name="Normal 3 7 5" xfId="871"/>
    <cellStyle name="Note 3 5" xfId="872"/>
    <cellStyle name="20% - Accent1 2 5" xfId="873"/>
    <cellStyle name="40% - Accent1 2 5" xfId="874"/>
    <cellStyle name="60% - Accent1 2 5" xfId="875"/>
    <cellStyle name="20% - Accent2 2 5" xfId="876"/>
    <cellStyle name="40% - Accent2 2 5" xfId="877"/>
    <cellStyle name="60% - Accent2 2 5" xfId="878"/>
    <cellStyle name="20% - Accent3 2 5" xfId="879"/>
    <cellStyle name="40% - Accent3 2 5" xfId="880"/>
    <cellStyle name="60% - Accent3 2 5" xfId="881"/>
    <cellStyle name="20% - Accent4 2 5" xfId="882"/>
    <cellStyle name="40% - Accent4 2 5" xfId="883"/>
    <cellStyle name="60% - Accent4 2 5" xfId="884"/>
    <cellStyle name="20% - Accent5 2 5" xfId="885"/>
    <cellStyle name="40% - Accent5 2 5" xfId="886"/>
    <cellStyle name="60% - Accent5 2 5" xfId="887"/>
    <cellStyle name="20% - Accent6 2 5" xfId="888"/>
    <cellStyle name="40% - Accent6 2 5" xfId="889"/>
    <cellStyle name="60% - Accent6 2 5" xfId="890"/>
    <cellStyle name="Comma 2 2 6" xfId="891"/>
    <cellStyle name="Comma 4 6" xfId="892"/>
    <cellStyle name="Normal 3 8 5" xfId="893"/>
    <cellStyle name="Normal 7 4" xfId="894"/>
    <cellStyle name="Comma 5 4" xfId="895"/>
    <cellStyle name="20% - Accent1 3 4" xfId="896"/>
    <cellStyle name="40% - Accent1 3 4" xfId="897"/>
    <cellStyle name="60% - Accent1 3 4" xfId="898"/>
    <cellStyle name="20% - Accent2 3 4" xfId="899"/>
    <cellStyle name="40% - Accent2 3 4" xfId="900"/>
    <cellStyle name="60% - Accent2 3 4" xfId="901"/>
    <cellStyle name="20% - Accent3 3 4" xfId="902"/>
    <cellStyle name="40% - Accent3 3 4" xfId="903"/>
    <cellStyle name="60% - Accent3 3 4" xfId="904"/>
    <cellStyle name="20% - Accent4 3 4" xfId="905"/>
    <cellStyle name="40% - Accent4 3 4" xfId="906"/>
    <cellStyle name="60% - Accent4 3 4" xfId="907"/>
    <cellStyle name="20% - Accent5 3 4" xfId="908"/>
    <cellStyle name="40% - Accent5 3 4" xfId="909"/>
    <cellStyle name="60% - Accent5 3 4" xfId="910"/>
    <cellStyle name="20% - Accent6 3 4" xfId="911"/>
    <cellStyle name="40% - Accent6 3 4" xfId="912"/>
    <cellStyle name="60% - Accent6 3 4" xfId="913"/>
    <cellStyle name="Normal 3 2 3 4" xfId="914"/>
    <cellStyle name="Normal 3 3 3 4" xfId="915"/>
    <cellStyle name="Normal 3 4 3 4" xfId="916"/>
    <cellStyle name="Normal 3 5 3 4" xfId="917"/>
    <cellStyle name="Normal 3 2 2 2 4" xfId="918"/>
    <cellStyle name="Normal 3 3 2 2 4" xfId="919"/>
    <cellStyle name="Normal 3 4 2 2 4" xfId="920"/>
    <cellStyle name="Normal 3 5 2 2 4" xfId="921"/>
    <cellStyle name="Normal 5 2 4" xfId="922"/>
    <cellStyle name="Percent 3 2 4" xfId="923"/>
    <cellStyle name="Note 2 2 4" xfId="924"/>
    <cellStyle name="Normal 3 6 2 4" xfId="925"/>
    <cellStyle name="Comma 2 3 4" xfId="926"/>
    <cellStyle name="Comma 3 2 4" xfId="927"/>
    <cellStyle name="Percent 4 2 4" xfId="928"/>
    <cellStyle name="Normal 3 7 2 4" xfId="929"/>
    <cellStyle name="Note 3 2 4" xfId="930"/>
    <cellStyle name="20% - Accent1 2 2 4" xfId="931"/>
    <cellStyle name="40% - Accent1 2 2 4" xfId="932"/>
    <cellStyle name="60% - Accent1 2 2 4" xfId="933"/>
    <cellStyle name="20% - Accent2 2 2 4" xfId="934"/>
    <cellStyle name="40% - Accent2 2 2 4" xfId="935"/>
    <cellStyle name="60% - Accent2 2 2 4" xfId="936"/>
    <cellStyle name="20% - Accent3 2 2 4" xfId="937"/>
    <cellStyle name="40% - Accent3 2 2 4" xfId="938"/>
    <cellStyle name="60% - Accent3 2 2 4" xfId="939"/>
    <cellStyle name="20% - Accent4 2 2 4" xfId="940"/>
    <cellStyle name="40% - Accent4 2 2 4" xfId="941"/>
    <cellStyle name="60% - Accent4 2 2 4" xfId="942"/>
    <cellStyle name="20% - Accent5 2 2 4" xfId="943"/>
    <cellStyle name="40% - Accent5 2 2 4" xfId="944"/>
    <cellStyle name="60% - Accent5 2 2 4" xfId="945"/>
    <cellStyle name="20% - Accent6 2 2 4" xfId="946"/>
    <cellStyle name="40% - Accent6 2 2 4" xfId="947"/>
    <cellStyle name="60% - Accent6 2 2 4" xfId="948"/>
    <cellStyle name="Comma 2 2 2 4" xfId="949"/>
    <cellStyle name="Comma 4 2 4" xfId="950"/>
    <cellStyle name="Normal 3 8 2 4" xfId="951"/>
    <cellStyle name="Normal 8 3" xfId="952"/>
    <cellStyle name="Comma 6 3" xfId="953"/>
    <cellStyle name="20% - Accent1 4 3" xfId="954"/>
    <cellStyle name="40% - Accent1 4 3" xfId="955"/>
    <cellStyle name="60% - Accent1 4 3" xfId="956"/>
    <cellStyle name="20% - Accent2 4 3" xfId="957"/>
    <cellStyle name="40% - Accent2 4 3" xfId="958"/>
    <cellStyle name="60% - Accent2 4 3" xfId="959"/>
    <cellStyle name="20% - Accent3 4 3" xfId="960"/>
    <cellStyle name="40% - Accent3 4 3" xfId="961"/>
    <cellStyle name="60% - Accent3 4 3" xfId="962"/>
    <cellStyle name="20% - Accent4 4 3" xfId="963"/>
    <cellStyle name="40% - Accent4 4 3" xfId="964"/>
    <cellStyle name="60% - Accent4 4 3" xfId="965"/>
    <cellStyle name="20% - Accent5 4 3" xfId="966"/>
    <cellStyle name="40% - Accent5 4 3" xfId="967"/>
    <cellStyle name="60% - Accent5 4 3" xfId="968"/>
    <cellStyle name="20% - Accent6 4 3" xfId="969"/>
    <cellStyle name="40% - Accent6 4 3" xfId="970"/>
    <cellStyle name="60% - Accent6 4 3" xfId="971"/>
    <cellStyle name="Normal 3 2 4 3" xfId="972"/>
    <cellStyle name="Normal 3 3 4 3" xfId="973"/>
    <cellStyle name="Normal 3 4 4 3" xfId="974"/>
    <cellStyle name="Normal 3 5 4 3" xfId="975"/>
    <cellStyle name="Normal 3 2 2 3 3" xfId="976"/>
    <cellStyle name="Normal 3 3 2 3 3" xfId="977"/>
    <cellStyle name="Normal 3 4 2 3 3" xfId="978"/>
    <cellStyle name="Normal 3 5 2 3 3" xfId="979"/>
    <cellStyle name="Normal 5 3 3" xfId="980"/>
    <cellStyle name="Percent 3 3 3" xfId="981"/>
    <cellStyle name="Note 2 3 3" xfId="982"/>
    <cellStyle name="Normal 3 6 3 3" xfId="983"/>
    <cellStyle name="Comma 2 5 3" xfId="984"/>
    <cellStyle name="Comma 3 4 3" xfId="985"/>
    <cellStyle name="Percent 4 3 3" xfId="986"/>
    <cellStyle name="Normal 3 7 3 3" xfId="987"/>
    <cellStyle name="Note 3 3 3" xfId="988"/>
    <cellStyle name="20% - Accent1 2 3 3" xfId="989"/>
    <cellStyle name="40% - Accent1 2 3 3" xfId="990"/>
    <cellStyle name="60% - Accent1 2 3 3" xfId="991"/>
    <cellStyle name="20% - Accent2 2 3 3" xfId="992"/>
    <cellStyle name="40% - Accent2 2 3 3" xfId="993"/>
    <cellStyle name="60% - Accent2 2 3 3" xfId="994"/>
    <cellStyle name="20% - Accent3 2 3 3" xfId="995"/>
    <cellStyle name="40% - Accent3 2 3 3" xfId="996"/>
    <cellStyle name="60% - Accent3 2 3 3" xfId="997"/>
    <cellStyle name="20% - Accent4 2 3 3" xfId="998"/>
    <cellStyle name="40% - Accent4 2 3 3" xfId="999"/>
    <cellStyle name="60% - Accent4 2 3 3" xfId="1000"/>
    <cellStyle name="20% - Accent5 2 3 3" xfId="1001"/>
    <cellStyle name="40% - Accent5 2 3 3" xfId="1002"/>
    <cellStyle name="60% - Accent5 2 3 3" xfId="1003"/>
    <cellStyle name="20% - Accent6 2 3 3" xfId="1004"/>
    <cellStyle name="40% - Accent6 2 3 3" xfId="1005"/>
    <cellStyle name="60% - Accent6 2 3 3" xfId="1006"/>
    <cellStyle name="Comma 2 2 4 3" xfId="1007"/>
    <cellStyle name="Comma 4 4 3" xfId="1008"/>
    <cellStyle name="Normal 3 8 3 3" xfId="1009"/>
    <cellStyle name="Comma 2 4 3" xfId="1010"/>
    <cellStyle name="Comma 3 3 3" xfId="1011"/>
    <cellStyle name="Comma 2 2 3 3" xfId="1012"/>
    <cellStyle name="Comma 4 3 3" xfId="1013"/>
    <cellStyle name="Normal 7 2 3" xfId="1014"/>
    <cellStyle name="Comma 5 2 3" xfId="1015"/>
    <cellStyle name="20% - Accent1 3 2 3" xfId="1016"/>
    <cellStyle name="40% - Accent1 3 2 3" xfId="1017"/>
    <cellStyle name="60% - Accent1 3 2 3" xfId="1018"/>
    <cellStyle name="20% - Accent2 3 2 3" xfId="1019"/>
    <cellStyle name="40% - Accent2 3 2 3" xfId="1020"/>
    <cellStyle name="60% - Accent2 3 2 3" xfId="1021"/>
    <cellStyle name="20% - Accent3 3 2 3" xfId="1022"/>
    <cellStyle name="40% - Accent3 3 2 3" xfId="1023"/>
    <cellStyle name="60% - Accent3 3 2 3" xfId="1024"/>
    <cellStyle name="20% - Accent4 3 2 3" xfId="1025"/>
    <cellStyle name="40% - Accent4 3 2 3" xfId="1026"/>
    <cellStyle name="60% - Accent4 3 2 3" xfId="1027"/>
    <cellStyle name="20% - Accent5 3 2 3" xfId="1028"/>
    <cellStyle name="40% - Accent5 3 2 3" xfId="1029"/>
    <cellStyle name="60% - Accent5 3 2 3" xfId="1030"/>
    <cellStyle name="20% - Accent6 3 2 3" xfId="1031"/>
    <cellStyle name="40% - Accent6 3 2 3" xfId="1032"/>
    <cellStyle name="60% - Accent6 3 2 3" xfId="1033"/>
    <cellStyle name="Normal 3 2 3 2 3" xfId="1034"/>
    <cellStyle name="Normal 3 3 3 2 3" xfId="1035"/>
    <cellStyle name="Normal 3 4 3 2 3" xfId="1036"/>
    <cellStyle name="Normal 3 5 3 2 3" xfId="1037"/>
    <cellStyle name="Normal 3 2 2 2 2 3" xfId="1038"/>
    <cellStyle name="Normal 3 3 2 2 2 3" xfId="1039"/>
    <cellStyle name="Normal 3 4 2 2 2 3" xfId="1040"/>
    <cellStyle name="Normal 3 5 2 2 2 3" xfId="1041"/>
    <cellStyle name="Normal 5 2 2 3" xfId="1042"/>
    <cellStyle name="Percent 3 2 2 3" xfId="1043"/>
    <cellStyle name="Note 2 2 2 3" xfId="1044"/>
    <cellStyle name="Normal 3 6 2 2 3" xfId="1045"/>
    <cellStyle name="Comma 2 3 2 3" xfId="1046"/>
    <cellStyle name="Comma 3 2 2 3" xfId="1047"/>
    <cellStyle name="Percent 4 2 2 3" xfId="1048"/>
    <cellStyle name="Normal 3 7 2 2 3" xfId="1049"/>
    <cellStyle name="Note 3 2 2 3" xfId="1050"/>
    <cellStyle name="20% - Accent1 2 2 2 3" xfId="1051"/>
    <cellStyle name="40% - Accent1 2 2 2 3" xfId="1052"/>
    <cellStyle name="60% - Accent1 2 2 2 3" xfId="1053"/>
    <cellStyle name="20% - Accent2 2 2 2 3" xfId="1054"/>
    <cellStyle name="40% - Accent2 2 2 2 3" xfId="1055"/>
    <cellStyle name="60% - Accent2 2 2 2 3" xfId="1056"/>
    <cellStyle name="20% - Accent3 2 2 2 3" xfId="1057"/>
    <cellStyle name="40% - Accent3 2 2 2 3" xfId="1058"/>
    <cellStyle name="60% - Accent3 2 2 2 3" xfId="1059"/>
    <cellStyle name="20% - Accent4 2 2 2 3" xfId="1060"/>
    <cellStyle name="40% - Accent4 2 2 2 3" xfId="1061"/>
    <cellStyle name="60% - Accent4 2 2 2 3" xfId="1062"/>
    <cellStyle name="20% - Accent5 2 2 2 3" xfId="1063"/>
    <cellStyle name="40% - Accent5 2 2 2 3" xfId="1064"/>
    <cellStyle name="60% - Accent5 2 2 2 3" xfId="1065"/>
    <cellStyle name="20% - Accent6 2 2 2 3" xfId="1066"/>
    <cellStyle name="40% - Accent6 2 2 2 3" xfId="1067"/>
    <cellStyle name="60% - Accent6 2 2 2 3" xfId="1068"/>
    <cellStyle name="Comma 2 2 2 2 3" xfId="1069"/>
    <cellStyle name="Comma 4 2 2 3" xfId="1070"/>
    <cellStyle name="Normal 3 8 2 2 3" xfId="1071"/>
    <cellStyle name="Normal 3 10 3" xfId="1072"/>
    <cellStyle name="Normal 3 11 3" xfId="1073"/>
    <cellStyle name="Normal 5 4 2" xfId="1074"/>
    <cellStyle name="Normal 7 3 2" xfId="1075"/>
    <cellStyle name="Normal 3 2 2 2 3 2" xfId="1076"/>
    <cellStyle name="Normal 8 2 2" xfId="1077"/>
    <cellStyle name="Normal 3 2 2 2 2 2 2" xfId="1078"/>
    <cellStyle name="Comma 3 6" xfId="1079"/>
    <cellStyle name="Normal 3 6 4 2" xfId="1080"/>
    <cellStyle name="Percent 7" xfId="1081"/>
    <cellStyle name="Normal 3 12 2" xfId="1082"/>
    <cellStyle name="Normal 3 2 5 2" xfId="1083"/>
    <cellStyle name="Normal 3 3 5 2" xfId="1084"/>
    <cellStyle name="Normal 3 4 5 2" xfId="1085"/>
    <cellStyle name="Normal 3 5 5 2" xfId="1086"/>
    <cellStyle name="20% - Accent1 5 2" xfId="1087"/>
    <cellStyle name="40% - Accent1 5 2" xfId="1088"/>
    <cellStyle name="60% - Accent1 5 2" xfId="1089"/>
    <cellStyle name="20% - Accent2 5 2" xfId="1090"/>
    <cellStyle name="40% - Accent2 5 2" xfId="1091"/>
    <cellStyle name="60% - Accent2 5 2" xfId="1092"/>
    <cellStyle name="20% - Accent3 5 2" xfId="1093"/>
    <cellStyle name="40% - Accent3 5 2" xfId="1094"/>
    <cellStyle name="60% - Accent3 5 2" xfId="1095"/>
    <cellStyle name="20% - Accent4 5 2" xfId="1096"/>
    <cellStyle name="40% - Accent4 5 2" xfId="1097"/>
    <cellStyle name="60% - Accent4 5 2" xfId="1098"/>
    <cellStyle name="20% - Accent5 5 2" xfId="1099"/>
    <cellStyle name="40% - Accent5 5 2" xfId="1100"/>
    <cellStyle name="60% - Accent5 5 2" xfId="1101"/>
    <cellStyle name="20% - Accent6 5 2" xfId="1102"/>
    <cellStyle name="40% - Accent6 5 2" xfId="1103"/>
    <cellStyle name="60% - Accent6 5 2" xfId="1104"/>
    <cellStyle name="Normal 3 2 2 4 2" xfId="1105"/>
    <cellStyle name="Normal 3 3 2 4 2" xfId="1106"/>
    <cellStyle name="Normal 3 4 2 4 2" xfId="1107"/>
    <cellStyle name="Normal 3 5 2 4 2" xfId="1108"/>
    <cellStyle name="Percent 3 4 2" xfId="1109"/>
    <cellStyle name="Note 2 4 2" xfId="1110"/>
    <cellStyle name="Comma 2 6 2" xfId="1111"/>
    <cellStyle name="Comma 3 5 2" xfId="1112"/>
    <cellStyle name="Percent 4 4 2" xfId="1113"/>
    <cellStyle name="Normal 3 7 4 2" xfId="1114"/>
    <cellStyle name="Note 3 4 2" xfId="1115"/>
    <cellStyle name="20% - Accent1 2 4 2" xfId="1116"/>
    <cellStyle name="40% - Accent1 2 4 2" xfId="1117"/>
    <cellStyle name="60% - Accent1 2 4 2" xfId="1118"/>
    <cellStyle name="20% - Accent2 2 4 2" xfId="1119"/>
    <cellStyle name="40% - Accent2 2 4 2" xfId="1120"/>
    <cellStyle name="60% - Accent2 2 4 2" xfId="1121"/>
    <cellStyle name="20% - Accent3 2 4 2" xfId="1122"/>
    <cellStyle name="40% - Accent3 2 4 2" xfId="1123"/>
    <cellStyle name="60% - Accent3 2 4 2" xfId="1124"/>
    <cellStyle name="20% - Accent4 2 4 2" xfId="1125"/>
    <cellStyle name="40% - Accent4 2 4 2" xfId="1126"/>
    <cellStyle name="60% - Accent4 2 4 2" xfId="1127"/>
    <cellStyle name="20% - Accent5 2 4 2" xfId="1128"/>
    <cellStyle name="40% - Accent5 2 4 2" xfId="1129"/>
    <cellStyle name="60% - Accent5 2 4 2" xfId="1130"/>
    <cellStyle name="20% - Accent6 2 4 2" xfId="1131"/>
    <cellStyle name="40% - Accent6 2 4 2" xfId="1132"/>
    <cellStyle name="60% - Accent6 2 4 2" xfId="1133"/>
    <cellStyle name="Comma 2 2 5 2" xfId="1134"/>
    <cellStyle name="Comma 4 5 2" xfId="1135"/>
    <cellStyle name="Normal 3 8 4 2" xfId="1136"/>
    <cellStyle name="Comma 5 3 2" xfId="1137"/>
    <cellStyle name="20% - Accent1 3 3 2" xfId="1138"/>
    <cellStyle name="40% - Accent1 3 3 2" xfId="1139"/>
    <cellStyle name="60% - Accent1 3 3 2" xfId="1140"/>
    <cellStyle name="20% - Accent2 3 3 2" xfId="1141"/>
    <cellStyle name="40% - Accent2 3 3 2" xfId="1142"/>
    <cellStyle name="60% - Accent2 3 3 2" xfId="1143"/>
    <cellStyle name="20% - Accent3 3 3 2" xfId="1144"/>
    <cellStyle name="40% - Accent3 3 3 2" xfId="1145"/>
    <cellStyle name="60% - Accent3 3 3 2" xfId="1146"/>
    <cellStyle name="20% - Accent4 3 3 2" xfId="1147"/>
    <cellStyle name="40% - Accent4 3 3 2" xfId="1148"/>
    <cellStyle name="60% - Accent4 3 3 2" xfId="1149"/>
    <cellStyle name="20% - Accent5 3 3 2" xfId="1150"/>
    <cellStyle name="40% - Accent5 3 3 2" xfId="1151"/>
    <cellStyle name="60% - Accent5 3 3 2" xfId="1152"/>
    <cellStyle name="20% - Accent6 3 3 2" xfId="1153"/>
    <cellStyle name="40% - Accent6 3 3 2" xfId="1154"/>
    <cellStyle name="60% - Accent6 3 3 2" xfId="1155"/>
    <cellStyle name="Normal 3 2 3 3 2" xfId="1156"/>
    <cellStyle name="Normal 3 3 3 3 2" xfId="1157"/>
    <cellStyle name="Normal 3 4 3 3 2" xfId="1158"/>
    <cellStyle name="Normal 3 5 3 3 2" xfId="1159"/>
    <cellStyle name="Normal 3 3 2 2 3 2" xfId="1160"/>
    <cellStyle name="Normal 3 4 2 2 3 2" xfId="1161"/>
    <cellStyle name="Normal 3 5 2 2 3 2" xfId="1162"/>
    <cellStyle name="Normal 5 2 3 2" xfId="1163"/>
    <cellStyle name="Percent 3 2 3 2" xfId="1164"/>
    <cellStyle name="Note 2 2 3 2" xfId="1165"/>
    <cellStyle name="Normal 3 6 2 3 2" xfId="1166"/>
    <cellStyle name="Comma 2 3 3 2" xfId="1167"/>
    <cellStyle name="Comma 3 2 3 2" xfId="1168"/>
    <cellStyle name="Percent 4 2 3 2" xfId="1169"/>
    <cellStyle name="Normal 3 7 2 3 2" xfId="1170"/>
    <cellStyle name="Note 3 2 3 2" xfId="1171"/>
    <cellStyle name="20% - Accent1 2 2 3 2" xfId="1172"/>
    <cellStyle name="40% - Accent1 2 2 3 2" xfId="1173"/>
    <cellStyle name="60% - Accent1 2 2 3 2" xfId="1174"/>
    <cellStyle name="20% - Accent2 2 2 3 2" xfId="1175"/>
    <cellStyle name="40% - Accent2 2 2 3 2" xfId="1176"/>
    <cellStyle name="60% - Accent2 2 2 3 2" xfId="1177"/>
    <cellStyle name="20% - Accent3 2 2 3 2" xfId="1178"/>
    <cellStyle name="40% - Accent3 2 2 3 2" xfId="1179"/>
    <cellStyle name="60% - Accent3 2 2 3 2" xfId="1180"/>
    <cellStyle name="20% - Accent4 2 2 3 2" xfId="1181"/>
    <cellStyle name="40% - Accent4 2 2 3 2" xfId="1182"/>
    <cellStyle name="60% - Accent4 2 2 3 2" xfId="1183"/>
    <cellStyle name="20% - Accent5 2 2 3 2" xfId="1184"/>
    <cellStyle name="40% - Accent5 2 2 3 2" xfId="1185"/>
    <cellStyle name="60% - Accent5 2 2 3 2" xfId="1186"/>
    <cellStyle name="20% - Accent6 2 2 3 2" xfId="1187"/>
    <cellStyle name="40% - Accent6 2 2 3 2" xfId="1188"/>
    <cellStyle name="60% - Accent6 2 2 3 2" xfId="1189"/>
    <cellStyle name="Comma 2 2 2 3 2" xfId="1190"/>
    <cellStyle name="Comma 4 2 3 2" xfId="1191"/>
    <cellStyle name="Normal 3 8 2 3 2" xfId="1192"/>
    <cellStyle name="Comma 6 2 2" xfId="1193"/>
    <cellStyle name="20% - Accent1 4 2 2" xfId="1194"/>
    <cellStyle name="40% - Accent1 4 2 2" xfId="1195"/>
    <cellStyle name="60% - Accent1 4 2 2" xfId="1196"/>
    <cellStyle name="20% - Accent2 4 2 2" xfId="1197"/>
    <cellStyle name="40% - Accent2 4 2 2" xfId="1198"/>
    <cellStyle name="60% - Accent2 4 2 2" xfId="1199"/>
    <cellStyle name="20% - Accent3 4 2 2" xfId="1200"/>
    <cellStyle name="40% - Accent3 4 2 2" xfId="1201"/>
    <cellStyle name="60% - Accent3 4 2 2" xfId="1202"/>
    <cellStyle name="20% - Accent4 4 2 2" xfId="1203"/>
    <cellStyle name="40% - Accent4 4 2 2" xfId="1204"/>
    <cellStyle name="60% - Accent4 4 2 2" xfId="1205"/>
    <cellStyle name="20% - Accent5 4 2 2" xfId="1206"/>
    <cellStyle name="40% - Accent5 4 2 2" xfId="1207"/>
    <cellStyle name="60% - Accent5 4 2 2" xfId="1208"/>
    <cellStyle name="20% - Accent6 4 2 2" xfId="1209"/>
    <cellStyle name="40% - Accent6 4 2 2" xfId="1210"/>
    <cellStyle name="60% - Accent6 4 2 2" xfId="1211"/>
    <cellStyle name="Normal 3 2 4 2 2" xfId="1212"/>
    <cellStyle name="Normal 3 3 4 2 2" xfId="1213"/>
    <cellStyle name="Normal 3 4 4 2 2" xfId="1214"/>
    <cellStyle name="Normal 3 5 4 2 2" xfId="1215"/>
    <cellStyle name="Normal 3 2 2 3 2 2" xfId="1216"/>
    <cellStyle name="Normal 3 3 2 3 2 2" xfId="1217"/>
    <cellStyle name="Normal 3 4 2 3 2 2" xfId="1218"/>
    <cellStyle name="Normal 3 5 2 3 2 2" xfId="1219"/>
    <cellStyle name="Normal 5 3 2 2" xfId="1220"/>
    <cellStyle name="Percent 3 3 2 2" xfId="1221"/>
    <cellStyle name="Note 2 3 2 2" xfId="1222"/>
    <cellStyle name="Normal 3 6 3 2 2" xfId="1223"/>
    <cellStyle name="Comma 2 5 2 2" xfId="1224"/>
    <cellStyle name="Comma 3 4 2 2" xfId="1225"/>
    <cellStyle name="Percent 4 3 2 2" xfId="1226"/>
    <cellStyle name="Normal 3 7 3 2 2" xfId="1227"/>
    <cellStyle name="Note 3 3 2 2" xfId="1228"/>
    <cellStyle name="20% - Accent1 2 3 2 2" xfId="1229"/>
    <cellStyle name="40% - Accent1 2 3 2 2" xfId="1230"/>
    <cellStyle name="60% - Accent1 2 3 2 2" xfId="1231"/>
    <cellStyle name="20% - Accent2 2 3 2 2" xfId="1232"/>
    <cellStyle name="40% - Accent2 2 3 2 2" xfId="1233"/>
    <cellStyle name="60% - Accent2 2 3 2 2" xfId="1234"/>
    <cellStyle name="20% - Accent3 2 3 2 2" xfId="1235"/>
    <cellStyle name="40% - Accent3 2 3 2 2" xfId="1236"/>
    <cellStyle name="60% - Accent3 2 3 2 2" xfId="1237"/>
    <cellStyle name="20% - Accent4 2 3 2 2" xfId="1238"/>
    <cellStyle name="40% - Accent4 2 3 2 2" xfId="1239"/>
    <cellStyle name="60% - Accent4 2 3 2 2" xfId="1240"/>
    <cellStyle name="20% - Accent5 2 3 2 2" xfId="1241"/>
    <cellStyle name="40% - Accent5 2 3 2 2" xfId="1242"/>
    <cellStyle name="60% - Accent5 2 3 2 2" xfId="1243"/>
    <cellStyle name="20% - Accent6 2 3 2 2" xfId="1244"/>
    <cellStyle name="40% - Accent6 2 3 2 2" xfId="1245"/>
    <cellStyle name="60% - Accent6 2 3 2 2" xfId="1246"/>
    <cellStyle name="Comma 2 2 4 2 2" xfId="1247"/>
    <cellStyle name="Comma 4 4 2 2" xfId="1248"/>
    <cellStyle name="Normal 3 8 3 2 2" xfId="1249"/>
    <cellStyle name="Comma 2 4 2 2" xfId="1250"/>
    <cellStyle name="Comma 3 3 2 2" xfId="1251"/>
    <cellStyle name="Comma 2 2 3 2 2" xfId="1252"/>
    <cellStyle name="Comma 4 3 2 2" xfId="1253"/>
    <cellStyle name="Normal 7 2 2 2" xfId="1254"/>
    <cellStyle name="Comma 5 2 2 2" xfId="1255"/>
    <cellStyle name="20% - Accent1 3 2 2 2" xfId="1256"/>
    <cellStyle name="40% - Accent1 3 2 2 2" xfId="1257"/>
    <cellStyle name="60% - Accent1 3 2 2 2" xfId="1258"/>
    <cellStyle name="20% - Accent2 3 2 2 2" xfId="1259"/>
    <cellStyle name="40% - Accent2 3 2 2 2" xfId="1260"/>
    <cellStyle name="60% - Accent2 3 2 2 2" xfId="1261"/>
    <cellStyle name="20% - Accent3 3 2 2 2" xfId="1262"/>
    <cellStyle name="40% - Accent3 3 2 2 2" xfId="1263"/>
    <cellStyle name="60% - Accent3 3 2 2 2" xfId="1264"/>
    <cellStyle name="20% - Accent4 3 2 2 2" xfId="1265"/>
    <cellStyle name="40% - Accent4 3 2 2 2" xfId="1266"/>
    <cellStyle name="60% - Accent4 3 2 2 2" xfId="1267"/>
    <cellStyle name="20% - Accent5 3 2 2 2" xfId="1268"/>
    <cellStyle name="40% - Accent5 3 2 2 2" xfId="1269"/>
    <cellStyle name="60% - Accent5 3 2 2 2" xfId="1270"/>
    <cellStyle name="20% - Accent6 3 2 2 2" xfId="1271"/>
    <cellStyle name="40% - Accent6 3 2 2 2" xfId="1272"/>
    <cellStyle name="60% - Accent6 3 2 2 2" xfId="1273"/>
    <cellStyle name="Normal 3 2 3 2 2 2" xfId="1274"/>
    <cellStyle name="Normal 3 3 3 2 2 2" xfId="1275"/>
    <cellStyle name="Normal 3 4 3 2 2 2" xfId="1276"/>
    <cellStyle name="Normal 3 5 3 2 2 2" xfId="1277"/>
    <cellStyle name="Normal 3 3 2 2 2 2 2" xfId="1278"/>
    <cellStyle name="Normal 3 4 2 2 2 2 2" xfId="1279"/>
    <cellStyle name="Normal 3 5 2 2 2 2 2" xfId="1280"/>
    <cellStyle name="Normal 5 2 2 2 2" xfId="1281"/>
    <cellStyle name="Percent 3 2 2 2 2" xfId="1282"/>
    <cellStyle name="Note 2 2 2 2 2" xfId="1283"/>
    <cellStyle name="Normal 3 6 2 2 2 2" xfId="1284"/>
    <cellStyle name="Comma 2 3 2 2 2" xfId="1285"/>
    <cellStyle name="Comma 3 2 2 2 2" xfId="1286"/>
    <cellStyle name="Percent 4 2 2 2 2" xfId="1287"/>
    <cellStyle name="Normal 3 7 2 2 2 2" xfId="1288"/>
    <cellStyle name="Note 3 2 2 2 2" xfId="1289"/>
    <cellStyle name="20% - Accent1 2 2 2 2 2" xfId="1290"/>
    <cellStyle name="40% - Accent1 2 2 2 2 2" xfId="1291"/>
    <cellStyle name="60% - Accent1 2 2 2 2 2" xfId="1292"/>
    <cellStyle name="20% - Accent2 2 2 2 2 2" xfId="1293"/>
    <cellStyle name="40% - Accent2 2 2 2 2 2" xfId="1294"/>
    <cellStyle name="60% - Accent2 2 2 2 2 2" xfId="1295"/>
    <cellStyle name="20% - Accent3 2 2 2 2 2" xfId="1296"/>
    <cellStyle name="40% - Accent3 2 2 2 2 2" xfId="1297"/>
    <cellStyle name="60% - Accent3 2 2 2 2 2" xfId="1298"/>
    <cellStyle name="20% - Accent4 2 2 2 2 2" xfId="1299"/>
    <cellStyle name="40% - Accent4 2 2 2 2 2" xfId="1300"/>
    <cellStyle name="60% - Accent4 2 2 2 2 2" xfId="1301"/>
    <cellStyle name="20% - Accent5 2 2 2 2 2" xfId="1302"/>
    <cellStyle name="40% - Accent5 2 2 2 2 2" xfId="1303"/>
    <cellStyle name="60% - Accent5 2 2 2 2 2" xfId="1304"/>
    <cellStyle name="20% - Accent6 2 2 2 2 2" xfId="1305"/>
    <cellStyle name="40% - Accent6 2 2 2 2 2" xfId="1306"/>
    <cellStyle name="60% - Accent6 2 2 2 2 2" xfId="1307"/>
    <cellStyle name="Comma 2 2 2 2 2 2" xfId="1308"/>
    <cellStyle name="Comma 4 2 2 2 2" xfId="1309"/>
    <cellStyle name="Normal 3 8 2 2 2 2" xfId="1310"/>
    <cellStyle name="Normal 3 10 2 2" xfId="1311"/>
    <cellStyle name="Normal 3 11 2 2" xfId="1312"/>
    <cellStyle name="Normal 3 13" xfId="1313"/>
    <cellStyle name="Normal 3 2 7" xfId="1314"/>
    <cellStyle name="Normal 3 3 7" xfId="1315"/>
    <cellStyle name="Normal 3 4 7" xfId="1316"/>
    <cellStyle name="Normal 3 5 7" xfId="1317"/>
    <cellStyle name="20% - Accent1 7" xfId="1318"/>
    <cellStyle name="40% - Accent1 7" xfId="1319"/>
    <cellStyle name="60% - Accent1 7" xfId="1320"/>
    <cellStyle name="20% - Accent2 7" xfId="1321"/>
    <cellStyle name="40% - Accent2 7" xfId="1322"/>
    <cellStyle name="60% - Accent2 7" xfId="1323"/>
    <cellStyle name="20% - Accent3 7" xfId="1324"/>
    <cellStyle name="40% - Accent3 7" xfId="1325"/>
    <cellStyle name="60% - Accent3 7" xfId="1326"/>
    <cellStyle name="20% - Accent4 7" xfId="1327"/>
    <cellStyle name="40% - Accent4 7" xfId="1328"/>
    <cellStyle name="60% - Accent4 7" xfId="1329"/>
    <cellStyle name="20% - Accent5 7" xfId="1330"/>
    <cellStyle name="40% - Accent5 7" xfId="1331"/>
    <cellStyle name="60% - Accent5 7" xfId="1332"/>
    <cellStyle name="20% - Accent6 7" xfId="1333"/>
    <cellStyle name="40% - Accent6 7" xfId="1334"/>
    <cellStyle name="60% - Accent6 7" xfId="1335"/>
    <cellStyle name="Normal 3 2 2 6" xfId="1336"/>
    <cellStyle name="Normal 3 3 2 6" xfId="1337"/>
    <cellStyle name="Normal 3 4 2 6" xfId="1338"/>
    <cellStyle name="Normal 3 5 2 6" xfId="1339"/>
    <cellStyle name="Normal 5 6" xfId="1340"/>
    <cellStyle name="Percent 3 6" xfId="1341"/>
    <cellStyle name="Note 2 6" xfId="1342"/>
    <cellStyle name="Normal 3 6 6" xfId="1343"/>
    <cellStyle name="Comma 2 8" xfId="1344"/>
    <cellStyle name="Comma 3 8" xfId="1345"/>
    <cellStyle name="Percent 4 6" xfId="1346"/>
    <cellStyle name="Normal 3 7 6" xfId="1347"/>
    <cellStyle name="Note 3 6" xfId="1348"/>
    <cellStyle name="20% - Accent1 2 6" xfId="1349"/>
    <cellStyle name="40% - Accent1 2 6" xfId="1350"/>
    <cellStyle name="60% - Accent1 2 6" xfId="1351"/>
    <cellStyle name="20% - Accent2 2 6" xfId="1352"/>
    <cellStyle name="40% - Accent2 2 6" xfId="1353"/>
    <cellStyle name="60% - Accent2 2 6" xfId="1354"/>
    <cellStyle name="20% - Accent3 2 6" xfId="1355"/>
    <cellStyle name="40% - Accent3 2 6" xfId="1356"/>
    <cellStyle name="60% - Accent3 2 6" xfId="1357"/>
    <cellStyle name="20% - Accent4 2 6" xfId="1358"/>
    <cellStyle name="40% - Accent4 2 6" xfId="1359"/>
    <cellStyle name="60% - Accent4 2 6" xfId="1360"/>
    <cellStyle name="20% - Accent5 2 6" xfId="1361"/>
    <cellStyle name="40% - Accent5 2 6" xfId="1362"/>
    <cellStyle name="60% - Accent5 2 6" xfId="1363"/>
    <cellStyle name="20% - Accent6 2 6" xfId="1364"/>
    <cellStyle name="40% - Accent6 2 6" xfId="1365"/>
    <cellStyle name="60% - Accent6 2 6" xfId="1366"/>
    <cellStyle name="Comma 2 2 7" xfId="1367"/>
    <cellStyle name="Comma 4 7" xfId="1368"/>
    <cellStyle name="Normal 3 8 6" xfId="1369"/>
    <cellStyle name="Normal 7 5" xfId="1370"/>
    <cellStyle name="Comma 5 5" xfId="1371"/>
    <cellStyle name="20% - Accent1 3 5" xfId="1372"/>
    <cellStyle name="40% - Accent1 3 5" xfId="1373"/>
    <cellStyle name="60% - Accent1 3 5" xfId="1374"/>
    <cellStyle name="20% - Accent2 3 5" xfId="1375"/>
    <cellStyle name="40% - Accent2 3 5" xfId="1376"/>
    <cellStyle name="60% - Accent2 3 5" xfId="1377"/>
    <cellStyle name="20% - Accent3 3 5" xfId="1378"/>
    <cellStyle name="40% - Accent3 3 5" xfId="1379"/>
    <cellStyle name="60% - Accent3 3 5" xfId="1380"/>
    <cellStyle name="20% - Accent4 3 5" xfId="1381"/>
    <cellStyle name="40% - Accent4 3 5" xfId="1382"/>
    <cellStyle name="60% - Accent4 3 5" xfId="1383"/>
    <cellStyle name="20% - Accent5 3 5" xfId="1384"/>
    <cellStyle name="40% - Accent5 3 5" xfId="1385"/>
    <cellStyle name="60% - Accent5 3 5" xfId="1386"/>
    <cellStyle name="20% - Accent6 3 5" xfId="1387"/>
    <cellStyle name="40% - Accent6 3 5" xfId="1388"/>
    <cellStyle name="60% - Accent6 3 5" xfId="1389"/>
    <cellStyle name="Normal 3 2 3 5" xfId="1390"/>
    <cellStyle name="Normal 3 3 3 5" xfId="1391"/>
    <cellStyle name="Normal 3 4 3 5" xfId="1392"/>
    <cellStyle name="Normal 3 5 3 5" xfId="1393"/>
    <cellStyle name="Normal 3 2 2 2 5" xfId="1394"/>
    <cellStyle name="Normal 3 3 2 2 5" xfId="1395"/>
    <cellStyle name="Normal 3 4 2 2 5" xfId="1396"/>
    <cellStyle name="Normal 3 5 2 2 5" xfId="1397"/>
    <cellStyle name="Normal 5 2 5" xfId="1398"/>
    <cellStyle name="Percent 3 2 5" xfId="1399"/>
    <cellStyle name="Note 2 2 5" xfId="1400"/>
    <cellStyle name="Normal 3 6 2 5" xfId="1401"/>
    <cellStyle name="Comma 2 3 5" xfId="1402"/>
    <cellStyle name="Comma 3 2 5" xfId="1403"/>
    <cellStyle name="Percent 4 2 5" xfId="1404"/>
    <cellStyle name="Normal 3 7 2 5" xfId="1405"/>
    <cellStyle name="Note 3 2 5" xfId="1406"/>
    <cellStyle name="20% - Accent1 2 2 5" xfId="1407"/>
    <cellStyle name="40% - Accent1 2 2 5" xfId="1408"/>
    <cellStyle name="60% - Accent1 2 2 5" xfId="1409"/>
    <cellStyle name="20% - Accent2 2 2 5" xfId="1410"/>
    <cellStyle name="40% - Accent2 2 2 5" xfId="1411"/>
    <cellStyle name="60% - Accent2 2 2 5" xfId="1412"/>
    <cellStyle name="20% - Accent3 2 2 5" xfId="1413"/>
    <cellStyle name="40% - Accent3 2 2 5" xfId="1414"/>
    <cellStyle name="60% - Accent3 2 2 5" xfId="1415"/>
    <cellStyle name="20% - Accent4 2 2 5" xfId="1416"/>
    <cellStyle name="40% - Accent4 2 2 5" xfId="1417"/>
    <cellStyle name="60% - Accent4 2 2 5" xfId="1418"/>
    <cellStyle name="20% - Accent5 2 2 5" xfId="1419"/>
    <cellStyle name="40% - Accent5 2 2 5" xfId="1420"/>
    <cellStyle name="60% - Accent5 2 2 5" xfId="1421"/>
    <cellStyle name="20% - Accent6 2 2 5" xfId="1422"/>
    <cellStyle name="40% - Accent6 2 2 5" xfId="1423"/>
    <cellStyle name="60% - Accent6 2 2 5" xfId="1424"/>
    <cellStyle name="Comma 2 2 2 5" xfId="1425"/>
    <cellStyle name="Comma 4 2 5" xfId="1426"/>
    <cellStyle name="Normal 3 8 2 5" xfId="1427"/>
    <cellStyle name="Normal 8 4" xfId="1428"/>
    <cellStyle name="Comma 6 4" xfId="1429"/>
    <cellStyle name="20% - Accent1 4 4" xfId="1430"/>
    <cellStyle name="40% - Accent1 4 4" xfId="1431"/>
    <cellStyle name="60% - Accent1 4 4" xfId="1432"/>
    <cellStyle name="20% - Accent2 4 4" xfId="1433"/>
    <cellStyle name="40% - Accent2 4 4" xfId="1434"/>
    <cellStyle name="60% - Accent2 4 4" xfId="1435"/>
    <cellStyle name="20% - Accent3 4 4" xfId="1436"/>
    <cellStyle name="40% - Accent3 4 4" xfId="1437"/>
    <cellStyle name="60% - Accent3 4 4" xfId="1438"/>
    <cellStyle name="20% - Accent4 4 4" xfId="1439"/>
    <cellStyle name="40% - Accent4 4 4" xfId="1440"/>
    <cellStyle name="60% - Accent4 4 4" xfId="1441"/>
    <cellStyle name="20% - Accent5 4 4" xfId="1442"/>
    <cellStyle name="40% - Accent5 4 4" xfId="1443"/>
    <cellStyle name="60% - Accent5 4 4" xfId="1444"/>
    <cellStyle name="20% - Accent6 4 4" xfId="1445"/>
    <cellStyle name="40% - Accent6 4 4" xfId="1446"/>
    <cellStyle name="60% - Accent6 4 4" xfId="1447"/>
    <cellStyle name="Normal 3 2 4 4" xfId="1448"/>
    <cellStyle name="Normal 3 3 4 4" xfId="1449"/>
    <cellStyle name="Normal 3 4 4 4" xfId="1450"/>
    <cellStyle name="Normal 3 5 4 4" xfId="1451"/>
    <cellStyle name="Normal 3 2 2 3 4" xfId="1452"/>
    <cellStyle name="Normal 3 3 2 3 4" xfId="1453"/>
    <cellStyle name="Normal 3 4 2 3 4" xfId="1454"/>
    <cellStyle name="Normal 3 5 2 3 4" xfId="1455"/>
    <cellStyle name="Normal 5 3 4" xfId="1456"/>
    <cellStyle name="Percent 3 3 4" xfId="1457"/>
    <cellStyle name="Note 2 3 4" xfId="1458"/>
    <cellStyle name="Normal 3 6 3 4" xfId="1459"/>
    <cellStyle name="Comma 2 5 4" xfId="1460"/>
    <cellStyle name="Comma 3 4 4" xfId="1461"/>
    <cellStyle name="Percent 4 3 4" xfId="1462"/>
    <cellStyle name="Normal 3 7 3 4" xfId="1463"/>
    <cellStyle name="Note 3 3 4" xfId="1464"/>
    <cellStyle name="20% - Accent1 2 3 4" xfId="1465"/>
    <cellStyle name="40% - Accent1 2 3 4" xfId="1466"/>
    <cellStyle name="60% - Accent1 2 3 4" xfId="1467"/>
    <cellStyle name="20% - Accent2 2 3 4" xfId="1468"/>
    <cellStyle name="40% - Accent2 2 3 4" xfId="1469"/>
    <cellStyle name="60% - Accent2 2 3 4" xfId="1470"/>
    <cellStyle name="20% - Accent3 2 3 4" xfId="1471"/>
    <cellStyle name="40% - Accent3 2 3 4" xfId="1472"/>
    <cellStyle name="60% - Accent3 2 3 4" xfId="1473"/>
    <cellStyle name="20% - Accent4 2 3 4" xfId="1474"/>
    <cellStyle name="40% - Accent4 2 3 4" xfId="1475"/>
    <cellStyle name="60% - Accent4 2 3 4" xfId="1476"/>
    <cellStyle name="20% - Accent5 2 3 4" xfId="1477"/>
    <cellStyle name="40% - Accent5 2 3 4" xfId="1478"/>
    <cellStyle name="60% - Accent5 2 3 4" xfId="1479"/>
    <cellStyle name="20% - Accent6 2 3 4" xfId="1480"/>
    <cellStyle name="40% - Accent6 2 3 4" xfId="1481"/>
    <cellStyle name="60% - Accent6 2 3 4" xfId="1482"/>
    <cellStyle name="Comma 2 2 4 4" xfId="1483"/>
    <cellStyle name="Comma 4 4 4" xfId="1484"/>
    <cellStyle name="Normal 3 8 3 4" xfId="1485"/>
    <cellStyle name="Comma 2 4 4" xfId="1486"/>
    <cellStyle name="Comma 3 3 4" xfId="1487"/>
    <cellStyle name="Comma 2 2 3 4" xfId="1488"/>
    <cellStyle name="Comma 4 3 4" xfId="1489"/>
    <cellStyle name="Normal 7 2 4" xfId="1490"/>
    <cellStyle name="Comma 5 2 4" xfId="1491"/>
    <cellStyle name="20% - Accent1 3 2 4" xfId="1492"/>
    <cellStyle name="40% - Accent1 3 2 4" xfId="1493"/>
    <cellStyle name="60% - Accent1 3 2 4" xfId="1494"/>
    <cellStyle name="20% - Accent2 3 2 4" xfId="1495"/>
    <cellStyle name="40% - Accent2 3 2 4" xfId="1496"/>
    <cellStyle name="60% - Accent2 3 2 4" xfId="1497"/>
    <cellStyle name="20% - Accent3 3 2 4" xfId="1498"/>
    <cellStyle name="40% - Accent3 3 2 4" xfId="1499"/>
    <cellStyle name="60% - Accent3 3 2 4" xfId="1500"/>
    <cellStyle name="20% - Accent4 3 2 4" xfId="1501"/>
    <cellStyle name="40% - Accent4 3 2 4" xfId="1502"/>
    <cellStyle name="60% - Accent4 3 2 4" xfId="1503"/>
    <cellStyle name="20% - Accent5 3 2 4" xfId="1504"/>
    <cellStyle name="40% - Accent5 3 2 4" xfId="1505"/>
    <cellStyle name="60% - Accent5 3 2 4" xfId="1506"/>
    <cellStyle name="20% - Accent6 3 2 4" xfId="1507"/>
    <cellStyle name="40% - Accent6 3 2 4" xfId="1508"/>
    <cellStyle name="60% - Accent6 3 2 4" xfId="1509"/>
    <cellStyle name="Normal 3 2 3 2 4" xfId="1510"/>
    <cellStyle name="Normal 3 3 3 2 4" xfId="1511"/>
    <cellStyle name="Normal 3 4 3 2 4" xfId="1512"/>
    <cellStyle name="Normal 3 5 3 2 4" xfId="1513"/>
    <cellStyle name="Normal 3 2 2 2 2 4" xfId="1514"/>
    <cellStyle name="Normal 3 3 2 2 2 4" xfId="1515"/>
    <cellStyle name="Normal 3 4 2 2 2 4" xfId="1516"/>
    <cellStyle name="Normal 3 5 2 2 2 4" xfId="1517"/>
    <cellStyle name="Normal 5 2 2 4" xfId="1518"/>
    <cellStyle name="Percent 3 2 2 4" xfId="1519"/>
    <cellStyle name="Note 2 2 2 4" xfId="1520"/>
    <cellStyle name="Normal 3 6 2 2 4" xfId="1521"/>
    <cellStyle name="Comma 2 3 2 4" xfId="1522"/>
    <cellStyle name="Comma 3 2 2 4" xfId="1523"/>
    <cellStyle name="Percent 4 2 2 4" xfId="1524"/>
    <cellStyle name="Normal 3 7 2 2 4" xfId="1525"/>
    <cellStyle name="Note 3 2 2 4" xfId="1526"/>
    <cellStyle name="20% - Accent1 2 2 2 4" xfId="1527"/>
    <cellStyle name="40% - Accent1 2 2 2 4" xfId="1528"/>
    <cellStyle name="60% - Accent1 2 2 2 4" xfId="1529"/>
    <cellStyle name="20% - Accent2 2 2 2 4" xfId="1530"/>
    <cellStyle name="40% - Accent2 2 2 2 4" xfId="1531"/>
    <cellStyle name="60% - Accent2 2 2 2 4" xfId="1532"/>
    <cellStyle name="20% - Accent3 2 2 2 4" xfId="1533"/>
    <cellStyle name="40% - Accent3 2 2 2 4" xfId="1534"/>
    <cellStyle name="60% - Accent3 2 2 2 4" xfId="1535"/>
    <cellStyle name="20% - Accent4 2 2 2 4" xfId="1536"/>
    <cellStyle name="40% - Accent4 2 2 2 4" xfId="1537"/>
    <cellStyle name="60% - Accent4 2 2 2 4" xfId="1538"/>
    <cellStyle name="20% - Accent5 2 2 2 4" xfId="1539"/>
    <cellStyle name="40% - Accent5 2 2 2 4" xfId="1540"/>
    <cellStyle name="60% - Accent5 2 2 2 4" xfId="1541"/>
    <cellStyle name="20% - Accent6 2 2 2 4" xfId="1542"/>
    <cellStyle name="40% - Accent6 2 2 2 4" xfId="1543"/>
    <cellStyle name="60% - Accent6 2 2 2 4" xfId="1544"/>
    <cellStyle name="Comma 2 2 2 2 4" xfId="1545"/>
    <cellStyle name="Comma 4 2 2 4" xfId="1546"/>
    <cellStyle name="Normal 3 8 2 2 4" xfId="1547"/>
    <cellStyle name="Normal 3 10 4" xfId="1548"/>
    <cellStyle name="Normal 3 11 4" xfId="1549"/>
    <cellStyle name="Normal 12 7" xfId="1550"/>
    <cellStyle name="Percent 8" xfId="1551"/>
    <cellStyle name="Note 4" xfId="1552"/>
    <cellStyle name="20% - Accent1 8" xfId="1553"/>
    <cellStyle name="40% - Accent1 8" xfId="1554"/>
    <cellStyle name="60% - Accent1 8" xfId="1555"/>
    <cellStyle name="20% - Accent2 8" xfId="1556"/>
    <cellStyle name="40% - Accent2 8" xfId="1557"/>
    <cellStyle name="60% - Accent2 8" xfId="1558"/>
    <cellStyle name="20% - Accent3 8" xfId="1559"/>
    <cellStyle name="40% - Accent3 8" xfId="1560"/>
    <cellStyle name="60% - Accent3 8" xfId="1561"/>
    <cellStyle name="20% - Accent4 8" xfId="1562"/>
    <cellStyle name="40% - Accent4 8" xfId="1563"/>
    <cellStyle name="60% - Accent4 8" xfId="1564"/>
    <cellStyle name="20% - Accent5 8" xfId="1565"/>
    <cellStyle name="40% - Accent5 8" xfId="1566"/>
    <cellStyle name="60% - Accent5 8" xfId="1567"/>
    <cellStyle name="20% - Accent6 8" xfId="1568"/>
    <cellStyle name="40% - Accent6 8" xfId="1569"/>
    <cellStyle name="60% - Accent6 8" xfId="1570"/>
    <cellStyle name="Comma 2 9" xfId="1571"/>
    <cellStyle name="Comma 7" xfId="1572"/>
    <cellStyle name="Normal 13 9" xfId="1573"/>
    <cellStyle name="Comma 8" xfId="1574"/>
    <cellStyle name="20% - Accent1 9" xfId="1575"/>
    <cellStyle name="40% - Accent1 9" xfId="1576"/>
    <cellStyle name="60% - Accent1 9" xfId="1577"/>
    <cellStyle name="20% - Accent2 9" xfId="1578"/>
    <cellStyle name="40% - Accent2 9" xfId="1579"/>
    <cellStyle name="60% - Accent2 9" xfId="1580"/>
    <cellStyle name="20% - Accent3 9" xfId="1581"/>
    <cellStyle name="40% - Accent3 9" xfId="1582"/>
    <cellStyle name="60% - Accent3 9" xfId="1583"/>
    <cellStyle name="20% - Accent4 9" xfId="1584"/>
    <cellStyle name="40% - Accent4 9" xfId="1585"/>
    <cellStyle name="60% - Accent4 9" xfId="1586"/>
    <cellStyle name="20% - Accent5 9" xfId="1587"/>
    <cellStyle name="40% - Accent5 9" xfId="1588"/>
    <cellStyle name="60% - Accent5 9" xfId="1589"/>
    <cellStyle name="20% - Accent6 9" xfId="1590"/>
    <cellStyle name="40% - Accent6 9" xfId="1591"/>
    <cellStyle name="60% - Accent6 9" xfId="1592"/>
    <cellStyle name="Normal 3 2 8" xfId="1593"/>
    <cellStyle name="Normal 3 3 8" xfId="1594"/>
    <cellStyle name="Normal 3 4 8" xfId="1595"/>
    <cellStyle name="Normal 3 5 8" xfId="1596"/>
    <cellStyle name="Normal 3 2 2 7" xfId="1597"/>
    <cellStyle name="Normal 3 3 2 7" xfId="1598"/>
    <cellStyle name="Normal 3 4 2 7" xfId="1599"/>
    <cellStyle name="Normal 3 5 2 7" xfId="1600"/>
    <cellStyle name="Normal 5 7" xfId="1601"/>
    <cellStyle name="Percent 3 7" xfId="1602"/>
    <cellStyle name="Note 2 7" xfId="1603"/>
    <cellStyle name="Normal 3 6 7" xfId="1604"/>
    <cellStyle name="Comma 2 10" xfId="1605"/>
    <cellStyle name="Comma 3 9" xfId="1606"/>
    <cellStyle name="Percent 4 7" xfId="1607"/>
    <cellStyle name="Normal 3 7 7" xfId="1608"/>
    <cellStyle name="Note 3 7" xfId="1609"/>
    <cellStyle name="20% - Accent1 2 7" xfId="1610"/>
    <cellStyle name="40% - Accent1 2 7" xfId="1611"/>
    <cellStyle name="60% - Accent1 2 7" xfId="1612"/>
    <cellStyle name="20% - Accent2 2 7" xfId="1613"/>
    <cellStyle name="40% - Accent2 2 7" xfId="1614"/>
    <cellStyle name="60% - Accent2 2 7" xfId="1615"/>
    <cellStyle name="20% - Accent3 2 7" xfId="1616"/>
    <cellStyle name="40% - Accent3 2 7" xfId="1617"/>
    <cellStyle name="60% - Accent3 2 7" xfId="1618"/>
    <cellStyle name="20% - Accent4 2 7" xfId="1619"/>
    <cellStyle name="40% - Accent4 2 7" xfId="1620"/>
    <cellStyle name="60% - Accent4 2 7" xfId="1621"/>
    <cellStyle name="20% - Accent5 2 7" xfId="1622"/>
    <cellStyle name="40% - Accent5 2 7" xfId="1623"/>
    <cellStyle name="60% - Accent5 2 7" xfId="1624"/>
    <cellStyle name="20% - Accent6 2 7" xfId="1625"/>
    <cellStyle name="40% - Accent6 2 7" xfId="1626"/>
    <cellStyle name="60% - Accent6 2 7" xfId="1627"/>
    <cellStyle name="Comma 2 2 8" xfId="1628"/>
    <cellStyle name="Comma 4 8" xfId="1629"/>
    <cellStyle name="Normal 3 8 7" xfId="1630"/>
    <cellStyle name="Comma 2 4 5" xfId="1631"/>
    <cellStyle name="Comma 3 3 5" xfId="1632"/>
    <cellStyle name="Comma 2 2 3 5" xfId="1633"/>
    <cellStyle name="Comma 4 3 5" xfId="1634"/>
    <cellStyle name="Normal 7 6" xfId="1635"/>
    <cellStyle name="Comma 5 6" xfId="1636"/>
    <cellStyle name="20% - Accent1 3 6" xfId="1637"/>
    <cellStyle name="40% - Accent1 3 6" xfId="1638"/>
    <cellStyle name="60% - Accent1 3 6" xfId="1639"/>
    <cellStyle name="20% - Accent2 3 6" xfId="1640"/>
    <cellStyle name="40% - Accent2 3 6" xfId="1641"/>
    <cellStyle name="60% - Accent2 3 6" xfId="1642"/>
    <cellStyle name="20% - Accent3 3 6" xfId="1643"/>
    <cellStyle name="40% - Accent3 3 6" xfId="1644"/>
    <cellStyle name="60% - Accent3 3 6" xfId="1645"/>
    <cellStyle name="20% - Accent4 3 6" xfId="1646"/>
    <cellStyle name="40% - Accent4 3 6" xfId="1647"/>
    <cellStyle name="60% - Accent4 3 6" xfId="1648"/>
    <cellStyle name="20% - Accent5 3 6" xfId="1649"/>
    <cellStyle name="40% - Accent5 3 6" xfId="1650"/>
    <cellStyle name="60% - Accent5 3 6" xfId="1651"/>
    <cellStyle name="20% - Accent6 3 6" xfId="1652"/>
    <cellStyle name="40% - Accent6 3 6" xfId="1653"/>
    <cellStyle name="60% - Accent6 3 6" xfId="1654"/>
    <cellStyle name="Normal 3 2 3 6" xfId="1655"/>
    <cellStyle name="Normal 3 3 3 6" xfId="1656"/>
    <cellStyle name="Normal 3 4 3 6" xfId="1657"/>
    <cellStyle name="Normal 3 5 3 6" xfId="1658"/>
    <cellStyle name="Normal 3 2 2 2 6" xfId="1659"/>
    <cellStyle name="Normal 3 3 2 2 6" xfId="1660"/>
    <cellStyle name="Normal 3 4 2 2 6" xfId="1661"/>
    <cellStyle name="Normal 3 5 2 2 6" xfId="1662"/>
    <cellStyle name="Normal 5 2 6" xfId="1663"/>
    <cellStyle name="Percent 3 2 6" xfId="1664"/>
    <cellStyle name="Note 2 2 6" xfId="1665"/>
    <cellStyle name="Normal 3 6 2 6" xfId="1666"/>
    <cellStyle name="Comma 2 3 6" xfId="1667"/>
    <cellStyle name="Comma 3 2 6" xfId="1668"/>
    <cellStyle name="Percent 4 2 6" xfId="1669"/>
    <cellStyle name="Normal 3 7 2 6" xfId="1670"/>
    <cellStyle name="Note 3 2 6" xfId="1671"/>
    <cellStyle name="20% - Accent1 2 2 6" xfId="1672"/>
    <cellStyle name="40% - Accent1 2 2 6" xfId="1673"/>
    <cellStyle name="60% - Accent1 2 2 6" xfId="1674"/>
    <cellStyle name="20% - Accent2 2 2 6" xfId="1675"/>
    <cellStyle name="40% - Accent2 2 2 6" xfId="1676"/>
    <cellStyle name="60% - Accent2 2 2 6" xfId="1677"/>
    <cellStyle name="20% - Accent3 2 2 6" xfId="1678"/>
    <cellStyle name="40% - Accent3 2 2 6" xfId="1679"/>
    <cellStyle name="60% - Accent3 2 2 6" xfId="1680"/>
    <cellStyle name="20% - Accent4 2 2 6" xfId="1681"/>
    <cellStyle name="40% - Accent4 2 2 6" xfId="1682"/>
    <cellStyle name="60% - Accent4 2 2 6" xfId="1683"/>
    <cellStyle name="20% - Accent5 2 2 6" xfId="1684"/>
    <cellStyle name="40% - Accent5 2 2 6" xfId="1685"/>
    <cellStyle name="60% - Accent5 2 2 6" xfId="1686"/>
    <cellStyle name="20% - Accent6 2 2 6" xfId="1687"/>
    <cellStyle name="40% - Accent6 2 2 6" xfId="1688"/>
    <cellStyle name="60% - Accent6 2 2 6" xfId="1689"/>
    <cellStyle name="Comma 2 2 2 6" xfId="1690"/>
    <cellStyle name="Comma 4 2 6" xfId="1691"/>
    <cellStyle name="Normal 3 8 2 6" xfId="1692"/>
    <cellStyle name="20% - Accent1 10" xfId="1693"/>
    <cellStyle name="40% - Accent1 10" xfId="1694"/>
    <cellStyle name="60% - Accent1 10" xfId="1695"/>
    <cellStyle name="20% - Accent2 10" xfId="1696"/>
    <cellStyle name="40% - Accent2 10" xfId="1697"/>
    <cellStyle name="60% - Accent2 10" xfId="1698"/>
    <cellStyle name="20% - Accent3 10" xfId="1699"/>
    <cellStyle name="40% - Accent3 10" xfId="1700"/>
    <cellStyle name="60% - Accent3 10" xfId="1701"/>
    <cellStyle name="20% - Accent4 10" xfId="1702"/>
    <cellStyle name="40% - Accent4 10" xfId="1703"/>
    <cellStyle name="60% - Accent4 10" xfId="1704"/>
    <cellStyle name="20% - Accent5 10" xfId="1705"/>
    <cellStyle name="40% - Accent5 10" xfId="1706"/>
    <cellStyle name="60% - Accent5 10" xfId="1707"/>
    <cellStyle name="20% - Accent6 10" xfId="1708"/>
    <cellStyle name="40% - Accent6 10" xfId="1709"/>
    <cellStyle name="60% - Accent6 10" xfId="1710"/>
    <cellStyle name="Normal 3 2 9" xfId="1711"/>
    <cellStyle name="Normal 3 3 9" xfId="1712"/>
    <cellStyle name="Normal 3 4 9" xfId="1713"/>
    <cellStyle name="Normal 3 5 9" xfId="1714"/>
    <cellStyle name="Normal 3 2 2 8" xfId="1715"/>
    <cellStyle name="Normal 3 3 2 8" xfId="1716"/>
    <cellStyle name="Normal 3 4 2 8" xfId="1717"/>
    <cellStyle name="Normal 3 5 2 8" xfId="1718"/>
    <cellStyle name="Normal 5 8" xfId="1719"/>
    <cellStyle name="Percent 3 8" xfId="1720"/>
    <cellStyle name="Note 2 8" xfId="1721"/>
    <cellStyle name="Normal 3 6 8" xfId="1722"/>
    <cellStyle name="Comma 2 12" xfId="1723"/>
    <cellStyle name="Comma 3 11" xfId="1724"/>
    <cellStyle name="Percent 4 8" xfId="1725"/>
    <cellStyle name="Normal 3 7 8" xfId="1726"/>
    <cellStyle name="Note 3 8" xfId="1727"/>
    <cellStyle name="20% - Accent1 2 8" xfId="1728"/>
    <cellStyle name="40% - Accent1 2 8" xfId="1729"/>
    <cellStyle name="60% - Accent1 2 8" xfId="1730"/>
    <cellStyle name="20% - Accent2 2 8" xfId="1731"/>
    <cellStyle name="40% - Accent2 2 8" xfId="1732"/>
    <cellStyle name="60% - Accent2 2 8" xfId="1733"/>
    <cellStyle name="20% - Accent3 2 8" xfId="1734"/>
    <cellStyle name="40% - Accent3 2 8" xfId="1735"/>
    <cellStyle name="60% - Accent3 2 8" xfId="1736"/>
    <cellStyle name="20% - Accent4 2 8" xfId="1737"/>
    <cellStyle name="40% - Accent4 2 8" xfId="1738"/>
    <cellStyle name="60% - Accent4 2 8" xfId="1739"/>
    <cellStyle name="20% - Accent5 2 8" xfId="1740"/>
    <cellStyle name="40% - Accent5 2 8" xfId="1741"/>
    <cellStyle name="60% - Accent5 2 8" xfId="1742"/>
    <cellStyle name="20% - Accent6 2 8" xfId="1743"/>
    <cellStyle name="40% - Accent6 2 8" xfId="1744"/>
    <cellStyle name="60% - Accent6 2 8" xfId="1745"/>
    <cellStyle name="Comma 2 2 10" xfId="1746"/>
    <cellStyle name="Comma 4 10" xfId="1747"/>
    <cellStyle name="Percent 9" xfId="1748"/>
    <cellStyle name="Normal 3 8 8" xfId="1749"/>
    <cellStyle name="Normal 7 7" xfId="1750"/>
    <cellStyle name="Comma 5 8" xfId="1751"/>
    <cellStyle name="20% - Accent1 3 7" xfId="1752"/>
    <cellStyle name="40% - Accent1 3 7" xfId="1753"/>
    <cellStyle name="60% - Accent1 3 7" xfId="1754"/>
    <cellStyle name="20% - Accent2 3 7" xfId="1755"/>
    <cellStyle name="40% - Accent2 3 7" xfId="1756"/>
    <cellStyle name="60% - Accent2 3 7" xfId="1757"/>
    <cellStyle name="20% - Accent3 3 7" xfId="1758"/>
    <cellStyle name="40% - Accent3 3 7" xfId="1759"/>
    <cellStyle name="60% - Accent3 3 7" xfId="1760"/>
    <cellStyle name="20% - Accent4 3 7" xfId="1761"/>
    <cellStyle name="40% - Accent4 3 7" xfId="1762"/>
    <cellStyle name="60% - Accent4 3 7" xfId="1763"/>
    <cellStyle name="20% - Accent5 3 7" xfId="1764"/>
    <cellStyle name="40% - Accent5 3 7" xfId="1765"/>
    <cellStyle name="60% - Accent5 3 7" xfId="1766"/>
    <cellStyle name="20% - Accent6 3 7" xfId="1767"/>
    <cellStyle name="40% - Accent6 3 7" xfId="1768"/>
    <cellStyle name="60% - Accent6 3 7" xfId="1769"/>
    <cellStyle name="Normal 3 2 3 7" xfId="1770"/>
    <cellStyle name="Normal 3 3 3 7" xfId="1771"/>
    <cellStyle name="Normal 3 4 3 7" xfId="1772"/>
    <cellStyle name="Normal 3 5 3 7" xfId="1773"/>
    <cellStyle name="Normal 3 2 2 2 7" xfId="1774"/>
    <cellStyle name="Normal 3 3 2 2 7" xfId="1775"/>
    <cellStyle name="Normal 3 4 2 2 7" xfId="1776"/>
    <cellStyle name="Normal 3 5 2 2 7" xfId="1777"/>
    <cellStyle name="Normal 5 2 7" xfId="1778"/>
    <cellStyle name="Percent 3 2 7" xfId="1779"/>
    <cellStyle name="Note 2 2 7" xfId="1780"/>
    <cellStyle name="Normal 3 6 2 7" xfId="1781"/>
    <cellStyle name="Comma 2 3 8" xfId="1782"/>
    <cellStyle name="Comma 3 2 8" xfId="1783"/>
    <cellStyle name="Percent 4 2 7" xfId="1784"/>
    <cellStyle name="Normal 3 7 2 7" xfId="1785"/>
    <cellStyle name="Note 3 2 7" xfId="1786"/>
    <cellStyle name="20% - Accent1 2 2 7" xfId="1787"/>
    <cellStyle name="40% - Accent1 2 2 7" xfId="1788"/>
    <cellStyle name="60% - Accent1 2 2 7" xfId="1789"/>
    <cellStyle name="20% - Accent2 2 2 7" xfId="1790"/>
    <cellStyle name="40% - Accent2 2 2 7" xfId="1791"/>
    <cellStyle name="60% - Accent2 2 2 7" xfId="1792"/>
    <cellStyle name="20% - Accent3 2 2 7" xfId="1793"/>
    <cellStyle name="40% - Accent3 2 2 7" xfId="1794"/>
    <cellStyle name="60% - Accent3 2 2 7" xfId="1795"/>
    <cellStyle name="20% - Accent4 2 2 7" xfId="1796"/>
    <cellStyle name="40% - Accent4 2 2 7" xfId="1797"/>
    <cellStyle name="60% - Accent4 2 2 7" xfId="1798"/>
    <cellStyle name="20% - Accent5 2 2 7" xfId="1799"/>
    <cellStyle name="40% - Accent5 2 2 7" xfId="1800"/>
    <cellStyle name="60% - Accent5 2 2 7" xfId="1801"/>
    <cellStyle name="20% - Accent6 2 2 7" xfId="1802"/>
    <cellStyle name="40% - Accent6 2 2 7" xfId="1803"/>
    <cellStyle name="60% - Accent6 2 2 7" xfId="1804"/>
    <cellStyle name="Comma 2 2 2 8" xfId="1805"/>
    <cellStyle name="Comma 4 2 8" xfId="1806"/>
    <cellStyle name="Normal 3 8 2 7" xfId="1807"/>
    <cellStyle name="Normal 8 5" xfId="1808"/>
    <cellStyle name="Comma 6 6" xfId="1809"/>
    <cellStyle name="20% - Accent1 4 5" xfId="1810"/>
    <cellStyle name="40% - Accent1 4 5" xfId="1811"/>
    <cellStyle name="60% - Accent1 4 5" xfId="1812"/>
    <cellStyle name="20% - Accent2 4 5" xfId="1813"/>
    <cellStyle name="40% - Accent2 4 5" xfId="1814"/>
    <cellStyle name="60% - Accent2 4 5" xfId="1815"/>
    <cellStyle name="20% - Accent3 4 5" xfId="1816"/>
    <cellStyle name="40% - Accent3 4 5" xfId="1817"/>
    <cellStyle name="60% - Accent3 4 5" xfId="1818"/>
    <cellStyle name="20% - Accent4 4 5" xfId="1819"/>
    <cellStyle name="40% - Accent4 4 5" xfId="1820"/>
    <cellStyle name="60% - Accent4 4 5" xfId="1821"/>
    <cellStyle name="20% - Accent5 4 5" xfId="1822"/>
    <cellStyle name="40% - Accent5 4 5" xfId="1823"/>
    <cellStyle name="60% - Accent5 4 5" xfId="1824"/>
    <cellStyle name="20% - Accent6 4 5" xfId="1825"/>
    <cellStyle name="40% - Accent6 4 5" xfId="1826"/>
    <cellStyle name="60% - Accent6 4 5" xfId="1827"/>
    <cellStyle name="Normal 3 2 4 5" xfId="1828"/>
    <cellStyle name="Normal 3 3 4 5" xfId="1829"/>
    <cellStyle name="Normal 3 4 4 5" xfId="1830"/>
    <cellStyle name="Normal 3 5 4 5" xfId="1831"/>
    <cellStyle name="Normal 3 2 2 3 5" xfId="1832"/>
    <cellStyle name="Normal 3 3 2 3 5" xfId="1833"/>
    <cellStyle name="Normal 3 4 2 3 5" xfId="1834"/>
    <cellStyle name="Normal 3 5 2 3 5" xfId="1835"/>
    <cellStyle name="Normal 5 3 5" xfId="1836"/>
    <cellStyle name="Percent 3 3 5" xfId="1837"/>
    <cellStyle name="Note 2 3 5" xfId="1838"/>
    <cellStyle name="Normal 3 6 3 5" xfId="1839"/>
    <cellStyle name="Comma 2 5 6" xfId="1840"/>
    <cellStyle name="Comma 3 4 6" xfId="1841"/>
    <cellStyle name="Percent 4 3 5" xfId="1842"/>
    <cellStyle name="Normal 3 7 3 5" xfId="1843"/>
    <cellStyle name="Note 3 3 5" xfId="1844"/>
    <cellStyle name="20% - Accent1 2 3 5" xfId="1845"/>
    <cellStyle name="40% - Accent1 2 3 5" xfId="1846"/>
    <cellStyle name="60% - Accent1 2 3 5" xfId="1847"/>
    <cellStyle name="20% - Accent2 2 3 5" xfId="1848"/>
    <cellStyle name="40% - Accent2 2 3 5" xfId="1849"/>
    <cellStyle name="60% - Accent2 2 3 5" xfId="1850"/>
    <cellStyle name="20% - Accent3 2 3 5" xfId="1851"/>
    <cellStyle name="40% - Accent3 2 3 5" xfId="1852"/>
    <cellStyle name="60% - Accent3 2 3 5" xfId="1853"/>
    <cellStyle name="20% - Accent4 2 3 5" xfId="1854"/>
    <cellStyle name="40% - Accent4 2 3 5" xfId="1855"/>
    <cellStyle name="60% - Accent4 2 3 5" xfId="1856"/>
    <cellStyle name="20% - Accent5 2 3 5" xfId="1857"/>
    <cellStyle name="40% - Accent5 2 3 5" xfId="1858"/>
    <cellStyle name="60% - Accent5 2 3 5" xfId="1859"/>
    <cellStyle name="20% - Accent6 2 3 5" xfId="1860"/>
    <cellStyle name="40% - Accent6 2 3 5" xfId="1861"/>
    <cellStyle name="60% - Accent6 2 3 5" xfId="1862"/>
    <cellStyle name="Comma 2 2 4 6" xfId="1863"/>
    <cellStyle name="Comma 4 4 6" xfId="1864"/>
    <cellStyle name="Normal 3 8 3 5" xfId="1865"/>
    <cellStyle name="Comma 2 4 7" xfId="1866"/>
    <cellStyle name="Comma 3 3 7" xfId="1867"/>
    <cellStyle name="Comma 2 2 3 7" xfId="1868"/>
    <cellStyle name="Comma 4 3 7" xfId="1869"/>
    <cellStyle name="Normal 7 2 5" xfId="1870"/>
    <cellStyle name="Comma 5 2 6" xfId="1871"/>
    <cellStyle name="20% - Accent1 3 2 5" xfId="1872"/>
    <cellStyle name="40% - Accent1 3 2 5" xfId="1873"/>
    <cellStyle name="60% - Accent1 3 2 5" xfId="1874"/>
    <cellStyle name="20% - Accent2 3 2 5" xfId="1875"/>
    <cellStyle name="40% - Accent2 3 2 5" xfId="1876"/>
    <cellStyle name="60% - Accent2 3 2 5" xfId="1877"/>
    <cellStyle name="20% - Accent3 3 2 5" xfId="1878"/>
    <cellStyle name="40% - Accent3 3 2 5" xfId="1879"/>
    <cellStyle name="60% - Accent3 3 2 5" xfId="1880"/>
    <cellStyle name="20% - Accent4 3 2 5" xfId="1881"/>
    <cellStyle name="40% - Accent4 3 2 5" xfId="1882"/>
    <cellStyle name="60% - Accent4 3 2 5" xfId="1883"/>
    <cellStyle name="20% - Accent5 3 2 5" xfId="1884"/>
    <cellStyle name="40% - Accent5 3 2 5" xfId="1885"/>
    <cellStyle name="60% - Accent5 3 2 5" xfId="1886"/>
    <cellStyle name="20% - Accent6 3 2 5" xfId="1887"/>
    <cellStyle name="40% - Accent6 3 2 5" xfId="1888"/>
    <cellStyle name="60% - Accent6 3 2 5" xfId="1889"/>
    <cellStyle name="Normal 3 2 3 2 5" xfId="1890"/>
    <cellStyle name="Normal 3 3 3 2 5" xfId="1891"/>
    <cellStyle name="Normal 3 4 3 2 5" xfId="1892"/>
    <cellStyle name="Normal 3 5 3 2 5" xfId="1893"/>
    <cellStyle name="Normal 3 2 2 2 2 5" xfId="1894"/>
    <cellStyle name="Normal 3 3 2 2 2 5" xfId="1895"/>
    <cellStyle name="Normal 3 4 2 2 2 5" xfId="1896"/>
    <cellStyle name="Normal 3 5 2 2 2 5" xfId="1897"/>
    <cellStyle name="Normal 5 2 2 5" xfId="1898"/>
    <cellStyle name="Percent 3 2 2 5" xfId="1899"/>
    <cellStyle name="Note 2 2 2 5" xfId="1900"/>
    <cellStyle name="Normal 3 6 2 2 5" xfId="1901"/>
    <cellStyle name="Comma 2 3 2 6" xfId="1902"/>
    <cellStyle name="Comma 3 2 2 6" xfId="1903"/>
    <cellStyle name="Percent 4 2 2 5" xfId="1904"/>
    <cellStyle name="Normal 3 7 2 2 5" xfId="1905"/>
    <cellStyle name="Note 3 2 2 5" xfId="1906"/>
    <cellStyle name="20% - Accent1 2 2 2 5" xfId="1907"/>
    <cellStyle name="40% - Accent1 2 2 2 5" xfId="1908"/>
    <cellStyle name="60% - Accent1 2 2 2 5" xfId="1909"/>
    <cellStyle name="20% - Accent2 2 2 2 5" xfId="1910"/>
    <cellStyle name="40% - Accent2 2 2 2 5" xfId="1911"/>
    <cellStyle name="60% - Accent2 2 2 2 5" xfId="1912"/>
    <cellStyle name="20% - Accent3 2 2 2 5" xfId="1913"/>
    <cellStyle name="40% - Accent3 2 2 2 5" xfId="1914"/>
    <cellStyle name="60% - Accent3 2 2 2 5" xfId="1915"/>
    <cellStyle name="20% - Accent4 2 2 2 5" xfId="1916"/>
    <cellStyle name="40% - Accent4 2 2 2 5" xfId="1917"/>
    <cellStyle name="60% - Accent4 2 2 2 5" xfId="1918"/>
    <cellStyle name="20% - Accent5 2 2 2 5" xfId="1919"/>
    <cellStyle name="40% - Accent5 2 2 2 5" xfId="1920"/>
    <cellStyle name="60% - Accent5 2 2 2 5" xfId="1921"/>
    <cellStyle name="20% - Accent6 2 2 2 5" xfId="1922"/>
    <cellStyle name="40% - Accent6 2 2 2 5" xfId="1923"/>
    <cellStyle name="60% - Accent6 2 2 2 5" xfId="1924"/>
    <cellStyle name="Comma 2 2 2 2 6" xfId="1925"/>
    <cellStyle name="Comma 4 2 2 6" xfId="1926"/>
    <cellStyle name="Normal 3 8 2 2 5" xfId="1927"/>
    <cellStyle name="Normal 3 10 5" xfId="1928"/>
    <cellStyle name="Normal 3 11 5" xfId="1929"/>
    <cellStyle name="Normal 3 12 3" xfId="1930"/>
    <cellStyle name="Normal 3 2 5 3" xfId="1931"/>
    <cellStyle name="Normal 3 3 5 3" xfId="1932"/>
    <cellStyle name="Normal 3 4 5 3" xfId="1933"/>
    <cellStyle name="Normal 3 5 5 3" xfId="1934"/>
    <cellStyle name="20% - Accent1 5 3" xfId="1935"/>
    <cellStyle name="40% - Accent1 5 3" xfId="1936"/>
    <cellStyle name="60% - Accent1 5 3" xfId="1937"/>
    <cellStyle name="20% - Accent2 5 3" xfId="1938"/>
    <cellStyle name="40% - Accent2 5 3" xfId="1939"/>
    <cellStyle name="60% - Accent2 5 3" xfId="1940"/>
    <cellStyle name="20% - Accent3 5 3" xfId="1941"/>
    <cellStyle name="40% - Accent3 5 3" xfId="1942"/>
    <cellStyle name="60% - Accent3 5 3" xfId="1943"/>
    <cellStyle name="20% - Accent4 5 3" xfId="1944"/>
    <cellStyle name="40% - Accent4 5 3" xfId="1945"/>
    <cellStyle name="60% - Accent4 5 3" xfId="1946"/>
    <cellStyle name="20% - Accent5 5 3" xfId="1947"/>
    <cellStyle name="40% - Accent5 5 3" xfId="1948"/>
    <cellStyle name="60% - Accent5 5 3" xfId="1949"/>
    <cellStyle name="20% - Accent6 5 3" xfId="1950"/>
    <cellStyle name="40% - Accent6 5 3" xfId="1951"/>
    <cellStyle name="60% - Accent6 5 3" xfId="1952"/>
    <cellStyle name="Normal 3 2 2 4 3" xfId="1953"/>
    <cellStyle name="Normal 3 3 2 4 3" xfId="1954"/>
    <cellStyle name="Normal 3 4 2 4 3" xfId="1955"/>
    <cellStyle name="Normal 3 5 2 4 3" xfId="1956"/>
    <cellStyle name="Normal 5 4 3" xfId="1957"/>
    <cellStyle name="Percent 3 4 3" xfId="1958"/>
    <cellStyle name="Note 2 4 3" xfId="1959"/>
    <cellStyle name="Normal 3 6 4 3" xfId="1960"/>
    <cellStyle name="Comma 2 6 4" xfId="1961"/>
    <cellStyle name="Comma 3 5 4" xfId="1962"/>
    <cellStyle name="Percent 4 4 3" xfId="1963"/>
    <cellStyle name="Normal 3 7 4 3" xfId="1964"/>
    <cellStyle name="Note 3 4 3" xfId="1965"/>
    <cellStyle name="20% - Accent1 2 4 3" xfId="1966"/>
    <cellStyle name="40% - Accent1 2 4 3" xfId="1967"/>
    <cellStyle name="60% - Accent1 2 4 3" xfId="1968"/>
    <cellStyle name="20% - Accent2 2 4 3" xfId="1969"/>
    <cellStyle name="40% - Accent2 2 4 3" xfId="1970"/>
    <cellStyle name="60% - Accent2 2 4 3" xfId="1971"/>
    <cellStyle name="20% - Accent3 2 4 3" xfId="1972"/>
    <cellStyle name="40% - Accent3 2 4 3" xfId="1973"/>
    <cellStyle name="60% - Accent3 2 4 3" xfId="1974"/>
    <cellStyle name="20% - Accent4 2 4 3" xfId="1975"/>
    <cellStyle name="40% - Accent4 2 4 3" xfId="1976"/>
    <cellStyle name="60% - Accent4 2 4 3" xfId="1977"/>
    <cellStyle name="20% - Accent5 2 4 3" xfId="1978"/>
    <cellStyle name="40% - Accent5 2 4 3" xfId="1979"/>
    <cellStyle name="60% - Accent5 2 4 3" xfId="1980"/>
    <cellStyle name="20% - Accent6 2 4 3" xfId="1981"/>
    <cellStyle name="40% - Accent6 2 4 3" xfId="1982"/>
    <cellStyle name="60% - Accent6 2 4 3" xfId="1983"/>
    <cellStyle name="Comma 2 2 5 4" xfId="1984"/>
    <cellStyle name="Comma 4 5 4" xfId="1985"/>
    <cellStyle name="Normal 3 8 4 3" xfId="1986"/>
    <cellStyle name="Normal 7 3 3" xfId="1987"/>
    <cellStyle name="Comma 5 3 4" xfId="1988"/>
    <cellStyle name="20% - Accent1 3 3 3" xfId="1989"/>
    <cellStyle name="40% - Accent1 3 3 3" xfId="1990"/>
    <cellStyle name="60% - Accent1 3 3 3" xfId="1991"/>
    <cellStyle name="20% - Accent2 3 3 3" xfId="1992"/>
    <cellStyle name="40% - Accent2 3 3 3" xfId="1993"/>
    <cellStyle name="60% - Accent2 3 3 3" xfId="1994"/>
    <cellStyle name="20% - Accent3 3 3 3" xfId="1995"/>
    <cellStyle name="40% - Accent3 3 3 3" xfId="1996"/>
    <cellStyle name="60% - Accent3 3 3 3" xfId="1997"/>
    <cellStyle name="20% - Accent4 3 3 3" xfId="1998"/>
    <cellStyle name="40% - Accent4 3 3 3" xfId="1999"/>
    <cellStyle name="60% - Accent4 3 3 3" xfId="2000"/>
    <cellStyle name="20% - Accent5 3 3 3" xfId="2001"/>
    <cellStyle name="40% - Accent5 3 3 3" xfId="2002"/>
    <cellStyle name="60% - Accent5 3 3 3" xfId="2003"/>
    <cellStyle name="20% - Accent6 3 3 3" xfId="2004"/>
    <cellStyle name="40% - Accent6 3 3 3" xfId="2005"/>
    <cellStyle name="60% - Accent6 3 3 3" xfId="2006"/>
    <cellStyle name="Normal 3 2 3 3 3" xfId="2007"/>
    <cellStyle name="Normal 3 3 3 3 3" xfId="2008"/>
    <cellStyle name="Normal 3 4 3 3 3" xfId="2009"/>
    <cellStyle name="Normal 3 5 3 3 3" xfId="2010"/>
    <cellStyle name="Normal 3 2 2 2 3 3" xfId="2011"/>
    <cellStyle name="Normal 3 3 2 2 3 3" xfId="2012"/>
    <cellStyle name="Normal 3 4 2 2 3 3" xfId="2013"/>
    <cellStyle name="Normal 3 5 2 2 3 3" xfId="2014"/>
    <cellStyle name="Normal 5 2 3 3" xfId="2015"/>
    <cellStyle name="Percent 3 2 3 3" xfId="2016"/>
    <cellStyle name="Note 2 2 3 3" xfId="2017"/>
    <cellStyle name="Normal 3 6 2 3 3" xfId="2018"/>
    <cellStyle name="Comma 2 3 3 4" xfId="2019"/>
    <cellStyle name="Comma 3 2 3 4" xfId="2020"/>
    <cellStyle name="Percent 4 2 3 3" xfId="2021"/>
    <cellStyle name="Normal 3 7 2 3 3" xfId="2022"/>
    <cellStyle name="Note 3 2 3 3" xfId="2023"/>
    <cellStyle name="20% - Accent1 2 2 3 3" xfId="2024"/>
    <cellStyle name="40% - Accent1 2 2 3 3" xfId="2025"/>
    <cellStyle name="60% - Accent1 2 2 3 3" xfId="2026"/>
    <cellStyle name="20% - Accent2 2 2 3 3" xfId="2027"/>
    <cellStyle name="40% - Accent2 2 2 3 3" xfId="2028"/>
    <cellStyle name="60% - Accent2 2 2 3 3" xfId="2029"/>
    <cellStyle name="20% - Accent3 2 2 3 3" xfId="2030"/>
    <cellStyle name="40% - Accent3 2 2 3 3" xfId="2031"/>
    <cellStyle name="60% - Accent3 2 2 3 3" xfId="2032"/>
    <cellStyle name="20% - Accent4 2 2 3 3" xfId="2033"/>
    <cellStyle name="40% - Accent4 2 2 3 3" xfId="2034"/>
    <cellStyle name="60% - Accent4 2 2 3 3" xfId="2035"/>
    <cellStyle name="20% - Accent5 2 2 3 3" xfId="2036"/>
    <cellStyle name="40% - Accent5 2 2 3 3" xfId="2037"/>
    <cellStyle name="60% - Accent5 2 2 3 3" xfId="2038"/>
    <cellStyle name="20% - Accent6 2 2 3 3" xfId="2039"/>
    <cellStyle name="40% - Accent6 2 2 3 3" xfId="2040"/>
    <cellStyle name="60% - Accent6 2 2 3 3" xfId="2041"/>
    <cellStyle name="Comma 2 2 2 3 4" xfId="2042"/>
    <cellStyle name="Comma 4 2 3 4" xfId="2043"/>
    <cellStyle name="Normal 3 8 2 3 3" xfId="2044"/>
    <cellStyle name="Normal 8 2 3" xfId="2045"/>
    <cellStyle name="Comma 6 2 4" xfId="2046"/>
    <cellStyle name="20% - Accent1 4 2 3" xfId="2047"/>
    <cellStyle name="40% - Accent1 4 2 3" xfId="2048"/>
    <cellStyle name="60% - Accent1 4 2 3" xfId="2049"/>
    <cellStyle name="20% - Accent2 4 2 3" xfId="2050"/>
    <cellStyle name="40% - Accent2 4 2 3" xfId="2051"/>
    <cellStyle name="60% - Accent2 4 2 3" xfId="2052"/>
    <cellStyle name="20% - Accent3 4 2 3" xfId="2053"/>
    <cellStyle name="40% - Accent3 4 2 3" xfId="2054"/>
    <cellStyle name="60% - Accent3 4 2 3" xfId="2055"/>
    <cellStyle name="20% - Accent4 4 2 3" xfId="2056"/>
    <cellStyle name="40% - Accent4 4 2 3" xfId="2057"/>
    <cellStyle name="60% - Accent4 4 2 3" xfId="2058"/>
    <cellStyle name="20% - Accent5 4 2 3" xfId="2059"/>
    <cellStyle name="40% - Accent5 4 2 3" xfId="2060"/>
    <cellStyle name="60% - Accent5 4 2 3" xfId="2061"/>
    <cellStyle name="20% - Accent6 4 2 3" xfId="2062"/>
    <cellStyle name="40% - Accent6 4 2 3" xfId="2063"/>
    <cellStyle name="60% - Accent6 4 2 3" xfId="2064"/>
    <cellStyle name="Normal 3 2 4 2 3" xfId="2065"/>
    <cellStyle name="Normal 3 3 4 2 3" xfId="2066"/>
    <cellStyle name="Normal 3 4 4 2 3" xfId="2067"/>
    <cellStyle name="Normal 3 5 4 2 3" xfId="2068"/>
    <cellStyle name="Normal 3 2 2 3 2 3" xfId="2069"/>
    <cellStyle name="Normal 3 3 2 3 2 3" xfId="2070"/>
    <cellStyle name="Normal 3 4 2 3 2 3" xfId="2071"/>
    <cellStyle name="Normal 3 5 2 3 2 3" xfId="2072"/>
    <cellStyle name="Normal 5 3 2 3" xfId="2073"/>
    <cellStyle name="Percent 3 3 2 3" xfId="2074"/>
    <cellStyle name="Note 2 3 2 3" xfId="2075"/>
    <cellStyle name="Normal 3 6 3 2 3" xfId="2076"/>
    <cellStyle name="Comma 2 5 2 4" xfId="2077"/>
    <cellStyle name="Comma 3 4 2 4" xfId="2078"/>
    <cellStyle name="Percent 4 3 2 3" xfId="2079"/>
    <cellStyle name="Normal 3 7 3 2 3" xfId="2080"/>
    <cellStyle name="Note 3 3 2 3" xfId="2081"/>
    <cellStyle name="20% - Accent1 2 3 2 3" xfId="2082"/>
    <cellStyle name="40% - Accent1 2 3 2 3" xfId="2083"/>
    <cellStyle name="60% - Accent1 2 3 2 3" xfId="2084"/>
    <cellStyle name="20% - Accent2 2 3 2 3" xfId="2085"/>
    <cellStyle name="40% - Accent2 2 3 2 3" xfId="2086"/>
    <cellStyle name="60% - Accent2 2 3 2 3" xfId="2087"/>
    <cellStyle name="20% - Accent3 2 3 2 3" xfId="2088"/>
    <cellStyle name="40% - Accent3 2 3 2 3" xfId="2089"/>
    <cellStyle name="60% - Accent3 2 3 2 3" xfId="2090"/>
    <cellStyle name="20% - Accent4 2 3 2 3" xfId="2091"/>
    <cellStyle name="40% - Accent4 2 3 2 3" xfId="2092"/>
    <cellStyle name="60% - Accent4 2 3 2 3" xfId="2093"/>
    <cellStyle name="20% - Accent5 2 3 2 3" xfId="2094"/>
    <cellStyle name="40% - Accent5 2 3 2 3" xfId="2095"/>
    <cellStyle name="60% - Accent5 2 3 2 3" xfId="2096"/>
    <cellStyle name="20% - Accent6 2 3 2 3" xfId="2097"/>
    <cellStyle name="40% - Accent6 2 3 2 3" xfId="2098"/>
    <cellStyle name="60% - Accent6 2 3 2 3" xfId="2099"/>
    <cellStyle name="Comma 2 2 4 2 4" xfId="2100"/>
    <cellStyle name="Comma 4 4 2 4" xfId="2101"/>
    <cellStyle name="Normal 3 8 3 2 3" xfId="2102"/>
    <cellStyle name="Comma 2 4 2 4" xfId="2103"/>
    <cellStyle name="Comma 3 3 2 4" xfId="2104"/>
    <cellStyle name="Comma 2 2 3 2 4" xfId="2105"/>
    <cellStyle name="Comma 4 3 2 4" xfId="2106"/>
    <cellStyle name="Normal 7 2 2 3" xfId="2107"/>
    <cellStyle name="Comma 5 2 2 4" xfId="2108"/>
    <cellStyle name="20% - Accent1 3 2 2 3" xfId="2109"/>
    <cellStyle name="40% - Accent1 3 2 2 3" xfId="2110"/>
    <cellStyle name="60% - Accent1 3 2 2 3" xfId="2111"/>
    <cellStyle name="20% - Accent2 3 2 2 3" xfId="2112"/>
    <cellStyle name="40% - Accent2 3 2 2 3" xfId="2113"/>
    <cellStyle name="60% - Accent2 3 2 2 3" xfId="2114"/>
    <cellStyle name="20% - Accent3 3 2 2 3" xfId="2115"/>
    <cellStyle name="40% - Accent3 3 2 2 3" xfId="2116"/>
    <cellStyle name="60% - Accent3 3 2 2 3" xfId="2117"/>
    <cellStyle name="20% - Accent4 3 2 2 3" xfId="2118"/>
    <cellStyle name="40% - Accent4 3 2 2 3" xfId="2119"/>
    <cellStyle name="60% - Accent4 3 2 2 3" xfId="2120"/>
    <cellStyle name="20% - Accent5 3 2 2 3" xfId="2121"/>
    <cellStyle name="40% - Accent5 3 2 2 3" xfId="2122"/>
    <cellStyle name="60% - Accent5 3 2 2 3" xfId="2123"/>
    <cellStyle name="20% - Accent6 3 2 2 3" xfId="2124"/>
    <cellStyle name="40% - Accent6 3 2 2 3" xfId="2125"/>
    <cellStyle name="60% - Accent6 3 2 2 3" xfId="2126"/>
    <cellStyle name="Normal 3 2 3 2 2 3" xfId="2127"/>
    <cellStyle name="Normal 3 3 3 2 2 3" xfId="2128"/>
    <cellStyle name="Normal 3 4 3 2 2 3" xfId="2129"/>
    <cellStyle name="Normal 3 5 3 2 2 3" xfId="2130"/>
    <cellStyle name="Normal 3 2 2 2 2 2 3" xfId="2131"/>
    <cellStyle name="Normal 3 3 2 2 2 2 3" xfId="2132"/>
    <cellStyle name="Normal 3 4 2 2 2 2 3" xfId="2133"/>
    <cellStyle name="Normal 3 5 2 2 2 2 3" xfId="2134"/>
    <cellStyle name="Normal 5 2 2 2 3" xfId="2135"/>
    <cellStyle name="Percent 3 2 2 2 3" xfId="2136"/>
    <cellStyle name="Note 2 2 2 2 3" xfId="2137"/>
    <cellStyle name="Normal 3 6 2 2 2 3" xfId="2138"/>
    <cellStyle name="Comma 2 3 2 2 4" xfId="2139"/>
    <cellStyle name="Comma 3 2 2 2 4" xfId="2140"/>
    <cellStyle name="Percent 4 2 2 2 3" xfId="2141"/>
    <cellStyle name="Normal 3 7 2 2 2 3" xfId="2142"/>
    <cellStyle name="Note 3 2 2 2 3" xfId="2143"/>
    <cellStyle name="20% - Accent1 2 2 2 2 3" xfId="2144"/>
    <cellStyle name="40% - Accent1 2 2 2 2 3" xfId="2145"/>
    <cellStyle name="60% - Accent1 2 2 2 2 3" xfId="2146"/>
    <cellStyle name="20% - Accent2 2 2 2 2 3" xfId="2147"/>
    <cellStyle name="40% - Accent2 2 2 2 2 3" xfId="2148"/>
    <cellStyle name="60% - Accent2 2 2 2 2 3" xfId="2149"/>
    <cellStyle name="20% - Accent3 2 2 2 2 3" xfId="2150"/>
    <cellStyle name="40% - Accent3 2 2 2 2 3" xfId="2151"/>
    <cellStyle name="60% - Accent3 2 2 2 2 3" xfId="2152"/>
    <cellStyle name="20% - Accent4 2 2 2 2 3" xfId="2153"/>
    <cellStyle name="40% - Accent4 2 2 2 2 3" xfId="2154"/>
    <cellStyle name="60% - Accent4 2 2 2 2 3" xfId="2155"/>
    <cellStyle name="20% - Accent5 2 2 2 2 3" xfId="2156"/>
    <cellStyle name="40% - Accent5 2 2 2 2 3" xfId="2157"/>
    <cellStyle name="60% - Accent5 2 2 2 2 3" xfId="2158"/>
    <cellStyle name="20% - Accent6 2 2 2 2 3" xfId="2159"/>
    <cellStyle name="40% - Accent6 2 2 2 2 3" xfId="2160"/>
    <cellStyle name="60% - Accent6 2 2 2 2 3" xfId="2161"/>
    <cellStyle name="Comma 2 2 2 2 2 4" xfId="2162"/>
    <cellStyle name="Comma 4 2 2 2 4" xfId="2163"/>
    <cellStyle name="Normal 3 8 2 2 2 3" xfId="2164"/>
    <cellStyle name="Normal 3 10 2 3" xfId="2165"/>
    <cellStyle name="Normal 3 11 2 3" xfId="2166"/>
    <cellStyle name="Normal 3 2 6 2" xfId="2167"/>
    <cellStyle name="Normal 3 3 6 2" xfId="2168"/>
    <cellStyle name="Normal 3 4 6 2" xfId="2169"/>
    <cellStyle name="Normal 3 5 6 2" xfId="2170"/>
    <cellStyle name="20% - Accent1 6 2" xfId="2171"/>
    <cellStyle name="40% - Accent1 6 2" xfId="2172"/>
    <cellStyle name="60% - Accent1 6 2" xfId="2173"/>
    <cellStyle name="20% - Accent2 6 2" xfId="2174"/>
    <cellStyle name="40% - Accent2 6 2" xfId="2175"/>
    <cellStyle name="60% - Accent2 6 2" xfId="2176"/>
    <cellStyle name="20% - Accent3 6 2" xfId="2177"/>
    <cellStyle name="40% - Accent3 6 2" xfId="2178"/>
    <cellStyle name="60% - Accent3 6 2" xfId="2179"/>
    <cellStyle name="20% - Accent4 6 2" xfId="2180"/>
    <cellStyle name="40% - Accent4 6 2" xfId="2181"/>
    <cellStyle name="60% - Accent4 6 2" xfId="2182"/>
    <cellStyle name="20% - Accent5 6 2" xfId="2183"/>
    <cellStyle name="40% - Accent5 6 2" xfId="2184"/>
    <cellStyle name="60% - Accent5 6 2" xfId="2185"/>
    <cellStyle name="20% - Accent6 6 2" xfId="2186"/>
    <cellStyle name="40% - Accent6 6 2" xfId="2187"/>
    <cellStyle name="60% - Accent6 6 2" xfId="2188"/>
    <cellStyle name="Normal 3 2 2 5 2" xfId="2189"/>
    <cellStyle name="Normal 3 3 2 5 2" xfId="2190"/>
    <cellStyle name="Normal 3 4 2 5 2" xfId="2191"/>
    <cellStyle name="Normal 3 5 2 5 2" xfId="2192"/>
    <cellStyle name="Normal 5 5 2" xfId="2193"/>
    <cellStyle name="Percent 3 5 2" xfId="2194"/>
    <cellStyle name="Note 2 5 2" xfId="2195"/>
    <cellStyle name="Normal 3 6 5 2" xfId="2196"/>
    <cellStyle name="Comma 2 7 3" xfId="2197"/>
    <cellStyle name="Comma 3 7 3" xfId="2198"/>
    <cellStyle name="Percent 4 5 2" xfId="2199"/>
    <cellStyle name="Normal 3 7 5 2" xfId="2200"/>
    <cellStyle name="Note 3 5 2" xfId="2201"/>
    <cellStyle name="20% - Accent1 2 5 2" xfId="2202"/>
    <cellStyle name="40% - Accent1 2 5 2" xfId="2203"/>
    <cellStyle name="60% - Accent1 2 5 2" xfId="2204"/>
    <cellStyle name="20% - Accent2 2 5 2" xfId="2205"/>
    <cellStyle name="40% - Accent2 2 5 2" xfId="2206"/>
    <cellStyle name="60% - Accent2 2 5 2" xfId="2207"/>
    <cellStyle name="20% - Accent3 2 5 2" xfId="2208"/>
    <cellStyle name="40% - Accent3 2 5 2" xfId="2209"/>
    <cellStyle name="60% - Accent3 2 5 2" xfId="2210"/>
    <cellStyle name="20% - Accent4 2 5 2" xfId="2211"/>
    <cellStyle name="40% - Accent4 2 5 2" xfId="2212"/>
    <cellStyle name="60% - Accent4 2 5 2" xfId="2213"/>
    <cellStyle name="20% - Accent5 2 5 2" xfId="2214"/>
    <cellStyle name="40% - Accent5 2 5 2" xfId="2215"/>
    <cellStyle name="60% - Accent5 2 5 2" xfId="2216"/>
    <cellStyle name="20% - Accent6 2 5 2" xfId="2217"/>
    <cellStyle name="40% - Accent6 2 5 2" xfId="2218"/>
    <cellStyle name="60% - Accent6 2 5 2" xfId="2219"/>
    <cellStyle name="Comma 2 2 6 3" xfId="2220"/>
    <cellStyle name="Comma 4 6 3" xfId="2221"/>
    <cellStyle name="Normal 3 8 5 2" xfId="2222"/>
    <cellStyle name="Normal 7 4 2" xfId="2223"/>
    <cellStyle name="Comma 5 4 3" xfId="2224"/>
    <cellStyle name="20% - Accent1 3 4 2" xfId="2225"/>
    <cellStyle name="40% - Accent1 3 4 2" xfId="2226"/>
    <cellStyle name="60% - Accent1 3 4 2" xfId="2227"/>
    <cellStyle name="20% - Accent2 3 4 2" xfId="2228"/>
    <cellStyle name="40% - Accent2 3 4 2" xfId="2229"/>
    <cellStyle name="60% - Accent2 3 4 2" xfId="2230"/>
    <cellStyle name="20% - Accent3 3 4 2" xfId="2231"/>
    <cellStyle name="40% - Accent3 3 4 2" xfId="2232"/>
    <cellStyle name="60% - Accent3 3 4 2" xfId="2233"/>
    <cellStyle name="20% - Accent4 3 4 2" xfId="2234"/>
    <cellStyle name="40% - Accent4 3 4 2" xfId="2235"/>
    <cellStyle name="60% - Accent4 3 4 2" xfId="2236"/>
    <cellStyle name="20% - Accent5 3 4 2" xfId="2237"/>
    <cellStyle name="40% - Accent5 3 4 2" xfId="2238"/>
    <cellStyle name="60% - Accent5 3 4 2" xfId="2239"/>
    <cellStyle name="20% - Accent6 3 4 2" xfId="2240"/>
    <cellStyle name="40% - Accent6 3 4 2" xfId="2241"/>
    <cellStyle name="60% - Accent6 3 4 2" xfId="2242"/>
    <cellStyle name="Normal 3 2 3 4 2" xfId="2243"/>
    <cellStyle name="Normal 3 3 3 4 2" xfId="2244"/>
    <cellStyle name="Normal 3 4 3 4 2" xfId="2245"/>
    <cellStyle name="Normal 3 5 3 4 2" xfId="2246"/>
    <cellStyle name="Normal 3 2 2 2 4 2" xfId="2247"/>
    <cellStyle name="Normal 3 3 2 2 4 2" xfId="2248"/>
    <cellStyle name="Normal 3 4 2 2 4 2" xfId="2249"/>
    <cellStyle name="Normal 3 5 2 2 4 2" xfId="2250"/>
    <cellStyle name="Normal 5 2 4 2" xfId="2251"/>
    <cellStyle name="Percent 3 2 4 2" xfId="2252"/>
    <cellStyle name="Note 2 2 4 2" xfId="2253"/>
    <cellStyle name="Normal 3 6 2 4 2" xfId="2254"/>
    <cellStyle name="Comma 2 3 4 3" xfId="2255"/>
    <cellStyle name="Comma 3 2 4 3" xfId="2256"/>
    <cellStyle name="Percent 4 2 4 2" xfId="2257"/>
    <cellStyle name="Normal 3 7 2 4 2" xfId="2258"/>
    <cellStyle name="Note 3 2 4 2" xfId="2259"/>
    <cellStyle name="20% - Accent1 2 2 4 2" xfId="2260"/>
    <cellStyle name="40% - Accent1 2 2 4 2" xfId="2261"/>
    <cellStyle name="60% - Accent1 2 2 4 2" xfId="2262"/>
    <cellStyle name="20% - Accent2 2 2 4 2" xfId="2263"/>
    <cellStyle name="40% - Accent2 2 2 4 2" xfId="2264"/>
    <cellStyle name="60% - Accent2 2 2 4 2" xfId="2265"/>
    <cellStyle name="20% - Accent3 2 2 4 2" xfId="2266"/>
    <cellStyle name="40% - Accent3 2 2 4 2" xfId="2267"/>
    <cellStyle name="60% - Accent3 2 2 4 2" xfId="2268"/>
    <cellStyle name="20% - Accent4 2 2 4 2" xfId="2269"/>
    <cellStyle name="40% - Accent4 2 2 4 2" xfId="2270"/>
    <cellStyle name="60% - Accent4 2 2 4 2" xfId="2271"/>
    <cellStyle name="20% - Accent5 2 2 4 2" xfId="2272"/>
    <cellStyle name="40% - Accent5 2 2 4 2" xfId="2273"/>
    <cellStyle name="60% - Accent5 2 2 4 2" xfId="2274"/>
    <cellStyle name="20% - Accent6 2 2 4 2" xfId="2275"/>
    <cellStyle name="40% - Accent6 2 2 4 2" xfId="2276"/>
    <cellStyle name="60% - Accent6 2 2 4 2" xfId="2277"/>
    <cellStyle name="Comma 2 2 2 4 3" xfId="2278"/>
    <cellStyle name="Comma 4 2 4 3" xfId="2279"/>
    <cellStyle name="Normal 3 8 2 4 2" xfId="2280"/>
    <cellStyle name="Normal 8 3 2" xfId="2281"/>
    <cellStyle name="Comma 6 3 3" xfId="2282"/>
    <cellStyle name="20% - Accent1 4 3 2" xfId="2283"/>
    <cellStyle name="40% - Accent1 4 3 2" xfId="2284"/>
    <cellStyle name="60% - Accent1 4 3 2" xfId="2285"/>
    <cellStyle name="20% - Accent2 4 3 2" xfId="2286"/>
    <cellStyle name="40% - Accent2 4 3 2" xfId="2287"/>
    <cellStyle name="60% - Accent2 4 3 2" xfId="2288"/>
    <cellStyle name="20% - Accent3 4 3 2" xfId="2289"/>
    <cellStyle name="40% - Accent3 4 3 2" xfId="2290"/>
    <cellStyle name="60% - Accent3 4 3 2" xfId="2291"/>
    <cellStyle name="20% - Accent4 4 3 2" xfId="2292"/>
    <cellStyle name="40% - Accent4 4 3 2" xfId="2293"/>
    <cellStyle name="60% - Accent4 4 3 2" xfId="2294"/>
    <cellStyle name="20% - Accent5 4 3 2" xfId="2295"/>
    <cellStyle name="40% - Accent5 4 3 2" xfId="2296"/>
    <cellStyle name="60% - Accent5 4 3 2" xfId="2297"/>
    <cellStyle name="20% - Accent6 4 3 2" xfId="2298"/>
    <cellStyle name="40% - Accent6 4 3 2" xfId="2299"/>
    <cellStyle name="60% - Accent6 4 3 2" xfId="2300"/>
    <cellStyle name="Normal 3 2 4 3 2" xfId="2301"/>
    <cellStyle name="Normal 3 3 4 3 2" xfId="2302"/>
    <cellStyle name="Normal 3 4 4 3 2" xfId="2303"/>
    <cellStyle name="Normal 3 5 4 3 2" xfId="2304"/>
    <cellStyle name="Normal 3 2 2 3 3 2" xfId="2305"/>
    <cellStyle name="Normal 3 3 2 3 3 2" xfId="2306"/>
    <cellStyle name="Normal 3 4 2 3 3 2" xfId="2307"/>
    <cellStyle name="Normal 3 5 2 3 3 2" xfId="2308"/>
    <cellStyle name="Normal 5 3 3 2" xfId="2309"/>
    <cellStyle name="Percent 3 3 3 2" xfId="2310"/>
    <cellStyle name="Note 2 3 3 2" xfId="2311"/>
    <cellStyle name="Normal 3 6 3 3 2" xfId="2312"/>
    <cellStyle name="Comma 2 5 3 3" xfId="2313"/>
    <cellStyle name="Comma 3 4 3 3" xfId="2314"/>
    <cellStyle name="Percent 4 3 3 2" xfId="2315"/>
    <cellStyle name="Normal 3 7 3 3 2" xfId="2316"/>
    <cellStyle name="Note 3 3 3 2" xfId="2317"/>
    <cellStyle name="20% - Accent1 2 3 3 2" xfId="2318"/>
    <cellStyle name="40% - Accent1 2 3 3 2" xfId="2319"/>
    <cellStyle name="60% - Accent1 2 3 3 2" xfId="2320"/>
    <cellStyle name="20% - Accent2 2 3 3 2" xfId="2321"/>
    <cellStyle name="40% - Accent2 2 3 3 2" xfId="2322"/>
    <cellStyle name="60% - Accent2 2 3 3 2" xfId="2323"/>
    <cellStyle name="20% - Accent3 2 3 3 2" xfId="2324"/>
    <cellStyle name="40% - Accent3 2 3 3 2" xfId="2325"/>
    <cellStyle name="60% - Accent3 2 3 3 2" xfId="2326"/>
    <cellStyle name="20% - Accent4 2 3 3 2" xfId="2327"/>
    <cellStyle name="40% - Accent4 2 3 3 2" xfId="2328"/>
    <cellStyle name="60% - Accent4 2 3 3 2" xfId="2329"/>
    <cellStyle name="20% - Accent5 2 3 3 2" xfId="2330"/>
    <cellStyle name="40% - Accent5 2 3 3 2" xfId="2331"/>
    <cellStyle name="60% - Accent5 2 3 3 2" xfId="2332"/>
    <cellStyle name="20% - Accent6 2 3 3 2" xfId="2333"/>
    <cellStyle name="40% - Accent6 2 3 3 2" xfId="2334"/>
    <cellStyle name="60% - Accent6 2 3 3 2" xfId="2335"/>
    <cellStyle name="Comma 2 2 4 3 3" xfId="2336"/>
    <cellStyle name="Comma 4 4 3 3" xfId="2337"/>
    <cellStyle name="Normal 3 8 3 3 2" xfId="2338"/>
    <cellStyle name="Comma 2 4 3 3" xfId="2339"/>
    <cellStyle name="Comma 3 3 3 3" xfId="2340"/>
    <cellStyle name="Comma 2 2 3 3 3" xfId="2341"/>
    <cellStyle name="Comma 4 3 3 3" xfId="2342"/>
    <cellStyle name="Normal 7 2 3 2" xfId="2343"/>
    <cellStyle name="Comma 5 2 3 3" xfId="2344"/>
    <cellStyle name="20% - Accent1 3 2 3 2" xfId="2345"/>
    <cellStyle name="40% - Accent1 3 2 3 2" xfId="2346"/>
    <cellStyle name="60% - Accent1 3 2 3 2" xfId="2347"/>
    <cellStyle name="20% - Accent2 3 2 3 2" xfId="2348"/>
    <cellStyle name="40% - Accent2 3 2 3 2" xfId="2349"/>
    <cellStyle name="60% - Accent2 3 2 3 2" xfId="2350"/>
    <cellStyle name="20% - Accent3 3 2 3 2" xfId="2351"/>
    <cellStyle name="40% - Accent3 3 2 3 2" xfId="2352"/>
    <cellStyle name="60% - Accent3 3 2 3 2" xfId="2353"/>
    <cellStyle name="20% - Accent4 3 2 3 2" xfId="2354"/>
    <cellStyle name="40% - Accent4 3 2 3 2" xfId="2355"/>
    <cellStyle name="60% - Accent4 3 2 3 2" xfId="2356"/>
    <cellStyle name="20% - Accent5 3 2 3 2" xfId="2357"/>
    <cellStyle name="40% - Accent5 3 2 3 2" xfId="2358"/>
    <cellStyle name="60% - Accent5 3 2 3 2" xfId="2359"/>
    <cellStyle name="20% - Accent6 3 2 3 2" xfId="2360"/>
    <cellStyle name="40% - Accent6 3 2 3 2" xfId="2361"/>
    <cellStyle name="60% - Accent6 3 2 3 2" xfId="2362"/>
    <cellStyle name="Normal 3 2 3 2 3 2" xfId="2363"/>
    <cellStyle name="Normal 3 3 3 2 3 2" xfId="2364"/>
    <cellStyle name="Normal 3 4 3 2 3 2" xfId="2365"/>
    <cellStyle name="Normal 3 5 3 2 3 2" xfId="2366"/>
    <cellStyle name="Normal 3 2 2 2 2 3 2" xfId="2367"/>
    <cellStyle name="Normal 3 3 2 2 2 3 2" xfId="2368"/>
    <cellStyle name="Normal 3 4 2 2 2 3 2" xfId="2369"/>
    <cellStyle name="Normal 3 5 2 2 2 3 2" xfId="2370"/>
    <cellStyle name="Normal 5 2 2 3 2" xfId="2371"/>
    <cellStyle name="Percent 3 2 2 3 2" xfId="2372"/>
    <cellStyle name="Note 2 2 2 3 2" xfId="2373"/>
    <cellStyle name="Normal 3 6 2 2 3 2" xfId="2374"/>
    <cellStyle name="Comma 2 3 2 3 3" xfId="2375"/>
    <cellStyle name="Comma 3 2 2 3 3" xfId="2376"/>
    <cellStyle name="Percent 4 2 2 3 2" xfId="2377"/>
    <cellStyle name="Normal 3 7 2 2 3 2" xfId="2378"/>
    <cellStyle name="Note 3 2 2 3 2" xfId="2379"/>
    <cellStyle name="20% - Accent1 2 2 2 3 2" xfId="2380"/>
    <cellStyle name="40% - Accent1 2 2 2 3 2" xfId="2381"/>
    <cellStyle name="60% - Accent1 2 2 2 3 2" xfId="2382"/>
    <cellStyle name="20% - Accent2 2 2 2 3 2" xfId="2383"/>
    <cellStyle name="40% - Accent2 2 2 2 3 2" xfId="2384"/>
    <cellStyle name="60% - Accent2 2 2 2 3 2" xfId="2385"/>
    <cellStyle name="20% - Accent3 2 2 2 3 2" xfId="2386"/>
    <cellStyle name="40% - Accent3 2 2 2 3 2" xfId="2387"/>
    <cellStyle name="60% - Accent3 2 2 2 3 2" xfId="2388"/>
    <cellStyle name="20% - Accent4 2 2 2 3 2" xfId="2389"/>
    <cellStyle name="40% - Accent4 2 2 2 3 2" xfId="2390"/>
    <cellStyle name="60% - Accent4 2 2 2 3 2" xfId="2391"/>
    <cellStyle name="20% - Accent5 2 2 2 3 2" xfId="2392"/>
    <cellStyle name="40% - Accent5 2 2 2 3 2" xfId="2393"/>
    <cellStyle name="60% - Accent5 2 2 2 3 2" xfId="2394"/>
    <cellStyle name="20% - Accent6 2 2 2 3 2" xfId="2395"/>
    <cellStyle name="40% - Accent6 2 2 2 3 2" xfId="2396"/>
    <cellStyle name="60% - Accent6 2 2 2 3 2" xfId="2397"/>
    <cellStyle name="Comma 2 2 2 2 3 3" xfId="2398"/>
    <cellStyle name="Comma 4 2 2 3 3" xfId="2399"/>
    <cellStyle name="Normal 3 8 2 2 3 2" xfId="2400"/>
    <cellStyle name="Normal 3 10 3 2" xfId="2401"/>
    <cellStyle name="Normal 3 11 3 2" xfId="2402"/>
    <cellStyle name="Normal 5 4 2 2" xfId="2403"/>
    <cellStyle name="Normal 7 3 2 2" xfId="2404"/>
    <cellStyle name="Normal 3 2 2 2 3 2 2" xfId="2405"/>
    <cellStyle name="Normal 8 2 2 2" xfId="2406"/>
    <cellStyle name="Normal 3 2 2 2 2 2 2 2" xfId="2407"/>
    <cellStyle name="Comma 3 6 3" xfId="2408"/>
    <cellStyle name="Normal 3 6 4 2 2" xfId="2409"/>
    <cellStyle name="Normal 3 12 2 2" xfId="2410"/>
    <cellStyle name="Normal 3 2 5 2 2" xfId="2411"/>
    <cellStyle name="Normal 3 3 5 2 2" xfId="2412"/>
    <cellStyle name="Normal 3 4 5 2 2" xfId="2413"/>
    <cellStyle name="Normal 3 5 5 2 2" xfId="2414"/>
    <cellStyle name="20% - Accent1 5 2 2" xfId="2415"/>
    <cellStyle name="40% - Accent1 5 2 2" xfId="2416"/>
    <cellStyle name="60% - Accent1 5 2 2" xfId="2417"/>
    <cellStyle name="20% - Accent2 5 2 2" xfId="2418"/>
    <cellStyle name="40% - Accent2 5 2 2" xfId="2419"/>
    <cellStyle name="60% - Accent2 5 2 2" xfId="2420"/>
    <cellStyle name="20% - Accent3 5 2 2" xfId="2421"/>
    <cellStyle name="40% - Accent3 5 2 2" xfId="2422"/>
    <cellStyle name="60% - Accent3 5 2 2" xfId="2423"/>
    <cellStyle name="20% - Accent4 5 2 2" xfId="2424"/>
    <cellStyle name="40% - Accent4 5 2 2" xfId="2425"/>
    <cellStyle name="60% - Accent4 5 2 2" xfId="2426"/>
    <cellStyle name="20% - Accent5 5 2 2" xfId="2427"/>
    <cellStyle name="40% - Accent5 5 2 2" xfId="2428"/>
    <cellStyle name="60% - Accent5 5 2 2" xfId="2429"/>
    <cellStyle name="20% - Accent6 5 2 2" xfId="2430"/>
    <cellStyle name="40% - Accent6 5 2 2" xfId="2431"/>
    <cellStyle name="60% - Accent6 5 2 2" xfId="2432"/>
    <cellStyle name="Normal 3 2 2 4 2 2" xfId="2433"/>
    <cellStyle name="Normal 3 3 2 4 2 2" xfId="2434"/>
    <cellStyle name="Normal 3 4 2 4 2 2" xfId="2435"/>
    <cellStyle name="Normal 3 5 2 4 2 2" xfId="2436"/>
    <cellStyle name="Percent 3 4 2 2" xfId="2437"/>
    <cellStyle name="Note 2 4 2 2" xfId="2438"/>
    <cellStyle name="Comma 2 6 2 3" xfId="2439"/>
    <cellStyle name="Comma 3 5 2 3" xfId="2440"/>
    <cellStyle name="Percent 4 4 2 2" xfId="2441"/>
    <cellStyle name="Normal 3 7 4 2 2" xfId="2442"/>
    <cellStyle name="Note 3 4 2 2" xfId="2443"/>
    <cellStyle name="20% - Accent1 2 4 2 2" xfId="2444"/>
    <cellStyle name="40% - Accent1 2 4 2 2" xfId="2445"/>
    <cellStyle name="60% - Accent1 2 4 2 2" xfId="2446"/>
    <cellStyle name="20% - Accent2 2 4 2 2" xfId="2447"/>
    <cellStyle name="40% - Accent2 2 4 2 2" xfId="2448"/>
    <cellStyle name="60% - Accent2 2 4 2 2" xfId="2449"/>
    <cellStyle name="20% - Accent3 2 4 2 2" xfId="2450"/>
    <cellStyle name="40% - Accent3 2 4 2 2" xfId="2451"/>
    <cellStyle name="60% - Accent3 2 4 2 2" xfId="2452"/>
    <cellStyle name="20% - Accent4 2 4 2 2" xfId="2453"/>
    <cellStyle name="40% - Accent4 2 4 2 2" xfId="2454"/>
    <cellStyle name="60% - Accent4 2 4 2 2" xfId="2455"/>
    <cellStyle name="20% - Accent5 2 4 2 2" xfId="2456"/>
    <cellStyle name="40% - Accent5 2 4 2 2" xfId="2457"/>
    <cellStyle name="60% - Accent5 2 4 2 2" xfId="2458"/>
    <cellStyle name="20% - Accent6 2 4 2 2" xfId="2459"/>
    <cellStyle name="40% - Accent6 2 4 2 2" xfId="2460"/>
    <cellStyle name="60% - Accent6 2 4 2 2" xfId="2461"/>
    <cellStyle name="Comma 2 2 5 2 3" xfId="2462"/>
    <cellStyle name="Comma 4 5 2 3" xfId="2463"/>
    <cellStyle name="Normal 3 8 4 2 2" xfId="2464"/>
    <cellStyle name="Comma 5 3 2 3" xfId="2465"/>
    <cellStyle name="20% - Accent1 3 3 2 2" xfId="2466"/>
    <cellStyle name="40% - Accent1 3 3 2 2" xfId="2467"/>
    <cellStyle name="60% - Accent1 3 3 2 2" xfId="2468"/>
    <cellStyle name="20% - Accent2 3 3 2 2" xfId="2469"/>
    <cellStyle name="40% - Accent2 3 3 2 2" xfId="2470"/>
    <cellStyle name="60% - Accent2 3 3 2 2" xfId="2471"/>
    <cellStyle name="20% - Accent3 3 3 2 2" xfId="2472"/>
    <cellStyle name="40% - Accent3 3 3 2 2" xfId="2473"/>
    <cellStyle name="60% - Accent3 3 3 2 2" xfId="2474"/>
    <cellStyle name="20% - Accent4 3 3 2 2" xfId="2475"/>
    <cellStyle name="40% - Accent4 3 3 2 2" xfId="2476"/>
    <cellStyle name="60% - Accent4 3 3 2 2" xfId="2477"/>
    <cellStyle name="20% - Accent5 3 3 2 2" xfId="2478"/>
    <cellStyle name="40% - Accent5 3 3 2 2" xfId="2479"/>
    <cellStyle name="60% - Accent5 3 3 2 2" xfId="2480"/>
    <cellStyle name="20% - Accent6 3 3 2 2" xfId="2481"/>
    <cellStyle name="40% - Accent6 3 3 2 2" xfId="2482"/>
    <cellStyle name="60% - Accent6 3 3 2 2" xfId="2483"/>
    <cellStyle name="Normal 3 2 3 3 2 2" xfId="2484"/>
    <cellStyle name="Normal 3 3 3 3 2 2" xfId="2485"/>
    <cellStyle name="Normal 3 4 3 3 2 2" xfId="2486"/>
    <cellStyle name="Normal 3 5 3 3 2 2" xfId="2487"/>
    <cellStyle name="Normal 3 3 2 2 3 2 2" xfId="2488"/>
    <cellStyle name="Normal 3 4 2 2 3 2 2" xfId="2489"/>
    <cellStyle name="Normal 3 5 2 2 3 2 2" xfId="2490"/>
    <cellStyle name="Normal 5 2 3 2 2" xfId="2491"/>
    <cellStyle name="Percent 3 2 3 2 2" xfId="2492"/>
    <cellStyle name="Note 2 2 3 2 2" xfId="2493"/>
    <cellStyle name="Normal 3 6 2 3 2 2" xfId="2494"/>
    <cellStyle name="Comma 2 3 3 2 3" xfId="2495"/>
    <cellStyle name="Comma 3 2 3 2 3" xfId="2496"/>
    <cellStyle name="Percent 4 2 3 2 2" xfId="2497"/>
    <cellStyle name="Normal 3 7 2 3 2 2" xfId="2498"/>
    <cellStyle name="Note 3 2 3 2 2" xfId="2499"/>
    <cellStyle name="20% - Accent1 2 2 3 2 2" xfId="2500"/>
    <cellStyle name="40% - Accent1 2 2 3 2 2" xfId="2501"/>
    <cellStyle name="60% - Accent1 2 2 3 2 2" xfId="2502"/>
    <cellStyle name="20% - Accent2 2 2 3 2 2" xfId="2503"/>
    <cellStyle name="40% - Accent2 2 2 3 2 2" xfId="2504"/>
    <cellStyle name="60% - Accent2 2 2 3 2 2" xfId="2505"/>
    <cellStyle name="20% - Accent3 2 2 3 2 2" xfId="2506"/>
    <cellStyle name="40% - Accent3 2 2 3 2 2" xfId="2507"/>
    <cellStyle name="60% - Accent3 2 2 3 2 2" xfId="2508"/>
    <cellStyle name="20% - Accent4 2 2 3 2 2" xfId="2509"/>
    <cellStyle name="40% - Accent4 2 2 3 2 2" xfId="2510"/>
    <cellStyle name="60% - Accent4 2 2 3 2 2" xfId="2511"/>
    <cellStyle name="20% - Accent5 2 2 3 2 2" xfId="2512"/>
    <cellStyle name="40% - Accent5 2 2 3 2 2" xfId="2513"/>
    <cellStyle name="60% - Accent5 2 2 3 2 2" xfId="2514"/>
    <cellStyle name="20% - Accent6 2 2 3 2 2" xfId="2515"/>
    <cellStyle name="40% - Accent6 2 2 3 2 2" xfId="2516"/>
    <cellStyle name="60% - Accent6 2 2 3 2 2" xfId="2517"/>
    <cellStyle name="Comma 2 2 2 3 2 3" xfId="2518"/>
    <cellStyle name="Comma 4 2 3 2 3" xfId="2519"/>
    <cellStyle name="Normal 3 8 2 3 2 2" xfId="2520"/>
    <cellStyle name="Comma 6 2 2 3" xfId="2521"/>
    <cellStyle name="20% - Accent1 4 2 2 2" xfId="2522"/>
    <cellStyle name="40% - Accent1 4 2 2 2" xfId="2523"/>
    <cellStyle name="60% - Accent1 4 2 2 2" xfId="2524"/>
    <cellStyle name="20% - Accent2 4 2 2 2" xfId="2525"/>
    <cellStyle name="40% - Accent2 4 2 2 2" xfId="2526"/>
    <cellStyle name="60% - Accent2 4 2 2 2" xfId="2527"/>
    <cellStyle name="20% - Accent3 4 2 2 2" xfId="2528"/>
    <cellStyle name="40% - Accent3 4 2 2 2" xfId="2529"/>
    <cellStyle name="60% - Accent3 4 2 2 2" xfId="2530"/>
    <cellStyle name="20% - Accent4 4 2 2 2" xfId="2531"/>
    <cellStyle name="40% - Accent4 4 2 2 2" xfId="2532"/>
    <cellStyle name="60% - Accent4 4 2 2 2" xfId="2533"/>
    <cellStyle name="20% - Accent5 4 2 2 2" xfId="2534"/>
    <cellStyle name="40% - Accent5 4 2 2 2" xfId="2535"/>
    <cellStyle name="60% - Accent5 4 2 2 2" xfId="2536"/>
    <cellStyle name="20% - Accent6 4 2 2 2" xfId="2537"/>
    <cellStyle name="40% - Accent6 4 2 2 2" xfId="2538"/>
    <cellStyle name="60% - Accent6 4 2 2 2" xfId="2539"/>
    <cellStyle name="Normal 3 2 4 2 2 2" xfId="2540"/>
    <cellStyle name="Normal 3 3 4 2 2 2" xfId="2541"/>
    <cellStyle name="Normal 3 4 4 2 2 2" xfId="2542"/>
    <cellStyle name="Normal 3 5 4 2 2 2" xfId="2543"/>
    <cellStyle name="Normal 3 2 2 3 2 2 2" xfId="2544"/>
    <cellStyle name="Normal 3 3 2 3 2 2 2" xfId="2545"/>
    <cellStyle name="Normal 3 4 2 3 2 2 2" xfId="2546"/>
    <cellStyle name="Normal 3 5 2 3 2 2 2" xfId="2547"/>
    <cellStyle name="Normal 5 3 2 2 2" xfId="2548"/>
    <cellStyle name="Percent 3 3 2 2 2" xfId="2549"/>
    <cellStyle name="Note 2 3 2 2 2" xfId="2550"/>
    <cellStyle name="Normal 3 6 3 2 2 2" xfId="2551"/>
    <cellStyle name="Comma 2 5 2 2 3" xfId="2552"/>
    <cellStyle name="Comma 3 4 2 2 3" xfId="2553"/>
    <cellStyle name="Percent 4 3 2 2 2" xfId="2554"/>
    <cellStyle name="Normal 3 7 3 2 2 2" xfId="2555"/>
    <cellStyle name="Note 3 3 2 2 2" xfId="2556"/>
    <cellStyle name="20% - Accent1 2 3 2 2 2" xfId="2557"/>
    <cellStyle name="40% - Accent1 2 3 2 2 2" xfId="2558"/>
    <cellStyle name="60% - Accent1 2 3 2 2 2" xfId="2559"/>
    <cellStyle name="20% - Accent2 2 3 2 2 2" xfId="2560"/>
    <cellStyle name="40% - Accent2 2 3 2 2 2" xfId="2561"/>
    <cellStyle name="60% - Accent2 2 3 2 2 2" xfId="2562"/>
    <cellStyle name="20% - Accent3 2 3 2 2 2" xfId="2563"/>
    <cellStyle name="40% - Accent3 2 3 2 2 2" xfId="2564"/>
    <cellStyle name="60% - Accent3 2 3 2 2 2" xfId="2565"/>
    <cellStyle name="20% - Accent4 2 3 2 2 2" xfId="2566"/>
    <cellStyle name="40% - Accent4 2 3 2 2 2" xfId="2567"/>
    <cellStyle name="60% - Accent4 2 3 2 2 2" xfId="2568"/>
    <cellStyle name="20% - Accent5 2 3 2 2 2" xfId="2569"/>
    <cellStyle name="40% - Accent5 2 3 2 2 2" xfId="2570"/>
    <cellStyle name="60% - Accent5 2 3 2 2 2" xfId="2571"/>
    <cellStyle name="20% - Accent6 2 3 2 2 2" xfId="2572"/>
    <cellStyle name="40% - Accent6 2 3 2 2 2" xfId="2573"/>
    <cellStyle name="60% - Accent6 2 3 2 2 2" xfId="2574"/>
    <cellStyle name="Comma 2 2 4 2 2 3" xfId="2575"/>
    <cellStyle name="Comma 4 4 2 2 3" xfId="2576"/>
    <cellStyle name="Normal 3 8 3 2 2 2" xfId="2577"/>
    <cellStyle name="Comma 2 4 2 2 3" xfId="2578"/>
    <cellStyle name="Comma 3 3 2 2 3" xfId="2579"/>
    <cellStyle name="Comma 2 2 3 2 2 3" xfId="2580"/>
    <cellStyle name="Comma 4 3 2 2 3" xfId="2581"/>
    <cellStyle name="Normal 7 2 2 2 2" xfId="2582"/>
    <cellStyle name="Comma 5 2 2 2 3" xfId="2583"/>
    <cellStyle name="20% - Accent1 3 2 2 2 2" xfId="2584"/>
    <cellStyle name="40% - Accent1 3 2 2 2 2" xfId="2585"/>
    <cellStyle name="60% - Accent1 3 2 2 2 2" xfId="2586"/>
    <cellStyle name="20% - Accent2 3 2 2 2 2" xfId="2587"/>
    <cellStyle name="40% - Accent2 3 2 2 2 2" xfId="2588"/>
    <cellStyle name="60% - Accent2 3 2 2 2 2" xfId="2589"/>
    <cellStyle name="20% - Accent3 3 2 2 2 2" xfId="2590"/>
    <cellStyle name="40% - Accent3 3 2 2 2 2" xfId="2591"/>
    <cellStyle name="60% - Accent3 3 2 2 2 2" xfId="2592"/>
    <cellStyle name="20% - Accent4 3 2 2 2 2" xfId="2593"/>
    <cellStyle name="40% - Accent4 3 2 2 2 2" xfId="2594"/>
    <cellStyle name="60% - Accent4 3 2 2 2 2" xfId="2595"/>
    <cellStyle name="20% - Accent5 3 2 2 2 2" xfId="2596"/>
    <cellStyle name="40% - Accent5 3 2 2 2 2" xfId="2597"/>
    <cellStyle name="60% - Accent5 3 2 2 2 2" xfId="2598"/>
    <cellStyle name="20% - Accent6 3 2 2 2 2" xfId="2599"/>
    <cellStyle name="40% - Accent6 3 2 2 2 2" xfId="2600"/>
    <cellStyle name="60% - Accent6 3 2 2 2 2" xfId="2601"/>
    <cellStyle name="Normal 3 2 3 2 2 2 2" xfId="2602"/>
    <cellStyle name="Normal 3 3 3 2 2 2 2" xfId="2603"/>
    <cellStyle name="Normal 3 4 3 2 2 2 2" xfId="2604"/>
    <cellStyle name="Normal 3 5 3 2 2 2 2" xfId="2605"/>
    <cellStyle name="Normal 3 3 2 2 2 2 2 2" xfId="2606"/>
    <cellStyle name="Normal 3 4 2 2 2 2 2 2" xfId="2607"/>
    <cellStyle name="Normal 3 5 2 2 2 2 2 2" xfId="2608"/>
    <cellStyle name="Normal 5 2 2 2 2 2" xfId="2609"/>
    <cellStyle name="Percent 3 2 2 2 2 2" xfId="2610"/>
    <cellStyle name="Note 2 2 2 2 2 2" xfId="2611"/>
    <cellStyle name="Normal 3 6 2 2 2 2 2" xfId="2612"/>
    <cellStyle name="Comma 2 3 2 2 2 3" xfId="2613"/>
    <cellStyle name="Comma 3 2 2 2 2 3" xfId="2614"/>
    <cellStyle name="Percent 4 2 2 2 2 2" xfId="2615"/>
    <cellStyle name="Normal 3 7 2 2 2 2 2" xfId="2616"/>
    <cellStyle name="Note 3 2 2 2 2 2" xfId="2617"/>
    <cellStyle name="20% - Accent1 2 2 2 2 2 2" xfId="2618"/>
    <cellStyle name="40% - Accent1 2 2 2 2 2 2" xfId="2619"/>
    <cellStyle name="60% - Accent1 2 2 2 2 2 2" xfId="2620"/>
    <cellStyle name="20% - Accent2 2 2 2 2 2 2" xfId="2621"/>
    <cellStyle name="40% - Accent2 2 2 2 2 2 2" xfId="2622"/>
    <cellStyle name="60% - Accent2 2 2 2 2 2 2" xfId="2623"/>
    <cellStyle name="20% - Accent3 2 2 2 2 2 2" xfId="2624"/>
    <cellStyle name="40% - Accent3 2 2 2 2 2 2" xfId="2625"/>
    <cellStyle name="60% - Accent3 2 2 2 2 2 2" xfId="2626"/>
    <cellStyle name="20% - Accent4 2 2 2 2 2 2" xfId="2627"/>
    <cellStyle name="40% - Accent4 2 2 2 2 2 2" xfId="2628"/>
    <cellStyle name="60% - Accent4 2 2 2 2 2 2" xfId="2629"/>
    <cellStyle name="20% - Accent5 2 2 2 2 2 2" xfId="2630"/>
    <cellStyle name="40% - Accent5 2 2 2 2 2 2" xfId="2631"/>
    <cellStyle name="60% - Accent5 2 2 2 2 2 2" xfId="2632"/>
    <cellStyle name="20% - Accent6 2 2 2 2 2 2" xfId="2633"/>
    <cellStyle name="40% - Accent6 2 2 2 2 2 2" xfId="2634"/>
    <cellStyle name="60% - Accent6 2 2 2 2 2 2" xfId="2635"/>
    <cellStyle name="Comma 2 2 2 2 2 2 3" xfId="2636"/>
    <cellStyle name="Comma 4 2 2 2 2 3" xfId="2637"/>
    <cellStyle name="Normal 3 8 2 2 2 2 2" xfId="2638"/>
    <cellStyle name="Normal 3 10 2 2 2" xfId="2639"/>
    <cellStyle name="Normal 3 11 2 2 2" xfId="2640"/>
    <cellStyle name="Normal 3 13 2" xfId="2641"/>
    <cellStyle name="Normal 3 2 7 2" xfId="2642"/>
    <cellStyle name="Normal 3 3 7 2" xfId="2643"/>
    <cellStyle name="Normal 3 4 7 2" xfId="2644"/>
    <cellStyle name="Normal 3 5 7 2" xfId="2645"/>
    <cellStyle name="20% - Accent1 7 2" xfId="2646"/>
    <cellStyle name="40% - Accent1 7 2" xfId="2647"/>
    <cellStyle name="60% - Accent1 7 2" xfId="2648"/>
    <cellStyle name="20% - Accent2 7 2" xfId="2649"/>
    <cellStyle name="40% - Accent2 7 2" xfId="2650"/>
    <cellStyle name="60% - Accent2 7 2" xfId="2651"/>
    <cellStyle name="20% - Accent3 7 2" xfId="2652"/>
    <cellStyle name="40% - Accent3 7 2" xfId="2653"/>
    <cellStyle name="60% - Accent3 7 2" xfId="2654"/>
    <cellStyle name="20% - Accent4 7 2" xfId="2655"/>
    <cellStyle name="40% - Accent4 7 2" xfId="2656"/>
    <cellStyle name="60% - Accent4 7 2" xfId="2657"/>
    <cellStyle name="20% - Accent5 7 2" xfId="2658"/>
    <cellStyle name="40% - Accent5 7 2" xfId="2659"/>
    <cellStyle name="60% - Accent5 7 2" xfId="2660"/>
    <cellStyle name="20% - Accent6 7 2" xfId="2661"/>
    <cellStyle name="40% - Accent6 7 2" xfId="2662"/>
    <cellStyle name="60% - Accent6 7 2" xfId="2663"/>
    <cellStyle name="Normal 3 2 2 6 2" xfId="2664"/>
    <cellStyle name="Normal 3 3 2 6 2" xfId="2665"/>
    <cellStyle name="Normal 3 4 2 6 2" xfId="2666"/>
    <cellStyle name="Normal 3 5 2 6 2" xfId="2667"/>
    <cellStyle name="Normal 5 6 2" xfId="2668"/>
    <cellStyle name="Percent 3 6 2" xfId="2669"/>
    <cellStyle name="Note 2 6 2" xfId="2670"/>
    <cellStyle name="Normal 3 6 6 2" xfId="2671"/>
    <cellStyle name="Comma 2 8 3" xfId="2672"/>
    <cellStyle name="Comma 3 8 3" xfId="2673"/>
    <cellStyle name="Percent 4 6 2" xfId="2674"/>
    <cellStyle name="Normal 3 7 6 2" xfId="2675"/>
    <cellStyle name="Note 3 6 2" xfId="2676"/>
    <cellStyle name="20% - Accent1 2 6 2" xfId="2677"/>
    <cellStyle name="40% - Accent1 2 6 2" xfId="2678"/>
    <cellStyle name="60% - Accent1 2 6 2" xfId="2679"/>
    <cellStyle name="20% - Accent2 2 6 2" xfId="2680"/>
    <cellStyle name="40% - Accent2 2 6 2" xfId="2681"/>
    <cellStyle name="60% - Accent2 2 6 2" xfId="2682"/>
    <cellStyle name="20% - Accent3 2 6 2" xfId="2683"/>
    <cellStyle name="40% - Accent3 2 6 2" xfId="2684"/>
    <cellStyle name="60% - Accent3 2 6 2" xfId="2685"/>
    <cellStyle name="20% - Accent4 2 6 2" xfId="2686"/>
    <cellStyle name="40% - Accent4 2 6 2" xfId="2687"/>
    <cellStyle name="60% - Accent4 2 6 2" xfId="2688"/>
    <cellStyle name="20% - Accent5 2 6 2" xfId="2689"/>
    <cellStyle name="40% - Accent5 2 6 2" xfId="2690"/>
    <cellStyle name="60% - Accent5 2 6 2" xfId="2691"/>
    <cellStyle name="20% - Accent6 2 6 2" xfId="2692"/>
    <cellStyle name="40% - Accent6 2 6 2" xfId="2693"/>
    <cellStyle name="60% - Accent6 2 6 2" xfId="2694"/>
    <cellStyle name="Comma 2 2 7 3" xfId="2695"/>
    <cellStyle name="Comma 4 7 3" xfId="2696"/>
    <cellStyle name="Normal 3 8 6 2" xfId="2697"/>
    <cellStyle name="Normal 7 5 2" xfId="2698"/>
    <cellStyle name="Comma 5 5 3" xfId="2699"/>
    <cellStyle name="20% - Accent1 3 5 2" xfId="2700"/>
    <cellStyle name="40% - Accent1 3 5 2" xfId="2701"/>
    <cellStyle name="60% - Accent1 3 5 2" xfId="2702"/>
    <cellStyle name="20% - Accent2 3 5 2" xfId="2703"/>
    <cellStyle name="40% - Accent2 3 5 2" xfId="2704"/>
    <cellStyle name="60% - Accent2 3 5 2" xfId="2705"/>
    <cellStyle name="20% - Accent3 3 5 2" xfId="2706"/>
    <cellStyle name="40% - Accent3 3 5 2" xfId="2707"/>
    <cellStyle name="60% - Accent3 3 5 2" xfId="2708"/>
    <cellStyle name="20% - Accent4 3 5 2" xfId="2709"/>
    <cellStyle name="40% - Accent4 3 5 2" xfId="2710"/>
    <cellStyle name="60% - Accent4 3 5 2" xfId="2711"/>
    <cellStyle name="20% - Accent5 3 5 2" xfId="2712"/>
    <cellStyle name="40% - Accent5 3 5 2" xfId="2713"/>
    <cellStyle name="60% - Accent5 3 5 2" xfId="2714"/>
    <cellStyle name="20% - Accent6 3 5 2" xfId="2715"/>
    <cellStyle name="40% - Accent6 3 5 2" xfId="2716"/>
    <cellStyle name="60% - Accent6 3 5 2" xfId="2717"/>
    <cellStyle name="Normal 3 2 3 5 2" xfId="2718"/>
    <cellStyle name="Normal 3 3 3 5 2" xfId="2719"/>
    <cellStyle name="Normal 3 4 3 5 2" xfId="2720"/>
    <cellStyle name="Normal 3 5 3 5 2" xfId="2721"/>
    <cellStyle name="Normal 3 2 2 2 5 2" xfId="2722"/>
    <cellStyle name="Normal 3 3 2 2 5 2" xfId="2723"/>
    <cellStyle name="Normal 3 4 2 2 5 2" xfId="2724"/>
    <cellStyle name="Normal 3 5 2 2 5 2" xfId="2725"/>
    <cellStyle name="Normal 5 2 5 2" xfId="2726"/>
    <cellStyle name="Percent 3 2 5 2" xfId="2727"/>
    <cellStyle name="Note 2 2 5 2" xfId="2728"/>
    <cellStyle name="Normal 3 6 2 5 2" xfId="2729"/>
    <cellStyle name="Comma 2 3 5 3" xfId="2730"/>
    <cellStyle name="Comma 3 2 5 3" xfId="2731"/>
    <cellStyle name="Percent 4 2 5 2" xfId="2732"/>
    <cellStyle name="Normal 3 7 2 5 2" xfId="2733"/>
    <cellStyle name="Note 3 2 5 2" xfId="2734"/>
    <cellStyle name="20% - Accent1 2 2 5 2" xfId="2735"/>
    <cellStyle name="40% - Accent1 2 2 5 2" xfId="2736"/>
    <cellStyle name="60% - Accent1 2 2 5 2" xfId="2737"/>
    <cellStyle name="20% - Accent2 2 2 5 2" xfId="2738"/>
    <cellStyle name="40% - Accent2 2 2 5 2" xfId="2739"/>
    <cellStyle name="60% - Accent2 2 2 5 2" xfId="2740"/>
    <cellStyle name="20% - Accent3 2 2 5 2" xfId="2741"/>
    <cellStyle name="40% - Accent3 2 2 5 2" xfId="2742"/>
    <cellStyle name="60% - Accent3 2 2 5 2" xfId="2743"/>
    <cellStyle name="20% - Accent4 2 2 5 2" xfId="2744"/>
    <cellStyle name="40% - Accent4 2 2 5 2" xfId="2745"/>
    <cellStyle name="60% - Accent4 2 2 5 2" xfId="2746"/>
    <cellStyle name="20% - Accent5 2 2 5 2" xfId="2747"/>
    <cellStyle name="40% - Accent5 2 2 5 2" xfId="2748"/>
    <cellStyle name="60% - Accent5 2 2 5 2" xfId="2749"/>
    <cellStyle name="20% - Accent6 2 2 5 2" xfId="2750"/>
    <cellStyle name="40% - Accent6 2 2 5 2" xfId="2751"/>
    <cellStyle name="60% - Accent6 2 2 5 2" xfId="2752"/>
    <cellStyle name="Comma 2 2 2 5 3" xfId="2753"/>
    <cellStyle name="Comma 4 2 5 3" xfId="2754"/>
    <cellStyle name="Normal 3 8 2 5 2" xfId="2755"/>
    <cellStyle name="Normal 8 4 2" xfId="2756"/>
    <cellStyle name="Comma 6 4 3" xfId="2757"/>
    <cellStyle name="20% - Accent1 4 4 2" xfId="2758"/>
    <cellStyle name="40% - Accent1 4 4 2" xfId="2759"/>
    <cellStyle name="60% - Accent1 4 4 2" xfId="2760"/>
    <cellStyle name="20% - Accent2 4 4 2" xfId="2761"/>
    <cellStyle name="40% - Accent2 4 4 2" xfId="2762"/>
    <cellStyle name="60% - Accent2 4 4 2" xfId="2763"/>
    <cellStyle name="20% - Accent3 4 4 2" xfId="2764"/>
    <cellStyle name="40% - Accent3 4 4 2" xfId="2765"/>
    <cellStyle name="60% - Accent3 4 4 2" xfId="2766"/>
    <cellStyle name="20% - Accent4 4 4 2" xfId="2767"/>
    <cellStyle name="40% - Accent4 4 4 2" xfId="2768"/>
    <cellStyle name="60% - Accent4 4 4 2" xfId="2769"/>
    <cellStyle name="20% - Accent5 4 4 2" xfId="2770"/>
    <cellStyle name="40% - Accent5 4 4 2" xfId="2771"/>
    <cellStyle name="60% - Accent5 4 4 2" xfId="2772"/>
    <cellStyle name="20% - Accent6 4 4 2" xfId="2773"/>
    <cellStyle name="40% - Accent6 4 4 2" xfId="2774"/>
    <cellStyle name="60% - Accent6 4 4 2" xfId="2775"/>
    <cellStyle name="Normal 3 2 4 4 2" xfId="2776"/>
    <cellStyle name="Normal 3 3 4 4 2" xfId="2777"/>
    <cellStyle name="Normal 3 4 4 4 2" xfId="2778"/>
    <cellStyle name="Normal 3 5 4 4 2" xfId="2779"/>
    <cellStyle name="Normal 3 2 2 3 4 2" xfId="2780"/>
    <cellStyle name="Normal 3 3 2 3 4 2" xfId="2781"/>
    <cellStyle name="Normal 3 4 2 3 4 2" xfId="2782"/>
    <cellStyle name="Normal 3 5 2 3 4 2" xfId="2783"/>
    <cellStyle name="Normal 5 3 4 2" xfId="2784"/>
    <cellStyle name="Percent 3 3 4 2" xfId="2785"/>
    <cellStyle name="Note 2 3 4 2" xfId="2786"/>
    <cellStyle name="Normal 3 6 3 4 2" xfId="2787"/>
    <cellStyle name="Comma 2 5 4 3" xfId="2788"/>
    <cellStyle name="Comma 3 4 4 3" xfId="2789"/>
    <cellStyle name="Percent 4 3 4 2" xfId="2790"/>
    <cellStyle name="Normal 3 7 3 4 2" xfId="2791"/>
    <cellStyle name="Note 3 3 4 2" xfId="2792"/>
    <cellStyle name="20% - Accent1 2 3 4 2" xfId="2793"/>
    <cellStyle name="40% - Accent1 2 3 4 2" xfId="2794"/>
    <cellStyle name="60% - Accent1 2 3 4 2" xfId="2795"/>
    <cellStyle name="20% - Accent2 2 3 4 2" xfId="2796"/>
    <cellStyle name="40% - Accent2 2 3 4 2" xfId="2797"/>
    <cellStyle name="60% - Accent2 2 3 4 2" xfId="2798"/>
    <cellStyle name="20% - Accent3 2 3 4 2" xfId="2799"/>
    <cellStyle name="40% - Accent3 2 3 4 2" xfId="2800"/>
    <cellStyle name="60% - Accent3 2 3 4 2" xfId="2801"/>
    <cellStyle name="20% - Accent4 2 3 4 2" xfId="2802"/>
    <cellStyle name="40% - Accent4 2 3 4 2" xfId="2803"/>
    <cellStyle name="60% - Accent4 2 3 4 2" xfId="2804"/>
    <cellStyle name="20% - Accent5 2 3 4 2" xfId="2805"/>
    <cellStyle name="40% - Accent5 2 3 4 2" xfId="2806"/>
    <cellStyle name="60% - Accent5 2 3 4 2" xfId="2807"/>
    <cellStyle name="20% - Accent6 2 3 4 2" xfId="2808"/>
    <cellStyle name="40% - Accent6 2 3 4 2" xfId="2809"/>
    <cellStyle name="60% - Accent6 2 3 4 2" xfId="2810"/>
    <cellStyle name="Comma 2 2 4 4 3" xfId="2811"/>
    <cellStyle name="Comma 4 4 4 3" xfId="2812"/>
    <cellStyle name="Normal 3 8 3 4 2" xfId="2813"/>
    <cellStyle name="Comma 2 4 4 3" xfId="2814"/>
    <cellStyle name="Comma 3 3 4 3" xfId="2815"/>
    <cellStyle name="Comma 2 2 3 4 3" xfId="2816"/>
    <cellStyle name="Comma 4 3 4 3" xfId="2817"/>
    <cellStyle name="Normal 7 2 4 2" xfId="2818"/>
    <cellStyle name="Comma 5 2 4 3" xfId="2819"/>
    <cellStyle name="20% - Accent1 3 2 4 2" xfId="2820"/>
    <cellStyle name="40% - Accent1 3 2 4 2" xfId="2821"/>
    <cellStyle name="60% - Accent1 3 2 4 2" xfId="2822"/>
    <cellStyle name="20% - Accent2 3 2 4 2" xfId="2823"/>
    <cellStyle name="40% - Accent2 3 2 4 2" xfId="2824"/>
    <cellStyle name="60% - Accent2 3 2 4 2" xfId="2825"/>
    <cellStyle name="20% - Accent3 3 2 4 2" xfId="2826"/>
    <cellStyle name="40% - Accent3 3 2 4 2" xfId="2827"/>
    <cellStyle name="60% - Accent3 3 2 4 2" xfId="2828"/>
    <cellStyle name="20% - Accent4 3 2 4 2" xfId="2829"/>
    <cellStyle name="40% - Accent4 3 2 4 2" xfId="2830"/>
    <cellStyle name="60% - Accent4 3 2 4 2" xfId="2831"/>
    <cellStyle name="20% - Accent5 3 2 4 2" xfId="2832"/>
    <cellStyle name="40% - Accent5 3 2 4 2" xfId="2833"/>
    <cellStyle name="60% - Accent5 3 2 4 2" xfId="2834"/>
    <cellStyle name="20% - Accent6 3 2 4 2" xfId="2835"/>
    <cellStyle name="40% - Accent6 3 2 4 2" xfId="2836"/>
    <cellStyle name="60% - Accent6 3 2 4 2" xfId="2837"/>
    <cellStyle name="Normal 3 2 3 2 4 2" xfId="2838"/>
    <cellStyle name="Normal 3 3 3 2 4 2" xfId="2839"/>
    <cellStyle name="Normal 3 4 3 2 4 2" xfId="2840"/>
    <cellStyle name="Normal 3 5 3 2 4 2" xfId="2841"/>
    <cellStyle name="Normal 3 2 2 2 2 4 2" xfId="2842"/>
    <cellStyle name="Normal 3 3 2 2 2 4 2" xfId="2843"/>
    <cellStyle name="Normal 3 4 2 2 2 4 2" xfId="2844"/>
    <cellStyle name="Normal 3 5 2 2 2 4 2" xfId="2845"/>
    <cellStyle name="Normal 5 2 2 4 2" xfId="2846"/>
    <cellStyle name="Percent 3 2 2 4 2" xfId="2847"/>
    <cellStyle name="Note 2 2 2 4 2" xfId="2848"/>
    <cellStyle name="Normal 3 6 2 2 4 2" xfId="2849"/>
    <cellStyle name="Comma 2 3 2 4 3" xfId="2850"/>
    <cellStyle name="Comma 3 2 2 4 3" xfId="2851"/>
    <cellStyle name="Percent 4 2 2 4 2" xfId="2852"/>
    <cellStyle name="Normal 3 7 2 2 4 2" xfId="2853"/>
    <cellStyle name="Note 3 2 2 4 2" xfId="2854"/>
    <cellStyle name="20% - Accent1 2 2 2 4 2" xfId="2855"/>
    <cellStyle name="40% - Accent1 2 2 2 4 2" xfId="2856"/>
    <cellStyle name="60% - Accent1 2 2 2 4 2" xfId="2857"/>
    <cellStyle name="20% - Accent2 2 2 2 4 2" xfId="2858"/>
    <cellStyle name="40% - Accent2 2 2 2 4 2" xfId="2859"/>
    <cellStyle name="60% - Accent2 2 2 2 4 2" xfId="2860"/>
    <cellStyle name="20% - Accent3 2 2 2 4 2" xfId="2861"/>
    <cellStyle name="40% - Accent3 2 2 2 4 2" xfId="2862"/>
    <cellStyle name="60% - Accent3 2 2 2 4 2" xfId="2863"/>
    <cellStyle name="20% - Accent4 2 2 2 4 2" xfId="2864"/>
    <cellStyle name="40% - Accent4 2 2 2 4 2" xfId="2865"/>
    <cellStyle name="60% - Accent4 2 2 2 4 2" xfId="2866"/>
    <cellStyle name="20% - Accent5 2 2 2 4 2" xfId="2867"/>
    <cellStyle name="40% - Accent5 2 2 2 4 2" xfId="2868"/>
    <cellStyle name="60% - Accent5 2 2 2 4 2" xfId="2869"/>
    <cellStyle name="20% - Accent6 2 2 2 4 2" xfId="2870"/>
    <cellStyle name="40% - Accent6 2 2 2 4 2" xfId="2871"/>
    <cellStyle name="60% - Accent6 2 2 2 4 2" xfId="2872"/>
    <cellStyle name="Comma 2 2 2 2 4 3" xfId="2873"/>
    <cellStyle name="Comma 4 2 2 4 3" xfId="2874"/>
    <cellStyle name="Normal 3 8 2 2 4 2" xfId="2875"/>
    <cellStyle name="Normal 3 10 4 2" xfId="2876"/>
    <cellStyle name="Normal 3 11 4 2" xfId="2877"/>
    <cellStyle name="Normal 12 2 6" xfId="2878"/>
    <cellStyle name="Percent 8 2" xfId="2879"/>
    <cellStyle name="Note 4 2" xfId="2880"/>
    <cellStyle name="20% - Accent1 8 2" xfId="2881"/>
    <cellStyle name="40% - Accent1 8 2" xfId="2882"/>
    <cellStyle name="60% - Accent1 8 2" xfId="2883"/>
    <cellStyle name="20% - Accent2 8 2" xfId="2884"/>
    <cellStyle name="40% - Accent2 8 2" xfId="2885"/>
    <cellStyle name="60% - Accent2 8 2" xfId="2886"/>
    <cellStyle name="20% - Accent3 8 2" xfId="2887"/>
    <cellStyle name="40% - Accent3 8 2" xfId="2888"/>
    <cellStyle name="60% - Accent3 8 2" xfId="2889"/>
    <cellStyle name="20% - Accent4 8 2" xfId="2890"/>
    <cellStyle name="40% - Accent4 8 2" xfId="2891"/>
    <cellStyle name="60% - Accent4 8 2" xfId="2892"/>
    <cellStyle name="20% - Accent5 8 2" xfId="2893"/>
    <cellStyle name="40% - Accent5 8 2" xfId="2894"/>
    <cellStyle name="60% - Accent5 8 2" xfId="2895"/>
    <cellStyle name="20% - Accent6 8 2" xfId="2896"/>
    <cellStyle name="40% - Accent6 8 2" xfId="2897"/>
    <cellStyle name="60% - Accent6 8 2" xfId="2898"/>
    <cellStyle name="Comma 2 9 3" xfId="2899"/>
    <cellStyle name="Comma 7 3" xfId="2900"/>
    <cellStyle name="Normal 13 4" xfId="2901"/>
    <cellStyle name="Comma 8 2" xfId="2902"/>
    <cellStyle name="20% - Accent1 9 2" xfId="2903"/>
    <cellStyle name="40% - Accent1 9 2" xfId="2904"/>
    <cellStyle name="60% - Accent1 9 2" xfId="2905"/>
    <cellStyle name="20% - Accent2 9 2" xfId="2906"/>
    <cellStyle name="40% - Accent2 9 2" xfId="2907"/>
    <cellStyle name="60% - Accent2 9 2" xfId="2908"/>
    <cellStyle name="20% - Accent3 9 2" xfId="2909"/>
    <cellStyle name="40% - Accent3 9 2" xfId="2910"/>
    <cellStyle name="60% - Accent3 9 2" xfId="2911"/>
    <cellStyle name="20% - Accent4 9 2" xfId="2912"/>
    <cellStyle name="40% - Accent4 9 2" xfId="2913"/>
    <cellStyle name="60% - Accent4 9 2" xfId="2914"/>
    <cellStyle name="20% - Accent5 9 2" xfId="2915"/>
    <cellStyle name="40% - Accent5 9 2" xfId="2916"/>
    <cellStyle name="60% - Accent5 9 2" xfId="2917"/>
    <cellStyle name="20% - Accent6 9 2" xfId="2918"/>
    <cellStyle name="40% - Accent6 9 2" xfId="2919"/>
    <cellStyle name="60% - Accent6 9 2" xfId="2920"/>
    <cellStyle name="Normal 3 2 8 2" xfId="2921"/>
    <cellStyle name="Normal 3 3 8 2" xfId="2922"/>
    <cellStyle name="Normal 3 4 8 2" xfId="2923"/>
    <cellStyle name="Normal 3 5 8 2" xfId="2924"/>
    <cellStyle name="Normal 3 2 2 7 2" xfId="2925"/>
    <cellStyle name="Normal 3 3 2 7 2" xfId="2926"/>
    <cellStyle name="Normal 3 4 2 7 2" xfId="2927"/>
    <cellStyle name="Normal 3 5 2 7 2" xfId="2928"/>
    <cellStyle name="Normal 5 7 2" xfId="2929"/>
    <cellStyle name="Percent 3 7 2" xfId="2930"/>
    <cellStyle name="Note 2 7 2" xfId="2931"/>
    <cellStyle name="Normal 3 6 7 2" xfId="2932"/>
    <cellStyle name="Comma 2 10 2" xfId="2933"/>
    <cellStyle name="Comma 3 9 2" xfId="2934"/>
    <cellStyle name="Percent 4 7 2" xfId="2935"/>
    <cellStyle name="Normal 3 7 7 2" xfId="2936"/>
    <cellStyle name="Note 3 7 2" xfId="2937"/>
    <cellStyle name="20% - Accent1 2 7 2" xfId="2938"/>
    <cellStyle name="40% - Accent1 2 7 2" xfId="2939"/>
    <cellStyle name="60% - Accent1 2 7 2" xfId="2940"/>
    <cellStyle name="20% - Accent2 2 7 2" xfId="2941"/>
    <cellStyle name="40% - Accent2 2 7 2" xfId="2942"/>
    <cellStyle name="60% - Accent2 2 7 2" xfId="2943"/>
    <cellStyle name="20% - Accent3 2 7 2" xfId="2944"/>
    <cellStyle name="40% - Accent3 2 7 2" xfId="2945"/>
    <cellStyle name="60% - Accent3 2 7 2" xfId="2946"/>
    <cellStyle name="20% - Accent4 2 7 2" xfId="2947"/>
    <cellStyle name="40% - Accent4 2 7 2" xfId="2948"/>
    <cellStyle name="60% - Accent4 2 7 2" xfId="2949"/>
    <cellStyle name="20% - Accent5 2 7 2" xfId="2950"/>
    <cellStyle name="40% - Accent5 2 7 2" xfId="2951"/>
    <cellStyle name="60% - Accent5 2 7 2" xfId="2952"/>
    <cellStyle name="20% - Accent6 2 7 2" xfId="2953"/>
    <cellStyle name="40% - Accent6 2 7 2" xfId="2954"/>
    <cellStyle name="60% - Accent6 2 7 2" xfId="2955"/>
    <cellStyle name="Comma 2 2 8 2" xfId="2956"/>
    <cellStyle name="Comma 4 8 2" xfId="2957"/>
    <cellStyle name="Normal 3 8 7 2" xfId="2958"/>
    <cellStyle name="Comma 2 4 5 2" xfId="2959"/>
    <cellStyle name="Comma 3 3 5 2" xfId="2960"/>
    <cellStyle name="Comma 2 2 3 5 2" xfId="2961"/>
    <cellStyle name="Comma 4 3 5 2" xfId="2962"/>
    <cellStyle name="Normal 7 6 2" xfId="2963"/>
    <cellStyle name="Comma 5 6 2" xfId="2964"/>
    <cellStyle name="20% - Accent1 3 6 2" xfId="2965"/>
    <cellStyle name="40% - Accent1 3 6 2" xfId="2966"/>
    <cellStyle name="60% - Accent1 3 6 2" xfId="2967"/>
    <cellStyle name="20% - Accent2 3 6 2" xfId="2968"/>
    <cellStyle name="40% - Accent2 3 6 2" xfId="2969"/>
    <cellStyle name="60% - Accent2 3 6 2" xfId="2970"/>
    <cellStyle name="20% - Accent3 3 6 2" xfId="2971"/>
    <cellStyle name="40% - Accent3 3 6 2" xfId="2972"/>
    <cellStyle name="60% - Accent3 3 6 2" xfId="2973"/>
    <cellStyle name="20% - Accent4 3 6 2" xfId="2974"/>
    <cellStyle name="40% - Accent4 3 6 2" xfId="2975"/>
    <cellStyle name="60% - Accent4 3 6 2" xfId="2976"/>
    <cellStyle name="20% - Accent5 3 6 2" xfId="2977"/>
    <cellStyle name="40% - Accent5 3 6 2" xfId="2978"/>
    <cellStyle name="60% - Accent5 3 6 2" xfId="2979"/>
    <cellStyle name="20% - Accent6 3 6 2" xfId="2980"/>
    <cellStyle name="40% - Accent6 3 6 2" xfId="2981"/>
    <cellStyle name="60% - Accent6 3 6 2" xfId="2982"/>
    <cellStyle name="Normal 3 2 3 6 2" xfId="2983"/>
    <cellStyle name="Normal 3 3 3 6 2" xfId="2984"/>
    <cellStyle name="Normal 3 4 3 6 2" xfId="2985"/>
    <cellStyle name="Normal 3 5 3 6 2" xfId="2986"/>
    <cellStyle name="Normal 3 2 2 2 6 2" xfId="2987"/>
    <cellStyle name="Normal 3 3 2 2 6 2" xfId="2988"/>
    <cellStyle name="Normal 3 4 2 2 6 2" xfId="2989"/>
    <cellStyle name="Normal 3 5 2 2 6 2" xfId="2990"/>
    <cellStyle name="Normal 5 2 6 2" xfId="2991"/>
    <cellStyle name="Percent 3 2 6 2" xfId="2992"/>
    <cellStyle name="Note 2 2 6 2" xfId="2993"/>
    <cellStyle name="Normal 3 6 2 6 2" xfId="2994"/>
    <cellStyle name="Comma 2 3 6 2" xfId="2995"/>
    <cellStyle name="Comma 3 2 6 2" xfId="2996"/>
    <cellStyle name="Percent 4 2 6 2" xfId="2997"/>
    <cellStyle name="Normal 3 7 2 6 2" xfId="2998"/>
    <cellStyle name="Note 3 2 6 2" xfId="2999"/>
    <cellStyle name="20% - Accent1 2 2 6 2" xfId="3000"/>
    <cellStyle name="40% - Accent1 2 2 6 2" xfId="3001"/>
    <cellStyle name="60% - Accent1 2 2 6 2" xfId="3002"/>
    <cellStyle name="20% - Accent2 2 2 6 2" xfId="3003"/>
    <cellStyle name="40% - Accent2 2 2 6 2" xfId="3004"/>
    <cellStyle name="60% - Accent2 2 2 6 2" xfId="3005"/>
    <cellStyle name="20% - Accent3 2 2 6 2" xfId="3006"/>
    <cellStyle name="40% - Accent3 2 2 6 2" xfId="3007"/>
    <cellStyle name="60% - Accent3 2 2 6 2" xfId="3008"/>
    <cellStyle name="20% - Accent4 2 2 6 2" xfId="3009"/>
    <cellStyle name="40% - Accent4 2 2 6 2" xfId="3010"/>
    <cellStyle name="60% - Accent4 2 2 6 2" xfId="3011"/>
    <cellStyle name="20% - Accent5 2 2 6 2" xfId="3012"/>
    <cellStyle name="40% - Accent5 2 2 6 2" xfId="3013"/>
    <cellStyle name="60% - Accent5 2 2 6 2" xfId="3014"/>
    <cellStyle name="20% - Accent6 2 2 6 2" xfId="3015"/>
    <cellStyle name="40% - Accent6 2 2 6 2" xfId="3016"/>
    <cellStyle name="60% - Accent6 2 2 6 2" xfId="3017"/>
    <cellStyle name="Comma 2 2 2 6 2" xfId="3018"/>
    <cellStyle name="Comma 4 2 6 2" xfId="3019"/>
    <cellStyle name="Normal 3 8 2 6 2" xfId="3020"/>
    <cellStyle name="Normal 3 14" xfId="3021"/>
    <cellStyle name="Percent 2 2" xfId="3022"/>
    <cellStyle name="Comma 2 11" xfId="3023"/>
    <cellStyle name="Comma 3 10" xfId="3024"/>
    <cellStyle name="Comma 2 2 9" xfId="3025"/>
    <cellStyle name="Comma 4 9" xfId="3026"/>
    <cellStyle name="Comma 5 7" xfId="3027"/>
    <cellStyle name="Normal 2 2 2 2" xfId="3028"/>
    <cellStyle name="Comma 2 3 7" xfId="3029"/>
    <cellStyle name="Comma 3 2 7" xfId="3030"/>
    <cellStyle name="Comma 2 2 2 7" xfId="3031"/>
    <cellStyle name="Comma 4 2 7" xfId="3032"/>
    <cellStyle name="Percent 5 2" xfId="3033"/>
    <cellStyle name="Comma 6 5" xfId="3034"/>
    <cellStyle name="Comma 2 5 5" xfId="3035"/>
    <cellStyle name="Comma 3 4 5" xfId="3036"/>
    <cellStyle name="Comma 2 2 4 5" xfId="3037"/>
    <cellStyle name="Comma 4 4 5" xfId="3038"/>
    <cellStyle name="Comma 2 4 6" xfId="3039"/>
    <cellStyle name="Comma 3 3 6" xfId="3040"/>
    <cellStyle name="Comma 2 2 3 6" xfId="3041"/>
    <cellStyle name="Comma 4 3 6" xfId="3042"/>
    <cellStyle name="Comma 5 2 5" xfId="3043"/>
    <cellStyle name="Comma 2 3 2 5" xfId="3044"/>
    <cellStyle name="Comma 3 2 2 5" xfId="3045"/>
    <cellStyle name="Comma 2 2 2 2 5" xfId="3046"/>
    <cellStyle name="Comma 4 2 2 5" xfId="3047"/>
    <cellStyle name="Comma 2 6 3" xfId="3048"/>
    <cellStyle name="Comma 3 5 3" xfId="3049"/>
    <cellStyle name="Comma 2 2 5 3" xfId="3050"/>
    <cellStyle name="Comma 4 5 3" xfId="3051"/>
    <cellStyle name="Comma 5 3 3" xfId="3052"/>
    <cellStyle name="Comma 2 3 3 3" xfId="3053"/>
    <cellStyle name="Comma 3 2 3 3" xfId="3054"/>
    <cellStyle name="Comma 2 2 2 3 3" xfId="3055"/>
    <cellStyle name="Comma 4 2 3 3" xfId="3056"/>
    <cellStyle name="Comma 6 2 3" xfId="3057"/>
    <cellStyle name="Comma 2 5 2 3" xfId="3058"/>
    <cellStyle name="Comma 3 4 2 3" xfId="3059"/>
    <cellStyle name="Comma 2 2 4 2 3" xfId="3060"/>
    <cellStyle name="Comma 4 4 2 3" xfId="3061"/>
    <cellStyle name="Comma 2 4 2 3" xfId="3062"/>
    <cellStyle name="Comma 3 3 2 3" xfId="3063"/>
    <cellStyle name="Comma 2 2 3 2 3" xfId="3064"/>
    <cellStyle name="Comma 4 3 2 3" xfId="3065"/>
    <cellStyle name="Comma 5 2 2 3" xfId="3066"/>
    <cellStyle name="Comma 2 3 2 2 3" xfId="3067"/>
    <cellStyle name="Comma 3 2 2 2 3" xfId="3068"/>
    <cellStyle name="Comma 2 2 2 2 2 3" xfId="3069"/>
    <cellStyle name="Comma 4 2 2 2 3" xfId="3070"/>
    <cellStyle name="Comma 2 7 2" xfId="3071"/>
    <cellStyle name="Comma 3 7 2" xfId="3072"/>
    <cellStyle name="Comma 2 2 6 2" xfId="3073"/>
    <cellStyle name="Comma 4 6 2" xfId="3074"/>
    <cellStyle name="Comma 5 4 2" xfId="3075"/>
    <cellStyle name="Comma 2 3 4 2" xfId="3076"/>
    <cellStyle name="Comma 3 2 4 2" xfId="3077"/>
    <cellStyle name="Comma 2 2 2 4 2" xfId="3078"/>
    <cellStyle name="Comma 4 2 4 2" xfId="3079"/>
    <cellStyle name="Comma 6 3 2" xfId="3080"/>
    <cellStyle name="Comma 2 5 3 2" xfId="3081"/>
    <cellStyle name="Comma 3 4 3 2" xfId="3082"/>
    <cellStyle name="Comma 2 2 4 3 2" xfId="3083"/>
    <cellStyle name="Comma 4 4 3 2" xfId="3084"/>
    <cellStyle name="Comma 2 4 3 2" xfId="3085"/>
    <cellStyle name="Comma 3 3 3 2" xfId="3086"/>
    <cellStyle name="Comma 2 2 3 3 2" xfId="3087"/>
    <cellStyle name="Comma 4 3 3 2" xfId="3088"/>
    <cellStyle name="Comma 5 2 3 2" xfId="3089"/>
    <cellStyle name="Comma 2 3 2 3 2" xfId="3090"/>
    <cellStyle name="Comma 3 2 2 3 2" xfId="3091"/>
    <cellStyle name="Comma 2 2 2 2 3 2" xfId="3092"/>
    <cellStyle name="Comma 4 2 2 3 2" xfId="3093"/>
    <cellStyle name="Comma 3 6 2" xfId="3094"/>
    <cellStyle name="Percent 7 2" xfId="3095"/>
    <cellStyle name="Comma 2 6 2 2" xfId="3096"/>
    <cellStyle name="Comma 3 5 2 2" xfId="3097"/>
    <cellStyle name="Comma 2 2 5 2 2" xfId="3098"/>
    <cellStyle name="Comma 4 5 2 2" xfId="3099"/>
    <cellStyle name="Comma 5 3 2 2" xfId="3100"/>
    <cellStyle name="Comma 2 3 3 2 2" xfId="3101"/>
    <cellStyle name="Comma 3 2 3 2 2" xfId="3102"/>
    <cellStyle name="Comma 2 2 2 3 2 2" xfId="3103"/>
    <cellStyle name="Comma 4 2 3 2 2" xfId="3104"/>
    <cellStyle name="Comma 6 2 2 2" xfId="3105"/>
    <cellStyle name="Comma 2 5 2 2 2" xfId="3106"/>
    <cellStyle name="Comma 3 4 2 2 2" xfId="3107"/>
    <cellStyle name="Comma 2 2 4 2 2 2" xfId="3108"/>
    <cellStyle name="Comma 4 4 2 2 2" xfId="3109"/>
    <cellStyle name="Comma 2 4 2 2 2" xfId="3110"/>
    <cellStyle name="Comma 3 3 2 2 2" xfId="3111"/>
    <cellStyle name="Comma 2 2 3 2 2 2" xfId="3112"/>
    <cellStyle name="Comma 4 3 2 2 2" xfId="3113"/>
    <cellStyle name="Comma 5 2 2 2 2" xfId="3114"/>
    <cellStyle name="Comma 2 3 2 2 2 2" xfId="3115"/>
    <cellStyle name="Comma 3 2 2 2 2 2" xfId="3116"/>
    <cellStyle name="Comma 2 2 2 2 2 2 2" xfId="3117"/>
    <cellStyle name="Comma 4 2 2 2 2 2" xfId="3118"/>
    <cellStyle name="Comma 2 8 2" xfId="3119"/>
    <cellStyle name="Comma 3 8 2" xfId="3120"/>
    <cellStyle name="Comma 2 2 7 2" xfId="3121"/>
    <cellStyle name="Comma 4 7 2" xfId="3122"/>
    <cellStyle name="Comma 5 5 2" xfId="3123"/>
    <cellStyle name="Comma 2 3 5 2" xfId="3124"/>
    <cellStyle name="Comma 3 2 5 2" xfId="3125"/>
    <cellStyle name="Comma 2 2 2 5 2" xfId="3126"/>
    <cellStyle name="Comma 4 2 5 2" xfId="3127"/>
    <cellStyle name="Comma 6 4 2" xfId="3128"/>
    <cellStyle name="Comma 2 5 4 2" xfId="3129"/>
    <cellStyle name="Comma 3 4 4 2" xfId="3130"/>
    <cellStyle name="Comma 2 2 4 4 2" xfId="3131"/>
    <cellStyle name="Comma 4 4 4 2" xfId="3132"/>
    <cellStyle name="Comma 2 4 4 2" xfId="3133"/>
    <cellStyle name="Comma 3 3 4 2" xfId="3134"/>
    <cellStyle name="Comma 2 2 3 4 2" xfId="3135"/>
    <cellStyle name="Comma 4 3 4 2" xfId="3136"/>
    <cellStyle name="Comma 5 2 4 2" xfId="3137"/>
    <cellStyle name="Comma 2 3 2 4 2" xfId="3138"/>
    <cellStyle name="Comma 3 2 2 4 2" xfId="3139"/>
    <cellStyle name="Comma 2 2 2 2 4 2" xfId="3140"/>
    <cellStyle name="Comma 4 2 2 4 2" xfId="3141"/>
    <cellStyle name="Comma 2 9 2" xfId="3142"/>
    <cellStyle name="Comma 7 2" xfId="3143"/>
    <cellStyle name="Normal 13 2 6" xfId="3144"/>
    <cellStyle name="Normal 2 4" xfId="3145"/>
    <cellStyle name="Normal 2 3 2" xfId="3146"/>
    <cellStyle name="Normal 6 3" xfId="3147"/>
    <cellStyle name="Percent 5 3" xfId="3148"/>
    <cellStyle name="Normal 15 4" xfId="3149"/>
    <cellStyle name="20% - Accent1 11" xfId="3150"/>
    <cellStyle name="40% - Accent1 11" xfId="3151"/>
    <cellStyle name="60% - Accent1 11" xfId="3152"/>
    <cellStyle name="20% - Accent2 11" xfId="3153"/>
    <cellStyle name="40% - Accent2 11" xfId="3154"/>
    <cellStyle name="60% - Accent2 11" xfId="3155"/>
    <cellStyle name="20% - Accent3 11" xfId="3156"/>
    <cellStyle name="40% - Accent3 11" xfId="3157"/>
    <cellStyle name="60% - Accent3 11" xfId="3158"/>
    <cellStyle name="20% - Accent4 11" xfId="3159"/>
    <cellStyle name="40% - Accent4 11" xfId="3160"/>
    <cellStyle name="60% - Accent4 11" xfId="3161"/>
    <cellStyle name="20% - Accent5 11" xfId="3162"/>
    <cellStyle name="40% - Accent5 11" xfId="3163"/>
    <cellStyle name="60% - Accent5 11" xfId="3164"/>
    <cellStyle name="20% - Accent6 11" xfId="3165"/>
    <cellStyle name="40% - Accent6 11" xfId="3166"/>
    <cellStyle name="60% - Accent6 11" xfId="3167"/>
    <cellStyle name="Normal 3 2 10" xfId="3168"/>
    <cellStyle name="Normal 3 3 10" xfId="3169"/>
    <cellStyle name="Normal 3 4 10" xfId="3170"/>
    <cellStyle name="Normal 3 5 10" xfId="3171"/>
    <cellStyle name="Normal 3 2 2 9" xfId="3172"/>
    <cellStyle name="Normal 3 3 2 9" xfId="3173"/>
    <cellStyle name="Normal 3 4 2 9" xfId="3174"/>
    <cellStyle name="Normal 3 5 2 9" xfId="3175"/>
    <cellStyle name="Normal 5 9" xfId="3176"/>
    <cellStyle name="Percent 3 9" xfId="3177"/>
    <cellStyle name="Note 2 9" xfId="3178"/>
    <cellStyle name="Normal 3 6 9" xfId="3179"/>
    <cellStyle name="Comma 2 13" xfId="3180"/>
    <cellStyle name="Comma 3 12" xfId="3181"/>
    <cellStyle name="Percent 4 9" xfId="3182"/>
    <cellStyle name="Normal 3 7 9" xfId="3183"/>
    <cellStyle name="Note 3 9" xfId="3184"/>
    <cellStyle name="20% - Accent1 2 9" xfId="3185"/>
    <cellStyle name="40% - Accent1 2 9" xfId="3186"/>
    <cellStyle name="60% - Accent1 2 9" xfId="3187"/>
    <cellStyle name="20% - Accent2 2 9" xfId="3188"/>
    <cellStyle name="40% - Accent2 2 9" xfId="3189"/>
    <cellStyle name="60% - Accent2 2 9" xfId="3190"/>
    <cellStyle name="20% - Accent3 2 9" xfId="3191"/>
    <cellStyle name="40% - Accent3 2 9" xfId="3192"/>
    <cellStyle name="60% - Accent3 2 9" xfId="3193"/>
    <cellStyle name="20% - Accent4 2 9" xfId="3194"/>
    <cellStyle name="40% - Accent4 2 9" xfId="3195"/>
    <cellStyle name="60% - Accent4 2 9" xfId="3196"/>
    <cellStyle name="20% - Accent5 2 9" xfId="3197"/>
    <cellStyle name="40% - Accent5 2 9" xfId="3198"/>
    <cellStyle name="60% - Accent5 2 9" xfId="3199"/>
    <cellStyle name="20% - Accent6 2 9" xfId="3200"/>
    <cellStyle name="40% - Accent6 2 9" xfId="3201"/>
    <cellStyle name="60% - Accent6 2 9" xfId="3202"/>
    <cellStyle name="Comma 2 2 11" xfId="3203"/>
    <cellStyle name="Comma 4 11" xfId="3204"/>
    <cellStyle name="Percent 10" xfId="3205"/>
    <cellStyle name="Normal 3 8 9" xfId="3206"/>
    <cellStyle name="Normal 7 8" xfId="3207"/>
    <cellStyle name="Comma 5 9" xfId="3208"/>
    <cellStyle name="20% - Accent1 3 8" xfId="3209"/>
    <cellStyle name="40% - Accent1 3 8" xfId="3210"/>
    <cellStyle name="60% - Accent1 3 8" xfId="3211"/>
    <cellStyle name="20% - Accent2 3 8" xfId="3212"/>
    <cellStyle name="40% - Accent2 3 8" xfId="3213"/>
    <cellStyle name="60% - Accent2 3 8" xfId="3214"/>
    <cellStyle name="20% - Accent3 3 8" xfId="3215"/>
    <cellStyle name="40% - Accent3 3 8" xfId="3216"/>
    <cellStyle name="60% - Accent3 3 8" xfId="3217"/>
    <cellStyle name="20% - Accent4 3 8" xfId="3218"/>
    <cellStyle name="40% - Accent4 3 8" xfId="3219"/>
    <cellStyle name="60% - Accent4 3 8" xfId="3220"/>
    <cellStyle name="20% - Accent5 3 8" xfId="3221"/>
    <cellStyle name="40% - Accent5 3 8" xfId="3222"/>
    <cellStyle name="60% - Accent5 3 8" xfId="3223"/>
    <cellStyle name="20% - Accent6 3 8" xfId="3224"/>
    <cellStyle name="40% - Accent6 3 8" xfId="3225"/>
    <cellStyle name="60% - Accent6 3 8" xfId="3226"/>
    <cellStyle name="Normal 3 2 3 8" xfId="3227"/>
    <cellStyle name="Normal 3 3 3 8" xfId="3228"/>
    <cellStyle name="Normal 3 4 3 8" xfId="3229"/>
    <cellStyle name="Normal 3 5 3 8" xfId="3230"/>
    <cellStyle name="Normal 3 2 2 2 8" xfId="3231"/>
    <cellStyle name="Normal 3 3 2 2 8" xfId="3232"/>
    <cellStyle name="Normal 3 4 2 2 8" xfId="3233"/>
    <cellStyle name="Normal 3 5 2 2 8" xfId="3234"/>
    <cellStyle name="Normal 5 2 8" xfId="3235"/>
    <cellStyle name="Percent 3 2 8" xfId="3236"/>
    <cellStyle name="Note 2 2 8" xfId="3237"/>
    <cellStyle name="Normal 3 6 2 8" xfId="3238"/>
    <cellStyle name="Comma 2 3 9" xfId="3239"/>
    <cellStyle name="Comma 3 2 9" xfId="3240"/>
    <cellStyle name="Percent 4 2 8" xfId="3241"/>
    <cellStyle name="Normal 3 7 2 8" xfId="3242"/>
    <cellStyle name="Note 3 2 8" xfId="3243"/>
    <cellStyle name="20% - Accent1 2 2 8" xfId="3244"/>
    <cellStyle name="40% - Accent1 2 2 8" xfId="3245"/>
    <cellStyle name="60% - Accent1 2 2 8" xfId="3246"/>
    <cellStyle name="20% - Accent2 2 2 8" xfId="3247"/>
    <cellStyle name="40% - Accent2 2 2 8" xfId="3248"/>
    <cellStyle name="60% - Accent2 2 2 8" xfId="3249"/>
    <cellStyle name="20% - Accent3 2 2 8" xfId="3250"/>
    <cellStyle name="40% - Accent3 2 2 8" xfId="3251"/>
    <cellStyle name="60% - Accent3 2 2 8" xfId="3252"/>
    <cellStyle name="20% - Accent4 2 2 8" xfId="3253"/>
    <cellStyle name="40% - Accent4 2 2 8" xfId="3254"/>
    <cellStyle name="60% - Accent4 2 2 8" xfId="3255"/>
    <cellStyle name="20% - Accent5 2 2 8" xfId="3256"/>
    <cellStyle name="40% - Accent5 2 2 8" xfId="3257"/>
    <cellStyle name="60% - Accent5 2 2 8" xfId="3258"/>
    <cellStyle name="20% - Accent6 2 2 8" xfId="3259"/>
    <cellStyle name="40% - Accent6 2 2 8" xfId="3260"/>
    <cellStyle name="60% - Accent6 2 2 8" xfId="3261"/>
    <cellStyle name="Comma 2 2 2 9" xfId="3262"/>
    <cellStyle name="Comma 4 2 9" xfId="3263"/>
    <cellStyle name="Normal 3 8 2 8" xfId="3264"/>
    <cellStyle name="Normal 8 6" xfId="3265"/>
    <cellStyle name="Comma 6 7" xfId="3266"/>
    <cellStyle name="20% - Accent1 4 6" xfId="3267"/>
    <cellStyle name="40% - Accent1 4 6" xfId="3268"/>
    <cellStyle name="60% - Accent1 4 6" xfId="3269"/>
    <cellStyle name="20% - Accent2 4 6" xfId="3270"/>
    <cellStyle name="40% - Accent2 4 6" xfId="3271"/>
    <cellStyle name="60% - Accent2 4 6" xfId="3272"/>
    <cellStyle name="20% - Accent3 4 6" xfId="3273"/>
    <cellStyle name="40% - Accent3 4 6" xfId="3274"/>
    <cellStyle name="60% - Accent3 4 6" xfId="3275"/>
    <cellStyle name="20% - Accent4 4 6" xfId="3276"/>
    <cellStyle name="40% - Accent4 4 6" xfId="3277"/>
    <cellStyle name="60% - Accent4 4 6" xfId="3278"/>
    <cellStyle name="20% - Accent5 4 6" xfId="3279"/>
    <cellStyle name="40% - Accent5 4 6" xfId="3280"/>
    <cellStyle name="60% - Accent5 4 6" xfId="3281"/>
    <cellStyle name="20% - Accent6 4 6" xfId="3282"/>
    <cellStyle name="40% - Accent6 4 6" xfId="3283"/>
    <cellStyle name="60% - Accent6 4 6" xfId="3284"/>
    <cellStyle name="Normal 3 2 4 6" xfId="3285"/>
    <cellStyle name="Normal 3 3 4 6" xfId="3286"/>
    <cellStyle name="Normal 3 4 4 6" xfId="3287"/>
    <cellStyle name="Normal 3 5 4 6" xfId="3288"/>
    <cellStyle name="Normal 3 2 2 3 6" xfId="3289"/>
    <cellStyle name="Normal 3 3 2 3 6" xfId="3290"/>
    <cellStyle name="Normal 3 4 2 3 6" xfId="3291"/>
    <cellStyle name="Normal 3 5 2 3 6" xfId="3292"/>
    <cellStyle name="Normal 5 3 6" xfId="3293"/>
    <cellStyle name="Percent 3 3 6" xfId="3294"/>
    <cellStyle name="Note 2 3 6" xfId="3295"/>
    <cellStyle name="Normal 3 6 3 6" xfId="3296"/>
    <cellStyle name="Comma 2 5 7" xfId="3297"/>
    <cellStyle name="Comma 3 4 7" xfId="3298"/>
    <cellStyle name="Percent 4 3 6" xfId="3299"/>
    <cellStyle name="Normal 3 7 3 6" xfId="3300"/>
    <cellStyle name="Note 3 3 6" xfId="3301"/>
    <cellStyle name="20% - Accent1 2 3 6" xfId="3302"/>
    <cellStyle name="40% - Accent1 2 3 6" xfId="3303"/>
    <cellStyle name="60% - Accent1 2 3 6" xfId="3304"/>
    <cellStyle name="20% - Accent2 2 3 6" xfId="3305"/>
    <cellStyle name="40% - Accent2 2 3 6" xfId="3306"/>
    <cellStyle name="60% - Accent2 2 3 6" xfId="3307"/>
    <cellStyle name="20% - Accent3 2 3 6" xfId="3308"/>
    <cellStyle name="40% - Accent3 2 3 6" xfId="3309"/>
    <cellStyle name="60% - Accent3 2 3 6" xfId="3310"/>
    <cellStyle name="20% - Accent4 2 3 6" xfId="3311"/>
    <cellStyle name="40% - Accent4 2 3 6" xfId="3312"/>
    <cellStyle name="60% - Accent4 2 3 6" xfId="3313"/>
    <cellStyle name="20% - Accent5 2 3 6" xfId="3314"/>
    <cellStyle name="40% - Accent5 2 3 6" xfId="3315"/>
    <cellStyle name="60% - Accent5 2 3 6" xfId="3316"/>
    <cellStyle name="20% - Accent6 2 3 6" xfId="3317"/>
    <cellStyle name="40% - Accent6 2 3 6" xfId="3318"/>
    <cellStyle name="60% - Accent6 2 3 6" xfId="3319"/>
    <cellStyle name="Comma 2 2 4 7" xfId="3320"/>
    <cellStyle name="Comma 4 4 7" xfId="3321"/>
    <cellStyle name="Normal 3 8 3 6" xfId="3322"/>
    <cellStyle name="Comma 2 4 8" xfId="3323"/>
    <cellStyle name="Comma 3 3 8" xfId="3324"/>
    <cellStyle name="Comma 2 2 3 8" xfId="3325"/>
    <cellStyle name="Comma 4 3 8" xfId="3326"/>
    <cellStyle name="Normal 7 2 6" xfId="3327"/>
    <cellStyle name="Comma 5 2 7" xfId="3328"/>
    <cellStyle name="20% - Accent1 3 2 6" xfId="3329"/>
    <cellStyle name="40% - Accent1 3 2 6" xfId="3330"/>
    <cellStyle name="60% - Accent1 3 2 6" xfId="3331"/>
    <cellStyle name="20% - Accent2 3 2 6" xfId="3332"/>
    <cellStyle name="40% - Accent2 3 2 6" xfId="3333"/>
    <cellStyle name="60% - Accent2 3 2 6" xfId="3334"/>
    <cellStyle name="20% - Accent3 3 2 6" xfId="3335"/>
    <cellStyle name="40% - Accent3 3 2 6" xfId="3336"/>
    <cellStyle name="60% - Accent3 3 2 6" xfId="3337"/>
    <cellStyle name="20% - Accent4 3 2 6" xfId="3338"/>
    <cellStyle name="40% - Accent4 3 2 6" xfId="3339"/>
    <cellStyle name="60% - Accent4 3 2 6" xfId="3340"/>
    <cellStyle name="20% - Accent5 3 2 6" xfId="3341"/>
    <cellStyle name="40% - Accent5 3 2 6" xfId="3342"/>
    <cellStyle name="60% - Accent5 3 2 6" xfId="3343"/>
    <cellStyle name="20% - Accent6 3 2 6" xfId="3344"/>
    <cellStyle name="40% - Accent6 3 2 6" xfId="3345"/>
    <cellStyle name="60% - Accent6 3 2 6" xfId="3346"/>
    <cellStyle name="Normal 3 2 3 2 6" xfId="3347"/>
    <cellStyle name="Normal 3 3 3 2 6" xfId="3348"/>
    <cellStyle name="Normal 3 4 3 2 6" xfId="3349"/>
    <cellStyle name="Normal 3 5 3 2 6" xfId="3350"/>
    <cellStyle name="Normal 3 2 2 2 2 6" xfId="3351"/>
    <cellStyle name="Normal 3 3 2 2 2 6" xfId="3352"/>
    <cellStyle name="Normal 3 4 2 2 2 6" xfId="3353"/>
    <cellStyle name="Normal 3 5 2 2 2 6" xfId="3354"/>
    <cellStyle name="Normal 5 2 2 6" xfId="3355"/>
    <cellStyle name="Percent 3 2 2 6" xfId="3356"/>
    <cellStyle name="Note 2 2 2 6" xfId="3357"/>
    <cellStyle name="Normal 3 6 2 2 6" xfId="3358"/>
    <cellStyle name="Comma 2 3 2 7" xfId="3359"/>
    <cellStyle name="Comma 3 2 2 7" xfId="3360"/>
    <cellStyle name="Percent 4 2 2 6" xfId="3361"/>
    <cellStyle name="Normal 3 7 2 2 6" xfId="3362"/>
    <cellStyle name="Note 3 2 2 6" xfId="3363"/>
    <cellStyle name="20% - Accent1 2 2 2 6" xfId="3364"/>
    <cellStyle name="40% - Accent1 2 2 2 6" xfId="3365"/>
    <cellStyle name="60% - Accent1 2 2 2 6" xfId="3366"/>
    <cellStyle name="20% - Accent2 2 2 2 6" xfId="3367"/>
    <cellStyle name="40% - Accent2 2 2 2 6" xfId="3368"/>
    <cellStyle name="60% - Accent2 2 2 2 6" xfId="3369"/>
    <cellStyle name="20% - Accent3 2 2 2 6" xfId="3370"/>
    <cellStyle name="40% - Accent3 2 2 2 6" xfId="3371"/>
    <cellStyle name="60% - Accent3 2 2 2 6" xfId="3372"/>
    <cellStyle name="20% - Accent4 2 2 2 6" xfId="3373"/>
    <cellStyle name="40% - Accent4 2 2 2 6" xfId="3374"/>
    <cellStyle name="60% - Accent4 2 2 2 6" xfId="3375"/>
    <cellStyle name="20% - Accent5 2 2 2 6" xfId="3376"/>
    <cellStyle name="40% - Accent5 2 2 2 6" xfId="3377"/>
    <cellStyle name="60% - Accent5 2 2 2 6" xfId="3378"/>
    <cellStyle name="20% - Accent6 2 2 2 6" xfId="3379"/>
    <cellStyle name="40% - Accent6 2 2 2 6" xfId="3380"/>
    <cellStyle name="60% - Accent6 2 2 2 6" xfId="3381"/>
    <cellStyle name="Comma 2 2 2 2 7" xfId="3382"/>
    <cellStyle name="Comma 4 2 2 7" xfId="3383"/>
    <cellStyle name="Normal 3 8 2 2 6" xfId="3384"/>
    <cellStyle name="Normal 3 10 6" xfId="3385"/>
    <cellStyle name="Normal 3 11 6" xfId="3386"/>
    <cellStyle name="Normal 3 12 4" xfId="3387"/>
    <cellStyle name="Normal 3 2 5 4" xfId="3388"/>
    <cellStyle name="Normal 3 3 5 4" xfId="3389"/>
    <cellStyle name="Normal 3 4 5 4" xfId="3390"/>
    <cellStyle name="Normal 3 5 5 4" xfId="3391"/>
    <cellStyle name="20% - Accent1 5 4" xfId="3392"/>
    <cellStyle name="40% - Accent1 5 4" xfId="3393"/>
    <cellStyle name="60% - Accent1 5 4" xfId="3394"/>
    <cellStyle name="20% - Accent2 5 4" xfId="3395"/>
    <cellStyle name="40% - Accent2 5 4" xfId="3396"/>
    <cellStyle name="60% - Accent2 5 4" xfId="3397"/>
    <cellStyle name="20% - Accent3 5 4" xfId="3398"/>
    <cellStyle name="40% - Accent3 5 4" xfId="3399"/>
    <cellStyle name="60% - Accent3 5 4" xfId="3400"/>
    <cellStyle name="20% - Accent4 5 4" xfId="3401"/>
    <cellStyle name="40% - Accent4 5 4" xfId="3402"/>
    <cellStyle name="60% - Accent4 5 4" xfId="3403"/>
    <cellStyle name="20% - Accent5 5 4" xfId="3404"/>
    <cellStyle name="40% - Accent5 5 4" xfId="3405"/>
    <cellStyle name="60% - Accent5 5 4" xfId="3406"/>
    <cellStyle name="20% - Accent6 5 4" xfId="3407"/>
    <cellStyle name="40% - Accent6 5 4" xfId="3408"/>
    <cellStyle name="60% - Accent6 5 4" xfId="3409"/>
    <cellStyle name="Normal 3 2 2 4 4" xfId="3410"/>
    <cellStyle name="Normal 3 3 2 4 4" xfId="3411"/>
    <cellStyle name="Normal 3 4 2 4 4" xfId="3412"/>
    <cellStyle name="Normal 3 5 2 4 4" xfId="3413"/>
    <cellStyle name="Normal 5 4 4" xfId="3414"/>
    <cellStyle name="Percent 3 4 4" xfId="3415"/>
    <cellStyle name="Note 2 4 4" xfId="3416"/>
    <cellStyle name="Normal 3 6 4 4" xfId="3417"/>
    <cellStyle name="Comma 2 6 5" xfId="3418"/>
    <cellStyle name="Comma 3 5 5" xfId="3419"/>
    <cellStyle name="Percent 4 4 4" xfId="3420"/>
    <cellStyle name="Normal 3 7 4 4" xfId="3421"/>
    <cellStyle name="Note 3 4 4" xfId="3422"/>
    <cellStyle name="20% - Accent1 2 4 4" xfId="3423"/>
    <cellStyle name="40% - Accent1 2 4 4" xfId="3424"/>
    <cellStyle name="60% - Accent1 2 4 4" xfId="3425"/>
    <cellStyle name="20% - Accent2 2 4 4" xfId="3426"/>
    <cellStyle name="40% - Accent2 2 4 4" xfId="3427"/>
    <cellStyle name="60% - Accent2 2 4 4" xfId="3428"/>
    <cellStyle name="20% - Accent3 2 4 4" xfId="3429"/>
    <cellStyle name="40% - Accent3 2 4 4" xfId="3430"/>
    <cellStyle name="60% - Accent3 2 4 4" xfId="3431"/>
    <cellStyle name="20% - Accent4 2 4 4" xfId="3432"/>
    <cellStyle name="40% - Accent4 2 4 4" xfId="3433"/>
    <cellStyle name="60% - Accent4 2 4 4" xfId="3434"/>
    <cellStyle name="20% - Accent5 2 4 4" xfId="3435"/>
    <cellStyle name="40% - Accent5 2 4 4" xfId="3436"/>
    <cellStyle name="60% - Accent5 2 4 4" xfId="3437"/>
    <cellStyle name="20% - Accent6 2 4 4" xfId="3438"/>
    <cellStyle name="40% - Accent6 2 4 4" xfId="3439"/>
    <cellStyle name="60% - Accent6 2 4 4" xfId="3440"/>
    <cellStyle name="Comma 2 2 5 5" xfId="3441"/>
    <cellStyle name="Comma 4 5 5" xfId="3442"/>
    <cellStyle name="Normal 3 8 4 4" xfId="3443"/>
    <cellStyle name="Normal 7 3 4" xfId="3444"/>
    <cellStyle name="Comma 5 3 5" xfId="3445"/>
    <cellStyle name="20% - Accent1 3 3 4" xfId="3446"/>
    <cellStyle name="40% - Accent1 3 3 4" xfId="3447"/>
    <cellStyle name="60% - Accent1 3 3 4" xfId="3448"/>
    <cellStyle name="20% - Accent2 3 3 4" xfId="3449"/>
    <cellStyle name="40% - Accent2 3 3 4" xfId="3450"/>
    <cellStyle name="60% - Accent2 3 3 4" xfId="3451"/>
    <cellStyle name="20% - Accent3 3 3 4" xfId="3452"/>
    <cellStyle name="40% - Accent3 3 3 4" xfId="3453"/>
    <cellStyle name="60% - Accent3 3 3 4" xfId="3454"/>
    <cellStyle name="20% - Accent4 3 3 4" xfId="3455"/>
    <cellStyle name="40% - Accent4 3 3 4" xfId="3456"/>
    <cellStyle name="60% - Accent4 3 3 4" xfId="3457"/>
    <cellStyle name="20% - Accent5 3 3 4" xfId="3458"/>
    <cellStyle name="40% - Accent5 3 3 4" xfId="3459"/>
    <cellStyle name="60% - Accent5 3 3 4" xfId="3460"/>
    <cellStyle name="20% - Accent6 3 3 4" xfId="3461"/>
    <cellStyle name="40% - Accent6 3 3 4" xfId="3462"/>
    <cellStyle name="60% - Accent6 3 3 4" xfId="3463"/>
    <cellStyle name="Normal 3 2 3 3 4" xfId="3464"/>
    <cellStyle name="Normal 3 3 3 3 4" xfId="3465"/>
    <cellStyle name="Normal 3 4 3 3 4" xfId="3466"/>
    <cellStyle name="Normal 3 5 3 3 4" xfId="3467"/>
    <cellStyle name="Normal 3 2 2 2 3 4" xfId="3468"/>
    <cellStyle name="Normal 3 3 2 2 3 4" xfId="3469"/>
    <cellStyle name="Normal 3 4 2 2 3 4" xfId="3470"/>
    <cellStyle name="Normal 3 5 2 2 3 4" xfId="3471"/>
    <cellStyle name="Normal 5 2 3 4" xfId="3472"/>
    <cellStyle name="Percent 3 2 3 4" xfId="3473"/>
    <cellStyle name="Note 2 2 3 4" xfId="3474"/>
    <cellStyle name="Normal 3 6 2 3 4" xfId="3475"/>
    <cellStyle name="Comma 2 3 3 5" xfId="3476"/>
    <cellStyle name="Comma 3 2 3 5" xfId="3477"/>
    <cellStyle name="Percent 4 2 3 4" xfId="3478"/>
    <cellStyle name="Normal 3 7 2 3 4" xfId="3479"/>
    <cellStyle name="Note 3 2 3 4" xfId="3480"/>
    <cellStyle name="20% - Accent1 2 2 3 4" xfId="3481"/>
    <cellStyle name="40% - Accent1 2 2 3 4" xfId="3482"/>
    <cellStyle name="60% - Accent1 2 2 3 4" xfId="3483"/>
    <cellStyle name="20% - Accent2 2 2 3 4" xfId="3484"/>
    <cellStyle name="40% - Accent2 2 2 3 4" xfId="3485"/>
    <cellStyle name="60% - Accent2 2 2 3 4" xfId="3486"/>
    <cellStyle name="20% - Accent3 2 2 3 4" xfId="3487"/>
    <cellStyle name="40% - Accent3 2 2 3 4" xfId="3488"/>
    <cellStyle name="60% - Accent3 2 2 3 4" xfId="3489"/>
    <cellStyle name="20% - Accent4 2 2 3 4" xfId="3490"/>
    <cellStyle name="40% - Accent4 2 2 3 4" xfId="3491"/>
    <cellStyle name="60% - Accent4 2 2 3 4" xfId="3492"/>
    <cellStyle name="20% - Accent5 2 2 3 4" xfId="3493"/>
    <cellStyle name="40% - Accent5 2 2 3 4" xfId="3494"/>
    <cellStyle name="60% - Accent5 2 2 3 4" xfId="3495"/>
    <cellStyle name="20% - Accent6 2 2 3 4" xfId="3496"/>
    <cellStyle name="40% - Accent6 2 2 3 4" xfId="3497"/>
    <cellStyle name="60% - Accent6 2 2 3 4" xfId="3498"/>
    <cellStyle name="Comma 2 2 2 3 5" xfId="3499"/>
    <cellStyle name="Comma 4 2 3 5" xfId="3500"/>
    <cellStyle name="Normal 3 8 2 3 4" xfId="3501"/>
    <cellStyle name="Normal 8 2 4" xfId="3502"/>
    <cellStyle name="Comma 6 2 5" xfId="3503"/>
    <cellStyle name="20% - Accent1 4 2 4" xfId="3504"/>
    <cellStyle name="40% - Accent1 4 2 4" xfId="3505"/>
    <cellStyle name="60% - Accent1 4 2 4" xfId="3506"/>
    <cellStyle name="20% - Accent2 4 2 4" xfId="3507"/>
    <cellStyle name="40% - Accent2 4 2 4" xfId="3508"/>
    <cellStyle name="60% - Accent2 4 2 4" xfId="3509"/>
    <cellStyle name="20% - Accent3 4 2 4" xfId="3510"/>
    <cellStyle name="40% - Accent3 4 2 4" xfId="3511"/>
    <cellStyle name="60% - Accent3 4 2 4" xfId="3512"/>
    <cellStyle name="20% - Accent4 4 2 4" xfId="3513"/>
    <cellStyle name="40% - Accent4 4 2 4" xfId="3514"/>
    <cellStyle name="60% - Accent4 4 2 4" xfId="3515"/>
    <cellStyle name="20% - Accent5 4 2 4" xfId="3516"/>
    <cellStyle name="40% - Accent5 4 2 4" xfId="3517"/>
    <cellStyle name="60% - Accent5 4 2 4" xfId="3518"/>
    <cellStyle name="20% - Accent6 4 2 4" xfId="3519"/>
    <cellStyle name="40% - Accent6 4 2 4" xfId="3520"/>
    <cellStyle name="60% - Accent6 4 2 4" xfId="3521"/>
    <cellStyle name="Normal 3 2 4 2 4" xfId="3522"/>
    <cellStyle name="Normal 3 3 4 2 4" xfId="3523"/>
    <cellStyle name="Normal 3 4 4 2 4" xfId="3524"/>
    <cellStyle name="Normal 3 5 4 2 4" xfId="3525"/>
    <cellStyle name="Normal 3 2 2 3 2 4" xfId="3526"/>
    <cellStyle name="Normal 3 3 2 3 2 4" xfId="3527"/>
    <cellStyle name="Normal 3 4 2 3 2 4" xfId="3528"/>
    <cellStyle name="Normal 3 5 2 3 2 4" xfId="3529"/>
    <cellStyle name="Normal 5 3 2 4" xfId="3530"/>
    <cellStyle name="Percent 3 3 2 4" xfId="3531"/>
    <cellStyle name="Note 2 3 2 4" xfId="3532"/>
    <cellStyle name="Normal 3 6 3 2 4" xfId="3533"/>
    <cellStyle name="Comma 2 5 2 5" xfId="3534"/>
    <cellStyle name="Comma 3 4 2 5" xfId="3535"/>
    <cellStyle name="Percent 4 3 2 4" xfId="3536"/>
    <cellStyle name="Normal 3 7 3 2 4" xfId="3537"/>
    <cellStyle name="Note 3 3 2 4" xfId="3538"/>
    <cellStyle name="20% - Accent1 2 3 2 4" xfId="3539"/>
    <cellStyle name="40% - Accent1 2 3 2 4" xfId="3540"/>
    <cellStyle name="60% - Accent1 2 3 2 4" xfId="3541"/>
    <cellStyle name="20% - Accent2 2 3 2 4" xfId="3542"/>
    <cellStyle name="40% - Accent2 2 3 2 4" xfId="3543"/>
    <cellStyle name="60% - Accent2 2 3 2 4" xfId="3544"/>
    <cellStyle name="20% - Accent3 2 3 2 4" xfId="3545"/>
    <cellStyle name="40% - Accent3 2 3 2 4" xfId="3546"/>
    <cellStyle name="60% - Accent3 2 3 2 4" xfId="3547"/>
    <cellStyle name="20% - Accent4 2 3 2 4" xfId="3548"/>
    <cellStyle name="40% - Accent4 2 3 2 4" xfId="3549"/>
    <cellStyle name="60% - Accent4 2 3 2 4" xfId="3550"/>
    <cellStyle name="20% - Accent5 2 3 2 4" xfId="3551"/>
    <cellStyle name="40% - Accent5 2 3 2 4" xfId="3552"/>
    <cellStyle name="60% - Accent5 2 3 2 4" xfId="3553"/>
    <cellStyle name="20% - Accent6 2 3 2 4" xfId="3554"/>
    <cellStyle name="40% - Accent6 2 3 2 4" xfId="3555"/>
    <cellStyle name="60% - Accent6 2 3 2 4" xfId="3556"/>
    <cellStyle name="Comma 2 2 4 2 5" xfId="3557"/>
    <cellStyle name="Comma 4 4 2 5" xfId="3558"/>
    <cellStyle name="Normal 3 8 3 2 4" xfId="3559"/>
    <cellStyle name="Comma 2 4 2 5" xfId="3560"/>
    <cellStyle name="Comma 3 3 2 5" xfId="3561"/>
    <cellStyle name="Comma 2 2 3 2 5" xfId="3562"/>
    <cellStyle name="Comma 4 3 2 5" xfId="3563"/>
    <cellStyle name="Normal 7 2 2 4" xfId="3564"/>
    <cellStyle name="Comma 5 2 2 5" xfId="3565"/>
    <cellStyle name="20% - Accent1 3 2 2 4" xfId="3566"/>
    <cellStyle name="40% - Accent1 3 2 2 4" xfId="3567"/>
    <cellStyle name="60% - Accent1 3 2 2 4" xfId="3568"/>
    <cellStyle name="20% - Accent2 3 2 2 4" xfId="3569"/>
    <cellStyle name="40% - Accent2 3 2 2 4" xfId="3570"/>
    <cellStyle name="60% - Accent2 3 2 2 4" xfId="3571"/>
    <cellStyle name="20% - Accent3 3 2 2 4" xfId="3572"/>
    <cellStyle name="40% - Accent3 3 2 2 4" xfId="3573"/>
    <cellStyle name="60% - Accent3 3 2 2 4" xfId="3574"/>
    <cellStyle name="20% - Accent4 3 2 2 4" xfId="3575"/>
    <cellStyle name="40% - Accent4 3 2 2 4" xfId="3576"/>
    <cellStyle name="60% - Accent4 3 2 2 4" xfId="3577"/>
    <cellStyle name="20% - Accent5 3 2 2 4" xfId="3578"/>
    <cellStyle name="40% - Accent5 3 2 2 4" xfId="3579"/>
    <cellStyle name="60% - Accent5 3 2 2 4" xfId="3580"/>
    <cellStyle name="20% - Accent6 3 2 2 4" xfId="3581"/>
    <cellStyle name="40% - Accent6 3 2 2 4" xfId="3582"/>
    <cellStyle name="60% - Accent6 3 2 2 4" xfId="3583"/>
    <cellStyle name="Normal 3 2 3 2 2 4" xfId="3584"/>
    <cellStyle name="Normal 3 3 3 2 2 4" xfId="3585"/>
    <cellStyle name="Normal 3 4 3 2 2 4" xfId="3586"/>
    <cellStyle name="Normal 3 5 3 2 2 4" xfId="3587"/>
    <cellStyle name="Normal 3 2 2 2 2 2 4" xfId="3588"/>
    <cellStyle name="Normal 3 3 2 2 2 2 4" xfId="3589"/>
    <cellStyle name="Normal 3 4 2 2 2 2 4" xfId="3590"/>
    <cellStyle name="Normal 3 5 2 2 2 2 4" xfId="3591"/>
    <cellStyle name="Normal 5 2 2 2 4" xfId="3592"/>
    <cellStyle name="Percent 3 2 2 2 4" xfId="3593"/>
    <cellStyle name="Note 2 2 2 2 4" xfId="3594"/>
    <cellStyle name="Normal 3 6 2 2 2 4" xfId="3595"/>
    <cellStyle name="Comma 2 3 2 2 5" xfId="3596"/>
    <cellStyle name="Comma 3 2 2 2 5" xfId="3597"/>
    <cellStyle name="Percent 4 2 2 2 4" xfId="3598"/>
    <cellStyle name="Normal 3 7 2 2 2 4" xfId="3599"/>
    <cellStyle name="Note 3 2 2 2 4" xfId="3600"/>
    <cellStyle name="20% - Accent1 2 2 2 2 4" xfId="3601"/>
    <cellStyle name="40% - Accent1 2 2 2 2 4" xfId="3602"/>
    <cellStyle name="60% - Accent1 2 2 2 2 4" xfId="3603"/>
    <cellStyle name="20% - Accent2 2 2 2 2 4" xfId="3604"/>
    <cellStyle name="40% - Accent2 2 2 2 2 4" xfId="3605"/>
    <cellStyle name="60% - Accent2 2 2 2 2 4" xfId="3606"/>
    <cellStyle name="20% - Accent3 2 2 2 2 4" xfId="3607"/>
    <cellStyle name="40% - Accent3 2 2 2 2 4" xfId="3608"/>
    <cellStyle name="60% - Accent3 2 2 2 2 4" xfId="3609"/>
    <cellStyle name="20% - Accent4 2 2 2 2 4" xfId="3610"/>
    <cellStyle name="40% - Accent4 2 2 2 2 4" xfId="3611"/>
    <cellStyle name="60% - Accent4 2 2 2 2 4" xfId="3612"/>
    <cellStyle name="20% - Accent5 2 2 2 2 4" xfId="3613"/>
    <cellStyle name="40% - Accent5 2 2 2 2 4" xfId="3614"/>
    <cellStyle name="60% - Accent5 2 2 2 2 4" xfId="3615"/>
    <cellStyle name="20% - Accent6 2 2 2 2 4" xfId="3616"/>
    <cellStyle name="40% - Accent6 2 2 2 2 4" xfId="3617"/>
    <cellStyle name="60% - Accent6 2 2 2 2 4" xfId="3618"/>
    <cellStyle name="Comma 2 2 2 2 2 5" xfId="3619"/>
    <cellStyle name="Comma 4 2 2 2 5" xfId="3620"/>
    <cellStyle name="Normal 3 8 2 2 2 4" xfId="3621"/>
    <cellStyle name="Normal 3 10 2 4" xfId="3622"/>
    <cellStyle name="Normal 3 11 2 4" xfId="3623"/>
    <cellStyle name="Normal 3 2 6 3" xfId="3624"/>
    <cellStyle name="Normal 3 3 6 3" xfId="3625"/>
    <cellStyle name="Normal 3 4 6 3" xfId="3626"/>
    <cellStyle name="Normal 3 5 6 3" xfId="3627"/>
    <cellStyle name="20% - Accent1 6 3" xfId="3628"/>
    <cellStyle name="40% - Accent1 6 3" xfId="3629"/>
    <cellStyle name="60% - Accent1 6 3" xfId="3630"/>
    <cellStyle name="20% - Accent2 6 3" xfId="3631"/>
    <cellStyle name="40% - Accent2 6 3" xfId="3632"/>
    <cellStyle name="60% - Accent2 6 3" xfId="3633"/>
    <cellStyle name="20% - Accent3 6 3" xfId="3634"/>
    <cellStyle name="40% - Accent3 6 3" xfId="3635"/>
    <cellStyle name="60% - Accent3 6 3" xfId="3636"/>
    <cellStyle name="20% - Accent4 6 3" xfId="3637"/>
    <cellStyle name="40% - Accent4 6 3" xfId="3638"/>
    <cellStyle name="60% - Accent4 6 3" xfId="3639"/>
    <cellStyle name="20% - Accent5 6 3" xfId="3640"/>
    <cellStyle name="40% - Accent5 6 3" xfId="3641"/>
    <cellStyle name="60% - Accent5 6 3" xfId="3642"/>
    <cellStyle name="20% - Accent6 6 3" xfId="3643"/>
    <cellStyle name="40% - Accent6 6 3" xfId="3644"/>
    <cellStyle name="60% - Accent6 6 3" xfId="3645"/>
    <cellStyle name="Normal 3 2 2 5 3" xfId="3646"/>
    <cellStyle name="Normal 3 3 2 5 3" xfId="3647"/>
    <cellStyle name="Normal 3 4 2 5 3" xfId="3648"/>
    <cellStyle name="Normal 3 5 2 5 3" xfId="3649"/>
    <cellStyle name="Normal 5 5 3" xfId="3650"/>
    <cellStyle name="Percent 3 5 3" xfId="3651"/>
    <cellStyle name="Note 2 5 3" xfId="3652"/>
    <cellStyle name="Normal 3 6 5 3" xfId="3653"/>
    <cellStyle name="Comma 2 7 4" xfId="3654"/>
    <cellStyle name="Comma 3 7 4" xfId="3655"/>
    <cellStyle name="Percent 4 5 3" xfId="3656"/>
    <cellStyle name="Normal 3 7 5 3" xfId="3657"/>
    <cellStyle name="Note 3 5 3" xfId="3658"/>
    <cellStyle name="20% - Accent1 2 5 3" xfId="3659"/>
    <cellStyle name="40% - Accent1 2 5 3" xfId="3660"/>
    <cellStyle name="60% - Accent1 2 5 3" xfId="3661"/>
    <cellStyle name="20% - Accent2 2 5 3" xfId="3662"/>
    <cellStyle name="40% - Accent2 2 5 3" xfId="3663"/>
    <cellStyle name="60% - Accent2 2 5 3" xfId="3664"/>
    <cellStyle name="20% - Accent3 2 5 3" xfId="3665"/>
    <cellStyle name="40% - Accent3 2 5 3" xfId="3666"/>
    <cellStyle name="60% - Accent3 2 5 3" xfId="3667"/>
    <cellStyle name="20% - Accent4 2 5 3" xfId="3668"/>
    <cellStyle name="40% - Accent4 2 5 3" xfId="3669"/>
    <cellStyle name="60% - Accent4 2 5 3" xfId="3670"/>
    <cellStyle name="20% - Accent5 2 5 3" xfId="3671"/>
    <cellStyle name="40% - Accent5 2 5 3" xfId="3672"/>
    <cellStyle name="60% - Accent5 2 5 3" xfId="3673"/>
    <cellStyle name="20% - Accent6 2 5 3" xfId="3674"/>
    <cellStyle name="40% - Accent6 2 5 3" xfId="3675"/>
    <cellStyle name="60% - Accent6 2 5 3" xfId="3676"/>
    <cellStyle name="Comma 2 2 6 4" xfId="3677"/>
    <cellStyle name="Comma 4 6 4" xfId="3678"/>
    <cellStyle name="Normal 3 8 5 3" xfId="3679"/>
    <cellStyle name="Normal 7 4 3" xfId="3680"/>
    <cellStyle name="Comma 5 4 4" xfId="3681"/>
    <cellStyle name="20% - Accent1 3 4 3" xfId="3682"/>
    <cellStyle name="40% - Accent1 3 4 3" xfId="3683"/>
    <cellStyle name="60% - Accent1 3 4 3" xfId="3684"/>
    <cellStyle name="20% - Accent2 3 4 3" xfId="3685"/>
    <cellStyle name="40% - Accent2 3 4 3" xfId="3686"/>
    <cellStyle name="60% - Accent2 3 4 3" xfId="3687"/>
    <cellStyle name="20% - Accent3 3 4 3" xfId="3688"/>
    <cellStyle name="40% - Accent3 3 4 3" xfId="3689"/>
    <cellStyle name="60% - Accent3 3 4 3" xfId="3690"/>
    <cellStyle name="20% - Accent4 3 4 3" xfId="3691"/>
    <cellStyle name="40% - Accent4 3 4 3" xfId="3692"/>
    <cellStyle name="60% - Accent4 3 4 3" xfId="3693"/>
    <cellStyle name="20% - Accent5 3 4 3" xfId="3694"/>
    <cellStyle name="40% - Accent5 3 4 3" xfId="3695"/>
    <cellStyle name="60% - Accent5 3 4 3" xfId="3696"/>
    <cellStyle name="20% - Accent6 3 4 3" xfId="3697"/>
    <cellStyle name="40% - Accent6 3 4 3" xfId="3698"/>
    <cellStyle name="60% - Accent6 3 4 3" xfId="3699"/>
    <cellStyle name="Normal 3 2 3 4 3" xfId="3700"/>
    <cellStyle name="Normal 3 3 3 4 3" xfId="3701"/>
    <cellStyle name="Normal 3 4 3 4 3" xfId="3702"/>
    <cellStyle name="Normal 3 5 3 4 3" xfId="3703"/>
    <cellStyle name="Normal 3 2 2 2 4 3" xfId="3704"/>
    <cellStyle name="Normal 3 3 2 2 4 3" xfId="3705"/>
    <cellStyle name="Normal 3 4 2 2 4 3" xfId="3706"/>
    <cellStyle name="Normal 3 5 2 2 4 3" xfId="3707"/>
    <cellStyle name="Normal 5 2 4 3" xfId="3708"/>
    <cellStyle name="Percent 3 2 4 3" xfId="3709"/>
    <cellStyle name="Note 2 2 4 3" xfId="3710"/>
    <cellStyle name="Normal 3 6 2 4 3" xfId="3711"/>
    <cellStyle name="Comma 2 3 4 4" xfId="3712"/>
    <cellStyle name="Comma 3 2 4 4" xfId="3713"/>
    <cellStyle name="Percent 4 2 4 3" xfId="3714"/>
    <cellStyle name="Normal 3 7 2 4 3" xfId="3715"/>
    <cellStyle name="Note 3 2 4 3" xfId="3716"/>
    <cellStyle name="20% - Accent1 2 2 4 3" xfId="3717"/>
    <cellStyle name="40% - Accent1 2 2 4 3" xfId="3718"/>
    <cellStyle name="60% - Accent1 2 2 4 3" xfId="3719"/>
    <cellStyle name="20% - Accent2 2 2 4 3" xfId="3720"/>
    <cellStyle name="40% - Accent2 2 2 4 3" xfId="3721"/>
    <cellStyle name="60% - Accent2 2 2 4 3" xfId="3722"/>
    <cellStyle name="20% - Accent3 2 2 4 3" xfId="3723"/>
    <cellStyle name="40% - Accent3 2 2 4 3" xfId="3724"/>
    <cellStyle name="60% - Accent3 2 2 4 3" xfId="3725"/>
    <cellStyle name="20% - Accent4 2 2 4 3" xfId="3726"/>
    <cellStyle name="40% - Accent4 2 2 4 3" xfId="3727"/>
    <cellStyle name="60% - Accent4 2 2 4 3" xfId="3728"/>
    <cellStyle name="20% - Accent5 2 2 4 3" xfId="3729"/>
    <cellStyle name="40% - Accent5 2 2 4 3" xfId="3730"/>
    <cellStyle name="60% - Accent5 2 2 4 3" xfId="3731"/>
    <cellStyle name="20% - Accent6 2 2 4 3" xfId="3732"/>
    <cellStyle name="40% - Accent6 2 2 4 3" xfId="3733"/>
    <cellStyle name="60% - Accent6 2 2 4 3" xfId="3734"/>
    <cellStyle name="Comma 2 2 2 4 4" xfId="3735"/>
    <cellStyle name="Comma 4 2 4 4" xfId="3736"/>
    <cellStyle name="Normal 3 8 2 4 3" xfId="3737"/>
    <cellStyle name="Normal 8 3 3" xfId="3738"/>
    <cellStyle name="Comma 6 3 4" xfId="3739"/>
    <cellStyle name="20% - Accent1 4 3 3" xfId="3740"/>
    <cellStyle name="40% - Accent1 4 3 3" xfId="3741"/>
    <cellStyle name="60% - Accent1 4 3 3" xfId="3742"/>
    <cellStyle name="20% - Accent2 4 3 3" xfId="3743"/>
    <cellStyle name="40% - Accent2 4 3 3" xfId="3744"/>
    <cellStyle name="60% - Accent2 4 3 3" xfId="3745"/>
    <cellStyle name="20% - Accent3 4 3 3" xfId="3746"/>
    <cellStyle name="40% - Accent3 4 3 3" xfId="3747"/>
    <cellStyle name="60% - Accent3 4 3 3" xfId="3748"/>
    <cellStyle name="20% - Accent4 4 3 3" xfId="3749"/>
    <cellStyle name="40% - Accent4 4 3 3" xfId="3750"/>
    <cellStyle name="60% - Accent4 4 3 3" xfId="3751"/>
    <cellStyle name="20% - Accent5 4 3 3" xfId="3752"/>
    <cellStyle name="40% - Accent5 4 3 3" xfId="3753"/>
    <cellStyle name="60% - Accent5 4 3 3" xfId="3754"/>
    <cellStyle name="20% - Accent6 4 3 3" xfId="3755"/>
    <cellStyle name="40% - Accent6 4 3 3" xfId="3756"/>
    <cellStyle name="60% - Accent6 4 3 3" xfId="3757"/>
    <cellStyle name="Normal 3 2 4 3 3" xfId="3758"/>
    <cellStyle name="Normal 3 3 4 3 3" xfId="3759"/>
    <cellStyle name="Normal 3 4 4 3 3" xfId="3760"/>
    <cellStyle name="Normal 3 5 4 3 3" xfId="3761"/>
    <cellStyle name="Normal 3 2 2 3 3 3" xfId="3762"/>
    <cellStyle name="Normal 3 3 2 3 3 3" xfId="3763"/>
    <cellStyle name="Normal 3 4 2 3 3 3" xfId="3764"/>
    <cellStyle name="Normal 3 5 2 3 3 3" xfId="3765"/>
    <cellStyle name="Normal 5 3 3 3" xfId="3766"/>
    <cellStyle name="Percent 3 3 3 3" xfId="3767"/>
    <cellStyle name="Note 2 3 3 3" xfId="3768"/>
    <cellStyle name="Normal 3 6 3 3 3" xfId="3769"/>
    <cellStyle name="Comma 2 5 3 4" xfId="3770"/>
    <cellStyle name="Comma 3 4 3 4" xfId="3771"/>
    <cellStyle name="Percent 4 3 3 3" xfId="3772"/>
    <cellStyle name="Normal 3 7 3 3 3" xfId="3773"/>
    <cellStyle name="Note 3 3 3 3" xfId="3774"/>
    <cellStyle name="20% - Accent1 2 3 3 3" xfId="3775"/>
    <cellStyle name="40% - Accent1 2 3 3 3" xfId="3776"/>
    <cellStyle name="60% - Accent1 2 3 3 3" xfId="3777"/>
    <cellStyle name="20% - Accent2 2 3 3 3" xfId="3778"/>
    <cellStyle name="40% - Accent2 2 3 3 3" xfId="3779"/>
    <cellStyle name="60% - Accent2 2 3 3 3" xfId="3780"/>
    <cellStyle name="20% - Accent3 2 3 3 3" xfId="3781"/>
    <cellStyle name="40% - Accent3 2 3 3 3" xfId="3782"/>
    <cellStyle name="60% - Accent3 2 3 3 3" xfId="3783"/>
    <cellStyle name="20% - Accent4 2 3 3 3" xfId="3784"/>
    <cellStyle name="40% - Accent4 2 3 3 3" xfId="3785"/>
    <cellStyle name="60% - Accent4 2 3 3 3" xfId="3786"/>
    <cellStyle name="20% - Accent5 2 3 3 3" xfId="3787"/>
    <cellStyle name="40% - Accent5 2 3 3 3" xfId="3788"/>
    <cellStyle name="60% - Accent5 2 3 3 3" xfId="3789"/>
    <cellStyle name="20% - Accent6 2 3 3 3" xfId="3790"/>
    <cellStyle name="40% - Accent6 2 3 3 3" xfId="3791"/>
    <cellStyle name="60% - Accent6 2 3 3 3" xfId="3792"/>
    <cellStyle name="Comma 2 2 4 3 4" xfId="3793"/>
    <cellStyle name="Comma 4 4 3 4" xfId="3794"/>
    <cellStyle name="Normal 3 8 3 3 3" xfId="3795"/>
    <cellStyle name="Comma 2 4 3 4" xfId="3796"/>
    <cellStyle name="Comma 3 3 3 4" xfId="3797"/>
    <cellStyle name="Comma 2 2 3 3 4" xfId="3798"/>
    <cellStyle name="Comma 4 3 3 4" xfId="3799"/>
    <cellStyle name="Normal 7 2 3 3" xfId="3800"/>
    <cellStyle name="Comma 5 2 3 4" xfId="3801"/>
    <cellStyle name="20% - Accent1 3 2 3 3" xfId="3802"/>
    <cellStyle name="40% - Accent1 3 2 3 3" xfId="3803"/>
    <cellStyle name="60% - Accent1 3 2 3 3" xfId="3804"/>
    <cellStyle name="20% - Accent2 3 2 3 3" xfId="3805"/>
    <cellStyle name="40% - Accent2 3 2 3 3" xfId="3806"/>
    <cellStyle name="60% - Accent2 3 2 3 3" xfId="3807"/>
    <cellStyle name="20% - Accent3 3 2 3 3" xfId="3808"/>
    <cellStyle name="40% - Accent3 3 2 3 3" xfId="3809"/>
    <cellStyle name="60% - Accent3 3 2 3 3" xfId="3810"/>
    <cellStyle name="20% - Accent4 3 2 3 3" xfId="3811"/>
    <cellStyle name="40% - Accent4 3 2 3 3" xfId="3812"/>
    <cellStyle name="60% - Accent4 3 2 3 3" xfId="3813"/>
    <cellStyle name="20% - Accent5 3 2 3 3" xfId="3814"/>
    <cellStyle name="40% - Accent5 3 2 3 3" xfId="3815"/>
    <cellStyle name="60% - Accent5 3 2 3 3" xfId="3816"/>
    <cellStyle name="20% - Accent6 3 2 3 3" xfId="3817"/>
    <cellStyle name="40% - Accent6 3 2 3 3" xfId="3818"/>
    <cellStyle name="60% - Accent6 3 2 3 3" xfId="3819"/>
    <cellStyle name="Normal 3 2 3 2 3 3" xfId="3820"/>
    <cellStyle name="Normal 3 3 3 2 3 3" xfId="3821"/>
    <cellStyle name="Normal 3 4 3 2 3 3" xfId="3822"/>
    <cellStyle name="Normal 3 5 3 2 3 3" xfId="3823"/>
    <cellStyle name="Normal 3 2 2 2 2 3 3" xfId="3824"/>
    <cellStyle name="Normal 3 3 2 2 2 3 3" xfId="3825"/>
    <cellStyle name="Normal 3 4 2 2 2 3 3" xfId="3826"/>
    <cellStyle name="Normal 3 5 2 2 2 3 3" xfId="3827"/>
    <cellStyle name="Normal 5 2 2 3 3" xfId="3828"/>
    <cellStyle name="Percent 3 2 2 3 3" xfId="3829"/>
    <cellStyle name="Note 2 2 2 3 3" xfId="3830"/>
    <cellStyle name="Normal 3 6 2 2 3 3" xfId="3831"/>
    <cellStyle name="Comma 2 3 2 3 4" xfId="3832"/>
    <cellStyle name="Comma 3 2 2 3 4" xfId="3833"/>
    <cellStyle name="Percent 4 2 2 3 3" xfId="3834"/>
    <cellStyle name="Normal 3 7 2 2 3 3" xfId="3835"/>
    <cellStyle name="Note 3 2 2 3 3" xfId="3836"/>
    <cellStyle name="20% - Accent1 2 2 2 3 3" xfId="3837"/>
    <cellStyle name="40% - Accent1 2 2 2 3 3" xfId="3838"/>
    <cellStyle name="60% - Accent1 2 2 2 3 3" xfId="3839"/>
    <cellStyle name="20% - Accent2 2 2 2 3 3" xfId="3840"/>
    <cellStyle name="40% - Accent2 2 2 2 3 3" xfId="3841"/>
    <cellStyle name="60% - Accent2 2 2 2 3 3" xfId="3842"/>
    <cellStyle name="20% - Accent3 2 2 2 3 3" xfId="3843"/>
    <cellStyle name="40% - Accent3 2 2 2 3 3" xfId="3844"/>
    <cellStyle name="60% - Accent3 2 2 2 3 3" xfId="3845"/>
    <cellStyle name="20% - Accent4 2 2 2 3 3" xfId="3846"/>
    <cellStyle name="40% - Accent4 2 2 2 3 3" xfId="3847"/>
    <cellStyle name="60% - Accent4 2 2 2 3 3" xfId="3848"/>
    <cellStyle name="20% - Accent5 2 2 2 3 3" xfId="3849"/>
    <cellStyle name="40% - Accent5 2 2 2 3 3" xfId="3850"/>
    <cellStyle name="60% - Accent5 2 2 2 3 3" xfId="3851"/>
    <cellStyle name="20% - Accent6 2 2 2 3 3" xfId="3852"/>
    <cellStyle name="40% - Accent6 2 2 2 3 3" xfId="3853"/>
    <cellStyle name="60% - Accent6 2 2 2 3 3" xfId="3854"/>
    <cellStyle name="Comma 2 2 2 2 3 4" xfId="3855"/>
    <cellStyle name="Comma 4 2 2 3 4" xfId="3856"/>
    <cellStyle name="Normal 3 8 2 2 3 3" xfId="3857"/>
    <cellStyle name="Normal 3 10 3 3" xfId="3858"/>
    <cellStyle name="Normal 3 11 3 3" xfId="3859"/>
    <cellStyle name="Normal 5 4 2 3" xfId="3860"/>
    <cellStyle name="Normal 7 3 2 3" xfId="3861"/>
    <cellStyle name="Normal 3 2 2 2 3 2 3" xfId="3862"/>
    <cellStyle name="Normal 8 2 2 3" xfId="3863"/>
    <cellStyle name="Normal 3 2 2 2 2 2 2 3" xfId="3864"/>
    <cellStyle name="Comma 3 6 4" xfId="3865"/>
    <cellStyle name="Normal 3 6 4 2 3" xfId="3866"/>
    <cellStyle name="Normal 3 12 2 3" xfId="3867"/>
    <cellStyle name="Normal 3 2 5 2 3" xfId="3868"/>
    <cellStyle name="Normal 3 3 5 2 3" xfId="3869"/>
    <cellStyle name="Normal 3 4 5 2 3" xfId="3870"/>
    <cellStyle name="Normal 3 5 5 2 3" xfId="3871"/>
    <cellStyle name="20% - Accent1 5 2 3" xfId="3872"/>
    <cellStyle name="40% - Accent1 5 2 3" xfId="3873"/>
    <cellStyle name="60% - Accent1 5 2 3" xfId="3874"/>
    <cellStyle name="20% - Accent2 5 2 3" xfId="3875"/>
    <cellStyle name="40% - Accent2 5 2 3" xfId="3876"/>
    <cellStyle name="60% - Accent2 5 2 3" xfId="3877"/>
    <cellStyle name="20% - Accent3 5 2 3" xfId="3878"/>
    <cellStyle name="40% - Accent3 5 2 3" xfId="3879"/>
    <cellStyle name="60% - Accent3 5 2 3" xfId="3880"/>
    <cellStyle name="20% - Accent4 5 2 3" xfId="3881"/>
    <cellStyle name="40% - Accent4 5 2 3" xfId="3882"/>
    <cellStyle name="60% - Accent4 5 2 3" xfId="3883"/>
    <cellStyle name="20% - Accent5 5 2 3" xfId="3884"/>
    <cellStyle name="40% - Accent5 5 2 3" xfId="3885"/>
    <cellStyle name="60% - Accent5 5 2 3" xfId="3886"/>
    <cellStyle name="20% - Accent6 5 2 3" xfId="3887"/>
    <cellStyle name="40% - Accent6 5 2 3" xfId="3888"/>
    <cellStyle name="60% - Accent6 5 2 3" xfId="3889"/>
    <cellStyle name="Normal 3 2 2 4 2 3" xfId="3890"/>
    <cellStyle name="Normal 3 3 2 4 2 3" xfId="3891"/>
    <cellStyle name="Normal 3 4 2 4 2 3" xfId="3892"/>
    <cellStyle name="Normal 3 5 2 4 2 3" xfId="3893"/>
    <cellStyle name="Percent 3 4 2 3" xfId="3894"/>
    <cellStyle name="Note 2 4 2 3" xfId="3895"/>
    <cellStyle name="Comma 2 6 2 4" xfId="3896"/>
    <cellStyle name="Comma 3 5 2 4" xfId="3897"/>
    <cellStyle name="Percent 4 4 2 3" xfId="3898"/>
    <cellStyle name="Normal 3 7 4 2 3" xfId="3899"/>
    <cellStyle name="Note 3 4 2 3" xfId="3900"/>
    <cellStyle name="20% - Accent1 2 4 2 3" xfId="3901"/>
    <cellStyle name="40% - Accent1 2 4 2 3" xfId="3902"/>
    <cellStyle name="60% - Accent1 2 4 2 3" xfId="3903"/>
    <cellStyle name="20% - Accent2 2 4 2 3" xfId="3904"/>
    <cellStyle name="40% - Accent2 2 4 2 3" xfId="3905"/>
    <cellStyle name="60% - Accent2 2 4 2 3" xfId="3906"/>
    <cellStyle name="20% - Accent3 2 4 2 3" xfId="3907"/>
    <cellStyle name="40% - Accent3 2 4 2 3" xfId="3908"/>
    <cellStyle name="60% - Accent3 2 4 2 3" xfId="3909"/>
    <cellStyle name="20% - Accent4 2 4 2 3" xfId="3910"/>
    <cellStyle name="40% - Accent4 2 4 2 3" xfId="3911"/>
    <cellStyle name="60% - Accent4 2 4 2 3" xfId="3912"/>
    <cellStyle name="20% - Accent5 2 4 2 3" xfId="3913"/>
    <cellStyle name="40% - Accent5 2 4 2 3" xfId="3914"/>
    <cellStyle name="60% - Accent5 2 4 2 3" xfId="3915"/>
    <cellStyle name="20% - Accent6 2 4 2 3" xfId="3916"/>
    <cellStyle name="40% - Accent6 2 4 2 3" xfId="3917"/>
    <cellStyle name="60% - Accent6 2 4 2 3" xfId="3918"/>
    <cellStyle name="Comma 2 2 5 2 4" xfId="3919"/>
    <cellStyle name="Comma 4 5 2 4" xfId="3920"/>
    <cellStyle name="Normal 3 8 4 2 3" xfId="3921"/>
    <cellStyle name="Comma 5 3 2 4" xfId="3922"/>
    <cellStyle name="20% - Accent1 3 3 2 3" xfId="3923"/>
    <cellStyle name="40% - Accent1 3 3 2 3" xfId="3924"/>
    <cellStyle name="60% - Accent1 3 3 2 3" xfId="3925"/>
    <cellStyle name="20% - Accent2 3 3 2 3" xfId="3926"/>
    <cellStyle name="40% - Accent2 3 3 2 3" xfId="3927"/>
    <cellStyle name="60% - Accent2 3 3 2 3" xfId="3928"/>
    <cellStyle name="20% - Accent3 3 3 2 3" xfId="3929"/>
    <cellStyle name="40% - Accent3 3 3 2 3" xfId="3930"/>
    <cellStyle name="60% - Accent3 3 3 2 3" xfId="3931"/>
    <cellStyle name="20% - Accent4 3 3 2 3" xfId="3932"/>
    <cellStyle name="40% - Accent4 3 3 2 3" xfId="3933"/>
    <cellStyle name="60% - Accent4 3 3 2 3" xfId="3934"/>
    <cellStyle name="20% - Accent5 3 3 2 3" xfId="3935"/>
    <cellStyle name="40% - Accent5 3 3 2 3" xfId="3936"/>
    <cellStyle name="60% - Accent5 3 3 2 3" xfId="3937"/>
    <cellStyle name="20% - Accent6 3 3 2 3" xfId="3938"/>
    <cellStyle name="40% - Accent6 3 3 2 3" xfId="3939"/>
    <cellStyle name="60% - Accent6 3 3 2 3" xfId="3940"/>
    <cellStyle name="Normal 3 2 3 3 2 3" xfId="3941"/>
    <cellStyle name="Normal 3 3 3 3 2 3" xfId="3942"/>
    <cellStyle name="Normal 3 4 3 3 2 3" xfId="3943"/>
    <cellStyle name="Normal 3 5 3 3 2 3" xfId="3944"/>
    <cellStyle name="Normal 3 3 2 2 3 2 3" xfId="3945"/>
    <cellStyle name="Normal 3 4 2 2 3 2 3" xfId="3946"/>
    <cellStyle name="Normal 3 5 2 2 3 2 3" xfId="3947"/>
    <cellStyle name="Normal 5 2 3 2 3" xfId="3948"/>
    <cellStyle name="Percent 3 2 3 2 3" xfId="3949"/>
    <cellStyle name="Note 2 2 3 2 3" xfId="3950"/>
    <cellStyle name="Normal 3 6 2 3 2 3" xfId="3951"/>
    <cellStyle name="Comma 2 3 3 2 4" xfId="3952"/>
    <cellStyle name="Comma 3 2 3 2 4" xfId="3953"/>
    <cellStyle name="Percent 4 2 3 2 3" xfId="3954"/>
    <cellStyle name="Normal 3 7 2 3 2 3" xfId="3955"/>
    <cellStyle name="Note 3 2 3 2 3" xfId="3956"/>
    <cellStyle name="20% - Accent1 2 2 3 2 3" xfId="3957"/>
    <cellStyle name="40% - Accent1 2 2 3 2 3" xfId="3958"/>
    <cellStyle name="60% - Accent1 2 2 3 2 3" xfId="3959"/>
    <cellStyle name="20% - Accent2 2 2 3 2 3" xfId="3960"/>
    <cellStyle name="40% - Accent2 2 2 3 2 3" xfId="3961"/>
    <cellStyle name="60% - Accent2 2 2 3 2 3" xfId="3962"/>
    <cellStyle name="20% - Accent3 2 2 3 2 3" xfId="3963"/>
    <cellStyle name="40% - Accent3 2 2 3 2 3" xfId="3964"/>
    <cellStyle name="60% - Accent3 2 2 3 2 3" xfId="3965"/>
    <cellStyle name="20% - Accent4 2 2 3 2 3" xfId="3966"/>
    <cellStyle name="40% - Accent4 2 2 3 2 3" xfId="3967"/>
    <cellStyle name="60% - Accent4 2 2 3 2 3" xfId="3968"/>
    <cellStyle name="20% - Accent5 2 2 3 2 3" xfId="3969"/>
    <cellStyle name="40% - Accent5 2 2 3 2 3" xfId="3970"/>
    <cellStyle name="60% - Accent5 2 2 3 2 3" xfId="3971"/>
    <cellStyle name="20% - Accent6 2 2 3 2 3" xfId="3972"/>
    <cellStyle name="40% - Accent6 2 2 3 2 3" xfId="3973"/>
    <cellStyle name="60% - Accent6 2 2 3 2 3" xfId="3974"/>
    <cellStyle name="Comma 2 2 2 3 2 4" xfId="3975"/>
    <cellStyle name="Comma 4 2 3 2 4" xfId="3976"/>
    <cellStyle name="Normal 3 8 2 3 2 3" xfId="3977"/>
    <cellStyle name="Comma 6 2 2 4" xfId="3978"/>
    <cellStyle name="20% - Accent1 4 2 2 3" xfId="3979"/>
    <cellStyle name="40% - Accent1 4 2 2 3" xfId="3980"/>
    <cellStyle name="60% - Accent1 4 2 2 3" xfId="3981"/>
    <cellStyle name="20% - Accent2 4 2 2 3" xfId="3982"/>
    <cellStyle name="40% - Accent2 4 2 2 3" xfId="3983"/>
    <cellStyle name="60% - Accent2 4 2 2 3" xfId="3984"/>
    <cellStyle name="20% - Accent3 4 2 2 3" xfId="3985"/>
    <cellStyle name="40% - Accent3 4 2 2 3" xfId="3986"/>
    <cellStyle name="60% - Accent3 4 2 2 3" xfId="3987"/>
    <cellStyle name="20% - Accent4 4 2 2 3" xfId="3988"/>
    <cellStyle name="40% - Accent4 4 2 2 3" xfId="3989"/>
    <cellStyle name="60% - Accent4 4 2 2 3" xfId="3990"/>
    <cellStyle name="20% - Accent5 4 2 2 3" xfId="3991"/>
    <cellStyle name="40% - Accent5 4 2 2 3" xfId="3992"/>
    <cellStyle name="60% - Accent5 4 2 2 3" xfId="3993"/>
    <cellStyle name="20% - Accent6 4 2 2 3" xfId="3994"/>
    <cellStyle name="40% - Accent6 4 2 2 3" xfId="3995"/>
    <cellStyle name="60% - Accent6 4 2 2 3" xfId="3996"/>
    <cellStyle name="Normal 3 2 4 2 2 3" xfId="3997"/>
    <cellStyle name="Normal 3 3 4 2 2 3" xfId="3998"/>
    <cellStyle name="Normal 3 4 4 2 2 3" xfId="3999"/>
    <cellStyle name="Normal 3 5 4 2 2 3" xfId="4000"/>
    <cellStyle name="Normal 3 2 2 3 2 2 3" xfId="4001"/>
    <cellStyle name="Normal 3 3 2 3 2 2 3" xfId="4002"/>
    <cellStyle name="Normal 3 4 2 3 2 2 3" xfId="4003"/>
    <cellStyle name="Normal 3 5 2 3 2 2 3" xfId="4004"/>
    <cellStyle name="Normal 5 3 2 2 3" xfId="4005"/>
    <cellStyle name="Percent 3 3 2 2 3" xfId="4006"/>
    <cellStyle name="Note 2 3 2 2 3" xfId="4007"/>
    <cellStyle name="Normal 3 6 3 2 2 3" xfId="4008"/>
    <cellStyle name="Comma 2 5 2 2 4" xfId="4009"/>
    <cellStyle name="Comma 3 4 2 2 4" xfId="4010"/>
    <cellStyle name="Percent 4 3 2 2 3" xfId="4011"/>
    <cellStyle name="Normal 3 7 3 2 2 3" xfId="4012"/>
    <cellStyle name="Note 3 3 2 2 3" xfId="4013"/>
    <cellStyle name="20% - Accent1 2 3 2 2 3" xfId="4014"/>
    <cellStyle name="40% - Accent1 2 3 2 2 3" xfId="4015"/>
    <cellStyle name="60% - Accent1 2 3 2 2 3" xfId="4016"/>
    <cellStyle name="20% - Accent2 2 3 2 2 3" xfId="4017"/>
    <cellStyle name="40% - Accent2 2 3 2 2 3" xfId="4018"/>
    <cellStyle name="60% - Accent2 2 3 2 2 3" xfId="4019"/>
    <cellStyle name="20% - Accent3 2 3 2 2 3" xfId="4020"/>
    <cellStyle name="40% - Accent3 2 3 2 2 3" xfId="4021"/>
    <cellStyle name="60% - Accent3 2 3 2 2 3" xfId="4022"/>
    <cellStyle name="20% - Accent4 2 3 2 2 3" xfId="4023"/>
    <cellStyle name="40% - Accent4 2 3 2 2 3" xfId="4024"/>
    <cellStyle name="60% - Accent4 2 3 2 2 3" xfId="4025"/>
    <cellStyle name="20% - Accent5 2 3 2 2 3" xfId="4026"/>
    <cellStyle name="40% - Accent5 2 3 2 2 3" xfId="4027"/>
    <cellStyle name="60% - Accent5 2 3 2 2 3" xfId="4028"/>
    <cellStyle name="20% - Accent6 2 3 2 2 3" xfId="4029"/>
    <cellStyle name="40% - Accent6 2 3 2 2 3" xfId="4030"/>
    <cellStyle name="60% - Accent6 2 3 2 2 3" xfId="4031"/>
    <cellStyle name="Comma 2 2 4 2 2 4" xfId="4032"/>
    <cellStyle name="Comma 4 4 2 2 4" xfId="4033"/>
    <cellStyle name="Normal 3 8 3 2 2 3" xfId="4034"/>
    <cellStyle name="Comma 2 4 2 2 4" xfId="4035"/>
    <cellStyle name="Comma 3 3 2 2 4" xfId="4036"/>
    <cellStyle name="Comma 2 2 3 2 2 4" xfId="4037"/>
    <cellStyle name="Comma 4 3 2 2 4" xfId="4038"/>
    <cellStyle name="Normal 7 2 2 2 3" xfId="4039"/>
    <cellStyle name="Comma 5 2 2 2 4" xfId="4040"/>
    <cellStyle name="20% - Accent1 3 2 2 2 3" xfId="4041"/>
    <cellStyle name="40% - Accent1 3 2 2 2 3" xfId="4042"/>
    <cellStyle name="60% - Accent1 3 2 2 2 3" xfId="4043"/>
    <cellStyle name="20% - Accent2 3 2 2 2 3" xfId="4044"/>
    <cellStyle name="40% - Accent2 3 2 2 2 3" xfId="4045"/>
    <cellStyle name="60% - Accent2 3 2 2 2 3" xfId="4046"/>
    <cellStyle name="20% - Accent3 3 2 2 2 3" xfId="4047"/>
    <cellStyle name="40% - Accent3 3 2 2 2 3" xfId="4048"/>
    <cellStyle name="60% - Accent3 3 2 2 2 3" xfId="4049"/>
    <cellStyle name="20% - Accent4 3 2 2 2 3" xfId="4050"/>
    <cellStyle name="40% - Accent4 3 2 2 2 3" xfId="4051"/>
    <cellStyle name="60% - Accent4 3 2 2 2 3" xfId="4052"/>
    <cellStyle name="20% - Accent5 3 2 2 2 3" xfId="4053"/>
    <cellStyle name="40% - Accent5 3 2 2 2 3" xfId="4054"/>
    <cellStyle name="60% - Accent5 3 2 2 2 3" xfId="4055"/>
    <cellStyle name="20% - Accent6 3 2 2 2 3" xfId="4056"/>
    <cellStyle name="40% - Accent6 3 2 2 2 3" xfId="4057"/>
    <cellStyle name="60% - Accent6 3 2 2 2 3" xfId="4058"/>
    <cellStyle name="Normal 3 2 3 2 2 2 3" xfId="4059"/>
    <cellStyle name="Normal 3 3 3 2 2 2 3" xfId="4060"/>
    <cellStyle name="Normal 3 4 3 2 2 2 3" xfId="4061"/>
    <cellStyle name="Normal 3 5 3 2 2 2 3" xfId="4062"/>
    <cellStyle name="Normal 3 3 2 2 2 2 2 3" xfId="4063"/>
    <cellStyle name="Normal 3 4 2 2 2 2 2 3" xfId="4064"/>
    <cellStyle name="Normal 3 5 2 2 2 2 2 3" xfId="4065"/>
    <cellStyle name="Normal 5 2 2 2 2 3" xfId="4066"/>
    <cellStyle name="Percent 3 2 2 2 2 3" xfId="4067"/>
    <cellStyle name="Note 2 2 2 2 2 3" xfId="4068"/>
    <cellStyle name="Normal 3 6 2 2 2 2 3" xfId="4069"/>
    <cellStyle name="Comma 2 3 2 2 2 4" xfId="4070"/>
    <cellStyle name="Comma 3 2 2 2 2 4" xfId="4071"/>
    <cellStyle name="Percent 4 2 2 2 2 3" xfId="4072"/>
    <cellStyle name="Normal 3 7 2 2 2 2 3" xfId="4073"/>
    <cellStyle name="Note 3 2 2 2 2 3" xfId="4074"/>
    <cellStyle name="20% - Accent1 2 2 2 2 2 3" xfId="4075"/>
    <cellStyle name="40% - Accent1 2 2 2 2 2 3" xfId="4076"/>
    <cellStyle name="60% - Accent1 2 2 2 2 2 3" xfId="4077"/>
    <cellStyle name="20% - Accent2 2 2 2 2 2 3" xfId="4078"/>
    <cellStyle name="40% - Accent2 2 2 2 2 2 3" xfId="4079"/>
    <cellStyle name="60% - Accent2 2 2 2 2 2 3" xfId="4080"/>
    <cellStyle name="20% - Accent3 2 2 2 2 2 3" xfId="4081"/>
    <cellStyle name="40% - Accent3 2 2 2 2 2 3" xfId="4082"/>
    <cellStyle name="60% - Accent3 2 2 2 2 2 3" xfId="4083"/>
    <cellStyle name="20% - Accent4 2 2 2 2 2 3" xfId="4084"/>
    <cellStyle name="40% - Accent4 2 2 2 2 2 3" xfId="4085"/>
    <cellStyle name="60% - Accent4 2 2 2 2 2 3" xfId="4086"/>
    <cellStyle name="20% - Accent5 2 2 2 2 2 3" xfId="4087"/>
    <cellStyle name="40% - Accent5 2 2 2 2 2 3" xfId="4088"/>
    <cellStyle name="60% - Accent5 2 2 2 2 2 3" xfId="4089"/>
    <cellStyle name="20% - Accent6 2 2 2 2 2 3" xfId="4090"/>
    <cellStyle name="40% - Accent6 2 2 2 2 2 3" xfId="4091"/>
    <cellStyle name="60% - Accent6 2 2 2 2 2 3" xfId="4092"/>
    <cellStyle name="Comma 2 2 2 2 2 2 4" xfId="4093"/>
    <cellStyle name="Comma 4 2 2 2 2 4" xfId="4094"/>
    <cellStyle name="Normal 3 8 2 2 2 2 3" xfId="4095"/>
    <cellStyle name="Normal 3 10 2 2 3" xfId="4096"/>
    <cellStyle name="Normal 3 11 2 2 3" xfId="4097"/>
    <cellStyle name="Normal 3 13 3" xfId="4098"/>
    <cellStyle name="Normal 3 2 7 3" xfId="4099"/>
    <cellStyle name="Normal 3 3 7 3" xfId="4100"/>
    <cellStyle name="Normal 3 4 7 3" xfId="4101"/>
    <cellStyle name="Normal 3 5 7 3" xfId="4102"/>
    <cellStyle name="20% - Accent1 7 3" xfId="4103"/>
    <cellStyle name="40% - Accent1 7 3" xfId="4104"/>
    <cellStyle name="60% - Accent1 7 3" xfId="4105"/>
    <cellStyle name="20% - Accent2 7 3" xfId="4106"/>
    <cellStyle name="40% - Accent2 7 3" xfId="4107"/>
    <cellStyle name="60% - Accent2 7 3" xfId="4108"/>
    <cellStyle name="20% - Accent3 7 3" xfId="4109"/>
    <cellStyle name="40% - Accent3 7 3" xfId="4110"/>
    <cellStyle name="60% - Accent3 7 3" xfId="4111"/>
    <cellStyle name="20% - Accent4 7 3" xfId="4112"/>
    <cellStyle name="40% - Accent4 7 3" xfId="4113"/>
    <cellStyle name="60% - Accent4 7 3" xfId="4114"/>
    <cellStyle name="20% - Accent5 7 3" xfId="4115"/>
    <cellStyle name="40% - Accent5 7 3" xfId="4116"/>
    <cellStyle name="60% - Accent5 7 3" xfId="4117"/>
    <cellStyle name="20% - Accent6 7 3" xfId="4118"/>
    <cellStyle name="40% - Accent6 7 3" xfId="4119"/>
    <cellStyle name="60% - Accent6 7 3" xfId="4120"/>
    <cellStyle name="Normal 3 2 2 6 3" xfId="4121"/>
    <cellStyle name="Normal 3 3 2 6 3" xfId="4122"/>
    <cellStyle name="Normal 3 4 2 6 3" xfId="4123"/>
    <cellStyle name="Normal 3 5 2 6 3" xfId="4124"/>
    <cellStyle name="Normal 5 6 3" xfId="4125"/>
    <cellStyle name="Percent 3 6 3" xfId="4126"/>
    <cellStyle name="Note 2 6 3" xfId="4127"/>
    <cellStyle name="Normal 3 6 6 3" xfId="4128"/>
    <cellStyle name="Comma 2 8 4" xfId="4129"/>
    <cellStyle name="Comma 3 8 4" xfId="4130"/>
    <cellStyle name="Percent 4 6 3" xfId="4131"/>
    <cellStyle name="Normal 3 7 6 3" xfId="4132"/>
    <cellStyle name="Note 3 6 3" xfId="4133"/>
    <cellStyle name="20% - Accent1 2 6 3" xfId="4134"/>
    <cellStyle name="40% - Accent1 2 6 3" xfId="4135"/>
    <cellStyle name="60% - Accent1 2 6 3" xfId="4136"/>
    <cellStyle name="20% - Accent2 2 6 3" xfId="4137"/>
    <cellStyle name="40% - Accent2 2 6 3" xfId="4138"/>
    <cellStyle name="60% - Accent2 2 6 3" xfId="4139"/>
    <cellStyle name="20% - Accent3 2 6 3" xfId="4140"/>
    <cellStyle name="40% - Accent3 2 6 3" xfId="4141"/>
    <cellStyle name="60% - Accent3 2 6 3" xfId="4142"/>
    <cellStyle name="20% - Accent4 2 6 3" xfId="4143"/>
    <cellStyle name="40% - Accent4 2 6 3" xfId="4144"/>
    <cellStyle name="60% - Accent4 2 6 3" xfId="4145"/>
    <cellStyle name="20% - Accent5 2 6 3" xfId="4146"/>
    <cellStyle name="40% - Accent5 2 6 3" xfId="4147"/>
    <cellStyle name="60% - Accent5 2 6 3" xfId="4148"/>
    <cellStyle name="20% - Accent6 2 6 3" xfId="4149"/>
    <cellStyle name="40% - Accent6 2 6 3" xfId="4150"/>
    <cellStyle name="60% - Accent6 2 6 3" xfId="4151"/>
    <cellStyle name="Comma 2 2 7 4" xfId="4152"/>
    <cellStyle name="Comma 4 7 4" xfId="4153"/>
    <cellStyle name="Normal 3 8 6 3" xfId="4154"/>
    <cellStyle name="Normal 7 5 3" xfId="4155"/>
    <cellStyle name="Comma 5 5 4" xfId="4156"/>
    <cellStyle name="20% - Accent1 3 5 3" xfId="4157"/>
    <cellStyle name="40% - Accent1 3 5 3" xfId="4158"/>
    <cellStyle name="60% - Accent1 3 5 3" xfId="4159"/>
    <cellStyle name="20% - Accent2 3 5 3" xfId="4160"/>
    <cellStyle name="40% - Accent2 3 5 3" xfId="4161"/>
    <cellStyle name="60% - Accent2 3 5 3" xfId="4162"/>
    <cellStyle name="20% - Accent3 3 5 3" xfId="4163"/>
    <cellStyle name="40% - Accent3 3 5 3" xfId="4164"/>
    <cellStyle name="60% - Accent3 3 5 3" xfId="4165"/>
    <cellStyle name="20% - Accent4 3 5 3" xfId="4166"/>
    <cellStyle name="40% - Accent4 3 5 3" xfId="4167"/>
    <cellStyle name="60% - Accent4 3 5 3" xfId="4168"/>
    <cellStyle name="20% - Accent5 3 5 3" xfId="4169"/>
    <cellStyle name="40% - Accent5 3 5 3" xfId="4170"/>
    <cellStyle name="60% - Accent5 3 5 3" xfId="4171"/>
    <cellStyle name="20% - Accent6 3 5 3" xfId="4172"/>
    <cellStyle name="40% - Accent6 3 5 3" xfId="4173"/>
    <cellStyle name="60% - Accent6 3 5 3" xfId="4174"/>
    <cellStyle name="Normal 3 2 3 5 3" xfId="4175"/>
    <cellStyle name="Normal 3 3 3 5 3" xfId="4176"/>
    <cellStyle name="Normal 3 4 3 5 3" xfId="4177"/>
    <cellStyle name="Normal 3 5 3 5 3" xfId="4178"/>
    <cellStyle name="Normal 3 2 2 2 5 3" xfId="4179"/>
    <cellStyle name="Normal 3 3 2 2 5 3" xfId="4180"/>
    <cellStyle name="Normal 3 4 2 2 5 3" xfId="4181"/>
    <cellStyle name="Normal 3 5 2 2 5 3" xfId="4182"/>
    <cellStyle name="Normal 5 2 5 3" xfId="4183"/>
    <cellStyle name="Percent 3 2 5 3" xfId="4184"/>
    <cellStyle name="Note 2 2 5 3" xfId="4185"/>
    <cellStyle name="Normal 3 6 2 5 3" xfId="4186"/>
    <cellStyle name="Comma 2 3 5 4" xfId="4187"/>
    <cellStyle name="Comma 3 2 5 4" xfId="4188"/>
    <cellStyle name="Percent 4 2 5 3" xfId="4189"/>
    <cellStyle name="Normal 3 7 2 5 3" xfId="4190"/>
    <cellStyle name="Note 3 2 5 3" xfId="4191"/>
    <cellStyle name="20% - Accent1 2 2 5 3" xfId="4192"/>
    <cellStyle name="40% - Accent1 2 2 5 3" xfId="4193"/>
    <cellStyle name="60% - Accent1 2 2 5 3" xfId="4194"/>
    <cellStyle name="20% - Accent2 2 2 5 3" xfId="4195"/>
    <cellStyle name="40% - Accent2 2 2 5 3" xfId="4196"/>
    <cellStyle name="60% - Accent2 2 2 5 3" xfId="4197"/>
    <cellStyle name="20% - Accent3 2 2 5 3" xfId="4198"/>
    <cellStyle name="40% - Accent3 2 2 5 3" xfId="4199"/>
    <cellStyle name="60% - Accent3 2 2 5 3" xfId="4200"/>
    <cellStyle name="20% - Accent4 2 2 5 3" xfId="4201"/>
    <cellStyle name="40% - Accent4 2 2 5 3" xfId="4202"/>
    <cellStyle name="60% - Accent4 2 2 5 3" xfId="4203"/>
    <cellStyle name="20% - Accent5 2 2 5 3" xfId="4204"/>
    <cellStyle name="40% - Accent5 2 2 5 3" xfId="4205"/>
    <cellStyle name="60% - Accent5 2 2 5 3" xfId="4206"/>
    <cellStyle name="20% - Accent6 2 2 5 3" xfId="4207"/>
    <cellStyle name="40% - Accent6 2 2 5 3" xfId="4208"/>
    <cellStyle name="60% - Accent6 2 2 5 3" xfId="4209"/>
    <cellStyle name="Comma 2 2 2 5 4" xfId="4210"/>
    <cellStyle name="Comma 4 2 5 4" xfId="4211"/>
    <cellStyle name="Normal 3 8 2 5 3" xfId="4212"/>
    <cellStyle name="Normal 8 4 3" xfId="4213"/>
    <cellStyle name="Comma 6 4 4" xfId="4214"/>
    <cellStyle name="20% - Accent1 4 4 3" xfId="4215"/>
    <cellStyle name="40% - Accent1 4 4 3" xfId="4216"/>
    <cellStyle name="60% - Accent1 4 4 3" xfId="4217"/>
    <cellStyle name="20% - Accent2 4 4 3" xfId="4218"/>
    <cellStyle name="40% - Accent2 4 4 3" xfId="4219"/>
    <cellStyle name="60% - Accent2 4 4 3" xfId="4220"/>
    <cellStyle name="20% - Accent3 4 4 3" xfId="4221"/>
    <cellStyle name="40% - Accent3 4 4 3" xfId="4222"/>
    <cellStyle name="60% - Accent3 4 4 3" xfId="4223"/>
    <cellStyle name="20% - Accent4 4 4 3" xfId="4224"/>
    <cellStyle name="40% - Accent4 4 4 3" xfId="4225"/>
    <cellStyle name="60% - Accent4 4 4 3" xfId="4226"/>
    <cellStyle name="20% - Accent5 4 4 3" xfId="4227"/>
    <cellStyle name="40% - Accent5 4 4 3" xfId="4228"/>
    <cellStyle name="60% - Accent5 4 4 3" xfId="4229"/>
    <cellStyle name="20% - Accent6 4 4 3" xfId="4230"/>
    <cellStyle name="40% - Accent6 4 4 3" xfId="4231"/>
    <cellStyle name="60% - Accent6 4 4 3" xfId="4232"/>
    <cellStyle name="Normal 3 2 4 4 3" xfId="4233"/>
    <cellStyle name="Normal 3 3 4 4 3" xfId="4234"/>
    <cellStyle name="Normal 3 4 4 4 3" xfId="4235"/>
    <cellStyle name="Normal 3 5 4 4 3" xfId="4236"/>
    <cellStyle name="Normal 3 2 2 3 4 3" xfId="4237"/>
    <cellStyle name="Normal 3 3 2 3 4 3" xfId="4238"/>
    <cellStyle name="Normal 3 4 2 3 4 3" xfId="4239"/>
    <cellStyle name="Normal 3 5 2 3 4 3" xfId="4240"/>
    <cellStyle name="Normal 5 3 4 3" xfId="4241"/>
    <cellStyle name="Percent 3 3 4 3" xfId="4242"/>
    <cellStyle name="Note 2 3 4 3" xfId="4243"/>
    <cellStyle name="Normal 3 6 3 4 3" xfId="4244"/>
    <cellStyle name="Comma 2 5 4 4" xfId="4245"/>
    <cellStyle name="Comma 3 4 4 4" xfId="4246"/>
    <cellStyle name="Percent 4 3 4 3" xfId="4247"/>
    <cellStyle name="Normal 3 7 3 4 3" xfId="4248"/>
    <cellStyle name="Note 3 3 4 3" xfId="4249"/>
    <cellStyle name="20% - Accent1 2 3 4 3" xfId="4250"/>
    <cellStyle name="40% - Accent1 2 3 4 3" xfId="4251"/>
    <cellStyle name="60% - Accent1 2 3 4 3" xfId="4252"/>
    <cellStyle name="20% - Accent2 2 3 4 3" xfId="4253"/>
    <cellStyle name="40% - Accent2 2 3 4 3" xfId="4254"/>
    <cellStyle name="60% - Accent2 2 3 4 3" xfId="4255"/>
    <cellStyle name="20% - Accent3 2 3 4 3" xfId="4256"/>
    <cellStyle name="40% - Accent3 2 3 4 3" xfId="4257"/>
    <cellStyle name="60% - Accent3 2 3 4 3" xfId="4258"/>
    <cellStyle name="20% - Accent4 2 3 4 3" xfId="4259"/>
    <cellStyle name="40% - Accent4 2 3 4 3" xfId="4260"/>
    <cellStyle name="60% - Accent4 2 3 4 3" xfId="4261"/>
    <cellStyle name="20% - Accent5 2 3 4 3" xfId="4262"/>
    <cellStyle name="40% - Accent5 2 3 4 3" xfId="4263"/>
    <cellStyle name="60% - Accent5 2 3 4 3" xfId="4264"/>
    <cellStyle name="20% - Accent6 2 3 4 3" xfId="4265"/>
    <cellStyle name="40% - Accent6 2 3 4 3" xfId="4266"/>
    <cellStyle name="60% - Accent6 2 3 4 3" xfId="4267"/>
    <cellStyle name="Comma 2 2 4 4 4" xfId="4268"/>
    <cellStyle name="Comma 4 4 4 4" xfId="4269"/>
    <cellStyle name="Normal 3 8 3 4 3" xfId="4270"/>
    <cellStyle name="Comma 2 4 4 4" xfId="4271"/>
    <cellStyle name="Comma 3 3 4 4" xfId="4272"/>
    <cellStyle name="Comma 2 2 3 4 4" xfId="4273"/>
    <cellStyle name="Comma 4 3 4 4" xfId="4274"/>
    <cellStyle name="Normal 7 2 4 3" xfId="4275"/>
    <cellStyle name="Comma 5 2 4 4" xfId="4276"/>
    <cellStyle name="20% - Accent1 3 2 4 3" xfId="4277"/>
    <cellStyle name="40% - Accent1 3 2 4 3" xfId="4278"/>
    <cellStyle name="60% - Accent1 3 2 4 3" xfId="4279"/>
    <cellStyle name="20% - Accent2 3 2 4 3" xfId="4280"/>
    <cellStyle name="40% - Accent2 3 2 4 3" xfId="4281"/>
    <cellStyle name="60% - Accent2 3 2 4 3" xfId="4282"/>
    <cellStyle name="20% - Accent3 3 2 4 3" xfId="4283"/>
    <cellStyle name="40% - Accent3 3 2 4 3" xfId="4284"/>
    <cellStyle name="60% - Accent3 3 2 4 3" xfId="4285"/>
    <cellStyle name="20% - Accent4 3 2 4 3" xfId="4286"/>
    <cellStyle name="40% - Accent4 3 2 4 3" xfId="4287"/>
    <cellStyle name="60% - Accent4 3 2 4 3" xfId="4288"/>
    <cellStyle name="20% - Accent5 3 2 4 3" xfId="4289"/>
    <cellStyle name="40% - Accent5 3 2 4 3" xfId="4290"/>
    <cellStyle name="60% - Accent5 3 2 4 3" xfId="4291"/>
    <cellStyle name="20% - Accent6 3 2 4 3" xfId="4292"/>
    <cellStyle name="40% - Accent6 3 2 4 3" xfId="4293"/>
    <cellStyle name="60% - Accent6 3 2 4 3" xfId="4294"/>
    <cellStyle name="Normal 3 2 3 2 4 3" xfId="4295"/>
    <cellStyle name="Normal 3 3 3 2 4 3" xfId="4296"/>
    <cellStyle name="Normal 3 4 3 2 4 3" xfId="4297"/>
    <cellStyle name="Normal 3 5 3 2 4 3" xfId="4298"/>
    <cellStyle name="Normal 3 2 2 2 2 4 3" xfId="4299"/>
    <cellStyle name="Normal 3 3 2 2 2 4 3" xfId="4300"/>
    <cellStyle name="Normal 3 4 2 2 2 4 3" xfId="4301"/>
    <cellStyle name="Normal 3 5 2 2 2 4 3" xfId="4302"/>
    <cellStyle name="Normal 5 2 2 4 3" xfId="4303"/>
    <cellStyle name="Percent 3 2 2 4 3" xfId="4304"/>
    <cellStyle name="Note 2 2 2 4 3" xfId="4305"/>
    <cellStyle name="Normal 3 6 2 2 4 3" xfId="4306"/>
    <cellStyle name="Comma 2 3 2 4 4" xfId="4307"/>
    <cellStyle name="Comma 3 2 2 4 4" xfId="4308"/>
    <cellStyle name="Percent 4 2 2 4 3" xfId="4309"/>
    <cellStyle name="Normal 3 7 2 2 4 3" xfId="4310"/>
    <cellStyle name="Note 3 2 2 4 3" xfId="4311"/>
    <cellStyle name="20% - Accent1 2 2 2 4 3" xfId="4312"/>
    <cellStyle name="40% - Accent1 2 2 2 4 3" xfId="4313"/>
    <cellStyle name="60% - Accent1 2 2 2 4 3" xfId="4314"/>
    <cellStyle name="20% - Accent2 2 2 2 4 3" xfId="4315"/>
    <cellStyle name="40% - Accent2 2 2 2 4 3" xfId="4316"/>
    <cellStyle name="60% - Accent2 2 2 2 4 3" xfId="4317"/>
    <cellStyle name="20% - Accent3 2 2 2 4 3" xfId="4318"/>
    <cellStyle name="40% - Accent3 2 2 2 4 3" xfId="4319"/>
    <cellStyle name="60% - Accent3 2 2 2 4 3" xfId="4320"/>
    <cellStyle name="20% - Accent4 2 2 2 4 3" xfId="4321"/>
    <cellStyle name="40% - Accent4 2 2 2 4 3" xfId="4322"/>
    <cellStyle name="60% - Accent4 2 2 2 4 3" xfId="4323"/>
    <cellStyle name="20% - Accent5 2 2 2 4 3" xfId="4324"/>
    <cellStyle name="40% - Accent5 2 2 2 4 3" xfId="4325"/>
    <cellStyle name="60% - Accent5 2 2 2 4 3" xfId="4326"/>
    <cellStyle name="20% - Accent6 2 2 2 4 3" xfId="4327"/>
    <cellStyle name="40% - Accent6 2 2 2 4 3" xfId="4328"/>
    <cellStyle name="60% - Accent6 2 2 2 4 3" xfId="4329"/>
    <cellStyle name="Comma 2 2 2 2 4 4" xfId="4330"/>
    <cellStyle name="Comma 4 2 2 4 4" xfId="4331"/>
    <cellStyle name="Normal 3 8 2 2 4 3" xfId="4332"/>
    <cellStyle name="Normal 3 10 4 3" xfId="4333"/>
    <cellStyle name="Normal 3 11 4 3" xfId="4334"/>
    <cellStyle name="Normal 12 3 4" xfId="4335"/>
    <cellStyle name="Percent 8 3" xfId="4336"/>
    <cellStyle name="Note 4 3" xfId="4337"/>
    <cellStyle name="20% - Accent1 8 3" xfId="4338"/>
    <cellStyle name="40% - Accent1 8 3" xfId="4339"/>
    <cellStyle name="60% - Accent1 8 3" xfId="4340"/>
    <cellStyle name="20% - Accent2 8 3" xfId="4341"/>
    <cellStyle name="40% - Accent2 8 3" xfId="4342"/>
    <cellStyle name="60% - Accent2 8 3" xfId="4343"/>
    <cellStyle name="20% - Accent3 8 3" xfId="4344"/>
    <cellStyle name="40% - Accent3 8 3" xfId="4345"/>
    <cellStyle name="60% - Accent3 8 3" xfId="4346"/>
    <cellStyle name="20% - Accent4 8 3" xfId="4347"/>
    <cellStyle name="40% - Accent4 8 3" xfId="4348"/>
    <cellStyle name="60% - Accent4 8 3" xfId="4349"/>
    <cellStyle name="20% - Accent5 8 3" xfId="4350"/>
    <cellStyle name="40% - Accent5 8 3" xfId="4351"/>
    <cellStyle name="60% - Accent5 8 3" xfId="4352"/>
    <cellStyle name="20% - Accent6 8 3" xfId="4353"/>
    <cellStyle name="40% - Accent6 8 3" xfId="4354"/>
    <cellStyle name="60% - Accent6 8 3" xfId="4355"/>
    <cellStyle name="Comma 2 9 4" xfId="4356"/>
    <cellStyle name="Comma 7 4" xfId="4357"/>
    <cellStyle name="Normal 13 5" xfId="4358"/>
    <cellStyle name="Comma 8 3" xfId="4359"/>
    <cellStyle name="20% - Accent1 9 3" xfId="4360"/>
    <cellStyle name="40% - Accent1 9 3" xfId="4361"/>
    <cellStyle name="60% - Accent1 9 3" xfId="4362"/>
    <cellStyle name="20% - Accent2 9 3" xfId="4363"/>
    <cellStyle name="40% - Accent2 9 3" xfId="4364"/>
    <cellStyle name="60% - Accent2 9 3" xfId="4365"/>
    <cellStyle name="20% - Accent3 9 3" xfId="4366"/>
    <cellStyle name="40% - Accent3 9 3" xfId="4367"/>
    <cellStyle name="60% - Accent3 9 3" xfId="4368"/>
    <cellStyle name="20% - Accent4 9 3" xfId="4369"/>
    <cellStyle name="40% - Accent4 9 3" xfId="4370"/>
    <cellStyle name="60% - Accent4 9 3" xfId="4371"/>
    <cellStyle name="20% - Accent5 9 3" xfId="4372"/>
    <cellStyle name="40% - Accent5 9 3" xfId="4373"/>
    <cellStyle name="60% - Accent5 9 3" xfId="4374"/>
    <cellStyle name="20% - Accent6 9 3" xfId="4375"/>
    <cellStyle name="40% - Accent6 9 3" xfId="4376"/>
    <cellStyle name="60% - Accent6 9 3" xfId="4377"/>
    <cellStyle name="Normal 3 2 8 3" xfId="4378"/>
    <cellStyle name="Normal 3 3 8 3" xfId="4379"/>
    <cellStyle name="Normal 3 4 8 3" xfId="4380"/>
    <cellStyle name="Normal 3 5 8 3" xfId="4381"/>
    <cellStyle name="Normal 3 2 2 7 3" xfId="4382"/>
    <cellStyle name="Normal 3 3 2 7 3" xfId="4383"/>
    <cellStyle name="Normal 3 4 2 7 3" xfId="4384"/>
    <cellStyle name="Normal 3 5 2 7 3" xfId="4385"/>
    <cellStyle name="Normal 5 7 3" xfId="4386"/>
    <cellStyle name="Percent 3 7 3" xfId="4387"/>
    <cellStyle name="Note 2 7 3" xfId="4388"/>
    <cellStyle name="Normal 3 6 7 3" xfId="4389"/>
    <cellStyle name="Comma 2 10 3" xfId="4390"/>
    <cellStyle name="Comma 3 9 3" xfId="4391"/>
    <cellStyle name="Percent 4 7 3" xfId="4392"/>
    <cellStyle name="Normal 3 7 7 3" xfId="4393"/>
    <cellStyle name="Note 3 7 3" xfId="4394"/>
    <cellStyle name="20% - Accent1 2 7 3" xfId="4395"/>
    <cellStyle name="40% - Accent1 2 7 3" xfId="4396"/>
    <cellStyle name="60% - Accent1 2 7 3" xfId="4397"/>
    <cellStyle name="20% - Accent2 2 7 3" xfId="4398"/>
    <cellStyle name="40% - Accent2 2 7 3" xfId="4399"/>
    <cellStyle name="60% - Accent2 2 7 3" xfId="4400"/>
    <cellStyle name="20% - Accent3 2 7 3" xfId="4401"/>
    <cellStyle name="40% - Accent3 2 7 3" xfId="4402"/>
    <cellStyle name="60% - Accent3 2 7 3" xfId="4403"/>
    <cellStyle name="20% - Accent4 2 7 3" xfId="4404"/>
    <cellStyle name="40% - Accent4 2 7 3" xfId="4405"/>
    <cellStyle name="60% - Accent4 2 7 3" xfId="4406"/>
    <cellStyle name="20% - Accent5 2 7 3" xfId="4407"/>
    <cellStyle name="40% - Accent5 2 7 3" xfId="4408"/>
    <cellStyle name="60% - Accent5 2 7 3" xfId="4409"/>
    <cellStyle name="20% - Accent6 2 7 3" xfId="4410"/>
    <cellStyle name="40% - Accent6 2 7 3" xfId="4411"/>
    <cellStyle name="60% - Accent6 2 7 3" xfId="4412"/>
    <cellStyle name="Comma 2 2 8 3" xfId="4413"/>
    <cellStyle name="Comma 4 8 3" xfId="4414"/>
    <cellStyle name="Normal 3 8 7 3" xfId="4415"/>
    <cellStyle name="Comma 2 4 5 3" xfId="4416"/>
    <cellStyle name="Comma 3 3 5 3" xfId="4417"/>
    <cellStyle name="Comma 2 2 3 5 3" xfId="4418"/>
    <cellStyle name="Comma 4 3 5 3" xfId="4419"/>
    <cellStyle name="Normal 7 6 3" xfId="4420"/>
    <cellStyle name="Comma 5 6 3" xfId="4421"/>
    <cellStyle name="20% - Accent1 3 6 3" xfId="4422"/>
    <cellStyle name="40% - Accent1 3 6 3" xfId="4423"/>
    <cellStyle name="60% - Accent1 3 6 3" xfId="4424"/>
    <cellStyle name="20% - Accent2 3 6 3" xfId="4425"/>
    <cellStyle name="40% - Accent2 3 6 3" xfId="4426"/>
    <cellStyle name="60% - Accent2 3 6 3" xfId="4427"/>
    <cellStyle name="20% - Accent3 3 6 3" xfId="4428"/>
    <cellStyle name="40% - Accent3 3 6 3" xfId="4429"/>
    <cellStyle name="60% - Accent3 3 6 3" xfId="4430"/>
    <cellStyle name="20% - Accent4 3 6 3" xfId="4431"/>
    <cellStyle name="40% - Accent4 3 6 3" xfId="4432"/>
    <cellStyle name="60% - Accent4 3 6 3" xfId="4433"/>
    <cellStyle name="20% - Accent5 3 6 3" xfId="4434"/>
    <cellStyle name="40% - Accent5 3 6 3" xfId="4435"/>
    <cellStyle name="60% - Accent5 3 6 3" xfId="4436"/>
    <cellStyle name="20% - Accent6 3 6 3" xfId="4437"/>
    <cellStyle name="40% - Accent6 3 6 3" xfId="4438"/>
    <cellStyle name="60% - Accent6 3 6 3" xfId="4439"/>
    <cellStyle name="Normal 3 2 3 6 3" xfId="4440"/>
    <cellStyle name="Normal 3 3 3 6 3" xfId="4441"/>
    <cellStyle name="Normal 3 4 3 6 3" xfId="4442"/>
    <cellStyle name="Normal 3 5 3 6 3" xfId="4443"/>
    <cellStyle name="Normal 3 2 2 2 6 3" xfId="4444"/>
    <cellStyle name="Normal 3 3 2 2 6 3" xfId="4445"/>
    <cellStyle name="Normal 3 4 2 2 6 3" xfId="4446"/>
    <cellStyle name="Normal 3 5 2 2 6 3" xfId="4447"/>
    <cellStyle name="Normal 5 2 6 3" xfId="4448"/>
    <cellStyle name="Percent 3 2 6 3" xfId="4449"/>
    <cellStyle name="Note 2 2 6 3" xfId="4450"/>
    <cellStyle name="Normal 3 6 2 6 3" xfId="4451"/>
    <cellStyle name="Comma 2 3 6 3" xfId="4452"/>
    <cellStyle name="Comma 3 2 6 3" xfId="4453"/>
    <cellStyle name="Percent 4 2 6 3" xfId="4454"/>
    <cellStyle name="Normal 3 7 2 6 3" xfId="4455"/>
    <cellStyle name="Note 3 2 6 3" xfId="4456"/>
    <cellStyle name="20% - Accent1 2 2 6 3" xfId="4457"/>
    <cellStyle name="40% - Accent1 2 2 6 3" xfId="4458"/>
    <cellStyle name="60% - Accent1 2 2 6 3" xfId="4459"/>
    <cellStyle name="20% - Accent2 2 2 6 3" xfId="4460"/>
    <cellStyle name="40% - Accent2 2 2 6 3" xfId="4461"/>
    <cellStyle name="60% - Accent2 2 2 6 3" xfId="4462"/>
    <cellStyle name="20% - Accent3 2 2 6 3" xfId="4463"/>
    <cellStyle name="40% - Accent3 2 2 6 3" xfId="4464"/>
    <cellStyle name="60% - Accent3 2 2 6 3" xfId="4465"/>
    <cellStyle name="20% - Accent4 2 2 6 3" xfId="4466"/>
    <cellStyle name="40% - Accent4 2 2 6 3" xfId="4467"/>
    <cellStyle name="60% - Accent4 2 2 6 3" xfId="4468"/>
    <cellStyle name="20% - Accent5 2 2 6 3" xfId="4469"/>
    <cellStyle name="40% - Accent5 2 2 6 3" xfId="4470"/>
    <cellStyle name="60% - Accent5 2 2 6 3" xfId="4471"/>
    <cellStyle name="20% - Accent6 2 2 6 3" xfId="4472"/>
    <cellStyle name="40% - Accent6 2 2 6 3" xfId="4473"/>
    <cellStyle name="60% - Accent6 2 2 6 3" xfId="4474"/>
    <cellStyle name="Comma 2 2 2 6 3" xfId="4475"/>
    <cellStyle name="Comma 4 2 6 3" xfId="4476"/>
    <cellStyle name="Normal 3 8 2 6 3" xfId="4477"/>
    <cellStyle name="20% - Accent1 10 2" xfId="4478"/>
    <cellStyle name="40% - Accent1 10 2" xfId="4479"/>
    <cellStyle name="60% - Accent1 10 2" xfId="4480"/>
    <cellStyle name="20% - Accent2 10 2" xfId="4481"/>
    <cellStyle name="40% - Accent2 10 2" xfId="4482"/>
    <cellStyle name="60% - Accent2 10 2" xfId="4483"/>
    <cellStyle name="20% - Accent3 10 2" xfId="4484"/>
    <cellStyle name="40% - Accent3 10 2" xfId="4485"/>
    <cellStyle name="60% - Accent3 10 2" xfId="4486"/>
    <cellStyle name="20% - Accent4 10 2" xfId="4487"/>
    <cellStyle name="40% - Accent4 10 2" xfId="4488"/>
    <cellStyle name="60% - Accent4 10 2" xfId="4489"/>
    <cellStyle name="20% - Accent5 10 2" xfId="4490"/>
    <cellStyle name="40% - Accent5 10 2" xfId="4491"/>
    <cellStyle name="60% - Accent5 10 2" xfId="4492"/>
    <cellStyle name="20% - Accent6 10 2" xfId="4493"/>
    <cellStyle name="40% - Accent6 10 2" xfId="4494"/>
    <cellStyle name="60% - Accent6 10 2" xfId="4495"/>
    <cellStyle name="Normal 3 2 9 2" xfId="4496"/>
    <cellStyle name="Normal 3 3 9 2" xfId="4497"/>
    <cellStyle name="Normal 3 4 9 2" xfId="4498"/>
    <cellStyle name="Normal 3 5 9 2" xfId="4499"/>
    <cellStyle name="Normal 3 2 2 8 2" xfId="4500"/>
    <cellStyle name="Normal 3 3 2 8 2" xfId="4501"/>
    <cellStyle name="Normal 3 4 2 8 2" xfId="4502"/>
    <cellStyle name="Normal 3 5 2 8 2" xfId="4503"/>
    <cellStyle name="Normal 5 8 2" xfId="4504"/>
    <cellStyle name="Percent 3 8 2" xfId="4505"/>
    <cellStyle name="Note 2 8 2" xfId="4506"/>
    <cellStyle name="Normal 3 6 8 2" xfId="4507"/>
    <cellStyle name="Comma 2 12 2" xfId="4508"/>
    <cellStyle name="Comma 3 11 2" xfId="4509"/>
    <cellStyle name="Percent 4 8 2" xfId="4510"/>
    <cellStyle name="Normal 3 7 8 2" xfId="4511"/>
    <cellStyle name="Note 3 8 2" xfId="4512"/>
    <cellStyle name="20% - Accent1 2 8 2" xfId="4513"/>
    <cellStyle name="40% - Accent1 2 8 2" xfId="4514"/>
    <cellStyle name="60% - Accent1 2 8 2" xfId="4515"/>
    <cellStyle name="20% - Accent2 2 8 2" xfId="4516"/>
    <cellStyle name="40% - Accent2 2 8 2" xfId="4517"/>
    <cellStyle name="60% - Accent2 2 8 2" xfId="4518"/>
    <cellStyle name="20% - Accent3 2 8 2" xfId="4519"/>
    <cellStyle name="40% - Accent3 2 8 2" xfId="4520"/>
    <cellStyle name="60% - Accent3 2 8 2" xfId="4521"/>
    <cellStyle name="20% - Accent4 2 8 2" xfId="4522"/>
    <cellStyle name="40% - Accent4 2 8 2" xfId="4523"/>
    <cellStyle name="60% - Accent4 2 8 2" xfId="4524"/>
    <cellStyle name="20% - Accent5 2 8 2" xfId="4525"/>
    <cellStyle name="40% - Accent5 2 8 2" xfId="4526"/>
    <cellStyle name="60% - Accent5 2 8 2" xfId="4527"/>
    <cellStyle name="20% - Accent6 2 8 2" xfId="4528"/>
    <cellStyle name="40% - Accent6 2 8 2" xfId="4529"/>
    <cellStyle name="60% - Accent6 2 8 2" xfId="4530"/>
    <cellStyle name="Comma 2 2 10 2" xfId="4531"/>
    <cellStyle name="Comma 4 10 2" xfId="4532"/>
    <cellStyle name="Normal 3 8 8 2" xfId="4533"/>
    <cellStyle name="Normal 7 7 2" xfId="4534"/>
    <cellStyle name="Comma 5 8 2" xfId="4535"/>
    <cellStyle name="20% - Accent1 3 7 2" xfId="4536"/>
    <cellStyle name="40% - Accent1 3 7 2" xfId="4537"/>
    <cellStyle name="60% - Accent1 3 7 2" xfId="4538"/>
    <cellStyle name="20% - Accent2 3 7 2" xfId="4539"/>
    <cellStyle name="40% - Accent2 3 7 2" xfId="4540"/>
    <cellStyle name="60% - Accent2 3 7 2" xfId="4541"/>
    <cellStyle name="20% - Accent3 3 7 2" xfId="4542"/>
    <cellStyle name="40% - Accent3 3 7 2" xfId="4543"/>
    <cellStyle name="60% - Accent3 3 7 2" xfId="4544"/>
    <cellStyle name="20% - Accent4 3 7 2" xfId="4545"/>
    <cellStyle name="40% - Accent4 3 7 2" xfId="4546"/>
    <cellStyle name="60% - Accent4 3 7 2" xfId="4547"/>
    <cellStyle name="20% - Accent5 3 7 2" xfId="4548"/>
    <cellStyle name="40% - Accent5 3 7 2" xfId="4549"/>
    <cellStyle name="60% - Accent5 3 7 2" xfId="4550"/>
    <cellStyle name="20% - Accent6 3 7 2" xfId="4551"/>
    <cellStyle name="40% - Accent6 3 7 2" xfId="4552"/>
    <cellStyle name="60% - Accent6 3 7 2" xfId="4553"/>
    <cellStyle name="Normal 3 2 3 7 2" xfId="4554"/>
    <cellStyle name="Normal 3 3 3 7 2" xfId="4555"/>
    <cellStyle name="Normal 3 4 3 7 2" xfId="4556"/>
    <cellStyle name="Normal 3 5 3 7 2" xfId="4557"/>
    <cellStyle name="Normal 3 2 2 2 7 2" xfId="4558"/>
    <cellStyle name="Normal 3 3 2 2 7 2" xfId="4559"/>
    <cellStyle name="Normal 3 4 2 2 7 2" xfId="4560"/>
    <cellStyle name="Normal 3 5 2 2 7 2" xfId="4561"/>
    <cellStyle name="Normal 5 2 7 2" xfId="4562"/>
    <cellStyle name="Percent 3 2 7 2" xfId="4563"/>
    <cellStyle name="Note 2 2 7 2" xfId="4564"/>
    <cellStyle name="Normal 3 6 2 7 2" xfId="4565"/>
    <cellStyle name="Comma 2 3 8 2" xfId="4566"/>
    <cellStyle name="Comma 3 2 8 2" xfId="4567"/>
    <cellStyle name="Percent 4 2 7 2" xfId="4568"/>
    <cellStyle name="Normal 3 7 2 7 2" xfId="4569"/>
    <cellStyle name="Note 3 2 7 2" xfId="4570"/>
    <cellStyle name="20% - Accent1 2 2 7 2" xfId="4571"/>
    <cellStyle name="40% - Accent1 2 2 7 2" xfId="4572"/>
    <cellStyle name="60% - Accent1 2 2 7 2" xfId="4573"/>
    <cellStyle name="20% - Accent2 2 2 7 2" xfId="4574"/>
    <cellStyle name="40% - Accent2 2 2 7 2" xfId="4575"/>
    <cellStyle name="60% - Accent2 2 2 7 2" xfId="4576"/>
    <cellStyle name="20% - Accent3 2 2 7 2" xfId="4577"/>
    <cellStyle name="40% - Accent3 2 2 7 2" xfId="4578"/>
    <cellStyle name="60% - Accent3 2 2 7 2" xfId="4579"/>
    <cellStyle name="20% - Accent4 2 2 7 2" xfId="4580"/>
    <cellStyle name="40% - Accent4 2 2 7 2" xfId="4581"/>
    <cellStyle name="60% - Accent4 2 2 7 2" xfId="4582"/>
    <cellStyle name="20% - Accent5 2 2 7 2" xfId="4583"/>
    <cellStyle name="40% - Accent5 2 2 7 2" xfId="4584"/>
    <cellStyle name="60% - Accent5 2 2 7 2" xfId="4585"/>
    <cellStyle name="20% - Accent6 2 2 7 2" xfId="4586"/>
    <cellStyle name="40% - Accent6 2 2 7 2" xfId="4587"/>
    <cellStyle name="60% - Accent6 2 2 7 2" xfId="4588"/>
    <cellStyle name="Comma 2 2 2 8 2" xfId="4589"/>
    <cellStyle name="Comma 4 2 8 2" xfId="4590"/>
    <cellStyle name="Normal 3 8 2 7 2" xfId="4591"/>
    <cellStyle name="Normal 8 5 2" xfId="4592"/>
    <cellStyle name="Comma 6 6 2" xfId="4593"/>
    <cellStyle name="20% - Accent1 4 5 2" xfId="4594"/>
    <cellStyle name="40% - Accent1 4 5 2" xfId="4595"/>
    <cellStyle name="60% - Accent1 4 5 2" xfId="4596"/>
    <cellStyle name="20% - Accent2 4 5 2" xfId="4597"/>
    <cellStyle name="40% - Accent2 4 5 2" xfId="4598"/>
    <cellStyle name="60% - Accent2 4 5 2" xfId="4599"/>
    <cellStyle name="20% - Accent3 4 5 2" xfId="4600"/>
    <cellStyle name="40% - Accent3 4 5 2" xfId="4601"/>
    <cellStyle name="60% - Accent3 4 5 2" xfId="4602"/>
    <cellStyle name="20% - Accent4 4 5 2" xfId="4603"/>
    <cellStyle name="40% - Accent4 4 5 2" xfId="4604"/>
    <cellStyle name="60% - Accent4 4 5 2" xfId="4605"/>
    <cellStyle name="20% - Accent5 4 5 2" xfId="4606"/>
    <cellStyle name="40% - Accent5 4 5 2" xfId="4607"/>
    <cellStyle name="60% - Accent5 4 5 2" xfId="4608"/>
    <cellStyle name="20% - Accent6 4 5 2" xfId="4609"/>
    <cellStyle name="40% - Accent6 4 5 2" xfId="4610"/>
    <cellStyle name="60% - Accent6 4 5 2" xfId="4611"/>
    <cellStyle name="Normal 3 2 4 5 2" xfId="4612"/>
    <cellStyle name="Normal 3 3 4 5 2" xfId="4613"/>
    <cellStyle name="Normal 3 4 4 5 2" xfId="4614"/>
    <cellStyle name="Normal 3 5 4 5 2" xfId="4615"/>
    <cellStyle name="Normal 3 2 2 3 5 2" xfId="4616"/>
    <cellStyle name="Normal 3 3 2 3 5 2" xfId="4617"/>
    <cellStyle name="Normal 3 4 2 3 5 2" xfId="4618"/>
    <cellStyle name="Normal 3 5 2 3 5 2" xfId="4619"/>
    <cellStyle name="Normal 5 3 5 2" xfId="4620"/>
    <cellStyle name="Percent 3 3 5 2" xfId="4621"/>
    <cellStyle name="Note 2 3 5 2" xfId="4622"/>
    <cellStyle name="Normal 3 6 3 5 2" xfId="4623"/>
    <cellStyle name="Comma 2 5 6 2" xfId="4624"/>
    <cellStyle name="Comma 3 4 6 2" xfId="4625"/>
    <cellStyle name="Percent 4 3 5 2" xfId="4626"/>
    <cellStyle name="Normal 3 7 3 5 2" xfId="4627"/>
    <cellStyle name="Note 3 3 5 2" xfId="4628"/>
    <cellStyle name="20% - Accent1 2 3 5 2" xfId="4629"/>
    <cellStyle name="40% - Accent1 2 3 5 2" xfId="4630"/>
    <cellStyle name="60% - Accent1 2 3 5 2" xfId="4631"/>
    <cellStyle name="20% - Accent2 2 3 5 2" xfId="4632"/>
    <cellStyle name="40% - Accent2 2 3 5 2" xfId="4633"/>
    <cellStyle name="60% - Accent2 2 3 5 2" xfId="4634"/>
    <cellStyle name="20% - Accent3 2 3 5 2" xfId="4635"/>
    <cellStyle name="40% - Accent3 2 3 5 2" xfId="4636"/>
    <cellStyle name="60% - Accent3 2 3 5 2" xfId="4637"/>
    <cellStyle name="20% - Accent4 2 3 5 2" xfId="4638"/>
    <cellStyle name="40% - Accent4 2 3 5 2" xfId="4639"/>
    <cellStyle name="60% - Accent4 2 3 5 2" xfId="4640"/>
    <cellStyle name="20% - Accent5 2 3 5 2" xfId="4641"/>
    <cellStyle name="40% - Accent5 2 3 5 2" xfId="4642"/>
    <cellStyle name="60% - Accent5 2 3 5 2" xfId="4643"/>
    <cellStyle name="20% - Accent6 2 3 5 2" xfId="4644"/>
    <cellStyle name="40% - Accent6 2 3 5 2" xfId="4645"/>
    <cellStyle name="60% - Accent6 2 3 5 2" xfId="4646"/>
    <cellStyle name="Comma 2 2 4 6 2" xfId="4647"/>
    <cellStyle name="Comma 4 4 6 2" xfId="4648"/>
    <cellStyle name="Normal 3 8 3 5 2" xfId="4649"/>
    <cellStyle name="Comma 2 4 7 2" xfId="4650"/>
    <cellStyle name="Comma 3 3 7 2" xfId="4651"/>
    <cellStyle name="Comma 2 2 3 7 2" xfId="4652"/>
    <cellStyle name="Comma 4 3 7 2" xfId="4653"/>
    <cellStyle name="Normal 7 2 5 2" xfId="4654"/>
    <cellStyle name="Comma 5 2 6 2" xfId="4655"/>
    <cellStyle name="20% - Accent1 3 2 5 2" xfId="4656"/>
    <cellStyle name="40% - Accent1 3 2 5 2" xfId="4657"/>
    <cellStyle name="60% - Accent1 3 2 5 2" xfId="4658"/>
    <cellStyle name="20% - Accent2 3 2 5 2" xfId="4659"/>
    <cellStyle name="40% - Accent2 3 2 5 2" xfId="4660"/>
    <cellStyle name="60% - Accent2 3 2 5 2" xfId="4661"/>
    <cellStyle name="20% - Accent3 3 2 5 2" xfId="4662"/>
    <cellStyle name="40% - Accent3 3 2 5 2" xfId="4663"/>
    <cellStyle name="60% - Accent3 3 2 5 2" xfId="4664"/>
    <cellStyle name="20% - Accent4 3 2 5 2" xfId="4665"/>
    <cellStyle name="40% - Accent4 3 2 5 2" xfId="4666"/>
    <cellStyle name="60% - Accent4 3 2 5 2" xfId="4667"/>
    <cellStyle name="20% - Accent5 3 2 5 2" xfId="4668"/>
    <cellStyle name="40% - Accent5 3 2 5 2" xfId="4669"/>
    <cellStyle name="60% - Accent5 3 2 5 2" xfId="4670"/>
    <cellStyle name="20% - Accent6 3 2 5 2" xfId="4671"/>
    <cellStyle name="40% - Accent6 3 2 5 2" xfId="4672"/>
    <cellStyle name="60% - Accent6 3 2 5 2" xfId="4673"/>
    <cellStyle name="Normal 3 2 3 2 5 2" xfId="4674"/>
    <cellStyle name="Normal 3 3 3 2 5 2" xfId="4675"/>
    <cellStyle name="Normal 3 4 3 2 5 2" xfId="4676"/>
    <cellStyle name="Normal 3 5 3 2 5 2" xfId="4677"/>
    <cellStyle name="Normal 3 2 2 2 2 5 2" xfId="4678"/>
    <cellStyle name="Normal 3 3 2 2 2 5 2" xfId="4679"/>
    <cellStyle name="Normal 3 4 2 2 2 5 2" xfId="4680"/>
    <cellStyle name="Normal 3 5 2 2 2 5 2" xfId="4681"/>
    <cellStyle name="Normal 5 2 2 5 2" xfId="4682"/>
    <cellStyle name="Percent 3 2 2 5 2" xfId="4683"/>
    <cellStyle name="Note 2 2 2 5 2" xfId="4684"/>
    <cellStyle name="Normal 3 6 2 2 5 2" xfId="4685"/>
    <cellStyle name="Comma 2 3 2 6 2" xfId="4686"/>
    <cellStyle name="Comma 3 2 2 6 2" xfId="4687"/>
    <cellStyle name="Percent 4 2 2 5 2" xfId="4688"/>
    <cellStyle name="Normal 3 7 2 2 5 2" xfId="4689"/>
    <cellStyle name="Note 3 2 2 5 2" xfId="4690"/>
    <cellStyle name="20% - Accent1 2 2 2 5 2" xfId="4691"/>
    <cellStyle name="40% - Accent1 2 2 2 5 2" xfId="4692"/>
    <cellStyle name="60% - Accent1 2 2 2 5 2" xfId="4693"/>
    <cellStyle name="20% - Accent2 2 2 2 5 2" xfId="4694"/>
    <cellStyle name="40% - Accent2 2 2 2 5 2" xfId="4695"/>
    <cellStyle name="60% - Accent2 2 2 2 5 2" xfId="4696"/>
    <cellStyle name="20% - Accent3 2 2 2 5 2" xfId="4697"/>
    <cellStyle name="40% - Accent3 2 2 2 5 2" xfId="4698"/>
    <cellStyle name="60% - Accent3 2 2 2 5 2" xfId="4699"/>
    <cellStyle name="20% - Accent4 2 2 2 5 2" xfId="4700"/>
    <cellStyle name="40% - Accent4 2 2 2 5 2" xfId="4701"/>
    <cellStyle name="60% - Accent4 2 2 2 5 2" xfId="4702"/>
    <cellStyle name="20% - Accent5 2 2 2 5 2" xfId="4703"/>
    <cellStyle name="40% - Accent5 2 2 2 5 2" xfId="4704"/>
    <cellStyle name="60% - Accent5 2 2 2 5 2" xfId="4705"/>
    <cellStyle name="20% - Accent6 2 2 2 5 2" xfId="4706"/>
    <cellStyle name="40% - Accent6 2 2 2 5 2" xfId="4707"/>
    <cellStyle name="60% - Accent6 2 2 2 5 2" xfId="4708"/>
    <cellStyle name="Comma 2 2 2 2 6 2" xfId="4709"/>
    <cellStyle name="Comma 4 2 2 6 2" xfId="4710"/>
    <cellStyle name="Normal 3 8 2 2 5 2" xfId="4711"/>
    <cellStyle name="Normal 3 10 5 2" xfId="4712"/>
    <cellStyle name="Normal 3 11 5 2" xfId="4713"/>
    <cellStyle name="Normal 3 12 3 2" xfId="4714"/>
    <cellStyle name="Normal 3 2 5 3 2" xfId="4715"/>
    <cellStyle name="Normal 3 3 5 3 2" xfId="4716"/>
    <cellStyle name="Normal 3 4 5 3 2" xfId="4717"/>
    <cellStyle name="Normal 3 5 5 3 2" xfId="4718"/>
    <cellStyle name="20% - Accent1 5 3 2" xfId="4719"/>
    <cellStyle name="40% - Accent1 5 3 2" xfId="4720"/>
    <cellStyle name="60% - Accent1 5 3 2" xfId="4721"/>
    <cellStyle name="20% - Accent2 5 3 2" xfId="4722"/>
    <cellStyle name="40% - Accent2 5 3 2" xfId="4723"/>
    <cellStyle name="60% - Accent2 5 3 2" xfId="4724"/>
    <cellStyle name="20% - Accent3 5 3 2" xfId="4725"/>
    <cellStyle name="40% - Accent3 5 3 2" xfId="4726"/>
    <cellStyle name="60% - Accent3 5 3 2" xfId="4727"/>
    <cellStyle name="20% - Accent4 5 3 2" xfId="4728"/>
    <cellStyle name="40% - Accent4 5 3 2" xfId="4729"/>
    <cellStyle name="60% - Accent4 5 3 2" xfId="4730"/>
    <cellStyle name="20% - Accent5 5 3 2" xfId="4731"/>
    <cellStyle name="40% - Accent5 5 3 2" xfId="4732"/>
    <cellStyle name="60% - Accent5 5 3 2" xfId="4733"/>
    <cellStyle name="20% - Accent6 5 3 2" xfId="4734"/>
    <cellStyle name="40% - Accent6 5 3 2" xfId="4735"/>
    <cellStyle name="60% - Accent6 5 3 2" xfId="4736"/>
    <cellStyle name="Normal 3 2 2 4 3 2" xfId="4737"/>
    <cellStyle name="Normal 3 3 2 4 3 2" xfId="4738"/>
    <cellStyle name="Normal 3 4 2 4 3 2" xfId="4739"/>
    <cellStyle name="Normal 3 5 2 4 3 2" xfId="4740"/>
    <cellStyle name="Normal 5 4 3 2" xfId="4741"/>
    <cellStyle name="Percent 3 4 3 2" xfId="4742"/>
    <cellStyle name="Note 2 4 3 2" xfId="4743"/>
    <cellStyle name="Normal 3 6 4 3 2" xfId="4744"/>
    <cellStyle name="Comma 2 6 4 2" xfId="4745"/>
    <cellStyle name="Comma 3 5 4 2" xfId="4746"/>
    <cellStyle name="Percent 4 4 3 2" xfId="4747"/>
    <cellStyle name="Normal 3 7 4 3 2" xfId="4748"/>
    <cellStyle name="Note 3 4 3 2" xfId="4749"/>
    <cellStyle name="20% - Accent1 2 4 3 2" xfId="4750"/>
    <cellStyle name="40% - Accent1 2 4 3 2" xfId="4751"/>
    <cellStyle name="60% - Accent1 2 4 3 2" xfId="4752"/>
    <cellStyle name="20% - Accent2 2 4 3 2" xfId="4753"/>
    <cellStyle name="40% - Accent2 2 4 3 2" xfId="4754"/>
    <cellStyle name="60% - Accent2 2 4 3 2" xfId="4755"/>
    <cellStyle name="20% - Accent3 2 4 3 2" xfId="4756"/>
    <cellStyle name="40% - Accent3 2 4 3 2" xfId="4757"/>
    <cellStyle name="60% - Accent3 2 4 3 2" xfId="4758"/>
    <cellStyle name="20% - Accent4 2 4 3 2" xfId="4759"/>
    <cellStyle name="40% - Accent4 2 4 3 2" xfId="4760"/>
    <cellStyle name="60% - Accent4 2 4 3 2" xfId="4761"/>
    <cellStyle name="20% - Accent5 2 4 3 2" xfId="4762"/>
    <cellStyle name="40% - Accent5 2 4 3 2" xfId="4763"/>
    <cellStyle name="60% - Accent5 2 4 3 2" xfId="4764"/>
    <cellStyle name="20% - Accent6 2 4 3 2" xfId="4765"/>
    <cellStyle name="40% - Accent6 2 4 3 2" xfId="4766"/>
    <cellStyle name="60% - Accent6 2 4 3 2" xfId="4767"/>
    <cellStyle name="Comma 2 2 5 4 2" xfId="4768"/>
    <cellStyle name="Comma 4 5 4 2" xfId="4769"/>
    <cellStyle name="Normal 3 8 4 3 2" xfId="4770"/>
    <cellStyle name="Normal 7 3 3 2" xfId="4771"/>
    <cellStyle name="Comma 5 3 4 2" xfId="4772"/>
    <cellStyle name="20% - Accent1 3 3 3 2" xfId="4773"/>
    <cellStyle name="40% - Accent1 3 3 3 2" xfId="4774"/>
    <cellStyle name="60% - Accent1 3 3 3 2" xfId="4775"/>
    <cellStyle name="20% - Accent2 3 3 3 2" xfId="4776"/>
    <cellStyle name="40% - Accent2 3 3 3 2" xfId="4777"/>
    <cellStyle name="60% - Accent2 3 3 3 2" xfId="4778"/>
    <cellStyle name="20% - Accent3 3 3 3 2" xfId="4779"/>
    <cellStyle name="40% - Accent3 3 3 3 2" xfId="4780"/>
    <cellStyle name="60% - Accent3 3 3 3 2" xfId="4781"/>
    <cellStyle name="20% - Accent4 3 3 3 2" xfId="4782"/>
    <cellStyle name="40% - Accent4 3 3 3 2" xfId="4783"/>
    <cellStyle name="60% - Accent4 3 3 3 2" xfId="4784"/>
    <cellStyle name="20% - Accent5 3 3 3 2" xfId="4785"/>
    <cellStyle name="40% - Accent5 3 3 3 2" xfId="4786"/>
    <cellStyle name="60% - Accent5 3 3 3 2" xfId="4787"/>
    <cellStyle name="20% - Accent6 3 3 3 2" xfId="4788"/>
    <cellStyle name="40% - Accent6 3 3 3 2" xfId="4789"/>
    <cellStyle name="60% - Accent6 3 3 3 2" xfId="4790"/>
    <cellStyle name="Normal 3 2 3 3 3 2" xfId="4791"/>
    <cellStyle name="Normal 3 3 3 3 3 2" xfId="4792"/>
    <cellStyle name="Normal 3 4 3 3 3 2" xfId="4793"/>
    <cellStyle name="Normal 3 5 3 3 3 2" xfId="4794"/>
    <cellStyle name="Normal 3 2 2 2 3 3 2" xfId="4795"/>
    <cellStyle name="Normal 3 3 2 2 3 3 2" xfId="4796"/>
    <cellStyle name="Normal 3 4 2 2 3 3 2" xfId="4797"/>
    <cellStyle name="Normal 3 5 2 2 3 3 2" xfId="4798"/>
    <cellStyle name="Normal 5 2 3 3 2" xfId="4799"/>
    <cellStyle name="Percent 3 2 3 3 2" xfId="4800"/>
    <cellStyle name="Note 2 2 3 3 2" xfId="4801"/>
    <cellStyle name="Normal 3 6 2 3 3 2" xfId="4802"/>
    <cellStyle name="Comma 2 3 3 4 2" xfId="4803"/>
    <cellStyle name="Comma 3 2 3 4 2" xfId="4804"/>
    <cellStyle name="Percent 4 2 3 3 2" xfId="4805"/>
    <cellStyle name="Normal 3 7 2 3 3 2" xfId="4806"/>
    <cellStyle name="Note 3 2 3 3 2" xfId="4807"/>
    <cellStyle name="20% - Accent1 2 2 3 3 2" xfId="4808"/>
    <cellStyle name="40% - Accent1 2 2 3 3 2" xfId="4809"/>
    <cellStyle name="60% - Accent1 2 2 3 3 2" xfId="4810"/>
    <cellStyle name="20% - Accent2 2 2 3 3 2" xfId="4811"/>
    <cellStyle name="40% - Accent2 2 2 3 3 2" xfId="4812"/>
    <cellStyle name="60% - Accent2 2 2 3 3 2" xfId="4813"/>
    <cellStyle name="20% - Accent3 2 2 3 3 2" xfId="4814"/>
    <cellStyle name="40% - Accent3 2 2 3 3 2" xfId="4815"/>
    <cellStyle name="60% - Accent3 2 2 3 3 2" xfId="4816"/>
    <cellStyle name="20% - Accent4 2 2 3 3 2" xfId="4817"/>
    <cellStyle name="40% - Accent4 2 2 3 3 2" xfId="4818"/>
    <cellStyle name="60% - Accent4 2 2 3 3 2" xfId="4819"/>
    <cellStyle name="20% - Accent5 2 2 3 3 2" xfId="4820"/>
    <cellStyle name="40% - Accent5 2 2 3 3 2" xfId="4821"/>
    <cellStyle name="60% - Accent5 2 2 3 3 2" xfId="4822"/>
    <cellStyle name="20% - Accent6 2 2 3 3 2" xfId="4823"/>
    <cellStyle name="40% - Accent6 2 2 3 3 2" xfId="4824"/>
    <cellStyle name="60% - Accent6 2 2 3 3 2" xfId="4825"/>
    <cellStyle name="Comma 2 2 2 3 4 2" xfId="4826"/>
    <cellStyle name="Comma 4 2 3 4 2" xfId="4827"/>
    <cellStyle name="Normal 3 8 2 3 3 2" xfId="4828"/>
    <cellStyle name="Normal 8 2 3 2" xfId="4829"/>
    <cellStyle name="Comma 6 2 4 2" xfId="4830"/>
    <cellStyle name="20% - Accent1 4 2 3 2" xfId="4831"/>
    <cellStyle name="40% - Accent1 4 2 3 2" xfId="4832"/>
    <cellStyle name="60% - Accent1 4 2 3 2" xfId="4833"/>
    <cellStyle name="20% - Accent2 4 2 3 2" xfId="4834"/>
    <cellStyle name="40% - Accent2 4 2 3 2" xfId="4835"/>
    <cellStyle name="60% - Accent2 4 2 3 2" xfId="4836"/>
    <cellStyle name="20% - Accent3 4 2 3 2" xfId="4837"/>
    <cellStyle name="40% - Accent3 4 2 3 2" xfId="4838"/>
    <cellStyle name="60% - Accent3 4 2 3 2" xfId="4839"/>
    <cellStyle name="20% - Accent4 4 2 3 2" xfId="4840"/>
    <cellStyle name="40% - Accent4 4 2 3 2" xfId="4841"/>
    <cellStyle name="60% - Accent4 4 2 3 2" xfId="4842"/>
    <cellStyle name="20% - Accent5 4 2 3 2" xfId="4843"/>
    <cellStyle name="40% - Accent5 4 2 3 2" xfId="4844"/>
    <cellStyle name="60% - Accent5 4 2 3 2" xfId="4845"/>
    <cellStyle name="20% - Accent6 4 2 3 2" xfId="4846"/>
    <cellStyle name="40% - Accent6 4 2 3 2" xfId="4847"/>
    <cellStyle name="60% - Accent6 4 2 3 2" xfId="4848"/>
    <cellStyle name="Normal 3 2 4 2 3 2" xfId="4849"/>
    <cellStyle name="Normal 3 3 4 2 3 2" xfId="4850"/>
    <cellStyle name="Normal 3 4 4 2 3 2" xfId="4851"/>
    <cellStyle name="Normal 3 5 4 2 3 2" xfId="4852"/>
    <cellStyle name="Normal 3 2 2 3 2 3 2" xfId="4853"/>
    <cellStyle name="Normal 3 3 2 3 2 3 2" xfId="4854"/>
    <cellStyle name="Normal 3 4 2 3 2 3 2" xfId="4855"/>
    <cellStyle name="Normal 3 5 2 3 2 3 2" xfId="4856"/>
    <cellStyle name="Normal 5 3 2 3 2" xfId="4857"/>
    <cellStyle name="Percent 3 3 2 3 2" xfId="4858"/>
    <cellStyle name="Note 2 3 2 3 2" xfId="4859"/>
    <cellStyle name="Normal 3 6 3 2 3 2" xfId="4860"/>
    <cellStyle name="Comma 2 5 2 4 2" xfId="4861"/>
    <cellStyle name="Comma 3 4 2 4 2" xfId="4862"/>
    <cellStyle name="Percent 4 3 2 3 2" xfId="4863"/>
    <cellStyle name="Normal 3 7 3 2 3 2" xfId="4864"/>
    <cellStyle name="Note 3 3 2 3 2" xfId="4865"/>
    <cellStyle name="20% - Accent1 2 3 2 3 2" xfId="4866"/>
    <cellStyle name="40% - Accent1 2 3 2 3 2" xfId="4867"/>
    <cellStyle name="60% - Accent1 2 3 2 3 2" xfId="4868"/>
    <cellStyle name="20% - Accent2 2 3 2 3 2" xfId="4869"/>
    <cellStyle name="40% - Accent2 2 3 2 3 2" xfId="4870"/>
    <cellStyle name="60% - Accent2 2 3 2 3 2" xfId="4871"/>
    <cellStyle name="20% - Accent3 2 3 2 3 2" xfId="4872"/>
    <cellStyle name="40% - Accent3 2 3 2 3 2" xfId="4873"/>
    <cellStyle name="60% - Accent3 2 3 2 3 2" xfId="4874"/>
    <cellStyle name="20% - Accent4 2 3 2 3 2" xfId="4875"/>
    <cellStyle name="40% - Accent4 2 3 2 3 2" xfId="4876"/>
    <cellStyle name="60% - Accent4 2 3 2 3 2" xfId="4877"/>
    <cellStyle name="20% - Accent5 2 3 2 3 2" xfId="4878"/>
    <cellStyle name="40% - Accent5 2 3 2 3 2" xfId="4879"/>
    <cellStyle name="60% - Accent5 2 3 2 3 2" xfId="4880"/>
    <cellStyle name="20% - Accent6 2 3 2 3 2" xfId="4881"/>
    <cellStyle name="40% - Accent6 2 3 2 3 2" xfId="4882"/>
    <cellStyle name="60% - Accent6 2 3 2 3 2" xfId="4883"/>
    <cellStyle name="Comma 2 2 4 2 4 2" xfId="4884"/>
    <cellStyle name="Comma 4 4 2 4 2" xfId="4885"/>
    <cellStyle name="Normal 3 8 3 2 3 2" xfId="4886"/>
    <cellStyle name="Comma 2 4 2 4 2" xfId="4887"/>
    <cellStyle name="Comma 3 3 2 4 2" xfId="4888"/>
    <cellStyle name="Comma 2 2 3 2 4 2" xfId="4889"/>
    <cellStyle name="Comma 4 3 2 4 2" xfId="4890"/>
    <cellStyle name="Normal 7 2 2 3 2" xfId="4891"/>
    <cellStyle name="Comma 5 2 2 4 2" xfId="4892"/>
    <cellStyle name="20% - Accent1 3 2 2 3 2" xfId="4893"/>
    <cellStyle name="40% - Accent1 3 2 2 3 2" xfId="4894"/>
    <cellStyle name="60% - Accent1 3 2 2 3 2" xfId="4895"/>
    <cellStyle name="20% - Accent2 3 2 2 3 2" xfId="4896"/>
    <cellStyle name="40% - Accent2 3 2 2 3 2" xfId="4897"/>
    <cellStyle name="60% - Accent2 3 2 2 3 2" xfId="4898"/>
    <cellStyle name="20% - Accent3 3 2 2 3 2" xfId="4899"/>
    <cellStyle name="40% - Accent3 3 2 2 3 2" xfId="4900"/>
    <cellStyle name="60% - Accent3 3 2 2 3 2" xfId="4901"/>
    <cellStyle name="20% - Accent4 3 2 2 3 2" xfId="4902"/>
    <cellStyle name="40% - Accent4 3 2 2 3 2" xfId="4903"/>
    <cellStyle name="60% - Accent4 3 2 2 3 2" xfId="4904"/>
    <cellStyle name="20% - Accent5 3 2 2 3 2" xfId="4905"/>
    <cellStyle name="40% - Accent5 3 2 2 3 2" xfId="4906"/>
    <cellStyle name="60% - Accent5 3 2 2 3 2" xfId="4907"/>
    <cellStyle name="20% - Accent6 3 2 2 3 2" xfId="4908"/>
    <cellStyle name="40% - Accent6 3 2 2 3 2" xfId="4909"/>
    <cellStyle name="60% - Accent6 3 2 2 3 2" xfId="4910"/>
    <cellStyle name="Normal 3 2 3 2 2 3 2" xfId="4911"/>
    <cellStyle name="Normal 3 3 3 2 2 3 2" xfId="4912"/>
    <cellStyle name="Normal 3 4 3 2 2 3 2" xfId="4913"/>
    <cellStyle name="Normal 3 5 3 2 2 3 2" xfId="4914"/>
    <cellStyle name="Normal 3 2 2 2 2 2 3 2" xfId="4915"/>
    <cellStyle name="Normal 3 3 2 2 2 2 3 2" xfId="4916"/>
    <cellStyle name="Normal 3 4 2 2 2 2 3 2" xfId="4917"/>
    <cellStyle name="Normal 3 5 2 2 2 2 3 2" xfId="4918"/>
    <cellStyle name="Normal 5 2 2 2 3 2" xfId="4919"/>
    <cellStyle name="Percent 3 2 2 2 3 2" xfId="4920"/>
    <cellStyle name="Note 2 2 2 2 3 2" xfId="4921"/>
    <cellStyle name="Normal 3 6 2 2 2 3 2" xfId="4922"/>
    <cellStyle name="Comma 2 3 2 2 4 2" xfId="4923"/>
    <cellStyle name="Comma 3 2 2 2 4 2" xfId="4924"/>
    <cellStyle name="Percent 4 2 2 2 3 2" xfId="4925"/>
    <cellStyle name="Normal 3 7 2 2 2 3 2" xfId="4926"/>
    <cellStyle name="Note 3 2 2 2 3 2" xfId="4927"/>
    <cellStyle name="20% - Accent1 2 2 2 2 3 2" xfId="4928"/>
    <cellStyle name="40% - Accent1 2 2 2 2 3 2" xfId="4929"/>
    <cellStyle name="60% - Accent1 2 2 2 2 3 2" xfId="4930"/>
    <cellStyle name="20% - Accent2 2 2 2 2 3 2" xfId="4931"/>
    <cellStyle name="40% - Accent2 2 2 2 2 3 2" xfId="4932"/>
    <cellStyle name="60% - Accent2 2 2 2 2 3 2" xfId="4933"/>
    <cellStyle name="20% - Accent3 2 2 2 2 3 2" xfId="4934"/>
    <cellStyle name="40% - Accent3 2 2 2 2 3 2" xfId="4935"/>
    <cellStyle name="60% - Accent3 2 2 2 2 3 2" xfId="4936"/>
    <cellStyle name="20% - Accent4 2 2 2 2 3 2" xfId="4937"/>
    <cellStyle name="40% - Accent4 2 2 2 2 3 2" xfId="4938"/>
    <cellStyle name="60% - Accent4 2 2 2 2 3 2" xfId="4939"/>
    <cellStyle name="20% - Accent5 2 2 2 2 3 2" xfId="4940"/>
    <cellStyle name="40% - Accent5 2 2 2 2 3 2" xfId="4941"/>
    <cellStyle name="60% - Accent5 2 2 2 2 3 2" xfId="4942"/>
    <cellStyle name="20% - Accent6 2 2 2 2 3 2" xfId="4943"/>
    <cellStyle name="40% - Accent6 2 2 2 2 3 2" xfId="4944"/>
    <cellStyle name="60% - Accent6 2 2 2 2 3 2" xfId="4945"/>
    <cellStyle name="Comma 2 2 2 2 2 4 2" xfId="4946"/>
    <cellStyle name="Comma 4 2 2 2 4 2" xfId="4947"/>
    <cellStyle name="Normal 3 8 2 2 2 3 2" xfId="4948"/>
    <cellStyle name="Normal 3 10 2 3 2" xfId="4949"/>
    <cellStyle name="Normal 3 11 2 3 2" xfId="4950"/>
    <cellStyle name="Normal 3 2 6 2 2" xfId="4951"/>
    <cellStyle name="Normal 3 3 6 2 2" xfId="4952"/>
    <cellStyle name="Normal 3 4 6 2 2" xfId="4953"/>
    <cellStyle name="Normal 3 5 6 2 2" xfId="4954"/>
    <cellStyle name="20% - Accent1 6 2 2" xfId="4955"/>
    <cellStyle name="40% - Accent1 6 2 2" xfId="4956"/>
    <cellStyle name="60% - Accent1 6 2 2" xfId="4957"/>
    <cellStyle name="20% - Accent2 6 2 2" xfId="4958"/>
    <cellStyle name="40% - Accent2 6 2 2" xfId="4959"/>
    <cellStyle name="60% - Accent2 6 2 2" xfId="4960"/>
    <cellStyle name="20% - Accent3 6 2 2" xfId="4961"/>
    <cellStyle name="40% - Accent3 6 2 2" xfId="4962"/>
    <cellStyle name="60% - Accent3 6 2 2" xfId="4963"/>
    <cellStyle name="20% - Accent4 6 2 2" xfId="4964"/>
    <cellStyle name="40% - Accent4 6 2 2" xfId="4965"/>
    <cellStyle name="60% - Accent4 6 2 2" xfId="4966"/>
    <cellStyle name="20% - Accent5 6 2 2" xfId="4967"/>
    <cellStyle name="40% - Accent5 6 2 2" xfId="4968"/>
    <cellStyle name="60% - Accent5 6 2 2" xfId="4969"/>
    <cellStyle name="20% - Accent6 6 2 2" xfId="4970"/>
    <cellStyle name="40% - Accent6 6 2 2" xfId="4971"/>
    <cellStyle name="60% - Accent6 6 2 2" xfId="4972"/>
    <cellStyle name="Normal 3 2 2 5 2 2" xfId="4973"/>
    <cellStyle name="Normal 3 3 2 5 2 2" xfId="4974"/>
    <cellStyle name="Normal 3 4 2 5 2 2" xfId="4975"/>
    <cellStyle name="Normal 3 5 2 5 2 2" xfId="4976"/>
    <cellStyle name="Normal 5 5 2 2" xfId="4977"/>
    <cellStyle name="Percent 3 5 2 2" xfId="4978"/>
    <cellStyle name="Note 2 5 2 2" xfId="4979"/>
    <cellStyle name="Normal 3 6 5 2 2" xfId="4980"/>
    <cellStyle name="Comma 2 7 3 2" xfId="4981"/>
    <cellStyle name="Comma 3 7 3 2" xfId="4982"/>
    <cellStyle name="Percent 4 5 2 2" xfId="4983"/>
    <cellStyle name="Normal 3 7 5 2 2" xfId="4984"/>
    <cellStyle name="Note 3 5 2 2" xfId="4985"/>
    <cellStyle name="20% - Accent1 2 5 2 2" xfId="4986"/>
    <cellStyle name="40% - Accent1 2 5 2 2" xfId="4987"/>
    <cellStyle name="60% - Accent1 2 5 2 2" xfId="4988"/>
    <cellStyle name="20% - Accent2 2 5 2 2" xfId="4989"/>
    <cellStyle name="40% - Accent2 2 5 2 2" xfId="4990"/>
    <cellStyle name="60% - Accent2 2 5 2 2" xfId="4991"/>
    <cellStyle name="20% - Accent3 2 5 2 2" xfId="4992"/>
    <cellStyle name="40% - Accent3 2 5 2 2" xfId="4993"/>
    <cellStyle name="60% - Accent3 2 5 2 2" xfId="4994"/>
    <cellStyle name="20% - Accent4 2 5 2 2" xfId="4995"/>
    <cellStyle name="40% - Accent4 2 5 2 2" xfId="4996"/>
    <cellStyle name="60% - Accent4 2 5 2 2" xfId="4997"/>
    <cellStyle name="20% - Accent5 2 5 2 2" xfId="4998"/>
    <cellStyle name="40% - Accent5 2 5 2 2" xfId="4999"/>
    <cellStyle name="60% - Accent5 2 5 2 2" xfId="5000"/>
    <cellStyle name="20% - Accent6 2 5 2 2" xfId="5001"/>
    <cellStyle name="40% - Accent6 2 5 2 2" xfId="5002"/>
    <cellStyle name="60% - Accent6 2 5 2 2" xfId="5003"/>
    <cellStyle name="Comma 2 2 6 3 2" xfId="5004"/>
    <cellStyle name="Comma 4 6 3 2" xfId="5005"/>
    <cellStyle name="Normal 3 8 5 2 2" xfId="5006"/>
    <cellStyle name="Normal 7 4 2 2" xfId="5007"/>
    <cellStyle name="Comma 5 4 3 2" xfId="5008"/>
    <cellStyle name="20% - Accent1 3 4 2 2" xfId="5009"/>
    <cellStyle name="40% - Accent1 3 4 2 2" xfId="5010"/>
    <cellStyle name="60% - Accent1 3 4 2 2" xfId="5011"/>
    <cellStyle name="20% - Accent2 3 4 2 2" xfId="5012"/>
    <cellStyle name="40% - Accent2 3 4 2 2" xfId="5013"/>
    <cellStyle name="60% - Accent2 3 4 2 2" xfId="5014"/>
    <cellStyle name="20% - Accent3 3 4 2 2" xfId="5015"/>
    <cellStyle name="40% - Accent3 3 4 2 2" xfId="5016"/>
    <cellStyle name="60% - Accent3 3 4 2 2" xfId="5017"/>
    <cellStyle name="20% - Accent4 3 4 2 2" xfId="5018"/>
    <cellStyle name="40% - Accent4 3 4 2 2" xfId="5019"/>
    <cellStyle name="60% - Accent4 3 4 2 2" xfId="5020"/>
    <cellStyle name="20% - Accent5 3 4 2 2" xfId="5021"/>
    <cellStyle name="40% - Accent5 3 4 2 2" xfId="5022"/>
    <cellStyle name="60% - Accent5 3 4 2 2" xfId="5023"/>
    <cellStyle name="20% - Accent6 3 4 2 2" xfId="5024"/>
    <cellStyle name="40% - Accent6 3 4 2 2" xfId="5025"/>
    <cellStyle name="60% - Accent6 3 4 2 2" xfId="5026"/>
    <cellStyle name="Normal 3 2 3 4 2 2" xfId="5027"/>
    <cellStyle name="Normal 3 3 3 4 2 2" xfId="5028"/>
    <cellStyle name="Normal 3 4 3 4 2 2" xfId="5029"/>
    <cellStyle name="Normal 3 5 3 4 2 2" xfId="5030"/>
    <cellStyle name="Normal 3 2 2 2 4 2 2" xfId="5031"/>
    <cellStyle name="Normal 3 3 2 2 4 2 2" xfId="5032"/>
    <cellStyle name="Normal 3 4 2 2 4 2 2" xfId="5033"/>
    <cellStyle name="Normal 3 5 2 2 4 2 2" xfId="5034"/>
    <cellStyle name="Normal 5 2 4 2 2" xfId="5035"/>
    <cellStyle name="Percent 3 2 4 2 2" xfId="5036"/>
    <cellStyle name="Note 2 2 4 2 2" xfId="5037"/>
    <cellStyle name="Normal 3 6 2 4 2 2" xfId="5038"/>
    <cellStyle name="Comma 2 3 4 3 2" xfId="5039"/>
    <cellStyle name="Comma 3 2 4 3 2" xfId="5040"/>
    <cellStyle name="Percent 4 2 4 2 2" xfId="5041"/>
    <cellStyle name="Normal 3 7 2 4 2 2" xfId="5042"/>
    <cellStyle name="Note 3 2 4 2 2" xfId="5043"/>
    <cellStyle name="20% - Accent1 2 2 4 2 2" xfId="5044"/>
    <cellStyle name="40% - Accent1 2 2 4 2 2" xfId="5045"/>
    <cellStyle name="60% - Accent1 2 2 4 2 2" xfId="5046"/>
    <cellStyle name="20% - Accent2 2 2 4 2 2" xfId="5047"/>
    <cellStyle name="40% - Accent2 2 2 4 2 2" xfId="5048"/>
    <cellStyle name="60% - Accent2 2 2 4 2 2" xfId="5049"/>
    <cellStyle name="20% - Accent3 2 2 4 2 2" xfId="5050"/>
    <cellStyle name="40% - Accent3 2 2 4 2 2" xfId="5051"/>
    <cellStyle name="60% - Accent3 2 2 4 2 2" xfId="5052"/>
    <cellStyle name="20% - Accent4 2 2 4 2 2" xfId="5053"/>
    <cellStyle name="40% - Accent4 2 2 4 2 2" xfId="5054"/>
    <cellStyle name="60% - Accent4 2 2 4 2 2" xfId="5055"/>
    <cellStyle name="20% - Accent5 2 2 4 2 2" xfId="5056"/>
    <cellStyle name="40% - Accent5 2 2 4 2 2" xfId="5057"/>
    <cellStyle name="60% - Accent5 2 2 4 2 2" xfId="5058"/>
    <cellStyle name="20% - Accent6 2 2 4 2 2" xfId="5059"/>
    <cellStyle name="40% - Accent6 2 2 4 2 2" xfId="5060"/>
    <cellStyle name="60% - Accent6 2 2 4 2 2" xfId="5061"/>
    <cellStyle name="Comma 2 2 2 4 3 2" xfId="5062"/>
    <cellStyle name="Comma 4 2 4 3 2" xfId="5063"/>
    <cellStyle name="Normal 3 8 2 4 2 2" xfId="5064"/>
    <cellStyle name="Normal 8 3 2 2" xfId="5065"/>
    <cellStyle name="Comma 6 3 3 2" xfId="5066"/>
    <cellStyle name="20% - Accent1 4 3 2 2" xfId="5067"/>
    <cellStyle name="40% - Accent1 4 3 2 2" xfId="5068"/>
    <cellStyle name="60% - Accent1 4 3 2 2" xfId="5069"/>
    <cellStyle name="20% - Accent2 4 3 2 2" xfId="5070"/>
    <cellStyle name="40% - Accent2 4 3 2 2" xfId="5071"/>
    <cellStyle name="60% - Accent2 4 3 2 2" xfId="5072"/>
    <cellStyle name="20% - Accent3 4 3 2 2" xfId="5073"/>
    <cellStyle name="40% - Accent3 4 3 2 2" xfId="5074"/>
    <cellStyle name="60% - Accent3 4 3 2 2" xfId="5075"/>
    <cellStyle name="20% - Accent4 4 3 2 2" xfId="5076"/>
    <cellStyle name="40% - Accent4 4 3 2 2" xfId="5077"/>
    <cellStyle name="60% - Accent4 4 3 2 2" xfId="5078"/>
    <cellStyle name="20% - Accent5 4 3 2 2" xfId="5079"/>
    <cellStyle name="40% - Accent5 4 3 2 2" xfId="5080"/>
    <cellStyle name="60% - Accent5 4 3 2 2" xfId="5081"/>
    <cellStyle name="20% - Accent6 4 3 2 2" xfId="5082"/>
    <cellStyle name="40% - Accent6 4 3 2 2" xfId="5083"/>
    <cellStyle name="60% - Accent6 4 3 2 2" xfId="5084"/>
    <cellStyle name="Normal 3 2 4 3 2 2" xfId="5085"/>
    <cellStyle name="Normal 3 3 4 3 2 2" xfId="5086"/>
    <cellStyle name="Normal 3 4 4 3 2 2" xfId="5087"/>
    <cellStyle name="Normal 3 5 4 3 2 2" xfId="5088"/>
    <cellStyle name="Normal 3 2 2 3 3 2 2" xfId="5089"/>
    <cellStyle name="Normal 3 3 2 3 3 2 2" xfId="5090"/>
    <cellStyle name="Normal 3 4 2 3 3 2 2" xfId="5091"/>
    <cellStyle name="Normal 3 5 2 3 3 2 2" xfId="5092"/>
    <cellStyle name="Normal 5 3 3 2 2" xfId="5093"/>
    <cellStyle name="Percent 3 3 3 2 2" xfId="5094"/>
    <cellStyle name="Note 2 3 3 2 2" xfId="5095"/>
    <cellStyle name="Normal 3 6 3 3 2 2" xfId="5096"/>
    <cellStyle name="Comma 2 5 3 3 2" xfId="5097"/>
    <cellStyle name="Comma 3 4 3 3 2" xfId="5098"/>
    <cellStyle name="Percent 4 3 3 2 2" xfId="5099"/>
    <cellStyle name="Normal 3 7 3 3 2 2" xfId="5100"/>
    <cellStyle name="Note 3 3 3 2 2" xfId="5101"/>
    <cellStyle name="20% - Accent1 2 3 3 2 2" xfId="5102"/>
    <cellStyle name="40% - Accent1 2 3 3 2 2" xfId="5103"/>
    <cellStyle name="60% - Accent1 2 3 3 2 2" xfId="5104"/>
    <cellStyle name="20% - Accent2 2 3 3 2 2" xfId="5105"/>
    <cellStyle name="40% - Accent2 2 3 3 2 2" xfId="5106"/>
    <cellStyle name="60% - Accent2 2 3 3 2 2" xfId="5107"/>
    <cellStyle name="20% - Accent3 2 3 3 2 2" xfId="5108"/>
    <cellStyle name="40% - Accent3 2 3 3 2 2" xfId="5109"/>
    <cellStyle name="60% - Accent3 2 3 3 2 2" xfId="5110"/>
    <cellStyle name="20% - Accent4 2 3 3 2 2" xfId="5111"/>
    <cellStyle name="40% - Accent4 2 3 3 2 2" xfId="5112"/>
    <cellStyle name="60% - Accent4 2 3 3 2 2" xfId="5113"/>
    <cellStyle name="20% - Accent5 2 3 3 2 2" xfId="5114"/>
    <cellStyle name="40% - Accent5 2 3 3 2 2" xfId="5115"/>
    <cellStyle name="60% - Accent5 2 3 3 2 2" xfId="5116"/>
    <cellStyle name="20% - Accent6 2 3 3 2 2" xfId="5117"/>
    <cellStyle name="40% - Accent6 2 3 3 2 2" xfId="5118"/>
    <cellStyle name="60% - Accent6 2 3 3 2 2" xfId="5119"/>
    <cellStyle name="Comma 2 2 4 3 3 2" xfId="5120"/>
    <cellStyle name="Comma 4 4 3 3 2" xfId="5121"/>
    <cellStyle name="Normal 3 8 3 3 2 2" xfId="5122"/>
    <cellStyle name="Comma 2 4 3 3 2" xfId="5123"/>
    <cellStyle name="Comma 3 3 3 3 2" xfId="5124"/>
    <cellStyle name="Comma 2 2 3 3 3 2" xfId="5125"/>
    <cellStyle name="Comma 4 3 3 3 2" xfId="5126"/>
    <cellStyle name="Normal 7 2 3 2 2" xfId="5127"/>
    <cellStyle name="Comma 5 2 3 3 2" xfId="5128"/>
    <cellStyle name="20% - Accent1 3 2 3 2 2" xfId="5129"/>
    <cellStyle name="40% - Accent1 3 2 3 2 2" xfId="5130"/>
    <cellStyle name="60% - Accent1 3 2 3 2 2" xfId="5131"/>
    <cellStyle name="20% - Accent2 3 2 3 2 2" xfId="5132"/>
    <cellStyle name="40% - Accent2 3 2 3 2 2" xfId="5133"/>
    <cellStyle name="60% - Accent2 3 2 3 2 2" xfId="5134"/>
    <cellStyle name="20% - Accent3 3 2 3 2 2" xfId="5135"/>
    <cellStyle name="40% - Accent3 3 2 3 2 2" xfId="5136"/>
    <cellStyle name="60% - Accent3 3 2 3 2 2" xfId="5137"/>
    <cellStyle name="20% - Accent4 3 2 3 2 2" xfId="5138"/>
    <cellStyle name="40% - Accent4 3 2 3 2 2" xfId="5139"/>
    <cellStyle name="60% - Accent4 3 2 3 2 2" xfId="5140"/>
    <cellStyle name="20% - Accent5 3 2 3 2 2" xfId="5141"/>
    <cellStyle name="40% - Accent5 3 2 3 2 2" xfId="5142"/>
    <cellStyle name="60% - Accent5 3 2 3 2 2" xfId="5143"/>
    <cellStyle name="20% - Accent6 3 2 3 2 2" xfId="5144"/>
    <cellStyle name="40% - Accent6 3 2 3 2 2" xfId="5145"/>
    <cellStyle name="60% - Accent6 3 2 3 2 2" xfId="5146"/>
    <cellStyle name="Normal 3 2 3 2 3 2 2" xfId="5147"/>
    <cellStyle name="Normal 3 3 3 2 3 2 2" xfId="5148"/>
    <cellStyle name="Normal 3 4 3 2 3 2 2" xfId="5149"/>
    <cellStyle name="Normal 3 5 3 2 3 2 2" xfId="5150"/>
    <cellStyle name="Normal 3 2 2 2 2 3 2 2" xfId="5151"/>
    <cellStyle name="Normal 3 3 2 2 2 3 2 2" xfId="5152"/>
    <cellStyle name="Normal 3 4 2 2 2 3 2 2" xfId="5153"/>
    <cellStyle name="Normal 3 5 2 2 2 3 2 2" xfId="5154"/>
    <cellStyle name="Normal 5 2 2 3 2 2" xfId="5155"/>
    <cellStyle name="Percent 3 2 2 3 2 2" xfId="5156"/>
    <cellStyle name="Note 2 2 2 3 2 2" xfId="5157"/>
    <cellStyle name="Normal 3 6 2 2 3 2 2" xfId="5158"/>
    <cellStyle name="Comma 2 3 2 3 3 2" xfId="5159"/>
    <cellStyle name="Comma 3 2 2 3 3 2" xfId="5160"/>
    <cellStyle name="Percent 4 2 2 3 2 2" xfId="5161"/>
    <cellStyle name="Normal 3 7 2 2 3 2 2" xfId="5162"/>
    <cellStyle name="Note 3 2 2 3 2 2" xfId="5163"/>
    <cellStyle name="20% - Accent1 2 2 2 3 2 2" xfId="5164"/>
    <cellStyle name="40% - Accent1 2 2 2 3 2 2" xfId="5165"/>
    <cellStyle name="60% - Accent1 2 2 2 3 2 2" xfId="5166"/>
    <cellStyle name="20% - Accent2 2 2 2 3 2 2" xfId="5167"/>
    <cellStyle name="40% - Accent2 2 2 2 3 2 2" xfId="5168"/>
    <cellStyle name="60% - Accent2 2 2 2 3 2 2" xfId="5169"/>
    <cellStyle name="20% - Accent3 2 2 2 3 2 2" xfId="5170"/>
    <cellStyle name="40% - Accent3 2 2 2 3 2 2" xfId="5171"/>
    <cellStyle name="60% - Accent3 2 2 2 3 2 2" xfId="5172"/>
    <cellStyle name="20% - Accent4 2 2 2 3 2 2" xfId="5173"/>
    <cellStyle name="40% - Accent4 2 2 2 3 2 2" xfId="5174"/>
    <cellStyle name="60% - Accent4 2 2 2 3 2 2" xfId="5175"/>
    <cellStyle name="20% - Accent5 2 2 2 3 2 2" xfId="5176"/>
    <cellStyle name="40% - Accent5 2 2 2 3 2 2" xfId="5177"/>
    <cellStyle name="60% - Accent5 2 2 2 3 2 2" xfId="5178"/>
    <cellStyle name="20% - Accent6 2 2 2 3 2 2" xfId="5179"/>
    <cellStyle name="40% - Accent6 2 2 2 3 2 2" xfId="5180"/>
    <cellStyle name="60% - Accent6 2 2 2 3 2 2" xfId="5181"/>
    <cellStyle name="Comma 2 2 2 2 3 3 2" xfId="5182"/>
    <cellStyle name="Comma 4 2 2 3 3 2" xfId="5183"/>
    <cellStyle name="Normal 3 8 2 2 3 2 2" xfId="5184"/>
    <cellStyle name="Normal 3 10 3 2 2" xfId="5185"/>
    <cellStyle name="Normal 3 11 3 2 2" xfId="5186"/>
    <cellStyle name="Normal 5 4 2 2 2" xfId="5187"/>
    <cellStyle name="Normal 7 3 2 2 2" xfId="5188"/>
    <cellStyle name="Normal 3 2 2 2 3 2 2 2" xfId="5189"/>
    <cellStyle name="Normal 8 2 2 2 2" xfId="5190"/>
    <cellStyle name="Normal 3 2 2 2 2 2 2 2 2" xfId="5191"/>
    <cellStyle name="Comma 3 6 3 2" xfId="5192"/>
    <cellStyle name="Normal 3 6 4 2 2 2" xfId="5193"/>
    <cellStyle name="Normal 3 12 2 2 2" xfId="5194"/>
    <cellStyle name="Normal 3 2 5 2 2 2" xfId="5195"/>
    <cellStyle name="Normal 3 3 5 2 2 2" xfId="5196"/>
    <cellStyle name="Normal 3 4 5 2 2 2" xfId="5197"/>
    <cellStyle name="Normal 3 5 5 2 2 2" xfId="5198"/>
    <cellStyle name="20% - Accent1 5 2 2 2" xfId="5199"/>
    <cellStyle name="40% - Accent1 5 2 2 2" xfId="5200"/>
    <cellStyle name="60% - Accent1 5 2 2 2" xfId="5201"/>
    <cellStyle name="20% - Accent2 5 2 2 2" xfId="5202"/>
    <cellStyle name="40% - Accent2 5 2 2 2" xfId="5203"/>
    <cellStyle name="60% - Accent2 5 2 2 2" xfId="5204"/>
    <cellStyle name="20% - Accent3 5 2 2 2" xfId="5205"/>
    <cellStyle name="40% - Accent3 5 2 2 2" xfId="5206"/>
    <cellStyle name="60% - Accent3 5 2 2 2" xfId="5207"/>
    <cellStyle name="20% - Accent4 5 2 2 2" xfId="5208"/>
    <cellStyle name="40% - Accent4 5 2 2 2" xfId="5209"/>
    <cellStyle name="60% - Accent4 5 2 2 2" xfId="5210"/>
    <cellStyle name="20% - Accent5 5 2 2 2" xfId="5211"/>
    <cellStyle name="40% - Accent5 5 2 2 2" xfId="5212"/>
    <cellStyle name="60% - Accent5 5 2 2 2" xfId="5213"/>
    <cellStyle name="20% - Accent6 5 2 2 2" xfId="5214"/>
    <cellStyle name="40% - Accent6 5 2 2 2" xfId="5215"/>
    <cellStyle name="60% - Accent6 5 2 2 2" xfId="5216"/>
    <cellStyle name="Normal 3 2 2 4 2 2 2" xfId="5217"/>
    <cellStyle name="Normal 3 3 2 4 2 2 2" xfId="5218"/>
    <cellStyle name="Normal 3 4 2 4 2 2 2" xfId="5219"/>
    <cellStyle name="Normal 3 5 2 4 2 2 2" xfId="5220"/>
    <cellStyle name="Percent 3 4 2 2 2" xfId="5221"/>
    <cellStyle name="Note 2 4 2 2 2" xfId="5222"/>
    <cellStyle name="Comma 2 6 2 3 2" xfId="5223"/>
    <cellStyle name="Comma 3 5 2 3 2" xfId="5224"/>
    <cellStyle name="Percent 4 4 2 2 2" xfId="5225"/>
    <cellStyle name="Normal 3 7 4 2 2 2" xfId="5226"/>
    <cellStyle name="Note 3 4 2 2 2" xfId="5227"/>
    <cellStyle name="20% - Accent1 2 4 2 2 2" xfId="5228"/>
    <cellStyle name="40% - Accent1 2 4 2 2 2" xfId="5229"/>
    <cellStyle name="60% - Accent1 2 4 2 2 2" xfId="5230"/>
    <cellStyle name="20% - Accent2 2 4 2 2 2" xfId="5231"/>
    <cellStyle name="40% - Accent2 2 4 2 2 2" xfId="5232"/>
    <cellStyle name="60% - Accent2 2 4 2 2 2" xfId="5233"/>
    <cellStyle name="20% - Accent3 2 4 2 2 2" xfId="5234"/>
    <cellStyle name="40% - Accent3 2 4 2 2 2" xfId="5235"/>
    <cellStyle name="60% - Accent3 2 4 2 2 2" xfId="5236"/>
    <cellStyle name="20% - Accent4 2 4 2 2 2" xfId="5237"/>
    <cellStyle name="40% - Accent4 2 4 2 2 2" xfId="5238"/>
    <cellStyle name="60% - Accent4 2 4 2 2 2" xfId="5239"/>
    <cellStyle name="20% - Accent5 2 4 2 2 2" xfId="5240"/>
    <cellStyle name="40% - Accent5 2 4 2 2 2" xfId="5241"/>
    <cellStyle name="60% - Accent5 2 4 2 2 2" xfId="5242"/>
    <cellStyle name="20% - Accent6 2 4 2 2 2" xfId="5243"/>
    <cellStyle name="40% - Accent6 2 4 2 2 2" xfId="5244"/>
    <cellStyle name="60% - Accent6 2 4 2 2 2" xfId="5245"/>
    <cellStyle name="Comma 2 2 5 2 3 2" xfId="5246"/>
    <cellStyle name="Comma 4 5 2 3 2" xfId="5247"/>
    <cellStyle name="Normal 3 8 4 2 2 2" xfId="5248"/>
    <cellStyle name="Comma 5 3 2 3 2" xfId="5249"/>
    <cellStyle name="20% - Accent1 3 3 2 2 2" xfId="5250"/>
    <cellStyle name="40% - Accent1 3 3 2 2 2" xfId="5251"/>
    <cellStyle name="60% - Accent1 3 3 2 2 2" xfId="5252"/>
    <cellStyle name="20% - Accent2 3 3 2 2 2" xfId="5253"/>
    <cellStyle name="40% - Accent2 3 3 2 2 2" xfId="5254"/>
    <cellStyle name="60% - Accent2 3 3 2 2 2" xfId="5255"/>
    <cellStyle name="20% - Accent3 3 3 2 2 2" xfId="5256"/>
    <cellStyle name="40% - Accent3 3 3 2 2 2" xfId="5257"/>
    <cellStyle name="60% - Accent3 3 3 2 2 2" xfId="5258"/>
    <cellStyle name="20% - Accent4 3 3 2 2 2" xfId="5259"/>
    <cellStyle name="40% - Accent4 3 3 2 2 2" xfId="5260"/>
    <cellStyle name="60% - Accent4 3 3 2 2 2" xfId="5261"/>
    <cellStyle name="20% - Accent5 3 3 2 2 2" xfId="5262"/>
    <cellStyle name="40% - Accent5 3 3 2 2 2" xfId="5263"/>
    <cellStyle name="60% - Accent5 3 3 2 2 2" xfId="5264"/>
    <cellStyle name="20% - Accent6 3 3 2 2 2" xfId="5265"/>
    <cellStyle name="40% - Accent6 3 3 2 2 2" xfId="5266"/>
    <cellStyle name="60% - Accent6 3 3 2 2 2" xfId="5267"/>
    <cellStyle name="Normal 3 2 3 3 2 2 2" xfId="5268"/>
    <cellStyle name="Normal 3 3 3 3 2 2 2" xfId="5269"/>
    <cellStyle name="Normal 3 4 3 3 2 2 2" xfId="5270"/>
    <cellStyle name="Normal 3 5 3 3 2 2 2" xfId="5271"/>
    <cellStyle name="Normal 3 3 2 2 3 2 2 2" xfId="5272"/>
    <cellStyle name="Normal 3 4 2 2 3 2 2 2" xfId="5273"/>
    <cellStyle name="Normal 3 5 2 2 3 2 2 2" xfId="5274"/>
    <cellStyle name="Normal 5 2 3 2 2 2" xfId="5275"/>
    <cellStyle name="Percent 3 2 3 2 2 2" xfId="5276"/>
    <cellStyle name="Note 2 2 3 2 2 2" xfId="5277"/>
    <cellStyle name="Normal 3 6 2 3 2 2 2" xfId="5278"/>
    <cellStyle name="Comma 2 3 3 2 3 2" xfId="5279"/>
    <cellStyle name="Comma 3 2 3 2 3 2" xfId="5280"/>
    <cellStyle name="Percent 4 2 3 2 2 2" xfId="5281"/>
    <cellStyle name="Normal 3 7 2 3 2 2 2" xfId="5282"/>
    <cellStyle name="Note 3 2 3 2 2 2" xfId="5283"/>
    <cellStyle name="20% - Accent1 2 2 3 2 2 2" xfId="5284"/>
    <cellStyle name="40% - Accent1 2 2 3 2 2 2" xfId="5285"/>
    <cellStyle name="60% - Accent1 2 2 3 2 2 2" xfId="5286"/>
    <cellStyle name="20% - Accent2 2 2 3 2 2 2" xfId="5287"/>
    <cellStyle name="40% - Accent2 2 2 3 2 2 2" xfId="5288"/>
    <cellStyle name="60% - Accent2 2 2 3 2 2 2" xfId="5289"/>
    <cellStyle name="20% - Accent3 2 2 3 2 2 2" xfId="5290"/>
    <cellStyle name="40% - Accent3 2 2 3 2 2 2" xfId="5291"/>
    <cellStyle name="60% - Accent3 2 2 3 2 2 2" xfId="5292"/>
    <cellStyle name="20% - Accent4 2 2 3 2 2 2" xfId="5293"/>
    <cellStyle name="40% - Accent4 2 2 3 2 2 2" xfId="5294"/>
    <cellStyle name="60% - Accent4 2 2 3 2 2 2" xfId="5295"/>
    <cellStyle name="20% - Accent5 2 2 3 2 2 2" xfId="5296"/>
    <cellStyle name="40% - Accent5 2 2 3 2 2 2" xfId="5297"/>
    <cellStyle name="60% - Accent5 2 2 3 2 2 2" xfId="5298"/>
    <cellStyle name="20% - Accent6 2 2 3 2 2 2" xfId="5299"/>
    <cellStyle name="40% - Accent6 2 2 3 2 2 2" xfId="5300"/>
    <cellStyle name="60% - Accent6 2 2 3 2 2 2" xfId="5301"/>
    <cellStyle name="Comma 2 2 2 3 2 3 2" xfId="5302"/>
    <cellStyle name="Comma 4 2 3 2 3 2" xfId="5303"/>
    <cellStyle name="Normal 3 8 2 3 2 2 2" xfId="5304"/>
    <cellStyle name="Comma 6 2 2 3 2" xfId="5305"/>
    <cellStyle name="20% - Accent1 4 2 2 2 2" xfId="5306"/>
    <cellStyle name="40% - Accent1 4 2 2 2 2" xfId="5307"/>
    <cellStyle name="60% - Accent1 4 2 2 2 2" xfId="5308"/>
    <cellStyle name="20% - Accent2 4 2 2 2 2" xfId="5309"/>
    <cellStyle name="40% - Accent2 4 2 2 2 2" xfId="5310"/>
    <cellStyle name="60% - Accent2 4 2 2 2 2" xfId="5311"/>
    <cellStyle name="20% - Accent3 4 2 2 2 2" xfId="5312"/>
    <cellStyle name="40% - Accent3 4 2 2 2 2" xfId="5313"/>
    <cellStyle name="60% - Accent3 4 2 2 2 2" xfId="5314"/>
    <cellStyle name="20% - Accent4 4 2 2 2 2" xfId="5315"/>
    <cellStyle name="40% - Accent4 4 2 2 2 2" xfId="5316"/>
    <cellStyle name="60% - Accent4 4 2 2 2 2" xfId="5317"/>
    <cellStyle name="20% - Accent5 4 2 2 2 2" xfId="5318"/>
    <cellStyle name="40% - Accent5 4 2 2 2 2" xfId="5319"/>
    <cellStyle name="60% - Accent5 4 2 2 2 2" xfId="5320"/>
    <cellStyle name="20% - Accent6 4 2 2 2 2" xfId="5321"/>
    <cellStyle name="40% - Accent6 4 2 2 2 2" xfId="5322"/>
    <cellStyle name="60% - Accent6 4 2 2 2 2" xfId="5323"/>
    <cellStyle name="Normal 3 2 4 2 2 2 2" xfId="5324"/>
    <cellStyle name="Normal 3 3 4 2 2 2 2" xfId="5325"/>
    <cellStyle name="Normal 3 4 4 2 2 2 2" xfId="5326"/>
    <cellStyle name="Normal 3 5 4 2 2 2 2" xfId="5327"/>
    <cellStyle name="Normal 3 2 2 3 2 2 2 2" xfId="5328"/>
    <cellStyle name="Normal 3 3 2 3 2 2 2 2" xfId="5329"/>
    <cellStyle name="Normal 3 4 2 3 2 2 2 2" xfId="5330"/>
    <cellStyle name="Normal 3 5 2 3 2 2 2 2" xfId="5331"/>
    <cellStyle name="Normal 5 3 2 2 2 2" xfId="5332"/>
    <cellStyle name="Percent 3 3 2 2 2 2" xfId="5333"/>
    <cellStyle name="Note 2 3 2 2 2 2" xfId="5334"/>
    <cellStyle name="Normal 3 6 3 2 2 2 2" xfId="5335"/>
    <cellStyle name="Comma 2 5 2 2 3 2" xfId="5336"/>
    <cellStyle name="Comma 3 4 2 2 3 2" xfId="5337"/>
    <cellStyle name="Percent 4 3 2 2 2 2" xfId="5338"/>
    <cellStyle name="Normal 3 7 3 2 2 2 2" xfId="5339"/>
    <cellStyle name="Note 3 3 2 2 2 2" xfId="5340"/>
    <cellStyle name="20% - Accent1 2 3 2 2 2 2" xfId="5341"/>
    <cellStyle name="40% - Accent1 2 3 2 2 2 2" xfId="5342"/>
    <cellStyle name="60% - Accent1 2 3 2 2 2 2" xfId="5343"/>
    <cellStyle name="20% - Accent2 2 3 2 2 2 2" xfId="5344"/>
    <cellStyle name="40% - Accent2 2 3 2 2 2 2" xfId="5345"/>
    <cellStyle name="60% - Accent2 2 3 2 2 2 2" xfId="5346"/>
    <cellStyle name="20% - Accent3 2 3 2 2 2 2" xfId="5347"/>
    <cellStyle name="40% - Accent3 2 3 2 2 2 2" xfId="5348"/>
    <cellStyle name="60% - Accent3 2 3 2 2 2 2" xfId="5349"/>
    <cellStyle name="20% - Accent4 2 3 2 2 2 2" xfId="5350"/>
    <cellStyle name="40% - Accent4 2 3 2 2 2 2" xfId="5351"/>
    <cellStyle name="60% - Accent4 2 3 2 2 2 2" xfId="5352"/>
    <cellStyle name="20% - Accent5 2 3 2 2 2 2" xfId="5353"/>
    <cellStyle name="40% - Accent5 2 3 2 2 2 2" xfId="5354"/>
    <cellStyle name="60% - Accent5 2 3 2 2 2 2" xfId="5355"/>
    <cellStyle name="20% - Accent6 2 3 2 2 2 2" xfId="5356"/>
    <cellStyle name="40% - Accent6 2 3 2 2 2 2" xfId="5357"/>
    <cellStyle name="60% - Accent6 2 3 2 2 2 2" xfId="5358"/>
    <cellStyle name="Comma 2 2 4 2 2 3 2" xfId="5359"/>
    <cellStyle name="Comma 4 4 2 2 3 2" xfId="5360"/>
    <cellStyle name="Normal 3 8 3 2 2 2 2" xfId="5361"/>
    <cellStyle name="Comma 2 4 2 2 3 2" xfId="5362"/>
    <cellStyle name="Comma 3 3 2 2 3 2" xfId="5363"/>
    <cellStyle name="Comma 2 2 3 2 2 3 2" xfId="5364"/>
    <cellStyle name="Comma 4 3 2 2 3 2" xfId="5365"/>
    <cellStyle name="Normal 7 2 2 2 2 2" xfId="5366"/>
    <cellStyle name="Comma 5 2 2 2 3 2" xfId="5367"/>
    <cellStyle name="20% - Accent1 3 2 2 2 2 2" xfId="5368"/>
    <cellStyle name="40% - Accent1 3 2 2 2 2 2" xfId="5369"/>
    <cellStyle name="60% - Accent1 3 2 2 2 2 2" xfId="5370"/>
    <cellStyle name="20% - Accent2 3 2 2 2 2 2" xfId="5371"/>
    <cellStyle name="40% - Accent2 3 2 2 2 2 2" xfId="5372"/>
    <cellStyle name="60% - Accent2 3 2 2 2 2 2" xfId="5373"/>
    <cellStyle name="20% - Accent3 3 2 2 2 2 2" xfId="5374"/>
    <cellStyle name="40% - Accent3 3 2 2 2 2 2" xfId="5375"/>
    <cellStyle name="60% - Accent3 3 2 2 2 2 2" xfId="5376"/>
    <cellStyle name="20% - Accent4 3 2 2 2 2 2" xfId="5377"/>
    <cellStyle name="40% - Accent4 3 2 2 2 2 2" xfId="5378"/>
    <cellStyle name="60% - Accent4 3 2 2 2 2 2" xfId="5379"/>
    <cellStyle name="20% - Accent5 3 2 2 2 2 2" xfId="5380"/>
    <cellStyle name="40% - Accent5 3 2 2 2 2 2" xfId="5381"/>
    <cellStyle name="60% - Accent5 3 2 2 2 2 2" xfId="5382"/>
    <cellStyle name="20% - Accent6 3 2 2 2 2 2" xfId="5383"/>
    <cellStyle name="40% - Accent6 3 2 2 2 2 2" xfId="5384"/>
    <cellStyle name="60% - Accent6 3 2 2 2 2 2" xfId="5385"/>
    <cellStyle name="Normal 3 2 3 2 2 2 2 2" xfId="5386"/>
    <cellStyle name="Normal 3 3 3 2 2 2 2 2" xfId="5387"/>
    <cellStyle name="Normal 3 4 3 2 2 2 2 2" xfId="5388"/>
    <cellStyle name="Normal 3 5 3 2 2 2 2 2" xfId="5389"/>
    <cellStyle name="Normal 3 3 2 2 2 2 2 2 2" xfId="5390"/>
    <cellStyle name="Normal 3 4 2 2 2 2 2 2 2" xfId="5391"/>
    <cellStyle name="Normal 3 5 2 2 2 2 2 2 2" xfId="5392"/>
    <cellStyle name="Normal 5 2 2 2 2 2 2" xfId="5393"/>
    <cellStyle name="Percent 3 2 2 2 2 2 2" xfId="5394"/>
    <cellStyle name="Note 2 2 2 2 2 2 2" xfId="5395"/>
    <cellStyle name="Normal 3 6 2 2 2 2 2 2" xfId="5396"/>
    <cellStyle name="Comma 2 3 2 2 2 3 2" xfId="5397"/>
    <cellStyle name="Comma 3 2 2 2 2 3 2" xfId="5398"/>
    <cellStyle name="Percent 4 2 2 2 2 2 2" xfId="5399"/>
    <cellStyle name="Normal 3 7 2 2 2 2 2 2" xfId="5400"/>
    <cellStyle name="Note 3 2 2 2 2 2 2" xfId="5401"/>
    <cellStyle name="20% - Accent1 2 2 2 2 2 2 2" xfId="5402"/>
    <cellStyle name="40% - Accent1 2 2 2 2 2 2 2" xfId="5403"/>
    <cellStyle name="60% - Accent1 2 2 2 2 2 2 2" xfId="5404"/>
    <cellStyle name="20% - Accent2 2 2 2 2 2 2 2" xfId="5405"/>
    <cellStyle name="40% - Accent2 2 2 2 2 2 2 2" xfId="5406"/>
    <cellStyle name="60% - Accent2 2 2 2 2 2 2 2" xfId="5407"/>
    <cellStyle name="20% - Accent3 2 2 2 2 2 2 2" xfId="5408"/>
    <cellStyle name="40% - Accent3 2 2 2 2 2 2 2" xfId="5409"/>
    <cellStyle name="60% - Accent3 2 2 2 2 2 2 2" xfId="5410"/>
    <cellStyle name="20% - Accent4 2 2 2 2 2 2 2" xfId="5411"/>
    <cellStyle name="40% - Accent4 2 2 2 2 2 2 2" xfId="5412"/>
    <cellStyle name="60% - Accent4 2 2 2 2 2 2 2" xfId="5413"/>
    <cellStyle name="20% - Accent5 2 2 2 2 2 2 2" xfId="5414"/>
    <cellStyle name="40% - Accent5 2 2 2 2 2 2 2" xfId="5415"/>
    <cellStyle name="60% - Accent5 2 2 2 2 2 2 2" xfId="5416"/>
    <cellStyle name="20% - Accent6 2 2 2 2 2 2 2" xfId="5417"/>
    <cellStyle name="40% - Accent6 2 2 2 2 2 2 2" xfId="5418"/>
    <cellStyle name="60% - Accent6 2 2 2 2 2 2 2" xfId="5419"/>
    <cellStyle name="Comma 2 2 2 2 2 2 3 2" xfId="5420"/>
    <cellStyle name="Comma 4 2 2 2 2 3 2" xfId="5421"/>
    <cellStyle name="Normal 3 8 2 2 2 2 2 2" xfId="5422"/>
    <cellStyle name="Normal 3 10 2 2 2 2" xfId="5423"/>
    <cellStyle name="Normal 3 11 2 2 2 2" xfId="5424"/>
    <cellStyle name="Normal 3 13 2 2" xfId="5425"/>
    <cellStyle name="Normal 3 2 7 2 2" xfId="5426"/>
    <cellStyle name="Normal 3 3 7 2 2" xfId="5427"/>
    <cellStyle name="Normal 3 4 7 2 2" xfId="5428"/>
    <cellStyle name="Normal 3 5 7 2 2" xfId="5429"/>
    <cellStyle name="20% - Accent1 7 2 2" xfId="5430"/>
    <cellStyle name="40% - Accent1 7 2 2" xfId="5431"/>
    <cellStyle name="60% - Accent1 7 2 2" xfId="5432"/>
    <cellStyle name="20% - Accent2 7 2 2" xfId="5433"/>
    <cellStyle name="40% - Accent2 7 2 2" xfId="5434"/>
    <cellStyle name="60% - Accent2 7 2 2" xfId="5435"/>
    <cellStyle name="20% - Accent3 7 2 2" xfId="5436"/>
    <cellStyle name="40% - Accent3 7 2 2" xfId="5437"/>
    <cellStyle name="60% - Accent3 7 2 2" xfId="5438"/>
    <cellStyle name="20% - Accent4 7 2 2" xfId="5439"/>
    <cellStyle name="40% - Accent4 7 2 2" xfId="5440"/>
    <cellStyle name="60% - Accent4 7 2 2" xfId="5441"/>
    <cellStyle name="20% - Accent5 7 2 2" xfId="5442"/>
    <cellStyle name="40% - Accent5 7 2 2" xfId="5443"/>
    <cellStyle name="60% - Accent5 7 2 2" xfId="5444"/>
    <cellStyle name="20% - Accent6 7 2 2" xfId="5445"/>
    <cellStyle name="40% - Accent6 7 2 2" xfId="5446"/>
    <cellStyle name="60% - Accent6 7 2 2" xfId="5447"/>
    <cellStyle name="Normal 3 2 2 6 2 2" xfId="5448"/>
    <cellStyle name="Normal 3 3 2 6 2 2" xfId="5449"/>
    <cellStyle name="Normal 3 4 2 6 2 2" xfId="5450"/>
    <cellStyle name="Normal 3 5 2 6 2 2" xfId="5451"/>
    <cellStyle name="Normal 5 6 2 2" xfId="5452"/>
    <cellStyle name="Percent 3 6 2 2" xfId="5453"/>
    <cellStyle name="Note 2 6 2 2" xfId="5454"/>
    <cellStyle name="Normal 3 6 6 2 2" xfId="5455"/>
    <cellStyle name="Comma 2 8 3 2" xfId="5456"/>
    <cellStyle name="Comma 3 8 3 2" xfId="5457"/>
    <cellStyle name="Percent 4 6 2 2" xfId="5458"/>
    <cellStyle name="Normal 3 7 6 2 2" xfId="5459"/>
    <cellStyle name="Note 3 6 2 2" xfId="5460"/>
    <cellStyle name="20% - Accent1 2 6 2 2" xfId="5461"/>
    <cellStyle name="40% - Accent1 2 6 2 2" xfId="5462"/>
    <cellStyle name="60% - Accent1 2 6 2 2" xfId="5463"/>
    <cellStyle name="20% - Accent2 2 6 2 2" xfId="5464"/>
    <cellStyle name="40% - Accent2 2 6 2 2" xfId="5465"/>
    <cellStyle name="60% - Accent2 2 6 2 2" xfId="5466"/>
    <cellStyle name="20% - Accent3 2 6 2 2" xfId="5467"/>
    <cellStyle name="40% - Accent3 2 6 2 2" xfId="5468"/>
    <cellStyle name="60% - Accent3 2 6 2 2" xfId="5469"/>
    <cellStyle name="20% - Accent4 2 6 2 2" xfId="5470"/>
    <cellStyle name="40% - Accent4 2 6 2 2" xfId="5471"/>
    <cellStyle name="60% - Accent4 2 6 2 2" xfId="5472"/>
    <cellStyle name="20% - Accent5 2 6 2 2" xfId="5473"/>
    <cellStyle name="40% - Accent5 2 6 2 2" xfId="5474"/>
    <cellStyle name="60% - Accent5 2 6 2 2" xfId="5475"/>
    <cellStyle name="20% - Accent6 2 6 2 2" xfId="5476"/>
    <cellStyle name="40% - Accent6 2 6 2 2" xfId="5477"/>
    <cellStyle name="60% - Accent6 2 6 2 2" xfId="5478"/>
    <cellStyle name="Comma 2 2 7 3 2" xfId="5479"/>
    <cellStyle name="Comma 4 7 3 2" xfId="5480"/>
    <cellStyle name="Normal 3 8 6 2 2" xfId="5481"/>
    <cellStyle name="Normal 7 5 2 2" xfId="5482"/>
    <cellStyle name="Comma 5 5 3 2" xfId="5483"/>
    <cellStyle name="20% - Accent1 3 5 2 2" xfId="5484"/>
    <cellStyle name="40% - Accent1 3 5 2 2" xfId="5485"/>
    <cellStyle name="60% - Accent1 3 5 2 2" xfId="5486"/>
    <cellStyle name="20% - Accent2 3 5 2 2" xfId="5487"/>
    <cellStyle name="40% - Accent2 3 5 2 2" xfId="5488"/>
    <cellStyle name="60% - Accent2 3 5 2 2" xfId="5489"/>
    <cellStyle name="20% - Accent3 3 5 2 2" xfId="5490"/>
    <cellStyle name="40% - Accent3 3 5 2 2" xfId="5491"/>
    <cellStyle name="60% - Accent3 3 5 2 2" xfId="5492"/>
    <cellStyle name="20% - Accent4 3 5 2 2" xfId="5493"/>
    <cellStyle name="40% - Accent4 3 5 2 2" xfId="5494"/>
    <cellStyle name="60% - Accent4 3 5 2 2" xfId="5495"/>
    <cellStyle name="20% - Accent5 3 5 2 2" xfId="5496"/>
    <cellStyle name="40% - Accent5 3 5 2 2" xfId="5497"/>
    <cellStyle name="60% - Accent5 3 5 2 2" xfId="5498"/>
    <cellStyle name="20% - Accent6 3 5 2 2" xfId="5499"/>
    <cellStyle name="40% - Accent6 3 5 2 2" xfId="5500"/>
    <cellStyle name="60% - Accent6 3 5 2 2" xfId="5501"/>
    <cellStyle name="Normal 3 2 3 5 2 2" xfId="5502"/>
    <cellStyle name="Normal 3 3 3 5 2 2" xfId="5503"/>
    <cellStyle name="Normal 3 4 3 5 2 2" xfId="5504"/>
    <cellStyle name="Normal 3 5 3 5 2 2" xfId="5505"/>
    <cellStyle name="Normal 3 2 2 2 5 2 2" xfId="5506"/>
    <cellStyle name="Normal 3 3 2 2 5 2 2" xfId="5507"/>
    <cellStyle name="Normal 3 4 2 2 5 2 2" xfId="5508"/>
    <cellStyle name="Normal 3 5 2 2 5 2 2" xfId="5509"/>
    <cellStyle name="Normal 5 2 5 2 2" xfId="5510"/>
    <cellStyle name="Percent 3 2 5 2 2" xfId="5511"/>
    <cellStyle name="Note 2 2 5 2 2" xfId="5512"/>
    <cellStyle name="Normal 3 6 2 5 2 2" xfId="5513"/>
    <cellStyle name="Comma 2 3 5 3 2" xfId="5514"/>
    <cellStyle name="Comma 3 2 5 3 2" xfId="5515"/>
    <cellStyle name="Percent 4 2 5 2 2" xfId="5516"/>
    <cellStyle name="Normal 3 7 2 5 2 2" xfId="5517"/>
    <cellStyle name="Note 3 2 5 2 2" xfId="5518"/>
    <cellStyle name="20% - Accent1 2 2 5 2 2" xfId="5519"/>
    <cellStyle name="40% - Accent1 2 2 5 2 2" xfId="5520"/>
    <cellStyle name="60% - Accent1 2 2 5 2 2" xfId="5521"/>
    <cellStyle name="20% - Accent2 2 2 5 2 2" xfId="5522"/>
    <cellStyle name="40% - Accent2 2 2 5 2 2" xfId="5523"/>
    <cellStyle name="60% - Accent2 2 2 5 2 2" xfId="5524"/>
    <cellStyle name="20% - Accent3 2 2 5 2 2" xfId="5525"/>
    <cellStyle name="40% - Accent3 2 2 5 2 2" xfId="5526"/>
    <cellStyle name="60% - Accent3 2 2 5 2 2" xfId="5527"/>
    <cellStyle name="20% - Accent4 2 2 5 2 2" xfId="5528"/>
    <cellStyle name="40% - Accent4 2 2 5 2 2" xfId="5529"/>
    <cellStyle name="60% - Accent4 2 2 5 2 2" xfId="5530"/>
    <cellStyle name="20% - Accent5 2 2 5 2 2" xfId="5531"/>
    <cellStyle name="40% - Accent5 2 2 5 2 2" xfId="5532"/>
    <cellStyle name="60% - Accent5 2 2 5 2 2" xfId="5533"/>
    <cellStyle name="20% - Accent6 2 2 5 2 2" xfId="5534"/>
    <cellStyle name="40% - Accent6 2 2 5 2 2" xfId="5535"/>
    <cellStyle name="60% - Accent6 2 2 5 2 2" xfId="5536"/>
    <cellStyle name="Comma 2 2 2 5 3 2" xfId="5537"/>
    <cellStyle name="Comma 4 2 5 3 2" xfId="5538"/>
    <cellStyle name="Normal 3 8 2 5 2 2" xfId="5539"/>
    <cellStyle name="Normal 8 4 2 2" xfId="5540"/>
    <cellStyle name="Comma 6 4 3 2" xfId="5541"/>
    <cellStyle name="20% - Accent1 4 4 2 2" xfId="5542"/>
    <cellStyle name="40% - Accent1 4 4 2 2" xfId="5543"/>
    <cellStyle name="60% - Accent1 4 4 2 2" xfId="5544"/>
    <cellStyle name="20% - Accent2 4 4 2 2" xfId="5545"/>
    <cellStyle name="40% - Accent2 4 4 2 2" xfId="5546"/>
    <cellStyle name="60% - Accent2 4 4 2 2" xfId="5547"/>
    <cellStyle name="20% - Accent3 4 4 2 2" xfId="5548"/>
    <cellStyle name="40% - Accent3 4 4 2 2" xfId="5549"/>
    <cellStyle name="60% - Accent3 4 4 2 2" xfId="5550"/>
    <cellStyle name="20% - Accent4 4 4 2 2" xfId="5551"/>
    <cellStyle name="40% - Accent4 4 4 2 2" xfId="5552"/>
    <cellStyle name="60% - Accent4 4 4 2 2" xfId="5553"/>
    <cellStyle name="20% - Accent5 4 4 2 2" xfId="5554"/>
    <cellStyle name="40% - Accent5 4 4 2 2" xfId="5555"/>
    <cellStyle name="60% - Accent5 4 4 2 2" xfId="5556"/>
    <cellStyle name="20% - Accent6 4 4 2 2" xfId="5557"/>
    <cellStyle name="40% - Accent6 4 4 2 2" xfId="5558"/>
    <cellStyle name="60% - Accent6 4 4 2 2" xfId="5559"/>
    <cellStyle name="Normal 3 2 4 4 2 2" xfId="5560"/>
    <cellStyle name="Normal 3 3 4 4 2 2" xfId="5561"/>
    <cellStyle name="Normal 3 4 4 4 2 2" xfId="5562"/>
    <cellStyle name="Normal 3 5 4 4 2 2" xfId="5563"/>
    <cellStyle name="Normal 3 2 2 3 4 2 2" xfId="5564"/>
    <cellStyle name="Normal 3 3 2 3 4 2 2" xfId="5565"/>
    <cellStyle name="Normal 3 4 2 3 4 2 2" xfId="5566"/>
    <cellStyle name="Normal 3 5 2 3 4 2 2" xfId="5567"/>
    <cellStyle name="Normal 5 3 4 2 2" xfId="5568"/>
    <cellStyle name="Percent 3 3 4 2 2" xfId="5569"/>
    <cellStyle name="Note 2 3 4 2 2" xfId="5570"/>
    <cellStyle name="Normal 3 6 3 4 2 2" xfId="5571"/>
    <cellStyle name="Comma 2 5 4 3 2" xfId="5572"/>
    <cellStyle name="Comma 3 4 4 3 2" xfId="5573"/>
    <cellStyle name="Percent 4 3 4 2 2" xfId="5574"/>
    <cellStyle name="Normal 3 7 3 4 2 2" xfId="5575"/>
    <cellStyle name="Note 3 3 4 2 2" xfId="5576"/>
    <cellStyle name="20% - Accent1 2 3 4 2 2" xfId="5577"/>
    <cellStyle name="40% - Accent1 2 3 4 2 2" xfId="5578"/>
    <cellStyle name="60% - Accent1 2 3 4 2 2" xfId="5579"/>
    <cellStyle name="20% - Accent2 2 3 4 2 2" xfId="5580"/>
    <cellStyle name="40% - Accent2 2 3 4 2 2" xfId="5581"/>
    <cellStyle name="60% - Accent2 2 3 4 2 2" xfId="5582"/>
    <cellStyle name="20% - Accent3 2 3 4 2 2" xfId="5583"/>
    <cellStyle name="40% - Accent3 2 3 4 2 2" xfId="5584"/>
    <cellStyle name="60% - Accent3 2 3 4 2 2" xfId="5585"/>
    <cellStyle name="20% - Accent4 2 3 4 2 2" xfId="5586"/>
    <cellStyle name="40% - Accent4 2 3 4 2 2" xfId="5587"/>
    <cellStyle name="60% - Accent4 2 3 4 2 2" xfId="5588"/>
    <cellStyle name="20% - Accent5 2 3 4 2 2" xfId="5589"/>
    <cellStyle name="40% - Accent5 2 3 4 2 2" xfId="5590"/>
    <cellStyle name="60% - Accent5 2 3 4 2 2" xfId="5591"/>
    <cellStyle name="20% - Accent6 2 3 4 2 2" xfId="5592"/>
    <cellStyle name="40% - Accent6 2 3 4 2 2" xfId="5593"/>
    <cellStyle name="60% - Accent6 2 3 4 2 2" xfId="5594"/>
    <cellStyle name="Comma 2 2 4 4 3 2" xfId="5595"/>
    <cellStyle name="Comma 4 4 4 3 2" xfId="5596"/>
    <cellStyle name="Normal 3 8 3 4 2 2" xfId="5597"/>
    <cellStyle name="Comma 2 4 4 3 2" xfId="5598"/>
    <cellStyle name="Comma 3 3 4 3 2" xfId="5599"/>
    <cellStyle name="Comma 2 2 3 4 3 2" xfId="5600"/>
    <cellStyle name="Comma 4 3 4 3 2" xfId="5601"/>
    <cellStyle name="Normal 7 2 4 2 2" xfId="5602"/>
    <cellStyle name="Comma 5 2 4 3 2" xfId="5603"/>
    <cellStyle name="20% - Accent1 3 2 4 2 2" xfId="5604"/>
    <cellStyle name="40% - Accent1 3 2 4 2 2" xfId="5605"/>
    <cellStyle name="60% - Accent1 3 2 4 2 2" xfId="5606"/>
    <cellStyle name="20% - Accent2 3 2 4 2 2" xfId="5607"/>
    <cellStyle name="40% - Accent2 3 2 4 2 2" xfId="5608"/>
    <cellStyle name="60% - Accent2 3 2 4 2 2" xfId="5609"/>
    <cellStyle name="20% - Accent3 3 2 4 2 2" xfId="5610"/>
    <cellStyle name="40% - Accent3 3 2 4 2 2" xfId="5611"/>
    <cellStyle name="60% - Accent3 3 2 4 2 2" xfId="5612"/>
    <cellStyle name="20% - Accent4 3 2 4 2 2" xfId="5613"/>
    <cellStyle name="40% - Accent4 3 2 4 2 2" xfId="5614"/>
    <cellStyle name="60% - Accent4 3 2 4 2 2" xfId="5615"/>
    <cellStyle name="20% - Accent5 3 2 4 2 2" xfId="5616"/>
    <cellStyle name="40% - Accent5 3 2 4 2 2" xfId="5617"/>
    <cellStyle name="60% - Accent5 3 2 4 2 2" xfId="5618"/>
    <cellStyle name="20% - Accent6 3 2 4 2 2" xfId="5619"/>
    <cellStyle name="40% - Accent6 3 2 4 2 2" xfId="5620"/>
    <cellStyle name="60% - Accent6 3 2 4 2 2" xfId="5621"/>
    <cellStyle name="Normal 3 2 3 2 4 2 2" xfId="5622"/>
    <cellStyle name="Normal 3 3 3 2 4 2 2" xfId="5623"/>
    <cellStyle name="Normal 3 4 3 2 4 2 2" xfId="5624"/>
    <cellStyle name="Normal 3 5 3 2 4 2 2" xfId="5625"/>
    <cellStyle name="Normal 3 2 2 2 2 4 2 2" xfId="5626"/>
    <cellStyle name="Normal 3 3 2 2 2 4 2 2" xfId="5627"/>
    <cellStyle name="Normal 3 4 2 2 2 4 2 2" xfId="5628"/>
    <cellStyle name="Normal 3 5 2 2 2 4 2 2" xfId="5629"/>
    <cellStyle name="Normal 5 2 2 4 2 2" xfId="5630"/>
    <cellStyle name="Percent 3 2 2 4 2 2" xfId="5631"/>
    <cellStyle name="Note 2 2 2 4 2 2" xfId="5632"/>
    <cellStyle name="Normal 3 6 2 2 4 2 2" xfId="5633"/>
    <cellStyle name="Comma 2 3 2 4 3 2" xfId="5634"/>
    <cellStyle name="Comma 3 2 2 4 3 2" xfId="5635"/>
    <cellStyle name="Percent 4 2 2 4 2 2" xfId="5636"/>
    <cellStyle name="Normal 3 7 2 2 4 2 2" xfId="5637"/>
    <cellStyle name="Note 3 2 2 4 2 2" xfId="5638"/>
    <cellStyle name="20% - Accent1 2 2 2 4 2 2" xfId="5639"/>
    <cellStyle name="40% - Accent1 2 2 2 4 2 2" xfId="5640"/>
    <cellStyle name="60% - Accent1 2 2 2 4 2 2" xfId="5641"/>
    <cellStyle name="20% - Accent2 2 2 2 4 2 2" xfId="5642"/>
    <cellStyle name="40% - Accent2 2 2 2 4 2 2" xfId="5643"/>
    <cellStyle name="60% - Accent2 2 2 2 4 2 2" xfId="5644"/>
    <cellStyle name="20% - Accent3 2 2 2 4 2 2" xfId="5645"/>
    <cellStyle name="40% - Accent3 2 2 2 4 2 2" xfId="5646"/>
    <cellStyle name="60% - Accent3 2 2 2 4 2 2" xfId="5647"/>
    <cellStyle name="20% - Accent4 2 2 2 4 2 2" xfId="5648"/>
    <cellStyle name="40% - Accent4 2 2 2 4 2 2" xfId="5649"/>
    <cellStyle name="60% - Accent4 2 2 2 4 2 2" xfId="5650"/>
    <cellStyle name="20% - Accent5 2 2 2 4 2 2" xfId="5651"/>
    <cellStyle name="40% - Accent5 2 2 2 4 2 2" xfId="5652"/>
    <cellStyle name="60% - Accent5 2 2 2 4 2 2" xfId="5653"/>
    <cellStyle name="20% - Accent6 2 2 2 4 2 2" xfId="5654"/>
    <cellStyle name="40% - Accent6 2 2 2 4 2 2" xfId="5655"/>
    <cellStyle name="60% - Accent6 2 2 2 4 2 2" xfId="5656"/>
    <cellStyle name="Comma 2 2 2 2 4 3 2" xfId="5657"/>
    <cellStyle name="Comma 4 2 2 4 3 2" xfId="5658"/>
    <cellStyle name="Normal 3 8 2 2 4 2 2" xfId="5659"/>
    <cellStyle name="Normal 3 10 4 2 2" xfId="5660"/>
    <cellStyle name="Normal 3 11 4 2 2" xfId="5661"/>
    <cellStyle name="Normal 12 2 2 4" xfId="5662"/>
    <cellStyle name="Percent 8 2 2" xfId="5663"/>
    <cellStyle name="Note 4 2 2" xfId="5664"/>
    <cellStyle name="20% - Accent1 8 2 2" xfId="5665"/>
    <cellStyle name="40% - Accent1 8 2 2" xfId="5666"/>
    <cellStyle name="60% - Accent1 8 2 2" xfId="5667"/>
    <cellStyle name="20% - Accent2 8 2 2" xfId="5668"/>
    <cellStyle name="40% - Accent2 8 2 2" xfId="5669"/>
    <cellStyle name="60% - Accent2 8 2 2" xfId="5670"/>
    <cellStyle name="20% - Accent3 8 2 2" xfId="5671"/>
    <cellStyle name="40% - Accent3 8 2 2" xfId="5672"/>
    <cellStyle name="60% - Accent3 8 2 2" xfId="5673"/>
    <cellStyle name="20% - Accent4 8 2 2" xfId="5674"/>
    <cellStyle name="40% - Accent4 8 2 2" xfId="5675"/>
    <cellStyle name="60% - Accent4 8 2 2" xfId="5676"/>
    <cellStyle name="20% - Accent5 8 2 2" xfId="5677"/>
    <cellStyle name="40% - Accent5 8 2 2" xfId="5678"/>
    <cellStyle name="60% - Accent5 8 2 2" xfId="5679"/>
    <cellStyle name="20% - Accent6 8 2 2" xfId="5680"/>
    <cellStyle name="40% - Accent6 8 2 2" xfId="5681"/>
    <cellStyle name="60% - Accent6 8 2 2" xfId="5682"/>
    <cellStyle name="Comma 2 9 3 2" xfId="5683"/>
    <cellStyle name="Comma 7 3 2" xfId="5684"/>
    <cellStyle name="Normal 13 4 2" xfId="5685"/>
    <cellStyle name="Comma 8 2 2" xfId="5686"/>
    <cellStyle name="20% - Accent1 9 2 2" xfId="5687"/>
    <cellStyle name="40% - Accent1 9 2 2" xfId="5688"/>
    <cellStyle name="60% - Accent1 9 2 2" xfId="5689"/>
    <cellStyle name="20% - Accent2 9 2 2" xfId="5690"/>
    <cellStyle name="40% - Accent2 9 2 2" xfId="5691"/>
    <cellStyle name="60% - Accent2 9 2 2" xfId="5692"/>
    <cellStyle name="20% - Accent3 9 2 2" xfId="5693"/>
    <cellStyle name="40% - Accent3 9 2 2" xfId="5694"/>
    <cellStyle name="60% - Accent3 9 2 2" xfId="5695"/>
    <cellStyle name="20% - Accent4 9 2 2" xfId="5696"/>
    <cellStyle name="40% - Accent4 9 2 2" xfId="5697"/>
    <cellStyle name="60% - Accent4 9 2 2" xfId="5698"/>
    <cellStyle name="20% - Accent5 9 2 2" xfId="5699"/>
    <cellStyle name="40% - Accent5 9 2 2" xfId="5700"/>
    <cellStyle name="60% - Accent5 9 2 2" xfId="5701"/>
    <cellStyle name="20% - Accent6 9 2 2" xfId="5702"/>
    <cellStyle name="40% - Accent6 9 2 2" xfId="5703"/>
    <cellStyle name="60% - Accent6 9 2 2" xfId="5704"/>
    <cellStyle name="Normal 3 2 8 2 2" xfId="5705"/>
    <cellStyle name="Normal 3 3 8 2 2" xfId="5706"/>
    <cellStyle name="Normal 3 4 8 2 2" xfId="5707"/>
    <cellStyle name="Normal 3 5 8 2 2" xfId="5708"/>
    <cellStyle name="Normal 3 2 2 7 2 2" xfId="5709"/>
    <cellStyle name="Normal 3 3 2 7 2 2" xfId="5710"/>
    <cellStyle name="Normal 3 4 2 7 2 2" xfId="5711"/>
    <cellStyle name="Normal 3 5 2 7 2 2" xfId="5712"/>
    <cellStyle name="Normal 5 7 2 2" xfId="5713"/>
    <cellStyle name="Percent 3 7 2 2" xfId="5714"/>
    <cellStyle name="Note 2 7 2 2" xfId="5715"/>
    <cellStyle name="Normal 3 6 7 2 2" xfId="5716"/>
    <cellStyle name="Comma 2 10 2 2" xfId="5717"/>
    <cellStyle name="Comma 3 9 2 2" xfId="5718"/>
    <cellStyle name="Percent 4 7 2 2" xfId="5719"/>
    <cellStyle name="Normal 3 7 7 2 2" xfId="5720"/>
    <cellStyle name="Note 3 7 2 2" xfId="5721"/>
    <cellStyle name="20% - Accent1 2 7 2 2" xfId="5722"/>
    <cellStyle name="40% - Accent1 2 7 2 2" xfId="5723"/>
    <cellStyle name="60% - Accent1 2 7 2 2" xfId="5724"/>
    <cellStyle name="20% - Accent2 2 7 2 2" xfId="5725"/>
    <cellStyle name="40% - Accent2 2 7 2 2" xfId="5726"/>
    <cellStyle name="60% - Accent2 2 7 2 2" xfId="5727"/>
    <cellStyle name="20% - Accent3 2 7 2 2" xfId="5728"/>
    <cellStyle name="40% - Accent3 2 7 2 2" xfId="5729"/>
    <cellStyle name="60% - Accent3 2 7 2 2" xfId="5730"/>
    <cellStyle name="20% - Accent4 2 7 2 2" xfId="5731"/>
    <cellStyle name="40% - Accent4 2 7 2 2" xfId="5732"/>
    <cellStyle name="60% - Accent4 2 7 2 2" xfId="5733"/>
    <cellStyle name="20% - Accent5 2 7 2 2" xfId="5734"/>
    <cellStyle name="40% - Accent5 2 7 2 2" xfId="5735"/>
    <cellStyle name="60% - Accent5 2 7 2 2" xfId="5736"/>
    <cellStyle name="20% - Accent6 2 7 2 2" xfId="5737"/>
    <cellStyle name="40% - Accent6 2 7 2 2" xfId="5738"/>
    <cellStyle name="60% - Accent6 2 7 2 2" xfId="5739"/>
    <cellStyle name="Comma 2 2 8 2 2" xfId="5740"/>
    <cellStyle name="Comma 4 8 2 2" xfId="5741"/>
    <cellStyle name="Normal 3 8 7 2 2" xfId="5742"/>
    <cellStyle name="Comma 2 4 5 2 2" xfId="5743"/>
    <cellStyle name="Comma 3 3 5 2 2" xfId="5744"/>
    <cellStyle name="Comma 2 2 3 5 2 2" xfId="5745"/>
    <cellStyle name="Comma 4 3 5 2 2" xfId="5746"/>
    <cellStyle name="Normal 7 6 2 2" xfId="5747"/>
    <cellStyle name="Comma 5 6 2 2" xfId="5748"/>
    <cellStyle name="20% - Accent1 3 6 2 2" xfId="5749"/>
    <cellStyle name="40% - Accent1 3 6 2 2" xfId="5750"/>
    <cellStyle name="60% - Accent1 3 6 2 2" xfId="5751"/>
    <cellStyle name="20% - Accent2 3 6 2 2" xfId="5752"/>
    <cellStyle name="40% - Accent2 3 6 2 2" xfId="5753"/>
    <cellStyle name="60% - Accent2 3 6 2 2" xfId="5754"/>
    <cellStyle name="20% - Accent3 3 6 2 2" xfId="5755"/>
    <cellStyle name="40% - Accent3 3 6 2 2" xfId="5756"/>
    <cellStyle name="60% - Accent3 3 6 2 2" xfId="5757"/>
    <cellStyle name="20% - Accent4 3 6 2 2" xfId="5758"/>
    <cellStyle name="40% - Accent4 3 6 2 2" xfId="5759"/>
    <cellStyle name="60% - Accent4 3 6 2 2" xfId="5760"/>
    <cellStyle name="20% - Accent5 3 6 2 2" xfId="5761"/>
    <cellStyle name="40% - Accent5 3 6 2 2" xfId="5762"/>
    <cellStyle name="60% - Accent5 3 6 2 2" xfId="5763"/>
    <cellStyle name="20% - Accent6 3 6 2 2" xfId="5764"/>
    <cellStyle name="40% - Accent6 3 6 2 2" xfId="5765"/>
    <cellStyle name="60% - Accent6 3 6 2 2" xfId="5766"/>
    <cellStyle name="Normal 3 2 3 6 2 2" xfId="5767"/>
    <cellStyle name="Normal 3 3 3 6 2 2" xfId="5768"/>
    <cellStyle name="Normal 3 4 3 6 2 2" xfId="5769"/>
    <cellStyle name="Normal 3 5 3 6 2 2" xfId="5770"/>
    <cellStyle name="Normal 3 2 2 2 6 2 2" xfId="5771"/>
    <cellStyle name="Normal 3 3 2 2 6 2 2" xfId="5772"/>
    <cellStyle name="Normal 3 4 2 2 6 2 2" xfId="5773"/>
    <cellStyle name="Normal 3 5 2 2 6 2 2" xfId="5774"/>
    <cellStyle name="Normal 5 2 6 2 2" xfId="5775"/>
    <cellStyle name="Percent 3 2 6 2 2" xfId="5776"/>
    <cellStyle name="Note 2 2 6 2 2" xfId="5777"/>
    <cellStyle name="Normal 3 6 2 6 2 2" xfId="5778"/>
    <cellStyle name="Comma 2 3 6 2 2" xfId="5779"/>
    <cellStyle name="Comma 3 2 6 2 2" xfId="5780"/>
    <cellStyle name="Percent 4 2 6 2 2" xfId="5781"/>
    <cellStyle name="Normal 3 7 2 6 2 2" xfId="5782"/>
    <cellStyle name="Note 3 2 6 2 2" xfId="5783"/>
    <cellStyle name="20% - Accent1 2 2 6 2 2" xfId="5784"/>
    <cellStyle name="40% - Accent1 2 2 6 2 2" xfId="5785"/>
    <cellStyle name="60% - Accent1 2 2 6 2 2" xfId="5786"/>
    <cellStyle name="20% - Accent2 2 2 6 2 2" xfId="5787"/>
    <cellStyle name="40% - Accent2 2 2 6 2 2" xfId="5788"/>
    <cellStyle name="60% - Accent2 2 2 6 2 2" xfId="5789"/>
    <cellStyle name="20% - Accent3 2 2 6 2 2" xfId="5790"/>
    <cellStyle name="40% - Accent3 2 2 6 2 2" xfId="5791"/>
    <cellStyle name="60% - Accent3 2 2 6 2 2" xfId="5792"/>
    <cellStyle name="20% - Accent4 2 2 6 2 2" xfId="5793"/>
    <cellStyle name="40% - Accent4 2 2 6 2 2" xfId="5794"/>
    <cellStyle name="60% - Accent4 2 2 6 2 2" xfId="5795"/>
    <cellStyle name="20% - Accent5 2 2 6 2 2" xfId="5796"/>
    <cellStyle name="40% - Accent5 2 2 6 2 2" xfId="5797"/>
    <cellStyle name="60% - Accent5 2 2 6 2 2" xfId="5798"/>
    <cellStyle name="20% - Accent6 2 2 6 2 2" xfId="5799"/>
    <cellStyle name="40% - Accent6 2 2 6 2 2" xfId="5800"/>
    <cellStyle name="60% - Accent6 2 2 6 2 2" xfId="5801"/>
    <cellStyle name="Comma 2 2 2 6 2 2" xfId="5802"/>
    <cellStyle name="Comma 4 2 6 2 2" xfId="5803"/>
    <cellStyle name="Normal 3 8 2 6 2 2" xfId="5804"/>
    <cellStyle name="Comma 2 11 2" xfId="5805"/>
    <cellStyle name="Comma 3 10 2" xfId="5806"/>
    <cellStyle name="Comma 2 2 9 2" xfId="5807"/>
    <cellStyle name="Comma 4 9 2" xfId="5808"/>
    <cellStyle name="Comma 5 7 2" xfId="5809"/>
    <cellStyle name="Comma 2 3 7 2" xfId="5810"/>
    <cellStyle name="Comma 3 2 7 2" xfId="5811"/>
    <cellStyle name="Comma 2 2 2 7 2" xfId="5812"/>
    <cellStyle name="Comma 4 2 7 2" xfId="5813"/>
    <cellStyle name="Comma 6 5 2" xfId="5814"/>
    <cellStyle name="Comma 2 5 5 2" xfId="5815"/>
    <cellStyle name="Comma 3 4 5 2" xfId="5816"/>
    <cellStyle name="Comma 2 2 4 5 2" xfId="5817"/>
    <cellStyle name="Comma 4 4 5 2" xfId="5818"/>
    <cellStyle name="Comma 2 4 6 2" xfId="5819"/>
    <cellStyle name="Comma 3 3 6 2" xfId="5820"/>
    <cellStyle name="Comma 2 2 3 6 2" xfId="5821"/>
    <cellStyle name="Comma 4 3 6 2" xfId="5822"/>
    <cellStyle name="Comma 5 2 5 2" xfId="5823"/>
    <cellStyle name="Comma 2 3 2 5 2" xfId="5824"/>
    <cellStyle name="Comma 3 2 2 5 2" xfId="5825"/>
    <cellStyle name="Comma 2 2 2 2 5 2" xfId="5826"/>
    <cellStyle name="Comma 4 2 2 5 2" xfId="5827"/>
    <cellStyle name="Comma 2 6 3 2" xfId="5828"/>
    <cellStyle name="Comma 3 5 3 2" xfId="5829"/>
    <cellStyle name="Comma 2 2 5 3 2" xfId="5830"/>
    <cellStyle name="Comma 4 5 3 2" xfId="5831"/>
    <cellStyle name="Comma 5 3 3 2" xfId="5832"/>
    <cellStyle name="Comma 2 3 3 3 2" xfId="5833"/>
    <cellStyle name="Comma 3 2 3 3 2" xfId="5834"/>
    <cellStyle name="Comma 2 2 2 3 3 2" xfId="5835"/>
    <cellStyle name="Comma 4 2 3 3 2" xfId="5836"/>
    <cellStyle name="Comma 6 2 3 2" xfId="5837"/>
    <cellStyle name="Comma 2 5 2 3 2" xfId="5838"/>
    <cellStyle name="Comma 3 4 2 3 2" xfId="5839"/>
    <cellStyle name="Comma 2 2 4 2 3 2" xfId="5840"/>
    <cellStyle name="Comma 4 4 2 3 2" xfId="5841"/>
    <cellStyle name="Comma 2 4 2 3 2" xfId="5842"/>
    <cellStyle name="Comma 3 3 2 3 2" xfId="5843"/>
    <cellStyle name="Comma 2 2 3 2 3 2" xfId="5844"/>
    <cellStyle name="Comma 4 3 2 3 2" xfId="5845"/>
    <cellStyle name="Comma 5 2 2 3 2" xfId="5846"/>
    <cellStyle name="Comma 2 3 2 2 3 2" xfId="5847"/>
    <cellStyle name="Comma 3 2 2 2 3 2" xfId="5848"/>
    <cellStyle name="Comma 2 2 2 2 2 3 2" xfId="5849"/>
    <cellStyle name="Comma 4 2 2 2 3 2" xfId="5850"/>
    <cellStyle name="Comma 2 7 2 2" xfId="5851"/>
    <cellStyle name="Comma 3 7 2 2" xfId="5852"/>
    <cellStyle name="Comma 2 2 6 2 2" xfId="5853"/>
    <cellStyle name="Comma 4 6 2 2" xfId="5854"/>
    <cellStyle name="Comma 5 4 2 2" xfId="5855"/>
    <cellStyle name="Comma 2 3 4 2 2" xfId="5856"/>
    <cellStyle name="Comma 3 2 4 2 2" xfId="5857"/>
    <cellStyle name="Comma 2 2 2 4 2 2" xfId="5858"/>
    <cellStyle name="Comma 4 2 4 2 2" xfId="5859"/>
    <cellStyle name="Comma 6 3 2 2" xfId="5860"/>
    <cellStyle name="Comma 2 5 3 2 2" xfId="5861"/>
    <cellStyle name="Comma 3 4 3 2 2" xfId="5862"/>
    <cellStyle name="Comma 2 2 4 3 2 2" xfId="5863"/>
    <cellStyle name="Comma 4 4 3 2 2" xfId="5864"/>
    <cellStyle name="Comma 2 4 3 2 2" xfId="5865"/>
    <cellStyle name="Comma 3 3 3 2 2" xfId="5866"/>
    <cellStyle name="Comma 2 2 3 3 2 2" xfId="5867"/>
    <cellStyle name="Comma 4 3 3 2 2" xfId="5868"/>
    <cellStyle name="Comma 5 2 3 2 2" xfId="5869"/>
    <cellStyle name="Comma 2 3 2 3 2 2" xfId="5870"/>
    <cellStyle name="Comma 3 2 2 3 2 2" xfId="5871"/>
    <cellStyle name="Comma 2 2 2 2 3 2 2" xfId="5872"/>
    <cellStyle name="Comma 4 2 2 3 2 2" xfId="5873"/>
    <cellStyle name="Comma 3 6 2 2" xfId="5874"/>
    <cellStyle name="Comma 2 6 2 2 2" xfId="5875"/>
    <cellStyle name="Comma 3 5 2 2 2" xfId="5876"/>
    <cellStyle name="Comma 2 2 5 2 2 2" xfId="5877"/>
    <cellStyle name="Comma 4 5 2 2 2" xfId="5878"/>
    <cellStyle name="Comma 5 3 2 2 2" xfId="5879"/>
    <cellStyle name="Comma 2 3 3 2 2 2" xfId="5880"/>
    <cellStyle name="Comma 3 2 3 2 2 2" xfId="5881"/>
    <cellStyle name="Comma 2 2 2 3 2 2 2" xfId="5882"/>
    <cellStyle name="Comma 4 2 3 2 2 2" xfId="5883"/>
    <cellStyle name="Comma 6 2 2 2 2" xfId="5884"/>
    <cellStyle name="Comma 2 5 2 2 2 2" xfId="5885"/>
    <cellStyle name="Comma 3 4 2 2 2 2" xfId="5886"/>
    <cellStyle name="Comma 2 2 4 2 2 2 2" xfId="5887"/>
    <cellStyle name="Comma 4 4 2 2 2 2" xfId="5888"/>
    <cellStyle name="Comma 2 4 2 2 2 2" xfId="5889"/>
    <cellStyle name="Comma 3 3 2 2 2 2" xfId="5890"/>
    <cellStyle name="Comma 2 2 3 2 2 2 2" xfId="5891"/>
    <cellStyle name="Comma 4 3 2 2 2 2" xfId="5892"/>
    <cellStyle name="Comma 5 2 2 2 2 2" xfId="5893"/>
    <cellStyle name="Comma 2 3 2 2 2 2 2" xfId="5894"/>
    <cellStyle name="Comma 3 2 2 2 2 2 2" xfId="5895"/>
    <cellStyle name="Comma 2 2 2 2 2 2 2 2" xfId="5896"/>
    <cellStyle name="Comma 4 2 2 2 2 2 2" xfId="5897"/>
    <cellStyle name="Comma 2 8 2 2" xfId="5898"/>
    <cellStyle name="Comma 3 8 2 2" xfId="5899"/>
    <cellStyle name="Comma 2 2 7 2 2" xfId="5900"/>
    <cellStyle name="Comma 4 7 2 2" xfId="5901"/>
    <cellStyle name="Comma 5 5 2 2" xfId="5902"/>
    <cellStyle name="Comma 2 3 5 2 2" xfId="5903"/>
    <cellStyle name="Comma 3 2 5 2 2" xfId="5904"/>
    <cellStyle name="Comma 2 2 2 5 2 2" xfId="5905"/>
    <cellStyle name="Comma 4 2 5 2 2" xfId="5906"/>
    <cellStyle name="Comma 6 4 2 2" xfId="5907"/>
    <cellStyle name="Comma 2 5 4 2 2" xfId="5908"/>
    <cellStyle name="Comma 3 4 4 2 2" xfId="5909"/>
    <cellStyle name="Comma 2 2 4 4 2 2" xfId="5910"/>
    <cellStyle name="Comma 4 4 4 2 2" xfId="5911"/>
    <cellStyle name="Comma 2 4 4 2 2" xfId="5912"/>
    <cellStyle name="Comma 3 3 4 2 2" xfId="5913"/>
    <cellStyle name="Comma 2 2 3 4 2 2" xfId="5914"/>
    <cellStyle name="Comma 4 3 4 2 2" xfId="5915"/>
    <cellStyle name="Comma 5 2 4 2 2" xfId="5916"/>
    <cellStyle name="Comma 2 3 2 4 2 2" xfId="5917"/>
    <cellStyle name="Comma 3 2 2 4 2 2" xfId="5918"/>
    <cellStyle name="Comma 2 2 2 2 4 2 2" xfId="5919"/>
    <cellStyle name="Comma 4 2 2 4 2 2" xfId="5920"/>
    <cellStyle name="Comma 2 9 2 2" xfId="5921"/>
    <cellStyle name="Comma 7 2 2" xfId="5922"/>
    <cellStyle name="Normal 13 2 2 4" xfId="5923"/>
    <cellStyle name="Normal 6 3 2" xfId="5924"/>
    <cellStyle name="Percent 5 3 2" xfId="5925"/>
    <cellStyle name="Normal 16 4" xfId="5926"/>
    <cellStyle name="20% - Accent1 12" xfId="5927"/>
    <cellStyle name="40% - Accent1 12" xfId="5928"/>
    <cellStyle name="60% - Accent1 12" xfId="5929"/>
    <cellStyle name="20% - Accent2 12" xfId="5930"/>
    <cellStyle name="40% - Accent2 12" xfId="5931"/>
    <cellStyle name="60% - Accent2 12" xfId="5932"/>
    <cellStyle name="20% - Accent3 12" xfId="5933"/>
    <cellStyle name="40% - Accent3 12" xfId="5934"/>
    <cellStyle name="60% - Accent3 12" xfId="5935"/>
    <cellStyle name="20% - Accent4 12" xfId="5936"/>
    <cellStyle name="40% - Accent4 12" xfId="5937"/>
    <cellStyle name="60% - Accent4 12" xfId="5938"/>
    <cellStyle name="20% - Accent5 12" xfId="5939"/>
    <cellStyle name="40% - Accent5 12" xfId="5940"/>
    <cellStyle name="60% - Accent5 12" xfId="5941"/>
    <cellStyle name="20% - Accent6 12" xfId="5942"/>
    <cellStyle name="40% - Accent6 12" xfId="5943"/>
    <cellStyle name="60% - Accent6 12" xfId="5944"/>
    <cellStyle name="Normal 3 2 11" xfId="5945"/>
    <cellStyle name="Normal 3 3 11" xfId="5946"/>
    <cellStyle name="Normal 3 4 11" xfId="5947"/>
    <cellStyle name="Normal 3 5 11" xfId="5948"/>
    <cellStyle name="Normal 3 2 2 10" xfId="5949"/>
    <cellStyle name="Normal 3 3 2 10" xfId="5950"/>
    <cellStyle name="Normal 3 4 2 10" xfId="5951"/>
    <cellStyle name="Normal 3 5 2 10" xfId="5952"/>
    <cellStyle name="Normal 5 10" xfId="5953"/>
    <cellStyle name="Percent 3 10" xfId="5954"/>
    <cellStyle name="Note 2 10" xfId="5955"/>
    <cellStyle name="Normal 3 6 10" xfId="5956"/>
    <cellStyle name="Comma 2 14" xfId="5957"/>
    <cellStyle name="Comma 3 13" xfId="5958"/>
    <cellStyle name="Percent 4 10" xfId="5959"/>
    <cellStyle name="Normal 3 7 10" xfId="5960"/>
    <cellStyle name="Note 3 10" xfId="5961"/>
    <cellStyle name="20% - Accent1 2 10" xfId="5962"/>
    <cellStyle name="40% - Accent1 2 10" xfId="5963"/>
    <cellStyle name="60% - Accent1 2 10" xfId="5964"/>
    <cellStyle name="20% - Accent2 2 10" xfId="5965"/>
    <cellStyle name="40% - Accent2 2 10" xfId="5966"/>
    <cellStyle name="60% - Accent2 2 10" xfId="5967"/>
    <cellStyle name="20% - Accent3 2 10" xfId="5968"/>
    <cellStyle name="40% - Accent3 2 10" xfId="5969"/>
    <cellStyle name="60% - Accent3 2 10" xfId="5970"/>
    <cellStyle name="20% - Accent4 2 10" xfId="5971"/>
    <cellStyle name="40% - Accent4 2 10" xfId="5972"/>
    <cellStyle name="60% - Accent4 2 10" xfId="5973"/>
    <cellStyle name="20% - Accent5 2 10" xfId="5974"/>
    <cellStyle name="40% - Accent5 2 10" xfId="5975"/>
    <cellStyle name="60% - Accent5 2 10" xfId="5976"/>
    <cellStyle name="20% - Accent6 2 10" xfId="5977"/>
    <cellStyle name="40% - Accent6 2 10" xfId="5978"/>
    <cellStyle name="60% - Accent6 2 10" xfId="5979"/>
    <cellStyle name="Comma 2 2 12" xfId="5980"/>
    <cellStyle name="Comma 4 12" xfId="5981"/>
    <cellStyle name="Normal 3 8 10" xfId="5982"/>
    <cellStyle name="Normal 7 9" xfId="5983"/>
    <cellStyle name="Comma 5 10" xfId="5984"/>
    <cellStyle name="20% - Accent1 3 9" xfId="5985"/>
    <cellStyle name="40% - Accent1 3 9" xfId="5986"/>
    <cellStyle name="60% - Accent1 3 9" xfId="5987"/>
    <cellStyle name="20% - Accent2 3 9" xfId="5988"/>
    <cellStyle name="40% - Accent2 3 9" xfId="5989"/>
    <cellStyle name="60% - Accent2 3 9" xfId="5990"/>
    <cellStyle name="20% - Accent3 3 9" xfId="5991"/>
    <cellStyle name="40% - Accent3 3 9" xfId="5992"/>
    <cellStyle name="60% - Accent3 3 9" xfId="5993"/>
    <cellStyle name="20% - Accent4 3 9" xfId="5994"/>
    <cellStyle name="40% - Accent4 3 9" xfId="5995"/>
    <cellStyle name="60% - Accent4 3 9" xfId="5996"/>
    <cellStyle name="20% - Accent5 3 9" xfId="5997"/>
    <cellStyle name="40% - Accent5 3 9" xfId="5998"/>
    <cellStyle name="60% - Accent5 3 9" xfId="5999"/>
    <cellStyle name="20% - Accent6 3 9" xfId="6000"/>
    <cellStyle name="40% - Accent6 3 9" xfId="6001"/>
    <cellStyle name="60% - Accent6 3 9" xfId="6002"/>
    <cellStyle name="Normal 3 2 3 9" xfId="6003"/>
    <cellStyle name="Normal 3 3 3 9" xfId="6004"/>
    <cellStyle name="Normal 3 4 3 9" xfId="6005"/>
    <cellStyle name="Normal 3 5 3 9" xfId="6006"/>
    <cellStyle name="Normal 3 2 2 2 9" xfId="6007"/>
    <cellStyle name="Normal 3 3 2 2 9" xfId="6008"/>
    <cellStyle name="Normal 3 4 2 2 9" xfId="6009"/>
    <cellStyle name="Normal 3 5 2 2 9" xfId="6010"/>
    <cellStyle name="Normal 5 2 9" xfId="6011"/>
    <cellStyle name="Percent 3 2 9" xfId="6012"/>
    <cellStyle name="Note 2 2 9" xfId="6013"/>
    <cellStyle name="Normal 3 6 2 9" xfId="6014"/>
    <cellStyle name="Comma 2 3 10" xfId="6015"/>
    <cellStyle name="Comma 3 2 10" xfId="6016"/>
    <cellStyle name="Percent 4 2 9" xfId="6017"/>
    <cellStyle name="Normal 3 7 2 9" xfId="6018"/>
    <cellStyle name="Note 3 2 9" xfId="6019"/>
    <cellStyle name="20% - Accent1 2 2 9" xfId="6020"/>
    <cellStyle name="40% - Accent1 2 2 9" xfId="6021"/>
    <cellStyle name="60% - Accent1 2 2 9" xfId="6022"/>
    <cellStyle name="20% - Accent2 2 2 9" xfId="6023"/>
    <cellStyle name="40% - Accent2 2 2 9" xfId="6024"/>
    <cellStyle name="60% - Accent2 2 2 9" xfId="6025"/>
    <cellStyle name="20% - Accent3 2 2 9" xfId="6026"/>
    <cellStyle name="40% - Accent3 2 2 9" xfId="6027"/>
    <cellStyle name="60% - Accent3 2 2 9" xfId="6028"/>
    <cellStyle name="20% - Accent4 2 2 9" xfId="6029"/>
    <cellStyle name="40% - Accent4 2 2 9" xfId="6030"/>
    <cellStyle name="60% - Accent4 2 2 9" xfId="6031"/>
    <cellStyle name="20% - Accent5 2 2 9" xfId="6032"/>
    <cellStyle name="40% - Accent5 2 2 9" xfId="6033"/>
    <cellStyle name="60% - Accent5 2 2 9" xfId="6034"/>
    <cellStyle name="20% - Accent6 2 2 9" xfId="6035"/>
    <cellStyle name="40% - Accent6 2 2 9" xfId="6036"/>
    <cellStyle name="60% - Accent6 2 2 9" xfId="6037"/>
    <cellStyle name="Comma 2 2 2 10" xfId="6038"/>
    <cellStyle name="Comma 4 2 10" xfId="6039"/>
    <cellStyle name="Normal 3 8 2 9" xfId="6040"/>
    <cellStyle name="Normal 8 7" xfId="6041"/>
    <cellStyle name="Comma 6 8" xfId="6042"/>
    <cellStyle name="20% - Accent1 4 7" xfId="6043"/>
    <cellStyle name="40% - Accent1 4 7" xfId="6044"/>
    <cellStyle name="60% - Accent1 4 7" xfId="6045"/>
    <cellStyle name="20% - Accent2 4 7" xfId="6046"/>
    <cellStyle name="40% - Accent2 4 7" xfId="6047"/>
    <cellStyle name="60% - Accent2 4 7" xfId="6048"/>
    <cellStyle name="20% - Accent3 4 7" xfId="6049"/>
    <cellStyle name="40% - Accent3 4 7" xfId="6050"/>
    <cellStyle name="60% - Accent3 4 7" xfId="6051"/>
    <cellStyle name="20% - Accent4 4 7" xfId="6052"/>
    <cellStyle name="40% - Accent4 4 7" xfId="6053"/>
    <cellStyle name="60% - Accent4 4 7" xfId="6054"/>
    <cellStyle name="20% - Accent5 4 7" xfId="6055"/>
    <cellStyle name="40% - Accent5 4 7" xfId="6056"/>
    <cellStyle name="60% - Accent5 4 7" xfId="6057"/>
    <cellStyle name="20% - Accent6 4 7" xfId="6058"/>
    <cellStyle name="40% - Accent6 4 7" xfId="6059"/>
    <cellStyle name="60% - Accent6 4 7" xfId="6060"/>
    <cellStyle name="Normal 3 2 4 7" xfId="6061"/>
    <cellStyle name="Normal 3 3 4 7" xfId="6062"/>
    <cellStyle name="Normal 3 4 4 7" xfId="6063"/>
    <cellStyle name="Normal 3 5 4 7" xfId="6064"/>
    <cellStyle name="Normal 3 2 2 3 7" xfId="6065"/>
    <cellStyle name="Normal 3 3 2 3 7" xfId="6066"/>
    <cellStyle name="Normal 3 4 2 3 7" xfId="6067"/>
    <cellStyle name="Normal 3 5 2 3 7" xfId="6068"/>
    <cellStyle name="Normal 5 3 7" xfId="6069"/>
    <cellStyle name="Percent 3 3 7" xfId="6070"/>
    <cellStyle name="Note 2 3 7" xfId="6071"/>
    <cellStyle name="Normal 3 6 3 7" xfId="6072"/>
    <cellStyle name="Comma 2 5 8" xfId="6073"/>
    <cellStyle name="Comma 3 4 8" xfId="6074"/>
    <cellStyle name="Percent 4 3 7" xfId="6075"/>
    <cellStyle name="Normal 3 7 3 7" xfId="6076"/>
    <cellStyle name="Note 3 3 7" xfId="6077"/>
    <cellStyle name="20% - Accent1 2 3 7" xfId="6078"/>
    <cellStyle name="40% - Accent1 2 3 7" xfId="6079"/>
    <cellStyle name="60% - Accent1 2 3 7" xfId="6080"/>
    <cellStyle name="20% - Accent2 2 3 7" xfId="6081"/>
    <cellStyle name="40% - Accent2 2 3 7" xfId="6082"/>
    <cellStyle name="60% - Accent2 2 3 7" xfId="6083"/>
    <cellStyle name="20% - Accent3 2 3 7" xfId="6084"/>
    <cellStyle name="40% - Accent3 2 3 7" xfId="6085"/>
    <cellStyle name="60% - Accent3 2 3 7" xfId="6086"/>
    <cellStyle name="20% - Accent4 2 3 7" xfId="6087"/>
    <cellStyle name="40% - Accent4 2 3 7" xfId="6088"/>
    <cellStyle name="60% - Accent4 2 3 7" xfId="6089"/>
    <cellStyle name="20% - Accent5 2 3 7" xfId="6090"/>
    <cellStyle name="40% - Accent5 2 3 7" xfId="6091"/>
    <cellStyle name="60% - Accent5 2 3 7" xfId="6092"/>
    <cellStyle name="20% - Accent6 2 3 7" xfId="6093"/>
    <cellStyle name="40% - Accent6 2 3 7" xfId="6094"/>
    <cellStyle name="60% - Accent6 2 3 7" xfId="6095"/>
    <cellStyle name="Comma 2 2 4 8" xfId="6096"/>
    <cellStyle name="Comma 4 4 8" xfId="6097"/>
    <cellStyle name="Normal 3 8 3 7" xfId="6098"/>
    <cellStyle name="Comma 2 4 9" xfId="6099"/>
    <cellStyle name="Comma 3 3 9" xfId="6100"/>
    <cellStyle name="Comma 2 2 3 9" xfId="6101"/>
    <cellStyle name="Comma 4 3 9" xfId="6102"/>
    <cellStyle name="Normal 7 2 7" xfId="6103"/>
    <cellStyle name="Comma 5 2 8" xfId="6104"/>
    <cellStyle name="20% - Accent1 3 2 7" xfId="6105"/>
    <cellStyle name="40% - Accent1 3 2 7" xfId="6106"/>
    <cellStyle name="60% - Accent1 3 2 7" xfId="6107"/>
    <cellStyle name="20% - Accent2 3 2 7" xfId="6108"/>
    <cellStyle name="40% - Accent2 3 2 7" xfId="6109"/>
    <cellStyle name="60% - Accent2 3 2 7" xfId="6110"/>
    <cellStyle name="20% - Accent3 3 2 7" xfId="6111"/>
    <cellStyle name="40% - Accent3 3 2 7" xfId="6112"/>
    <cellStyle name="60% - Accent3 3 2 7" xfId="6113"/>
    <cellStyle name="20% - Accent4 3 2 7" xfId="6114"/>
    <cellStyle name="40% - Accent4 3 2 7" xfId="6115"/>
    <cellStyle name="60% - Accent4 3 2 7" xfId="6116"/>
    <cellStyle name="20% - Accent5 3 2 7" xfId="6117"/>
    <cellStyle name="40% - Accent5 3 2 7" xfId="6118"/>
    <cellStyle name="60% - Accent5 3 2 7" xfId="6119"/>
    <cellStyle name="20% - Accent6 3 2 7" xfId="6120"/>
    <cellStyle name="40% - Accent6 3 2 7" xfId="6121"/>
    <cellStyle name="60% - Accent6 3 2 7" xfId="6122"/>
    <cellStyle name="Normal 3 2 3 2 7" xfId="6123"/>
    <cellStyle name="Normal 3 3 3 2 7" xfId="6124"/>
    <cellStyle name="Normal 3 4 3 2 7" xfId="6125"/>
    <cellStyle name="Normal 3 5 3 2 7" xfId="6126"/>
    <cellStyle name="Normal 3 2 2 2 2 7" xfId="6127"/>
    <cellStyle name="Normal 3 3 2 2 2 7" xfId="6128"/>
    <cellStyle name="Normal 3 4 2 2 2 7" xfId="6129"/>
    <cellStyle name="Normal 3 5 2 2 2 7" xfId="6130"/>
    <cellStyle name="Normal 5 2 2 7" xfId="6131"/>
    <cellStyle name="Percent 3 2 2 7" xfId="6132"/>
    <cellStyle name="Note 2 2 2 7" xfId="6133"/>
    <cellStyle name="Normal 3 6 2 2 7" xfId="6134"/>
    <cellStyle name="Comma 2 3 2 8" xfId="6135"/>
    <cellStyle name="Comma 3 2 2 8" xfId="6136"/>
    <cellStyle name="Percent 4 2 2 7" xfId="6137"/>
    <cellStyle name="Normal 3 7 2 2 7" xfId="6138"/>
    <cellStyle name="Note 3 2 2 7" xfId="6139"/>
    <cellStyle name="20% - Accent1 2 2 2 7" xfId="6140"/>
    <cellStyle name="40% - Accent1 2 2 2 7" xfId="6141"/>
    <cellStyle name="60% - Accent1 2 2 2 7" xfId="6142"/>
    <cellStyle name="20% - Accent2 2 2 2 7" xfId="6143"/>
    <cellStyle name="40% - Accent2 2 2 2 7" xfId="6144"/>
    <cellStyle name="60% - Accent2 2 2 2 7" xfId="6145"/>
    <cellStyle name="20% - Accent3 2 2 2 7" xfId="6146"/>
    <cellStyle name="40% - Accent3 2 2 2 7" xfId="6147"/>
    <cellStyle name="60% - Accent3 2 2 2 7" xfId="6148"/>
    <cellStyle name="20% - Accent4 2 2 2 7" xfId="6149"/>
    <cellStyle name="40% - Accent4 2 2 2 7" xfId="6150"/>
    <cellStyle name="60% - Accent4 2 2 2 7" xfId="6151"/>
    <cellStyle name="20% - Accent5 2 2 2 7" xfId="6152"/>
    <cellStyle name="40% - Accent5 2 2 2 7" xfId="6153"/>
    <cellStyle name="60% - Accent5 2 2 2 7" xfId="6154"/>
    <cellStyle name="20% - Accent6 2 2 2 7" xfId="6155"/>
    <cellStyle name="40% - Accent6 2 2 2 7" xfId="6156"/>
    <cellStyle name="60% - Accent6 2 2 2 7" xfId="6157"/>
    <cellStyle name="Comma 2 2 2 2 8" xfId="6158"/>
    <cellStyle name="Comma 4 2 2 8" xfId="6159"/>
    <cellStyle name="Normal 3 8 2 2 7" xfId="6160"/>
    <cellStyle name="Normal 3 10 7" xfId="6161"/>
    <cellStyle name="Normal 3 11 7" xfId="6162"/>
    <cellStyle name="Normal 3 12 5" xfId="6163"/>
    <cellStyle name="Normal 3 2 5 5" xfId="6164"/>
    <cellStyle name="Normal 3 3 5 5" xfId="6165"/>
    <cellStyle name="Normal 3 4 5 5" xfId="6166"/>
    <cellStyle name="Normal 3 5 5 5" xfId="6167"/>
    <cellStyle name="20% - Accent1 5 5" xfId="6168"/>
    <cellStyle name="40% - Accent1 5 5" xfId="6169"/>
    <cellStyle name="60% - Accent1 5 5" xfId="6170"/>
    <cellStyle name="20% - Accent2 5 5" xfId="6171"/>
    <cellStyle name="40% - Accent2 5 5" xfId="6172"/>
    <cellStyle name="60% - Accent2 5 5" xfId="6173"/>
    <cellStyle name="20% - Accent3 5 5" xfId="6174"/>
    <cellStyle name="40% - Accent3 5 5" xfId="6175"/>
    <cellStyle name="60% - Accent3 5 5" xfId="6176"/>
    <cellStyle name="20% - Accent4 5 5" xfId="6177"/>
    <cellStyle name="40% - Accent4 5 5" xfId="6178"/>
    <cellStyle name="60% - Accent4 5 5" xfId="6179"/>
    <cellStyle name="20% - Accent5 5 5" xfId="6180"/>
    <cellStyle name="40% - Accent5 5 5" xfId="6181"/>
    <cellStyle name="60% - Accent5 5 5" xfId="6182"/>
    <cellStyle name="20% - Accent6 5 5" xfId="6183"/>
    <cellStyle name="40% - Accent6 5 5" xfId="6184"/>
    <cellStyle name="60% - Accent6 5 5" xfId="6185"/>
    <cellStyle name="Normal 3 2 2 4 5" xfId="6186"/>
    <cellStyle name="Normal 3 3 2 4 5" xfId="6187"/>
    <cellStyle name="Normal 3 4 2 4 5" xfId="6188"/>
    <cellStyle name="Normal 3 5 2 4 5" xfId="6189"/>
    <cellStyle name="Normal 5 4 5" xfId="6190"/>
    <cellStyle name="Percent 3 4 5" xfId="6191"/>
    <cellStyle name="Note 2 4 5" xfId="6192"/>
    <cellStyle name="Normal 3 6 4 5" xfId="6193"/>
    <cellStyle name="Comma 2 6 6" xfId="6194"/>
    <cellStyle name="Comma 3 5 6" xfId="6195"/>
    <cellStyle name="Percent 4 4 5" xfId="6196"/>
    <cellStyle name="Normal 3 7 4 5" xfId="6197"/>
    <cellStyle name="Note 3 4 5" xfId="6198"/>
    <cellStyle name="20% - Accent1 2 4 5" xfId="6199"/>
    <cellStyle name="40% - Accent1 2 4 5" xfId="6200"/>
    <cellStyle name="60% - Accent1 2 4 5" xfId="6201"/>
    <cellStyle name="20% - Accent2 2 4 5" xfId="6202"/>
    <cellStyle name="40% - Accent2 2 4 5" xfId="6203"/>
    <cellStyle name="60% - Accent2 2 4 5" xfId="6204"/>
    <cellStyle name="20% - Accent3 2 4 5" xfId="6205"/>
    <cellStyle name="40% - Accent3 2 4 5" xfId="6206"/>
    <cellStyle name="60% - Accent3 2 4 5" xfId="6207"/>
    <cellStyle name="20% - Accent4 2 4 5" xfId="6208"/>
    <cellStyle name="40% - Accent4 2 4 5" xfId="6209"/>
    <cellStyle name="60% - Accent4 2 4 5" xfId="6210"/>
    <cellStyle name="20% - Accent5 2 4 5" xfId="6211"/>
    <cellStyle name="40% - Accent5 2 4 5" xfId="6212"/>
    <cellStyle name="60% - Accent5 2 4 5" xfId="6213"/>
    <cellStyle name="20% - Accent6 2 4 5" xfId="6214"/>
    <cellStyle name="40% - Accent6 2 4 5" xfId="6215"/>
    <cellStyle name="60% - Accent6 2 4 5" xfId="6216"/>
    <cellStyle name="Comma 2 2 5 6" xfId="6217"/>
    <cellStyle name="Comma 4 5 6" xfId="6218"/>
    <cellStyle name="Normal 3 8 4 5" xfId="6219"/>
    <cellStyle name="Normal 7 3 5" xfId="6220"/>
    <cellStyle name="Comma 5 3 6" xfId="6221"/>
    <cellStyle name="20% - Accent1 3 3 5" xfId="6222"/>
    <cellStyle name="40% - Accent1 3 3 5" xfId="6223"/>
    <cellStyle name="60% - Accent1 3 3 5" xfId="6224"/>
    <cellStyle name="20% - Accent2 3 3 5" xfId="6225"/>
    <cellStyle name="40% - Accent2 3 3 5" xfId="6226"/>
    <cellStyle name="60% - Accent2 3 3 5" xfId="6227"/>
    <cellStyle name="20% - Accent3 3 3 5" xfId="6228"/>
    <cellStyle name="40% - Accent3 3 3 5" xfId="6229"/>
    <cellStyle name="60% - Accent3 3 3 5" xfId="6230"/>
    <cellStyle name="20% - Accent4 3 3 5" xfId="6231"/>
    <cellStyle name="40% - Accent4 3 3 5" xfId="6232"/>
    <cellStyle name="60% - Accent4 3 3 5" xfId="6233"/>
    <cellStyle name="20% - Accent5 3 3 5" xfId="6234"/>
    <cellStyle name="40% - Accent5 3 3 5" xfId="6235"/>
    <cellStyle name="60% - Accent5 3 3 5" xfId="6236"/>
    <cellStyle name="20% - Accent6 3 3 5" xfId="6237"/>
    <cellStyle name="40% - Accent6 3 3 5" xfId="6238"/>
    <cellStyle name="60% - Accent6 3 3 5" xfId="6239"/>
    <cellStyle name="Normal 3 2 3 3 5" xfId="6240"/>
    <cellStyle name="Normal 3 3 3 3 5" xfId="6241"/>
    <cellStyle name="Normal 3 4 3 3 5" xfId="6242"/>
    <cellStyle name="Normal 3 5 3 3 5" xfId="6243"/>
    <cellStyle name="Normal 3 2 2 2 3 5" xfId="6244"/>
    <cellStyle name="Normal 3 3 2 2 3 5" xfId="6245"/>
    <cellStyle name="Normal 3 4 2 2 3 5" xfId="6246"/>
    <cellStyle name="Normal 3 5 2 2 3 5" xfId="6247"/>
    <cellStyle name="Normal 5 2 3 5" xfId="6248"/>
    <cellStyle name="Percent 3 2 3 5" xfId="6249"/>
    <cellStyle name="Note 2 2 3 5" xfId="6250"/>
    <cellStyle name="Normal 3 6 2 3 5" xfId="6251"/>
    <cellStyle name="Comma 2 3 3 6" xfId="6252"/>
    <cellStyle name="Comma 3 2 3 6" xfId="6253"/>
    <cellStyle name="Percent 4 2 3 5" xfId="6254"/>
    <cellStyle name="Normal 3 7 2 3 5" xfId="6255"/>
    <cellStyle name="Note 3 2 3 5" xfId="6256"/>
    <cellStyle name="20% - Accent1 2 2 3 5" xfId="6257"/>
    <cellStyle name="40% - Accent1 2 2 3 5" xfId="6258"/>
    <cellStyle name="60% - Accent1 2 2 3 5" xfId="6259"/>
    <cellStyle name="20% - Accent2 2 2 3 5" xfId="6260"/>
    <cellStyle name="40% - Accent2 2 2 3 5" xfId="6261"/>
    <cellStyle name="60% - Accent2 2 2 3 5" xfId="6262"/>
    <cellStyle name="20% - Accent3 2 2 3 5" xfId="6263"/>
    <cellStyle name="40% - Accent3 2 2 3 5" xfId="6264"/>
    <cellStyle name="60% - Accent3 2 2 3 5" xfId="6265"/>
    <cellStyle name="20% - Accent4 2 2 3 5" xfId="6266"/>
    <cellStyle name="40% - Accent4 2 2 3 5" xfId="6267"/>
    <cellStyle name="60% - Accent4 2 2 3 5" xfId="6268"/>
    <cellStyle name="20% - Accent5 2 2 3 5" xfId="6269"/>
    <cellStyle name="40% - Accent5 2 2 3 5" xfId="6270"/>
    <cellStyle name="60% - Accent5 2 2 3 5" xfId="6271"/>
    <cellStyle name="20% - Accent6 2 2 3 5" xfId="6272"/>
    <cellStyle name="40% - Accent6 2 2 3 5" xfId="6273"/>
    <cellStyle name="60% - Accent6 2 2 3 5" xfId="6274"/>
    <cellStyle name="Comma 2 2 2 3 6" xfId="6275"/>
    <cellStyle name="Comma 4 2 3 6" xfId="6276"/>
    <cellStyle name="Normal 3 8 2 3 5" xfId="6277"/>
    <cellStyle name="Normal 8 2 5" xfId="6278"/>
    <cellStyle name="Comma 6 2 6" xfId="6279"/>
    <cellStyle name="20% - Accent1 4 2 5" xfId="6280"/>
    <cellStyle name="40% - Accent1 4 2 5" xfId="6281"/>
    <cellStyle name="60% - Accent1 4 2 5" xfId="6282"/>
    <cellStyle name="20% - Accent2 4 2 5" xfId="6283"/>
    <cellStyle name="40% - Accent2 4 2 5" xfId="6284"/>
    <cellStyle name="60% - Accent2 4 2 5" xfId="6285"/>
    <cellStyle name="20% - Accent3 4 2 5" xfId="6286"/>
    <cellStyle name="40% - Accent3 4 2 5" xfId="6287"/>
    <cellStyle name="60% - Accent3 4 2 5" xfId="6288"/>
    <cellStyle name="20% - Accent4 4 2 5" xfId="6289"/>
    <cellStyle name="40% - Accent4 4 2 5" xfId="6290"/>
    <cellStyle name="60% - Accent4 4 2 5" xfId="6291"/>
    <cellStyle name="20% - Accent5 4 2 5" xfId="6292"/>
    <cellStyle name="40% - Accent5 4 2 5" xfId="6293"/>
    <cellStyle name="60% - Accent5 4 2 5" xfId="6294"/>
    <cellStyle name="20% - Accent6 4 2 5" xfId="6295"/>
    <cellStyle name="40% - Accent6 4 2 5" xfId="6296"/>
    <cellStyle name="60% - Accent6 4 2 5" xfId="6297"/>
    <cellStyle name="Normal 3 2 4 2 5" xfId="6298"/>
    <cellStyle name="Normal 3 3 4 2 5" xfId="6299"/>
    <cellStyle name="Normal 3 4 4 2 5" xfId="6300"/>
    <cellStyle name="Normal 3 5 4 2 5" xfId="6301"/>
    <cellStyle name="Normal 3 2 2 3 2 5" xfId="6302"/>
    <cellStyle name="Normal 3 3 2 3 2 5" xfId="6303"/>
    <cellStyle name="Normal 3 4 2 3 2 5" xfId="6304"/>
    <cellStyle name="Normal 3 5 2 3 2 5" xfId="6305"/>
    <cellStyle name="Normal 5 3 2 5" xfId="6306"/>
    <cellStyle name="Percent 3 3 2 5" xfId="6307"/>
    <cellStyle name="Note 2 3 2 5" xfId="6308"/>
    <cellStyle name="Normal 3 6 3 2 5" xfId="6309"/>
    <cellStyle name="Comma 2 5 2 6" xfId="6310"/>
    <cellStyle name="Comma 3 4 2 6" xfId="6311"/>
    <cellStyle name="Percent 4 3 2 5" xfId="6312"/>
    <cellStyle name="Normal 3 7 3 2 5" xfId="6313"/>
    <cellStyle name="Note 3 3 2 5" xfId="6314"/>
    <cellStyle name="20% - Accent1 2 3 2 5" xfId="6315"/>
    <cellStyle name="40% - Accent1 2 3 2 5" xfId="6316"/>
    <cellStyle name="60% - Accent1 2 3 2 5" xfId="6317"/>
    <cellStyle name="20% - Accent2 2 3 2 5" xfId="6318"/>
    <cellStyle name="40% - Accent2 2 3 2 5" xfId="6319"/>
    <cellStyle name="60% - Accent2 2 3 2 5" xfId="6320"/>
    <cellStyle name="20% - Accent3 2 3 2 5" xfId="6321"/>
    <cellStyle name="40% - Accent3 2 3 2 5" xfId="6322"/>
    <cellStyle name="60% - Accent3 2 3 2 5" xfId="6323"/>
    <cellStyle name="20% - Accent4 2 3 2 5" xfId="6324"/>
    <cellStyle name="40% - Accent4 2 3 2 5" xfId="6325"/>
    <cellStyle name="60% - Accent4 2 3 2 5" xfId="6326"/>
    <cellStyle name="20% - Accent5 2 3 2 5" xfId="6327"/>
    <cellStyle name="40% - Accent5 2 3 2 5" xfId="6328"/>
    <cellStyle name="60% - Accent5 2 3 2 5" xfId="6329"/>
    <cellStyle name="20% - Accent6 2 3 2 5" xfId="6330"/>
    <cellStyle name="40% - Accent6 2 3 2 5" xfId="6331"/>
    <cellStyle name="60% - Accent6 2 3 2 5" xfId="6332"/>
    <cellStyle name="Comma 2 2 4 2 6" xfId="6333"/>
    <cellStyle name="Comma 4 4 2 6" xfId="6334"/>
    <cellStyle name="Normal 3 8 3 2 5" xfId="6335"/>
    <cellStyle name="Comma 2 4 2 6" xfId="6336"/>
    <cellStyle name="Comma 3 3 2 6" xfId="6337"/>
    <cellStyle name="Comma 2 2 3 2 6" xfId="6338"/>
    <cellStyle name="Comma 4 3 2 6" xfId="6339"/>
    <cellStyle name="Normal 7 2 2 5" xfId="6340"/>
    <cellStyle name="Comma 5 2 2 6" xfId="6341"/>
    <cellStyle name="20% - Accent1 3 2 2 5" xfId="6342"/>
    <cellStyle name="40% - Accent1 3 2 2 5" xfId="6343"/>
    <cellStyle name="60% - Accent1 3 2 2 5" xfId="6344"/>
    <cellStyle name="20% - Accent2 3 2 2 5" xfId="6345"/>
    <cellStyle name="40% - Accent2 3 2 2 5" xfId="6346"/>
    <cellStyle name="60% - Accent2 3 2 2 5" xfId="6347"/>
    <cellStyle name="20% - Accent3 3 2 2 5" xfId="6348"/>
    <cellStyle name="40% - Accent3 3 2 2 5" xfId="6349"/>
    <cellStyle name="60% - Accent3 3 2 2 5" xfId="6350"/>
    <cellStyle name="20% - Accent4 3 2 2 5" xfId="6351"/>
    <cellStyle name="40% - Accent4 3 2 2 5" xfId="6352"/>
    <cellStyle name="60% - Accent4 3 2 2 5" xfId="6353"/>
    <cellStyle name="20% - Accent5 3 2 2 5" xfId="6354"/>
    <cellStyle name="40% - Accent5 3 2 2 5" xfId="6355"/>
    <cellStyle name="60% - Accent5 3 2 2 5" xfId="6356"/>
    <cellStyle name="20% - Accent6 3 2 2 5" xfId="6357"/>
    <cellStyle name="40% - Accent6 3 2 2 5" xfId="6358"/>
    <cellStyle name="60% - Accent6 3 2 2 5" xfId="6359"/>
    <cellStyle name="Normal 3 2 3 2 2 5" xfId="6360"/>
    <cellStyle name="Normal 3 3 3 2 2 5" xfId="6361"/>
    <cellStyle name="Normal 3 4 3 2 2 5" xfId="6362"/>
    <cellStyle name="Normal 3 5 3 2 2 5" xfId="6363"/>
    <cellStyle name="Normal 3 2 2 2 2 2 5" xfId="6364"/>
    <cellStyle name="Normal 3 3 2 2 2 2 5" xfId="6365"/>
    <cellStyle name="Normal 3 4 2 2 2 2 5" xfId="6366"/>
    <cellStyle name="Normal 3 5 2 2 2 2 5" xfId="6367"/>
    <cellStyle name="Normal 5 2 2 2 5" xfId="6368"/>
    <cellStyle name="Percent 3 2 2 2 5" xfId="6369"/>
    <cellStyle name="Note 2 2 2 2 5" xfId="6370"/>
    <cellStyle name="Normal 3 6 2 2 2 5" xfId="6371"/>
    <cellStyle name="Comma 2 3 2 2 6" xfId="6372"/>
    <cellStyle name="Comma 3 2 2 2 6" xfId="6373"/>
    <cellStyle name="Percent 4 2 2 2 5" xfId="6374"/>
    <cellStyle name="Normal 3 7 2 2 2 5" xfId="6375"/>
    <cellStyle name="Note 3 2 2 2 5" xfId="6376"/>
    <cellStyle name="20% - Accent1 2 2 2 2 5" xfId="6377"/>
    <cellStyle name="40% - Accent1 2 2 2 2 5" xfId="6378"/>
    <cellStyle name="60% - Accent1 2 2 2 2 5" xfId="6379"/>
    <cellStyle name="20% - Accent2 2 2 2 2 5" xfId="6380"/>
    <cellStyle name="40% - Accent2 2 2 2 2 5" xfId="6381"/>
    <cellStyle name="60% - Accent2 2 2 2 2 5" xfId="6382"/>
    <cellStyle name="20% - Accent3 2 2 2 2 5" xfId="6383"/>
    <cellStyle name="40% - Accent3 2 2 2 2 5" xfId="6384"/>
    <cellStyle name="60% - Accent3 2 2 2 2 5" xfId="6385"/>
    <cellStyle name="20% - Accent4 2 2 2 2 5" xfId="6386"/>
    <cellStyle name="40% - Accent4 2 2 2 2 5" xfId="6387"/>
    <cellStyle name="60% - Accent4 2 2 2 2 5" xfId="6388"/>
    <cellStyle name="20% - Accent5 2 2 2 2 5" xfId="6389"/>
    <cellStyle name="40% - Accent5 2 2 2 2 5" xfId="6390"/>
    <cellStyle name="60% - Accent5 2 2 2 2 5" xfId="6391"/>
    <cellStyle name="20% - Accent6 2 2 2 2 5" xfId="6392"/>
    <cellStyle name="40% - Accent6 2 2 2 2 5" xfId="6393"/>
    <cellStyle name="60% - Accent6 2 2 2 2 5" xfId="6394"/>
    <cellStyle name="Comma 2 2 2 2 2 6" xfId="6395"/>
    <cellStyle name="Comma 4 2 2 2 6" xfId="6396"/>
    <cellStyle name="Normal 3 8 2 2 2 5" xfId="6397"/>
    <cellStyle name="Normal 3 10 2 5" xfId="6398"/>
    <cellStyle name="Normal 3 11 2 5" xfId="6399"/>
    <cellStyle name="Normal 3 2 6 4" xfId="6400"/>
    <cellStyle name="Normal 3 3 6 4" xfId="6401"/>
    <cellStyle name="Normal 3 4 6 4" xfId="6402"/>
    <cellStyle name="Normal 3 5 6 4" xfId="6403"/>
    <cellStyle name="20% - Accent1 6 4" xfId="6404"/>
    <cellStyle name="40% - Accent1 6 4" xfId="6405"/>
    <cellStyle name="60% - Accent1 6 4" xfId="6406"/>
    <cellStyle name="20% - Accent2 6 4" xfId="6407"/>
    <cellStyle name="40% - Accent2 6 4" xfId="6408"/>
    <cellStyle name="60% - Accent2 6 4" xfId="6409"/>
    <cellStyle name="20% - Accent3 6 4" xfId="6410"/>
    <cellStyle name="40% - Accent3 6 4" xfId="6411"/>
    <cellStyle name="60% - Accent3 6 4" xfId="6412"/>
    <cellStyle name="20% - Accent4 6 4" xfId="6413"/>
    <cellStyle name="40% - Accent4 6 4" xfId="6414"/>
    <cellStyle name="60% - Accent4 6 4" xfId="6415"/>
    <cellStyle name="20% - Accent5 6 4" xfId="6416"/>
    <cellStyle name="40% - Accent5 6 4" xfId="6417"/>
    <cellStyle name="60% - Accent5 6 4" xfId="6418"/>
    <cellStyle name="20% - Accent6 6 4" xfId="6419"/>
    <cellStyle name="40% - Accent6 6 4" xfId="6420"/>
    <cellStyle name="60% - Accent6 6 4" xfId="6421"/>
    <cellStyle name="Normal 3 2 2 5 4" xfId="6422"/>
    <cellStyle name="Normal 3 3 2 5 4" xfId="6423"/>
    <cellStyle name="Normal 3 4 2 5 4" xfId="6424"/>
    <cellStyle name="Normal 3 5 2 5 4" xfId="6425"/>
    <cellStyle name="Normal 5 5 4" xfId="6426"/>
    <cellStyle name="Percent 3 5 4" xfId="6427"/>
    <cellStyle name="Note 2 5 4" xfId="6428"/>
    <cellStyle name="Normal 3 6 5 4" xfId="6429"/>
    <cellStyle name="Comma 2 7 5" xfId="6430"/>
    <cellStyle name="Comma 3 7 5" xfId="6431"/>
    <cellStyle name="Percent 4 5 4" xfId="6432"/>
    <cellStyle name="Normal 3 7 5 4" xfId="6433"/>
    <cellStyle name="Note 3 5 4" xfId="6434"/>
    <cellStyle name="20% - Accent1 2 5 4" xfId="6435"/>
    <cellStyle name="40% - Accent1 2 5 4" xfId="6436"/>
    <cellStyle name="60% - Accent1 2 5 4" xfId="6437"/>
    <cellStyle name="20% - Accent2 2 5 4" xfId="6438"/>
    <cellStyle name="40% - Accent2 2 5 4" xfId="6439"/>
    <cellStyle name="60% - Accent2 2 5 4" xfId="6440"/>
    <cellStyle name="20% - Accent3 2 5 4" xfId="6441"/>
    <cellStyle name="40% - Accent3 2 5 4" xfId="6442"/>
    <cellStyle name="60% - Accent3 2 5 4" xfId="6443"/>
    <cellStyle name="20% - Accent4 2 5 4" xfId="6444"/>
    <cellStyle name="40% - Accent4 2 5 4" xfId="6445"/>
    <cellStyle name="60% - Accent4 2 5 4" xfId="6446"/>
    <cellStyle name="20% - Accent5 2 5 4" xfId="6447"/>
    <cellStyle name="40% - Accent5 2 5 4" xfId="6448"/>
    <cellStyle name="60% - Accent5 2 5 4" xfId="6449"/>
    <cellStyle name="20% - Accent6 2 5 4" xfId="6450"/>
    <cellStyle name="40% - Accent6 2 5 4" xfId="6451"/>
    <cellStyle name="60% - Accent6 2 5 4" xfId="6452"/>
    <cellStyle name="Comma 2 2 6 5" xfId="6453"/>
    <cellStyle name="Comma 4 6 5" xfId="6454"/>
    <cellStyle name="Normal 3 8 5 4" xfId="6455"/>
    <cellStyle name="Normal 7 4 4" xfId="6456"/>
    <cellStyle name="Comma 5 4 5" xfId="6457"/>
    <cellStyle name="20% - Accent1 3 4 4" xfId="6458"/>
    <cellStyle name="40% - Accent1 3 4 4" xfId="6459"/>
    <cellStyle name="60% - Accent1 3 4 4" xfId="6460"/>
    <cellStyle name="20% - Accent2 3 4 4" xfId="6461"/>
    <cellStyle name="40% - Accent2 3 4 4" xfId="6462"/>
    <cellStyle name="60% - Accent2 3 4 4" xfId="6463"/>
    <cellStyle name="20% - Accent3 3 4 4" xfId="6464"/>
    <cellStyle name="40% - Accent3 3 4 4" xfId="6465"/>
    <cellStyle name="60% - Accent3 3 4 4" xfId="6466"/>
    <cellStyle name="20% - Accent4 3 4 4" xfId="6467"/>
    <cellStyle name="40% - Accent4 3 4 4" xfId="6468"/>
    <cellStyle name="60% - Accent4 3 4 4" xfId="6469"/>
    <cellStyle name="20% - Accent5 3 4 4" xfId="6470"/>
    <cellStyle name="40% - Accent5 3 4 4" xfId="6471"/>
    <cellStyle name="60% - Accent5 3 4 4" xfId="6472"/>
    <cellStyle name="20% - Accent6 3 4 4" xfId="6473"/>
    <cellStyle name="40% - Accent6 3 4 4" xfId="6474"/>
    <cellStyle name="60% - Accent6 3 4 4" xfId="6475"/>
    <cellStyle name="Normal 3 2 3 4 4" xfId="6476"/>
    <cellStyle name="Normal 3 3 3 4 4" xfId="6477"/>
    <cellStyle name="Normal 3 4 3 4 4" xfId="6478"/>
    <cellStyle name="Normal 3 5 3 4 4" xfId="6479"/>
    <cellStyle name="Normal 3 2 2 2 4 4" xfId="6480"/>
    <cellStyle name="Normal 3 3 2 2 4 4" xfId="6481"/>
    <cellStyle name="Normal 3 4 2 2 4 4" xfId="6482"/>
    <cellStyle name="Normal 3 5 2 2 4 4" xfId="6483"/>
    <cellStyle name="Normal 5 2 4 4" xfId="6484"/>
    <cellStyle name="Percent 3 2 4 4" xfId="6485"/>
    <cellStyle name="Note 2 2 4 4" xfId="6486"/>
    <cellStyle name="Normal 3 6 2 4 4" xfId="6487"/>
    <cellStyle name="Comma 2 3 4 5" xfId="6488"/>
    <cellStyle name="Comma 3 2 4 5" xfId="6489"/>
    <cellStyle name="Percent 4 2 4 4" xfId="6490"/>
    <cellStyle name="Normal 3 7 2 4 4" xfId="6491"/>
    <cellStyle name="Note 3 2 4 4" xfId="6492"/>
    <cellStyle name="20% - Accent1 2 2 4 4" xfId="6493"/>
    <cellStyle name="40% - Accent1 2 2 4 4" xfId="6494"/>
    <cellStyle name="60% - Accent1 2 2 4 4" xfId="6495"/>
    <cellStyle name="20% - Accent2 2 2 4 4" xfId="6496"/>
    <cellStyle name="40% - Accent2 2 2 4 4" xfId="6497"/>
    <cellStyle name="60% - Accent2 2 2 4 4" xfId="6498"/>
    <cellStyle name="20% - Accent3 2 2 4 4" xfId="6499"/>
    <cellStyle name="40% - Accent3 2 2 4 4" xfId="6500"/>
    <cellStyle name="60% - Accent3 2 2 4 4" xfId="6501"/>
    <cellStyle name="20% - Accent4 2 2 4 4" xfId="6502"/>
    <cellStyle name="40% - Accent4 2 2 4 4" xfId="6503"/>
    <cellStyle name="60% - Accent4 2 2 4 4" xfId="6504"/>
    <cellStyle name="20% - Accent5 2 2 4 4" xfId="6505"/>
    <cellStyle name="40% - Accent5 2 2 4 4" xfId="6506"/>
    <cellStyle name="60% - Accent5 2 2 4 4" xfId="6507"/>
    <cellStyle name="20% - Accent6 2 2 4 4" xfId="6508"/>
    <cellStyle name="40% - Accent6 2 2 4 4" xfId="6509"/>
    <cellStyle name="60% - Accent6 2 2 4 4" xfId="6510"/>
    <cellStyle name="Comma 2 2 2 4 5" xfId="6511"/>
    <cellStyle name="Comma 4 2 4 5" xfId="6512"/>
    <cellStyle name="Normal 3 8 2 4 4" xfId="6513"/>
    <cellStyle name="Normal 8 3 4" xfId="6514"/>
    <cellStyle name="Comma 6 3 5" xfId="6515"/>
    <cellStyle name="20% - Accent1 4 3 4" xfId="6516"/>
    <cellStyle name="40% - Accent1 4 3 4" xfId="6517"/>
    <cellStyle name="60% - Accent1 4 3 4" xfId="6518"/>
    <cellStyle name="20% - Accent2 4 3 4" xfId="6519"/>
    <cellStyle name="40% - Accent2 4 3 4" xfId="6520"/>
    <cellStyle name="60% - Accent2 4 3 4" xfId="6521"/>
    <cellStyle name="20% - Accent3 4 3 4" xfId="6522"/>
    <cellStyle name="40% - Accent3 4 3 4" xfId="6523"/>
    <cellStyle name="60% - Accent3 4 3 4" xfId="6524"/>
    <cellStyle name="20% - Accent4 4 3 4" xfId="6525"/>
    <cellStyle name="40% - Accent4 4 3 4" xfId="6526"/>
    <cellStyle name="60% - Accent4 4 3 4" xfId="6527"/>
    <cellStyle name="20% - Accent5 4 3 4" xfId="6528"/>
    <cellStyle name="40% - Accent5 4 3 4" xfId="6529"/>
    <cellStyle name="60% - Accent5 4 3 4" xfId="6530"/>
    <cellStyle name="20% - Accent6 4 3 4" xfId="6531"/>
    <cellStyle name="40% - Accent6 4 3 4" xfId="6532"/>
    <cellStyle name="60% - Accent6 4 3 4" xfId="6533"/>
    <cellStyle name="Normal 3 2 4 3 4" xfId="6534"/>
    <cellStyle name="Normal 3 3 4 3 4" xfId="6535"/>
    <cellStyle name="Normal 3 4 4 3 4" xfId="6536"/>
    <cellStyle name="Normal 3 5 4 3 4" xfId="6537"/>
    <cellStyle name="Normal 3 2 2 3 3 4" xfId="6538"/>
    <cellStyle name="Normal 3 3 2 3 3 4" xfId="6539"/>
    <cellStyle name="Normal 3 4 2 3 3 4" xfId="6540"/>
    <cellStyle name="Normal 3 5 2 3 3 4" xfId="6541"/>
    <cellStyle name="Normal 5 3 3 4" xfId="6542"/>
    <cellStyle name="Percent 3 3 3 4" xfId="6543"/>
    <cellStyle name="Note 2 3 3 4" xfId="6544"/>
    <cellStyle name="Normal 3 6 3 3 4" xfId="6545"/>
    <cellStyle name="Comma 2 5 3 5" xfId="6546"/>
    <cellStyle name="Comma 3 4 3 5" xfId="6547"/>
    <cellStyle name="Percent 4 3 3 4" xfId="6548"/>
    <cellStyle name="Normal 3 7 3 3 4" xfId="6549"/>
    <cellStyle name="Note 3 3 3 4" xfId="6550"/>
    <cellStyle name="20% - Accent1 2 3 3 4" xfId="6551"/>
    <cellStyle name="40% - Accent1 2 3 3 4" xfId="6552"/>
    <cellStyle name="60% - Accent1 2 3 3 4" xfId="6553"/>
    <cellStyle name="20% - Accent2 2 3 3 4" xfId="6554"/>
    <cellStyle name="40% - Accent2 2 3 3 4" xfId="6555"/>
    <cellStyle name="60% - Accent2 2 3 3 4" xfId="6556"/>
    <cellStyle name="20% - Accent3 2 3 3 4" xfId="6557"/>
    <cellStyle name="40% - Accent3 2 3 3 4" xfId="6558"/>
    <cellStyle name="60% - Accent3 2 3 3 4" xfId="6559"/>
    <cellStyle name="20% - Accent4 2 3 3 4" xfId="6560"/>
    <cellStyle name="40% - Accent4 2 3 3 4" xfId="6561"/>
    <cellStyle name="60% - Accent4 2 3 3 4" xfId="6562"/>
    <cellStyle name="20% - Accent5 2 3 3 4" xfId="6563"/>
    <cellStyle name="40% - Accent5 2 3 3 4" xfId="6564"/>
    <cellStyle name="60% - Accent5 2 3 3 4" xfId="6565"/>
    <cellStyle name="20% - Accent6 2 3 3 4" xfId="6566"/>
    <cellStyle name="40% - Accent6 2 3 3 4" xfId="6567"/>
    <cellStyle name="60% - Accent6 2 3 3 4" xfId="6568"/>
    <cellStyle name="Comma 2 2 4 3 5" xfId="6569"/>
    <cellStyle name="Comma 4 4 3 5" xfId="6570"/>
    <cellStyle name="Normal 3 8 3 3 4" xfId="6571"/>
    <cellStyle name="Comma 2 4 3 5" xfId="6572"/>
    <cellStyle name="Comma 3 3 3 5" xfId="6573"/>
    <cellStyle name="Comma 2 2 3 3 5" xfId="6574"/>
    <cellStyle name="Comma 4 3 3 5" xfId="6575"/>
    <cellStyle name="Normal 7 2 3 4" xfId="6576"/>
    <cellStyle name="Comma 5 2 3 5" xfId="6577"/>
    <cellStyle name="20% - Accent1 3 2 3 4" xfId="6578"/>
    <cellStyle name="40% - Accent1 3 2 3 4" xfId="6579"/>
    <cellStyle name="60% - Accent1 3 2 3 4" xfId="6580"/>
    <cellStyle name="20% - Accent2 3 2 3 4" xfId="6581"/>
    <cellStyle name="40% - Accent2 3 2 3 4" xfId="6582"/>
    <cellStyle name="60% - Accent2 3 2 3 4" xfId="6583"/>
    <cellStyle name="20% - Accent3 3 2 3 4" xfId="6584"/>
    <cellStyle name="40% - Accent3 3 2 3 4" xfId="6585"/>
    <cellStyle name="60% - Accent3 3 2 3 4" xfId="6586"/>
    <cellStyle name="20% - Accent4 3 2 3 4" xfId="6587"/>
    <cellStyle name="40% - Accent4 3 2 3 4" xfId="6588"/>
    <cellStyle name="60% - Accent4 3 2 3 4" xfId="6589"/>
    <cellStyle name="20% - Accent5 3 2 3 4" xfId="6590"/>
    <cellStyle name="40% - Accent5 3 2 3 4" xfId="6591"/>
    <cellStyle name="60% - Accent5 3 2 3 4" xfId="6592"/>
    <cellStyle name="20% - Accent6 3 2 3 4" xfId="6593"/>
    <cellStyle name="40% - Accent6 3 2 3 4" xfId="6594"/>
    <cellStyle name="60% - Accent6 3 2 3 4" xfId="6595"/>
    <cellStyle name="Normal 3 2 3 2 3 4" xfId="6596"/>
    <cellStyle name="Normal 3 3 3 2 3 4" xfId="6597"/>
    <cellStyle name="Normal 3 4 3 2 3 4" xfId="6598"/>
    <cellStyle name="Normal 3 5 3 2 3 4" xfId="6599"/>
    <cellStyle name="Normal 3 2 2 2 2 3 4" xfId="6600"/>
    <cellStyle name="Normal 3 3 2 2 2 3 4" xfId="6601"/>
    <cellStyle name="Normal 3 4 2 2 2 3 4" xfId="6602"/>
    <cellStyle name="Normal 3 5 2 2 2 3 4" xfId="6603"/>
    <cellStyle name="Normal 5 2 2 3 4" xfId="6604"/>
    <cellStyle name="Percent 3 2 2 3 4" xfId="6605"/>
    <cellStyle name="Note 2 2 2 3 4" xfId="6606"/>
    <cellStyle name="Normal 3 6 2 2 3 4" xfId="6607"/>
    <cellStyle name="Comma 2 3 2 3 5" xfId="6608"/>
    <cellStyle name="Comma 3 2 2 3 5" xfId="6609"/>
    <cellStyle name="Percent 4 2 2 3 4" xfId="6610"/>
    <cellStyle name="Normal 3 7 2 2 3 4" xfId="6611"/>
    <cellStyle name="Note 3 2 2 3 4" xfId="6612"/>
    <cellStyle name="20% - Accent1 2 2 2 3 4" xfId="6613"/>
    <cellStyle name="40% - Accent1 2 2 2 3 4" xfId="6614"/>
    <cellStyle name="60% - Accent1 2 2 2 3 4" xfId="6615"/>
    <cellStyle name="20% - Accent2 2 2 2 3 4" xfId="6616"/>
    <cellStyle name="40% - Accent2 2 2 2 3 4" xfId="6617"/>
    <cellStyle name="60% - Accent2 2 2 2 3 4" xfId="6618"/>
    <cellStyle name="20% - Accent3 2 2 2 3 4" xfId="6619"/>
    <cellStyle name="40% - Accent3 2 2 2 3 4" xfId="6620"/>
    <cellStyle name="60% - Accent3 2 2 2 3 4" xfId="6621"/>
    <cellStyle name="20% - Accent4 2 2 2 3 4" xfId="6622"/>
    <cellStyle name="40% - Accent4 2 2 2 3 4" xfId="6623"/>
    <cellStyle name="60% - Accent4 2 2 2 3 4" xfId="6624"/>
    <cellStyle name="20% - Accent5 2 2 2 3 4" xfId="6625"/>
    <cellStyle name="40% - Accent5 2 2 2 3 4" xfId="6626"/>
    <cellStyle name="60% - Accent5 2 2 2 3 4" xfId="6627"/>
    <cellStyle name="20% - Accent6 2 2 2 3 4" xfId="6628"/>
    <cellStyle name="40% - Accent6 2 2 2 3 4" xfId="6629"/>
    <cellStyle name="60% - Accent6 2 2 2 3 4" xfId="6630"/>
    <cellStyle name="Comma 2 2 2 2 3 5" xfId="6631"/>
    <cellStyle name="Comma 4 2 2 3 5" xfId="6632"/>
    <cellStyle name="Normal 3 8 2 2 3 4" xfId="6633"/>
    <cellStyle name="Normal 3 10 3 4" xfId="6634"/>
    <cellStyle name="Normal 3 11 3 4" xfId="6635"/>
    <cellStyle name="Normal 5 4 2 4" xfId="6636"/>
    <cellStyle name="Normal 7 3 2 4" xfId="6637"/>
    <cellStyle name="Normal 3 2 2 2 3 2 4" xfId="6638"/>
    <cellStyle name="Normal 8 2 2 4" xfId="6639"/>
    <cellStyle name="Normal 3 2 2 2 2 2 2 4" xfId="6640"/>
    <cellStyle name="Comma 3 6 5" xfId="6641"/>
    <cellStyle name="Normal 3 6 4 2 4" xfId="6642"/>
    <cellStyle name="Normal 3 12 2 4" xfId="6643"/>
    <cellStyle name="Normal 3 2 5 2 4" xfId="6644"/>
    <cellStyle name="Normal 3 3 5 2 4" xfId="6645"/>
    <cellStyle name="Normal 3 4 5 2 4" xfId="6646"/>
    <cellStyle name="Normal 3 5 5 2 4" xfId="6647"/>
    <cellStyle name="20% - Accent1 5 2 4" xfId="6648"/>
    <cellStyle name="40% - Accent1 5 2 4" xfId="6649"/>
    <cellStyle name="60% - Accent1 5 2 4" xfId="6650"/>
    <cellStyle name="20% - Accent2 5 2 4" xfId="6651"/>
    <cellStyle name="40% - Accent2 5 2 4" xfId="6652"/>
    <cellStyle name="60% - Accent2 5 2 4" xfId="6653"/>
    <cellStyle name="20% - Accent3 5 2 4" xfId="6654"/>
    <cellStyle name="40% - Accent3 5 2 4" xfId="6655"/>
    <cellStyle name="60% - Accent3 5 2 4" xfId="6656"/>
    <cellStyle name="20% - Accent4 5 2 4" xfId="6657"/>
    <cellStyle name="40% - Accent4 5 2 4" xfId="6658"/>
    <cellStyle name="60% - Accent4 5 2 4" xfId="6659"/>
    <cellStyle name="20% - Accent5 5 2 4" xfId="6660"/>
    <cellStyle name="40% - Accent5 5 2 4" xfId="6661"/>
    <cellStyle name="60% - Accent5 5 2 4" xfId="6662"/>
    <cellStyle name="20% - Accent6 5 2 4" xfId="6663"/>
    <cellStyle name="40% - Accent6 5 2 4" xfId="6664"/>
    <cellStyle name="60% - Accent6 5 2 4" xfId="6665"/>
    <cellStyle name="Normal 3 2 2 4 2 4" xfId="6666"/>
    <cellStyle name="Normal 3 3 2 4 2 4" xfId="6667"/>
    <cellStyle name="Normal 3 4 2 4 2 4" xfId="6668"/>
    <cellStyle name="Normal 3 5 2 4 2 4" xfId="6669"/>
    <cellStyle name="Percent 3 4 2 4" xfId="6670"/>
    <cellStyle name="Note 2 4 2 4" xfId="6671"/>
    <cellStyle name="Comma 2 6 2 5" xfId="6672"/>
    <cellStyle name="Comma 3 5 2 5" xfId="6673"/>
    <cellStyle name="Percent 4 4 2 4" xfId="6674"/>
    <cellStyle name="Normal 3 7 4 2 4" xfId="6675"/>
    <cellStyle name="Note 3 4 2 4" xfId="6676"/>
    <cellStyle name="20% - Accent1 2 4 2 4" xfId="6677"/>
    <cellStyle name="40% - Accent1 2 4 2 4" xfId="6678"/>
    <cellStyle name="60% - Accent1 2 4 2 4" xfId="6679"/>
    <cellStyle name="20% - Accent2 2 4 2 4" xfId="6680"/>
    <cellStyle name="40% - Accent2 2 4 2 4" xfId="6681"/>
    <cellStyle name="60% - Accent2 2 4 2 4" xfId="6682"/>
    <cellStyle name="20% - Accent3 2 4 2 4" xfId="6683"/>
    <cellStyle name="40% - Accent3 2 4 2 4" xfId="6684"/>
    <cellStyle name="60% - Accent3 2 4 2 4" xfId="6685"/>
    <cellStyle name="20% - Accent4 2 4 2 4" xfId="6686"/>
    <cellStyle name="40% - Accent4 2 4 2 4" xfId="6687"/>
    <cellStyle name="60% - Accent4 2 4 2 4" xfId="6688"/>
    <cellStyle name="20% - Accent5 2 4 2 4" xfId="6689"/>
    <cellStyle name="40% - Accent5 2 4 2 4" xfId="6690"/>
    <cellStyle name="60% - Accent5 2 4 2 4" xfId="6691"/>
    <cellStyle name="20% - Accent6 2 4 2 4" xfId="6692"/>
    <cellStyle name="40% - Accent6 2 4 2 4" xfId="6693"/>
    <cellStyle name="60% - Accent6 2 4 2 4" xfId="6694"/>
    <cellStyle name="Comma 2 2 5 2 5" xfId="6695"/>
    <cellStyle name="Comma 4 5 2 5" xfId="6696"/>
    <cellStyle name="Normal 3 8 4 2 4" xfId="6697"/>
    <cellStyle name="Comma 5 3 2 5" xfId="6698"/>
    <cellStyle name="20% - Accent1 3 3 2 4" xfId="6699"/>
    <cellStyle name="40% - Accent1 3 3 2 4" xfId="6700"/>
    <cellStyle name="60% - Accent1 3 3 2 4" xfId="6701"/>
    <cellStyle name="20% - Accent2 3 3 2 4" xfId="6702"/>
    <cellStyle name="40% - Accent2 3 3 2 4" xfId="6703"/>
    <cellStyle name="60% - Accent2 3 3 2 4" xfId="6704"/>
    <cellStyle name="20% - Accent3 3 3 2 4" xfId="6705"/>
    <cellStyle name="40% - Accent3 3 3 2 4" xfId="6706"/>
    <cellStyle name="60% - Accent3 3 3 2 4" xfId="6707"/>
    <cellStyle name="20% - Accent4 3 3 2 4" xfId="6708"/>
    <cellStyle name="40% - Accent4 3 3 2 4" xfId="6709"/>
    <cellStyle name="60% - Accent4 3 3 2 4" xfId="6710"/>
    <cellStyle name="20% - Accent5 3 3 2 4" xfId="6711"/>
    <cellStyle name="40% - Accent5 3 3 2 4" xfId="6712"/>
    <cellStyle name="60% - Accent5 3 3 2 4" xfId="6713"/>
    <cellStyle name="20% - Accent6 3 3 2 4" xfId="6714"/>
    <cellStyle name="40% - Accent6 3 3 2 4" xfId="6715"/>
    <cellStyle name="60% - Accent6 3 3 2 4" xfId="6716"/>
    <cellStyle name="Normal 3 2 3 3 2 4" xfId="6717"/>
    <cellStyle name="Normal 3 3 3 3 2 4" xfId="6718"/>
    <cellStyle name="Normal 3 4 3 3 2 4" xfId="6719"/>
    <cellStyle name="Normal 3 5 3 3 2 4" xfId="6720"/>
    <cellStyle name="Normal 3 3 2 2 3 2 4" xfId="6721"/>
    <cellStyle name="Normal 3 4 2 2 3 2 4" xfId="6722"/>
    <cellStyle name="Normal 3 5 2 2 3 2 4" xfId="6723"/>
    <cellStyle name="Normal 5 2 3 2 4" xfId="6724"/>
    <cellStyle name="Percent 3 2 3 2 4" xfId="6725"/>
    <cellStyle name="Note 2 2 3 2 4" xfId="6726"/>
    <cellStyle name="Normal 3 6 2 3 2 4" xfId="6727"/>
    <cellStyle name="Comma 2 3 3 2 5" xfId="6728"/>
    <cellStyle name="Comma 3 2 3 2 5" xfId="6729"/>
    <cellStyle name="Percent 4 2 3 2 4" xfId="6730"/>
    <cellStyle name="Normal 3 7 2 3 2 4" xfId="6731"/>
    <cellStyle name="Note 3 2 3 2 4" xfId="6732"/>
    <cellStyle name="20% - Accent1 2 2 3 2 4" xfId="6733"/>
    <cellStyle name="40% - Accent1 2 2 3 2 4" xfId="6734"/>
    <cellStyle name="60% - Accent1 2 2 3 2 4" xfId="6735"/>
    <cellStyle name="20% - Accent2 2 2 3 2 4" xfId="6736"/>
    <cellStyle name="40% - Accent2 2 2 3 2 4" xfId="6737"/>
    <cellStyle name="60% - Accent2 2 2 3 2 4" xfId="6738"/>
    <cellStyle name="20% - Accent3 2 2 3 2 4" xfId="6739"/>
    <cellStyle name="40% - Accent3 2 2 3 2 4" xfId="6740"/>
    <cellStyle name="60% - Accent3 2 2 3 2 4" xfId="6741"/>
    <cellStyle name="20% - Accent4 2 2 3 2 4" xfId="6742"/>
    <cellStyle name="40% - Accent4 2 2 3 2 4" xfId="6743"/>
    <cellStyle name="60% - Accent4 2 2 3 2 4" xfId="6744"/>
    <cellStyle name="20% - Accent5 2 2 3 2 4" xfId="6745"/>
    <cellStyle name="40% - Accent5 2 2 3 2 4" xfId="6746"/>
    <cellStyle name="60% - Accent5 2 2 3 2 4" xfId="6747"/>
    <cellStyle name="20% - Accent6 2 2 3 2 4" xfId="6748"/>
    <cellStyle name="40% - Accent6 2 2 3 2 4" xfId="6749"/>
    <cellStyle name="60% - Accent6 2 2 3 2 4" xfId="6750"/>
    <cellStyle name="Comma 2 2 2 3 2 5" xfId="6751"/>
    <cellStyle name="Comma 4 2 3 2 5" xfId="6752"/>
    <cellStyle name="Normal 3 8 2 3 2 4" xfId="6753"/>
    <cellStyle name="Comma 6 2 2 5" xfId="6754"/>
    <cellStyle name="20% - Accent1 4 2 2 4" xfId="6755"/>
    <cellStyle name="40% - Accent1 4 2 2 4" xfId="6756"/>
    <cellStyle name="60% - Accent1 4 2 2 4" xfId="6757"/>
    <cellStyle name="20% - Accent2 4 2 2 4" xfId="6758"/>
    <cellStyle name="40% - Accent2 4 2 2 4" xfId="6759"/>
    <cellStyle name="60% - Accent2 4 2 2 4" xfId="6760"/>
    <cellStyle name="20% - Accent3 4 2 2 4" xfId="6761"/>
    <cellStyle name="40% - Accent3 4 2 2 4" xfId="6762"/>
    <cellStyle name="60% - Accent3 4 2 2 4" xfId="6763"/>
    <cellStyle name="20% - Accent4 4 2 2 4" xfId="6764"/>
    <cellStyle name="40% - Accent4 4 2 2 4" xfId="6765"/>
    <cellStyle name="60% - Accent4 4 2 2 4" xfId="6766"/>
    <cellStyle name="20% - Accent5 4 2 2 4" xfId="6767"/>
    <cellStyle name="40% - Accent5 4 2 2 4" xfId="6768"/>
    <cellStyle name="60% - Accent5 4 2 2 4" xfId="6769"/>
    <cellStyle name="20% - Accent6 4 2 2 4" xfId="6770"/>
    <cellStyle name="40% - Accent6 4 2 2 4" xfId="6771"/>
    <cellStyle name="60% - Accent6 4 2 2 4" xfId="6772"/>
    <cellStyle name="Normal 3 2 4 2 2 4" xfId="6773"/>
    <cellStyle name="Normal 3 3 4 2 2 4" xfId="6774"/>
    <cellStyle name="Normal 3 4 4 2 2 4" xfId="6775"/>
    <cellStyle name="Normal 3 5 4 2 2 4" xfId="6776"/>
    <cellStyle name="Normal 3 2 2 3 2 2 4" xfId="6777"/>
    <cellStyle name="Normal 3 3 2 3 2 2 4" xfId="6778"/>
    <cellStyle name="Normal 3 4 2 3 2 2 4" xfId="6779"/>
    <cellStyle name="Normal 3 5 2 3 2 2 4" xfId="6780"/>
    <cellStyle name="Normal 5 3 2 2 4" xfId="6781"/>
    <cellStyle name="Percent 3 3 2 2 4" xfId="6782"/>
    <cellStyle name="Note 2 3 2 2 4" xfId="6783"/>
    <cellStyle name="Normal 3 6 3 2 2 4" xfId="6784"/>
    <cellStyle name="Comma 2 5 2 2 5" xfId="6785"/>
    <cellStyle name="Comma 3 4 2 2 5" xfId="6786"/>
    <cellStyle name="Percent 4 3 2 2 4" xfId="6787"/>
    <cellStyle name="Normal 3 7 3 2 2 4" xfId="6788"/>
    <cellStyle name="Note 3 3 2 2 4" xfId="6789"/>
    <cellStyle name="20% - Accent1 2 3 2 2 4" xfId="6790"/>
    <cellStyle name="40% - Accent1 2 3 2 2 4" xfId="6791"/>
    <cellStyle name="60% - Accent1 2 3 2 2 4" xfId="6792"/>
    <cellStyle name="20% - Accent2 2 3 2 2 4" xfId="6793"/>
    <cellStyle name="40% - Accent2 2 3 2 2 4" xfId="6794"/>
    <cellStyle name="60% - Accent2 2 3 2 2 4" xfId="6795"/>
    <cellStyle name="20% - Accent3 2 3 2 2 4" xfId="6796"/>
    <cellStyle name="40% - Accent3 2 3 2 2 4" xfId="6797"/>
    <cellStyle name="60% - Accent3 2 3 2 2 4" xfId="6798"/>
    <cellStyle name="20% - Accent4 2 3 2 2 4" xfId="6799"/>
    <cellStyle name="40% - Accent4 2 3 2 2 4" xfId="6800"/>
    <cellStyle name="60% - Accent4 2 3 2 2 4" xfId="6801"/>
    <cellStyle name="20% - Accent5 2 3 2 2 4" xfId="6802"/>
    <cellStyle name="40% - Accent5 2 3 2 2 4" xfId="6803"/>
    <cellStyle name="60% - Accent5 2 3 2 2 4" xfId="6804"/>
    <cellStyle name="20% - Accent6 2 3 2 2 4" xfId="6805"/>
    <cellStyle name="40% - Accent6 2 3 2 2 4" xfId="6806"/>
    <cellStyle name="60% - Accent6 2 3 2 2 4" xfId="6807"/>
    <cellStyle name="Comma 2 2 4 2 2 5" xfId="6808"/>
    <cellStyle name="Comma 4 4 2 2 5" xfId="6809"/>
    <cellStyle name="Normal 3 8 3 2 2 4" xfId="6810"/>
    <cellStyle name="Comma 2 4 2 2 5" xfId="6811"/>
    <cellStyle name="Comma 3 3 2 2 5" xfId="6812"/>
    <cellStyle name="Comma 2 2 3 2 2 5" xfId="6813"/>
    <cellStyle name="Comma 4 3 2 2 5" xfId="6814"/>
    <cellStyle name="Normal 7 2 2 2 4" xfId="6815"/>
    <cellStyle name="Comma 5 2 2 2 5" xfId="6816"/>
    <cellStyle name="20% - Accent1 3 2 2 2 4" xfId="6817"/>
    <cellStyle name="40% - Accent1 3 2 2 2 4" xfId="6818"/>
    <cellStyle name="60% - Accent1 3 2 2 2 4" xfId="6819"/>
    <cellStyle name="20% - Accent2 3 2 2 2 4" xfId="6820"/>
    <cellStyle name="40% - Accent2 3 2 2 2 4" xfId="6821"/>
    <cellStyle name="60% - Accent2 3 2 2 2 4" xfId="6822"/>
    <cellStyle name="20% - Accent3 3 2 2 2 4" xfId="6823"/>
    <cellStyle name="40% - Accent3 3 2 2 2 4" xfId="6824"/>
    <cellStyle name="60% - Accent3 3 2 2 2 4" xfId="6825"/>
    <cellStyle name="20% - Accent4 3 2 2 2 4" xfId="6826"/>
    <cellStyle name="40% - Accent4 3 2 2 2 4" xfId="6827"/>
    <cellStyle name="60% - Accent4 3 2 2 2 4" xfId="6828"/>
    <cellStyle name="20% - Accent5 3 2 2 2 4" xfId="6829"/>
    <cellStyle name="40% - Accent5 3 2 2 2 4" xfId="6830"/>
    <cellStyle name="60% - Accent5 3 2 2 2 4" xfId="6831"/>
    <cellStyle name="20% - Accent6 3 2 2 2 4" xfId="6832"/>
    <cellStyle name="40% - Accent6 3 2 2 2 4" xfId="6833"/>
    <cellStyle name="60% - Accent6 3 2 2 2 4" xfId="6834"/>
    <cellStyle name="Normal 3 2 3 2 2 2 4" xfId="6835"/>
    <cellStyle name="Normal 3 3 3 2 2 2 4" xfId="6836"/>
    <cellStyle name="Normal 3 4 3 2 2 2 4" xfId="6837"/>
    <cellStyle name="Normal 3 5 3 2 2 2 4" xfId="6838"/>
    <cellStyle name="Normal 3 3 2 2 2 2 2 4" xfId="6839"/>
    <cellStyle name="Normal 3 4 2 2 2 2 2 4" xfId="6840"/>
    <cellStyle name="Normal 3 5 2 2 2 2 2 4" xfId="6841"/>
    <cellStyle name="Normal 5 2 2 2 2 4" xfId="6842"/>
    <cellStyle name="Percent 3 2 2 2 2 4" xfId="6843"/>
    <cellStyle name="Note 2 2 2 2 2 4" xfId="6844"/>
    <cellStyle name="Normal 3 6 2 2 2 2 4" xfId="6845"/>
    <cellStyle name="Comma 2 3 2 2 2 5" xfId="6846"/>
    <cellStyle name="Comma 3 2 2 2 2 5" xfId="6847"/>
    <cellStyle name="Percent 4 2 2 2 2 4" xfId="6848"/>
    <cellStyle name="Normal 3 7 2 2 2 2 4" xfId="6849"/>
    <cellStyle name="Note 3 2 2 2 2 4" xfId="6850"/>
    <cellStyle name="20% - Accent1 2 2 2 2 2 4" xfId="6851"/>
    <cellStyle name="40% - Accent1 2 2 2 2 2 4" xfId="6852"/>
    <cellStyle name="60% - Accent1 2 2 2 2 2 4" xfId="6853"/>
    <cellStyle name="20% - Accent2 2 2 2 2 2 4" xfId="6854"/>
    <cellStyle name="40% - Accent2 2 2 2 2 2 4" xfId="6855"/>
    <cellStyle name="60% - Accent2 2 2 2 2 2 4" xfId="6856"/>
    <cellStyle name="20% - Accent3 2 2 2 2 2 4" xfId="6857"/>
    <cellStyle name="40% - Accent3 2 2 2 2 2 4" xfId="6858"/>
    <cellStyle name="60% - Accent3 2 2 2 2 2 4" xfId="6859"/>
    <cellStyle name="20% - Accent4 2 2 2 2 2 4" xfId="6860"/>
    <cellStyle name="40% - Accent4 2 2 2 2 2 4" xfId="6861"/>
    <cellStyle name="60% - Accent4 2 2 2 2 2 4" xfId="6862"/>
    <cellStyle name="20% - Accent5 2 2 2 2 2 4" xfId="6863"/>
    <cellStyle name="40% - Accent5 2 2 2 2 2 4" xfId="6864"/>
    <cellStyle name="60% - Accent5 2 2 2 2 2 4" xfId="6865"/>
    <cellStyle name="20% - Accent6 2 2 2 2 2 4" xfId="6866"/>
    <cellStyle name="40% - Accent6 2 2 2 2 2 4" xfId="6867"/>
    <cellStyle name="60% - Accent6 2 2 2 2 2 4" xfId="6868"/>
    <cellStyle name="Comma 2 2 2 2 2 2 5" xfId="6869"/>
    <cellStyle name="Comma 4 2 2 2 2 5" xfId="6870"/>
    <cellStyle name="Normal 3 8 2 2 2 2 4" xfId="6871"/>
    <cellStyle name="Normal 3 10 2 2 4" xfId="6872"/>
    <cellStyle name="Normal 3 11 2 2 4" xfId="6873"/>
    <cellStyle name="Normal 3 13 4" xfId="6874"/>
    <cellStyle name="Normal 3 2 7 4" xfId="6875"/>
    <cellStyle name="Normal 3 3 7 4" xfId="6876"/>
    <cellStyle name="Normal 3 4 7 4" xfId="6877"/>
    <cellStyle name="Normal 3 5 7 4" xfId="6878"/>
    <cellStyle name="20% - Accent1 7 4" xfId="6879"/>
    <cellStyle name="40% - Accent1 7 4" xfId="6880"/>
    <cellStyle name="60% - Accent1 7 4" xfId="6881"/>
    <cellStyle name="20% - Accent2 7 4" xfId="6882"/>
    <cellStyle name="40% - Accent2 7 4" xfId="6883"/>
    <cellStyle name="60% - Accent2 7 4" xfId="6884"/>
    <cellStyle name="20% - Accent3 7 4" xfId="6885"/>
    <cellStyle name="40% - Accent3 7 4" xfId="6886"/>
    <cellStyle name="60% - Accent3 7 4" xfId="6887"/>
    <cellStyle name="20% - Accent4 7 4" xfId="6888"/>
    <cellStyle name="40% - Accent4 7 4" xfId="6889"/>
    <cellStyle name="60% - Accent4 7 4" xfId="6890"/>
    <cellStyle name="20% - Accent5 7 4" xfId="6891"/>
    <cellStyle name="40% - Accent5 7 4" xfId="6892"/>
    <cellStyle name="60% - Accent5 7 4" xfId="6893"/>
    <cellStyle name="20% - Accent6 7 4" xfId="6894"/>
    <cellStyle name="40% - Accent6 7 4" xfId="6895"/>
    <cellStyle name="60% - Accent6 7 4" xfId="6896"/>
    <cellStyle name="Normal 3 2 2 6 4" xfId="6897"/>
    <cellStyle name="Normal 3 3 2 6 4" xfId="6898"/>
    <cellStyle name="Normal 3 4 2 6 4" xfId="6899"/>
    <cellStyle name="Normal 3 5 2 6 4" xfId="6900"/>
    <cellStyle name="Normal 5 6 4" xfId="6901"/>
    <cellStyle name="Percent 3 6 4" xfId="6902"/>
    <cellStyle name="Note 2 6 4" xfId="6903"/>
    <cellStyle name="Normal 3 6 6 4" xfId="6904"/>
    <cellStyle name="Comma 2 8 5" xfId="6905"/>
    <cellStyle name="Comma 3 8 5" xfId="6906"/>
    <cellStyle name="Percent 4 6 4" xfId="6907"/>
    <cellStyle name="Normal 3 7 6 4" xfId="6908"/>
    <cellStyle name="Note 3 6 4" xfId="6909"/>
    <cellStyle name="20% - Accent1 2 6 4" xfId="6910"/>
    <cellStyle name="40% - Accent1 2 6 4" xfId="6911"/>
    <cellStyle name="60% - Accent1 2 6 4" xfId="6912"/>
    <cellStyle name="20% - Accent2 2 6 4" xfId="6913"/>
    <cellStyle name="40% - Accent2 2 6 4" xfId="6914"/>
    <cellStyle name="60% - Accent2 2 6 4" xfId="6915"/>
    <cellStyle name="20% - Accent3 2 6 4" xfId="6916"/>
    <cellStyle name="40% - Accent3 2 6 4" xfId="6917"/>
    <cellStyle name="60% - Accent3 2 6 4" xfId="6918"/>
    <cellStyle name="20% - Accent4 2 6 4" xfId="6919"/>
    <cellStyle name="40% - Accent4 2 6 4" xfId="6920"/>
    <cellStyle name="60% - Accent4 2 6 4" xfId="6921"/>
    <cellStyle name="20% - Accent5 2 6 4" xfId="6922"/>
    <cellStyle name="40% - Accent5 2 6 4" xfId="6923"/>
    <cellStyle name="60% - Accent5 2 6 4" xfId="6924"/>
    <cellStyle name="20% - Accent6 2 6 4" xfId="6925"/>
    <cellStyle name="40% - Accent6 2 6 4" xfId="6926"/>
    <cellStyle name="60% - Accent6 2 6 4" xfId="6927"/>
    <cellStyle name="Comma 2 2 7 5" xfId="6928"/>
    <cellStyle name="Comma 4 7 5" xfId="6929"/>
    <cellStyle name="Normal 3 8 6 4" xfId="6930"/>
    <cellStyle name="Normal 7 5 4" xfId="6931"/>
    <cellStyle name="Comma 5 5 5" xfId="6932"/>
    <cellStyle name="20% - Accent1 3 5 4" xfId="6933"/>
    <cellStyle name="40% - Accent1 3 5 4" xfId="6934"/>
    <cellStyle name="60% - Accent1 3 5 4" xfId="6935"/>
    <cellStyle name="20% - Accent2 3 5 4" xfId="6936"/>
    <cellStyle name="40% - Accent2 3 5 4" xfId="6937"/>
    <cellStyle name="60% - Accent2 3 5 4" xfId="6938"/>
    <cellStyle name="20% - Accent3 3 5 4" xfId="6939"/>
    <cellStyle name="40% - Accent3 3 5 4" xfId="6940"/>
    <cellStyle name="60% - Accent3 3 5 4" xfId="6941"/>
    <cellStyle name="20% - Accent4 3 5 4" xfId="6942"/>
    <cellStyle name="40% - Accent4 3 5 4" xfId="6943"/>
    <cellStyle name="60% - Accent4 3 5 4" xfId="6944"/>
    <cellStyle name="20% - Accent5 3 5 4" xfId="6945"/>
    <cellStyle name="40% - Accent5 3 5 4" xfId="6946"/>
    <cellStyle name="60% - Accent5 3 5 4" xfId="6947"/>
    <cellStyle name="20% - Accent6 3 5 4" xfId="6948"/>
    <cellStyle name="40% - Accent6 3 5 4" xfId="6949"/>
    <cellStyle name="60% - Accent6 3 5 4" xfId="6950"/>
    <cellStyle name="Normal 3 2 3 5 4" xfId="6951"/>
    <cellStyle name="Normal 3 3 3 5 4" xfId="6952"/>
    <cellStyle name="Normal 3 4 3 5 4" xfId="6953"/>
    <cellStyle name="Normal 3 5 3 5 4" xfId="6954"/>
    <cellStyle name="Normal 3 2 2 2 5 4" xfId="6955"/>
    <cellStyle name="Normal 3 3 2 2 5 4" xfId="6956"/>
    <cellStyle name="Normal 3 4 2 2 5 4" xfId="6957"/>
    <cellStyle name="Normal 3 5 2 2 5 4" xfId="6958"/>
    <cellStyle name="Normal 5 2 5 4" xfId="6959"/>
    <cellStyle name="Percent 3 2 5 4" xfId="6960"/>
    <cellStyle name="Note 2 2 5 4" xfId="6961"/>
    <cellStyle name="Normal 3 6 2 5 4" xfId="6962"/>
    <cellStyle name="Comma 2 3 5 5" xfId="6963"/>
    <cellStyle name="Comma 3 2 5 5" xfId="6964"/>
    <cellStyle name="Percent 4 2 5 4" xfId="6965"/>
    <cellStyle name="Normal 3 7 2 5 4" xfId="6966"/>
    <cellStyle name="Note 3 2 5 4" xfId="6967"/>
    <cellStyle name="20% - Accent1 2 2 5 4" xfId="6968"/>
    <cellStyle name="40% - Accent1 2 2 5 4" xfId="6969"/>
    <cellStyle name="60% - Accent1 2 2 5 4" xfId="6970"/>
    <cellStyle name="20% - Accent2 2 2 5 4" xfId="6971"/>
    <cellStyle name="40% - Accent2 2 2 5 4" xfId="6972"/>
    <cellStyle name="60% - Accent2 2 2 5 4" xfId="6973"/>
    <cellStyle name="20% - Accent3 2 2 5 4" xfId="6974"/>
    <cellStyle name="40% - Accent3 2 2 5 4" xfId="6975"/>
    <cellStyle name="60% - Accent3 2 2 5 4" xfId="6976"/>
    <cellStyle name="20% - Accent4 2 2 5 4" xfId="6977"/>
    <cellStyle name="40% - Accent4 2 2 5 4" xfId="6978"/>
    <cellStyle name="60% - Accent4 2 2 5 4" xfId="6979"/>
    <cellStyle name="20% - Accent5 2 2 5 4" xfId="6980"/>
    <cellStyle name="40% - Accent5 2 2 5 4" xfId="6981"/>
    <cellStyle name="60% - Accent5 2 2 5 4" xfId="6982"/>
    <cellStyle name="20% - Accent6 2 2 5 4" xfId="6983"/>
    <cellStyle name="40% - Accent6 2 2 5 4" xfId="6984"/>
    <cellStyle name="60% - Accent6 2 2 5 4" xfId="6985"/>
    <cellStyle name="Comma 2 2 2 5 5" xfId="6986"/>
    <cellStyle name="Comma 4 2 5 5" xfId="6987"/>
    <cellStyle name="Normal 3 8 2 5 4" xfId="6988"/>
    <cellStyle name="Normal 8 4 4" xfId="6989"/>
    <cellStyle name="Comma 6 4 5" xfId="6990"/>
    <cellStyle name="20% - Accent1 4 4 4" xfId="6991"/>
    <cellStyle name="40% - Accent1 4 4 4" xfId="6992"/>
    <cellStyle name="60% - Accent1 4 4 4" xfId="6993"/>
    <cellStyle name="20% - Accent2 4 4 4" xfId="6994"/>
    <cellStyle name="40% - Accent2 4 4 4" xfId="6995"/>
    <cellStyle name="60% - Accent2 4 4 4" xfId="6996"/>
    <cellStyle name="20% - Accent3 4 4 4" xfId="6997"/>
    <cellStyle name="40% - Accent3 4 4 4" xfId="6998"/>
    <cellStyle name="60% - Accent3 4 4 4" xfId="6999"/>
    <cellStyle name="20% - Accent4 4 4 4" xfId="7000"/>
    <cellStyle name="40% - Accent4 4 4 4" xfId="7001"/>
    <cellStyle name="60% - Accent4 4 4 4" xfId="7002"/>
    <cellStyle name="20% - Accent5 4 4 4" xfId="7003"/>
    <cellStyle name="40% - Accent5 4 4 4" xfId="7004"/>
    <cellStyle name="60% - Accent5 4 4 4" xfId="7005"/>
    <cellStyle name="20% - Accent6 4 4 4" xfId="7006"/>
    <cellStyle name="40% - Accent6 4 4 4" xfId="7007"/>
    <cellStyle name="60% - Accent6 4 4 4" xfId="7008"/>
    <cellStyle name="Normal 3 2 4 4 4" xfId="7009"/>
    <cellStyle name="Normal 3 3 4 4 4" xfId="7010"/>
    <cellStyle name="Normal 3 4 4 4 4" xfId="7011"/>
    <cellStyle name="Normal 3 5 4 4 4" xfId="7012"/>
    <cellStyle name="Normal 3 2 2 3 4 4" xfId="7013"/>
    <cellStyle name="Normal 3 3 2 3 4 4" xfId="7014"/>
    <cellStyle name="Normal 3 4 2 3 4 4" xfId="7015"/>
    <cellStyle name="Normal 3 5 2 3 4 4" xfId="7016"/>
    <cellStyle name="Normal 5 3 4 4" xfId="7017"/>
    <cellStyle name="Percent 3 3 4 4" xfId="7018"/>
    <cellStyle name="Note 2 3 4 4" xfId="7019"/>
    <cellStyle name="Normal 3 6 3 4 4" xfId="7020"/>
    <cellStyle name="Comma 2 5 4 5" xfId="7021"/>
    <cellStyle name="Comma 3 4 4 5" xfId="7022"/>
    <cellStyle name="Percent 4 3 4 4" xfId="7023"/>
    <cellStyle name="Normal 3 7 3 4 4" xfId="7024"/>
    <cellStyle name="Note 3 3 4 4" xfId="7025"/>
    <cellStyle name="20% - Accent1 2 3 4 4" xfId="7026"/>
    <cellStyle name="40% - Accent1 2 3 4 4" xfId="7027"/>
    <cellStyle name="60% - Accent1 2 3 4 4" xfId="7028"/>
    <cellStyle name="20% - Accent2 2 3 4 4" xfId="7029"/>
    <cellStyle name="40% - Accent2 2 3 4 4" xfId="7030"/>
    <cellStyle name="60% - Accent2 2 3 4 4" xfId="7031"/>
    <cellStyle name="20% - Accent3 2 3 4 4" xfId="7032"/>
    <cellStyle name="40% - Accent3 2 3 4 4" xfId="7033"/>
    <cellStyle name="60% - Accent3 2 3 4 4" xfId="7034"/>
    <cellStyle name="20% - Accent4 2 3 4 4" xfId="7035"/>
    <cellStyle name="40% - Accent4 2 3 4 4" xfId="7036"/>
    <cellStyle name="60% - Accent4 2 3 4 4" xfId="7037"/>
    <cellStyle name="20% - Accent5 2 3 4 4" xfId="7038"/>
    <cellStyle name="40% - Accent5 2 3 4 4" xfId="7039"/>
    <cellStyle name="60% - Accent5 2 3 4 4" xfId="7040"/>
    <cellStyle name="20% - Accent6 2 3 4 4" xfId="7041"/>
    <cellStyle name="40% - Accent6 2 3 4 4" xfId="7042"/>
    <cellStyle name="60% - Accent6 2 3 4 4" xfId="7043"/>
    <cellStyle name="Comma 2 2 4 4 5" xfId="7044"/>
    <cellStyle name="Comma 4 4 4 5" xfId="7045"/>
    <cellStyle name="Normal 3 8 3 4 4" xfId="7046"/>
    <cellStyle name="Comma 2 4 4 5" xfId="7047"/>
    <cellStyle name="Comma 3 3 4 5" xfId="7048"/>
    <cellStyle name="Comma 2 2 3 4 5" xfId="7049"/>
    <cellStyle name="Comma 4 3 4 5" xfId="7050"/>
    <cellStyle name="Normal 7 2 4 4" xfId="7051"/>
    <cellStyle name="Comma 5 2 4 5" xfId="7052"/>
    <cellStyle name="20% - Accent1 3 2 4 4" xfId="7053"/>
    <cellStyle name="40% - Accent1 3 2 4 4" xfId="7054"/>
    <cellStyle name="60% - Accent1 3 2 4 4" xfId="7055"/>
    <cellStyle name="20% - Accent2 3 2 4 4" xfId="7056"/>
    <cellStyle name="40% - Accent2 3 2 4 4" xfId="7057"/>
    <cellStyle name="60% - Accent2 3 2 4 4" xfId="7058"/>
    <cellStyle name="20% - Accent3 3 2 4 4" xfId="7059"/>
    <cellStyle name="40% - Accent3 3 2 4 4" xfId="7060"/>
    <cellStyle name="60% - Accent3 3 2 4 4" xfId="7061"/>
    <cellStyle name="20% - Accent4 3 2 4 4" xfId="7062"/>
    <cellStyle name="40% - Accent4 3 2 4 4" xfId="7063"/>
    <cellStyle name="60% - Accent4 3 2 4 4" xfId="7064"/>
    <cellStyle name="20% - Accent5 3 2 4 4" xfId="7065"/>
    <cellStyle name="40% - Accent5 3 2 4 4" xfId="7066"/>
    <cellStyle name="60% - Accent5 3 2 4 4" xfId="7067"/>
    <cellStyle name="20% - Accent6 3 2 4 4" xfId="7068"/>
    <cellStyle name="40% - Accent6 3 2 4 4" xfId="7069"/>
    <cellStyle name="60% - Accent6 3 2 4 4" xfId="7070"/>
    <cellStyle name="Normal 3 2 3 2 4 4" xfId="7071"/>
    <cellStyle name="Normal 3 3 3 2 4 4" xfId="7072"/>
    <cellStyle name="Normal 3 4 3 2 4 4" xfId="7073"/>
    <cellStyle name="Normal 3 5 3 2 4 4" xfId="7074"/>
    <cellStyle name="Normal 3 2 2 2 2 4 4" xfId="7075"/>
    <cellStyle name="Normal 3 3 2 2 2 4 4" xfId="7076"/>
    <cellStyle name="Normal 3 4 2 2 2 4 4" xfId="7077"/>
    <cellStyle name="Normal 3 5 2 2 2 4 4" xfId="7078"/>
    <cellStyle name="Normal 5 2 2 4 4" xfId="7079"/>
    <cellStyle name="Percent 3 2 2 4 4" xfId="7080"/>
    <cellStyle name="Note 2 2 2 4 4" xfId="7081"/>
    <cellStyle name="Normal 3 6 2 2 4 4" xfId="7082"/>
    <cellStyle name="Comma 2 3 2 4 5" xfId="7083"/>
    <cellStyle name="Comma 3 2 2 4 5" xfId="7084"/>
    <cellStyle name="Percent 4 2 2 4 4" xfId="7085"/>
    <cellStyle name="Normal 3 7 2 2 4 4" xfId="7086"/>
    <cellStyle name="Note 3 2 2 4 4" xfId="7087"/>
    <cellStyle name="20% - Accent1 2 2 2 4 4" xfId="7088"/>
    <cellStyle name="40% - Accent1 2 2 2 4 4" xfId="7089"/>
    <cellStyle name="60% - Accent1 2 2 2 4 4" xfId="7090"/>
    <cellStyle name="20% - Accent2 2 2 2 4 4" xfId="7091"/>
    <cellStyle name="40% - Accent2 2 2 2 4 4" xfId="7092"/>
    <cellStyle name="60% - Accent2 2 2 2 4 4" xfId="7093"/>
    <cellStyle name="20% - Accent3 2 2 2 4 4" xfId="7094"/>
    <cellStyle name="40% - Accent3 2 2 2 4 4" xfId="7095"/>
    <cellStyle name="60% - Accent3 2 2 2 4 4" xfId="7096"/>
    <cellStyle name="20% - Accent4 2 2 2 4 4" xfId="7097"/>
    <cellStyle name="40% - Accent4 2 2 2 4 4" xfId="7098"/>
    <cellStyle name="60% - Accent4 2 2 2 4 4" xfId="7099"/>
    <cellStyle name="20% - Accent5 2 2 2 4 4" xfId="7100"/>
    <cellStyle name="40% - Accent5 2 2 2 4 4" xfId="7101"/>
    <cellStyle name="60% - Accent5 2 2 2 4 4" xfId="7102"/>
    <cellStyle name="20% - Accent6 2 2 2 4 4" xfId="7103"/>
    <cellStyle name="40% - Accent6 2 2 2 4 4" xfId="7104"/>
    <cellStyle name="60% - Accent6 2 2 2 4 4" xfId="7105"/>
    <cellStyle name="Comma 2 2 2 2 4 5" xfId="7106"/>
    <cellStyle name="Comma 4 2 2 4 5" xfId="7107"/>
    <cellStyle name="Normal 3 8 2 2 4 4" xfId="7108"/>
    <cellStyle name="Normal 3 10 4 4" xfId="7109"/>
    <cellStyle name="Normal 3 11 4 4" xfId="7110"/>
    <cellStyle name="Normal 12 4" xfId="7111"/>
    <cellStyle name="Percent 8 4" xfId="7112"/>
    <cellStyle name="Note 4 4" xfId="7113"/>
    <cellStyle name="20% - Accent1 8 4" xfId="7114"/>
    <cellStyle name="40% - Accent1 8 4" xfId="7115"/>
    <cellStyle name="60% - Accent1 8 4" xfId="7116"/>
    <cellStyle name="20% - Accent2 8 4" xfId="7117"/>
    <cellStyle name="40% - Accent2 8 4" xfId="7118"/>
    <cellStyle name="60% - Accent2 8 4" xfId="7119"/>
    <cellStyle name="20% - Accent3 8 4" xfId="7120"/>
    <cellStyle name="40% - Accent3 8 4" xfId="7121"/>
    <cellStyle name="60% - Accent3 8 4" xfId="7122"/>
    <cellStyle name="20% - Accent4 8 4" xfId="7123"/>
    <cellStyle name="40% - Accent4 8 4" xfId="7124"/>
    <cellStyle name="60% - Accent4 8 4" xfId="7125"/>
    <cellStyle name="20% - Accent5 8 4" xfId="7126"/>
    <cellStyle name="40% - Accent5 8 4" xfId="7127"/>
    <cellStyle name="60% - Accent5 8 4" xfId="7128"/>
    <cellStyle name="20% - Accent6 8 4" xfId="7129"/>
    <cellStyle name="40% - Accent6 8 4" xfId="7130"/>
    <cellStyle name="60% - Accent6 8 4" xfId="7131"/>
    <cellStyle name="Comma 2 9 5" xfId="7132"/>
    <cellStyle name="Comma 7 5" xfId="7133"/>
    <cellStyle name="Normal 13 6" xfId="7134"/>
    <cellStyle name="Comma 8 4" xfId="7135"/>
    <cellStyle name="20% - Accent1 9 4" xfId="7136"/>
    <cellStyle name="40% - Accent1 9 4" xfId="7137"/>
    <cellStyle name="60% - Accent1 9 4" xfId="7138"/>
    <cellStyle name="20% - Accent2 9 4" xfId="7139"/>
    <cellStyle name="40% - Accent2 9 4" xfId="7140"/>
    <cellStyle name="60% - Accent2 9 4" xfId="7141"/>
    <cellStyle name="20% - Accent3 9 4" xfId="7142"/>
    <cellStyle name="40% - Accent3 9 4" xfId="7143"/>
    <cellStyle name="60% - Accent3 9 4" xfId="7144"/>
    <cellStyle name="20% - Accent4 9 4" xfId="7145"/>
    <cellStyle name="40% - Accent4 9 4" xfId="7146"/>
    <cellStyle name="60% - Accent4 9 4" xfId="7147"/>
    <cellStyle name="20% - Accent5 9 4" xfId="7148"/>
    <cellStyle name="40% - Accent5 9 4" xfId="7149"/>
    <cellStyle name="60% - Accent5 9 4" xfId="7150"/>
    <cellStyle name="20% - Accent6 9 4" xfId="7151"/>
    <cellStyle name="40% - Accent6 9 4" xfId="7152"/>
    <cellStyle name="60% - Accent6 9 4" xfId="7153"/>
    <cellStyle name="Normal 3 2 8 4" xfId="7154"/>
    <cellStyle name="Normal 3 3 8 4" xfId="7155"/>
    <cellStyle name="Normal 3 4 8 4" xfId="7156"/>
    <cellStyle name="Normal 3 5 8 4" xfId="7157"/>
    <cellStyle name="Normal 3 2 2 7 4" xfId="7158"/>
    <cellStyle name="Normal 3 3 2 7 4" xfId="7159"/>
    <cellStyle name="Normal 3 4 2 7 4" xfId="7160"/>
    <cellStyle name="Normal 3 5 2 7 4" xfId="7161"/>
    <cellStyle name="Normal 5 7 4" xfId="7162"/>
    <cellStyle name="Percent 3 7 4" xfId="7163"/>
    <cellStyle name="Note 2 7 4" xfId="7164"/>
    <cellStyle name="Normal 3 6 7 4" xfId="7165"/>
    <cellStyle name="Comma 2 10 4" xfId="7166"/>
    <cellStyle name="Comma 3 9 4" xfId="7167"/>
    <cellStyle name="Percent 4 7 4" xfId="7168"/>
    <cellStyle name="Normal 3 7 7 4" xfId="7169"/>
    <cellStyle name="Note 3 7 4" xfId="7170"/>
    <cellStyle name="20% - Accent1 2 7 4" xfId="7171"/>
    <cellStyle name="40% - Accent1 2 7 4" xfId="7172"/>
    <cellStyle name="60% - Accent1 2 7 4" xfId="7173"/>
    <cellStyle name="20% - Accent2 2 7 4" xfId="7174"/>
    <cellStyle name="40% - Accent2 2 7 4" xfId="7175"/>
    <cellStyle name="60% - Accent2 2 7 4" xfId="7176"/>
    <cellStyle name="20% - Accent3 2 7 4" xfId="7177"/>
    <cellStyle name="40% - Accent3 2 7 4" xfId="7178"/>
    <cellStyle name="60% - Accent3 2 7 4" xfId="7179"/>
    <cellStyle name="20% - Accent4 2 7 4" xfId="7180"/>
    <cellStyle name="40% - Accent4 2 7 4" xfId="7181"/>
    <cellStyle name="60% - Accent4 2 7 4" xfId="7182"/>
    <cellStyle name="20% - Accent5 2 7 4" xfId="7183"/>
    <cellStyle name="40% - Accent5 2 7 4" xfId="7184"/>
    <cellStyle name="60% - Accent5 2 7 4" xfId="7185"/>
    <cellStyle name="20% - Accent6 2 7 4" xfId="7186"/>
    <cellStyle name="40% - Accent6 2 7 4" xfId="7187"/>
    <cellStyle name="60% - Accent6 2 7 4" xfId="7188"/>
    <cellStyle name="Comma 2 2 8 4" xfId="7189"/>
    <cellStyle name="Comma 4 8 4" xfId="7190"/>
    <cellStyle name="Normal 3 8 7 4" xfId="7191"/>
    <cellStyle name="Comma 2 4 5 4" xfId="7192"/>
    <cellStyle name="Comma 3 3 5 4" xfId="7193"/>
    <cellStyle name="Comma 2 2 3 5 4" xfId="7194"/>
    <cellStyle name="Comma 4 3 5 4" xfId="7195"/>
    <cellStyle name="Normal 7 6 4" xfId="7196"/>
    <cellStyle name="Comma 5 6 4" xfId="7197"/>
    <cellStyle name="20% - Accent1 3 6 4" xfId="7198"/>
    <cellStyle name="40% - Accent1 3 6 4" xfId="7199"/>
    <cellStyle name="60% - Accent1 3 6 4" xfId="7200"/>
    <cellStyle name="20% - Accent2 3 6 4" xfId="7201"/>
    <cellStyle name="40% - Accent2 3 6 4" xfId="7202"/>
    <cellStyle name="60% - Accent2 3 6 4" xfId="7203"/>
    <cellStyle name="20% - Accent3 3 6 4" xfId="7204"/>
    <cellStyle name="40% - Accent3 3 6 4" xfId="7205"/>
    <cellStyle name="60% - Accent3 3 6 4" xfId="7206"/>
    <cellStyle name="20% - Accent4 3 6 4" xfId="7207"/>
    <cellStyle name="40% - Accent4 3 6 4" xfId="7208"/>
    <cellStyle name="60% - Accent4 3 6 4" xfId="7209"/>
    <cellStyle name="20% - Accent5 3 6 4" xfId="7210"/>
    <cellStyle name="40% - Accent5 3 6 4" xfId="7211"/>
    <cellStyle name="60% - Accent5 3 6 4" xfId="7212"/>
    <cellStyle name="20% - Accent6 3 6 4" xfId="7213"/>
    <cellStyle name="40% - Accent6 3 6 4" xfId="7214"/>
    <cellStyle name="60% - Accent6 3 6 4" xfId="7215"/>
    <cellStyle name="Normal 3 2 3 6 4" xfId="7216"/>
    <cellStyle name="Normal 3 3 3 6 4" xfId="7217"/>
    <cellStyle name="Normal 3 4 3 6 4" xfId="7218"/>
    <cellStyle name="Normal 3 5 3 6 4" xfId="7219"/>
    <cellStyle name="Normal 3 2 2 2 6 4" xfId="7220"/>
    <cellStyle name="Normal 3 3 2 2 6 4" xfId="7221"/>
    <cellStyle name="Normal 3 4 2 2 6 4" xfId="7222"/>
    <cellStyle name="Normal 3 5 2 2 6 4" xfId="7223"/>
    <cellStyle name="Normal 5 2 6 4" xfId="7224"/>
    <cellStyle name="Percent 3 2 6 4" xfId="7225"/>
    <cellStyle name="Note 2 2 6 4" xfId="7226"/>
    <cellStyle name="Normal 3 6 2 6 4" xfId="7227"/>
    <cellStyle name="Comma 2 3 6 4" xfId="7228"/>
    <cellStyle name="Comma 3 2 6 4" xfId="7229"/>
    <cellStyle name="Percent 4 2 6 4" xfId="7230"/>
    <cellStyle name="Normal 3 7 2 6 4" xfId="7231"/>
    <cellStyle name="Note 3 2 6 4" xfId="7232"/>
    <cellStyle name="20% - Accent1 2 2 6 4" xfId="7233"/>
    <cellStyle name="40% - Accent1 2 2 6 4" xfId="7234"/>
    <cellStyle name="60% - Accent1 2 2 6 4" xfId="7235"/>
    <cellStyle name="20% - Accent2 2 2 6 4" xfId="7236"/>
    <cellStyle name="40% - Accent2 2 2 6 4" xfId="7237"/>
    <cellStyle name="60% - Accent2 2 2 6 4" xfId="7238"/>
    <cellStyle name="20% - Accent3 2 2 6 4" xfId="7239"/>
    <cellStyle name="40% - Accent3 2 2 6 4" xfId="7240"/>
    <cellStyle name="60% - Accent3 2 2 6 4" xfId="7241"/>
    <cellStyle name="20% - Accent4 2 2 6 4" xfId="7242"/>
    <cellStyle name="40% - Accent4 2 2 6 4" xfId="7243"/>
    <cellStyle name="60% - Accent4 2 2 6 4" xfId="7244"/>
    <cellStyle name="20% - Accent5 2 2 6 4" xfId="7245"/>
    <cellStyle name="40% - Accent5 2 2 6 4" xfId="7246"/>
    <cellStyle name="60% - Accent5 2 2 6 4" xfId="7247"/>
    <cellStyle name="20% - Accent6 2 2 6 4" xfId="7248"/>
    <cellStyle name="40% - Accent6 2 2 6 4" xfId="7249"/>
    <cellStyle name="60% - Accent6 2 2 6 4" xfId="7250"/>
    <cellStyle name="Comma 2 2 2 6 4" xfId="7251"/>
    <cellStyle name="Comma 4 2 6 4" xfId="7252"/>
    <cellStyle name="Normal 3 8 2 6 4" xfId="7253"/>
    <cellStyle name="20% - Accent1 10 3" xfId="7254"/>
    <cellStyle name="40% - Accent1 10 3" xfId="7255"/>
    <cellStyle name="60% - Accent1 10 3" xfId="7256"/>
    <cellStyle name="20% - Accent2 10 3" xfId="7257"/>
    <cellStyle name="40% - Accent2 10 3" xfId="7258"/>
    <cellStyle name="60% - Accent2 10 3" xfId="7259"/>
    <cellStyle name="20% - Accent3 10 3" xfId="7260"/>
    <cellStyle name="40% - Accent3 10 3" xfId="7261"/>
    <cellStyle name="60% - Accent3 10 3" xfId="7262"/>
    <cellStyle name="20% - Accent4 10 3" xfId="7263"/>
    <cellStyle name="40% - Accent4 10 3" xfId="7264"/>
    <cellStyle name="60% - Accent4 10 3" xfId="7265"/>
    <cellStyle name="20% - Accent5 10 3" xfId="7266"/>
    <cellStyle name="40% - Accent5 10 3" xfId="7267"/>
    <cellStyle name="60% - Accent5 10 3" xfId="7268"/>
    <cellStyle name="20% - Accent6 10 3" xfId="7269"/>
    <cellStyle name="40% - Accent6 10 3" xfId="7270"/>
    <cellStyle name="60% - Accent6 10 3" xfId="7271"/>
    <cellStyle name="Normal 3 2 9 3" xfId="7272"/>
    <cellStyle name="Normal 3 3 9 3" xfId="7273"/>
    <cellStyle name="Normal 3 4 9 3" xfId="7274"/>
    <cellStyle name="Normal 3 5 9 3" xfId="7275"/>
    <cellStyle name="Normal 3 2 2 8 3" xfId="7276"/>
    <cellStyle name="Normal 3 3 2 8 3" xfId="7277"/>
    <cellStyle name="Normal 3 4 2 8 3" xfId="7278"/>
    <cellStyle name="Normal 3 5 2 8 3" xfId="7279"/>
    <cellStyle name="Normal 5 8 3" xfId="7280"/>
    <cellStyle name="Percent 3 8 3" xfId="7281"/>
    <cellStyle name="Note 2 8 3" xfId="7282"/>
    <cellStyle name="Normal 3 6 8 3" xfId="7283"/>
    <cellStyle name="Comma 2 12 3" xfId="7284"/>
    <cellStyle name="Comma 3 11 3" xfId="7285"/>
    <cellStyle name="Percent 4 8 3" xfId="7286"/>
    <cellStyle name="Normal 3 7 8 3" xfId="7287"/>
    <cellStyle name="Note 3 8 3" xfId="7288"/>
    <cellStyle name="20% - Accent1 2 8 3" xfId="7289"/>
    <cellStyle name="40% - Accent1 2 8 3" xfId="7290"/>
    <cellStyle name="60% - Accent1 2 8 3" xfId="7291"/>
    <cellStyle name="20% - Accent2 2 8 3" xfId="7292"/>
    <cellStyle name="40% - Accent2 2 8 3" xfId="7293"/>
    <cellStyle name="60% - Accent2 2 8 3" xfId="7294"/>
    <cellStyle name="20% - Accent3 2 8 3" xfId="7295"/>
    <cellStyle name="40% - Accent3 2 8 3" xfId="7296"/>
    <cellStyle name="60% - Accent3 2 8 3" xfId="7297"/>
    <cellStyle name="20% - Accent4 2 8 3" xfId="7298"/>
    <cellStyle name="40% - Accent4 2 8 3" xfId="7299"/>
    <cellStyle name="60% - Accent4 2 8 3" xfId="7300"/>
    <cellStyle name="20% - Accent5 2 8 3" xfId="7301"/>
    <cellStyle name="40% - Accent5 2 8 3" xfId="7302"/>
    <cellStyle name="60% - Accent5 2 8 3" xfId="7303"/>
    <cellStyle name="20% - Accent6 2 8 3" xfId="7304"/>
    <cellStyle name="40% - Accent6 2 8 3" xfId="7305"/>
    <cellStyle name="60% - Accent6 2 8 3" xfId="7306"/>
    <cellStyle name="Comma 2 2 10 3" xfId="7307"/>
    <cellStyle name="Comma 4 10 3" xfId="7308"/>
    <cellStyle name="Normal 3 8 8 3" xfId="7309"/>
    <cellStyle name="Normal 7 7 3" xfId="7310"/>
    <cellStyle name="Comma 5 8 3" xfId="7311"/>
    <cellStyle name="20% - Accent1 3 7 3" xfId="7312"/>
    <cellStyle name="40% - Accent1 3 7 3" xfId="7313"/>
    <cellStyle name="60% - Accent1 3 7 3" xfId="7314"/>
    <cellStyle name="20% - Accent2 3 7 3" xfId="7315"/>
    <cellStyle name="40% - Accent2 3 7 3" xfId="7316"/>
    <cellStyle name="60% - Accent2 3 7 3" xfId="7317"/>
    <cellStyle name="20% - Accent3 3 7 3" xfId="7318"/>
    <cellStyle name="40% - Accent3 3 7 3" xfId="7319"/>
    <cellStyle name="60% - Accent3 3 7 3" xfId="7320"/>
    <cellStyle name="20% - Accent4 3 7 3" xfId="7321"/>
    <cellStyle name="40% - Accent4 3 7 3" xfId="7322"/>
    <cellStyle name="60% - Accent4 3 7 3" xfId="7323"/>
    <cellStyle name="20% - Accent5 3 7 3" xfId="7324"/>
    <cellStyle name="40% - Accent5 3 7 3" xfId="7325"/>
    <cellStyle name="60% - Accent5 3 7 3" xfId="7326"/>
    <cellStyle name="20% - Accent6 3 7 3" xfId="7327"/>
    <cellStyle name="40% - Accent6 3 7 3" xfId="7328"/>
    <cellStyle name="60% - Accent6 3 7 3" xfId="7329"/>
    <cellStyle name="Normal 3 2 3 7 3" xfId="7330"/>
    <cellStyle name="Normal 3 3 3 7 3" xfId="7331"/>
    <cellStyle name="Normal 3 4 3 7 3" xfId="7332"/>
    <cellStyle name="Normal 3 5 3 7 3" xfId="7333"/>
    <cellStyle name="Normal 3 2 2 2 7 3" xfId="7334"/>
    <cellStyle name="Normal 3 3 2 2 7 3" xfId="7335"/>
    <cellStyle name="Normal 3 4 2 2 7 3" xfId="7336"/>
    <cellStyle name="Normal 3 5 2 2 7 3" xfId="7337"/>
    <cellStyle name="Normal 5 2 7 3" xfId="7338"/>
    <cellStyle name="Percent 3 2 7 3" xfId="7339"/>
    <cellStyle name="Note 2 2 7 3" xfId="7340"/>
    <cellStyle name="Normal 3 6 2 7 3" xfId="7341"/>
    <cellStyle name="Comma 2 3 8 3" xfId="7342"/>
    <cellStyle name="Comma 3 2 8 3" xfId="7343"/>
    <cellStyle name="Percent 4 2 7 3" xfId="7344"/>
    <cellStyle name="Normal 3 7 2 7 3" xfId="7345"/>
    <cellStyle name="Note 3 2 7 3" xfId="7346"/>
    <cellStyle name="20% - Accent1 2 2 7 3" xfId="7347"/>
    <cellStyle name="40% - Accent1 2 2 7 3" xfId="7348"/>
    <cellStyle name="60% - Accent1 2 2 7 3" xfId="7349"/>
    <cellStyle name="20% - Accent2 2 2 7 3" xfId="7350"/>
    <cellStyle name="40% - Accent2 2 2 7 3" xfId="7351"/>
    <cellStyle name="60% - Accent2 2 2 7 3" xfId="7352"/>
    <cellStyle name="20% - Accent3 2 2 7 3" xfId="7353"/>
    <cellStyle name="40% - Accent3 2 2 7 3" xfId="7354"/>
    <cellStyle name="60% - Accent3 2 2 7 3" xfId="7355"/>
    <cellStyle name="20% - Accent4 2 2 7 3" xfId="7356"/>
    <cellStyle name="40% - Accent4 2 2 7 3" xfId="7357"/>
    <cellStyle name="60% - Accent4 2 2 7 3" xfId="7358"/>
    <cellStyle name="20% - Accent5 2 2 7 3" xfId="7359"/>
    <cellStyle name="40% - Accent5 2 2 7 3" xfId="7360"/>
    <cellStyle name="60% - Accent5 2 2 7 3" xfId="7361"/>
    <cellStyle name="20% - Accent6 2 2 7 3" xfId="7362"/>
    <cellStyle name="40% - Accent6 2 2 7 3" xfId="7363"/>
    <cellStyle name="60% - Accent6 2 2 7 3" xfId="7364"/>
    <cellStyle name="Comma 2 2 2 8 3" xfId="7365"/>
    <cellStyle name="Comma 4 2 8 3" xfId="7366"/>
    <cellStyle name="Normal 3 8 2 7 3" xfId="7367"/>
    <cellStyle name="Normal 8 5 3" xfId="7368"/>
    <cellStyle name="Comma 6 6 3" xfId="7369"/>
    <cellStyle name="20% - Accent1 4 5 3" xfId="7370"/>
    <cellStyle name="40% - Accent1 4 5 3" xfId="7371"/>
    <cellStyle name="60% - Accent1 4 5 3" xfId="7372"/>
    <cellStyle name="20% - Accent2 4 5 3" xfId="7373"/>
    <cellStyle name="40% - Accent2 4 5 3" xfId="7374"/>
    <cellStyle name="60% - Accent2 4 5 3" xfId="7375"/>
    <cellStyle name="20% - Accent3 4 5 3" xfId="7376"/>
    <cellStyle name="40% - Accent3 4 5 3" xfId="7377"/>
    <cellStyle name="60% - Accent3 4 5 3" xfId="7378"/>
    <cellStyle name="20% - Accent4 4 5 3" xfId="7379"/>
    <cellStyle name="40% - Accent4 4 5 3" xfId="7380"/>
    <cellStyle name="60% - Accent4 4 5 3" xfId="7381"/>
    <cellStyle name="20% - Accent5 4 5 3" xfId="7382"/>
    <cellStyle name="40% - Accent5 4 5 3" xfId="7383"/>
    <cellStyle name="60% - Accent5 4 5 3" xfId="7384"/>
    <cellStyle name="20% - Accent6 4 5 3" xfId="7385"/>
    <cellStyle name="40% - Accent6 4 5 3" xfId="7386"/>
    <cellStyle name="60% - Accent6 4 5 3" xfId="7387"/>
    <cellStyle name="Normal 3 2 4 5 3" xfId="7388"/>
    <cellStyle name="Normal 3 3 4 5 3" xfId="7389"/>
    <cellStyle name="Normal 3 4 4 5 3" xfId="7390"/>
    <cellStyle name="Normal 3 5 4 5 3" xfId="7391"/>
    <cellStyle name="Normal 3 2 2 3 5 3" xfId="7392"/>
    <cellStyle name="Normal 3 3 2 3 5 3" xfId="7393"/>
    <cellStyle name="Normal 3 4 2 3 5 3" xfId="7394"/>
    <cellStyle name="Normal 3 5 2 3 5 3" xfId="7395"/>
    <cellStyle name="Normal 5 3 5 3" xfId="7396"/>
    <cellStyle name="Percent 3 3 5 3" xfId="7397"/>
    <cellStyle name="Note 2 3 5 3" xfId="7398"/>
    <cellStyle name="Normal 3 6 3 5 3" xfId="7399"/>
    <cellStyle name="Comma 2 5 6 3" xfId="7400"/>
    <cellStyle name="Comma 3 4 6 3" xfId="7401"/>
    <cellStyle name="Percent 4 3 5 3" xfId="7402"/>
    <cellStyle name="Normal 3 7 3 5 3" xfId="7403"/>
    <cellStyle name="Note 3 3 5 3" xfId="7404"/>
    <cellStyle name="20% - Accent1 2 3 5 3" xfId="7405"/>
    <cellStyle name="40% - Accent1 2 3 5 3" xfId="7406"/>
    <cellStyle name="60% - Accent1 2 3 5 3" xfId="7407"/>
    <cellStyle name="20% - Accent2 2 3 5 3" xfId="7408"/>
    <cellStyle name="40% - Accent2 2 3 5 3" xfId="7409"/>
    <cellStyle name="60% - Accent2 2 3 5 3" xfId="7410"/>
    <cellStyle name="20% - Accent3 2 3 5 3" xfId="7411"/>
    <cellStyle name="40% - Accent3 2 3 5 3" xfId="7412"/>
    <cellStyle name="60% - Accent3 2 3 5 3" xfId="7413"/>
    <cellStyle name="20% - Accent4 2 3 5 3" xfId="7414"/>
    <cellStyle name="40% - Accent4 2 3 5 3" xfId="7415"/>
    <cellStyle name="60% - Accent4 2 3 5 3" xfId="7416"/>
    <cellStyle name="20% - Accent5 2 3 5 3" xfId="7417"/>
    <cellStyle name="40% - Accent5 2 3 5 3" xfId="7418"/>
    <cellStyle name="60% - Accent5 2 3 5 3" xfId="7419"/>
    <cellStyle name="20% - Accent6 2 3 5 3" xfId="7420"/>
    <cellStyle name="40% - Accent6 2 3 5 3" xfId="7421"/>
    <cellStyle name="60% - Accent6 2 3 5 3" xfId="7422"/>
    <cellStyle name="Comma 2 2 4 6 3" xfId="7423"/>
    <cellStyle name="Comma 4 4 6 3" xfId="7424"/>
    <cellStyle name="Normal 3 8 3 5 3" xfId="7425"/>
    <cellStyle name="Comma 2 4 7 3" xfId="7426"/>
    <cellStyle name="Comma 3 3 7 3" xfId="7427"/>
    <cellStyle name="Comma 2 2 3 7 3" xfId="7428"/>
    <cellStyle name="Comma 4 3 7 3" xfId="7429"/>
    <cellStyle name="Normal 7 2 5 3" xfId="7430"/>
    <cellStyle name="Comma 5 2 6 3" xfId="7431"/>
    <cellStyle name="20% - Accent1 3 2 5 3" xfId="7432"/>
    <cellStyle name="40% - Accent1 3 2 5 3" xfId="7433"/>
    <cellStyle name="60% - Accent1 3 2 5 3" xfId="7434"/>
    <cellStyle name="20% - Accent2 3 2 5 3" xfId="7435"/>
    <cellStyle name="40% - Accent2 3 2 5 3" xfId="7436"/>
    <cellStyle name="60% - Accent2 3 2 5 3" xfId="7437"/>
    <cellStyle name="20% - Accent3 3 2 5 3" xfId="7438"/>
    <cellStyle name="40% - Accent3 3 2 5 3" xfId="7439"/>
    <cellStyle name="60% - Accent3 3 2 5 3" xfId="7440"/>
    <cellStyle name="20% - Accent4 3 2 5 3" xfId="7441"/>
    <cellStyle name="40% - Accent4 3 2 5 3" xfId="7442"/>
    <cellStyle name="60% - Accent4 3 2 5 3" xfId="7443"/>
    <cellStyle name="20% - Accent5 3 2 5 3" xfId="7444"/>
    <cellStyle name="40% - Accent5 3 2 5 3" xfId="7445"/>
    <cellStyle name="60% - Accent5 3 2 5 3" xfId="7446"/>
    <cellStyle name="20% - Accent6 3 2 5 3" xfId="7447"/>
    <cellStyle name="40% - Accent6 3 2 5 3" xfId="7448"/>
    <cellStyle name="60% - Accent6 3 2 5 3" xfId="7449"/>
    <cellStyle name="Normal 3 2 3 2 5 3" xfId="7450"/>
    <cellStyle name="Normal 3 3 3 2 5 3" xfId="7451"/>
    <cellStyle name="Normal 3 4 3 2 5 3" xfId="7452"/>
    <cellStyle name="Normal 3 5 3 2 5 3" xfId="7453"/>
    <cellStyle name="Normal 3 2 2 2 2 5 3" xfId="7454"/>
    <cellStyle name="Normal 3 3 2 2 2 5 3" xfId="7455"/>
    <cellStyle name="Normal 3 4 2 2 2 5 3" xfId="7456"/>
    <cellStyle name="Normal 3 5 2 2 2 5 3" xfId="7457"/>
    <cellStyle name="Normal 5 2 2 5 3" xfId="7458"/>
    <cellStyle name="Percent 3 2 2 5 3" xfId="7459"/>
    <cellStyle name="Note 2 2 2 5 3" xfId="7460"/>
    <cellStyle name="Normal 3 6 2 2 5 3" xfId="7461"/>
    <cellStyle name="Comma 2 3 2 6 3" xfId="7462"/>
    <cellStyle name="Comma 3 2 2 6 3" xfId="7463"/>
    <cellStyle name="Percent 4 2 2 5 3" xfId="7464"/>
    <cellStyle name="Normal 3 7 2 2 5 3" xfId="7465"/>
    <cellStyle name="Note 3 2 2 5 3" xfId="7466"/>
    <cellStyle name="20% - Accent1 2 2 2 5 3" xfId="7467"/>
    <cellStyle name="40% - Accent1 2 2 2 5 3" xfId="7468"/>
    <cellStyle name="60% - Accent1 2 2 2 5 3" xfId="7469"/>
    <cellStyle name="20% - Accent2 2 2 2 5 3" xfId="7470"/>
    <cellStyle name="40% - Accent2 2 2 2 5 3" xfId="7471"/>
    <cellStyle name="60% - Accent2 2 2 2 5 3" xfId="7472"/>
    <cellStyle name="20% - Accent3 2 2 2 5 3" xfId="7473"/>
    <cellStyle name="40% - Accent3 2 2 2 5 3" xfId="7474"/>
    <cellStyle name="60% - Accent3 2 2 2 5 3" xfId="7475"/>
    <cellStyle name="20% - Accent4 2 2 2 5 3" xfId="7476"/>
    <cellStyle name="40% - Accent4 2 2 2 5 3" xfId="7477"/>
    <cellStyle name="60% - Accent4 2 2 2 5 3" xfId="7478"/>
    <cellStyle name="20% - Accent5 2 2 2 5 3" xfId="7479"/>
    <cellStyle name="40% - Accent5 2 2 2 5 3" xfId="7480"/>
    <cellStyle name="60% - Accent5 2 2 2 5 3" xfId="7481"/>
    <cellStyle name="20% - Accent6 2 2 2 5 3" xfId="7482"/>
    <cellStyle name="40% - Accent6 2 2 2 5 3" xfId="7483"/>
    <cellStyle name="60% - Accent6 2 2 2 5 3" xfId="7484"/>
    <cellStyle name="Comma 2 2 2 2 6 3" xfId="7485"/>
    <cellStyle name="Comma 4 2 2 6 3" xfId="7486"/>
    <cellStyle name="Normal 3 8 2 2 5 3" xfId="7487"/>
    <cellStyle name="Normal 3 10 5 3" xfId="7488"/>
    <cellStyle name="Normal 3 11 5 3" xfId="7489"/>
    <cellStyle name="Normal 3 12 3 3" xfId="7490"/>
    <cellStyle name="Normal 3 2 5 3 3" xfId="7491"/>
    <cellStyle name="Normal 3 3 5 3 3" xfId="7492"/>
    <cellStyle name="Normal 3 4 5 3 3" xfId="7493"/>
    <cellStyle name="Normal 3 5 5 3 3" xfId="7494"/>
    <cellStyle name="20% - Accent1 5 3 3" xfId="7495"/>
    <cellStyle name="40% - Accent1 5 3 3" xfId="7496"/>
    <cellStyle name="60% - Accent1 5 3 3" xfId="7497"/>
    <cellStyle name="20% - Accent2 5 3 3" xfId="7498"/>
    <cellStyle name="40% - Accent2 5 3 3" xfId="7499"/>
    <cellStyle name="60% - Accent2 5 3 3" xfId="7500"/>
    <cellStyle name="20% - Accent3 5 3 3" xfId="7501"/>
    <cellStyle name="40% - Accent3 5 3 3" xfId="7502"/>
    <cellStyle name="60% - Accent3 5 3 3" xfId="7503"/>
    <cellStyle name="20% - Accent4 5 3 3" xfId="7504"/>
    <cellStyle name="40% - Accent4 5 3 3" xfId="7505"/>
    <cellStyle name="60% - Accent4 5 3 3" xfId="7506"/>
    <cellStyle name="20% - Accent5 5 3 3" xfId="7507"/>
    <cellStyle name="40% - Accent5 5 3 3" xfId="7508"/>
    <cellStyle name="60% - Accent5 5 3 3" xfId="7509"/>
    <cellStyle name="20% - Accent6 5 3 3" xfId="7510"/>
    <cellStyle name="40% - Accent6 5 3 3" xfId="7511"/>
    <cellStyle name="60% - Accent6 5 3 3" xfId="7512"/>
    <cellStyle name="Normal 3 2 2 4 3 3" xfId="7513"/>
    <cellStyle name="Normal 3 3 2 4 3 3" xfId="7514"/>
    <cellStyle name="Normal 3 4 2 4 3 3" xfId="7515"/>
    <cellStyle name="Normal 3 5 2 4 3 3" xfId="7516"/>
    <cellStyle name="Normal 5 4 3 3" xfId="7517"/>
    <cellStyle name="Percent 3 4 3 3" xfId="7518"/>
    <cellStyle name="Note 2 4 3 3" xfId="7519"/>
    <cellStyle name="Normal 3 6 4 3 3" xfId="7520"/>
    <cellStyle name="Comma 2 6 4 3" xfId="7521"/>
    <cellStyle name="Comma 3 5 4 3" xfId="7522"/>
    <cellStyle name="Percent 4 4 3 3" xfId="7523"/>
    <cellStyle name="Normal 3 7 4 3 3" xfId="7524"/>
    <cellStyle name="Note 3 4 3 3" xfId="7525"/>
    <cellStyle name="20% - Accent1 2 4 3 3" xfId="7526"/>
    <cellStyle name="40% - Accent1 2 4 3 3" xfId="7527"/>
    <cellStyle name="60% - Accent1 2 4 3 3" xfId="7528"/>
    <cellStyle name="20% - Accent2 2 4 3 3" xfId="7529"/>
    <cellStyle name="40% - Accent2 2 4 3 3" xfId="7530"/>
    <cellStyle name="60% - Accent2 2 4 3 3" xfId="7531"/>
    <cellStyle name="20% - Accent3 2 4 3 3" xfId="7532"/>
    <cellStyle name="40% - Accent3 2 4 3 3" xfId="7533"/>
    <cellStyle name="60% - Accent3 2 4 3 3" xfId="7534"/>
    <cellStyle name="20% - Accent4 2 4 3 3" xfId="7535"/>
    <cellStyle name="40% - Accent4 2 4 3 3" xfId="7536"/>
    <cellStyle name="60% - Accent4 2 4 3 3" xfId="7537"/>
    <cellStyle name="20% - Accent5 2 4 3 3" xfId="7538"/>
    <cellStyle name="40% - Accent5 2 4 3 3" xfId="7539"/>
    <cellStyle name="60% - Accent5 2 4 3 3" xfId="7540"/>
    <cellStyle name="20% - Accent6 2 4 3 3" xfId="7541"/>
    <cellStyle name="40% - Accent6 2 4 3 3" xfId="7542"/>
    <cellStyle name="60% - Accent6 2 4 3 3" xfId="7543"/>
    <cellStyle name="Comma 2 2 5 4 3" xfId="7544"/>
    <cellStyle name="Comma 4 5 4 3" xfId="7545"/>
    <cellStyle name="Normal 3 8 4 3 3" xfId="7546"/>
    <cellStyle name="Normal 7 3 3 3" xfId="7547"/>
    <cellStyle name="Comma 5 3 4 3" xfId="7548"/>
    <cellStyle name="20% - Accent1 3 3 3 3" xfId="7549"/>
    <cellStyle name="40% - Accent1 3 3 3 3" xfId="7550"/>
    <cellStyle name="60% - Accent1 3 3 3 3" xfId="7551"/>
    <cellStyle name="20% - Accent2 3 3 3 3" xfId="7552"/>
    <cellStyle name="40% - Accent2 3 3 3 3" xfId="7553"/>
    <cellStyle name="60% - Accent2 3 3 3 3" xfId="7554"/>
    <cellStyle name="20% - Accent3 3 3 3 3" xfId="7555"/>
    <cellStyle name="40% - Accent3 3 3 3 3" xfId="7556"/>
    <cellStyle name="60% - Accent3 3 3 3 3" xfId="7557"/>
    <cellStyle name="20% - Accent4 3 3 3 3" xfId="7558"/>
    <cellStyle name="40% - Accent4 3 3 3 3" xfId="7559"/>
    <cellStyle name="60% - Accent4 3 3 3 3" xfId="7560"/>
    <cellStyle name="20% - Accent5 3 3 3 3" xfId="7561"/>
    <cellStyle name="40% - Accent5 3 3 3 3" xfId="7562"/>
    <cellStyle name="60% - Accent5 3 3 3 3" xfId="7563"/>
    <cellStyle name="20% - Accent6 3 3 3 3" xfId="7564"/>
    <cellStyle name="40% - Accent6 3 3 3 3" xfId="7565"/>
    <cellStyle name="60% - Accent6 3 3 3 3" xfId="7566"/>
    <cellStyle name="Normal 3 2 3 3 3 3" xfId="7567"/>
    <cellStyle name="Normal 3 3 3 3 3 3" xfId="7568"/>
    <cellStyle name="Normal 3 4 3 3 3 3" xfId="7569"/>
    <cellStyle name="Normal 3 5 3 3 3 3" xfId="7570"/>
    <cellStyle name="Normal 3 2 2 2 3 3 3" xfId="7571"/>
    <cellStyle name="Normal 3 3 2 2 3 3 3" xfId="7572"/>
    <cellStyle name="Normal 3 4 2 2 3 3 3" xfId="7573"/>
    <cellStyle name="Normal 3 5 2 2 3 3 3" xfId="7574"/>
    <cellStyle name="Normal 5 2 3 3 3" xfId="7575"/>
    <cellStyle name="Percent 3 2 3 3 3" xfId="7576"/>
    <cellStyle name="Note 2 2 3 3 3" xfId="7577"/>
    <cellStyle name="Normal 3 6 2 3 3 3" xfId="7578"/>
    <cellStyle name="Comma 2 3 3 4 3" xfId="7579"/>
    <cellStyle name="Comma 3 2 3 4 3" xfId="7580"/>
    <cellStyle name="Percent 4 2 3 3 3" xfId="7581"/>
    <cellStyle name="Normal 3 7 2 3 3 3" xfId="7582"/>
    <cellStyle name="Note 3 2 3 3 3" xfId="7583"/>
    <cellStyle name="20% - Accent1 2 2 3 3 3" xfId="7584"/>
    <cellStyle name="40% - Accent1 2 2 3 3 3" xfId="7585"/>
    <cellStyle name="60% - Accent1 2 2 3 3 3" xfId="7586"/>
    <cellStyle name="20% - Accent2 2 2 3 3 3" xfId="7587"/>
    <cellStyle name="40% - Accent2 2 2 3 3 3" xfId="7588"/>
    <cellStyle name="60% - Accent2 2 2 3 3 3" xfId="7589"/>
    <cellStyle name="20% - Accent3 2 2 3 3 3" xfId="7590"/>
    <cellStyle name="40% - Accent3 2 2 3 3 3" xfId="7591"/>
    <cellStyle name="60% - Accent3 2 2 3 3 3" xfId="7592"/>
    <cellStyle name="20% - Accent4 2 2 3 3 3" xfId="7593"/>
    <cellStyle name="40% - Accent4 2 2 3 3 3" xfId="7594"/>
    <cellStyle name="60% - Accent4 2 2 3 3 3" xfId="7595"/>
    <cellStyle name="20% - Accent5 2 2 3 3 3" xfId="7596"/>
    <cellStyle name="40% - Accent5 2 2 3 3 3" xfId="7597"/>
    <cellStyle name="60% - Accent5 2 2 3 3 3" xfId="7598"/>
    <cellStyle name="20% - Accent6 2 2 3 3 3" xfId="7599"/>
    <cellStyle name="40% - Accent6 2 2 3 3 3" xfId="7600"/>
    <cellStyle name="60% - Accent6 2 2 3 3 3" xfId="7601"/>
    <cellStyle name="Comma 2 2 2 3 4 3" xfId="7602"/>
    <cellStyle name="Comma 4 2 3 4 3" xfId="7603"/>
    <cellStyle name="Normal 3 8 2 3 3 3" xfId="7604"/>
    <cellStyle name="Normal 8 2 3 3" xfId="7605"/>
    <cellStyle name="Comma 6 2 4 3" xfId="7606"/>
    <cellStyle name="20% - Accent1 4 2 3 3" xfId="7607"/>
    <cellStyle name="40% - Accent1 4 2 3 3" xfId="7608"/>
    <cellStyle name="60% - Accent1 4 2 3 3" xfId="7609"/>
    <cellStyle name="20% - Accent2 4 2 3 3" xfId="7610"/>
    <cellStyle name="40% - Accent2 4 2 3 3" xfId="7611"/>
    <cellStyle name="60% - Accent2 4 2 3 3" xfId="7612"/>
    <cellStyle name="20% - Accent3 4 2 3 3" xfId="7613"/>
    <cellStyle name="40% - Accent3 4 2 3 3" xfId="7614"/>
    <cellStyle name="60% - Accent3 4 2 3 3" xfId="7615"/>
    <cellStyle name="20% - Accent4 4 2 3 3" xfId="7616"/>
    <cellStyle name="40% - Accent4 4 2 3 3" xfId="7617"/>
    <cellStyle name="60% - Accent4 4 2 3 3" xfId="7618"/>
    <cellStyle name="20% - Accent5 4 2 3 3" xfId="7619"/>
    <cellStyle name="40% - Accent5 4 2 3 3" xfId="7620"/>
    <cellStyle name="60% - Accent5 4 2 3 3" xfId="7621"/>
    <cellStyle name="20% - Accent6 4 2 3 3" xfId="7622"/>
    <cellStyle name="40% - Accent6 4 2 3 3" xfId="7623"/>
    <cellStyle name="60% - Accent6 4 2 3 3" xfId="7624"/>
    <cellStyle name="Normal 3 2 4 2 3 3" xfId="7625"/>
    <cellStyle name="Normal 3 3 4 2 3 3" xfId="7626"/>
    <cellStyle name="Normal 3 4 4 2 3 3" xfId="7627"/>
    <cellStyle name="Normal 3 5 4 2 3 3" xfId="7628"/>
    <cellStyle name="Normal 3 2 2 3 2 3 3" xfId="7629"/>
    <cellStyle name="Normal 3 3 2 3 2 3 3" xfId="7630"/>
    <cellStyle name="Normal 3 4 2 3 2 3 3" xfId="7631"/>
    <cellStyle name="Normal 3 5 2 3 2 3 3" xfId="7632"/>
    <cellStyle name="Normal 5 3 2 3 3" xfId="7633"/>
    <cellStyle name="Percent 3 3 2 3 3" xfId="7634"/>
    <cellStyle name="Note 2 3 2 3 3" xfId="7635"/>
    <cellStyle name="Normal 3 6 3 2 3 3" xfId="7636"/>
    <cellStyle name="Comma 2 5 2 4 3" xfId="7637"/>
    <cellStyle name="Comma 3 4 2 4 3" xfId="7638"/>
    <cellStyle name="Percent 4 3 2 3 3" xfId="7639"/>
    <cellStyle name="Normal 3 7 3 2 3 3" xfId="7640"/>
    <cellStyle name="Note 3 3 2 3 3" xfId="7641"/>
    <cellStyle name="20% - Accent1 2 3 2 3 3" xfId="7642"/>
    <cellStyle name="40% - Accent1 2 3 2 3 3" xfId="7643"/>
    <cellStyle name="60% - Accent1 2 3 2 3 3" xfId="7644"/>
    <cellStyle name="20% - Accent2 2 3 2 3 3" xfId="7645"/>
    <cellStyle name="40% - Accent2 2 3 2 3 3" xfId="7646"/>
    <cellStyle name="60% - Accent2 2 3 2 3 3" xfId="7647"/>
    <cellStyle name="20% - Accent3 2 3 2 3 3" xfId="7648"/>
    <cellStyle name="40% - Accent3 2 3 2 3 3" xfId="7649"/>
    <cellStyle name="60% - Accent3 2 3 2 3 3" xfId="7650"/>
    <cellStyle name="20% - Accent4 2 3 2 3 3" xfId="7651"/>
    <cellStyle name="40% - Accent4 2 3 2 3 3" xfId="7652"/>
    <cellStyle name="60% - Accent4 2 3 2 3 3" xfId="7653"/>
    <cellStyle name="20% - Accent5 2 3 2 3 3" xfId="7654"/>
    <cellStyle name="40% - Accent5 2 3 2 3 3" xfId="7655"/>
    <cellStyle name="60% - Accent5 2 3 2 3 3" xfId="7656"/>
    <cellStyle name="20% - Accent6 2 3 2 3 3" xfId="7657"/>
    <cellStyle name="40% - Accent6 2 3 2 3 3" xfId="7658"/>
    <cellStyle name="60% - Accent6 2 3 2 3 3" xfId="7659"/>
    <cellStyle name="Comma 2 2 4 2 4 3" xfId="7660"/>
    <cellStyle name="Comma 4 4 2 4 3" xfId="7661"/>
    <cellStyle name="Normal 3 8 3 2 3 3" xfId="7662"/>
    <cellStyle name="Comma 2 4 2 4 3" xfId="7663"/>
    <cellStyle name="Comma 3 3 2 4 3" xfId="7664"/>
    <cellStyle name="Comma 2 2 3 2 4 3" xfId="7665"/>
    <cellStyle name="Comma 4 3 2 4 3" xfId="7666"/>
    <cellStyle name="Normal 7 2 2 3 3" xfId="7667"/>
    <cellStyle name="Comma 5 2 2 4 3" xfId="7668"/>
    <cellStyle name="20% - Accent1 3 2 2 3 3" xfId="7669"/>
    <cellStyle name="40% - Accent1 3 2 2 3 3" xfId="7670"/>
    <cellStyle name="60% - Accent1 3 2 2 3 3" xfId="7671"/>
    <cellStyle name="20% - Accent2 3 2 2 3 3" xfId="7672"/>
    <cellStyle name="40% - Accent2 3 2 2 3 3" xfId="7673"/>
    <cellStyle name="60% - Accent2 3 2 2 3 3" xfId="7674"/>
    <cellStyle name="20% - Accent3 3 2 2 3 3" xfId="7675"/>
    <cellStyle name="40% - Accent3 3 2 2 3 3" xfId="7676"/>
    <cellStyle name="60% - Accent3 3 2 2 3 3" xfId="7677"/>
    <cellStyle name="20% - Accent4 3 2 2 3 3" xfId="7678"/>
    <cellStyle name="40% - Accent4 3 2 2 3 3" xfId="7679"/>
    <cellStyle name="60% - Accent4 3 2 2 3 3" xfId="7680"/>
    <cellStyle name="20% - Accent5 3 2 2 3 3" xfId="7681"/>
    <cellStyle name="40% - Accent5 3 2 2 3 3" xfId="7682"/>
    <cellStyle name="60% - Accent5 3 2 2 3 3" xfId="7683"/>
    <cellStyle name="20% - Accent6 3 2 2 3 3" xfId="7684"/>
    <cellStyle name="40% - Accent6 3 2 2 3 3" xfId="7685"/>
    <cellStyle name="60% - Accent6 3 2 2 3 3" xfId="7686"/>
    <cellStyle name="Normal 3 2 3 2 2 3 3" xfId="7687"/>
    <cellStyle name="Normal 3 3 3 2 2 3 3" xfId="7688"/>
    <cellStyle name="Normal 3 4 3 2 2 3 3" xfId="7689"/>
    <cellStyle name="Normal 3 5 3 2 2 3 3" xfId="7690"/>
    <cellStyle name="Normal 3 2 2 2 2 2 3 3" xfId="7691"/>
    <cellStyle name="Normal 3 3 2 2 2 2 3 3" xfId="7692"/>
    <cellStyle name="Normal 3 4 2 2 2 2 3 3" xfId="7693"/>
    <cellStyle name="Normal 3 5 2 2 2 2 3 3" xfId="7694"/>
    <cellStyle name="Normal 5 2 2 2 3 3" xfId="7695"/>
    <cellStyle name="Percent 3 2 2 2 3 3" xfId="7696"/>
    <cellStyle name="Note 2 2 2 2 3 3" xfId="7697"/>
    <cellStyle name="Normal 3 6 2 2 2 3 3" xfId="7698"/>
    <cellStyle name="Comma 2 3 2 2 4 3" xfId="7699"/>
    <cellStyle name="Comma 3 2 2 2 4 3" xfId="7700"/>
    <cellStyle name="Percent 4 2 2 2 3 3" xfId="7701"/>
    <cellStyle name="Normal 3 7 2 2 2 3 3" xfId="7702"/>
    <cellStyle name="Note 3 2 2 2 3 3" xfId="7703"/>
    <cellStyle name="20% - Accent1 2 2 2 2 3 3" xfId="7704"/>
    <cellStyle name="40% - Accent1 2 2 2 2 3 3" xfId="7705"/>
    <cellStyle name="60% - Accent1 2 2 2 2 3 3" xfId="7706"/>
    <cellStyle name="20% - Accent2 2 2 2 2 3 3" xfId="7707"/>
    <cellStyle name="40% - Accent2 2 2 2 2 3 3" xfId="7708"/>
    <cellStyle name="60% - Accent2 2 2 2 2 3 3" xfId="7709"/>
    <cellStyle name="20% - Accent3 2 2 2 2 3 3" xfId="7710"/>
    <cellStyle name="40% - Accent3 2 2 2 2 3 3" xfId="7711"/>
    <cellStyle name="60% - Accent3 2 2 2 2 3 3" xfId="7712"/>
    <cellStyle name="20% - Accent4 2 2 2 2 3 3" xfId="7713"/>
    <cellStyle name="40% - Accent4 2 2 2 2 3 3" xfId="7714"/>
    <cellStyle name="60% - Accent4 2 2 2 2 3 3" xfId="7715"/>
    <cellStyle name="20% - Accent5 2 2 2 2 3 3" xfId="7716"/>
    <cellStyle name="40% - Accent5 2 2 2 2 3 3" xfId="7717"/>
    <cellStyle name="60% - Accent5 2 2 2 2 3 3" xfId="7718"/>
    <cellStyle name="20% - Accent6 2 2 2 2 3 3" xfId="7719"/>
    <cellStyle name="40% - Accent6 2 2 2 2 3 3" xfId="7720"/>
    <cellStyle name="60% - Accent6 2 2 2 2 3 3" xfId="7721"/>
    <cellStyle name="Comma 2 2 2 2 2 4 3" xfId="7722"/>
    <cellStyle name="Comma 4 2 2 2 4 3" xfId="7723"/>
    <cellStyle name="Normal 3 8 2 2 2 3 3" xfId="7724"/>
    <cellStyle name="Normal 3 10 2 3 3" xfId="7725"/>
    <cellStyle name="Normal 3 11 2 3 3" xfId="7726"/>
    <cellStyle name="Normal 3 2 6 2 3" xfId="7727"/>
    <cellStyle name="Normal 3 3 6 2 3" xfId="7728"/>
    <cellStyle name="Normal 3 4 6 2 3" xfId="7729"/>
    <cellStyle name="Normal 3 5 6 2 3" xfId="7730"/>
    <cellStyle name="20% - Accent1 6 2 3" xfId="7731"/>
    <cellStyle name="40% - Accent1 6 2 3" xfId="7732"/>
    <cellStyle name="60% - Accent1 6 2 3" xfId="7733"/>
    <cellStyle name="20% - Accent2 6 2 3" xfId="7734"/>
    <cellStyle name="40% - Accent2 6 2 3" xfId="7735"/>
    <cellStyle name="60% - Accent2 6 2 3" xfId="7736"/>
    <cellStyle name="20% - Accent3 6 2 3" xfId="7737"/>
    <cellStyle name="40% - Accent3 6 2 3" xfId="7738"/>
    <cellStyle name="60% - Accent3 6 2 3" xfId="7739"/>
    <cellStyle name="20% - Accent4 6 2 3" xfId="7740"/>
    <cellStyle name="40% - Accent4 6 2 3" xfId="7741"/>
    <cellStyle name="60% - Accent4 6 2 3" xfId="7742"/>
    <cellStyle name="20% - Accent5 6 2 3" xfId="7743"/>
    <cellStyle name="40% - Accent5 6 2 3" xfId="7744"/>
    <cellStyle name="60% - Accent5 6 2 3" xfId="7745"/>
    <cellStyle name="20% - Accent6 6 2 3" xfId="7746"/>
    <cellStyle name="40% - Accent6 6 2 3" xfId="7747"/>
    <cellStyle name="60% - Accent6 6 2 3" xfId="7748"/>
    <cellStyle name="Normal 3 2 2 5 2 3" xfId="7749"/>
    <cellStyle name="Normal 3 3 2 5 2 3" xfId="7750"/>
    <cellStyle name="Normal 3 4 2 5 2 3" xfId="7751"/>
    <cellStyle name="Normal 3 5 2 5 2 3" xfId="7752"/>
    <cellStyle name="Normal 5 5 2 3" xfId="7753"/>
    <cellStyle name="Percent 3 5 2 3" xfId="7754"/>
    <cellStyle name="Note 2 5 2 3" xfId="7755"/>
    <cellStyle name="Normal 3 6 5 2 3" xfId="7756"/>
    <cellStyle name="Comma 2 7 3 3" xfId="7757"/>
    <cellStyle name="Comma 3 7 3 3" xfId="7758"/>
    <cellStyle name="Percent 4 5 2 3" xfId="7759"/>
    <cellStyle name="Normal 3 7 5 2 3" xfId="7760"/>
    <cellStyle name="Note 3 5 2 3" xfId="7761"/>
    <cellStyle name="20% - Accent1 2 5 2 3" xfId="7762"/>
    <cellStyle name="40% - Accent1 2 5 2 3" xfId="7763"/>
    <cellStyle name="60% - Accent1 2 5 2 3" xfId="7764"/>
    <cellStyle name="20% - Accent2 2 5 2 3" xfId="7765"/>
    <cellStyle name="40% - Accent2 2 5 2 3" xfId="7766"/>
    <cellStyle name="60% - Accent2 2 5 2 3" xfId="7767"/>
    <cellStyle name="20% - Accent3 2 5 2 3" xfId="7768"/>
    <cellStyle name="40% - Accent3 2 5 2 3" xfId="7769"/>
    <cellStyle name="60% - Accent3 2 5 2 3" xfId="7770"/>
    <cellStyle name="20% - Accent4 2 5 2 3" xfId="7771"/>
    <cellStyle name="40% - Accent4 2 5 2 3" xfId="7772"/>
    <cellStyle name="60% - Accent4 2 5 2 3" xfId="7773"/>
    <cellStyle name="20% - Accent5 2 5 2 3" xfId="7774"/>
    <cellStyle name="40% - Accent5 2 5 2 3" xfId="7775"/>
    <cellStyle name="60% - Accent5 2 5 2 3" xfId="7776"/>
    <cellStyle name="20% - Accent6 2 5 2 3" xfId="7777"/>
    <cellStyle name="40% - Accent6 2 5 2 3" xfId="7778"/>
    <cellStyle name="60% - Accent6 2 5 2 3" xfId="7779"/>
    <cellStyle name="Comma 2 2 6 3 3" xfId="7780"/>
    <cellStyle name="Comma 4 6 3 3" xfId="7781"/>
    <cellStyle name="Normal 3 8 5 2 3" xfId="7782"/>
    <cellStyle name="Normal 7 4 2 3" xfId="7783"/>
    <cellStyle name="Comma 5 4 3 3" xfId="7784"/>
    <cellStyle name="20% - Accent1 3 4 2 3" xfId="7785"/>
    <cellStyle name="40% - Accent1 3 4 2 3" xfId="7786"/>
    <cellStyle name="60% - Accent1 3 4 2 3" xfId="7787"/>
    <cellStyle name="20% - Accent2 3 4 2 3" xfId="7788"/>
    <cellStyle name="40% - Accent2 3 4 2 3" xfId="7789"/>
    <cellStyle name="60% - Accent2 3 4 2 3" xfId="7790"/>
    <cellStyle name="20% - Accent3 3 4 2 3" xfId="7791"/>
    <cellStyle name="40% - Accent3 3 4 2 3" xfId="7792"/>
    <cellStyle name="60% - Accent3 3 4 2 3" xfId="7793"/>
    <cellStyle name="20% - Accent4 3 4 2 3" xfId="7794"/>
    <cellStyle name="40% - Accent4 3 4 2 3" xfId="7795"/>
    <cellStyle name="60% - Accent4 3 4 2 3" xfId="7796"/>
    <cellStyle name="20% - Accent5 3 4 2 3" xfId="7797"/>
    <cellStyle name="40% - Accent5 3 4 2 3" xfId="7798"/>
    <cellStyle name="60% - Accent5 3 4 2 3" xfId="7799"/>
    <cellStyle name="20% - Accent6 3 4 2 3" xfId="7800"/>
    <cellStyle name="40% - Accent6 3 4 2 3" xfId="7801"/>
    <cellStyle name="60% - Accent6 3 4 2 3" xfId="7802"/>
    <cellStyle name="Normal 3 2 3 4 2 3" xfId="7803"/>
    <cellStyle name="Normal 3 3 3 4 2 3" xfId="7804"/>
    <cellStyle name="Normal 3 4 3 4 2 3" xfId="7805"/>
    <cellStyle name="Normal 3 5 3 4 2 3" xfId="7806"/>
    <cellStyle name="Normal 3 2 2 2 4 2 3" xfId="7807"/>
    <cellStyle name="Normal 3 3 2 2 4 2 3" xfId="7808"/>
    <cellStyle name="Normal 3 4 2 2 4 2 3" xfId="7809"/>
    <cellStyle name="Normal 3 5 2 2 4 2 3" xfId="7810"/>
    <cellStyle name="Normal 5 2 4 2 3" xfId="7811"/>
    <cellStyle name="Percent 3 2 4 2 3" xfId="7812"/>
    <cellStyle name="Note 2 2 4 2 3" xfId="7813"/>
    <cellStyle name="Normal 3 6 2 4 2 3" xfId="7814"/>
    <cellStyle name="Comma 2 3 4 3 3" xfId="7815"/>
    <cellStyle name="Comma 3 2 4 3 3" xfId="7816"/>
    <cellStyle name="Percent 4 2 4 2 3" xfId="7817"/>
    <cellStyle name="Normal 3 7 2 4 2 3" xfId="7818"/>
    <cellStyle name="Note 3 2 4 2 3" xfId="7819"/>
    <cellStyle name="20% - Accent1 2 2 4 2 3" xfId="7820"/>
    <cellStyle name="40% - Accent1 2 2 4 2 3" xfId="7821"/>
    <cellStyle name="60% - Accent1 2 2 4 2 3" xfId="7822"/>
    <cellStyle name="20% - Accent2 2 2 4 2 3" xfId="7823"/>
    <cellStyle name="40% - Accent2 2 2 4 2 3" xfId="7824"/>
    <cellStyle name="60% - Accent2 2 2 4 2 3" xfId="7825"/>
    <cellStyle name="20% - Accent3 2 2 4 2 3" xfId="7826"/>
    <cellStyle name="40% - Accent3 2 2 4 2 3" xfId="7827"/>
    <cellStyle name="60% - Accent3 2 2 4 2 3" xfId="7828"/>
    <cellStyle name="20% - Accent4 2 2 4 2 3" xfId="7829"/>
    <cellStyle name="40% - Accent4 2 2 4 2 3" xfId="7830"/>
    <cellStyle name="60% - Accent4 2 2 4 2 3" xfId="7831"/>
    <cellStyle name="20% - Accent5 2 2 4 2 3" xfId="7832"/>
    <cellStyle name="40% - Accent5 2 2 4 2 3" xfId="7833"/>
    <cellStyle name="60% - Accent5 2 2 4 2 3" xfId="7834"/>
    <cellStyle name="20% - Accent6 2 2 4 2 3" xfId="7835"/>
    <cellStyle name="40% - Accent6 2 2 4 2 3" xfId="7836"/>
    <cellStyle name="60% - Accent6 2 2 4 2 3" xfId="7837"/>
    <cellStyle name="Comma 2 2 2 4 3 3" xfId="7838"/>
    <cellStyle name="Comma 4 2 4 3 3" xfId="7839"/>
    <cellStyle name="Normal 3 8 2 4 2 3" xfId="7840"/>
    <cellStyle name="Normal 8 3 2 3" xfId="7841"/>
    <cellStyle name="Comma 6 3 3 3" xfId="7842"/>
    <cellStyle name="20% - Accent1 4 3 2 3" xfId="7843"/>
    <cellStyle name="40% - Accent1 4 3 2 3" xfId="7844"/>
    <cellStyle name="60% - Accent1 4 3 2 3" xfId="7845"/>
    <cellStyle name="20% - Accent2 4 3 2 3" xfId="7846"/>
    <cellStyle name="40% - Accent2 4 3 2 3" xfId="7847"/>
    <cellStyle name="60% - Accent2 4 3 2 3" xfId="7848"/>
    <cellStyle name="20% - Accent3 4 3 2 3" xfId="7849"/>
    <cellStyle name="40% - Accent3 4 3 2 3" xfId="7850"/>
    <cellStyle name="60% - Accent3 4 3 2 3" xfId="7851"/>
    <cellStyle name="20% - Accent4 4 3 2 3" xfId="7852"/>
    <cellStyle name="40% - Accent4 4 3 2 3" xfId="7853"/>
    <cellStyle name="60% - Accent4 4 3 2 3" xfId="7854"/>
    <cellStyle name="20% - Accent5 4 3 2 3" xfId="7855"/>
    <cellStyle name="40% - Accent5 4 3 2 3" xfId="7856"/>
    <cellStyle name="60% - Accent5 4 3 2 3" xfId="7857"/>
    <cellStyle name="20% - Accent6 4 3 2 3" xfId="7858"/>
    <cellStyle name="40% - Accent6 4 3 2 3" xfId="7859"/>
    <cellStyle name="60% - Accent6 4 3 2 3" xfId="7860"/>
    <cellStyle name="Normal 3 2 4 3 2 3" xfId="7861"/>
    <cellStyle name="Normal 3 3 4 3 2 3" xfId="7862"/>
    <cellStyle name="Normal 3 4 4 3 2 3" xfId="7863"/>
    <cellStyle name="Normal 3 5 4 3 2 3" xfId="7864"/>
    <cellStyle name="Normal 3 2 2 3 3 2 3" xfId="7865"/>
    <cellStyle name="Normal 3 3 2 3 3 2 3" xfId="7866"/>
    <cellStyle name="Normal 3 4 2 3 3 2 3" xfId="7867"/>
    <cellStyle name="Normal 3 5 2 3 3 2 3" xfId="7868"/>
    <cellStyle name="Normal 5 3 3 2 3" xfId="7869"/>
    <cellStyle name="Percent 3 3 3 2 3" xfId="7870"/>
    <cellStyle name="Note 2 3 3 2 3" xfId="7871"/>
    <cellStyle name="Normal 3 6 3 3 2 3" xfId="7872"/>
    <cellStyle name="Comma 2 5 3 3 3" xfId="7873"/>
    <cellStyle name="Comma 3 4 3 3 3" xfId="7874"/>
    <cellStyle name="Percent 4 3 3 2 3" xfId="7875"/>
    <cellStyle name="Normal 3 7 3 3 2 3" xfId="7876"/>
    <cellStyle name="Note 3 3 3 2 3" xfId="7877"/>
    <cellStyle name="20% - Accent1 2 3 3 2 3" xfId="7878"/>
    <cellStyle name="40% - Accent1 2 3 3 2 3" xfId="7879"/>
    <cellStyle name="60% - Accent1 2 3 3 2 3" xfId="7880"/>
    <cellStyle name="20% - Accent2 2 3 3 2 3" xfId="7881"/>
    <cellStyle name="40% - Accent2 2 3 3 2 3" xfId="7882"/>
    <cellStyle name="60% - Accent2 2 3 3 2 3" xfId="7883"/>
    <cellStyle name="20% - Accent3 2 3 3 2 3" xfId="7884"/>
    <cellStyle name="40% - Accent3 2 3 3 2 3" xfId="7885"/>
    <cellStyle name="60% - Accent3 2 3 3 2 3" xfId="7886"/>
    <cellStyle name="20% - Accent4 2 3 3 2 3" xfId="7887"/>
    <cellStyle name="40% - Accent4 2 3 3 2 3" xfId="7888"/>
    <cellStyle name="60% - Accent4 2 3 3 2 3" xfId="7889"/>
    <cellStyle name="20% - Accent5 2 3 3 2 3" xfId="7890"/>
    <cellStyle name="40% - Accent5 2 3 3 2 3" xfId="7891"/>
    <cellStyle name="60% - Accent5 2 3 3 2 3" xfId="7892"/>
    <cellStyle name="20% - Accent6 2 3 3 2 3" xfId="7893"/>
    <cellStyle name="40% - Accent6 2 3 3 2 3" xfId="7894"/>
    <cellStyle name="60% - Accent6 2 3 3 2 3" xfId="7895"/>
    <cellStyle name="Comma 2 2 4 3 3 3" xfId="7896"/>
    <cellStyle name="Comma 4 4 3 3 3" xfId="7897"/>
    <cellStyle name="Normal 3 8 3 3 2 3" xfId="7898"/>
    <cellStyle name="Comma 2 4 3 3 3" xfId="7899"/>
    <cellStyle name="Comma 3 3 3 3 3" xfId="7900"/>
    <cellStyle name="Comma 2 2 3 3 3 3" xfId="7901"/>
    <cellStyle name="Comma 4 3 3 3 3" xfId="7902"/>
    <cellStyle name="Normal 7 2 3 2 3" xfId="7903"/>
    <cellStyle name="Comma 5 2 3 3 3" xfId="7904"/>
    <cellStyle name="20% - Accent1 3 2 3 2 3" xfId="7905"/>
    <cellStyle name="40% - Accent1 3 2 3 2 3" xfId="7906"/>
    <cellStyle name="60% - Accent1 3 2 3 2 3" xfId="7907"/>
    <cellStyle name="20% - Accent2 3 2 3 2 3" xfId="7908"/>
    <cellStyle name="40% - Accent2 3 2 3 2 3" xfId="7909"/>
    <cellStyle name="60% - Accent2 3 2 3 2 3" xfId="7910"/>
    <cellStyle name="20% - Accent3 3 2 3 2 3" xfId="7911"/>
    <cellStyle name="40% - Accent3 3 2 3 2 3" xfId="7912"/>
    <cellStyle name="60% - Accent3 3 2 3 2 3" xfId="7913"/>
    <cellStyle name="20% - Accent4 3 2 3 2 3" xfId="7914"/>
    <cellStyle name="40% - Accent4 3 2 3 2 3" xfId="7915"/>
    <cellStyle name="60% - Accent4 3 2 3 2 3" xfId="7916"/>
    <cellStyle name="20% - Accent5 3 2 3 2 3" xfId="7917"/>
    <cellStyle name="40% - Accent5 3 2 3 2 3" xfId="7918"/>
    <cellStyle name="60% - Accent5 3 2 3 2 3" xfId="7919"/>
    <cellStyle name="20% - Accent6 3 2 3 2 3" xfId="7920"/>
    <cellStyle name="40% - Accent6 3 2 3 2 3" xfId="7921"/>
    <cellStyle name="60% - Accent6 3 2 3 2 3" xfId="7922"/>
    <cellStyle name="Normal 3 2 3 2 3 2 3" xfId="7923"/>
    <cellStyle name="Normal 3 3 3 2 3 2 3" xfId="7924"/>
    <cellStyle name="Normal 3 4 3 2 3 2 3" xfId="7925"/>
    <cellStyle name="Normal 3 5 3 2 3 2 3" xfId="7926"/>
    <cellStyle name="Normal 3 2 2 2 2 3 2 3" xfId="7927"/>
    <cellStyle name="Normal 3 3 2 2 2 3 2 3" xfId="7928"/>
    <cellStyle name="Normal 3 4 2 2 2 3 2 3" xfId="7929"/>
    <cellStyle name="Normal 3 5 2 2 2 3 2 3" xfId="7930"/>
    <cellStyle name="Normal 5 2 2 3 2 3" xfId="7931"/>
    <cellStyle name="Percent 3 2 2 3 2 3" xfId="7932"/>
    <cellStyle name="Note 2 2 2 3 2 3" xfId="7933"/>
    <cellStyle name="Normal 3 6 2 2 3 2 3" xfId="7934"/>
    <cellStyle name="Comma 2 3 2 3 3 3" xfId="7935"/>
    <cellStyle name="Comma 3 2 2 3 3 3" xfId="7936"/>
    <cellStyle name="Percent 4 2 2 3 2 3" xfId="7937"/>
    <cellStyle name="Normal 3 7 2 2 3 2 3" xfId="7938"/>
    <cellStyle name="Note 3 2 2 3 2 3" xfId="7939"/>
    <cellStyle name="20% - Accent1 2 2 2 3 2 3" xfId="7940"/>
    <cellStyle name="40% - Accent1 2 2 2 3 2 3" xfId="7941"/>
    <cellStyle name="60% - Accent1 2 2 2 3 2 3" xfId="7942"/>
    <cellStyle name="20% - Accent2 2 2 2 3 2 3" xfId="7943"/>
    <cellStyle name="40% - Accent2 2 2 2 3 2 3" xfId="7944"/>
    <cellStyle name="60% - Accent2 2 2 2 3 2 3" xfId="7945"/>
    <cellStyle name="20% - Accent3 2 2 2 3 2 3" xfId="7946"/>
    <cellStyle name="40% - Accent3 2 2 2 3 2 3" xfId="7947"/>
    <cellStyle name="60% - Accent3 2 2 2 3 2 3" xfId="7948"/>
    <cellStyle name="20% - Accent4 2 2 2 3 2 3" xfId="7949"/>
    <cellStyle name="40% - Accent4 2 2 2 3 2 3" xfId="7950"/>
    <cellStyle name="60% - Accent4 2 2 2 3 2 3" xfId="7951"/>
    <cellStyle name="20% - Accent5 2 2 2 3 2 3" xfId="7952"/>
    <cellStyle name="40% - Accent5 2 2 2 3 2 3" xfId="7953"/>
    <cellStyle name="60% - Accent5 2 2 2 3 2 3" xfId="7954"/>
    <cellStyle name="20% - Accent6 2 2 2 3 2 3" xfId="7955"/>
    <cellStyle name="40% - Accent6 2 2 2 3 2 3" xfId="7956"/>
    <cellStyle name="60% - Accent6 2 2 2 3 2 3" xfId="7957"/>
    <cellStyle name="Comma 2 2 2 2 3 3 3" xfId="7958"/>
    <cellStyle name="Comma 4 2 2 3 3 3" xfId="7959"/>
    <cellStyle name="Normal 3 8 2 2 3 2 3" xfId="7960"/>
    <cellStyle name="Normal 3 10 3 2 3" xfId="7961"/>
    <cellStyle name="Normal 3 11 3 2 3" xfId="7962"/>
    <cellStyle name="Normal 5 4 2 2 3" xfId="7963"/>
    <cellStyle name="Normal 7 3 2 2 3" xfId="7964"/>
    <cellStyle name="Normal 3 2 2 2 3 2 2 3" xfId="7965"/>
    <cellStyle name="Normal 8 2 2 2 3" xfId="7966"/>
    <cellStyle name="Normal 3 2 2 2 2 2 2 2 3" xfId="7967"/>
    <cellStyle name="Comma 3 6 3 3" xfId="7968"/>
    <cellStyle name="Normal 3 6 4 2 2 3" xfId="7969"/>
    <cellStyle name="Normal 3 12 2 2 3" xfId="7970"/>
    <cellStyle name="Normal 3 2 5 2 2 3" xfId="7971"/>
    <cellStyle name="Normal 3 3 5 2 2 3" xfId="7972"/>
    <cellStyle name="Normal 3 4 5 2 2 3" xfId="7973"/>
    <cellStyle name="Normal 3 5 5 2 2 3" xfId="7974"/>
    <cellStyle name="20% - Accent1 5 2 2 3" xfId="7975"/>
    <cellStyle name="40% - Accent1 5 2 2 3" xfId="7976"/>
    <cellStyle name="60% - Accent1 5 2 2 3" xfId="7977"/>
    <cellStyle name="20% - Accent2 5 2 2 3" xfId="7978"/>
    <cellStyle name="40% - Accent2 5 2 2 3" xfId="7979"/>
    <cellStyle name="60% - Accent2 5 2 2 3" xfId="7980"/>
    <cellStyle name="20% - Accent3 5 2 2 3" xfId="7981"/>
    <cellStyle name="40% - Accent3 5 2 2 3" xfId="7982"/>
    <cellStyle name="60% - Accent3 5 2 2 3" xfId="7983"/>
    <cellStyle name="20% - Accent4 5 2 2 3" xfId="7984"/>
    <cellStyle name="40% - Accent4 5 2 2 3" xfId="7985"/>
    <cellStyle name="60% - Accent4 5 2 2 3" xfId="7986"/>
    <cellStyle name="20% - Accent5 5 2 2 3" xfId="7987"/>
    <cellStyle name="40% - Accent5 5 2 2 3" xfId="7988"/>
    <cellStyle name="60% - Accent5 5 2 2 3" xfId="7989"/>
    <cellStyle name="20% - Accent6 5 2 2 3" xfId="7990"/>
    <cellStyle name="40% - Accent6 5 2 2 3" xfId="7991"/>
    <cellStyle name="60% - Accent6 5 2 2 3" xfId="7992"/>
    <cellStyle name="Normal 3 2 2 4 2 2 3" xfId="7993"/>
    <cellStyle name="Normal 3 3 2 4 2 2 3" xfId="7994"/>
    <cellStyle name="Normal 3 4 2 4 2 2 3" xfId="7995"/>
    <cellStyle name="Normal 3 5 2 4 2 2 3" xfId="7996"/>
    <cellStyle name="Percent 3 4 2 2 3" xfId="7997"/>
    <cellStyle name="Note 2 4 2 2 3" xfId="7998"/>
    <cellStyle name="Comma 2 6 2 3 3" xfId="7999"/>
    <cellStyle name="Comma 3 5 2 3 3" xfId="8000"/>
    <cellStyle name="Percent 4 4 2 2 3" xfId="8001"/>
    <cellStyle name="Normal 3 7 4 2 2 3" xfId="8002"/>
    <cellStyle name="Note 3 4 2 2 3" xfId="8003"/>
    <cellStyle name="20% - Accent1 2 4 2 2 3" xfId="8004"/>
    <cellStyle name="40% - Accent1 2 4 2 2 3" xfId="8005"/>
    <cellStyle name="60% - Accent1 2 4 2 2 3" xfId="8006"/>
    <cellStyle name="20% - Accent2 2 4 2 2 3" xfId="8007"/>
    <cellStyle name="40% - Accent2 2 4 2 2 3" xfId="8008"/>
    <cellStyle name="60% - Accent2 2 4 2 2 3" xfId="8009"/>
    <cellStyle name="20% - Accent3 2 4 2 2 3" xfId="8010"/>
    <cellStyle name="40% - Accent3 2 4 2 2 3" xfId="8011"/>
    <cellStyle name="60% - Accent3 2 4 2 2 3" xfId="8012"/>
    <cellStyle name="20% - Accent4 2 4 2 2 3" xfId="8013"/>
    <cellStyle name="40% - Accent4 2 4 2 2 3" xfId="8014"/>
    <cellStyle name="60% - Accent4 2 4 2 2 3" xfId="8015"/>
    <cellStyle name="20% - Accent5 2 4 2 2 3" xfId="8016"/>
    <cellStyle name="40% - Accent5 2 4 2 2 3" xfId="8017"/>
    <cellStyle name="60% - Accent5 2 4 2 2 3" xfId="8018"/>
    <cellStyle name="20% - Accent6 2 4 2 2 3" xfId="8019"/>
    <cellStyle name="40% - Accent6 2 4 2 2 3" xfId="8020"/>
    <cellStyle name="60% - Accent6 2 4 2 2 3" xfId="8021"/>
    <cellStyle name="Comma 2 2 5 2 3 3" xfId="8022"/>
    <cellStyle name="Comma 4 5 2 3 3" xfId="8023"/>
    <cellStyle name="Normal 3 8 4 2 2 3" xfId="8024"/>
    <cellStyle name="Comma 5 3 2 3 3" xfId="8025"/>
    <cellStyle name="20% - Accent1 3 3 2 2 3" xfId="8026"/>
    <cellStyle name="40% - Accent1 3 3 2 2 3" xfId="8027"/>
    <cellStyle name="60% - Accent1 3 3 2 2 3" xfId="8028"/>
    <cellStyle name="20% - Accent2 3 3 2 2 3" xfId="8029"/>
    <cellStyle name="40% - Accent2 3 3 2 2 3" xfId="8030"/>
    <cellStyle name="60% - Accent2 3 3 2 2 3" xfId="8031"/>
    <cellStyle name="20% - Accent3 3 3 2 2 3" xfId="8032"/>
    <cellStyle name="40% - Accent3 3 3 2 2 3" xfId="8033"/>
    <cellStyle name="60% - Accent3 3 3 2 2 3" xfId="8034"/>
    <cellStyle name="20% - Accent4 3 3 2 2 3" xfId="8035"/>
    <cellStyle name="40% - Accent4 3 3 2 2 3" xfId="8036"/>
    <cellStyle name="60% - Accent4 3 3 2 2 3" xfId="8037"/>
    <cellStyle name="20% - Accent5 3 3 2 2 3" xfId="8038"/>
    <cellStyle name="40% - Accent5 3 3 2 2 3" xfId="8039"/>
    <cellStyle name="60% - Accent5 3 3 2 2 3" xfId="8040"/>
    <cellStyle name="20% - Accent6 3 3 2 2 3" xfId="8041"/>
    <cellStyle name="40% - Accent6 3 3 2 2 3" xfId="8042"/>
    <cellStyle name="60% - Accent6 3 3 2 2 3" xfId="8043"/>
    <cellStyle name="Normal 3 2 3 3 2 2 3" xfId="8044"/>
    <cellStyle name="Normal 3 3 3 3 2 2 3" xfId="8045"/>
    <cellStyle name="Normal 3 4 3 3 2 2 3" xfId="8046"/>
    <cellStyle name="Normal 3 5 3 3 2 2 3" xfId="8047"/>
    <cellStyle name="Normal 3 3 2 2 3 2 2 3" xfId="8048"/>
    <cellStyle name="Normal 3 4 2 2 3 2 2 3" xfId="8049"/>
    <cellStyle name="Normal 3 5 2 2 3 2 2 3" xfId="8050"/>
    <cellStyle name="Normal 5 2 3 2 2 3" xfId="8051"/>
    <cellStyle name="Percent 3 2 3 2 2 3" xfId="8052"/>
    <cellStyle name="Note 2 2 3 2 2 3" xfId="8053"/>
    <cellStyle name="Normal 3 6 2 3 2 2 3" xfId="8054"/>
    <cellStyle name="Comma 2 3 3 2 3 3" xfId="8055"/>
    <cellStyle name="Comma 3 2 3 2 3 3" xfId="8056"/>
    <cellStyle name="Percent 4 2 3 2 2 3" xfId="8057"/>
    <cellStyle name="Normal 3 7 2 3 2 2 3" xfId="8058"/>
    <cellStyle name="Note 3 2 3 2 2 3" xfId="8059"/>
    <cellStyle name="20% - Accent1 2 2 3 2 2 3" xfId="8060"/>
    <cellStyle name="40% - Accent1 2 2 3 2 2 3" xfId="8061"/>
    <cellStyle name="60% - Accent1 2 2 3 2 2 3" xfId="8062"/>
    <cellStyle name="20% - Accent2 2 2 3 2 2 3" xfId="8063"/>
    <cellStyle name="40% - Accent2 2 2 3 2 2 3" xfId="8064"/>
    <cellStyle name="60% - Accent2 2 2 3 2 2 3" xfId="8065"/>
    <cellStyle name="20% - Accent3 2 2 3 2 2 3" xfId="8066"/>
    <cellStyle name="40% - Accent3 2 2 3 2 2 3" xfId="8067"/>
    <cellStyle name="60% - Accent3 2 2 3 2 2 3" xfId="8068"/>
    <cellStyle name="20% - Accent4 2 2 3 2 2 3" xfId="8069"/>
    <cellStyle name="40% - Accent4 2 2 3 2 2 3" xfId="8070"/>
    <cellStyle name="60% - Accent4 2 2 3 2 2 3" xfId="8071"/>
    <cellStyle name="20% - Accent5 2 2 3 2 2 3" xfId="8072"/>
    <cellStyle name="40% - Accent5 2 2 3 2 2 3" xfId="8073"/>
    <cellStyle name="60% - Accent5 2 2 3 2 2 3" xfId="8074"/>
    <cellStyle name="20% - Accent6 2 2 3 2 2 3" xfId="8075"/>
    <cellStyle name="40% - Accent6 2 2 3 2 2 3" xfId="8076"/>
    <cellStyle name="60% - Accent6 2 2 3 2 2 3" xfId="8077"/>
    <cellStyle name="Comma 2 2 2 3 2 3 3" xfId="8078"/>
    <cellStyle name="Comma 4 2 3 2 3 3" xfId="8079"/>
    <cellStyle name="Normal 3 8 2 3 2 2 3" xfId="8080"/>
    <cellStyle name="Comma 6 2 2 3 3" xfId="8081"/>
    <cellStyle name="20% - Accent1 4 2 2 2 3" xfId="8082"/>
    <cellStyle name="40% - Accent1 4 2 2 2 3" xfId="8083"/>
    <cellStyle name="60% - Accent1 4 2 2 2 3" xfId="8084"/>
    <cellStyle name="20% - Accent2 4 2 2 2 3" xfId="8085"/>
    <cellStyle name="40% - Accent2 4 2 2 2 3" xfId="8086"/>
    <cellStyle name="60% - Accent2 4 2 2 2 3" xfId="8087"/>
    <cellStyle name="20% - Accent3 4 2 2 2 3" xfId="8088"/>
    <cellStyle name="40% - Accent3 4 2 2 2 3" xfId="8089"/>
    <cellStyle name="60% - Accent3 4 2 2 2 3" xfId="8090"/>
    <cellStyle name="20% - Accent4 4 2 2 2 3" xfId="8091"/>
    <cellStyle name="40% - Accent4 4 2 2 2 3" xfId="8092"/>
    <cellStyle name="60% - Accent4 4 2 2 2 3" xfId="8093"/>
    <cellStyle name="20% - Accent5 4 2 2 2 3" xfId="8094"/>
    <cellStyle name="40% - Accent5 4 2 2 2 3" xfId="8095"/>
    <cellStyle name="60% - Accent5 4 2 2 2 3" xfId="8096"/>
    <cellStyle name="20% - Accent6 4 2 2 2 3" xfId="8097"/>
    <cellStyle name="40% - Accent6 4 2 2 2 3" xfId="8098"/>
    <cellStyle name="60% - Accent6 4 2 2 2 3" xfId="8099"/>
    <cellStyle name="Normal 3 2 4 2 2 2 3" xfId="8100"/>
    <cellStyle name="Normal 3 3 4 2 2 2 3" xfId="8101"/>
    <cellStyle name="Normal 3 4 4 2 2 2 3" xfId="8102"/>
    <cellStyle name="Normal 3 5 4 2 2 2 3" xfId="8103"/>
    <cellStyle name="Normal 3 2 2 3 2 2 2 3" xfId="8104"/>
    <cellStyle name="Normal 3 3 2 3 2 2 2 3" xfId="8105"/>
    <cellStyle name="Normal 3 4 2 3 2 2 2 3" xfId="8106"/>
    <cellStyle name="Normal 3 5 2 3 2 2 2 3" xfId="8107"/>
    <cellStyle name="Normal 5 3 2 2 2 3" xfId="8108"/>
    <cellStyle name="Percent 3 3 2 2 2 3" xfId="8109"/>
    <cellStyle name="Note 2 3 2 2 2 3" xfId="8110"/>
    <cellStyle name="Normal 3 6 3 2 2 2 3" xfId="8111"/>
    <cellStyle name="Comma 2 5 2 2 3 3" xfId="8112"/>
    <cellStyle name="Comma 3 4 2 2 3 3" xfId="8113"/>
    <cellStyle name="Percent 4 3 2 2 2 3" xfId="8114"/>
    <cellStyle name="Normal 3 7 3 2 2 2 3" xfId="8115"/>
    <cellStyle name="Note 3 3 2 2 2 3" xfId="8116"/>
    <cellStyle name="20% - Accent1 2 3 2 2 2 3" xfId="8117"/>
    <cellStyle name="40% - Accent1 2 3 2 2 2 3" xfId="8118"/>
    <cellStyle name="60% - Accent1 2 3 2 2 2 3" xfId="8119"/>
    <cellStyle name="20% - Accent2 2 3 2 2 2 3" xfId="8120"/>
    <cellStyle name="40% - Accent2 2 3 2 2 2 3" xfId="8121"/>
    <cellStyle name="60% - Accent2 2 3 2 2 2 3" xfId="8122"/>
    <cellStyle name="20% - Accent3 2 3 2 2 2 3" xfId="8123"/>
    <cellStyle name="40% - Accent3 2 3 2 2 2 3" xfId="8124"/>
    <cellStyle name="60% - Accent3 2 3 2 2 2 3" xfId="8125"/>
    <cellStyle name="20% - Accent4 2 3 2 2 2 3" xfId="8126"/>
    <cellStyle name="40% - Accent4 2 3 2 2 2 3" xfId="8127"/>
    <cellStyle name="60% - Accent4 2 3 2 2 2 3" xfId="8128"/>
    <cellStyle name="20% - Accent5 2 3 2 2 2 3" xfId="8129"/>
    <cellStyle name="40% - Accent5 2 3 2 2 2 3" xfId="8130"/>
    <cellStyle name="60% - Accent5 2 3 2 2 2 3" xfId="8131"/>
    <cellStyle name="20% - Accent6 2 3 2 2 2 3" xfId="8132"/>
    <cellStyle name="40% - Accent6 2 3 2 2 2 3" xfId="8133"/>
    <cellStyle name="60% - Accent6 2 3 2 2 2 3" xfId="8134"/>
    <cellStyle name="Comma 2 2 4 2 2 3 3" xfId="8135"/>
    <cellStyle name="Comma 4 4 2 2 3 3" xfId="8136"/>
    <cellStyle name="Normal 3 8 3 2 2 2 3" xfId="8137"/>
    <cellStyle name="Comma 2 4 2 2 3 3" xfId="8138"/>
    <cellStyle name="Comma 3 3 2 2 3 3" xfId="8139"/>
    <cellStyle name="Comma 2 2 3 2 2 3 3" xfId="8140"/>
    <cellStyle name="Comma 4 3 2 2 3 3" xfId="8141"/>
    <cellStyle name="Normal 7 2 2 2 2 3" xfId="8142"/>
    <cellStyle name="Comma 5 2 2 2 3 3" xfId="8143"/>
    <cellStyle name="20% - Accent1 3 2 2 2 2 3" xfId="8144"/>
    <cellStyle name="40% - Accent1 3 2 2 2 2 3" xfId="8145"/>
    <cellStyle name="60% - Accent1 3 2 2 2 2 3" xfId="8146"/>
    <cellStyle name="20% - Accent2 3 2 2 2 2 3" xfId="8147"/>
    <cellStyle name="40% - Accent2 3 2 2 2 2 3" xfId="8148"/>
    <cellStyle name="60% - Accent2 3 2 2 2 2 3" xfId="8149"/>
    <cellStyle name="20% - Accent3 3 2 2 2 2 3" xfId="8150"/>
    <cellStyle name="40% - Accent3 3 2 2 2 2 3" xfId="8151"/>
    <cellStyle name="60% - Accent3 3 2 2 2 2 3" xfId="8152"/>
    <cellStyle name="20% - Accent4 3 2 2 2 2 3" xfId="8153"/>
    <cellStyle name="40% - Accent4 3 2 2 2 2 3" xfId="8154"/>
    <cellStyle name="60% - Accent4 3 2 2 2 2 3" xfId="8155"/>
    <cellStyle name="20% - Accent5 3 2 2 2 2 3" xfId="8156"/>
    <cellStyle name="40% - Accent5 3 2 2 2 2 3" xfId="8157"/>
    <cellStyle name="60% - Accent5 3 2 2 2 2 3" xfId="8158"/>
    <cellStyle name="20% - Accent6 3 2 2 2 2 3" xfId="8159"/>
    <cellStyle name="40% - Accent6 3 2 2 2 2 3" xfId="8160"/>
    <cellStyle name="60% - Accent6 3 2 2 2 2 3" xfId="8161"/>
    <cellStyle name="Normal 3 2 3 2 2 2 2 3" xfId="8162"/>
    <cellStyle name="Normal 3 3 3 2 2 2 2 3" xfId="8163"/>
    <cellStyle name="Normal 3 4 3 2 2 2 2 3" xfId="8164"/>
    <cellStyle name="Normal 3 5 3 2 2 2 2 3" xfId="8165"/>
    <cellStyle name="Normal 3 3 2 2 2 2 2 2 3" xfId="8166"/>
    <cellStyle name="Normal 3 4 2 2 2 2 2 2 3" xfId="8167"/>
    <cellStyle name="Normal 3 5 2 2 2 2 2 2 3" xfId="8168"/>
    <cellStyle name="Normal 5 2 2 2 2 2 3" xfId="8169"/>
    <cellStyle name="Percent 3 2 2 2 2 2 3" xfId="8170"/>
    <cellStyle name="Note 2 2 2 2 2 2 3" xfId="8171"/>
    <cellStyle name="Normal 3 6 2 2 2 2 2 3" xfId="8172"/>
    <cellStyle name="Comma 2 3 2 2 2 3 3" xfId="8173"/>
    <cellStyle name="Comma 3 2 2 2 2 3 3" xfId="8174"/>
    <cellStyle name="Percent 4 2 2 2 2 2 3" xfId="8175"/>
    <cellStyle name="Normal 3 7 2 2 2 2 2 3" xfId="8176"/>
    <cellStyle name="Note 3 2 2 2 2 2 3" xfId="8177"/>
    <cellStyle name="20% - Accent1 2 2 2 2 2 2 3" xfId="8178"/>
    <cellStyle name="40% - Accent1 2 2 2 2 2 2 3" xfId="8179"/>
    <cellStyle name="60% - Accent1 2 2 2 2 2 2 3" xfId="8180"/>
    <cellStyle name="20% - Accent2 2 2 2 2 2 2 3" xfId="8181"/>
    <cellStyle name="40% - Accent2 2 2 2 2 2 2 3" xfId="8182"/>
    <cellStyle name="60% - Accent2 2 2 2 2 2 2 3" xfId="8183"/>
    <cellStyle name="20% - Accent3 2 2 2 2 2 2 3" xfId="8184"/>
    <cellStyle name="40% - Accent3 2 2 2 2 2 2 3" xfId="8185"/>
    <cellStyle name="60% - Accent3 2 2 2 2 2 2 3" xfId="8186"/>
    <cellStyle name="20% - Accent4 2 2 2 2 2 2 3" xfId="8187"/>
    <cellStyle name="40% - Accent4 2 2 2 2 2 2 3" xfId="8188"/>
    <cellStyle name="60% - Accent4 2 2 2 2 2 2 3" xfId="8189"/>
    <cellStyle name="20% - Accent5 2 2 2 2 2 2 3" xfId="8190"/>
    <cellStyle name="40% - Accent5 2 2 2 2 2 2 3" xfId="8191"/>
    <cellStyle name="60% - Accent5 2 2 2 2 2 2 3" xfId="8192"/>
    <cellStyle name="20% - Accent6 2 2 2 2 2 2 3" xfId="8193"/>
    <cellStyle name="40% - Accent6 2 2 2 2 2 2 3" xfId="8194"/>
    <cellStyle name="60% - Accent6 2 2 2 2 2 2 3" xfId="8195"/>
    <cellStyle name="Comma 2 2 2 2 2 2 3 3" xfId="8196"/>
    <cellStyle name="Comma 4 2 2 2 2 3 3" xfId="8197"/>
    <cellStyle name="Normal 3 8 2 2 2 2 2 3" xfId="8198"/>
    <cellStyle name="Normal 3 10 2 2 2 3" xfId="8199"/>
    <cellStyle name="Normal 3 11 2 2 2 3" xfId="8200"/>
    <cellStyle name="Normal 3 13 2 3" xfId="8201"/>
    <cellStyle name="Normal 3 2 7 2 3" xfId="8202"/>
    <cellStyle name="Normal 3 3 7 2 3" xfId="8203"/>
    <cellStyle name="Normal 3 4 7 2 3" xfId="8204"/>
    <cellStyle name="Normal 3 5 7 2 3" xfId="8205"/>
    <cellStyle name="20% - Accent1 7 2 3" xfId="8206"/>
    <cellStyle name="40% - Accent1 7 2 3" xfId="8207"/>
    <cellStyle name="60% - Accent1 7 2 3" xfId="8208"/>
    <cellStyle name="20% - Accent2 7 2 3" xfId="8209"/>
    <cellStyle name="40% - Accent2 7 2 3" xfId="8210"/>
    <cellStyle name="60% - Accent2 7 2 3" xfId="8211"/>
    <cellStyle name="20% - Accent3 7 2 3" xfId="8212"/>
    <cellStyle name="40% - Accent3 7 2 3" xfId="8213"/>
    <cellStyle name="60% - Accent3 7 2 3" xfId="8214"/>
    <cellStyle name="20% - Accent4 7 2 3" xfId="8215"/>
    <cellStyle name="40% - Accent4 7 2 3" xfId="8216"/>
    <cellStyle name="60% - Accent4 7 2 3" xfId="8217"/>
    <cellStyle name="20% - Accent5 7 2 3" xfId="8218"/>
    <cellStyle name="40% - Accent5 7 2 3" xfId="8219"/>
    <cellStyle name="60% - Accent5 7 2 3" xfId="8220"/>
    <cellStyle name="20% - Accent6 7 2 3" xfId="8221"/>
    <cellStyle name="40% - Accent6 7 2 3" xfId="8222"/>
    <cellStyle name="60% - Accent6 7 2 3" xfId="8223"/>
    <cellStyle name="Normal 3 2 2 6 2 3" xfId="8224"/>
    <cellStyle name="Normal 3 3 2 6 2 3" xfId="8225"/>
    <cellStyle name="Normal 3 4 2 6 2 3" xfId="8226"/>
    <cellStyle name="Normal 3 5 2 6 2 3" xfId="8227"/>
    <cellStyle name="Normal 5 6 2 3" xfId="8228"/>
    <cellStyle name="Percent 3 6 2 3" xfId="8229"/>
    <cellStyle name="Note 2 6 2 3" xfId="8230"/>
    <cellStyle name="Normal 3 6 6 2 3" xfId="8231"/>
    <cellStyle name="Comma 2 8 3 3" xfId="8232"/>
    <cellStyle name="Comma 3 8 3 3" xfId="8233"/>
    <cellStyle name="Percent 4 6 2 3" xfId="8234"/>
    <cellStyle name="Normal 3 7 6 2 3" xfId="8235"/>
    <cellStyle name="Note 3 6 2 3" xfId="8236"/>
    <cellStyle name="20% - Accent1 2 6 2 3" xfId="8237"/>
    <cellStyle name="40% - Accent1 2 6 2 3" xfId="8238"/>
    <cellStyle name="60% - Accent1 2 6 2 3" xfId="8239"/>
    <cellStyle name="20% - Accent2 2 6 2 3" xfId="8240"/>
    <cellStyle name="40% - Accent2 2 6 2 3" xfId="8241"/>
    <cellStyle name="60% - Accent2 2 6 2 3" xfId="8242"/>
    <cellStyle name="20% - Accent3 2 6 2 3" xfId="8243"/>
    <cellStyle name="40% - Accent3 2 6 2 3" xfId="8244"/>
    <cellStyle name="60% - Accent3 2 6 2 3" xfId="8245"/>
    <cellStyle name="20% - Accent4 2 6 2 3" xfId="8246"/>
    <cellStyle name="40% - Accent4 2 6 2 3" xfId="8247"/>
    <cellStyle name="60% - Accent4 2 6 2 3" xfId="8248"/>
    <cellStyle name="20% - Accent5 2 6 2 3" xfId="8249"/>
    <cellStyle name="40% - Accent5 2 6 2 3" xfId="8250"/>
    <cellStyle name="60% - Accent5 2 6 2 3" xfId="8251"/>
    <cellStyle name="20% - Accent6 2 6 2 3" xfId="8252"/>
    <cellStyle name="40% - Accent6 2 6 2 3" xfId="8253"/>
    <cellStyle name="60% - Accent6 2 6 2 3" xfId="8254"/>
    <cellStyle name="Comma 2 2 7 3 3" xfId="8255"/>
    <cellStyle name="Comma 4 7 3 3" xfId="8256"/>
    <cellStyle name="Normal 3 8 6 2 3" xfId="8257"/>
    <cellStyle name="Normal 7 5 2 3" xfId="8258"/>
    <cellStyle name="Comma 5 5 3 3" xfId="8259"/>
    <cellStyle name="20% - Accent1 3 5 2 3" xfId="8260"/>
    <cellStyle name="40% - Accent1 3 5 2 3" xfId="8261"/>
    <cellStyle name="60% - Accent1 3 5 2 3" xfId="8262"/>
    <cellStyle name="20% - Accent2 3 5 2 3" xfId="8263"/>
    <cellStyle name="40% - Accent2 3 5 2 3" xfId="8264"/>
    <cellStyle name="60% - Accent2 3 5 2 3" xfId="8265"/>
    <cellStyle name="20% - Accent3 3 5 2 3" xfId="8266"/>
    <cellStyle name="40% - Accent3 3 5 2 3" xfId="8267"/>
    <cellStyle name="60% - Accent3 3 5 2 3" xfId="8268"/>
    <cellStyle name="20% - Accent4 3 5 2 3" xfId="8269"/>
    <cellStyle name="40% - Accent4 3 5 2 3" xfId="8270"/>
    <cellStyle name="60% - Accent4 3 5 2 3" xfId="8271"/>
    <cellStyle name="20% - Accent5 3 5 2 3" xfId="8272"/>
    <cellStyle name="40% - Accent5 3 5 2 3" xfId="8273"/>
    <cellStyle name="60% - Accent5 3 5 2 3" xfId="8274"/>
    <cellStyle name="20% - Accent6 3 5 2 3" xfId="8275"/>
    <cellStyle name="40% - Accent6 3 5 2 3" xfId="8276"/>
    <cellStyle name="60% - Accent6 3 5 2 3" xfId="8277"/>
    <cellStyle name="Normal 3 2 3 5 2 3" xfId="8278"/>
    <cellStyle name="Normal 3 3 3 5 2 3" xfId="8279"/>
    <cellStyle name="Normal 3 4 3 5 2 3" xfId="8280"/>
    <cellStyle name="Normal 3 5 3 5 2 3" xfId="8281"/>
    <cellStyle name="Normal 3 2 2 2 5 2 3" xfId="8282"/>
    <cellStyle name="Normal 3 3 2 2 5 2 3" xfId="8283"/>
    <cellStyle name="Normal 3 4 2 2 5 2 3" xfId="8284"/>
    <cellStyle name="Normal 3 5 2 2 5 2 3" xfId="8285"/>
    <cellStyle name="Normal 5 2 5 2 3" xfId="8286"/>
    <cellStyle name="Percent 3 2 5 2 3" xfId="8287"/>
    <cellStyle name="Note 2 2 5 2 3" xfId="8288"/>
    <cellStyle name="Normal 3 6 2 5 2 3" xfId="8289"/>
    <cellStyle name="Comma 2 3 5 3 3" xfId="8290"/>
    <cellStyle name="Comma 3 2 5 3 3" xfId="8291"/>
    <cellStyle name="Percent 4 2 5 2 3" xfId="8292"/>
    <cellStyle name="Normal 3 7 2 5 2 3" xfId="8293"/>
    <cellStyle name="Note 3 2 5 2 3" xfId="8294"/>
    <cellStyle name="20% - Accent1 2 2 5 2 3" xfId="8295"/>
    <cellStyle name="40% - Accent1 2 2 5 2 3" xfId="8296"/>
    <cellStyle name="60% - Accent1 2 2 5 2 3" xfId="8297"/>
    <cellStyle name="20% - Accent2 2 2 5 2 3" xfId="8298"/>
    <cellStyle name="40% - Accent2 2 2 5 2 3" xfId="8299"/>
    <cellStyle name="60% - Accent2 2 2 5 2 3" xfId="8300"/>
    <cellStyle name="20% - Accent3 2 2 5 2 3" xfId="8301"/>
    <cellStyle name="40% - Accent3 2 2 5 2 3" xfId="8302"/>
    <cellStyle name="60% - Accent3 2 2 5 2 3" xfId="8303"/>
    <cellStyle name="20% - Accent4 2 2 5 2 3" xfId="8304"/>
    <cellStyle name="40% - Accent4 2 2 5 2 3" xfId="8305"/>
    <cellStyle name="60% - Accent4 2 2 5 2 3" xfId="8306"/>
    <cellStyle name="20% - Accent5 2 2 5 2 3" xfId="8307"/>
    <cellStyle name="40% - Accent5 2 2 5 2 3" xfId="8308"/>
    <cellStyle name="60% - Accent5 2 2 5 2 3" xfId="8309"/>
    <cellStyle name="20% - Accent6 2 2 5 2 3" xfId="8310"/>
    <cellStyle name="40% - Accent6 2 2 5 2 3" xfId="8311"/>
    <cellStyle name="60% - Accent6 2 2 5 2 3" xfId="8312"/>
    <cellStyle name="Comma 2 2 2 5 3 3" xfId="8313"/>
    <cellStyle name="Comma 4 2 5 3 3" xfId="8314"/>
    <cellStyle name="Normal 3 8 2 5 2 3" xfId="8315"/>
    <cellStyle name="Normal 8 4 2 3" xfId="8316"/>
    <cellStyle name="Comma 6 4 3 3" xfId="8317"/>
    <cellStyle name="20% - Accent1 4 4 2 3" xfId="8318"/>
    <cellStyle name="40% - Accent1 4 4 2 3" xfId="8319"/>
    <cellStyle name="60% - Accent1 4 4 2 3" xfId="8320"/>
    <cellStyle name="20% - Accent2 4 4 2 3" xfId="8321"/>
    <cellStyle name="40% - Accent2 4 4 2 3" xfId="8322"/>
    <cellStyle name="60% - Accent2 4 4 2 3" xfId="8323"/>
    <cellStyle name="20% - Accent3 4 4 2 3" xfId="8324"/>
    <cellStyle name="40% - Accent3 4 4 2 3" xfId="8325"/>
    <cellStyle name="60% - Accent3 4 4 2 3" xfId="8326"/>
    <cellStyle name="20% - Accent4 4 4 2 3" xfId="8327"/>
    <cellStyle name="40% - Accent4 4 4 2 3" xfId="8328"/>
    <cellStyle name="60% - Accent4 4 4 2 3" xfId="8329"/>
    <cellStyle name="20% - Accent5 4 4 2 3" xfId="8330"/>
    <cellStyle name="40% - Accent5 4 4 2 3" xfId="8331"/>
    <cellStyle name="60% - Accent5 4 4 2 3" xfId="8332"/>
    <cellStyle name="20% - Accent6 4 4 2 3" xfId="8333"/>
    <cellStyle name="40% - Accent6 4 4 2 3" xfId="8334"/>
    <cellStyle name="60% - Accent6 4 4 2 3" xfId="8335"/>
    <cellStyle name="Normal 3 2 4 4 2 3" xfId="8336"/>
    <cellStyle name="Normal 3 3 4 4 2 3" xfId="8337"/>
    <cellStyle name="Normal 3 4 4 4 2 3" xfId="8338"/>
    <cellStyle name="Normal 3 5 4 4 2 3" xfId="8339"/>
    <cellStyle name="Normal 3 2 2 3 4 2 3" xfId="8340"/>
    <cellStyle name="Normal 3 3 2 3 4 2 3" xfId="8341"/>
    <cellStyle name="Normal 3 4 2 3 4 2 3" xfId="8342"/>
    <cellStyle name="Normal 3 5 2 3 4 2 3" xfId="8343"/>
    <cellStyle name="Normal 5 3 4 2 3" xfId="8344"/>
    <cellStyle name="Percent 3 3 4 2 3" xfId="8345"/>
    <cellStyle name="Note 2 3 4 2 3" xfId="8346"/>
    <cellStyle name="Normal 3 6 3 4 2 3" xfId="8347"/>
    <cellStyle name="Comma 2 5 4 3 3" xfId="8348"/>
    <cellStyle name="Comma 3 4 4 3 3" xfId="8349"/>
    <cellStyle name="Percent 4 3 4 2 3" xfId="8350"/>
    <cellStyle name="Normal 3 7 3 4 2 3" xfId="8351"/>
    <cellStyle name="Note 3 3 4 2 3" xfId="8352"/>
    <cellStyle name="20% - Accent1 2 3 4 2 3" xfId="8353"/>
    <cellStyle name="40% - Accent1 2 3 4 2 3" xfId="8354"/>
    <cellStyle name="60% - Accent1 2 3 4 2 3" xfId="8355"/>
    <cellStyle name="20% - Accent2 2 3 4 2 3" xfId="8356"/>
    <cellStyle name="40% - Accent2 2 3 4 2 3" xfId="8357"/>
    <cellStyle name="60% - Accent2 2 3 4 2 3" xfId="8358"/>
    <cellStyle name="20% - Accent3 2 3 4 2 3" xfId="8359"/>
    <cellStyle name="40% - Accent3 2 3 4 2 3" xfId="8360"/>
    <cellStyle name="60% - Accent3 2 3 4 2 3" xfId="8361"/>
    <cellStyle name="20% - Accent4 2 3 4 2 3" xfId="8362"/>
    <cellStyle name="40% - Accent4 2 3 4 2 3" xfId="8363"/>
    <cellStyle name="60% - Accent4 2 3 4 2 3" xfId="8364"/>
    <cellStyle name="20% - Accent5 2 3 4 2 3" xfId="8365"/>
    <cellStyle name="40% - Accent5 2 3 4 2 3" xfId="8366"/>
    <cellStyle name="60% - Accent5 2 3 4 2 3" xfId="8367"/>
    <cellStyle name="20% - Accent6 2 3 4 2 3" xfId="8368"/>
    <cellStyle name="40% - Accent6 2 3 4 2 3" xfId="8369"/>
    <cellStyle name="60% - Accent6 2 3 4 2 3" xfId="8370"/>
    <cellStyle name="Comma 2 2 4 4 3 3" xfId="8371"/>
    <cellStyle name="Comma 4 4 4 3 3" xfId="8372"/>
    <cellStyle name="Normal 3 8 3 4 2 3" xfId="8373"/>
    <cellStyle name="Comma 2 4 4 3 3" xfId="8374"/>
    <cellStyle name="Comma 3 3 4 3 3" xfId="8375"/>
    <cellStyle name="Comma 2 2 3 4 3 3" xfId="8376"/>
    <cellStyle name="Comma 4 3 4 3 3" xfId="8377"/>
    <cellStyle name="Normal 7 2 4 2 3" xfId="8378"/>
    <cellStyle name="Comma 5 2 4 3 3" xfId="8379"/>
    <cellStyle name="20% - Accent1 3 2 4 2 3" xfId="8380"/>
    <cellStyle name="40% - Accent1 3 2 4 2 3" xfId="8381"/>
    <cellStyle name="60% - Accent1 3 2 4 2 3" xfId="8382"/>
    <cellStyle name="20% - Accent2 3 2 4 2 3" xfId="8383"/>
    <cellStyle name="40% - Accent2 3 2 4 2 3" xfId="8384"/>
    <cellStyle name="60% - Accent2 3 2 4 2 3" xfId="8385"/>
    <cellStyle name="20% - Accent3 3 2 4 2 3" xfId="8386"/>
    <cellStyle name="40% - Accent3 3 2 4 2 3" xfId="8387"/>
    <cellStyle name="60% - Accent3 3 2 4 2 3" xfId="8388"/>
    <cellStyle name="20% - Accent4 3 2 4 2 3" xfId="8389"/>
    <cellStyle name="40% - Accent4 3 2 4 2 3" xfId="8390"/>
    <cellStyle name="60% - Accent4 3 2 4 2 3" xfId="8391"/>
    <cellStyle name="20% - Accent5 3 2 4 2 3" xfId="8392"/>
    <cellStyle name="40% - Accent5 3 2 4 2 3" xfId="8393"/>
    <cellStyle name="60% - Accent5 3 2 4 2 3" xfId="8394"/>
    <cellStyle name="20% - Accent6 3 2 4 2 3" xfId="8395"/>
    <cellStyle name="40% - Accent6 3 2 4 2 3" xfId="8396"/>
    <cellStyle name="60% - Accent6 3 2 4 2 3" xfId="8397"/>
    <cellStyle name="Normal 3 2 3 2 4 2 3" xfId="8398"/>
    <cellStyle name="Normal 3 3 3 2 4 2 3" xfId="8399"/>
    <cellStyle name="Normal 3 4 3 2 4 2 3" xfId="8400"/>
    <cellStyle name="Normal 3 5 3 2 4 2 3" xfId="8401"/>
    <cellStyle name="Normal 3 2 2 2 2 4 2 3" xfId="8402"/>
    <cellStyle name="Normal 3 3 2 2 2 4 2 3" xfId="8403"/>
    <cellStyle name="Normal 3 4 2 2 2 4 2 3" xfId="8404"/>
    <cellStyle name="Normal 3 5 2 2 2 4 2 3" xfId="8405"/>
    <cellStyle name="Normal 5 2 2 4 2 3" xfId="8406"/>
    <cellStyle name="Percent 3 2 2 4 2 3" xfId="8407"/>
    <cellStyle name="Note 2 2 2 4 2 3" xfId="8408"/>
    <cellStyle name="Normal 3 6 2 2 4 2 3" xfId="8409"/>
    <cellStyle name="Comma 2 3 2 4 3 3" xfId="8410"/>
    <cellStyle name="Comma 3 2 2 4 3 3" xfId="8411"/>
    <cellStyle name="Percent 4 2 2 4 2 3" xfId="8412"/>
    <cellStyle name="Normal 3 7 2 2 4 2 3" xfId="8413"/>
    <cellStyle name="Note 3 2 2 4 2 3" xfId="8414"/>
    <cellStyle name="20% - Accent1 2 2 2 4 2 3" xfId="8415"/>
    <cellStyle name="40% - Accent1 2 2 2 4 2 3" xfId="8416"/>
    <cellStyle name="60% - Accent1 2 2 2 4 2 3" xfId="8417"/>
    <cellStyle name="20% - Accent2 2 2 2 4 2 3" xfId="8418"/>
    <cellStyle name="40% - Accent2 2 2 2 4 2 3" xfId="8419"/>
    <cellStyle name="60% - Accent2 2 2 2 4 2 3" xfId="8420"/>
    <cellStyle name="20% - Accent3 2 2 2 4 2 3" xfId="8421"/>
    <cellStyle name="40% - Accent3 2 2 2 4 2 3" xfId="8422"/>
    <cellStyle name="60% - Accent3 2 2 2 4 2 3" xfId="8423"/>
    <cellStyle name="20% - Accent4 2 2 2 4 2 3" xfId="8424"/>
    <cellStyle name="40% - Accent4 2 2 2 4 2 3" xfId="8425"/>
    <cellStyle name="60% - Accent4 2 2 2 4 2 3" xfId="8426"/>
    <cellStyle name="20% - Accent5 2 2 2 4 2 3" xfId="8427"/>
    <cellStyle name="40% - Accent5 2 2 2 4 2 3" xfId="8428"/>
    <cellStyle name="60% - Accent5 2 2 2 4 2 3" xfId="8429"/>
    <cellStyle name="20% - Accent6 2 2 2 4 2 3" xfId="8430"/>
    <cellStyle name="40% - Accent6 2 2 2 4 2 3" xfId="8431"/>
    <cellStyle name="60% - Accent6 2 2 2 4 2 3" xfId="8432"/>
    <cellStyle name="Comma 2 2 2 2 4 3 3" xfId="8433"/>
    <cellStyle name="Comma 4 2 2 4 3 3" xfId="8434"/>
    <cellStyle name="Normal 3 8 2 2 4 2 3" xfId="8435"/>
    <cellStyle name="Normal 3 10 4 2 3" xfId="8436"/>
    <cellStyle name="Normal 3 11 4 2 3" xfId="8437"/>
    <cellStyle name="Normal 12 2 3" xfId="8438"/>
    <cellStyle name="Percent 8 2 3" xfId="8439"/>
    <cellStyle name="Note 4 2 3" xfId="8440"/>
    <cellStyle name="20% - Accent1 8 2 3" xfId="8441"/>
    <cellStyle name="40% - Accent1 8 2 3" xfId="8442"/>
    <cellStyle name="60% - Accent1 8 2 3" xfId="8443"/>
    <cellStyle name="20% - Accent2 8 2 3" xfId="8444"/>
    <cellStyle name="40% - Accent2 8 2 3" xfId="8445"/>
    <cellStyle name="60% - Accent2 8 2 3" xfId="8446"/>
    <cellStyle name="20% - Accent3 8 2 3" xfId="8447"/>
    <cellStyle name="40% - Accent3 8 2 3" xfId="8448"/>
    <cellStyle name="60% - Accent3 8 2 3" xfId="8449"/>
    <cellStyle name="20% - Accent4 8 2 3" xfId="8450"/>
    <cellStyle name="40% - Accent4 8 2 3" xfId="8451"/>
    <cellStyle name="60% - Accent4 8 2 3" xfId="8452"/>
    <cellStyle name="20% - Accent5 8 2 3" xfId="8453"/>
    <cellStyle name="40% - Accent5 8 2 3" xfId="8454"/>
    <cellStyle name="60% - Accent5 8 2 3" xfId="8455"/>
    <cellStyle name="20% - Accent6 8 2 3" xfId="8456"/>
    <cellStyle name="40% - Accent6 8 2 3" xfId="8457"/>
    <cellStyle name="60% - Accent6 8 2 3" xfId="8458"/>
    <cellStyle name="Comma 2 9 3 3" xfId="8459"/>
    <cellStyle name="Comma 7 3 3" xfId="8460"/>
    <cellStyle name="Normal 13 4 3" xfId="8461"/>
    <cellStyle name="Comma 8 2 3" xfId="8462"/>
    <cellStyle name="20% - Accent1 9 2 3" xfId="8463"/>
    <cellStyle name="40% - Accent1 9 2 3" xfId="8464"/>
    <cellStyle name="60% - Accent1 9 2 3" xfId="8465"/>
    <cellStyle name="20% - Accent2 9 2 3" xfId="8466"/>
    <cellStyle name="40% - Accent2 9 2 3" xfId="8467"/>
    <cellStyle name="60% - Accent2 9 2 3" xfId="8468"/>
    <cellStyle name="20% - Accent3 9 2 3" xfId="8469"/>
    <cellStyle name="40% - Accent3 9 2 3" xfId="8470"/>
    <cellStyle name="60% - Accent3 9 2 3" xfId="8471"/>
    <cellStyle name="20% - Accent4 9 2 3" xfId="8472"/>
    <cellStyle name="40% - Accent4 9 2 3" xfId="8473"/>
    <cellStyle name="60% - Accent4 9 2 3" xfId="8474"/>
    <cellStyle name="20% - Accent5 9 2 3" xfId="8475"/>
    <cellStyle name="40% - Accent5 9 2 3" xfId="8476"/>
    <cellStyle name="60% - Accent5 9 2 3" xfId="8477"/>
    <cellStyle name="20% - Accent6 9 2 3" xfId="8478"/>
    <cellStyle name="40% - Accent6 9 2 3" xfId="8479"/>
    <cellStyle name="60% - Accent6 9 2 3" xfId="8480"/>
    <cellStyle name="Normal 3 2 8 2 3" xfId="8481"/>
    <cellStyle name="Normal 3 3 8 2 3" xfId="8482"/>
    <cellStyle name="Normal 3 4 8 2 3" xfId="8483"/>
    <cellStyle name="Normal 3 5 8 2 3" xfId="8484"/>
    <cellStyle name="Normal 3 2 2 7 2 3" xfId="8485"/>
    <cellStyle name="Normal 3 3 2 7 2 3" xfId="8486"/>
    <cellStyle name="Normal 3 4 2 7 2 3" xfId="8487"/>
    <cellStyle name="Normal 3 5 2 7 2 3" xfId="8488"/>
    <cellStyle name="Normal 5 7 2 3" xfId="8489"/>
    <cellStyle name="Percent 3 7 2 3" xfId="8490"/>
    <cellStyle name="Note 2 7 2 3" xfId="8491"/>
    <cellStyle name="Normal 3 6 7 2 3" xfId="8492"/>
    <cellStyle name="Comma 2 10 2 3" xfId="8493"/>
    <cellStyle name="Comma 3 9 2 3" xfId="8494"/>
    <cellStyle name="Percent 4 7 2 3" xfId="8495"/>
    <cellStyle name="Normal 3 7 7 2 3" xfId="8496"/>
    <cellStyle name="Note 3 7 2 3" xfId="8497"/>
    <cellStyle name="20% - Accent1 2 7 2 3" xfId="8498"/>
    <cellStyle name="40% - Accent1 2 7 2 3" xfId="8499"/>
    <cellStyle name="60% - Accent1 2 7 2 3" xfId="8500"/>
    <cellStyle name="20% - Accent2 2 7 2 3" xfId="8501"/>
    <cellStyle name="40% - Accent2 2 7 2 3" xfId="8502"/>
    <cellStyle name="60% - Accent2 2 7 2 3" xfId="8503"/>
    <cellStyle name="20% - Accent3 2 7 2 3" xfId="8504"/>
    <cellStyle name="40% - Accent3 2 7 2 3" xfId="8505"/>
    <cellStyle name="60% - Accent3 2 7 2 3" xfId="8506"/>
    <cellStyle name="20% - Accent4 2 7 2 3" xfId="8507"/>
    <cellStyle name="40% - Accent4 2 7 2 3" xfId="8508"/>
    <cellStyle name="60% - Accent4 2 7 2 3" xfId="8509"/>
    <cellStyle name="20% - Accent5 2 7 2 3" xfId="8510"/>
    <cellStyle name="40% - Accent5 2 7 2 3" xfId="8511"/>
    <cellStyle name="60% - Accent5 2 7 2 3" xfId="8512"/>
    <cellStyle name="20% - Accent6 2 7 2 3" xfId="8513"/>
    <cellStyle name="40% - Accent6 2 7 2 3" xfId="8514"/>
    <cellStyle name="60% - Accent6 2 7 2 3" xfId="8515"/>
    <cellStyle name="Comma 2 2 8 2 3" xfId="8516"/>
    <cellStyle name="Comma 4 8 2 3" xfId="8517"/>
    <cellStyle name="Normal 3 8 7 2 3" xfId="8518"/>
    <cellStyle name="Comma 2 4 5 2 3" xfId="8519"/>
    <cellStyle name="Comma 3 3 5 2 3" xfId="8520"/>
    <cellStyle name="Comma 2 2 3 5 2 3" xfId="8521"/>
    <cellStyle name="Comma 4 3 5 2 3" xfId="8522"/>
    <cellStyle name="Normal 7 6 2 3" xfId="8523"/>
    <cellStyle name="Comma 5 6 2 3" xfId="8524"/>
    <cellStyle name="20% - Accent1 3 6 2 3" xfId="8525"/>
    <cellStyle name="40% - Accent1 3 6 2 3" xfId="8526"/>
    <cellStyle name="60% - Accent1 3 6 2 3" xfId="8527"/>
    <cellStyle name="20% - Accent2 3 6 2 3" xfId="8528"/>
    <cellStyle name="40% - Accent2 3 6 2 3" xfId="8529"/>
    <cellStyle name="60% - Accent2 3 6 2 3" xfId="8530"/>
    <cellStyle name="20% - Accent3 3 6 2 3" xfId="8531"/>
    <cellStyle name="40% - Accent3 3 6 2 3" xfId="8532"/>
    <cellStyle name="60% - Accent3 3 6 2 3" xfId="8533"/>
    <cellStyle name="20% - Accent4 3 6 2 3" xfId="8534"/>
    <cellStyle name="40% - Accent4 3 6 2 3" xfId="8535"/>
    <cellStyle name="60% - Accent4 3 6 2 3" xfId="8536"/>
    <cellStyle name="20% - Accent5 3 6 2 3" xfId="8537"/>
    <cellStyle name="40% - Accent5 3 6 2 3" xfId="8538"/>
    <cellStyle name="60% - Accent5 3 6 2 3" xfId="8539"/>
    <cellStyle name="20% - Accent6 3 6 2 3" xfId="8540"/>
    <cellStyle name="40% - Accent6 3 6 2 3" xfId="8541"/>
    <cellStyle name="60% - Accent6 3 6 2 3" xfId="8542"/>
    <cellStyle name="Normal 3 2 3 6 2 3" xfId="8543"/>
    <cellStyle name="Normal 3 3 3 6 2 3" xfId="8544"/>
    <cellStyle name="Normal 3 4 3 6 2 3" xfId="8545"/>
    <cellStyle name="Normal 3 5 3 6 2 3" xfId="8546"/>
    <cellStyle name="Normal 3 2 2 2 6 2 3" xfId="8547"/>
    <cellStyle name="Normal 3 3 2 2 6 2 3" xfId="8548"/>
    <cellStyle name="Normal 3 4 2 2 6 2 3" xfId="8549"/>
    <cellStyle name="Normal 3 5 2 2 6 2 3" xfId="8550"/>
    <cellStyle name="Normal 5 2 6 2 3" xfId="8551"/>
    <cellStyle name="Percent 3 2 6 2 3" xfId="8552"/>
    <cellStyle name="Note 2 2 6 2 3" xfId="8553"/>
    <cellStyle name="Normal 3 6 2 6 2 3" xfId="8554"/>
    <cellStyle name="Comma 2 3 6 2 3" xfId="8555"/>
    <cellStyle name="Comma 3 2 6 2 3" xfId="8556"/>
    <cellStyle name="Percent 4 2 6 2 3" xfId="8557"/>
    <cellStyle name="Normal 3 7 2 6 2 3" xfId="8558"/>
    <cellStyle name="Note 3 2 6 2 3" xfId="8559"/>
    <cellStyle name="20% - Accent1 2 2 6 2 3" xfId="8560"/>
    <cellStyle name="40% - Accent1 2 2 6 2 3" xfId="8561"/>
    <cellStyle name="60% - Accent1 2 2 6 2 3" xfId="8562"/>
    <cellStyle name="20% - Accent2 2 2 6 2 3" xfId="8563"/>
    <cellStyle name="40% - Accent2 2 2 6 2 3" xfId="8564"/>
    <cellStyle name="60% - Accent2 2 2 6 2 3" xfId="8565"/>
    <cellStyle name="20% - Accent3 2 2 6 2 3" xfId="8566"/>
    <cellStyle name="40% - Accent3 2 2 6 2 3" xfId="8567"/>
    <cellStyle name="60% - Accent3 2 2 6 2 3" xfId="8568"/>
    <cellStyle name="20% - Accent4 2 2 6 2 3" xfId="8569"/>
    <cellStyle name="40% - Accent4 2 2 6 2 3" xfId="8570"/>
    <cellStyle name="60% - Accent4 2 2 6 2 3" xfId="8571"/>
    <cellStyle name="20% - Accent5 2 2 6 2 3" xfId="8572"/>
    <cellStyle name="40% - Accent5 2 2 6 2 3" xfId="8573"/>
    <cellStyle name="60% - Accent5 2 2 6 2 3" xfId="8574"/>
    <cellStyle name="20% - Accent6 2 2 6 2 3" xfId="8575"/>
    <cellStyle name="40% - Accent6 2 2 6 2 3" xfId="8576"/>
    <cellStyle name="60% - Accent6 2 2 6 2 3" xfId="8577"/>
    <cellStyle name="Comma 2 2 2 6 2 3" xfId="8578"/>
    <cellStyle name="Comma 4 2 6 2 3" xfId="8579"/>
    <cellStyle name="Normal 3 8 2 6 2 3" xfId="8580"/>
    <cellStyle name="Comma 2 11 3" xfId="8581"/>
    <cellStyle name="Comma 3 10 3" xfId="8582"/>
    <cellStyle name="Comma 2 2 9 3" xfId="8583"/>
    <cellStyle name="Comma 4 9 3" xfId="8584"/>
    <cellStyle name="Comma 5 7 3" xfId="8585"/>
    <cellStyle name="Comma 2 3 7 3" xfId="8586"/>
    <cellStyle name="Comma 3 2 7 3" xfId="8587"/>
    <cellStyle name="Comma 2 2 2 7 3" xfId="8588"/>
    <cellStyle name="Comma 4 2 7 3" xfId="8589"/>
    <cellStyle name="Comma 6 5 3" xfId="8590"/>
    <cellStyle name="Comma 2 5 5 3" xfId="8591"/>
    <cellStyle name="Comma 3 4 5 3" xfId="8592"/>
    <cellStyle name="Comma 2 2 4 5 3" xfId="8593"/>
    <cellStyle name="Comma 4 4 5 3" xfId="8594"/>
    <cellStyle name="Comma 2 4 6 3" xfId="8595"/>
    <cellStyle name="Comma 3 3 6 3" xfId="8596"/>
    <cellStyle name="Comma 2 2 3 6 3" xfId="8597"/>
    <cellStyle name="Comma 4 3 6 3" xfId="8598"/>
    <cellStyle name="Comma 5 2 5 3" xfId="8599"/>
    <cellStyle name="Comma 2 3 2 5 3" xfId="8600"/>
    <cellStyle name="Comma 3 2 2 5 3" xfId="8601"/>
    <cellStyle name="Comma 2 2 2 2 5 3" xfId="8602"/>
    <cellStyle name="Comma 4 2 2 5 3" xfId="8603"/>
    <cellStyle name="Comma 2 6 3 3" xfId="8604"/>
    <cellStyle name="Comma 3 5 3 3" xfId="8605"/>
    <cellStyle name="Comma 2 2 5 3 3" xfId="8606"/>
    <cellStyle name="Comma 4 5 3 3" xfId="8607"/>
    <cellStyle name="Comma 5 3 3 3" xfId="8608"/>
    <cellStyle name="Comma 2 3 3 3 3" xfId="8609"/>
    <cellStyle name="Comma 3 2 3 3 3" xfId="8610"/>
    <cellStyle name="Comma 2 2 2 3 3 3" xfId="8611"/>
    <cellStyle name="Comma 4 2 3 3 3" xfId="8612"/>
    <cellStyle name="Comma 6 2 3 3" xfId="8613"/>
    <cellStyle name="Comma 2 5 2 3 3" xfId="8614"/>
    <cellStyle name="Comma 3 4 2 3 3" xfId="8615"/>
    <cellStyle name="Comma 2 2 4 2 3 3" xfId="8616"/>
    <cellStyle name="Comma 4 4 2 3 3" xfId="8617"/>
    <cellStyle name="Comma 2 4 2 3 3" xfId="8618"/>
    <cellStyle name="Comma 3 3 2 3 3" xfId="8619"/>
    <cellStyle name="Comma 2 2 3 2 3 3" xfId="8620"/>
    <cellStyle name="Comma 4 3 2 3 3" xfId="8621"/>
    <cellStyle name="Comma 5 2 2 3 3" xfId="8622"/>
    <cellStyle name="Comma 2 3 2 2 3 3" xfId="8623"/>
    <cellStyle name="Comma 3 2 2 2 3 3" xfId="8624"/>
    <cellStyle name="Comma 2 2 2 2 2 3 3" xfId="8625"/>
    <cellStyle name="Comma 4 2 2 2 3 3" xfId="8626"/>
    <cellStyle name="Comma 2 7 2 3" xfId="8627"/>
    <cellStyle name="Comma 3 7 2 3" xfId="8628"/>
    <cellStyle name="Comma 2 2 6 2 3" xfId="8629"/>
    <cellStyle name="Comma 4 6 2 3" xfId="8630"/>
    <cellStyle name="Comma 5 4 2 3" xfId="8631"/>
    <cellStyle name="Comma 2 3 4 2 3" xfId="8632"/>
    <cellStyle name="Comma 3 2 4 2 3" xfId="8633"/>
    <cellStyle name="Comma 2 2 2 4 2 3" xfId="8634"/>
    <cellStyle name="Comma 4 2 4 2 3" xfId="8635"/>
    <cellStyle name="Comma 6 3 2 3" xfId="8636"/>
    <cellStyle name="Comma 2 5 3 2 3" xfId="8637"/>
    <cellStyle name="Comma 3 4 3 2 3" xfId="8638"/>
    <cellStyle name="Comma 2 2 4 3 2 3" xfId="8639"/>
    <cellStyle name="Comma 4 4 3 2 3" xfId="8640"/>
    <cellStyle name="Comma 2 4 3 2 3" xfId="8641"/>
    <cellStyle name="Comma 3 3 3 2 3" xfId="8642"/>
    <cellStyle name="Comma 2 2 3 3 2 3" xfId="8643"/>
    <cellStyle name="Comma 4 3 3 2 3" xfId="8644"/>
    <cellStyle name="Comma 5 2 3 2 3" xfId="8645"/>
    <cellStyle name="Comma 2 3 2 3 2 3" xfId="8646"/>
    <cellStyle name="Comma 3 2 2 3 2 3" xfId="8647"/>
    <cellStyle name="Comma 2 2 2 2 3 2 3" xfId="8648"/>
    <cellStyle name="Comma 4 2 2 3 2 3" xfId="8649"/>
    <cellStyle name="Comma 3 6 2 3" xfId="8650"/>
    <cellStyle name="Comma 2 6 2 2 3" xfId="8651"/>
    <cellStyle name="Comma 3 5 2 2 3" xfId="8652"/>
    <cellStyle name="Comma 2 2 5 2 2 3" xfId="8653"/>
    <cellStyle name="Comma 4 5 2 2 3" xfId="8654"/>
    <cellStyle name="Comma 5 3 2 2 3" xfId="8655"/>
    <cellStyle name="Comma 2 3 3 2 2 3" xfId="8656"/>
    <cellStyle name="Comma 3 2 3 2 2 3" xfId="8657"/>
    <cellStyle name="Comma 2 2 2 3 2 2 3" xfId="8658"/>
    <cellStyle name="Comma 4 2 3 2 2 3" xfId="8659"/>
    <cellStyle name="Comma 6 2 2 2 3" xfId="8660"/>
    <cellStyle name="Comma 2 5 2 2 2 3" xfId="8661"/>
    <cellStyle name="Comma 3 4 2 2 2 3" xfId="8662"/>
    <cellStyle name="Comma 2 2 4 2 2 2 3" xfId="8663"/>
    <cellStyle name="Comma 4 4 2 2 2 3" xfId="8664"/>
    <cellStyle name="Comma 2 4 2 2 2 3" xfId="8665"/>
    <cellStyle name="Comma 3 3 2 2 2 3" xfId="8666"/>
    <cellStyle name="Comma 2 2 3 2 2 2 3" xfId="8667"/>
    <cellStyle name="Comma 4 3 2 2 2 3" xfId="8668"/>
    <cellStyle name="Comma 5 2 2 2 2 3" xfId="8669"/>
    <cellStyle name="Comma 2 3 2 2 2 2 3" xfId="8670"/>
    <cellStyle name="Comma 3 2 2 2 2 2 3" xfId="8671"/>
    <cellStyle name="Comma 2 2 2 2 2 2 2 3" xfId="8672"/>
    <cellStyle name="Comma 4 2 2 2 2 2 3" xfId="8673"/>
    <cellStyle name="Comma 2 8 2 3" xfId="8674"/>
    <cellStyle name="Comma 3 8 2 3" xfId="8675"/>
    <cellStyle name="Comma 2 2 7 2 3" xfId="8676"/>
    <cellStyle name="Comma 4 7 2 3" xfId="8677"/>
    <cellStyle name="Comma 5 5 2 3" xfId="8678"/>
    <cellStyle name="Comma 2 3 5 2 3" xfId="8679"/>
    <cellStyle name="Comma 3 2 5 2 3" xfId="8680"/>
    <cellStyle name="Comma 2 2 2 5 2 3" xfId="8681"/>
    <cellStyle name="Comma 4 2 5 2 3" xfId="8682"/>
    <cellStyle name="Comma 6 4 2 3" xfId="8683"/>
    <cellStyle name="Comma 2 5 4 2 3" xfId="8684"/>
    <cellStyle name="Comma 3 4 4 2 3" xfId="8685"/>
    <cellStyle name="Comma 2 2 4 4 2 3" xfId="8686"/>
    <cellStyle name="Comma 4 4 4 2 3" xfId="8687"/>
    <cellStyle name="Comma 2 4 4 2 3" xfId="8688"/>
    <cellStyle name="Comma 3 3 4 2 3" xfId="8689"/>
    <cellStyle name="Comma 2 2 3 4 2 3" xfId="8690"/>
    <cellStyle name="Comma 4 3 4 2 3" xfId="8691"/>
    <cellStyle name="Comma 5 2 4 2 3" xfId="8692"/>
    <cellStyle name="Comma 2 3 2 4 2 3" xfId="8693"/>
    <cellStyle name="Comma 3 2 2 4 2 3" xfId="8694"/>
    <cellStyle name="Comma 2 2 2 2 4 2 3" xfId="8695"/>
    <cellStyle name="Comma 4 2 2 4 2 3" xfId="8696"/>
    <cellStyle name="Comma 2 9 2 3" xfId="8697"/>
    <cellStyle name="Comma 7 2 3" xfId="8698"/>
    <cellStyle name="Normal 13 2 3" xfId="8699"/>
    <cellStyle name="Normal 6 3 3" xfId="8700"/>
    <cellStyle name="Percent 5 3 3" xfId="8701"/>
    <cellStyle name="Normal 18 3" xfId="8702"/>
    <cellStyle name="20% - Accent1 13" xfId="8703"/>
    <cellStyle name="40% - Accent1 13" xfId="8704"/>
    <cellStyle name="60% - Accent1 13" xfId="8705"/>
    <cellStyle name="20% - Accent2 13" xfId="8706"/>
    <cellStyle name="40% - Accent2 13" xfId="8707"/>
    <cellStyle name="60% - Accent2 13" xfId="8708"/>
    <cellStyle name="20% - Accent3 13" xfId="8709"/>
    <cellStyle name="40% - Accent3 13" xfId="8710"/>
    <cellStyle name="60% - Accent3 13" xfId="8711"/>
    <cellStyle name="20% - Accent4 13" xfId="8712"/>
    <cellStyle name="40% - Accent4 13" xfId="8713"/>
    <cellStyle name="60% - Accent4 13" xfId="8714"/>
    <cellStyle name="20% - Accent5 13" xfId="8715"/>
    <cellStyle name="40% - Accent5 13" xfId="8716"/>
    <cellStyle name="60% - Accent5 13" xfId="8717"/>
    <cellStyle name="20% - Accent6 13" xfId="8718"/>
    <cellStyle name="40% - Accent6 13" xfId="8719"/>
    <cellStyle name="60% - Accent6 13" xfId="8720"/>
    <cellStyle name="Normal 3 2 12" xfId="8721"/>
    <cellStyle name="Normal 3 3 12" xfId="8722"/>
    <cellStyle name="Normal 3 4 12" xfId="8723"/>
    <cellStyle name="Normal 3 5 12" xfId="8724"/>
    <cellStyle name="Normal 3 2 2 11" xfId="8725"/>
    <cellStyle name="Normal 3 3 2 11" xfId="8726"/>
    <cellStyle name="Normal 3 4 2 11" xfId="8727"/>
    <cellStyle name="Normal 3 5 2 11" xfId="8728"/>
    <cellStyle name="Normal 5 11" xfId="8729"/>
    <cellStyle name="Percent 3 11" xfId="8730"/>
    <cellStyle name="Note 2 11" xfId="8731"/>
    <cellStyle name="Normal 3 6 11" xfId="8732"/>
    <cellStyle name="Comma 2 15" xfId="8733"/>
    <cellStyle name="Comma 3 14" xfId="8734"/>
    <cellStyle name="Percent 4 11" xfId="8735"/>
    <cellStyle name="Normal 3 7 11" xfId="8736"/>
    <cellStyle name="Note 3 11" xfId="8737"/>
    <cellStyle name="20% - Accent1 2 11" xfId="8738"/>
    <cellStyle name="40% - Accent1 2 11" xfId="8739"/>
    <cellStyle name="60% - Accent1 2 11" xfId="8740"/>
    <cellStyle name="20% - Accent2 2 11" xfId="8741"/>
    <cellStyle name="40% - Accent2 2 11" xfId="8742"/>
    <cellStyle name="60% - Accent2 2 11" xfId="8743"/>
    <cellStyle name="20% - Accent3 2 11" xfId="8744"/>
    <cellStyle name="40% - Accent3 2 11" xfId="8745"/>
    <cellStyle name="60% - Accent3 2 11" xfId="8746"/>
    <cellStyle name="20% - Accent4 2 11" xfId="8747"/>
    <cellStyle name="40% - Accent4 2 11" xfId="8748"/>
    <cellStyle name="60% - Accent4 2 11" xfId="8749"/>
    <cellStyle name="20% - Accent5 2 11" xfId="8750"/>
    <cellStyle name="40% - Accent5 2 11" xfId="8751"/>
    <cellStyle name="60% - Accent5 2 11" xfId="8752"/>
    <cellStyle name="20% - Accent6 2 11" xfId="8753"/>
    <cellStyle name="40% - Accent6 2 11" xfId="8754"/>
    <cellStyle name="60% - Accent6 2 11" xfId="8755"/>
    <cellStyle name="Comma 2 2 13" xfId="8756"/>
    <cellStyle name="Comma 4 13" xfId="8757"/>
    <cellStyle name="Percent 11" xfId="8758"/>
    <cellStyle name="Normal 3 8 11" xfId="8759"/>
    <cellStyle name="Normal 7 10" xfId="8760"/>
    <cellStyle name="Comma 5 11" xfId="8761"/>
    <cellStyle name="20% - Accent1 3 10" xfId="8762"/>
    <cellStyle name="40% - Accent1 3 10" xfId="8763"/>
    <cellStyle name="60% - Accent1 3 10" xfId="8764"/>
    <cellStyle name="20% - Accent2 3 10" xfId="8765"/>
    <cellStyle name="40% - Accent2 3 10" xfId="8766"/>
    <cellStyle name="60% - Accent2 3 10" xfId="8767"/>
    <cellStyle name="20% - Accent3 3 10" xfId="8768"/>
    <cellStyle name="40% - Accent3 3 10" xfId="8769"/>
    <cellStyle name="60% - Accent3 3 10" xfId="8770"/>
    <cellStyle name="20% - Accent4 3 10" xfId="8771"/>
    <cellStyle name="40% - Accent4 3 10" xfId="8772"/>
    <cellStyle name="60% - Accent4 3 10" xfId="8773"/>
    <cellStyle name="20% - Accent5 3 10" xfId="8774"/>
    <cellStyle name="40% - Accent5 3 10" xfId="8775"/>
    <cellStyle name="60% - Accent5 3 10" xfId="8776"/>
    <cellStyle name="20% - Accent6 3 10" xfId="8777"/>
    <cellStyle name="40% - Accent6 3 10" xfId="8778"/>
    <cellStyle name="60% - Accent6 3 10" xfId="8779"/>
    <cellStyle name="Normal 3 2 3 10" xfId="8780"/>
    <cellStyle name="Normal 3 3 3 10" xfId="8781"/>
    <cellStyle name="Normal 3 4 3 10" xfId="8782"/>
    <cellStyle name="Normal 3 5 3 10" xfId="8783"/>
    <cellStyle name="Normal 3 2 2 2 10" xfId="8784"/>
    <cellStyle name="Normal 3 3 2 2 10" xfId="8785"/>
    <cellStyle name="Normal 3 4 2 2 10" xfId="8786"/>
    <cellStyle name="Normal 3 5 2 2 10" xfId="8787"/>
    <cellStyle name="Normal 5 2 10" xfId="8788"/>
    <cellStyle name="Percent 3 2 10" xfId="8789"/>
    <cellStyle name="Note 2 2 10" xfId="8790"/>
    <cellStyle name="Normal 3 6 2 10" xfId="8791"/>
    <cellStyle name="Comma 2 3 11" xfId="8792"/>
    <cellStyle name="Comma 3 2 11" xfId="8793"/>
    <cellStyle name="Percent 4 2 10" xfId="8794"/>
    <cellStyle name="Normal 3 7 2 10" xfId="8795"/>
    <cellStyle name="Note 3 2 10" xfId="8796"/>
    <cellStyle name="20% - Accent1 2 2 10" xfId="8797"/>
    <cellStyle name="40% - Accent1 2 2 10" xfId="8798"/>
    <cellStyle name="60% - Accent1 2 2 10" xfId="8799"/>
    <cellStyle name="20% - Accent2 2 2 10" xfId="8800"/>
    <cellStyle name="40% - Accent2 2 2 10" xfId="8801"/>
    <cellStyle name="60% - Accent2 2 2 10" xfId="8802"/>
    <cellStyle name="20% - Accent3 2 2 10" xfId="8803"/>
    <cellStyle name="40% - Accent3 2 2 10" xfId="8804"/>
    <cellStyle name="60% - Accent3 2 2 10" xfId="8805"/>
    <cellStyle name="20% - Accent4 2 2 10" xfId="8806"/>
    <cellStyle name="40% - Accent4 2 2 10" xfId="8807"/>
    <cellStyle name="60% - Accent4 2 2 10" xfId="8808"/>
    <cellStyle name="20% - Accent5 2 2 10" xfId="8809"/>
    <cellStyle name="40% - Accent5 2 2 10" xfId="8810"/>
    <cellStyle name="60% - Accent5 2 2 10" xfId="8811"/>
    <cellStyle name="20% - Accent6 2 2 10" xfId="8812"/>
    <cellStyle name="40% - Accent6 2 2 10" xfId="8813"/>
    <cellStyle name="60% - Accent6 2 2 10" xfId="8814"/>
    <cellStyle name="Comma 2 2 2 11" xfId="8815"/>
    <cellStyle name="Comma 4 2 11" xfId="8816"/>
    <cellStyle name="Normal 3 8 2 10" xfId="8817"/>
    <cellStyle name="Normal 8 8" xfId="8818"/>
    <cellStyle name="Comma 6 9" xfId="8819"/>
    <cellStyle name="20% - Accent1 4 8" xfId="8820"/>
    <cellStyle name="40% - Accent1 4 8" xfId="8821"/>
    <cellStyle name="60% - Accent1 4 8" xfId="8822"/>
    <cellStyle name="20% - Accent2 4 8" xfId="8823"/>
    <cellStyle name="40% - Accent2 4 8" xfId="8824"/>
    <cellStyle name="60% - Accent2 4 8" xfId="8825"/>
    <cellStyle name="20% - Accent3 4 8" xfId="8826"/>
    <cellStyle name="40% - Accent3 4 8" xfId="8827"/>
    <cellStyle name="60% - Accent3 4 8" xfId="8828"/>
    <cellStyle name="20% - Accent4 4 8" xfId="8829"/>
    <cellStyle name="40% - Accent4 4 8" xfId="8830"/>
    <cellStyle name="60% - Accent4 4 8" xfId="8831"/>
    <cellStyle name="20% - Accent5 4 8" xfId="8832"/>
    <cellStyle name="40% - Accent5 4 8" xfId="8833"/>
    <cellStyle name="60% - Accent5 4 8" xfId="8834"/>
    <cellStyle name="20% - Accent6 4 8" xfId="8835"/>
    <cellStyle name="40% - Accent6 4 8" xfId="8836"/>
    <cellStyle name="60% - Accent6 4 8" xfId="8837"/>
    <cellStyle name="Normal 3 2 4 8" xfId="8838"/>
    <cellStyle name="Normal 3 3 4 8" xfId="8839"/>
    <cellStyle name="Normal 3 4 4 8" xfId="8840"/>
    <cellStyle name="Normal 3 5 4 8" xfId="8841"/>
    <cellStyle name="Normal 3 2 2 3 8" xfId="8842"/>
    <cellStyle name="Normal 3 3 2 3 8" xfId="8843"/>
    <cellStyle name="Normal 3 4 2 3 8" xfId="8844"/>
    <cellStyle name="Normal 3 5 2 3 8" xfId="8845"/>
    <cellStyle name="Normal 5 3 8" xfId="8846"/>
    <cellStyle name="Percent 3 3 8" xfId="8847"/>
    <cellStyle name="Note 2 3 8" xfId="8848"/>
    <cellStyle name="Normal 3 6 3 8" xfId="8849"/>
    <cellStyle name="Comma 2 5 9" xfId="8850"/>
    <cellStyle name="Comma 3 4 9" xfId="8851"/>
    <cellStyle name="Percent 4 3 8" xfId="8852"/>
    <cellStyle name="Normal 3 7 3 8" xfId="8853"/>
    <cellStyle name="Note 3 3 8" xfId="8854"/>
    <cellStyle name="20% - Accent1 2 3 8" xfId="8855"/>
    <cellStyle name="40% - Accent1 2 3 8" xfId="8856"/>
    <cellStyle name="60% - Accent1 2 3 8" xfId="8857"/>
    <cellStyle name="20% - Accent2 2 3 8" xfId="8858"/>
    <cellStyle name="40% - Accent2 2 3 8" xfId="8859"/>
    <cellStyle name="60% - Accent2 2 3 8" xfId="8860"/>
    <cellStyle name="20% - Accent3 2 3 8" xfId="8861"/>
    <cellStyle name="40% - Accent3 2 3 8" xfId="8862"/>
    <cellStyle name="60% - Accent3 2 3 8" xfId="8863"/>
    <cellStyle name="20% - Accent4 2 3 8" xfId="8864"/>
    <cellStyle name="40% - Accent4 2 3 8" xfId="8865"/>
    <cellStyle name="60% - Accent4 2 3 8" xfId="8866"/>
    <cellStyle name="20% - Accent5 2 3 8" xfId="8867"/>
    <cellStyle name="40% - Accent5 2 3 8" xfId="8868"/>
    <cellStyle name="60% - Accent5 2 3 8" xfId="8869"/>
    <cellStyle name="20% - Accent6 2 3 8" xfId="8870"/>
    <cellStyle name="40% - Accent6 2 3 8" xfId="8871"/>
    <cellStyle name="60% - Accent6 2 3 8" xfId="8872"/>
    <cellStyle name="Comma 2 2 4 9" xfId="8873"/>
    <cellStyle name="Comma 4 4 9" xfId="8874"/>
    <cellStyle name="Normal 3 8 3 8" xfId="8875"/>
    <cellStyle name="Comma 2 4 10" xfId="8876"/>
    <cellStyle name="Comma 3 3 10" xfId="8877"/>
    <cellStyle name="Comma 2 2 3 10" xfId="8878"/>
    <cellStyle name="Comma 4 3 10" xfId="8879"/>
    <cellStyle name="Normal 7 2 8" xfId="8880"/>
    <cellStyle name="Comma 5 2 9" xfId="8881"/>
    <cellStyle name="20% - Accent1 3 2 8" xfId="8882"/>
    <cellStyle name="40% - Accent1 3 2 8" xfId="8883"/>
    <cellStyle name="60% - Accent1 3 2 8" xfId="8884"/>
    <cellStyle name="20% - Accent2 3 2 8" xfId="8885"/>
    <cellStyle name="40% - Accent2 3 2 8" xfId="8886"/>
    <cellStyle name="60% - Accent2 3 2 8" xfId="8887"/>
    <cellStyle name="20% - Accent3 3 2 8" xfId="8888"/>
    <cellStyle name="40% - Accent3 3 2 8" xfId="8889"/>
    <cellStyle name="60% - Accent3 3 2 8" xfId="8890"/>
    <cellStyle name="20% - Accent4 3 2 8" xfId="8891"/>
    <cellStyle name="40% - Accent4 3 2 8" xfId="8892"/>
    <cellStyle name="60% - Accent4 3 2 8" xfId="8893"/>
    <cellStyle name="20% - Accent5 3 2 8" xfId="8894"/>
    <cellStyle name="40% - Accent5 3 2 8" xfId="8895"/>
    <cellStyle name="60% - Accent5 3 2 8" xfId="8896"/>
    <cellStyle name="20% - Accent6 3 2 8" xfId="8897"/>
    <cellStyle name="40% - Accent6 3 2 8" xfId="8898"/>
    <cellStyle name="60% - Accent6 3 2 8" xfId="8899"/>
    <cellStyle name="Normal 3 2 3 2 8" xfId="8900"/>
    <cellStyle name="Normal 3 3 3 2 8" xfId="8901"/>
    <cellStyle name="Normal 3 4 3 2 8" xfId="8902"/>
    <cellStyle name="Normal 3 5 3 2 8" xfId="8903"/>
    <cellStyle name="Normal 3 2 2 2 2 8" xfId="8904"/>
    <cellStyle name="Normal 3 3 2 2 2 8" xfId="8905"/>
    <cellStyle name="Normal 3 4 2 2 2 8" xfId="8906"/>
    <cellStyle name="Normal 3 5 2 2 2 8" xfId="8907"/>
    <cellStyle name="Normal 5 2 2 8" xfId="8908"/>
    <cellStyle name="Percent 3 2 2 8" xfId="8909"/>
    <cellStyle name="Note 2 2 2 8" xfId="8910"/>
    <cellStyle name="Normal 3 6 2 2 8" xfId="8911"/>
    <cellStyle name="Comma 2 3 2 9" xfId="8912"/>
    <cellStyle name="Comma 3 2 2 9" xfId="8913"/>
    <cellStyle name="Percent 4 2 2 8" xfId="8914"/>
    <cellStyle name="Normal 3 7 2 2 8" xfId="8915"/>
    <cellStyle name="Note 3 2 2 8" xfId="8916"/>
    <cellStyle name="20% - Accent1 2 2 2 8" xfId="8917"/>
    <cellStyle name="40% - Accent1 2 2 2 8" xfId="8918"/>
    <cellStyle name="60% - Accent1 2 2 2 8" xfId="8919"/>
    <cellStyle name="20% - Accent2 2 2 2 8" xfId="8920"/>
    <cellStyle name="40% - Accent2 2 2 2 8" xfId="8921"/>
    <cellStyle name="60% - Accent2 2 2 2 8" xfId="8922"/>
    <cellStyle name="20% - Accent3 2 2 2 8" xfId="8923"/>
    <cellStyle name="40% - Accent3 2 2 2 8" xfId="8924"/>
    <cellStyle name="60% - Accent3 2 2 2 8" xfId="8925"/>
    <cellStyle name="20% - Accent4 2 2 2 8" xfId="8926"/>
    <cellStyle name="40% - Accent4 2 2 2 8" xfId="8927"/>
    <cellStyle name="60% - Accent4 2 2 2 8" xfId="8928"/>
    <cellStyle name="20% - Accent5 2 2 2 8" xfId="8929"/>
    <cellStyle name="40% - Accent5 2 2 2 8" xfId="8930"/>
    <cellStyle name="60% - Accent5 2 2 2 8" xfId="8931"/>
    <cellStyle name="20% - Accent6 2 2 2 8" xfId="8932"/>
    <cellStyle name="40% - Accent6 2 2 2 8" xfId="8933"/>
    <cellStyle name="60% - Accent6 2 2 2 8" xfId="8934"/>
    <cellStyle name="Comma 2 2 2 2 9" xfId="8935"/>
    <cellStyle name="Comma 4 2 2 9" xfId="8936"/>
    <cellStyle name="Normal 3 8 2 2 8" xfId="8937"/>
    <cellStyle name="Normal 3 10 8" xfId="8938"/>
    <cellStyle name="Normal 3 11 8" xfId="8939"/>
    <cellStyle name="Normal 3 12 6" xfId="8940"/>
    <cellStyle name="Normal 3 2 5 6" xfId="8941"/>
    <cellStyle name="Normal 3 3 5 6" xfId="8942"/>
    <cellStyle name="Normal 3 4 5 6" xfId="8943"/>
    <cellStyle name="Normal 3 5 5 6" xfId="8944"/>
    <cellStyle name="20% - Accent1 5 6" xfId="8945"/>
    <cellStyle name="40% - Accent1 5 6" xfId="8946"/>
    <cellStyle name="60% - Accent1 5 6" xfId="8947"/>
    <cellStyle name="20% - Accent2 5 6" xfId="8948"/>
    <cellStyle name="40% - Accent2 5 6" xfId="8949"/>
    <cellStyle name="60% - Accent2 5 6" xfId="8950"/>
    <cellStyle name="20% - Accent3 5 6" xfId="8951"/>
    <cellStyle name="40% - Accent3 5 6" xfId="8952"/>
    <cellStyle name="60% - Accent3 5 6" xfId="8953"/>
    <cellStyle name="20% - Accent4 5 6" xfId="8954"/>
    <cellStyle name="40% - Accent4 5 6" xfId="8955"/>
    <cellStyle name="60% - Accent4 5 6" xfId="8956"/>
    <cellStyle name="20% - Accent5 5 6" xfId="8957"/>
    <cellStyle name="40% - Accent5 5 6" xfId="8958"/>
    <cellStyle name="60% - Accent5 5 6" xfId="8959"/>
    <cellStyle name="20% - Accent6 5 6" xfId="8960"/>
    <cellStyle name="40% - Accent6 5 6" xfId="8961"/>
    <cellStyle name="60% - Accent6 5 6" xfId="8962"/>
    <cellStyle name="Normal 3 2 2 4 6" xfId="8963"/>
    <cellStyle name="Normal 3 3 2 4 6" xfId="8964"/>
    <cellStyle name="Normal 3 4 2 4 6" xfId="8965"/>
    <cellStyle name="Normal 3 5 2 4 6" xfId="8966"/>
    <cellStyle name="Normal 5 4 6" xfId="8967"/>
    <cellStyle name="Percent 3 4 6" xfId="8968"/>
    <cellStyle name="Note 2 4 6" xfId="8969"/>
    <cellStyle name="Normal 3 6 4 6" xfId="8970"/>
    <cellStyle name="Comma 2 6 7" xfId="8971"/>
    <cellStyle name="Comma 3 5 7" xfId="8972"/>
    <cellStyle name="Percent 4 4 6" xfId="8973"/>
    <cellStyle name="Normal 3 7 4 6" xfId="8974"/>
    <cellStyle name="Note 3 4 6" xfId="8975"/>
    <cellStyle name="20% - Accent1 2 4 6" xfId="8976"/>
    <cellStyle name="40% - Accent1 2 4 6" xfId="8977"/>
    <cellStyle name="60% - Accent1 2 4 6" xfId="8978"/>
    <cellStyle name="20% - Accent2 2 4 6" xfId="8979"/>
    <cellStyle name="40% - Accent2 2 4 6" xfId="8980"/>
    <cellStyle name="60% - Accent2 2 4 6" xfId="8981"/>
    <cellStyle name="20% - Accent3 2 4 6" xfId="8982"/>
    <cellStyle name="40% - Accent3 2 4 6" xfId="8983"/>
    <cellStyle name="60% - Accent3 2 4 6" xfId="8984"/>
    <cellStyle name="20% - Accent4 2 4 6" xfId="8985"/>
    <cellStyle name="40% - Accent4 2 4 6" xfId="8986"/>
    <cellStyle name="60% - Accent4 2 4 6" xfId="8987"/>
    <cellStyle name="20% - Accent5 2 4 6" xfId="8988"/>
    <cellStyle name="40% - Accent5 2 4 6" xfId="8989"/>
    <cellStyle name="60% - Accent5 2 4 6" xfId="8990"/>
    <cellStyle name="20% - Accent6 2 4 6" xfId="8991"/>
    <cellStyle name="40% - Accent6 2 4 6" xfId="8992"/>
    <cellStyle name="60% - Accent6 2 4 6" xfId="8993"/>
    <cellStyle name="Comma 2 2 5 7" xfId="8994"/>
    <cellStyle name="Comma 4 5 7" xfId="8995"/>
    <cellStyle name="Normal 3 8 4 6" xfId="8996"/>
    <cellStyle name="Normal 7 3 6" xfId="8997"/>
    <cellStyle name="Comma 5 3 7" xfId="8998"/>
    <cellStyle name="20% - Accent1 3 3 6" xfId="8999"/>
    <cellStyle name="40% - Accent1 3 3 6" xfId="9000"/>
    <cellStyle name="60% - Accent1 3 3 6" xfId="9001"/>
    <cellStyle name="20% - Accent2 3 3 6" xfId="9002"/>
    <cellStyle name="40% - Accent2 3 3 6" xfId="9003"/>
    <cellStyle name="60% - Accent2 3 3 6" xfId="9004"/>
    <cellStyle name="20% - Accent3 3 3 6" xfId="9005"/>
    <cellStyle name="40% - Accent3 3 3 6" xfId="9006"/>
    <cellStyle name="60% - Accent3 3 3 6" xfId="9007"/>
    <cellStyle name="20% - Accent4 3 3 6" xfId="9008"/>
    <cellStyle name="40% - Accent4 3 3 6" xfId="9009"/>
    <cellStyle name="60% - Accent4 3 3 6" xfId="9010"/>
    <cellStyle name="20% - Accent5 3 3 6" xfId="9011"/>
    <cellStyle name="40% - Accent5 3 3 6" xfId="9012"/>
    <cellStyle name="60% - Accent5 3 3 6" xfId="9013"/>
    <cellStyle name="20% - Accent6 3 3 6" xfId="9014"/>
    <cellStyle name="40% - Accent6 3 3 6" xfId="9015"/>
    <cellStyle name="60% - Accent6 3 3 6" xfId="9016"/>
    <cellStyle name="Normal 3 2 3 3 6" xfId="9017"/>
    <cellStyle name="Normal 3 3 3 3 6" xfId="9018"/>
    <cellStyle name="Normal 3 4 3 3 6" xfId="9019"/>
    <cellStyle name="Normal 3 5 3 3 6" xfId="9020"/>
    <cellStyle name="Normal 3 2 2 2 3 6" xfId="9021"/>
    <cellStyle name="Normal 3 3 2 2 3 6" xfId="9022"/>
    <cellStyle name="Normal 3 4 2 2 3 6" xfId="9023"/>
    <cellStyle name="Normal 3 5 2 2 3 6" xfId="9024"/>
    <cellStyle name="Normal 5 2 3 6" xfId="9025"/>
    <cellStyle name="Percent 3 2 3 6" xfId="9026"/>
    <cellStyle name="Note 2 2 3 6" xfId="9027"/>
    <cellStyle name="Normal 3 6 2 3 6" xfId="9028"/>
    <cellStyle name="Comma 2 3 3 7" xfId="9029"/>
    <cellStyle name="Comma 3 2 3 7" xfId="9030"/>
    <cellStyle name="Percent 4 2 3 6" xfId="9031"/>
    <cellStyle name="Normal 3 7 2 3 6" xfId="9032"/>
    <cellStyle name="Note 3 2 3 6" xfId="9033"/>
    <cellStyle name="20% - Accent1 2 2 3 6" xfId="9034"/>
    <cellStyle name="40% - Accent1 2 2 3 6" xfId="9035"/>
    <cellStyle name="60% - Accent1 2 2 3 6" xfId="9036"/>
    <cellStyle name="20% - Accent2 2 2 3 6" xfId="9037"/>
    <cellStyle name="40% - Accent2 2 2 3 6" xfId="9038"/>
    <cellStyle name="60% - Accent2 2 2 3 6" xfId="9039"/>
    <cellStyle name="20% - Accent3 2 2 3 6" xfId="9040"/>
    <cellStyle name="40% - Accent3 2 2 3 6" xfId="9041"/>
    <cellStyle name="60% - Accent3 2 2 3 6" xfId="9042"/>
    <cellStyle name="20% - Accent4 2 2 3 6" xfId="9043"/>
    <cellStyle name="40% - Accent4 2 2 3 6" xfId="9044"/>
    <cellStyle name="60% - Accent4 2 2 3 6" xfId="9045"/>
    <cellStyle name="20% - Accent5 2 2 3 6" xfId="9046"/>
    <cellStyle name="40% - Accent5 2 2 3 6" xfId="9047"/>
    <cellStyle name="60% - Accent5 2 2 3 6" xfId="9048"/>
    <cellStyle name="20% - Accent6 2 2 3 6" xfId="9049"/>
    <cellStyle name="40% - Accent6 2 2 3 6" xfId="9050"/>
    <cellStyle name="60% - Accent6 2 2 3 6" xfId="9051"/>
    <cellStyle name="Comma 2 2 2 3 7" xfId="9052"/>
    <cellStyle name="Comma 4 2 3 7" xfId="9053"/>
    <cellStyle name="Normal 3 8 2 3 6" xfId="9054"/>
    <cellStyle name="Normal 8 2 6" xfId="9055"/>
    <cellStyle name="Comma 6 2 7" xfId="9056"/>
    <cellStyle name="20% - Accent1 4 2 6" xfId="9057"/>
    <cellStyle name="40% - Accent1 4 2 6" xfId="9058"/>
    <cellStyle name="60% - Accent1 4 2 6" xfId="9059"/>
    <cellStyle name="20% - Accent2 4 2 6" xfId="9060"/>
    <cellStyle name="40% - Accent2 4 2 6" xfId="9061"/>
    <cellStyle name="60% - Accent2 4 2 6" xfId="9062"/>
    <cellStyle name="20% - Accent3 4 2 6" xfId="9063"/>
    <cellStyle name="40% - Accent3 4 2 6" xfId="9064"/>
    <cellStyle name="60% - Accent3 4 2 6" xfId="9065"/>
    <cellStyle name="20% - Accent4 4 2 6" xfId="9066"/>
    <cellStyle name="40% - Accent4 4 2 6" xfId="9067"/>
    <cellStyle name="60% - Accent4 4 2 6" xfId="9068"/>
    <cellStyle name="20% - Accent5 4 2 6" xfId="9069"/>
    <cellStyle name="40% - Accent5 4 2 6" xfId="9070"/>
    <cellStyle name="60% - Accent5 4 2 6" xfId="9071"/>
    <cellStyle name="20% - Accent6 4 2 6" xfId="9072"/>
    <cellStyle name="40% - Accent6 4 2 6" xfId="9073"/>
    <cellStyle name="60% - Accent6 4 2 6" xfId="9074"/>
    <cellStyle name="Normal 3 2 4 2 6" xfId="9075"/>
    <cellStyle name="Normal 3 3 4 2 6" xfId="9076"/>
    <cellStyle name="Normal 3 4 4 2 6" xfId="9077"/>
    <cellStyle name="Normal 3 5 4 2 6" xfId="9078"/>
    <cellStyle name="Normal 3 2 2 3 2 6" xfId="9079"/>
    <cellStyle name="Normal 3 3 2 3 2 6" xfId="9080"/>
    <cellStyle name="Normal 3 4 2 3 2 6" xfId="9081"/>
    <cellStyle name="Normal 3 5 2 3 2 6" xfId="9082"/>
    <cellStyle name="Normal 5 3 2 6" xfId="9083"/>
    <cellStyle name="Percent 3 3 2 6" xfId="9084"/>
    <cellStyle name="Note 2 3 2 6" xfId="9085"/>
    <cellStyle name="Normal 3 6 3 2 6" xfId="9086"/>
    <cellStyle name="Comma 2 5 2 7" xfId="9087"/>
    <cellStyle name="Comma 3 4 2 7" xfId="9088"/>
    <cellStyle name="Percent 4 3 2 6" xfId="9089"/>
    <cellStyle name="Normal 3 7 3 2 6" xfId="9090"/>
    <cellStyle name="Note 3 3 2 6" xfId="9091"/>
    <cellStyle name="20% - Accent1 2 3 2 6" xfId="9092"/>
    <cellStyle name="40% - Accent1 2 3 2 6" xfId="9093"/>
    <cellStyle name="60% - Accent1 2 3 2 6" xfId="9094"/>
    <cellStyle name="20% - Accent2 2 3 2 6" xfId="9095"/>
    <cellStyle name="40% - Accent2 2 3 2 6" xfId="9096"/>
    <cellStyle name="60% - Accent2 2 3 2 6" xfId="9097"/>
    <cellStyle name="20% - Accent3 2 3 2 6" xfId="9098"/>
    <cellStyle name="40% - Accent3 2 3 2 6" xfId="9099"/>
    <cellStyle name="60% - Accent3 2 3 2 6" xfId="9100"/>
    <cellStyle name="20% - Accent4 2 3 2 6" xfId="9101"/>
    <cellStyle name="40% - Accent4 2 3 2 6" xfId="9102"/>
    <cellStyle name="60% - Accent4 2 3 2 6" xfId="9103"/>
    <cellStyle name="20% - Accent5 2 3 2 6" xfId="9104"/>
    <cellStyle name="40% - Accent5 2 3 2 6" xfId="9105"/>
    <cellStyle name="60% - Accent5 2 3 2 6" xfId="9106"/>
    <cellStyle name="20% - Accent6 2 3 2 6" xfId="9107"/>
    <cellStyle name="40% - Accent6 2 3 2 6" xfId="9108"/>
    <cellStyle name="60% - Accent6 2 3 2 6" xfId="9109"/>
    <cellStyle name="Comma 2 2 4 2 7" xfId="9110"/>
    <cellStyle name="Comma 4 4 2 7" xfId="9111"/>
    <cellStyle name="Normal 3 8 3 2 6" xfId="9112"/>
    <cellStyle name="Comma 2 4 2 7" xfId="9113"/>
    <cellStyle name="Comma 3 3 2 7" xfId="9114"/>
    <cellStyle name="Comma 2 2 3 2 7" xfId="9115"/>
    <cellStyle name="Comma 4 3 2 7" xfId="9116"/>
    <cellStyle name="Normal 7 2 2 6" xfId="9117"/>
    <cellStyle name="Comma 5 2 2 7" xfId="9118"/>
    <cellStyle name="20% - Accent1 3 2 2 6" xfId="9119"/>
    <cellStyle name="40% - Accent1 3 2 2 6" xfId="9120"/>
    <cellStyle name="60% - Accent1 3 2 2 6" xfId="9121"/>
    <cellStyle name="20% - Accent2 3 2 2 6" xfId="9122"/>
    <cellStyle name="40% - Accent2 3 2 2 6" xfId="9123"/>
    <cellStyle name="60% - Accent2 3 2 2 6" xfId="9124"/>
    <cellStyle name="20% - Accent3 3 2 2 6" xfId="9125"/>
    <cellStyle name="40% - Accent3 3 2 2 6" xfId="9126"/>
    <cellStyle name="60% - Accent3 3 2 2 6" xfId="9127"/>
    <cellStyle name="20% - Accent4 3 2 2 6" xfId="9128"/>
    <cellStyle name="40% - Accent4 3 2 2 6" xfId="9129"/>
    <cellStyle name="60% - Accent4 3 2 2 6" xfId="9130"/>
    <cellStyle name="20% - Accent5 3 2 2 6" xfId="9131"/>
    <cellStyle name="40% - Accent5 3 2 2 6" xfId="9132"/>
    <cellStyle name="60% - Accent5 3 2 2 6" xfId="9133"/>
    <cellStyle name="20% - Accent6 3 2 2 6" xfId="9134"/>
    <cellStyle name="40% - Accent6 3 2 2 6" xfId="9135"/>
    <cellStyle name="60% - Accent6 3 2 2 6" xfId="9136"/>
    <cellStyle name="Normal 3 2 3 2 2 6" xfId="9137"/>
    <cellStyle name="Normal 3 3 3 2 2 6" xfId="9138"/>
    <cellStyle name="Normal 3 4 3 2 2 6" xfId="9139"/>
    <cellStyle name="Normal 3 5 3 2 2 6" xfId="9140"/>
    <cellStyle name="Normal 3 2 2 2 2 2 6" xfId="9141"/>
    <cellStyle name="Normal 3 3 2 2 2 2 6" xfId="9142"/>
    <cellStyle name="Normal 3 4 2 2 2 2 6" xfId="9143"/>
    <cellStyle name="Normal 3 5 2 2 2 2 6" xfId="9144"/>
    <cellStyle name="Normal 5 2 2 2 6" xfId="9145"/>
    <cellStyle name="Percent 3 2 2 2 6" xfId="9146"/>
    <cellStyle name="Note 2 2 2 2 6" xfId="9147"/>
    <cellStyle name="Normal 3 6 2 2 2 6" xfId="9148"/>
    <cellStyle name="Comma 2 3 2 2 7" xfId="9149"/>
    <cellStyle name="Comma 3 2 2 2 7" xfId="9150"/>
    <cellStyle name="Percent 4 2 2 2 6" xfId="9151"/>
    <cellStyle name="Normal 3 7 2 2 2 6" xfId="9152"/>
    <cellStyle name="Note 3 2 2 2 6" xfId="9153"/>
    <cellStyle name="20% - Accent1 2 2 2 2 6" xfId="9154"/>
    <cellStyle name="40% - Accent1 2 2 2 2 6" xfId="9155"/>
    <cellStyle name="60% - Accent1 2 2 2 2 6" xfId="9156"/>
    <cellStyle name="20% - Accent2 2 2 2 2 6" xfId="9157"/>
    <cellStyle name="40% - Accent2 2 2 2 2 6" xfId="9158"/>
    <cellStyle name="60% - Accent2 2 2 2 2 6" xfId="9159"/>
    <cellStyle name="20% - Accent3 2 2 2 2 6" xfId="9160"/>
    <cellStyle name="40% - Accent3 2 2 2 2 6" xfId="9161"/>
    <cellStyle name="60% - Accent3 2 2 2 2 6" xfId="9162"/>
    <cellStyle name="20% - Accent4 2 2 2 2 6" xfId="9163"/>
    <cellStyle name="40% - Accent4 2 2 2 2 6" xfId="9164"/>
    <cellStyle name="60% - Accent4 2 2 2 2 6" xfId="9165"/>
    <cellStyle name="20% - Accent5 2 2 2 2 6" xfId="9166"/>
    <cellStyle name="40% - Accent5 2 2 2 2 6" xfId="9167"/>
    <cellStyle name="60% - Accent5 2 2 2 2 6" xfId="9168"/>
    <cellStyle name="20% - Accent6 2 2 2 2 6" xfId="9169"/>
    <cellStyle name="40% - Accent6 2 2 2 2 6" xfId="9170"/>
    <cellStyle name="60% - Accent6 2 2 2 2 6" xfId="9171"/>
    <cellStyle name="Comma 2 2 2 2 2 7" xfId="9172"/>
    <cellStyle name="Comma 4 2 2 2 7" xfId="9173"/>
    <cellStyle name="Normal 3 8 2 2 2 6" xfId="9174"/>
    <cellStyle name="Normal 3 10 2 6" xfId="9175"/>
    <cellStyle name="Normal 3 11 2 6" xfId="9176"/>
    <cellStyle name="Normal 3 2 6 5" xfId="9177"/>
    <cellStyle name="Normal 3 3 6 5" xfId="9178"/>
    <cellStyle name="Normal 3 4 6 5" xfId="9179"/>
    <cellStyle name="Normal 3 5 6 5" xfId="9180"/>
    <cellStyle name="20% - Accent1 6 5" xfId="9181"/>
    <cellStyle name="40% - Accent1 6 5" xfId="9182"/>
    <cellStyle name="60% - Accent1 6 5" xfId="9183"/>
    <cellStyle name="20% - Accent2 6 5" xfId="9184"/>
    <cellStyle name="40% - Accent2 6 5" xfId="9185"/>
    <cellStyle name="60% - Accent2 6 5" xfId="9186"/>
    <cellStyle name="20% - Accent3 6 5" xfId="9187"/>
    <cellStyle name="40% - Accent3 6 5" xfId="9188"/>
    <cellStyle name="60% - Accent3 6 5" xfId="9189"/>
    <cellStyle name="20% - Accent4 6 5" xfId="9190"/>
    <cellStyle name="40% - Accent4 6 5" xfId="9191"/>
    <cellStyle name="60% - Accent4 6 5" xfId="9192"/>
    <cellStyle name="20% - Accent5 6 5" xfId="9193"/>
    <cellStyle name="40% - Accent5 6 5" xfId="9194"/>
    <cellStyle name="60% - Accent5 6 5" xfId="9195"/>
    <cellStyle name="20% - Accent6 6 5" xfId="9196"/>
    <cellStyle name="40% - Accent6 6 5" xfId="9197"/>
    <cellStyle name="60% - Accent6 6 5" xfId="9198"/>
    <cellStyle name="Normal 3 2 2 5 5" xfId="9199"/>
    <cellStyle name="Normal 3 3 2 5 5" xfId="9200"/>
    <cellStyle name="Normal 3 4 2 5 5" xfId="9201"/>
    <cellStyle name="Normal 3 5 2 5 5" xfId="9202"/>
    <cellStyle name="Normal 5 5 5" xfId="9203"/>
    <cellStyle name="Percent 3 5 5" xfId="9204"/>
    <cellStyle name="Note 2 5 5" xfId="9205"/>
    <cellStyle name="Normal 3 6 5 5" xfId="9206"/>
    <cellStyle name="Comma 2 7 6" xfId="9207"/>
    <cellStyle name="Comma 3 7 6" xfId="9208"/>
    <cellStyle name="Percent 4 5 5" xfId="9209"/>
    <cellStyle name="Normal 3 7 5 5" xfId="9210"/>
    <cellStyle name="Note 3 5 5" xfId="9211"/>
    <cellStyle name="20% - Accent1 2 5 5" xfId="9212"/>
    <cellStyle name="40% - Accent1 2 5 5" xfId="9213"/>
    <cellStyle name="60% - Accent1 2 5 5" xfId="9214"/>
    <cellStyle name="20% - Accent2 2 5 5" xfId="9215"/>
    <cellStyle name="40% - Accent2 2 5 5" xfId="9216"/>
    <cellStyle name="60% - Accent2 2 5 5" xfId="9217"/>
    <cellStyle name="20% - Accent3 2 5 5" xfId="9218"/>
    <cellStyle name="40% - Accent3 2 5 5" xfId="9219"/>
    <cellStyle name="60% - Accent3 2 5 5" xfId="9220"/>
    <cellStyle name="20% - Accent4 2 5 5" xfId="9221"/>
    <cellStyle name="40% - Accent4 2 5 5" xfId="9222"/>
    <cellStyle name="60% - Accent4 2 5 5" xfId="9223"/>
    <cellStyle name="20% - Accent5 2 5 5" xfId="9224"/>
    <cellStyle name="40% - Accent5 2 5 5" xfId="9225"/>
    <cellStyle name="60% - Accent5 2 5 5" xfId="9226"/>
    <cellStyle name="20% - Accent6 2 5 5" xfId="9227"/>
    <cellStyle name="40% - Accent6 2 5 5" xfId="9228"/>
    <cellStyle name="60% - Accent6 2 5 5" xfId="9229"/>
    <cellStyle name="Comma 2 2 6 6" xfId="9230"/>
    <cellStyle name="Comma 4 6 6" xfId="9231"/>
    <cellStyle name="Normal 3 8 5 5" xfId="9232"/>
    <cellStyle name="Normal 7 4 5" xfId="9233"/>
    <cellStyle name="Comma 5 4 6" xfId="9234"/>
    <cellStyle name="20% - Accent1 3 4 5" xfId="9235"/>
    <cellStyle name="40% - Accent1 3 4 5" xfId="9236"/>
    <cellStyle name="60% - Accent1 3 4 5" xfId="9237"/>
    <cellStyle name="20% - Accent2 3 4 5" xfId="9238"/>
    <cellStyle name="40% - Accent2 3 4 5" xfId="9239"/>
    <cellStyle name="60% - Accent2 3 4 5" xfId="9240"/>
    <cellStyle name="20% - Accent3 3 4 5" xfId="9241"/>
    <cellStyle name="40% - Accent3 3 4 5" xfId="9242"/>
    <cellStyle name="60% - Accent3 3 4 5" xfId="9243"/>
    <cellStyle name="20% - Accent4 3 4 5" xfId="9244"/>
    <cellStyle name="40% - Accent4 3 4 5" xfId="9245"/>
    <cellStyle name="60% - Accent4 3 4 5" xfId="9246"/>
    <cellStyle name="20% - Accent5 3 4 5" xfId="9247"/>
    <cellStyle name="40% - Accent5 3 4 5" xfId="9248"/>
    <cellStyle name="60% - Accent5 3 4 5" xfId="9249"/>
    <cellStyle name="20% - Accent6 3 4 5" xfId="9250"/>
    <cellStyle name="40% - Accent6 3 4 5" xfId="9251"/>
    <cellStyle name="60% - Accent6 3 4 5" xfId="9252"/>
    <cellStyle name="Normal 3 2 3 4 5" xfId="9253"/>
    <cellStyle name="Normal 3 3 3 4 5" xfId="9254"/>
    <cellStyle name="Normal 3 4 3 4 5" xfId="9255"/>
    <cellStyle name="Normal 3 5 3 4 5" xfId="9256"/>
    <cellStyle name="Normal 3 2 2 2 4 5" xfId="9257"/>
    <cellStyle name="Normal 3 3 2 2 4 5" xfId="9258"/>
    <cellStyle name="Normal 3 4 2 2 4 5" xfId="9259"/>
    <cellStyle name="Normal 3 5 2 2 4 5" xfId="9260"/>
    <cellStyle name="Normal 5 2 4 5" xfId="9261"/>
    <cellStyle name="Percent 3 2 4 5" xfId="9262"/>
    <cellStyle name="Note 2 2 4 5" xfId="9263"/>
    <cellStyle name="Normal 3 6 2 4 5" xfId="9264"/>
    <cellStyle name="Comma 2 3 4 6" xfId="9265"/>
    <cellStyle name="Comma 3 2 4 6" xfId="9266"/>
    <cellStyle name="Percent 4 2 4 5" xfId="9267"/>
    <cellStyle name="Normal 3 7 2 4 5" xfId="9268"/>
    <cellStyle name="Note 3 2 4 5" xfId="9269"/>
    <cellStyle name="20% - Accent1 2 2 4 5" xfId="9270"/>
    <cellStyle name="40% - Accent1 2 2 4 5" xfId="9271"/>
    <cellStyle name="60% - Accent1 2 2 4 5" xfId="9272"/>
    <cellStyle name="20% - Accent2 2 2 4 5" xfId="9273"/>
    <cellStyle name="40% - Accent2 2 2 4 5" xfId="9274"/>
    <cellStyle name="60% - Accent2 2 2 4 5" xfId="9275"/>
    <cellStyle name="20% - Accent3 2 2 4 5" xfId="9276"/>
    <cellStyle name="40% - Accent3 2 2 4 5" xfId="9277"/>
    <cellStyle name="60% - Accent3 2 2 4 5" xfId="9278"/>
    <cellStyle name="20% - Accent4 2 2 4 5" xfId="9279"/>
    <cellStyle name="40% - Accent4 2 2 4 5" xfId="9280"/>
    <cellStyle name="60% - Accent4 2 2 4 5" xfId="9281"/>
    <cellStyle name="20% - Accent5 2 2 4 5" xfId="9282"/>
    <cellStyle name="40% - Accent5 2 2 4 5" xfId="9283"/>
    <cellStyle name="60% - Accent5 2 2 4 5" xfId="9284"/>
    <cellStyle name="20% - Accent6 2 2 4 5" xfId="9285"/>
    <cellStyle name="40% - Accent6 2 2 4 5" xfId="9286"/>
    <cellStyle name="60% - Accent6 2 2 4 5" xfId="9287"/>
    <cellStyle name="Comma 2 2 2 4 6" xfId="9288"/>
    <cellStyle name="Comma 4 2 4 6" xfId="9289"/>
    <cellStyle name="Normal 3 8 2 4 5" xfId="9290"/>
    <cellStyle name="Normal 8 3 5" xfId="9291"/>
    <cellStyle name="Comma 6 3 6" xfId="9292"/>
    <cellStyle name="20% - Accent1 4 3 5" xfId="9293"/>
    <cellStyle name="40% - Accent1 4 3 5" xfId="9294"/>
    <cellStyle name="60% - Accent1 4 3 5" xfId="9295"/>
    <cellStyle name="20% - Accent2 4 3 5" xfId="9296"/>
    <cellStyle name="40% - Accent2 4 3 5" xfId="9297"/>
    <cellStyle name="60% - Accent2 4 3 5" xfId="9298"/>
    <cellStyle name="20% - Accent3 4 3 5" xfId="9299"/>
    <cellStyle name="40% - Accent3 4 3 5" xfId="9300"/>
    <cellStyle name="60% - Accent3 4 3 5" xfId="9301"/>
    <cellStyle name="20% - Accent4 4 3 5" xfId="9302"/>
    <cellStyle name="40% - Accent4 4 3 5" xfId="9303"/>
    <cellStyle name="60% - Accent4 4 3 5" xfId="9304"/>
    <cellStyle name="20% - Accent5 4 3 5" xfId="9305"/>
    <cellStyle name="40% - Accent5 4 3 5" xfId="9306"/>
    <cellStyle name="60% - Accent5 4 3 5" xfId="9307"/>
    <cellStyle name="20% - Accent6 4 3 5" xfId="9308"/>
    <cellStyle name="40% - Accent6 4 3 5" xfId="9309"/>
    <cellStyle name="60% - Accent6 4 3 5" xfId="9310"/>
    <cellStyle name="Normal 3 2 4 3 5" xfId="9311"/>
    <cellStyle name="Normal 3 3 4 3 5" xfId="9312"/>
    <cellStyle name="Normal 3 4 4 3 5" xfId="9313"/>
    <cellStyle name="Normal 3 5 4 3 5" xfId="9314"/>
    <cellStyle name="Normal 3 2 2 3 3 5" xfId="9315"/>
    <cellStyle name="Normal 3 3 2 3 3 5" xfId="9316"/>
    <cellStyle name="Normal 3 4 2 3 3 5" xfId="9317"/>
    <cellStyle name="Normal 3 5 2 3 3 5" xfId="9318"/>
    <cellStyle name="Normal 5 3 3 5" xfId="9319"/>
    <cellStyle name="Percent 3 3 3 5" xfId="9320"/>
    <cellStyle name="Note 2 3 3 5" xfId="9321"/>
    <cellStyle name="Normal 3 6 3 3 5" xfId="9322"/>
    <cellStyle name="Comma 2 5 3 6" xfId="9323"/>
    <cellStyle name="Comma 3 4 3 6" xfId="9324"/>
    <cellStyle name="Percent 4 3 3 5" xfId="9325"/>
    <cellStyle name="Normal 3 7 3 3 5" xfId="9326"/>
    <cellStyle name="Note 3 3 3 5" xfId="9327"/>
    <cellStyle name="20% - Accent1 2 3 3 5" xfId="9328"/>
    <cellStyle name="40% - Accent1 2 3 3 5" xfId="9329"/>
    <cellStyle name="60% - Accent1 2 3 3 5" xfId="9330"/>
    <cellStyle name="20% - Accent2 2 3 3 5" xfId="9331"/>
    <cellStyle name="40% - Accent2 2 3 3 5" xfId="9332"/>
    <cellStyle name="60% - Accent2 2 3 3 5" xfId="9333"/>
    <cellStyle name="20% - Accent3 2 3 3 5" xfId="9334"/>
    <cellStyle name="40% - Accent3 2 3 3 5" xfId="9335"/>
    <cellStyle name="60% - Accent3 2 3 3 5" xfId="9336"/>
    <cellStyle name="20% - Accent4 2 3 3 5" xfId="9337"/>
    <cellStyle name="40% - Accent4 2 3 3 5" xfId="9338"/>
    <cellStyle name="60% - Accent4 2 3 3 5" xfId="9339"/>
    <cellStyle name="20% - Accent5 2 3 3 5" xfId="9340"/>
    <cellStyle name="40% - Accent5 2 3 3 5" xfId="9341"/>
    <cellStyle name="60% - Accent5 2 3 3 5" xfId="9342"/>
    <cellStyle name="20% - Accent6 2 3 3 5" xfId="9343"/>
    <cellStyle name="40% - Accent6 2 3 3 5" xfId="9344"/>
    <cellStyle name="60% - Accent6 2 3 3 5" xfId="9345"/>
    <cellStyle name="Comma 2 2 4 3 6" xfId="9346"/>
    <cellStyle name="Comma 4 4 3 6" xfId="9347"/>
    <cellStyle name="Normal 3 8 3 3 5" xfId="9348"/>
    <cellStyle name="Comma 2 4 3 6" xfId="9349"/>
    <cellStyle name="Comma 3 3 3 6" xfId="9350"/>
    <cellStyle name="Comma 2 2 3 3 6" xfId="9351"/>
    <cellStyle name="Comma 4 3 3 6" xfId="9352"/>
    <cellStyle name="Normal 7 2 3 5" xfId="9353"/>
    <cellStyle name="Comma 5 2 3 6" xfId="9354"/>
    <cellStyle name="20% - Accent1 3 2 3 5" xfId="9355"/>
    <cellStyle name="40% - Accent1 3 2 3 5" xfId="9356"/>
    <cellStyle name="60% - Accent1 3 2 3 5" xfId="9357"/>
    <cellStyle name="20% - Accent2 3 2 3 5" xfId="9358"/>
    <cellStyle name="40% - Accent2 3 2 3 5" xfId="9359"/>
    <cellStyle name="60% - Accent2 3 2 3 5" xfId="9360"/>
    <cellStyle name="20% - Accent3 3 2 3 5" xfId="9361"/>
    <cellStyle name="40% - Accent3 3 2 3 5" xfId="9362"/>
    <cellStyle name="60% - Accent3 3 2 3 5" xfId="9363"/>
    <cellStyle name="20% - Accent4 3 2 3 5" xfId="9364"/>
    <cellStyle name="40% - Accent4 3 2 3 5" xfId="9365"/>
    <cellStyle name="60% - Accent4 3 2 3 5" xfId="9366"/>
    <cellStyle name="20% - Accent5 3 2 3 5" xfId="9367"/>
    <cellStyle name="40% - Accent5 3 2 3 5" xfId="9368"/>
    <cellStyle name="60% - Accent5 3 2 3 5" xfId="9369"/>
    <cellStyle name="20% - Accent6 3 2 3 5" xfId="9370"/>
    <cellStyle name="40% - Accent6 3 2 3 5" xfId="9371"/>
    <cellStyle name="60% - Accent6 3 2 3 5" xfId="9372"/>
    <cellStyle name="Normal 3 2 3 2 3 5" xfId="9373"/>
    <cellStyle name="Normal 3 3 3 2 3 5" xfId="9374"/>
    <cellStyle name="Normal 3 4 3 2 3 5" xfId="9375"/>
    <cellStyle name="Normal 3 5 3 2 3 5" xfId="9376"/>
    <cellStyle name="Normal 3 2 2 2 2 3 5" xfId="9377"/>
    <cellStyle name="Normal 3 3 2 2 2 3 5" xfId="9378"/>
    <cellStyle name="Normal 3 4 2 2 2 3 5" xfId="9379"/>
    <cellStyle name="Normal 3 5 2 2 2 3 5" xfId="9380"/>
    <cellStyle name="Normal 5 2 2 3 5" xfId="9381"/>
    <cellStyle name="Percent 3 2 2 3 5" xfId="9382"/>
    <cellStyle name="Note 2 2 2 3 5" xfId="9383"/>
    <cellStyle name="Normal 3 6 2 2 3 5" xfId="9384"/>
    <cellStyle name="Comma 2 3 2 3 6" xfId="9385"/>
    <cellStyle name="Comma 3 2 2 3 6" xfId="9386"/>
    <cellStyle name="Percent 4 2 2 3 5" xfId="9387"/>
    <cellStyle name="Normal 3 7 2 2 3 5" xfId="9388"/>
    <cellStyle name="Note 3 2 2 3 5" xfId="9389"/>
    <cellStyle name="20% - Accent1 2 2 2 3 5" xfId="9390"/>
    <cellStyle name="40% - Accent1 2 2 2 3 5" xfId="9391"/>
    <cellStyle name="60% - Accent1 2 2 2 3 5" xfId="9392"/>
    <cellStyle name="20% - Accent2 2 2 2 3 5" xfId="9393"/>
    <cellStyle name="40% - Accent2 2 2 2 3 5" xfId="9394"/>
    <cellStyle name="60% - Accent2 2 2 2 3 5" xfId="9395"/>
    <cellStyle name="20% - Accent3 2 2 2 3 5" xfId="9396"/>
    <cellStyle name="40% - Accent3 2 2 2 3 5" xfId="9397"/>
    <cellStyle name="60% - Accent3 2 2 2 3 5" xfId="9398"/>
    <cellStyle name="20% - Accent4 2 2 2 3 5" xfId="9399"/>
    <cellStyle name="40% - Accent4 2 2 2 3 5" xfId="9400"/>
    <cellStyle name="60% - Accent4 2 2 2 3 5" xfId="9401"/>
    <cellStyle name="20% - Accent5 2 2 2 3 5" xfId="9402"/>
    <cellStyle name="40% - Accent5 2 2 2 3 5" xfId="9403"/>
    <cellStyle name="60% - Accent5 2 2 2 3 5" xfId="9404"/>
    <cellStyle name="20% - Accent6 2 2 2 3 5" xfId="9405"/>
    <cellStyle name="40% - Accent6 2 2 2 3 5" xfId="9406"/>
    <cellStyle name="60% - Accent6 2 2 2 3 5" xfId="9407"/>
    <cellStyle name="Comma 2 2 2 2 3 6" xfId="9408"/>
    <cellStyle name="Comma 4 2 2 3 6" xfId="9409"/>
    <cellStyle name="Normal 3 8 2 2 3 5" xfId="9410"/>
    <cellStyle name="Normal 3 10 3 5" xfId="9411"/>
    <cellStyle name="Normal 3 11 3 5" xfId="9412"/>
    <cellStyle name="Normal 5 4 2 5" xfId="9413"/>
    <cellStyle name="Normal 7 3 2 5" xfId="9414"/>
    <cellStyle name="Normal 3 2 2 2 3 2 5" xfId="9415"/>
    <cellStyle name="Normal 8 2 2 5" xfId="9416"/>
    <cellStyle name="Normal 3 2 2 2 2 2 2 5" xfId="9417"/>
    <cellStyle name="Comma 3 6 6" xfId="9418"/>
    <cellStyle name="Normal 3 6 4 2 5" xfId="9419"/>
    <cellStyle name="Normal 3 12 2 5" xfId="9420"/>
    <cellStyle name="Normal 3 2 5 2 5" xfId="9421"/>
    <cellStyle name="Normal 3 3 5 2 5" xfId="9422"/>
    <cellStyle name="Normal 3 4 5 2 5" xfId="9423"/>
    <cellStyle name="Normal 3 5 5 2 5" xfId="9424"/>
    <cellStyle name="20% - Accent1 5 2 5" xfId="9425"/>
    <cellStyle name="40% - Accent1 5 2 5" xfId="9426"/>
    <cellStyle name="60% - Accent1 5 2 5" xfId="9427"/>
    <cellStyle name="20% - Accent2 5 2 5" xfId="9428"/>
    <cellStyle name="40% - Accent2 5 2 5" xfId="9429"/>
    <cellStyle name="60% - Accent2 5 2 5" xfId="9430"/>
    <cellStyle name="20% - Accent3 5 2 5" xfId="9431"/>
    <cellStyle name="40% - Accent3 5 2 5" xfId="9432"/>
    <cellStyle name="60% - Accent3 5 2 5" xfId="9433"/>
    <cellStyle name="20% - Accent4 5 2 5" xfId="9434"/>
    <cellStyle name="40% - Accent4 5 2 5" xfId="9435"/>
    <cellStyle name="60% - Accent4 5 2 5" xfId="9436"/>
    <cellStyle name="20% - Accent5 5 2 5" xfId="9437"/>
    <cellStyle name="40% - Accent5 5 2 5" xfId="9438"/>
    <cellStyle name="60% - Accent5 5 2 5" xfId="9439"/>
    <cellStyle name="20% - Accent6 5 2 5" xfId="9440"/>
    <cellStyle name="40% - Accent6 5 2 5" xfId="9441"/>
    <cellStyle name="60% - Accent6 5 2 5" xfId="9442"/>
    <cellStyle name="Normal 3 2 2 4 2 5" xfId="9443"/>
    <cellStyle name="Normal 3 3 2 4 2 5" xfId="9444"/>
    <cellStyle name="Normal 3 4 2 4 2 5" xfId="9445"/>
    <cellStyle name="Normal 3 5 2 4 2 5" xfId="9446"/>
    <cellStyle name="Percent 3 4 2 5" xfId="9447"/>
    <cellStyle name="Note 2 4 2 5" xfId="9448"/>
    <cellStyle name="Comma 2 6 2 6" xfId="9449"/>
    <cellStyle name="Comma 3 5 2 6" xfId="9450"/>
    <cellStyle name="Percent 4 4 2 5" xfId="9451"/>
    <cellStyle name="Normal 3 7 4 2 5" xfId="9452"/>
    <cellStyle name="Note 3 4 2 5" xfId="9453"/>
    <cellStyle name="20% - Accent1 2 4 2 5" xfId="9454"/>
    <cellStyle name="40% - Accent1 2 4 2 5" xfId="9455"/>
    <cellStyle name="60% - Accent1 2 4 2 5" xfId="9456"/>
    <cellStyle name="20% - Accent2 2 4 2 5" xfId="9457"/>
    <cellStyle name="40% - Accent2 2 4 2 5" xfId="9458"/>
    <cellStyle name="60% - Accent2 2 4 2 5" xfId="9459"/>
    <cellStyle name="20% - Accent3 2 4 2 5" xfId="9460"/>
    <cellStyle name="40% - Accent3 2 4 2 5" xfId="9461"/>
    <cellStyle name="60% - Accent3 2 4 2 5" xfId="9462"/>
    <cellStyle name="20% - Accent4 2 4 2 5" xfId="9463"/>
    <cellStyle name="40% - Accent4 2 4 2 5" xfId="9464"/>
    <cellStyle name="60% - Accent4 2 4 2 5" xfId="9465"/>
    <cellStyle name="20% - Accent5 2 4 2 5" xfId="9466"/>
    <cellStyle name="40% - Accent5 2 4 2 5" xfId="9467"/>
    <cellStyle name="60% - Accent5 2 4 2 5" xfId="9468"/>
    <cellStyle name="20% - Accent6 2 4 2 5" xfId="9469"/>
    <cellStyle name="40% - Accent6 2 4 2 5" xfId="9470"/>
    <cellStyle name="60% - Accent6 2 4 2 5" xfId="9471"/>
    <cellStyle name="Comma 2 2 5 2 6" xfId="9472"/>
    <cellStyle name="Comma 4 5 2 6" xfId="9473"/>
    <cellStyle name="Normal 3 8 4 2 5" xfId="9474"/>
    <cellStyle name="Comma 5 3 2 6" xfId="9475"/>
    <cellStyle name="20% - Accent1 3 3 2 5" xfId="9476"/>
    <cellStyle name="40% - Accent1 3 3 2 5" xfId="9477"/>
    <cellStyle name="60% - Accent1 3 3 2 5" xfId="9478"/>
    <cellStyle name="20% - Accent2 3 3 2 5" xfId="9479"/>
    <cellStyle name="40% - Accent2 3 3 2 5" xfId="9480"/>
    <cellStyle name="60% - Accent2 3 3 2 5" xfId="9481"/>
    <cellStyle name="20% - Accent3 3 3 2 5" xfId="9482"/>
    <cellStyle name="40% - Accent3 3 3 2 5" xfId="9483"/>
    <cellStyle name="60% - Accent3 3 3 2 5" xfId="9484"/>
    <cellStyle name="20% - Accent4 3 3 2 5" xfId="9485"/>
    <cellStyle name="40% - Accent4 3 3 2 5" xfId="9486"/>
    <cellStyle name="60% - Accent4 3 3 2 5" xfId="9487"/>
    <cellStyle name="20% - Accent5 3 3 2 5" xfId="9488"/>
    <cellStyle name="40% - Accent5 3 3 2 5" xfId="9489"/>
    <cellStyle name="60% - Accent5 3 3 2 5" xfId="9490"/>
    <cellStyle name="20% - Accent6 3 3 2 5" xfId="9491"/>
    <cellStyle name="40% - Accent6 3 3 2 5" xfId="9492"/>
    <cellStyle name="60% - Accent6 3 3 2 5" xfId="9493"/>
    <cellStyle name="Normal 3 2 3 3 2 5" xfId="9494"/>
    <cellStyle name="Normal 3 3 3 3 2 5" xfId="9495"/>
    <cellStyle name="Normal 3 4 3 3 2 5" xfId="9496"/>
    <cellStyle name="Normal 3 5 3 3 2 5" xfId="9497"/>
    <cellStyle name="Normal 3 3 2 2 3 2 5" xfId="9498"/>
    <cellStyle name="Normal 3 4 2 2 3 2 5" xfId="9499"/>
    <cellStyle name="Normal 3 5 2 2 3 2 5" xfId="9500"/>
    <cellStyle name="Normal 5 2 3 2 5" xfId="9501"/>
    <cellStyle name="Percent 3 2 3 2 5" xfId="9502"/>
    <cellStyle name="Note 2 2 3 2 5" xfId="9503"/>
    <cellStyle name="Normal 3 6 2 3 2 5" xfId="9504"/>
    <cellStyle name="Comma 2 3 3 2 6" xfId="9505"/>
    <cellStyle name="Comma 3 2 3 2 6" xfId="9506"/>
    <cellStyle name="Percent 4 2 3 2 5" xfId="9507"/>
    <cellStyle name="Normal 3 7 2 3 2 5" xfId="9508"/>
    <cellStyle name="Note 3 2 3 2 5" xfId="9509"/>
    <cellStyle name="20% - Accent1 2 2 3 2 5" xfId="9510"/>
    <cellStyle name="40% - Accent1 2 2 3 2 5" xfId="9511"/>
    <cellStyle name="60% - Accent1 2 2 3 2 5" xfId="9512"/>
    <cellStyle name="20% - Accent2 2 2 3 2 5" xfId="9513"/>
    <cellStyle name="40% - Accent2 2 2 3 2 5" xfId="9514"/>
    <cellStyle name="60% - Accent2 2 2 3 2 5" xfId="9515"/>
    <cellStyle name="20% - Accent3 2 2 3 2 5" xfId="9516"/>
    <cellStyle name="40% - Accent3 2 2 3 2 5" xfId="9517"/>
    <cellStyle name="60% - Accent3 2 2 3 2 5" xfId="9518"/>
    <cellStyle name="20% - Accent4 2 2 3 2 5" xfId="9519"/>
    <cellStyle name="40% - Accent4 2 2 3 2 5" xfId="9520"/>
    <cellStyle name="60% - Accent4 2 2 3 2 5" xfId="9521"/>
    <cellStyle name="20% - Accent5 2 2 3 2 5" xfId="9522"/>
    <cellStyle name="40% - Accent5 2 2 3 2 5" xfId="9523"/>
    <cellStyle name="60% - Accent5 2 2 3 2 5" xfId="9524"/>
    <cellStyle name="20% - Accent6 2 2 3 2 5" xfId="9525"/>
    <cellStyle name="40% - Accent6 2 2 3 2 5" xfId="9526"/>
    <cellStyle name="60% - Accent6 2 2 3 2 5" xfId="9527"/>
    <cellStyle name="Comma 2 2 2 3 2 6" xfId="9528"/>
    <cellStyle name="Comma 4 2 3 2 6" xfId="9529"/>
    <cellStyle name="Normal 3 8 2 3 2 5" xfId="9530"/>
    <cellStyle name="Comma 6 2 2 6" xfId="9531"/>
    <cellStyle name="20% - Accent1 4 2 2 5" xfId="9532"/>
    <cellStyle name="40% - Accent1 4 2 2 5" xfId="9533"/>
    <cellStyle name="60% - Accent1 4 2 2 5" xfId="9534"/>
    <cellStyle name="20% - Accent2 4 2 2 5" xfId="9535"/>
    <cellStyle name="40% - Accent2 4 2 2 5" xfId="9536"/>
    <cellStyle name="60% - Accent2 4 2 2 5" xfId="9537"/>
    <cellStyle name="20% - Accent3 4 2 2 5" xfId="9538"/>
    <cellStyle name="40% - Accent3 4 2 2 5" xfId="9539"/>
    <cellStyle name="60% - Accent3 4 2 2 5" xfId="9540"/>
    <cellStyle name="20% - Accent4 4 2 2 5" xfId="9541"/>
    <cellStyle name="40% - Accent4 4 2 2 5" xfId="9542"/>
    <cellStyle name="60% - Accent4 4 2 2 5" xfId="9543"/>
    <cellStyle name="20% - Accent5 4 2 2 5" xfId="9544"/>
    <cellStyle name="40% - Accent5 4 2 2 5" xfId="9545"/>
    <cellStyle name="60% - Accent5 4 2 2 5" xfId="9546"/>
    <cellStyle name="20% - Accent6 4 2 2 5" xfId="9547"/>
    <cellStyle name="40% - Accent6 4 2 2 5" xfId="9548"/>
    <cellStyle name="60% - Accent6 4 2 2 5" xfId="9549"/>
    <cellStyle name="Normal 3 2 4 2 2 5" xfId="9550"/>
    <cellStyle name="Normal 3 3 4 2 2 5" xfId="9551"/>
    <cellStyle name="Normal 3 4 4 2 2 5" xfId="9552"/>
    <cellStyle name="Normal 3 5 4 2 2 5" xfId="9553"/>
    <cellStyle name="Normal 3 2 2 3 2 2 5" xfId="9554"/>
    <cellStyle name="Normal 3 3 2 3 2 2 5" xfId="9555"/>
    <cellStyle name="Normal 3 4 2 3 2 2 5" xfId="9556"/>
    <cellStyle name="Normal 3 5 2 3 2 2 5" xfId="9557"/>
    <cellStyle name="Normal 5 3 2 2 5" xfId="9558"/>
    <cellStyle name="Percent 3 3 2 2 5" xfId="9559"/>
    <cellStyle name="Note 2 3 2 2 5" xfId="9560"/>
    <cellStyle name="Normal 3 6 3 2 2 5" xfId="9561"/>
    <cellStyle name="Comma 2 5 2 2 6" xfId="9562"/>
    <cellStyle name="Comma 3 4 2 2 6" xfId="9563"/>
    <cellStyle name="Percent 4 3 2 2 5" xfId="9564"/>
    <cellStyle name="Normal 3 7 3 2 2 5" xfId="9565"/>
    <cellStyle name="Note 3 3 2 2 5" xfId="9566"/>
    <cellStyle name="20% - Accent1 2 3 2 2 5" xfId="9567"/>
    <cellStyle name="40% - Accent1 2 3 2 2 5" xfId="9568"/>
    <cellStyle name="60% - Accent1 2 3 2 2 5" xfId="9569"/>
    <cellStyle name="20% - Accent2 2 3 2 2 5" xfId="9570"/>
    <cellStyle name="40% - Accent2 2 3 2 2 5" xfId="9571"/>
    <cellStyle name="60% - Accent2 2 3 2 2 5" xfId="9572"/>
    <cellStyle name="20% - Accent3 2 3 2 2 5" xfId="9573"/>
    <cellStyle name="40% - Accent3 2 3 2 2 5" xfId="9574"/>
    <cellStyle name="60% - Accent3 2 3 2 2 5" xfId="9575"/>
    <cellStyle name="20% - Accent4 2 3 2 2 5" xfId="9576"/>
    <cellStyle name="40% - Accent4 2 3 2 2 5" xfId="9577"/>
    <cellStyle name="60% - Accent4 2 3 2 2 5" xfId="9578"/>
    <cellStyle name="20% - Accent5 2 3 2 2 5" xfId="9579"/>
    <cellStyle name="40% - Accent5 2 3 2 2 5" xfId="9580"/>
    <cellStyle name="60% - Accent5 2 3 2 2 5" xfId="9581"/>
    <cellStyle name="20% - Accent6 2 3 2 2 5" xfId="9582"/>
    <cellStyle name="40% - Accent6 2 3 2 2 5" xfId="9583"/>
    <cellStyle name="60% - Accent6 2 3 2 2 5" xfId="9584"/>
    <cellStyle name="Comma 2 2 4 2 2 6" xfId="9585"/>
    <cellStyle name="Comma 4 4 2 2 6" xfId="9586"/>
    <cellStyle name="Normal 3 8 3 2 2 5" xfId="9587"/>
    <cellStyle name="Comma 2 4 2 2 6" xfId="9588"/>
    <cellStyle name="Comma 3 3 2 2 6" xfId="9589"/>
    <cellStyle name="Comma 2 2 3 2 2 6" xfId="9590"/>
    <cellStyle name="Comma 4 3 2 2 6" xfId="9591"/>
    <cellStyle name="Normal 7 2 2 2 5" xfId="9592"/>
    <cellStyle name="Comma 5 2 2 2 6" xfId="9593"/>
    <cellStyle name="20% - Accent1 3 2 2 2 5" xfId="9594"/>
    <cellStyle name="40% - Accent1 3 2 2 2 5" xfId="9595"/>
    <cellStyle name="60% - Accent1 3 2 2 2 5" xfId="9596"/>
    <cellStyle name="20% - Accent2 3 2 2 2 5" xfId="9597"/>
    <cellStyle name="40% - Accent2 3 2 2 2 5" xfId="9598"/>
    <cellStyle name="60% - Accent2 3 2 2 2 5" xfId="9599"/>
    <cellStyle name="20% - Accent3 3 2 2 2 5" xfId="9600"/>
    <cellStyle name="40% - Accent3 3 2 2 2 5" xfId="9601"/>
    <cellStyle name="60% - Accent3 3 2 2 2 5" xfId="9602"/>
    <cellStyle name="20% - Accent4 3 2 2 2 5" xfId="9603"/>
    <cellStyle name="40% - Accent4 3 2 2 2 5" xfId="9604"/>
    <cellStyle name="60% - Accent4 3 2 2 2 5" xfId="9605"/>
    <cellStyle name="20% - Accent5 3 2 2 2 5" xfId="9606"/>
    <cellStyle name="40% - Accent5 3 2 2 2 5" xfId="9607"/>
    <cellStyle name="60% - Accent5 3 2 2 2 5" xfId="9608"/>
    <cellStyle name="20% - Accent6 3 2 2 2 5" xfId="9609"/>
    <cellStyle name="40% - Accent6 3 2 2 2 5" xfId="9610"/>
    <cellStyle name="60% - Accent6 3 2 2 2 5" xfId="9611"/>
    <cellStyle name="Normal 3 2 3 2 2 2 5" xfId="9612"/>
    <cellStyle name="Normal 3 3 3 2 2 2 5" xfId="9613"/>
    <cellStyle name="Normal 3 4 3 2 2 2 5" xfId="9614"/>
    <cellStyle name="Normal 3 5 3 2 2 2 5" xfId="9615"/>
    <cellStyle name="Normal 3 3 2 2 2 2 2 5" xfId="9616"/>
    <cellStyle name="Normal 3 4 2 2 2 2 2 5" xfId="9617"/>
    <cellStyle name="Normal 3 5 2 2 2 2 2 5" xfId="9618"/>
    <cellStyle name="Normal 5 2 2 2 2 5" xfId="9619"/>
    <cellStyle name="Percent 3 2 2 2 2 5" xfId="9620"/>
    <cellStyle name="Note 2 2 2 2 2 5" xfId="9621"/>
    <cellStyle name="Normal 3 6 2 2 2 2 5" xfId="9622"/>
    <cellStyle name="Comma 2 3 2 2 2 6" xfId="9623"/>
    <cellStyle name="Comma 3 2 2 2 2 6" xfId="9624"/>
    <cellStyle name="Percent 4 2 2 2 2 5" xfId="9625"/>
    <cellStyle name="Normal 3 7 2 2 2 2 5" xfId="9626"/>
    <cellStyle name="Note 3 2 2 2 2 5" xfId="9627"/>
    <cellStyle name="20% - Accent1 2 2 2 2 2 5" xfId="9628"/>
    <cellStyle name="40% - Accent1 2 2 2 2 2 5" xfId="9629"/>
    <cellStyle name="60% - Accent1 2 2 2 2 2 5" xfId="9630"/>
    <cellStyle name="20% - Accent2 2 2 2 2 2 5" xfId="9631"/>
    <cellStyle name="40% - Accent2 2 2 2 2 2 5" xfId="9632"/>
    <cellStyle name="60% - Accent2 2 2 2 2 2 5" xfId="9633"/>
    <cellStyle name="20% - Accent3 2 2 2 2 2 5" xfId="9634"/>
    <cellStyle name="40% - Accent3 2 2 2 2 2 5" xfId="9635"/>
    <cellStyle name="60% - Accent3 2 2 2 2 2 5" xfId="9636"/>
    <cellStyle name="20% - Accent4 2 2 2 2 2 5" xfId="9637"/>
    <cellStyle name="40% - Accent4 2 2 2 2 2 5" xfId="9638"/>
    <cellStyle name="60% - Accent4 2 2 2 2 2 5" xfId="9639"/>
    <cellStyle name="20% - Accent5 2 2 2 2 2 5" xfId="9640"/>
    <cellStyle name="40% - Accent5 2 2 2 2 2 5" xfId="9641"/>
    <cellStyle name="60% - Accent5 2 2 2 2 2 5" xfId="9642"/>
    <cellStyle name="20% - Accent6 2 2 2 2 2 5" xfId="9643"/>
    <cellStyle name="40% - Accent6 2 2 2 2 2 5" xfId="9644"/>
    <cellStyle name="60% - Accent6 2 2 2 2 2 5" xfId="9645"/>
    <cellStyle name="Comma 2 2 2 2 2 2 6" xfId="9646"/>
    <cellStyle name="Comma 4 2 2 2 2 6" xfId="9647"/>
    <cellStyle name="Normal 3 8 2 2 2 2 5" xfId="9648"/>
    <cellStyle name="Normal 3 10 2 2 5" xfId="9649"/>
    <cellStyle name="Normal 3 11 2 2 5" xfId="9650"/>
    <cellStyle name="Normal 3 13 5" xfId="9651"/>
    <cellStyle name="Normal 3 2 7 5" xfId="9652"/>
    <cellStyle name="Normal 3 3 7 5" xfId="9653"/>
    <cellStyle name="Normal 3 4 7 5" xfId="9654"/>
    <cellStyle name="Normal 3 5 7 5" xfId="9655"/>
    <cellStyle name="20% - Accent1 7 5" xfId="9656"/>
    <cellStyle name="40% - Accent1 7 5" xfId="9657"/>
    <cellStyle name="60% - Accent1 7 5" xfId="9658"/>
    <cellStyle name="20% - Accent2 7 5" xfId="9659"/>
    <cellStyle name="40% - Accent2 7 5" xfId="9660"/>
    <cellStyle name="60% - Accent2 7 5" xfId="9661"/>
    <cellStyle name="20% - Accent3 7 5" xfId="9662"/>
    <cellStyle name="40% - Accent3 7 5" xfId="9663"/>
    <cellStyle name="60% - Accent3 7 5" xfId="9664"/>
    <cellStyle name="20% - Accent4 7 5" xfId="9665"/>
    <cellStyle name="40% - Accent4 7 5" xfId="9666"/>
    <cellStyle name="60% - Accent4 7 5" xfId="9667"/>
    <cellStyle name="20% - Accent5 7 5" xfId="9668"/>
    <cellStyle name="40% - Accent5 7 5" xfId="9669"/>
    <cellStyle name="60% - Accent5 7 5" xfId="9670"/>
    <cellStyle name="20% - Accent6 7 5" xfId="9671"/>
    <cellStyle name="40% - Accent6 7 5" xfId="9672"/>
    <cellStyle name="60% - Accent6 7 5" xfId="9673"/>
    <cellStyle name="Normal 3 2 2 6 5" xfId="9674"/>
    <cellStyle name="Normal 3 3 2 6 5" xfId="9675"/>
    <cellStyle name="Normal 3 4 2 6 5" xfId="9676"/>
    <cellStyle name="Normal 3 5 2 6 5" xfId="9677"/>
    <cellStyle name="Normal 5 6 5" xfId="9678"/>
    <cellStyle name="Percent 3 6 5" xfId="9679"/>
    <cellStyle name="Note 2 6 5" xfId="9680"/>
    <cellStyle name="Normal 3 6 6 5" xfId="9681"/>
    <cellStyle name="Comma 2 8 6" xfId="9682"/>
    <cellStyle name="Comma 3 8 6" xfId="9683"/>
    <cellStyle name="Percent 4 6 5" xfId="9684"/>
    <cellStyle name="Normal 3 7 6 5" xfId="9685"/>
    <cellStyle name="Note 3 6 5" xfId="9686"/>
    <cellStyle name="20% - Accent1 2 6 5" xfId="9687"/>
    <cellStyle name="40% - Accent1 2 6 5" xfId="9688"/>
    <cellStyle name="60% - Accent1 2 6 5" xfId="9689"/>
    <cellStyle name="20% - Accent2 2 6 5" xfId="9690"/>
    <cellStyle name="40% - Accent2 2 6 5" xfId="9691"/>
    <cellStyle name="60% - Accent2 2 6 5" xfId="9692"/>
    <cellStyle name="20% - Accent3 2 6 5" xfId="9693"/>
    <cellStyle name="40% - Accent3 2 6 5" xfId="9694"/>
    <cellStyle name="60% - Accent3 2 6 5" xfId="9695"/>
    <cellStyle name="20% - Accent4 2 6 5" xfId="9696"/>
    <cellStyle name="40% - Accent4 2 6 5" xfId="9697"/>
    <cellStyle name="60% - Accent4 2 6 5" xfId="9698"/>
    <cellStyle name="20% - Accent5 2 6 5" xfId="9699"/>
    <cellStyle name="40% - Accent5 2 6 5" xfId="9700"/>
    <cellStyle name="60% - Accent5 2 6 5" xfId="9701"/>
    <cellStyle name="20% - Accent6 2 6 5" xfId="9702"/>
    <cellStyle name="40% - Accent6 2 6 5" xfId="9703"/>
    <cellStyle name="60% - Accent6 2 6 5" xfId="9704"/>
    <cellStyle name="Comma 2 2 7 6" xfId="9705"/>
    <cellStyle name="Comma 4 7 6" xfId="9706"/>
    <cellStyle name="Normal 3 8 6 5" xfId="9707"/>
    <cellStyle name="Normal 7 5 5" xfId="9708"/>
    <cellStyle name="Comma 5 5 6" xfId="9709"/>
    <cellStyle name="20% - Accent1 3 5 5" xfId="9710"/>
    <cellStyle name="40% - Accent1 3 5 5" xfId="9711"/>
    <cellStyle name="60% - Accent1 3 5 5" xfId="9712"/>
    <cellStyle name="20% - Accent2 3 5 5" xfId="9713"/>
    <cellStyle name="40% - Accent2 3 5 5" xfId="9714"/>
    <cellStyle name="60% - Accent2 3 5 5" xfId="9715"/>
    <cellStyle name="20% - Accent3 3 5 5" xfId="9716"/>
    <cellStyle name="40% - Accent3 3 5 5" xfId="9717"/>
    <cellStyle name="60% - Accent3 3 5 5" xfId="9718"/>
    <cellStyle name="20% - Accent4 3 5 5" xfId="9719"/>
    <cellStyle name="40% - Accent4 3 5 5" xfId="9720"/>
    <cellStyle name="60% - Accent4 3 5 5" xfId="9721"/>
    <cellStyle name="20% - Accent5 3 5 5" xfId="9722"/>
    <cellStyle name="40% - Accent5 3 5 5" xfId="9723"/>
    <cellStyle name="60% - Accent5 3 5 5" xfId="9724"/>
    <cellStyle name="20% - Accent6 3 5 5" xfId="9725"/>
    <cellStyle name="40% - Accent6 3 5 5" xfId="9726"/>
    <cellStyle name="60% - Accent6 3 5 5" xfId="9727"/>
    <cellStyle name="Normal 3 2 3 5 5" xfId="9728"/>
    <cellStyle name="Normal 3 3 3 5 5" xfId="9729"/>
    <cellStyle name="Normal 3 4 3 5 5" xfId="9730"/>
    <cellStyle name="Normal 3 5 3 5 5" xfId="9731"/>
    <cellStyle name="Normal 3 2 2 2 5 5" xfId="9732"/>
    <cellStyle name="Normal 3 3 2 2 5 5" xfId="9733"/>
    <cellStyle name="Normal 3 4 2 2 5 5" xfId="9734"/>
    <cellStyle name="Normal 3 5 2 2 5 5" xfId="9735"/>
    <cellStyle name="Normal 5 2 5 5" xfId="9736"/>
    <cellStyle name="Percent 3 2 5 5" xfId="9737"/>
    <cellStyle name="Note 2 2 5 5" xfId="9738"/>
    <cellStyle name="Normal 3 6 2 5 5" xfId="9739"/>
    <cellStyle name="Comma 2 3 5 6" xfId="9740"/>
    <cellStyle name="Comma 3 2 5 6" xfId="9741"/>
    <cellStyle name="Percent 4 2 5 5" xfId="9742"/>
    <cellStyle name="Normal 3 7 2 5 5" xfId="9743"/>
    <cellStyle name="Note 3 2 5 5" xfId="9744"/>
    <cellStyle name="20% - Accent1 2 2 5 5" xfId="9745"/>
    <cellStyle name="40% - Accent1 2 2 5 5" xfId="9746"/>
    <cellStyle name="60% - Accent1 2 2 5 5" xfId="9747"/>
    <cellStyle name="20% - Accent2 2 2 5 5" xfId="9748"/>
    <cellStyle name="40% - Accent2 2 2 5 5" xfId="9749"/>
    <cellStyle name="60% - Accent2 2 2 5 5" xfId="9750"/>
    <cellStyle name="20% - Accent3 2 2 5 5" xfId="9751"/>
    <cellStyle name="40% - Accent3 2 2 5 5" xfId="9752"/>
    <cellStyle name="60% - Accent3 2 2 5 5" xfId="9753"/>
    <cellStyle name="20% - Accent4 2 2 5 5" xfId="9754"/>
    <cellStyle name="40% - Accent4 2 2 5 5" xfId="9755"/>
    <cellStyle name="60% - Accent4 2 2 5 5" xfId="9756"/>
    <cellStyle name="20% - Accent5 2 2 5 5" xfId="9757"/>
    <cellStyle name="40% - Accent5 2 2 5 5" xfId="9758"/>
    <cellStyle name="60% - Accent5 2 2 5 5" xfId="9759"/>
    <cellStyle name="20% - Accent6 2 2 5 5" xfId="9760"/>
    <cellStyle name="40% - Accent6 2 2 5 5" xfId="9761"/>
    <cellStyle name="60% - Accent6 2 2 5 5" xfId="9762"/>
    <cellStyle name="Comma 2 2 2 5 6" xfId="9763"/>
    <cellStyle name="Comma 4 2 5 6" xfId="9764"/>
    <cellStyle name="Normal 3 8 2 5 5" xfId="9765"/>
    <cellStyle name="Normal 8 4 5" xfId="9766"/>
    <cellStyle name="Comma 6 4 6" xfId="9767"/>
    <cellStyle name="20% - Accent1 4 4 5" xfId="9768"/>
    <cellStyle name="40% - Accent1 4 4 5" xfId="9769"/>
    <cellStyle name="60% - Accent1 4 4 5" xfId="9770"/>
    <cellStyle name="20% - Accent2 4 4 5" xfId="9771"/>
    <cellStyle name="40% - Accent2 4 4 5" xfId="9772"/>
    <cellStyle name="60% - Accent2 4 4 5" xfId="9773"/>
    <cellStyle name="20% - Accent3 4 4 5" xfId="9774"/>
    <cellStyle name="40% - Accent3 4 4 5" xfId="9775"/>
    <cellStyle name="60% - Accent3 4 4 5" xfId="9776"/>
    <cellStyle name="20% - Accent4 4 4 5" xfId="9777"/>
    <cellStyle name="40% - Accent4 4 4 5" xfId="9778"/>
    <cellStyle name="60% - Accent4 4 4 5" xfId="9779"/>
    <cellStyle name="20% - Accent5 4 4 5" xfId="9780"/>
    <cellStyle name="40% - Accent5 4 4 5" xfId="9781"/>
    <cellStyle name="60% - Accent5 4 4 5" xfId="9782"/>
    <cellStyle name="20% - Accent6 4 4 5" xfId="9783"/>
    <cellStyle name="40% - Accent6 4 4 5" xfId="9784"/>
    <cellStyle name="60% - Accent6 4 4 5" xfId="9785"/>
    <cellStyle name="Normal 3 2 4 4 5" xfId="9786"/>
    <cellStyle name="Normal 3 3 4 4 5" xfId="9787"/>
    <cellStyle name="Normal 3 4 4 4 5" xfId="9788"/>
    <cellStyle name="Normal 3 5 4 4 5" xfId="9789"/>
    <cellStyle name="Normal 3 2 2 3 4 5" xfId="9790"/>
    <cellStyle name="Normal 3 3 2 3 4 5" xfId="9791"/>
    <cellStyle name="Normal 3 4 2 3 4 5" xfId="9792"/>
    <cellStyle name="Normal 3 5 2 3 4 5" xfId="9793"/>
    <cellStyle name="Normal 5 3 4 5" xfId="9794"/>
    <cellStyle name="Percent 3 3 4 5" xfId="9795"/>
    <cellStyle name="Note 2 3 4 5" xfId="9796"/>
    <cellStyle name="Normal 3 6 3 4 5" xfId="9797"/>
    <cellStyle name="Comma 2 5 4 6" xfId="9798"/>
    <cellStyle name="Comma 3 4 4 6" xfId="9799"/>
    <cellStyle name="Percent 4 3 4 5" xfId="9800"/>
    <cellStyle name="Normal 3 7 3 4 5" xfId="9801"/>
    <cellStyle name="Note 3 3 4 5" xfId="9802"/>
    <cellStyle name="20% - Accent1 2 3 4 5" xfId="9803"/>
    <cellStyle name="40% - Accent1 2 3 4 5" xfId="9804"/>
    <cellStyle name="60% - Accent1 2 3 4 5" xfId="9805"/>
    <cellStyle name="20% - Accent2 2 3 4 5" xfId="9806"/>
    <cellStyle name="40% - Accent2 2 3 4 5" xfId="9807"/>
    <cellStyle name="60% - Accent2 2 3 4 5" xfId="9808"/>
    <cellStyle name="20% - Accent3 2 3 4 5" xfId="9809"/>
    <cellStyle name="40% - Accent3 2 3 4 5" xfId="9810"/>
    <cellStyle name="60% - Accent3 2 3 4 5" xfId="9811"/>
    <cellStyle name="20% - Accent4 2 3 4 5" xfId="9812"/>
    <cellStyle name="40% - Accent4 2 3 4 5" xfId="9813"/>
    <cellStyle name="60% - Accent4 2 3 4 5" xfId="9814"/>
    <cellStyle name="20% - Accent5 2 3 4 5" xfId="9815"/>
    <cellStyle name="40% - Accent5 2 3 4 5" xfId="9816"/>
    <cellStyle name="60% - Accent5 2 3 4 5" xfId="9817"/>
    <cellStyle name="20% - Accent6 2 3 4 5" xfId="9818"/>
    <cellStyle name="40% - Accent6 2 3 4 5" xfId="9819"/>
    <cellStyle name="60% - Accent6 2 3 4 5" xfId="9820"/>
    <cellStyle name="Comma 2 2 4 4 6" xfId="9821"/>
    <cellStyle name="Comma 4 4 4 6" xfId="9822"/>
    <cellStyle name="Normal 3 8 3 4 5" xfId="9823"/>
    <cellStyle name="Comma 2 4 4 6" xfId="9824"/>
    <cellStyle name="Comma 3 3 4 6" xfId="9825"/>
    <cellStyle name="Comma 2 2 3 4 6" xfId="9826"/>
    <cellStyle name="Comma 4 3 4 6" xfId="9827"/>
    <cellStyle name="Normal 7 2 4 5" xfId="9828"/>
    <cellStyle name="Comma 5 2 4 6" xfId="9829"/>
    <cellStyle name="20% - Accent1 3 2 4 5" xfId="9830"/>
    <cellStyle name="40% - Accent1 3 2 4 5" xfId="9831"/>
    <cellStyle name="60% - Accent1 3 2 4 5" xfId="9832"/>
    <cellStyle name="20% - Accent2 3 2 4 5" xfId="9833"/>
    <cellStyle name="40% - Accent2 3 2 4 5" xfId="9834"/>
    <cellStyle name="60% - Accent2 3 2 4 5" xfId="9835"/>
    <cellStyle name="20% - Accent3 3 2 4 5" xfId="9836"/>
    <cellStyle name="40% - Accent3 3 2 4 5" xfId="9837"/>
    <cellStyle name="60% - Accent3 3 2 4 5" xfId="9838"/>
    <cellStyle name="20% - Accent4 3 2 4 5" xfId="9839"/>
    <cellStyle name="40% - Accent4 3 2 4 5" xfId="9840"/>
    <cellStyle name="60% - Accent4 3 2 4 5" xfId="9841"/>
    <cellStyle name="20% - Accent5 3 2 4 5" xfId="9842"/>
    <cellStyle name="40% - Accent5 3 2 4 5" xfId="9843"/>
    <cellStyle name="60% - Accent5 3 2 4 5" xfId="9844"/>
    <cellStyle name="20% - Accent6 3 2 4 5" xfId="9845"/>
    <cellStyle name="40% - Accent6 3 2 4 5" xfId="9846"/>
    <cellStyle name="60% - Accent6 3 2 4 5" xfId="9847"/>
    <cellStyle name="Normal 3 2 3 2 4 5" xfId="9848"/>
    <cellStyle name="Normal 3 3 3 2 4 5" xfId="9849"/>
    <cellStyle name="Normal 3 4 3 2 4 5" xfId="9850"/>
    <cellStyle name="Normal 3 5 3 2 4 5" xfId="9851"/>
    <cellStyle name="Normal 3 2 2 2 2 4 5" xfId="9852"/>
    <cellStyle name="Normal 3 3 2 2 2 4 5" xfId="9853"/>
    <cellStyle name="Normal 3 4 2 2 2 4 5" xfId="9854"/>
    <cellStyle name="Normal 3 5 2 2 2 4 5" xfId="9855"/>
    <cellStyle name="Normal 5 2 2 4 5" xfId="9856"/>
    <cellStyle name="Percent 3 2 2 4 5" xfId="9857"/>
    <cellStyle name="Note 2 2 2 4 5" xfId="9858"/>
    <cellStyle name="Normal 3 6 2 2 4 5" xfId="9859"/>
    <cellStyle name="Comma 2 3 2 4 6" xfId="9860"/>
    <cellStyle name="Comma 3 2 2 4 6" xfId="9861"/>
    <cellStyle name="Percent 4 2 2 4 5" xfId="9862"/>
    <cellStyle name="Normal 3 7 2 2 4 5" xfId="9863"/>
    <cellStyle name="Note 3 2 2 4 5" xfId="9864"/>
    <cellStyle name="20% - Accent1 2 2 2 4 5" xfId="9865"/>
    <cellStyle name="40% - Accent1 2 2 2 4 5" xfId="9866"/>
    <cellStyle name="60% - Accent1 2 2 2 4 5" xfId="9867"/>
    <cellStyle name="20% - Accent2 2 2 2 4 5" xfId="9868"/>
    <cellStyle name="40% - Accent2 2 2 2 4 5" xfId="9869"/>
    <cellStyle name="60% - Accent2 2 2 2 4 5" xfId="9870"/>
    <cellStyle name="20% - Accent3 2 2 2 4 5" xfId="9871"/>
    <cellStyle name="40% - Accent3 2 2 2 4 5" xfId="9872"/>
    <cellStyle name="60% - Accent3 2 2 2 4 5" xfId="9873"/>
    <cellStyle name="20% - Accent4 2 2 2 4 5" xfId="9874"/>
    <cellStyle name="40% - Accent4 2 2 2 4 5" xfId="9875"/>
    <cellStyle name="60% - Accent4 2 2 2 4 5" xfId="9876"/>
    <cellStyle name="20% - Accent5 2 2 2 4 5" xfId="9877"/>
    <cellStyle name="40% - Accent5 2 2 2 4 5" xfId="9878"/>
    <cellStyle name="60% - Accent5 2 2 2 4 5" xfId="9879"/>
    <cellStyle name="20% - Accent6 2 2 2 4 5" xfId="9880"/>
    <cellStyle name="40% - Accent6 2 2 2 4 5" xfId="9881"/>
    <cellStyle name="60% - Accent6 2 2 2 4 5" xfId="9882"/>
    <cellStyle name="Comma 2 2 2 2 4 6" xfId="9883"/>
    <cellStyle name="Comma 4 2 2 4 6" xfId="9884"/>
    <cellStyle name="Normal 3 8 2 2 4 5" xfId="9885"/>
    <cellStyle name="Normal 3 10 4 5" xfId="9886"/>
    <cellStyle name="Normal 3 11 4 5" xfId="9887"/>
    <cellStyle name="Normal 12 5" xfId="9888"/>
    <cellStyle name="Percent 8 5" xfId="9889"/>
    <cellStyle name="Note 4 5" xfId="9890"/>
    <cellStyle name="20% - Accent1 8 5" xfId="9891"/>
    <cellStyle name="40% - Accent1 8 5" xfId="9892"/>
    <cellStyle name="60% - Accent1 8 5" xfId="9893"/>
    <cellStyle name="20% - Accent2 8 5" xfId="9894"/>
    <cellStyle name="40% - Accent2 8 5" xfId="9895"/>
    <cellStyle name="60% - Accent2 8 5" xfId="9896"/>
    <cellStyle name="20% - Accent3 8 5" xfId="9897"/>
    <cellStyle name="40% - Accent3 8 5" xfId="9898"/>
    <cellStyle name="60% - Accent3 8 5" xfId="9899"/>
    <cellStyle name="20% - Accent4 8 5" xfId="9900"/>
    <cellStyle name="40% - Accent4 8 5" xfId="9901"/>
    <cellStyle name="60% - Accent4 8 5" xfId="9902"/>
    <cellStyle name="20% - Accent5 8 5" xfId="9903"/>
    <cellStyle name="40% - Accent5 8 5" xfId="9904"/>
    <cellStyle name="60% - Accent5 8 5" xfId="9905"/>
    <cellStyle name="20% - Accent6 8 5" xfId="9906"/>
    <cellStyle name="40% - Accent6 8 5" xfId="9907"/>
    <cellStyle name="60% - Accent6 8 5" xfId="9908"/>
    <cellStyle name="Comma 2 9 6" xfId="9909"/>
    <cellStyle name="Comma 7 6" xfId="9910"/>
    <cellStyle name="Normal 13 7" xfId="9911"/>
    <cellStyle name="Comma 8 5" xfId="9912"/>
    <cellStyle name="20% - Accent1 9 5" xfId="9913"/>
    <cellStyle name="40% - Accent1 9 5" xfId="9914"/>
    <cellStyle name="60% - Accent1 9 5" xfId="9915"/>
    <cellStyle name="20% - Accent2 9 5" xfId="9916"/>
    <cellStyle name="40% - Accent2 9 5" xfId="9917"/>
    <cellStyle name="60% - Accent2 9 5" xfId="9918"/>
    <cellStyle name="20% - Accent3 9 5" xfId="9919"/>
    <cellStyle name="40% - Accent3 9 5" xfId="9920"/>
    <cellStyle name="60% - Accent3 9 5" xfId="9921"/>
    <cellStyle name="20% - Accent4 9 5" xfId="9922"/>
    <cellStyle name="40% - Accent4 9 5" xfId="9923"/>
    <cellStyle name="60% - Accent4 9 5" xfId="9924"/>
    <cellStyle name="20% - Accent5 9 5" xfId="9925"/>
    <cellStyle name="40% - Accent5 9 5" xfId="9926"/>
    <cellStyle name="60% - Accent5 9 5" xfId="9927"/>
    <cellStyle name="20% - Accent6 9 5" xfId="9928"/>
    <cellStyle name="40% - Accent6 9 5" xfId="9929"/>
    <cellStyle name="60% - Accent6 9 5" xfId="9930"/>
    <cellStyle name="Normal 3 2 8 5" xfId="9931"/>
    <cellStyle name="Normal 3 3 8 5" xfId="9932"/>
    <cellStyle name="Normal 3 4 8 5" xfId="9933"/>
    <cellStyle name="Normal 3 5 8 5" xfId="9934"/>
    <cellStyle name="Normal 3 2 2 7 5" xfId="9935"/>
    <cellStyle name="Normal 3 3 2 7 5" xfId="9936"/>
    <cellStyle name="Normal 3 4 2 7 5" xfId="9937"/>
    <cellStyle name="Normal 3 5 2 7 5" xfId="9938"/>
    <cellStyle name="Normal 5 7 5" xfId="9939"/>
    <cellStyle name="Percent 3 7 5" xfId="9940"/>
    <cellStyle name="Note 2 7 5" xfId="9941"/>
    <cellStyle name="Normal 3 6 7 5" xfId="9942"/>
    <cellStyle name="Comma 2 10 5" xfId="9943"/>
    <cellStyle name="Comma 3 9 5" xfId="9944"/>
    <cellStyle name="Percent 4 7 5" xfId="9945"/>
    <cellStyle name="Normal 3 7 7 5" xfId="9946"/>
    <cellStyle name="Note 3 7 5" xfId="9947"/>
    <cellStyle name="20% - Accent1 2 7 5" xfId="9948"/>
    <cellStyle name="40% - Accent1 2 7 5" xfId="9949"/>
    <cellStyle name="60% - Accent1 2 7 5" xfId="9950"/>
    <cellStyle name="20% - Accent2 2 7 5" xfId="9951"/>
    <cellStyle name="40% - Accent2 2 7 5" xfId="9952"/>
    <cellStyle name="60% - Accent2 2 7 5" xfId="9953"/>
    <cellStyle name="20% - Accent3 2 7 5" xfId="9954"/>
    <cellStyle name="40% - Accent3 2 7 5" xfId="9955"/>
    <cellStyle name="60% - Accent3 2 7 5" xfId="9956"/>
    <cellStyle name="20% - Accent4 2 7 5" xfId="9957"/>
    <cellStyle name="40% - Accent4 2 7 5" xfId="9958"/>
    <cellStyle name="60% - Accent4 2 7 5" xfId="9959"/>
    <cellStyle name="20% - Accent5 2 7 5" xfId="9960"/>
    <cellStyle name="40% - Accent5 2 7 5" xfId="9961"/>
    <cellStyle name="60% - Accent5 2 7 5" xfId="9962"/>
    <cellStyle name="20% - Accent6 2 7 5" xfId="9963"/>
    <cellStyle name="40% - Accent6 2 7 5" xfId="9964"/>
    <cellStyle name="60% - Accent6 2 7 5" xfId="9965"/>
    <cellStyle name="Comma 2 2 8 5" xfId="9966"/>
    <cellStyle name="Comma 4 8 5" xfId="9967"/>
    <cellStyle name="Normal 3 8 7 5" xfId="9968"/>
    <cellStyle name="Comma 2 4 5 5" xfId="9969"/>
    <cellStyle name="Comma 3 3 5 5" xfId="9970"/>
    <cellStyle name="Comma 2 2 3 5 5" xfId="9971"/>
    <cellStyle name="Comma 4 3 5 5" xfId="9972"/>
    <cellStyle name="Normal 7 6 5" xfId="9973"/>
    <cellStyle name="Comma 5 6 5" xfId="9974"/>
    <cellStyle name="20% - Accent1 3 6 5" xfId="9975"/>
    <cellStyle name="40% - Accent1 3 6 5" xfId="9976"/>
    <cellStyle name="60% - Accent1 3 6 5" xfId="9977"/>
    <cellStyle name="20% - Accent2 3 6 5" xfId="9978"/>
    <cellStyle name="40% - Accent2 3 6 5" xfId="9979"/>
    <cellStyle name="60% - Accent2 3 6 5" xfId="9980"/>
    <cellStyle name="20% - Accent3 3 6 5" xfId="9981"/>
    <cellStyle name="40% - Accent3 3 6 5" xfId="9982"/>
    <cellStyle name="60% - Accent3 3 6 5" xfId="9983"/>
    <cellStyle name="20% - Accent4 3 6 5" xfId="9984"/>
    <cellStyle name="40% - Accent4 3 6 5" xfId="9985"/>
    <cellStyle name="60% - Accent4 3 6 5" xfId="9986"/>
    <cellStyle name="20% - Accent5 3 6 5" xfId="9987"/>
    <cellStyle name="40% - Accent5 3 6 5" xfId="9988"/>
    <cellStyle name="60% - Accent5 3 6 5" xfId="9989"/>
    <cellStyle name="20% - Accent6 3 6 5" xfId="9990"/>
    <cellStyle name="40% - Accent6 3 6 5" xfId="9991"/>
    <cellStyle name="60% - Accent6 3 6 5" xfId="9992"/>
    <cellStyle name="Normal 3 2 3 6 5" xfId="9993"/>
    <cellStyle name="Normal 3 3 3 6 5" xfId="9994"/>
    <cellStyle name="Normal 3 4 3 6 5" xfId="9995"/>
    <cellStyle name="Normal 3 5 3 6 5" xfId="9996"/>
    <cellStyle name="Normal 3 2 2 2 6 5" xfId="9997"/>
    <cellStyle name="Normal 3 3 2 2 6 5" xfId="9998"/>
    <cellStyle name="Normal 3 4 2 2 6 5" xfId="9999"/>
    <cellStyle name="Normal 3 5 2 2 6 5" xfId="10000"/>
    <cellStyle name="Normal 5 2 6 5" xfId="10001"/>
    <cellStyle name="Percent 3 2 6 5" xfId="10002"/>
    <cellStyle name="Note 2 2 6 5" xfId="10003"/>
    <cellStyle name="Normal 3 6 2 6 5" xfId="10004"/>
    <cellStyle name="Comma 2 3 6 5" xfId="10005"/>
    <cellStyle name="Comma 3 2 6 5" xfId="10006"/>
    <cellStyle name="Percent 4 2 6 5" xfId="10007"/>
    <cellStyle name="Normal 3 7 2 6 5" xfId="10008"/>
    <cellStyle name="Note 3 2 6 5" xfId="10009"/>
    <cellStyle name="20% - Accent1 2 2 6 5" xfId="10010"/>
    <cellStyle name="40% - Accent1 2 2 6 5" xfId="10011"/>
    <cellStyle name="60% - Accent1 2 2 6 5" xfId="10012"/>
    <cellStyle name="20% - Accent2 2 2 6 5" xfId="10013"/>
    <cellStyle name="40% - Accent2 2 2 6 5" xfId="10014"/>
    <cellStyle name="60% - Accent2 2 2 6 5" xfId="10015"/>
    <cellStyle name="20% - Accent3 2 2 6 5" xfId="10016"/>
    <cellStyle name="40% - Accent3 2 2 6 5" xfId="10017"/>
    <cellStyle name="60% - Accent3 2 2 6 5" xfId="10018"/>
    <cellStyle name="20% - Accent4 2 2 6 5" xfId="10019"/>
    <cellStyle name="40% - Accent4 2 2 6 5" xfId="10020"/>
    <cellStyle name="60% - Accent4 2 2 6 5" xfId="10021"/>
    <cellStyle name="20% - Accent5 2 2 6 5" xfId="10022"/>
    <cellStyle name="40% - Accent5 2 2 6 5" xfId="10023"/>
    <cellStyle name="60% - Accent5 2 2 6 5" xfId="10024"/>
    <cellStyle name="20% - Accent6 2 2 6 5" xfId="10025"/>
    <cellStyle name="40% - Accent6 2 2 6 5" xfId="10026"/>
    <cellStyle name="60% - Accent6 2 2 6 5" xfId="10027"/>
    <cellStyle name="Comma 2 2 2 6 5" xfId="10028"/>
    <cellStyle name="Comma 4 2 6 5" xfId="10029"/>
    <cellStyle name="Normal 3 8 2 6 5" xfId="10030"/>
    <cellStyle name="20% - Accent1 10 4" xfId="10031"/>
    <cellStyle name="40% - Accent1 10 4" xfId="10032"/>
    <cellStyle name="60% - Accent1 10 4" xfId="10033"/>
    <cellStyle name="20% - Accent2 10 4" xfId="10034"/>
    <cellStyle name="40% - Accent2 10 4" xfId="10035"/>
    <cellStyle name="60% - Accent2 10 4" xfId="10036"/>
    <cellStyle name="20% - Accent3 10 4" xfId="10037"/>
    <cellStyle name="40% - Accent3 10 4" xfId="10038"/>
    <cellStyle name="60% - Accent3 10 4" xfId="10039"/>
    <cellStyle name="20% - Accent4 10 4" xfId="10040"/>
    <cellStyle name="40% - Accent4 10 4" xfId="10041"/>
    <cellStyle name="60% - Accent4 10 4" xfId="10042"/>
    <cellStyle name="20% - Accent5 10 4" xfId="10043"/>
    <cellStyle name="40% - Accent5 10 4" xfId="10044"/>
    <cellStyle name="60% - Accent5 10 4" xfId="10045"/>
    <cellStyle name="20% - Accent6 10 4" xfId="10046"/>
    <cellStyle name="40% - Accent6 10 4" xfId="10047"/>
    <cellStyle name="60% - Accent6 10 4" xfId="10048"/>
    <cellStyle name="Normal 3 2 9 4" xfId="10049"/>
    <cellStyle name="Normal 3 3 9 4" xfId="10050"/>
    <cellStyle name="Normal 3 4 9 4" xfId="10051"/>
    <cellStyle name="Normal 3 5 9 4" xfId="10052"/>
    <cellStyle name="Normal 3 2 2 8 4" xfId="10053"/>
    <cellStyle name="Normal 3 3 2 8 4" xfId="10054"/>
    <cellStyle name="Normal 3 4 2 8 4" xfId="10055"/>
    <cellStyle name="Normal 3 5 2 8 4" xfId="10056"/>
    <cellStyle name="Normal 5 8 4" xfId="10057"/>
    <cellStyle name="Percent 3 8 4" xfId="10058"/>
    <cellStyle name="Note 2 8 4" xfId="10059"/>
    <cellStyle name="Normal 3 6 8 4" xfId="10060"/>
    <cellStyle name="Comma 2 12 4" xfId="10061"/>
    <cellStyle name="Comma 3 11 4" xfId="10062"/>
    <cellStyle name="Percent 4 8 4" xfId="10063"/>
    <cellStyle name="Normal 3 7 8 4" xfId="10064"/>
    <cellStyle name="Note 3 8 4" xfId="10065"/>
    <cellStyle name="20% - Accent1 2 8 4" xfId="10066"/>
    <cellStyle name="40% - Accent1 2 8 4" xfId="10067"/>
    <cellStyle name="60% - Accent1 2 8 4" xfId="10068"/>
    <cellStyle name="20% - Accent2 2 8 4" xfId="10069"/>
    <cellStyle name="40% - Accent2 2 8 4" xfId="10070"/>
    <cellStyle name="60% - Accent2 2 8 4" xfId="10071"/>
    <cellStyle name="20% - Accent3 2 8 4" xfId="10072"/>
    <cellStyle name="40% - Accent3 2 8 4" xfId="10073"/>
    <cellStyle name="60% - Accent3 2 8 4" xfId="10074"/>
    <cellStyle name="20% - Accent4 2 8 4" xfId="10075"/>
    <cellStyle name="40% - Accent4 2 8 4" xfId="10076"/>
    <cellStyle name="60% - Accent4 2 8 4" xfId="10077"/>
    <cellStyle name="20% - Accent5 2 8 4" xfId="10078"/>
    <cellStyle name="40% - Accent5 2 8 4" xfId="10079"/>
    <cellStyle name="60% - Accent5 2 8 4" xfId="10080"/>
    <cellStyle name="20% - Accent6 2 8 4" xfId="10081"/>
    <cellStyle name="40% - Accent6 2 8 4" xfId="10082"/>
    <cellStyle name="60% - Accent6 2 8 4" xfId="10083"/>
    <cellStyle name="Comma 2 2 10 4" xfId="10084"/>
    <cellStyle name="Comma 4 10 4" xfId="10085"/>
    <cellStyle name="Normal 3 8 8 4" xfId="10086"/>
    <cellStyle name="Normal 7 7 4" xfId="10087"/>
    <cellStyle name="Comma 5 8 4" xfId="10088"/>
    <cellStyle name="20% - Accent1 3 7 4" xfId="10089"/>
    <cellStyle name="40% - Accent1 3 7 4" xfId="10090"/>
    <cellStyle name="60% - Accent1 3 7 4" xfId="10091"/>
    <cellStyle name="20% - Accent2 3 7 4" xfId="10092"/>
    <cellStyle name="40% - Accent2 3 7 4" xfId="10093"/>
    <cellStyle name="60% - Accent2 3 7 4" xfId="10094"/>
    <cellStyle name="20% - Accent3 3 7 4" xfId="10095"/>
    <cellStyle name="40% - Accent3 3 7 4" xfId="10096"/>
    <cellStyle name="60% - Accent3 3 7 4" xfId="10097"/>
    <cellStyle name="20% - Accent4 3 7 4" xfId="10098"/>
    <cellStyle name="40% - Accent4 3 7 4" xfId="10099"/>
    <cellStyle name="60% - Accent4 3 7 4" xfId="10100"/>
    <cellStyle name="20% - Accent5 3 7 4" xfId="10101"/>
    <cellStyle name="40% - Accent5 3 7 4" xfId="10102"/>
    <cellStyle name="60% - Accent5 3 7 4" xfId="10103"/>
    <cellStyle name="20% - Accent6 3 7 4" xfId="10104"/>
    <cellStyle name="40% - Accent6 3 7 4" xfId="10105"/>
    <cellStyle name="60% - Accent6 3 7 4" xfId="10106"/>
    <cellStyle name="Normal 3 2 3 7 4" xfId="10107"/>
    <cellStyle name="Normal 3 3 3 7 4" xfId="10108"/>
    <cellStyle name="Normal 3 4 3 7 4" xfId="10109"/>
    <cellStyle name="Normal 3 5 3 7 4" xfId="10110"/>
    <cellStyle name="Normal 3 2 2 2 7 4" xfId="10111"/>
    <cellStyle name="Normal 3 3 2 2 7 4" xfId="10112"/>
    <cellStyle name="Normal 3 4 2 2 7 4" xfId="10113"/>
    <cellStyle name="Normal 3 5 2 2 7 4" xfId="10114"/>
    <cellStyle name="Normal 5 2 7 4" xfId="10115"/>
    <cellStyle name="Percent 3 2 7 4" xfId="10116"/>
    <cellStyle name="Note 2 2 7 4" xfId="10117"/>
    <cellStyle name="Normal 3 6 2 7 4" xfId="10118"/>
    <cellStyle name="Comma 2 3 8 4" xfId="10119"/>
    <cellStyle name="Comma 3 2 8 4" xfId="10120"/>
    <cellStyle name="Percent 4 2 7 4" xfId="10121"/>
    <cellStyle name="Normal 3 7 2 7 4" xfId="10122"/>
    <cellStyle name="Note 3 2 7 4" xfId="10123"/>
    <cellStyle name="20% - Accent1 2 2 7 4" xfId="10124"/>
    <cellStyle name="40% - Accent1 2 2 7 4" xfId="10125"/>
    <cellStyle name="60% - Accent1 2 2 7 4" xfId="10126"/>
    <cellStyle name="20% - Accent2 2 2 7 4" xfId="10127"/>
    <cellStyle name="40% - Accent2 2 2 7 4" xfId="10128"/>
    <cellStyle name="60% - Accent2 2 2 7 4" xfId="10129"/>
    <cellStyle name="20% - Accent3 2 2 7 4" xfId="10130"/>
    <cellStyle name="40% - Accent3 2 2 7 4" xfId="10131"/>
    <cellStyle name="60% - Accent3 2 2 7 4" xfId="10132"/>
    <cellStyle name="20% - Accent4 2 2 7 4" xfId="10133"/>
    <cellStyle name="40% - Accent4 2 2 7 4" xfId="10134"/>
    <cellStyle name="60% - Accent4 2 2 7 4" xfId="10135"/>
    <cellStyle name="20% - Accent5 2 2 7 4" xfId="10136"/>
    <cellStyle name="40% - Accent5 2 2 7 4" xfId="10137"/>
    <cellStyle name="60% - Accent5 2 2 7 4" xfId="10138"/>
    <cellStyle name="20% - Accent6 2 2 7 4" xfId="10139"/>
    <cellStyle name="40% - Accent6 2 2 7 4" xfId="10140"/>
    <cellStyle name="60% - Accent6 2 2 7 4" xfId="10141"/>
    <cellStyle name="Comma 2 2 2 8 4" xfId="10142"/>
    <cellStyle name="Comma 4 2 8 4" xfId="10143"/>
    <cellStyle name="Normal 3 8 2 7 4" xfId="10144"/>
    <cellStyle name="Normal 8 5 4" xfId="10145"/>
    <cellStyle name="Comma 6 6 4" xfId="10146"/>
    <cellStyle name="20% - Accent1 4 5 4" xfId="10147"/>
    <cellStyle name="40% - Accent1 4 5 4" xfId="10148"/>
    <cellStyle name="60% - Accent1 4 5 4" xfId="10149"/>
    <cellStyle name="20% - Accent2 4 5 4" xfId="10150"/>
    <cellStyle name="40% - Accent2 4 5 4" xfId="10151"/>
    <cellStyle name="60% - Accent2 4 5 4" xfId="10152"/>
    <cellStyle name="20% - Accent3 4 5 4" xfId="10153"/>
    <cellStyle name="40% - Accent3 4 5 4" xfId="10154"/>
    <cellStyle name="60% - Accent3 4 5 4" xfId="10155"/>
    <cellStyle name="20% - Accent4 4 5 4" xfId="10156"/>
    <cellStyle name="40% - Accent4 4 5 4" xfId="10157"/>
    <cellStyle name="60% - Accent4 4 5 4" xfId="10158"/>
    <cellStyle name="20% - Accent5 4 5 4" xfId="10159"/>
    <cellStyle name="40% - Accent5 4 5 4" xfId="10160"/>
    <cellStyle name="60% - Accent5 4 5 4" xfId="10161"/>
    <cellStyle name="20% - Accent6 4 5 4" xfId="10162"/>
    <cellStyle name="40% - Accent6 4 5 4" xfId="10163"/>
    <cellStyle name="60% - Accent6 4 5 4" xfId="10164"/>
    <cellStyle name="Normal 3 2 4 5 4" xfId="10165"/>
    <cellStyle name="Normal 3 3 4 5 4" xfId="10166"/>
    <cellStyle name="Normal 3 4 4 5 4" xfId="10167"/>
    <cellStyle name="Normal 3 5 4 5 4" xfId="10168"/>
    <cellStyle name="Normal 3 2 2 3 5 4" xfId="10169"/>
    <cellStyle name="Normal 3 3 2 3 5 4" xfId="10170"/>
    <cellStyle name="Normal 3 4 2 3 5 4" xfId="10171"/>
    <cellStyle name="Normal 3 5 2 3 5 4" xfId="10172"/>
    <cellStyle name="Normal 5 3 5 4" xfId="10173"/>
    <cellStyle name="Percent 3 3 5 4" xfId="10174"/>
    <cellStyle name="Note 2 3 5 4" xfId="10175"/>
    <cellStyle name="Normal 3 6 3 5 4" xfId="10176"/>
    <cellStyle name="Comma 2 5 6 4" xfId="10177"/>
    <cellStyle name="Comma 3 4 6 4" xfId="10178"/>
    <cellStyle name="Percent 4 3 5 4" xfId="10179"/>
    <cellStyle name="Normal 3 7 3 5 4" xfId="10180"/>
    <cellStyle name="Note 3 3 5 4" xfId="10181"/>
    <cellStyle name="20% - Accent1 2 3 5 4" xfId="10182"/>
    <cellStyle name="40% - Accent1 2 3 5 4" xfId="10183"/>
    <cellStyle name="60% - Accent1 2 3 5 4" xfId="10184"/>
    <cellStyle name="20% - Accent2 2 3 5 4" xfId="10185"/>
    <cellStyle name="40% - Accent2 2 3 5 4" xfId="10186"/>
    <cellStyle name="60% - Accent2 2 3 5 4" xfId="10187"/>
    <cellStyle name="20% - Accent3 2 3 5 4" xfId="10188"/>
    <cellStyle name="40% - Accent3 2 3 5 4" xfId="10189"/>
    <cellStyle name="60% - Accent3 2 3 5 4" xfId="10190"/>
    <cellStyle name="20% - Accent4 2 3 5 4" xfId="10191"/>
    <cellStyle name="40% - Accent4 2 3 5 4" xfId="10192"/>
    <cellStyle name="60% - Accent4 2 3 5 4" xfId="10193"/>
    <cellStyle name="20% - Accent5 2 3 5 4" xfId="10194"/>
    <cellStyle name="40% - Accent5 2 3 5 4" xfId="10195"/>
    <cellStyle name="60% - Accent5 2 3 5 4" xfId="10196"/>
    <cellStyle name="20% - Accent6 2 3 5 4" xfId="10197"/>
    <cellStyle name="40% - Accent6 2 3 5 4" xfId="10198"/>
    <cellStyle name="60% - Accent6 2 3 5 4" xfId="10199"/>
    <cellStyle name="Comma 2 2 4 6 4" xfId="10200"/>
    <cellStyle name="Comma 4 4 6 4" xfId="10201"/>
    <cellStyle name="Normal 3 8 3 5 4" xfId="10202"/>
    <cellStyle name="Comma 2 4 7 4" xfId="10203"/>
    <cellStyle name="Comma 3 3 7 4" xfId="10204"/>
    <cellStyle name="Comma 2 2 3 7 4" xfId="10205"/>
    <cellStyle name="Comma 4 3 7 4" xfId="10206"/>
    <cellStyle name="Normal 7 2 5 4" xfId="10207"/>
    <cellStyle name="Comma 5 2 6 4" xfId="10208"/>
    <cellStyle name="20% - Accent1 3 2 5 4" xfId="10209"/>
    <cellStyle name="40% - Accent1 3 2 5 4" xfId="10210"/>
    <cellStyle name="60% - Accent1 3 2 5 4" xfId="10211"/>
    <cellStyle name="20% - Accent2 3 2 5 4" xfId="10212"/>
    <cellStyle name="40% - Accent2 3 2 5 4" xfId="10213"/>
    <cellStyle name="60% - Accent2 3 2 5 4" xfId="10214"/>
    <cellStyle name="20% - Accent3 3 2 5 4" xfId="10215"/>
    <cellStyle name="40% - Accent3 3 2 5 4" xfId="10216"/>
    <cellStyle name="60% - Accent3 3 2 5 4" xfId="10217"/>
    <cellStyle name="20% - Accent4 3 2 5 4" xfId="10218"/>
    <cellStyle name="40% - Accent4 3 2 5 4" xfId="10219"/>
    <cellStyle name="60% - Accent4 3 2 5 4" xfId="10220"/>
    <cellStyle name="20% - Accent5 3 2 5 4" xfId="10221"/>
    <cellStyle name="40% - Accent5 3 2 5 4" xfId="10222"/>
    <cellStyle name="60% - Accent5 3 2 5 4" xfId="10223"/>
    <cellStyle name="20% - Accent6 3 2 5 4" xfId="10224"/>
    <cellStyle name="40% - Accent6 3 2 5 4" xfId="10225"/>
    <cellStyle name="60% - Accent6 3 2 5 4" xfId="10226"/>
    <cellStyle name="Normal 3 2 3 2 5 4" xfId="10227"/>
    <cellStyle name="Normal 3 3 3 2 5 4" xfId="10228"/>
    <cellStyle name="Normal 3 4 3 2 5 4" xfId="10229"/>
    <cellStyle name="Normal 3 5 3 2 5 4" xfId="10230"/>
    <cellStyle name="Normal 3 2 2 2 2 5 4" xfId="10231"/>
    <cellStyle name="Normal 3 3 2 2 2 5 4" xfId="10232"/>
    <cellStyle name="Normal 3 4 2 2 2 5 4" xfId="10233"/>
    <cellStyle name="Normal 3 5 2 2 2 5 4" xfId="10234"/>
    <cellStyle name="Normal 5 2 2 5 4" xfId="10235"/>
    <cellStyle name="Percent 3 2 2 5 4" xfId="10236"/>
    <cellStyle name="Note 2 2 2 5 4" xfId="10237"/>
    <cellStyle name="Normal 3 6 2 2 5 4" xfId="10238"/>
    <cellStyle name="Comma 2 3 2 6 4" xfId="10239"/>
    <cellStyle name="Comma 3 2 2 6 4" xfId="10240"/>
    <cellStyle name="Percent 4 2 2 5 4" xfId="10241"/>
    <cellStyle name="Normal 3 7 2 2 5 4" xfId="10242"/>
    <cellStyle name="Note 3 2 2 5 4" xfId="10243"/>
    <cellStyle name="20% - Accent1 2 2 2 5 4" xfId="10244"/>
    <cellStyle name="40% - Accent1 2 2 2 5 4" xfId="10245"/>
    <cellStyle name="60% - Accent1 2 2 2 5 4" xfId="10246"/>
    <cellStyle name="20% - Accent2 2 2 2 5 4" xfId="10247"/>
    <cellStyle name="40% - Accent2 2 2 2 5 4" xfId="10248"/>
    <cellStyle name="60% - Accent2 2 2 2 5 4" xfId="10249"/>
    <cellStyle name="20% - Accent3 2 2 2 5 4" xfId="10250"/>
    <cellStyle name="40% - Accent3 2 2 2 5 4" xfId="10251"/>
    <cellStyle name="60% - Accent3 2 2 2 5 4" xfId="10252"/>
    <cellStyle name="20% - Accent4 2 2 2 5 4" xfId="10253"/>
    <cellStyle name="40% - Accent4 2 2 2 5 4" xfId="10254"/>
    <cellStyle name="60% - Accent4 2 2 2 5 4" xfId="10255"/>
    <cellStyle name="20% - Accent5 2 2 2 5 4" xfId="10256"/>
    <cellStyle name="40% - Accent5 2 2 2 5 4" xfId="10257"/>
    <cellStyle name="60% - Accent5 2 2 2 5 4" xfId="10258"/>
    <cellStyle name="20% - Accent6 2 2 2 5 4" xfId="10259"/>
    <cellStyle name="40% - Accent6 2 2 2 5 4" xfId="10260"/>
    <cellStyle name="60% - Accent6 2 2 2 5 4" xfId="10261"/>
    <cellStyle name="Comma 2 2 2 2 6 4" xfId="10262"/>
    <cellStyle name="Comma 4 2 2 6 4" xfId="10263"/>
    <cellStyle name="Normal 3 8 2 2 5 4" xfId="10264"/>
    <cellStyle name="Normal 3 10 5 4" xfId="10265"/>
    <cellStyle name="Normal 3 11 5 4" xfId="10266"/>
    <cellStyle name="Normal 3 12 3 4" xfId="10267"/>
    <cellStyle name="Normal 3 2 5 3 4" xfId="10268"/>
    <cellStyle name="Normal 3 3 5 3 4" xfId="10269"/>
    <cellStyle name="Normal 3 4 5 3 4" xfId="10270"/>
    <cellStyle name="Normal 3 5 5 3 4" xfId="10271"/>
    <cellStyle name="20% - Accent1 5 3 4" xfId="10272"/>
    <cellStyle name="40% - Accent1 5 3 4" xfId="10273"/>
    <cellStyle name="60% - Accent1 5 3 4" xfId="10274"/>
    <cellStyle name="20% - Accent2 5 3 4" xfId="10275"/>
    <cellStyle name="40% - Accent2 5 3 4" xfId="10276"/>
    <cellStyle name="60% - Accent2 5 3 4" xfId="10277"/>
    <cellStyle name="20% - Accent3 5 3 4" xfId="10278"/>
    <cellStyle name="40% - Accent3 5 3 4" xfId="10279"/>
    <cellStyle name="60% - Accent3 5 3 4" xfId="10280"/>
    <cellStyle name="20% - Accent4 5 3 4" xfId="10281"/>
    <cellStyle name="40% - Accent4 5 3 4" xfId="10282"/>
    <cellStyle name="60% - Accent4 5 3 4" xfId="10283"/>
    <cellStyle name="20% - Accent5 5 3 4" xfId="10284"/>
    <cellStyle name="40% - Accent5 5 3 4" xfId="10285"/>
    <cellStyle name="60% - Accent5 5 3 4" xfId="10286"/>
    <cellStyle name="20% - Accent6 5 3 4" xfId="10287"/>
    <cellStyle name="40% - Accent6 5 3 4" xfId="10288"/>
    <cellStyle name="60% - Accent6 5 3 4" xfId="10289"/>
    <cellStyle name="Normal 3 2 2 4 3 4" xfId="10290"/>
    <cellStyle name="Normal 3 3 2 4 3 4" xfId="10291"/>
    <cellStyle name="Normal 3 4 2 4 3 4" xfId="10292"/>
    <cellStyle name="Normal 3 5 2 4 3 4" xfId="10293"/>
    <cellStyle name="Normal 5 4 3 4" xfId="10294"/>
    <cellStyle name="Percent 3 4 3 4" xfId="10295"/>
    <cellStyle name="Note 2 4 3 4" xfId="10296"/>
    <cellStyle name="Normal 3 6 4 3 4" xfId="10297"/>
    <cellStyle name="Comma 2 6 4 4" xfId="10298"/>
    <cellStyle name="Comma 3 5 4 4" xfId="10299"/>
    <cellStyle name="Percent 4 4 3 4" xfId="10300"/>
    <cellStyle name="Normal 3 7 4 3 4" xfId="10301"/>
    <cellStyle name="Note 3 4 3 4" xfId="10302"/>
    <cellStyle name="20% - Accent1 2 4 3 4" xfId="10303"/>
    <cellStyle name="40% - Accent1 2 4 3 4" xfId="10304"/>
    <cellStyle name="60% - Accent1 2 4 3 4" xfId="10305"/>
    <cellStyle name="20% - Accent2 2 4 3 4" xfId="10306"/>
    <cellStyle name="40% - Accent2 2 4 3 4" xfId="10307"/>
    <cellStyle name="60% - Accent2 2 4 3 4" xfId="10308"/>
    <cellStyle name="20% - Accent3 2 4 3 4" xfId="10309"/>
    <cellStyle name="40% - Accent3 2 4 3 4" xfId="10310"/>
    <cellStyle name="60% - Accent3 2 4 3 4" xfId="10311"/>
    <cellStyle name="20% - Accent4 2 4 3 4" xfId="10312"/>
    <cellStyle name="40% - Accent4 2 4 3 4" xfId="10313"/>
    <cellStyle name="60% - Accent4 2 4 3 4" xfId="10314"/>
    <cellStyle name="20% - Accent5 2 4 3 4" xfId="10315"/>
    <cellStyle name="40% - Accent5 2 4 3 4" xfId="10316"/>
    <cellStyle name="60% - Accent5 2 4 3 4" xfId="10317"/>
    <cellStyle name="20% - Accent6 2 4 3 4" xfId="10318"/>
    <cellStyle name="40% - Accent6 2 4 3 4" xfId="10319"/>
    <cellStyle name="60% - Accent6 2 4 3 4" xfId="10320"/>
    <cellStyle name="Comma 2 2 5 4 4" xfId="10321"/>
    <cellStyle name="Comma 4 5 4 4" xfId="10322"/>
    <cellStyle name="Normal 3 8 4 3 4" xfId="10323"/>
    <cellStyle name="Normal 7 3 3 4" xfId="10324"/>
    <cellStyle name="Comma 5 3 4 4" xfId="10325"/>
    <cellStyle name="20% - Accent1 3 3 3 4" xfId="10326"/>
    <cellStyle name="40% - Accent1 3 3 3 4" xfId="10327"/>
    <cellStyle name="60% - Accent1 3 3 3 4" xfId="10328"/>
    <cellStyle name="20% - Accent2 3 3 3 4" xfId="10329"/>
    <cellStyle name="40% - Accent2 3 3 3 4" xfId="10330"/>
    <cellStyle name="60% - Accent2 3 3 3 4" xfId="10331"/>
    <cellStyle name="20% - Accent3 3 3 3 4" xfId="10332"/>
    <cellStyle name="40% - Accent3 3 3 3 4" xfId="10333"/>
    <cellStyle name="60% - Accent3 3 3 3 4" xfId="10334"/>
    <cellStyle name="20% - Accent4 3 3 3 4" xfId="10335"/>
    <cellStyle name="40% - Accent4 3 3 3 4" xfId="10336"/>
    <cellStyle name="60% - Accent4 3 3 3 4" xfId="10337"/>
    <cellStyle name="20% - Accent5 3 3 3 4" xfId="10338"/>
    <cellStyle name="40% - Accent5 3 3 3 4" xfId="10339"/>
    <cellStyle name="60% - Accent5 3 3 3 4" xfId="10340"/>
    <cellStyle name="20% - Accent6 3 3 3 4" xfId="10341"/>
    <cellStyle name="40% - Accent6 3 3 3 4" xfId="10342"/>
    <cellStyle name="60% - Accent6 3 3 3 4" xfId="10343"/>
    <cellStyle name="Normal 3 2 3 3 3 4" xfId="10344"/>
    <cellStyle name="Normal 3 3 3 3 3 4" xfId="10345"/>
    <cellStyle name="Normal 3 4 3 3 3 4" xfId="10346"/>
    <cellStyle name="Normal 3 5 3 3 3 4" xfId="10347"/>
    <cellStyle name="Normal 3 2 2 2 3 3 4" xfId="10348"/>
    <cellStyle name="Normal 3 3 2 2 3 3 4" xfId="10349"/>
    <cellStyle name="Normal 3 4 2 2 3 3 4" xfId="10350"/>
    <cellStyle name="Normal 3 5 2 2 3 3 4" xfId="10351"/>
    <cellStyle name="Normal 5 2 3 3 4" xfId="10352"/>
    <cellStyle name="Percent 3 2 3 3 4" xfId="10353"/>
    <cellStyle name="Note 2 2 3 3 4" xfId="10354"/>
    <cellStyle name="Normal 3 6 2 3 3 4" xfId="10355"/>
    <cellStyle name="Comma 2 3 3 4 4" xfId="10356"/>
    <cellStyle name="Comma 3 2 3 4 4" xfId="10357"/>
    <cellStyle name="Percent 4 2 3 3 4" xfId="10358"/>
    <cellStyle name="Normal 3 7 2 3 3 4" xfId="10359"/>
    <cellStyle name="Note 3 2 3 3 4" xfId="10360"/>
    <cellStyle name="20% - Accent1 2 2 3 3 4" xfId="10361"/>
    <cellStyle name="40% - Accent1 2 2 3 3 4" xfId="10362"/>
    <cellStyle name="60% - Accent1 2 2 3 3 4" xfId="10363"/>
    <cellStyle name="20% - Accent2 2 2 3 3 4" xfId="10364"/>
    <cellStyle name="40% - Accent2 2 2 3 3 4" xfId="10365"/>
    <cellStyle name="60% - Accent2 2 2 3 3 4" xfId="10366"/>
    <cellStyle name="20% - Accent3 2 2 3 3 4" xfId="10367"/>
    <cellStyle name="40% - Accent3 2 2 3 3 4" xfId="10368"/>
    <cellStyle name="60% - Accent3 2 2 3 3 4" xfId="10369"/>
    <cellStyle name="20% - Accent4 2 2 3 3 4" xfId="10370"/>
    <cellStyle name="40% - Accent4 2 2 3 3 4" xfId="10371"/>
    <cellStyle name="60% - Accent4 2 2 3 3 4" xfId="10372"/>
    <cellStyle name="20% - Accent5 2 2 3 3 4" xfId="10373"/>
    <cellStyle name="40% - Accent5 2 2 3 3 4" xfId="10374"/>
    <cellStyle name="60% - Accent5 2 2 3 3 4" xfId="10375"/>
    <cellStyle name="20% - Accent6 2 2 3 3 4" xfId="10376"/>
    <cellStyle name="40% - Accent6 2 2 3 3 4" xfId="10377"/>
    <cellStyle name="60% - Accent6 2 2 3 3 4" xfId="10378"/>
    <cellStyle name="Comma 2 2 2 3 4 4" xfId="10379"/>
    <cellStyle name="Comma 4 2 3 4 4" xfId="10380"/>
    <cellStyle name="Normal 3 8 2 3 3 4" xfId="10381"/>
    <cellStyle name="Normal 8 2 3 4" xfId="10382"/>
    <cellStyle name="Comma 6 2 4 4" xfId="10383"/>
    <cellStyle name="20% - Accent1 4 2 3 4" xfId="10384"/>
    <cellStyle name="40% - Accent1 4 2 3 4" xfId="10385"/>
    <cellStyle name="60% - Accent1 4 2 3 4" xfId="10386"/>
    <cellStyle name="20% - Accent2 4 2 3 4" xfId="10387"/>
    <cellStyle name="40% - Accent2 4 2 3 4" xfId="10388"/>
    <cellStyle name="60% - Accent2 4 2 3 4" xfId="10389"/>
    <cellStyle name="20% - Accent3 4 2 3 4" xfId="10390"/>
    <cellStyle name="40% - Accent3 4 2 3 4" xfId="10391"/>
    <cellStyle name="60% - Accent3 4 2 3 4" xfId="10392"/>
    <cellStyle name="20% - Accent4 4 2 3 4" xfId="10393"/>
    <cellStyle name="40% - Accent4 4 2 3 4" xfId="10394"/>
    <cellStyle name="60% - Accent4 4 2 3 4" xfId="10395"/>
    <cellStyle name="20% - Accent5 4 2 3 4" xfId="10396"/>
    <cellStyle name="40% - Accent5 4 2 3 4" xfId="10397"/>
    <cellStyle name="60% - Accent5 4 2 3 4" xfId="10398"/>
    <cellStyle name="20% - Accent6 4 2 3 4" xfId="10399"/>
    <cellStyle name="40% - Accent6 4 2 3 4" xfId="10400"/>
    <cellStyle name="60% - Accent6 4 2 3 4" xfId="10401"/>
    <cellStyle name="Normal 3 2 4 2 3 4" xfId="10402"/>
    <cellStyle name="Normal 3 3 4 2 3 4" xfId="10403"/>
    <cellStyle name="Normal 3 4 4 2 3 4" xfId="10404"/>
    <cellStyle name="Normal 3 5 4 2 3 4" xfId="10405"/>
    <cellStyle name="Normal 3 2 2 3 2 3 4" xfId="10406"/>
    <cellStyle name="Normal 3 3 2 3 2 3 4" xfId="10407"/>
    <cellStyle name="Normal 3 4 2 3 2 3 4" xfId="10408"/>
    <cellStyle name="Normal 3 5 2 3 2 3 4" xfId="10409"/>
    <cellStyle name="Normal 5 3 2 3 4" xfId="10410"/>
    <cellStyle name="Percent 3 3 2 3 4" xfId="10411"/>
    <cellStyle name="Note 2 3 2 3 4" xfId="10412"/>
    <cellStyle name="Normal 3 6 3 2 3 4" xfId="10413"/>
    <cellStyle name="Comma 2 5 2 4 4" xfId="10414"/>
    <cellStyle name="Comma 3 4 2 4 4" xfId="10415"/>
    <cellStyle name="Percent 4 3 2 3 4" xfId="10416"/>
    <cellStyle name="Normal 3 7 3 2 3 4" xfId="10417"/>
    <cellStyle name="Note 3 3 2 3 4" xfId="10418"/>
    <cellStyle name="20% - Accent1 2 3 2 3 4" xfId="10419"/>
    <cellStyle name="40% - Accent1 2 3 2 3 4" xfId="10420"/>
    <cellStyle name="60% - Accent1 2 3 2 3 4" xfId="10421"/>
    <cellStyle name="20% - Accent2 2 3 2 3 4" xfId="10422"/>
    <cellStyle name="40% - Accent2 2 3 2 3 4" xfId="10423"/>
    <cellStyle name="60% - Accent2 2 3 2 3 4" xfId="10424"/>
    <cellStyle name="20% - Accent3 2 3 2 3 4" xfId="10425"/>
    <cellStyle name="40% - Accent3 2 3 2 3 4" xfId="10426"/>
    <cellStyle name="60% - Accent3 2 3 2 3 4" xfId="10427"/>
    <cellStyle name="20% - Accent4 2 3 2 3 4" xfId="10428"/>
    <cellStyle name="40% - Accent4 2 3 2 3 4" xfId="10429"/>
    <cellStyle name="60% - Accent4 2 3 2 3 4" xfId="10430"/>
    <cellStyle name="20% - Accent5 2 3 2 3 4" xfId="10431"/>
    <cellStyle name="40% - Accent5 2 3 2 3 4" xfId="10432"/>
    <cellStyle name="60% - Accent5 2 3 2 3 4" xfId="10433"/>
    <cellStyle name="20% - Accent6 2 3 2 3 4" xfId="10434"/>
    <cellStyle name="40% - Accent6 2 3 2 3 4" xfId="10435"/>
    <cellStyle name="60% - Accent6 2 3 2 3 4" xfId="10436"/>
    <cellStyle name="Comma 2 2 4 2 4 4" xfId="10437"/>
    <cellStyle name="Comma 4 4 2 4 4" xfId="10438"/>
    <cellStyle name="Normal 3 8 3 2 3 4" xfId="10439"/>
    <cellStyle name="Comma 2 4 2 4 4" xfId="10440"/>
    <cellStyle name="Comma 3 3 2 4 4" xfId="10441"/>
    <cellStyle name="Comma 2 2 3 2 4 4" xfId="10442"/>
    <cellStyle name="Comma 4 3 2 4 4" xfId="10443"/>
    <cellStyle name="Normal 7 2 2 3 4" xfId="10444"/>
    <cellStyle name="Comma 5 2 2 4 4" xfId="10445"/>
    <cellStyle name="20% - Accent1 3 2 2 3 4" xfId="10446"/>
    <cellStyle name="40% - Accent1 3 2 2 3 4" xfId="10447"/>
    <cellStyle name="60% - Accent1 3 2 2 3 4" xfId="10448"/>
    <cellStyle name="20% - Accent2 3 2 2 3 4" xfId="10449"/>
    <cellStyle name="40% - Accent2 3 2 2 3 4" xfId="10450"/>
    <cellStyle name="60% - Accent2 3 2 2 3 4" xfId="10451"/>
    <cellStyle name="20% - Accent3 3 2 2 3 4" xfId="10452"/>
    <cellStyle name="40% - Accent3 3 2 2 3 4" xfId="10453"/>
    <cellStyle name="60% - Accent3 3 2 2 3 4" xfId="10454"/>
    <cellStyle name="20% - Accent4 3 2 2 3 4" xfId="10455"/>
    <cellStyle name="40% - Accent4 3 2 2 3 4" xfId="10456"/>
    <cellStyle name="60% - Accent4 3 2 2 3 4" xfId="10457"/>
    <cellStyle name="20% - Accent5 3 2 2 3 4" xfId="10458"/>
    <cellStyle name="40% - Accent5 3 2 2 3 4" xfId="10459"/>
    <cellStyle name="60% - Accent5 3 2 2 3 4" xfId="10460"/>
    <cellStyle name="20% - Accent6 3 2 2 3 4" xfId="10461"/>
    <cellStyle name="40% - Accent6 3 2 2 3 4" xfId="10462"/>
    <cellStyle name="60% - Accent6 3 2 2 3 4" xfId="10463"/>
    <cellStyle name="Normal 3 2 3 2 2 3 4" xfId="10464"/>
    <cellStyle name="Normal 3 3 3 2 2 3 4" xfId="10465"/>
    <cellStyle name="Normal 3 4 3 2 2 3 4" xfId="10466"/>
    <cellStyle name="Normal 3 5 3 2 2 3 4" xfId="10467"/>
    <cellStyle name="Normal 3 2 2 2 2 2 3 4" xfId="10468"/>
    <cellStyle name="Normal 3 3 2 2 2 2 3 4" xfId="10469"/>
    <cellStyle name="Normal 3 4 2 2 2 2 3 4" xfId="10470"/>
    <cellStyle name="Normal 3 5 2 2 2 2 3 4" xfId="10471"/>
    <cellStyle name="Normal 5 2 2 2 3 4" xfId="10472"/>
    <cellStyle name="Percent 3 2 2 2 3 4" xfId="10473"/>
    <cellStyle name="Note 2 2 2 2 3 4" xfId="10474"/>
    <cellStyle name="Normal 3 6 2 2 2 3 4" xfId="10475"/>
    <cellStyle name="Comma 2 3 2 2 4 4" xfId="10476"/>
    <cellStyle name="Comma 3 2 2 2 4 4" xfId="10477"/>
    <cellStyle name="Percent 4 2 2 2 3 4" xfId="10478"/>
    <cellStyle name="Normal 3 7 2 2 2 3 4" xfId="10479"/>
    <cellStyle name="Note 3 2 2 2 3 4" xfId="10480"/>
    <cellStyle name="20% - Accent1 2 2 2 2 3 4" xfId="10481"/>
    <cellStyle name="40% - Accent1 2 2 2 2 3 4" xfId="10482"/>
    <cellStyle name="60% - Accent1 2 2 2 2 3 4" xfId="10483"/>
    <cellStyle name="20% - Accent2 2 2 2 2 3 4" xfId="10484"/>
    <cellStyle name="40% - Accent2 2 2 2 2 3 4" xfId="10485"/>
    <cellStyle name="60% - Accent2 2 2 2 2 3 4" xfId="10486"/>
    <cellStyle name="20% - Accent3 2 2 2 2 3 4" xfId="10487"/>
    <cellStyle name="40% - Accent3 2 2 2 2 3 4" xfId="10488"/>
    <cellStyle name="60% - Accent3 2 2 2 2 3 4" xfId="10489"/>
    <cellStyle name="20% - Accent4 2 2 2 2 3 4" xfId="10490"/>
    <cellStyle name="40% - Accent4 2 2 2 2 3 4" xfId="10491"/>
    <cellStyle name="60% - Accent4 2 2 2 2 3 4" xfId="10492"/>
    <cellStyle name="20% - Accent5 2 2 2 2 3 4" xfId="10493"/>
    <cellStyle name="40% - Accent5 2 2 2 2 3 4" xfId="10494"/>
    <cellStyle name="60% - Accent5 2 2 2 2 3 4" xfId="10495"/>
    <cellStyle name="20% - Accent6 2 2 2 2 3 4" xfId="10496"/>
    <cellStyle name="40% - Accent6 2 2 2 2 3 4" xfId="10497"/>
    <cellStyle name="60% - Accent6 2 2 2 2 3 4" xfId="10498"/>
    <cellStyle name="Comma 2 2 2 2 2 4 4" xfId="10499"/>
    <cellStyle name="Comma 4 2 2 2 4 4" xfId="10500"/>
    <cellStyle name="Normal 3 8 2 2 2 3 4" xfId="10501"/>
    <cellStyle name="Normal 3 10 2 3 4" xfId="10502"/>
    <cellStyle name="Normal 3 11 2 3 4" xfId="10503"/>
    <cellStyle name="Normal 3 2 6 2 4" xfId="10504"/>
    <cellStyle name="Normal 3 3 6 2 4" xfId="10505"/>
    <cellStyle name="Normal 3 4 6 2 4" xfId="10506"/>
    <cellStyle name="Normal 3 5 6 2 4" xfId="10507"/>
    <cellStyle name="20% - Accent1 6 2 4" xfId="10508"/>
    <cellStyle name="40% - Accent1 6 2 4" xfId="10509"/>
    <cellStyle name="60% - Accent1 6 2 4" xfId="10510"/>
    <cellStyle name="20% - Accent2 6 2 4" xfId="10511"/>
    <cellStyle name="40% - Accent2 6 2 4" xfId="10512"/>
    <cellStyle name="60% - Accent2 6 2 4" xfId="10513"/>
    <cellStyle name="20% - Accent3 6 2 4" xfId="10514"/>
    <cellStyle name="40% - Accent3 6 2 4" xfId="10515"/>
    <cellStyle name="60% - Accent3 6 2 4" xfId="10516"/>
    <cellStyle name="20% - Accent4 6 2 4" xfId="10517"/>
    <cellStyle name="40% - Accent4 6 2 4" xfId="10518"/>
    <cellStyle name="60% - Accent4 6 2 4" xfId="10519"/>
    <cellStyle name="20% - Accent5 6 2 4" xfId="10520"/>
    <cellStyle name="40% - Accent5 6 2 4" xfId="10521"/>
    <cellStyle name="60% - Accent5 6 2 4" xfId="10522"/>
    <cellStyle name="20% - Accent6 6 2 4" xfId="10523"/>
    <cellStyle name="40% - Accent6 6 2 4" xfId="10524"/>
    <cellStyle name="60% - Accent6 6 2 4" xfId="10525"/>
    <cellStyle name="Normal 3 2 2 5 2 4" xfId="10526"/>
    <cellStyle name="Normal 3 3 2 5 2 4" xfId="10527"/>
    <cellStyle name="Normal 3 4 2 5 2 4" xfId="10528"/>
    <cellStyle name="Normal 3 5 2 5 2 4" xfId="10529"/>
    <cellStyle name="Normal 5 5 2 4" xfId="10530"/>
    <cellStyle name="Percent 3 5 2 4" xfId="10531"/>
    <cellStyle name="Note 2 5 2 4" xfId="10532"/>
    <cellStyle name="Normal 3 6 5 2 4" xfId="10533"/>
    <cellStyle name="Comma 2 7 3 4" xfId="10534"/>
    <cellStyle name="Comma 3 7 3 4" xfId="10535"/>
    <cellStyle name="Percent 4 5 2 4" xfId="10536"/>
    <cellStyle name="Normal 3 7 5 2 4" xfId="10537"/>
    <cellStyle name="Note 3 5 2 4" xfId="10538"/>
    <cellStyle name="20% - Accent1 2 5 2 4" xfId="10539"/>
    <cellStyle name="40% - Accent1 2 5 2 4" xfId="10540"/>
    <cellStyle name="60% - Accent1 2 5 2 4" xfId="10541"/>
    <cellStyle name="20% - Accent2 2 5 2 4" xfId="10542"/>
    <cellStyle name="40% - Accent2 2 5 2 4" xfId="10543"/>
    <cellStyle name="60% - Accent2 2 5 2 4" xfId="10544"/>
    <cellStyle name="20% - Accent3 2 5 2 4" xfId="10545"/>
    <cellStyle name="40% - Accent3 2 5 2 4" xfId="10546"/>
    <cellStyle name="60% - Accent3 2 5 2 4" xfId="10547"/>
    <cellStyle name="20% - Accent4 2 5 2 4" xfId="10548"/>
    <cellStyle name="40% - Accent4 2 5 2 4" xfId="10549"/>
    <cellStyle name="60% - Accent4 2 5 2 4" xfId="10550"/>
    <cellStyle name="20% - Accent5 2 5 2 4" xfId="10551"/>
    <cellStyle name="40% - Accent5 2 5 2 4" xfId="10552"/>
    <cellStyle name="60% - Accent5 2 5 2 4" xfId="10553"/>
    <cellStyle name="20% - Accent6 2 5 2 4" xfId="10554"/>
    <cellStyle name="40% - Accent6 2 5 2 4" xfId="10555"/>
    <cellStyle name="60% - Accent6 2 5 2 4" xfId="10556"/>
    <cellStyle name="Comma 2 2 6 3 4" xfId="10557"/>
    <cellStyle name="Comma 4 6 3 4" xfId="10558"/>
    <cellStyle name="Normal 3 8 5 2 4" xfId="10559"/>
    <cellStyle name="Normal 7 4 2 4" xfId="10560"/>
    <cellStyle name="Comma 5 4 3 4" xfId="10561"/>
    <cellStyle name="20% - Accent1 3 4 2 4" xfId="10562"/>
    <cellStyle name="40% - Accent1 3 4 2 4" xfId="10563"/>
    <cellStyle name="60% - Accent1 3 4 2 4" xfId="10564"/>
    <cellStyle name="20% - Accent2 3 4 2 4" xfId="10565"/>
    <cellStyle name="40% - Accent2 3 4 2 4" xfId="10566"/>
    <cellStyle name="60% - Accent2 3 4 2 4" xfId="10567"/>
    <cellStyle name="20% - Accent3 3 4 2 4" xfId="10568"/>
    <cellStyle name="40% - Accent3 3 4 2 4" xfId="10569"/>
    <cellStyle name="60% - Accent3 3 4 2 4" xfId="10570"/>
    <cellStyle name="20% - Accent4 3 4 2 4" xfId="10571"/>
    <cellStyle name="40% - Accent4 3 4 2 4" xfId="10572"/>
    <cellStyle name="60% - Accent4 3 4 2 4" xfId="10573"/>
    <cellStyle name="20% - Accent5 3 4 2 4" xfId="10574"/>
    <cellStyle name="40% - Accent5 3 4 2 4" xfId="10575"/>
    <cellStyle name="60% - Accent5 3 4 2 4" xfId="10576"/>
    <cellStyle name="20% - Accent6 3 4 2 4" xfId="10577"/>
    <cellStyle name="40% - Accent6 3 4 2 4" xfId="10578"/>
    <cellStyle name="60% - Accent6 3 4 2 4" xfId="10579"/>
    <cellStyle name="Normal 3 2 3 4 2 4" xfId="10580"/>
    <cellStyle name="Normal 3 3 3 4 2 4" xfId="10581"/>
    <cellStyle name="Normal 3 4 3 4 2 4" xfId="10582"/>
    <cellStyle name="Normal 3 5 3 4 2 4" xfId="10583"/>
    <cellStyle name="Normal 3 2 2 2 4 2 4" xfId="10584"/>
    <cellStyle name="Normal 3 3 2 2 4 2 4" xfId="10585"/>
    <cellStyle name="Normal 3 4 2 2 4 2 4" xfId="10586"/>
    <cellStyle name="Normal 3 5 2 2 4 2 4" xfId="10587"/>
    <cellStyle name="Normal 5 2 4 2 4" xfId="10588"/>
    <cellStyle name="Percent 3 2 4 2 4" xfId="10589"/>
    <cellStyle name="Note 2 2 4 2 4" xfId="10590"/>
    <cellStyle name="Normal 3 6 2 4 2 4" xfId="10591"/>
    <cellStyle name="Comma 2 3 4 3 4" xfId="10592"/>
    <cellStyle name="Comma 3 2 4 3 4" xfId="10593"/>
    <cellStyle name="Percent 4 2 4 2 4" xfId="10594"/>
    <cellStyle name="Normal 3 7 2 4 2 4" xfId="10595"/>
    <cellStyle name="Note 3 2 4 2 4" xfId="10596"/>
    <cellStyle name="20% - Accent1 2 2 4 2 4" xfId="10597"/>
    <cellStyle name="40% - Accent1 2 2 4 2 4" xfId="10598"/>
    <cellStyle name="60% - Accent1 2 2 4 2 4" xfId="10599"/>
    <cellStyle name="20% - Accent2 2 2 4 2 4" xfId="10600"/>
    <cellStyle name="40% - Accent2 2 2 4 2 4" xfId="10601"/>
    <cellStyle name="60% - Accent2 2 2 4 2 4" xfId="10602"/>
    <cellStyle name="20% - Accent3 2 2 4 2 4" xfId="10603"/>
    <cellStyle name="40% - Accent3 2 2 4 2 4" xfId="10604"/>
    <cellStyle name="60% - Accent3 2 2 4 2 4" xfId="10605"/>
    <cellStyle name="20% - Accent4 2 2 4 2 4" xfId="10606"/>
    <cellStyle name="40% - Accent4 2 2 4 2 4" xfId="10607"/>
    <cellStyle name="60% - Accent4 2 2 4 2 4" xfId="10608"/>
    <cellStyle name="20% - Accent5 2 2 4 2 4" xfId="10609"/>
    <cellStyle name="40% - Accent5 2 2 4 2 4" xfId="10610"/>
    <cellStyle name="60% - Accent5 2 2 4 2 4" xfId="10611"/>
    <cellStyle name="20% - Accent6 2 2 4 2 4" xfId="10612"/>
    <cellStyle name="40% - Accent6 2 2 4 2 4" xfId="10613"/>
    <cellStyle name="60% - Accent6 2 2 4 2 4" xfId="10614"/>
    <cellStyle name="Comma 2 2 2 4 3 4" xfId="10615"/>
    <cellStyle name="Comma 4 2 4 3 4" xfId="10616"/>
    <cellStyle name="Normal 3 8 2 4 2 4" xfId="10617"/>
    <cellStyle name="Normal 8 3 2 4" xfId="10618"/>
    <cellStyle name="Comma 6 3 3 4" xfId="10619"/>
    <cellStyle name="20% - Accent1 4 3 2 4" xfId="10620"/>
    <cellStyle name="40% - Accent1 4 3 2 4" xfId="10621"/>
    <cellStyle name="60% - Accent1 4 3 2 4" xfId="10622"/>
    <cellStyle name="20% - Accent2 4 3 2 4" xfId="10623"/>
    <cellStyle name="40% - Accent2 4 3 2 4" xfId="10624"/>
    <cellStyle name="60% - Accent2 4 3 2 4" xfId="10625"/>
    <cellStyle name="20% - Accent3 4 3 2 4" xfId="10626"/>
    <cellStyle name="40% - Accent3 4 3 2 4" xfId="10627"/>
    <cellStyle name="60% - Accent3 4 3 2 4" xfId="10628"/>
    <cellStyle name="20% - Accent4 4 3 2 4" xfId="10629"/>
    <cellStyle name="40% - Accent4 4 3 2 4" xfId="10630"/>
    <cellStyle name="60% - Accent4 4 3 2 4" xfId="10631"/>
    <cellStyle name="20% - Accent5 4 3 2 4" xfId="10632"/>
    <cellStyle name="40% - Accent5 4 3 2 4" xfId="10633"/>
    <cellStyle name="60% - Accent5 4 3 2 4" xfId="10634"/>
    <cellStyle name="20% - Accent6 4 3 2 4" xfId="10635"/>
    <cellStyle name="40% - Accent6 4 3 2 4" xfId="10636"/>
    <cellStyle name="60% - Accent6 4 3 2 4" xfId="10637"/>
    <cellStyle name="Normal 3 2 4 3 2 4" xfId="10638"/>
    <cellStyle name="Normal 3 3 4 3 2 4" xfId="10639"/>
    <cellStyle name="Normal 3 4 4 3 2 4" xfId="10640"/>
    <cellStyle name="Normal 3 5 4 3 2 4" xfId="10641"/>
    <cellStyle name="Normal 3 2 2 3 3 2 4" xfId="10642"/>
    <cellStyle name="Normal 3 3 2 3 3 2 4" xfId="10643"/>
    <cellStyle name="Normal 3 4 2 3 3 2 4" xfId="10644"/>
    <cellStyle name="Normal 3 5 2 3 3 2 4" xfId="10645"/>
    <cellStyle name="Normal 5 3 3 2 4" xfId="10646"/>
    <cellStyle name="Percent 3 3 3 2 4" xfId="10647"/>
    <cellStyle name="Note 2 3 3 2 4" xfId="10648"/>
    <cellStyle name="Normal 3 6 3 3 2 4" xfId="10649"/>
    <cellStyle name="Comma 2 5 3 3 4" xfId="10650"/>
    <cellStyle name="Comma 3 4 3 3 4" xfId="10651"/>
    <cellStyle name="Percent 4 3 3 2 4" xfId="10652"/>
    <cellStyle name="Normal 3 7 3 3 2 4" xfId="10653"/>
    <cellStyle name="Note 3 3 3 2 4" xfId="10654"/>
    <cellStyle name="20% - Accent1 2 3 3 2 4" xfId="10655"/>
    <cellStyle name="40% - Accent1 2 3 3 2 4" xfId="10656"/>
    <cellStyle name="60% - Accent1 2 3 3 2 4" xfId="10657"/>
    <cellStyle name="20% - Accent2 2 3 3 2 4" xfId="10658"/>
    <cellStyle name="40% - Accent2 2 3 3 2 4" xfId="10659"/>
    <cellStyle name="60% - Accent2 2 3 3 2 4" xfId="10660"/>
    <cellStyle name="20% - Accent3 2 3 3 2 4" xfId="10661"/>
    <cellStyle name="40% - Accent3 2 3 3 2 4" xfId="10662"/>
    <cellStyle name="60% - Accent3 2 3 3 2 4" xfId="10663"/>
    <cellStyle name="20% - Accent4 2 3 3 2 4" xfId="10664"/>
    <cellStyle name="40% - Accent4 2 3 3 2 4" xfId="10665"/>
    <cellStyle name="60% - Accent4 2 3 3 2 4" xfId="10666"/>
    <cellStyle name="20% - Accent5 2 3 3 2 4" xfId="10667"/>
    <cellStyle name="40% - Accent5 2 3 3 2 4" xfId="10668"/>
    <cellStyle name="60% - Accent5 2 3 3 2 4" xfId="10669"/>
    <cellStyle name="20% - Accent6 2 3 3 2 4" xfId="10670"/>
    <cellStyle name="40% - Accent6 2 3 3 2 4" xfId="10671"/>
    <cellStyle name="60% - Accent6 2 3 3 2 4" xfId="10672"/>
    <cellStyle name="Comma 2 2 4 3 3 4" xfId="10673"/>
    <cellStyle name="Comma 4 4 3 3 4" xfId="10674"/>
    <cellStyle name="Normal 3 8 3 3 2 4" xfId="10675"/>
    <cellStyle name="Comma 2 4 3 3 4" xfId="10676"/>
    <cellStyle name="Comma 3 3 3 3 4" xfId="10677"/>
    <cellStyle name="Comma 2 2 3 3 3 4" xfId="10678"/>
    <cellStyle name="Comma 4 3 3 3 4" xfId="10679"/>
    <cellStyle name="Normal 7 2 3 2 4" xfId="10680"/>
    <cellStyle name="Comma 5 2 3 3 4" xfId="10681"/>
    <cellStyle name="20% - Accent1 3 2 3 2 4" xfId="10682"/>
    <cellStyle name="40% - Accent1 3 2 3 2 4" xfId="10683"/>
    <cellStyle name="60% - Accent1 3 2 3 2 4" xfId="10684"/>
    <cellStyle name="20% - Accent2 3 2 3 2 4" xfId="10685"/>
    <cellStyle name="40% - Accent2 3 2 3 2 4" xfId="10686"/>
    <cellStyle name="60% - Accent2 3 2 3 2 4" xfId="10687"/>
    <cellStyle name="20% - Accent3 3 2 3 2 4" xfId="10688"/>
    <cellStyle name="40% - Accent3 3 2 3 2 4" xfId="10689"/>
    <cellStyle name="60% - Accent3 3 2 3 2 4" xfId="10690"/>
    <cellStyle name="20% - Accent4 3 2 3 2 4" xfId="10691"/>
    <cellStyle name="40% - Accent4 3 2 3 2 4" xfId="10692"/>
    <cellStyle name="60% - Accent4 3 2 3 2 4" xfId="10693"/>
    <cellStyle name="20% - Accent5 3 2 3 2 4" xfId="10694"/>
    <cellStyle name="40% - Accent5 3 2 3 2 4" xfId="10695"/>
    <cellStyle name="60% - Accent5 3 2 3 2 4" xfId="10696"/>
    <cellStyle name="20% - Accent6 3 2 3 2 4" xfId="10697"/>
    <cellStyle name="40% - Accent6 3 2 3 2 4" xfId="10698"/>
    <cellStyle name="60% - Accent6 3 2 3 2 4" xfId="10699"/>
    <cellStyle name="Normal 3 2 3 2 3 2 4" xfId="10700"/>
    <cellStyle name="Normal 3 3 3 2 3 2 4" xfId="10701"/>
    <cellStyle name="Normal 3 4 3 2 3 2 4" xfId="10702"/>
    <cellStyle name="Normal 3 5 3 2 3 2 4" xfId="10703"/>
    <cellStyle name="Normal 3 2 2 2 2 3 2 4" xfId="10704"/>
    <cellStyle name="Normal 3 3 2 2 2 3 2 4" xfId="10705"/>
    <cellStyle name="Normal 3 4 2 2 2 3 2 4" xfId="10706"/>
    <cellStyle name="Normal 3 5 2 2 2 3 2 4" xfId="10707"/>
    <cellStyle name="Normal 5 2 2 3 2 4" xfId="10708"/>
    <cellStyle name="Percent 3 2 2 3 2 4" xfId="10709"/>
    <cellStyle name="Note 2 2 2 3 2 4" xfId="10710"/>
    <cellStyle name="Normal 3 6 2 2 3 2 4" xfId="10711"/>
    <cellStyle name="Comma 2 3 2 3 3 4" xfId="10712"/>
    <cellStyle name="Comma 3 2 2 3 3 4" xfId="10713"/>
    <cellStyle name="Percent 4 2 2 3 2 4" xfId="10714"/>
    <cellStyle name="Normal 3 7 2 2 3 2 4" xfId="10715"/>
    <cellStyle name="Note 3 2 2 3 2 4" xfId="10716"/>
    <cellStyle name="20% - Accent1 2 2 2 3 2 4" xfId="10717"/>
    <cellStyle name="40% - Accent1 2 2 2 3 2 4" xfId="10718"/>
    <cellStyle name="60% - Accent1 2 2 2 3 2 4" xfId="10719"/>
    <cellStyle name="20% - Accent2 2 2 2 3 2 4" xfId="10720"/>
    <cellStyle name="40% - Accent2 2 2 2 3 2 4" xfId="10721"/>
    <cellStyle name="60% - Accent2 2 2 2 3 2 4" xfId="10722"/>
    <cellStyle name="20% - Accent3 2 2 2 3 2 4" xfId="10723"/>
    <cellStyle name="40% - Accent3 2 2 2 3 2 4" xfId="10724"/>
    <cellStyle name="60% - Accent3 2 2 2 3 2 4" xfId="10725"/>
    <cellStyle name="20% - Accent4 2 2 2 3 2 4" xfId="10726"/>
    <cellStyle name="40% - Accent4 2 2 2 3 2 4" xfId="10727"/>
    <cellStyle name="60% - Accent4 2 2 2 3 2 4" xfId="10728"/>
    <cellStyle name="20% - Accent5 2 2 2 3 2 4" xfId="10729"/>
    <cellStyle name="40% - Accent5 2 2 2 3 2 4" xfId="10730"/>
    <cellStyle name="60% - Accent5 2 2 2 3 2 4" xfId="10731"/>
    <cellStyle name="20% - Accent6 2 2 2 3 2 4" xfId="10732"/>
    <cellStyle name="40% - Accent6 2 2 2 3 2 4" xfId="10733"/>
    <cellStyle name="60% - Accent6 2 2 2 3 2 4" xfId="10734"/>
    <cellStyle name="Comma 2 2 2 2 3 3 4" xfId="10735"/>
    <cellStyle name="Comma 4 2 2 3 3 4" xfId="10736"/>
    <cellStyle name="Normal 3 8 2 2 3 2 4" xfId="10737"/>
    <cellStyle name="Normal 3 10 3 2 4" xfId="10738"/>
    <cellStyle name="Normal 3 11 3 2 4" xfId="10739"/>
    <cellStyle name="Normal 5 4 2 2 4" xfId="10740"/>
    <cellStyle name="Normal 7 3 2 2 4" xfId="10741"/>
    <cellStyle name="Normal 3 2 2 2 3 2 2 4" xfId="10742"/>
    <cellStyle name="Normal 8 2 2 2 4" xfId="10743"/>
    <cellStyle name="Normal 3 2 2 2 2 2 2 2 4" xfId="10744"/>
    <cellStyle name="Comma 3 6 3 4" xfId="10745"/>
    <cellStyle name="Normal 3 6 4 2 2 4" xfId="10746"/>
    <cellStyle name="Normal 3 12 2 2 4" xfId="10747"/>
    <cellStyle name="Normal 3 2 5 2 2 4" xfId="10748"/>
    <cellStyle name="Normal 3 3 5 2 2 4" xfId="10749"/>
    <cellStyle name="Normal 3 4 5 2 2 4" xfId="10750"/>
    <cellStyle name="Normal 3 5 5 2 2 4" xfId="10751"/>
    <cellStyle name="20% - Accent1 5 2 2 4" xfId="10752"/>
    <cellStyle name="40% - Accent1 5 2 2 4" xfId="10753"/>
    <cellStyle name="60% - Accent1 5 2 2 4" xfId="10754"/>
    <cellStyle name="20% - Accent2 5 2 2 4" xfId="10755"/>
    <cellStyle name="40% - Accent2 5 2 2 4" xfId="10756"/>
    <cellStyle name="60% - Accent2 5 2 2 4" xfId="10757"/>
    <cellStyle name="20% - Accent3 5 2 2 4" xfId="10758"/>
    <cellStyle name="40% - Accent3 5 2 2 4" xfId="10759"/>
    <cellStyle name="60% - Accent3 5 2 2 4" xfId="10760"/>
    <cellStyle name="20% - Accent4 5 2 2 4" xfId="10761"/>
    <cellStyle name="40% - Accent4 5 2 2 4" xfId="10762"/>
    <cellStyle name="60% - Accent4 5 2 2 4" xfId="10763"/>
    <cellStyle name="20% - Accent5 5 2 2 4" xfId="10764"/>
    <cellStyle name="40% - Accent5 5 2 2 4" xfId="10765"/>
    <cellStyle name="60% - Accent5 5 2 2 4" xfId="10766"/>
    <cellStyle name="20% - Accent6 5 2 2 4" xfId="10767"/>
    <cellStyle name="40% - Accent6 5 2 2 4" xfId="10768"/>
    <cellStyle name="60% - Accent6 5 2 2 4" xfId="10769"/>
    <cellStyle name="Normal 3 2 2 4 2 2 4" xfId="10770"/>
    <cellStyle name="Normal 3 3 2 4 2 2 4" xfId="10771"/>
    <cellStyle name="Normal 3 4 2 4 2 2 4" xfId="10772"/>
    <cellStyle name="Normal 3 5 2 4 2 2 4" xfId="10773"/>
    <cellStyle name="Percent 3 4 2 2 4" xfId="10774"/>
    <cellStyle name="Note 2 4 2 2 4" xfId="10775"/>
    <cellStyle name="Comma 2 6 2 3 4" xfId="10776"/>
    <cellStyle name="Comma 3 5 2 3 4" xfId="10777"/>
    <cellStyle name="Percent 4 4 2 2 4" xfId="10778"/>
    <cellStyle name="Normal 3 7 4 2 2 4" xfId="10779"/>
    <cellStyle name="Note 3 4 2 2 4" xfId="10780"/>
    <cellStyle name="20% - Accent1 2 4 2 2 4" xfId="10781"/>
    <cellStyle name="40% - Accent1 2 4 2 2 4" xfId="10782"/>
    <cellStyle name="60% - Accent1 2 4 2 2 4" xfId="10783"/>
    <cellStyle name="20% - Accent2 2 4 2 2 4" xfId="10784"/>
    <cellStyle name="40% - Accent2 2 4 2 2 4" xfId="10785"/>
    <cellStyle name="60% - Accent2 2 4 2 2 4" xfId="10786"/>
    <cellStyle name="20% - Accent3 2 4 2 2 4" xfId="10787"/>
    <cellStyle name="40% - Accent3 2 4 2 2 4" xfId="10788"/>
    <cellStyle name="60% - Accent3 2 4 2 2 4" xfId="10789"/>
    <cellStyle name="20% - Accent4 2 4 2 2 4" xfId="10790"/>
    <cellStyle name="40% - Accent4 2 4 2 2 4" xfId="10791"/>
    <cellStyle name="60% - Accent4 2 4 2 2 4" xfId="10792"/>
    <cellStyle name="20% - Accent5 2 4 2 2 4" xfId="10793"/>
    <cellStyle name="40% - Accent5 2 4 2 2 4" xfId="10794"/>
    <cellStyle name="60% - Accent5 2 4 2 2 4" xfId="10795"/>
    <cellStyle name="20% - Accent6 2 4 2 2 4" xfId="10796"/>
    <cellStyle name="40% - Accent6 2 4 2 2 4" xfId="10797"/>
    <cellStyle name="60% - Accent6 2 4 2 2 4" xfId="10798"/>
    <cellStyle name="Comma 2 2 5 2 3 4" xfId="10799"/>
    <cellStyle name="Comma 4 5 2 3 4" xfId="10800"/>
    <cellStyle name="Normal 3 8 4 2 2 4" xfId="10801"/>
    <cellStyle name="Comma 5 3 2 3 4" xfId="10802"/>
    <cellStyle name="20% - Accent1 3 3 2 2 4" xfId="10803"/>
    <cellStyle name="40% - Accent1 3 3 2 2 4" xfId="10804"/>
    <cellStyle name="60% - Accent1 3 3 2 2 4" xfId="10805"/>
    <cellStyle name="20% - Accent2 3 3 2 2 4" xfId="10806"/>
    <cellStyle name="40% - Accent2 3 3 2 2 4" xfId="10807"/>
    <cellStyle name="60% - Accent2 3 3 2 2 4" xfId="10808"/>
    <cellStyle name="20% - Accent3 3 3 2 2 4" xfId="10809"/>
    <cellStyle name="40% - Accent3 3 3 2 2 4" xfId="10810"/>
    <cellStyle name="60% - Accent3 3 3 2 2 4" xfId="10811"/>
    <cellStyle name="20% - Accent4 3 3 2 2 4" xfId="10812"/>
    <cellStyle name="40% - Accent4 3 3 2 2 4" xfId="10813"/>
    <cellStyle name="60% - Accent4 3 3 2 2 4" xfId="10814"/>
    <cellStyle name="20% - Accent5 3 3 2 2 4" xfId="10815"/>
    <cellStyle name="40% - Accent5 3 3 2 2 4" xfId="10816"/>
    <cellStyle name="60% - Accent5 3 3 2 2 4" xfId="10817"/>
    <cellStyle name="20% - Accent6 3 3 2 2 4" xfId="10818"/>
    <cellStyle name="40% - Accent6 3 3 2 2 4" xfId="10819"/>
    <cellStyle name="60% - Accent6 3 3 2 2 4" xfId="10820"/>
    <cellStyle name="Normal 3 2 3 3 2 2 4" xfId="10821"/>
    <cellStyle name="Normal 3 3 3 3 2 2 4" xfId="10822"/>
    <cellStyle name="Normal 3 4 3 3 2 2 4" xfId="10823"/>
    <cellStyle name="Normal 3 5 3 3 2 2 4" xfId="10824"/>
    <cellStyle name="Normal 3 3 2 2 3 2 2 4" xfId="10825"/>
    <cellStyle name="Normal 3 4 2 2 3 2 2 4" xfId="10826"/>
    <cellStyle name="Normal 3 5 2 2 3 2 2 4" xfId="10827"/>
    <cellStyle name="Normal 5 2 3 2 2 4" xfId="10828"/>
    <cellStyle name="Percent 3 2 3 2 2 4" xfId="10829"/>
    <cellStyle name="Note 2 2 3 2 2 4" xfId="10830"/>
    <cellStyle name="Normal 3 6 2 3 2 2 4" xfId="10831"/>
    <cellStyle name="Comma 2 3 3 2 3 4" xfId="10832"/>
    <cellStyle name="Comma 3 2 3 2 3 4" xfId="10833"/>
    <cellStyle name="Percent 4 2 3 2 2 4" xfId="10834"/>
    <cellStyle name="Normal 3 7 2 3 2 2 4" xfId="10835"/>
    <cellStyle name="Note 3 2 3 2 2 4" xfId="10836"/>
    <cellStyle name="20% - Accent1 2 2 3 2 2 4" xfId="10837"/>
    <cellStyle name="40% - Accent1 2 2 3 2 2 4" xfId="10838"/>
    <cellStyle name="60% - Accent1 2 2 3 2 2 4" xfId="10839"/>
    <cellStyle name="20% - Accent2 2 2 3 2 2 4" xfId="10840"/>
    <cellStyle name="40% - Accent2 2 2 3 2 2 4" xfId="10841"/>
    <cellStyle name="60% - Accent2 2 2 3 2 2 4" xfId="10842"/>
    <cellStyle name="20% - Accent3 2 2 3 2 2 4" xfId="10843"/>
    <cellStyle name="40% - Accent3 2 2 3 2 2 4" xfId="10844"/>
    <cellStyle name="60% - Accent3 2 2 3 2 2 4" xfId="10845"/>
    <cellStyle name="20% - Accent4 2 2 3 2 2 4" xfId="10846"/>
    <cellStyle name="40% - Accent4 2 2 3 2 2 4" xfId="10847"/>
    <cellStyle name="60% - Accent4 2 2 3 2 2 4" xfId="10848"/>
    <cellStyle name="20% - Accent5 2 2 3 2 2 4" xfId="10849"/>
    <cellStyle name="40% - Accent5 2 2 3 2 2 4" xfId="10850"/>
    <cellStyle name="60% - Accent5 2 2 3 2 2 4" xfId="10851"/>
    <cellStyle name="20% - Accent6 2 2 3 2 2 4" xfId="10852"/>
    <cellStyle name="40% - Accent6 2 2 3 2 2 4" xfId="10853"/>
    <cellStyle name="60% - Accent6 2 2 3 2 2 4" xfId="10854"/>
    <cellStyle name="Comma 2 2 2 3 2 3 4" xfId="10855"/>
    <cellStyle name="Comma 4 2 3 2 3 4" xfId="10856"/>
    <cellStyle name="Normal 3 8 2 3 2 2 4" xfId="10857"/>
    <cellStyle name="Comma 6 2 2 3 4" xfId="10858"/>
    <cellStyle name="20% - Accent1 4 2 2 2 4" xfId="10859"/>
    <cellStyle name="40% - Accent1 4 2 2 2 4" xfId="10860"/>
    <cellStyle name="60% - Accent1 4 2 2 2 4" xfId="10861"/>
    <cellStyle name="20% - Accent2 4 2 2 2 4" xfId="10862"/>
    <cellStyle name="40% - Accent2 4 2 2 2 4" xfId="10863"/>
    <cellStyle name="60% - Accent2 4 2 2 2 4" xfId="10864"/>
    <cellStyle name="20% - Accent3 4 2 2 2 4" xfId="10865"/>
    <cellStyle name="40% - Accent3 4 2 2 2 4" xfId="10866"/>
    <cellStyle name="60% - Accent3 4 2 2 2 4" xfId="10867"/>
    <cellStyle name="20% - Accent4 4 2 2 2 4" xfId="10868"/>
    <cellStyle name="40% - Accent4 4 2 2 2 4" xfId="10869"/>
    <cellStyle name="60% - Accent4 4 2 2 2 4" xfId="10870"/>
    <cellStyle name="20% - Accent5 4 2 2 2 4" xfId="10871"/>
    <cellStyle name="40% - Accent5 4 2 2 2 4" xfId="10872"/>
    <cellStyle name="60% - Accent5 4 2 2 2 4" xfId="10873"/>
    <cellStyle name="20% - Accent6 4 2 2 2 4" xfId="10874"/>
    <cellStyle name="40% - Accent6 4 2 2 2 4" xfId="10875"/>
    <cellStyle name="60% - Accent6 4 2 2 2 4" xfId="10876"/>
    <cellStyle name="Normal 3 2 4 2 2 2 4" xfId="10877"/>
    <cellStyle name="Normal 3 3 4 2 2 2 4" xfId="10878"/>
    <cellStyle name="Normal 3 4 4 2 2 2 4" xfId="10879"/>
    <cellStyle name="Normal 3 5 4 2 2 2 4" xfId="10880"/>
    <cellStyle name="Normal 3 2 2 3 2 2 2 4" xfId="10881"/>
    <cellStyle name="Normal 3 3 2 3 2 2 2 4" xfId="10882"/>
    <cellStyle name="Normal 3 4 2 3 2 2 2 4" xfId="10883"/>
    <cellStyle name="Normal 3 5 2 3 2 2 2 4" xfId="10884"/>
    <cellStyle name="Normal 5 3 2 2 2 4" xfId="10885"/>
    <cellStyle name="Percent 3 3 2 2 2 4" xfId="10886"/>
    <cellStyle name="Note 2 3 2 2 2 4" xfId="10887"/>
    <cellStyle name="Normal 3 6 3 2 2 2 4" xfId="10888"/>
    <cellStyle name="Comma 2 5 2 2 3 4" xfId="10889"/>
    <cellStyle name="Comma 3 4 2 2 3 4" xfId="10890"/>
    <cellStyle name="Percent 4 3 2 2 2 4" xfId="10891"/>
    <cellStyle name="Normal 3 7 3 2 2 2 4" xfId="10892"/>
    <cellStyle name="Note 3 3 2 2 2 4" xfId="10893"/>
    <cellStyle name="20% - Accent1 2 3 2 2 2 4" xfId="10894"/>
    <cellStyle name="40% - Accent1 2 3 2 2 2 4" xfId="10895"/>
    <cellStyle name="60% - Accent1 2 3 2 2 2 4" xfId="10896"/>
    <cellStyle name="20% - Accent2 2 3 2 2 2 4" xfId="10897"/>
    <cellStyle name="40% - Accent2 2 3 2 2 2 4" xfId="10898"/>
    <cellStyle name="60% - Accent2 2 3 2 2 2 4" xfId="10899"/>
    <cellStyle name="20% - Accent3 2 3 2 2 2 4" xfId="10900"/>
    <cellStyle name="40% - Accent3 2 3 2 2 2 4" xfId="10901"/>
    <cellStyle name="60% - Accent3 2 3 2 2 2 4" xfId="10902"/>
    <cellStyle name="20% - Accent4 2 3 2 2 2 4" xfId="10903"/>
    <cellStyle name="40% - Accent4 2 3 2 2 2 4" xfId="10904"/>
    <cellStyle name="60% - Accent4 2 3 2 2 2 4" xfId="10905"/>
    <cellStyle name="20% - Accent5 2 3 2 2 2 4" xfId="10906"/>
    <cellStyle name="40% - Accent5 2 3 2 2 2 4" xfId="10907"/>
    <cellStyle name="60% - Accent5 2 3 2 2 2 4" xfId="10908"/>
    <cellStyle name="20% - Accent6 2 3 2 2 2 4" xfId="10909"/>
    <cellStyle name="40% - Accent6 2 3 2 2 2 4" xfId="10910"/>
    <cellStyle name="60% - Accent6 2 3 2 2 2 4" xfId="10911"/>
    <cellStyle name="Comma 2 2 4 2 2 3 4" xfId="10912"/>
    <cellStyle name="Comma 4 4 2 2 3 4" xfId="10913"/>
    <cellStyle name="Normal 3 8 3 2 2 2 4" xfId="10914"/>
    <cellStyle name="Comma 2 4 2 2 3 4" xfId="10915"/>
    <cellStyle name="Comma 3 3 2 2 3 4" xfId="10916"/>
    <cellStyle name="Comma 2 2 3 2 2 3 4" xfId="10917"/>
    <cellStyle name="Comma 4 3 2 2 3 4" xfId="10918"/>
    <cellStyle name="Normal 7 2 2 2 2 4" xfId="10919"/>
    <cellStyle name="Comma 5 2 2 2 3 4" xfId="10920"/>
    <cellStyle name="20% - Accent1 3 2 2 2 2 4" xfId="10921"/>
    <cellStyle name="40% - Accent1 3 2 2 2 2 4" xfId="10922"/>
    <cellStyle name="60% - Accent1 3 2 2 2 2 4" xfId="10923"/>
    <cellStyle name="20% - Accent2 3 2 2 2 2 4" xfId="10924"/>
    <cellStyle name="40% - Accent2 3 2 2 2 2 4" xfId="10925"/>
    <cellStyle name="60% - Accent2 3 2 2 2 2 4" xfId="10926"/>
    <cellStyle name="20% - Accent3 3 2 2 2 2 4" xfId="10927"/>
    <cellStyle name="40% - Accent3 3 2 2 2 2 4" xfId="10928"/>
    <cellStyle name="60% - Accent3 3 2 2 2 2 4" xfId="10929"/>
    <cellStyle name="20% - Accent4 3 2 2 2 2 4" xfId="10930"/>
    <cellStyle name="40% - Accent4 3 2 2 2 2 4" xfId="10931"/>
    <cellStyle name="60% - Accent4 3 2 2 2 2 4" xfId="10932"/>
    <cellStyle name="20% - Accent5 3 2 2 2 2 4" xfId="10933"/>
    <cellStyle name="40% - Accent5 3 2 2 2 2 4" xfId="10934"/>
    <cellStyle name="60% - Accent5 3 2 2 2 2 4" xfId="10935"/>
    <cellStyle name="20% - Accent6 3 2 2 2 2 4" xfId="10936"/>
    <cellStyle name="40% - Accent6 3 2 2 2 2 4" xfId="10937"/>
    <cellStyle name="60% - Accent6 3 2 2 2 2 4" xfId="10938"/>
    <cellStyle name="Normal 3 2 3 2 2 2 2 4" xfId="10939"/>
    <cellStyle name="Normal 3 3 3 2 2 2 2 4" xfId="10940"/>
    <cellStyle name="Normal 3 4 3 2 2 2 2 4" xfId="10941"/>
    <cellStyle name="Normal 3 5 3 2 2 2 2 4" xfId="10942"/>
    <cellStyle name="Normal 3 3 2 2 2 2 2 2 4" xfId="10943"/>
    <cellStyle name="Normal 3 4 2 2 2 2 2 2 4" xfId="10944"/>
    <cellStyle name="Normal 3 5 2 2 2 2 2 2 4" xfId="10945"/>
    <cellStyle name="Normal 5 2 2 2 2 2 4" xfId="10946"/>
    <cellStyle name="Percent 3 2 2 2 2 2 4" xfId="10947"/>
    <cellStyle name="Note 2 2 2 2 2 2 4" xfId="10948"/>
    <cellStyle name="Normal 3 6 2 2 2 2 2 4" xfId="10949"/>
    <cellStyle name="Comma 2 3 2 2 2 3 4" xfId="10950"/>
    <cellStyle name="Comma 3 2 2 2 2 3 4" xfId="10951"/>
    <cellStyle name="Percent 4 2 2 2 2 2 4" xfId="10952"/>
    <cellStyle name="Normal 3 7 2 2 2 2 2 4" xfId="10953"/>
    <cellStyle name="Note 3 2 2 2 2 2 4" xfId="10954"/>
    <cellStyle name="20% - Accent1 2 2 2 2 2 2 4" xfId="10955"/>
    <cellStyle name="40% - Accent1 2 2 2 2 2 2 4" xfId="10956"/>
    <cellStyle name="60% - Accent1 2 2 2 2 2 2 4" xfId="10957"/>
    <cellStyle name="20% - Accent2 2 2 2 2 2 2 4" xfId="10958"/>
    <cellStyle name="40% - Accent2 2 2 2 2 2 2 4" xfId="10959"/>
    <cellStyle name="60% - Accent2 2 2 2 2 2 2 4" xfId="10960"/>
    <cellStyle name="20% - Accent3 2 2 2 2 2 2 4" xfId="10961"/>
    <cellStyle name="40% - Accent3 2 2 2 2 2 2 4" xfId="10962"/>
    <cellStyle name="60% - Accent3 2 2 2 2 2 2 4" xfId="10963"/>
    <cellStyle name="20% - Accent4 2 2 2 2 2 2 4" xfId="10964"/>
    <cellStyle name="40% - Accent4 2 2 2 2 2 2 4" xfId="10965"/>
    <cellStyle name="60% - Accent4 2 2 2 2 2 2 4" xfId="10966"/>
    <cellStyle name="20% - Accent5 2 2 2 2 2 2 4" xfId="10967"/>
    <cellStyle name="40% - Accent5 2 2 2 2 2 2 4" xfId="10968"/>
    <cellStyle name="60% - Accent5 2 2 2 2 2 2 4" xfId="10969"/>
    <cellStyle name="20% - Accent6 2 2 2 2 2 2 4" xfId="10970"/>
    <cellStyle name="40% - Accent6 2 2 2 2 2 2 4" xfId="10971"/>
    <cellStyle name="60% - Accent6 2 2 2 2 2 2 4" xfId="10972"/>
    <cellStyle name="Comma 2 2 2 2 2 2 3 4" xfId="10973"/>
    <cellStyle name="Comma 4 2 2 2 2 3 4" xfId="10974"/>
    <cellStyle name="Normal 3 8 2 2 2 2 2 4" xfId="10975"/>
    <cellStyle name="Normal 3 10 2 2 2 4" xfId="10976"/>
    <cellStyle name="Normal 3 11 2 2 2 4" xfId="10977"/>
    <cellStyle name="Normal 3 13 2 4" xfId="10978"/>
    <cellStyle name="Normal 3 2 7 2 4" xfId="10979"/>
    <cellStyle name="Normal 3 3 7 2 4" xfId="10980"/>
    <cellStyle name="Normal 3 4 7 2 4" xfId="10981"/>
    <cellStyle name="Normal 3 5 7 2 4" xfId="10982"/>
    <cellStyle name="20% - Accent1 7 2 4" xfId="10983"/>
    <cellStyle name="40% - Accent1 7 2 4" xfId="10984"/>
    <cellStyle name="60% - Accent1 7 2 4" xfId="10985"/>
    <cellStyle name="20% - Accent2 7 2 4" xfId="10986"/>
    <cellStyle name="40% - Accent2 7 2 4" xfId="10987"/>
    <cellStyle name="60% - Accent2 7 2 4" xfId="10988"/>
    <cellStyle name="20% - Accent3 7 2 4" xfId="10989"/>
    <cellStyle name="40% - Accent3 7 2 4" xfId="10990"/>
    <cellStyle name="60% - Accent3 7 2 4" xfId="10991"/>
    <cellStyle name="20% - Accent4 7 2 4" xfId="10992"/>
    <cellStyle name="40% - Accent4 7 2 4" xfId="10993"/>
    <cellStyle name="60% - Accent4 7 2 4" xfId="10994"/>
    <cellStyle name="20% - Accent5 7 2 4" xfId="10995"/>
    <cellStyle name="40% - Accent5 7 2 4" xfId="10996"/>
    <cellStyle name="60% - Accent5 7 2 4" xfId="10997"/>
    <cellStyle name="20% - Accent6 7 2 4" xfId="10998"/>
    <cellStyle name="40% - Accent6 7 2 4" xfId="10999"/>
    <cellStyle name="60% - Accent6 7 2 4" xfId="11000"/>
    <cellStyle name="Normal 3 2 2 6 2 4" xfId="11001"/>
    <cellStyle name="Normal 3 3 2 6 2 4" xfId="11002"/>
    <cellStyle name="Normal 3 4 2 6 2 4" xfId="11003"/>
    <cellStyle name="Normal 3 5 2 6 2 4" xfId="11004"/>
    <cellStyle name="Normal 5 6 2 4" xfId="11005"/>
    <cellStyle name="Percent 3 6 2 4" xfId="11006"/>
    <cellStyle name="Note 2 6 2 4" xfId="11007"/>
    <cellStyle name="Normal 3 6 6 2 4" xfId="11008"/>
    <cellStyle name="Comma 2 8 3 4" xfId="11009"/>
    <cellStyle name="Comma 3 8 3 4" xfId="11010"/>
    <cellStyle name="Percent 4 6 2 4" xfId="11011"/>
    <cellStyle name="Normal 3 7 6 2 4" xfId="11012"/>
    <cellStyle name="Note 3 6 2 4" xfId="11013"/>
    <cellStyle name="20% - Accent1 2 6 2 4" xfId="11014"/>
    <cellStyle name="40% - Accent1 2 6 2 4" xfId="11015"/>
    <cellStyle name="60% - Accent1 2 6 2 4" xfId="11016"/>
    <cellStyle name="20% - Accent2 2 6 2 4" xfId="11017"/>
    <cellStyle name="40% - Accent2 2 6 2 4" xfId="11018"/>
    <cellStyle name="60% - Accent2 2 6 2 4" xfId="11019"/>
    <cellStyle name="20% - Accent3 2 6 2 4" xfId="11020"/>
    <cellStyle name="40% - Accent3 2 6 2 4" xfId="11021"/>
    <cellStyle name="60% - Accent3 2 6 2 4" xfId="11022"/>
    <cellStyle name="20% - Accent4 2 6 2 4" xfId="11023"/>
    <cellStyle name="40% - Accent4 2 6 2 4" xfId="11024"/>
    <cellStyle name="60% - Accent4 2 6 2 4" xfId="11025"/>
    <cellStyle name="20% - Accent5 2 6 2 4" xfId="11026"/>
    <cellStyle name="40% - Accent5 2 6 2 4" xfId="11027"/>
    <cellStyle name="60% - Accent5 2 6 2 4" xfId="11028"/>
    <cellStyle name="20% - Accent6 2 6 2 4" xfId="11029"/>
    <cellStyle name="40% - Accent6 2 6 2 4" xfId="11030"/>
    <cellStyle name="60% - Accent6 2 6 2 4" xfId="11031"/>
    <cellStyle name="Comma 2 2 7 3 4" xfId="11032"/>
    <cellStyle name="Comma 4 7 3 4" xfId="11033"/>
    <cellStyle name="Normal 3 8 6 2 4" xfId="11034"/>
    <cellStyle name="Normal 7 5 2 4" xfId="11035"/>
    <cellStyle name="Comma 5 5 3 4" xfId="11036"/>
    <cellStyle name="20% - Accent1 3 5 2 4" xfId="11037"/>
    <cellStyle name="40% - Accent1 3 5 2 4" xfId="11038"/>
    <cellStyle name="60% - Accent1 3 5 2 4" xfId="11039"/>
    <cellStyle name="20% - Accent2 3 5 2 4" xfId="11040"/>
    <cellStyle name="40% - Accent2 3 5 2 4" xfId="11041"/>
    <cellStyle name="60% - Accent2 3 5 2 4" xfId="11042"/>
    <cellStyle name="20% - Accent3 3 5 2 4" xfId="11043"/>
    <cellStyle name="40% - Accent3 3 5 2 4" xfId="11044"/>
    <cellStyle name="60% - Accent3 3 5 2 4" xfId="11045"/>
    <cellStyle name="20% - Accent4 3 5 2 4" xfId="11046"/>
    <cellStyle name="40% - Accent4 3 5 2 4" xfId="11047"/>
    <cellStyle name="60% - Accent4 3 5 2 4" xfId="11048"/>
    <cellStyle name="20% - Accent5 3 5 2 4" xfId="11049"/>
    <cellStyle name="40% - Accent5 3 5 2 4" xfId="11050"/>
    <cellStyle name="60% - Accent5 3 5 2 4" xfId="11051"/>
    <cellStyle name="20% - Accent6 3 5 2 4" xfId="11052"/>
    <cellStyle name="40% - Accent6 3 5 2 4" xfId="11053"/>
    <cellStyle name="60% - Accent6 3 5 2 4" xfId="11054"/>
    <cellStyle name="Normal 3 2 3 5 2 4" xfId="11055"/>
    <cellStyle name="Normal 3 3 3 5 2 4" xfId="11056"/>
    <cellStyle name="Normal 3 4 3 5 2 4" xfId="11057"/>
    <cellStyle name="Normal 3 5 3 5 2 4" xfId="11058"/>
    <cellStyle name="Normal 3 2 2 2 5 2 4" xfId="11059"/>
    <cellStyle name="Normal 3 3 2 2 5 2 4" xfId="11060"/>
    <cellStyle name="Normal 3 4 2 2 5 2 4" xfId="11061"/>
    <cellStyle name="Normal 3 5 2 2 5 2 4" xfId="11062"/>
    <cellStyle name="Normal 5 2 5 2 4" xfId="11063"/>
    <cellStyle name="Percent 3 2 5 2 4" xfId="11064"/>
    <cellStyle name="Note 2 2 5 2 4" xfId="11065"/>
    <cellStyle name="Normal 3 6 2 5 2 4" xfId="11066"/>
    <cellStyle name="Comma 2 3 5 3 4" xfId="11067"/>
    <cellStyle name="Comma 3 2 5 3 4" xfId="11068"/>
    <cellStyle name="Percent 4 2 5 2 4" xfId="11069"/>
    <cellStyle name="Normal 3 7 2 5 2 4" xfId="11070"/>
    <cellStyle name="Note 3 2 5 2 4" xfId="11071"/>
    <cellStyle name="20% - Accent1 2 2 5 2 4" xfId="11072"/>
    <cellStyle name="40% - Accent1 2 2 5 2 4" xfId="11073"/>
    <cellStyle name="60% - Accent1 2 2 5 2 4" xfId="11074"/>
    <cellStyle name="20% - Accent2 2 2 5 2 4" xfId="11075"/>
    <cellStyle name="40% - Accent2 2 2 5 2 4" xfId="11076"/>
    <cellStyle name="60% - Accent2 2 2 5 2 4" xfId="11077"/>
    <cellStyle name="20% - Accent3 2 2 5 2 4" xfId="11078"/>
    <cellStyle name="40% - Accent3 2 2 5 2 4" xfId="11079"/>
    <cellStyle name="60% - Accent3 2 2 5 2 4" xfId="11080"/>
    <cellStyle name="20% - Accent4 2 2 5 2 4" xfId="11081"/>
    <cellStyle name="40% - Accent4 2 2 5 2 4" xfId="11082"/>
    <cellStyle name="60% - Accent4 2 2 5 2 4" xfId="11083"/>
    <cellStyle name="20% - Accent5 2 2 5 2 4" xfId="11084"/>
    <cellStyle name="40% - Accent5 2 2 5 2 4" xfId="11085"/>
    <cellStyle name="60% - Accent5 2 2 5 2 4" xfId="11086"/>
    <cellStyle name="20% - Accent6 2 2 5 2 4" xfId="11087"/>
    <cellStyle name="40% - Accent6 2 2 5 2 4" xfId="11088"/>
    <cellStyle name="60% - Accent6 2 2 5 2 4" xfId="11089"/>
    <cellStyle name="Comma 2 2 2 5 3 4" xfId="11090"/>
    <cellStyle name="Comma 4 2 5 3 4" xfId="11091"/>
    <cellStyle name="Normal 3 8 2 5 2 4" xfId="11092"/>
    <cellStyle name="Normal 8 4 2 4" xfId="11093"/>
    <cellStyle name="Comma 6 4 3 4" xfId="11094"/>
    <cellStyle name="20% - Accent1 4 4 2 4" xfId="11095"/>
    <cellStyle name="40% - Accent1 4 4 2 4" xfId="11096"/>
    <cellStyle name="60% - Accent1 4 4 2 4" xfId="11097"/>
    <cellStyle name="20% - Accent2 4 4 2 4" xfId="11098"/>
    <cellStyle name="40% - Accent2 4 4 2 4" xfId="11099"/>
    <cellStyle name="60% - Accent2 4 4 2 4" xfId="11100"/>
    <cellStyle name="20% - Accent3 4 4 2 4" xfId="11101"/>
    <cellStyle name="40% - Accent3 4 4 2 4" xfId="11102"/>
    <cellStyle name="60% - Accent3 4 4 2 4" xfId="11103"/>
    <cellStyle name="20% - Accent4 4 4 2 4" xfId="11104"/>
    <cellStyle name="40% - Accent4 4 4 2 4" xfId="11105"/>
    <cellStyle name="60% - Accent4 4 4 2 4" xfId="11106"/>
    <cellStyle name="20% - Accent5 4 4 2 4" xfId="11107"/>
    <cellStyle name="40% - Accent5 4 4 2 4" xfId="11108"/>
    <cellStyle name="60% - Accent5 4 4 2 4" xfId="11109"/>
    <cellStyle name="20% - Accent6 4 4 2 4" xfId="11110"/>
    <cellStyle name="40% - Accent6 4 4 2 4" xfId="11111"/>
    <cellStyle name="60% - Accent6 4 4 2 4" xfId="11112"/>
    <cellStyle name="Normal 3 2 4 4 2 4" xfId="11113"/>
    <cellStyle name="Normal 3 3 4 4 2 4" xfId="11114"/>
    <cellStyle name="Normal 3 4 4 4 2 4" xfId="11115"/>
    <cellStyle name="Normal 3 5 4 4 2 4" xfId="11116"/>
    <cellStyle name="Normal 3 2 2 3 4 2 4" xfId="11117"/>
    <cellStyle name="Normal 3 3 2 3 4 2 4" xfId="11118"/>
    <cellStyle name="Normal 3 4 2 3 4 2 4" xfId="11119"/>
    <cellStyle name="Normal 3 5 2 3 4 2 4" xfId="11120"/>
    <cellStyle name="Normal 5 3 4 2 4" xfId="11121"/>
    <cellStyle name="Percent 3 3 4 2 4" xfId="11122"/>
    <cellStyle name="Note 2 3 4 2 4" xfId="11123"/>
    <cellStyle name="Normal 3 6 3 4 2 4" xfId="11124"/>
    <cellStyle name="Comma 2 5 4 3 4" xfId="11125"/>
    <cellStyle name="Comma 3 4 4 3 4" xfId="11126"/>
    <cellStyle name="Percent 4 3 4 2 4" xfId="11127"/>
    <cellStyle name="Normal 3 7 3 4 2 4" xfId="11128"/>
    <cellStyle name="Note 3 3 4 2 4" xfId="11129"/>
    <cellStyle name="20% - Accent1 2 3 4 2 4" xfId="11130"/>
    <cellStyle name="40% - Accent1 2 3 4 2 4" xfId="11131"/>
    <cellStyle name="60% - Accent1 2 3 4 2 4" xfId="11132"/>
    <cellStyle name="20% - Accent2 2 3 4 2 4" xfId="11133"/>
    <cellStyle name="40% - Accent2 2 3 4 2 4" xfId="11134"/>
    <cellStyle name="60% - Accent2 2 3 4 2 4" xfId="11135"/>
    <cellStyle name="20% - Accent3 2 3 4 2 4" xfId="11136"/>
    <cellStyle name="40% - Accent3 2 3 4 2 4" xfId="11137"/>
    <cellStyle name="60% - Accent3 2 3 4 2 4" xfId="11138"/>
    <cellStyle name="20% - Accent4 2 3 4 2 4" xfId="11139"/>
    <cellStyle name="40% - Accent4 2 3 4 2 4" xfId="11140"/>
    <cellStyle name="60% - Accent4 2 3 4 2 4" xfId="11141"/>
    <cellStyle name="20% - Accent5 2 3 4 2 4" xfId="11142"/>
    <cellStyle name="40% - Accent5 2 3 4 2 4" xfId="11143"/>
    <cellStyle name="60% - Accent5 2 3 4 2 4" xfId="11144"/>
    <cellStyle name="20% - Accent6 2 3 4 2 4" xfId="11145"/>
    <cellStyle name="40% - Accent6 2 3 4 2 4" xfId="11146"/>
    <cellStyle name="60% - Accent6 2 3 4 2 4" xfId="11147"/>
    <cellStyle name="Comma 2 2 4 4 3 4" xfId="11148"/>
    <cellStyle name="Comma 4 4 4 3 4" xfId="11149"/>
    <cellStyle name="Normal 3 8 3 4 2 4" xfId="11150"/>
    <cellStyle name="Comma 2 4 4 3 4" xfId="11151"/>
    <cellStyle name="Comma 3 3 4 3 4" xfId="11152"/>
    <cellStyle name="Comma 2 2 3 4 3 4" xfId="11153"/>
    <cellStyle name="Comma 4 3 4 3 4" xfId="11154"/>
    <cellStyle name="Normal 7 2 4 2 4" xfId="11155"/>
    <cellStyle name="Comma 5 2 4 3 4" xfId="11156"/>
    <cellStyle name="20% - Accent1 3 2 4 2 4" xfId="11157"/>
    <cellStyle name="40% - Accent1 3 2 4 2 4" xfId="11158"/>
    <cellStyle name="60% - Accent1 3 2 4 2 4" xfId="11159"/>
    <cellStyle name="20% - Accent2 3 2 4 2 4" xfId="11160"/>
    <cellStyle name="40% - Accent2 3 2 4 2 4" xfId="11161"/>
    <cellStyle name="60% - Accent2 3 2 4 2 4" xfId="11162"/>
    <cellStyle name="20% - Accent3 3 2 4 2 4" xfId="11163"/>
    <cellStyle name="40% - Accent3 3 2 4 2 4" xfId="11164"/>
    <cellStyle name="60% - Accent3 3 2 4 2 4" xfId="11165"/>
    <cellStyle name="20% - Accent4 3 2 4 2 4" xfId="11166"/>
    <cellStyle name="40% - Accent4 3 2 4 2 4" xfId="11167"/>
    <cellStyle name="60% - Accent4 3 2 4 2 4" xfId="11168"/>
    <cellStyle name="20% - Accent5 3 2 4 2 4" xfId="11169"/>
    <cellStyle name="40% - Accent5 3 2 4 2 4" xfId="11170"/>
    <cellStyle name="60% - Accent5 3 2 4 2 4" xfId="11171"/>
    <cellStyle name="20% - Accent6 3 2 4 2 4" xfId="11172"/>
    <cellStyle name="40% - Accent6 3 2 4 2 4" xfId="11173"/>
    <cellStyle name="60% - Accent6 3 2 4 2 4" xfId="11174"/>
    <cellStyle name="Normal 3 2 3 2 4 2 4" xfId="11175"/>
    <cellStyle name="Normal 3 3 3 2 4 2 4" xfId="11176"/>
    <cellStyle name="Normal 3 4 3 2 4 2 4" xfId="11177"/>
    <cellStyle name="Normal 3 5 3 2 4 2 4" xfId="11178"/>
    <cellStyle name="Normal 3 2 2 2 2 4 2 4" xfId="11179"/>
    <cellStyle name="Normal 3 3 2 2 2 4 2 4" xfId="11180"/>
    <cellStyle name="Normal 3 4 2 2 2 4 2 4" xfId="11181"/>
    <cellStyle name="Normal 3 5 2 2 2 4 2 4" xfId="11182"/>
    <cellStyle name="Normal 5 2 2 4 2 4" xfId="11183"/>
    <cellStyle name="Percent 3 2 2 4 2 4" xfId="11184"/>
    <cellStyle name="Note 2 2 2 4 2 4" xfId="11185"/>
    <cellStyle name="Normal 3 6 2 2 4 2 4" xfId="11186"/>
    <cellStyle name="Comma 2 3 2 4 3 4" xfId="11187"/>
    <cellStyle name="Comma 3 2 2 4 3 4" xfId="11188"/>
    <cellStyle name="Percent 4 2 2 4 2 4" xfId="11189"/>
    <cellStyle name="Normal 3 7 2 2 4 2 4" xfId="11190"/>
    <cellStyle name="Note 3 2 2 4 2 4" xfId="11191"/>
    <cellStyle name="20% - Accent1 2 2 2 4 2 4" xfId="11192"/>
    <cellStyle name="40% - Accent1 2 2 2 4 2 4" xfId="11193"/>
    <cellStyle name="60% - Accent1 2 2 2 4 2 4" xfId="11194"/>
    <cellStyle name="20% - Accent2 2 2 2 4 2 4" xfId="11195"/>
    <cellStyle name="40% - Accent2 2 2 2 4 2 4" xfId="11196"/>
    <cellStyle name="60% - Accent2 2 2 2 4 2 4" xfId="11197"/>
    <cellStyle name="20% - Accent3 2 2 2 4 2 4" xfId="11198"/>
    <cellStyle name="40% - Accent3 2 2 2 4 2 4" xfId="11199"/>
    <cellStyle name="60% - Accent3 2 2 2 4 2 4" xfId="11200"/>
    <cellStyle name="20% - Accent4 2 2 2 4 2 4" xfId="11201"/>
    <cellStyle name="40% - Accent4 2 2 2 4 2 4" xfId="11202"/>
    <cellStyle name="60% - Accent4 2 2 2 4 2 4" xfId="11203"/>
    <cellStyle name="20% - Accent5 2 2 2 4 2 4" xfId="11204"/>
    <cellStyle name="40% - Accent5 2 2 2 4 2 4" xfId="11205"/>
    <cellStyle name="60% - Accent5 2 2 2 4 2 4" xfId="11206"/>
    <cellStyle name="20% - Accent6 2 2 2 4 2 4" xfId="11207"/>
    <cellStyle name="40% - Accent6 2 2 2 4 2 4" xfId="11208"/>
    <cellStyle name="60% - Accent6 2 2 2 4 2 4" xfId="11209"/>
    <cellStyle name="Comma 2 2 2 2 4 3 4" xfId="11210"/>
    <cellStyle name="Comma 4 2 2 4 3 4" xfId="11211"/>
    <cellStyle name="Normal 3 8 2 2 4 2 4" xfId="11212"/>
    <cellStyle name="Normal 3 10 4 2 4" xfId="11213"/>
    <cellStyle name="Normal 3 11 4 2 4" xfId="11214"/>
    <cellStyle name="Normal 12 2 4" xfId="11215"/>
    <cellStyle name="Percent 8 2 4" xfId="11216"/>
    <cellStyle name="Note 4 2 4" xfId="11217"/>
    <cellStyle name="20% - Accent1 8 2 4" xfId="11218"/>
    <cellStyle name="40% - Accent1 8 2 4" xfId="11219"/>
    <cellStyle name="60% - Accent1 8 2 4" xfId="11220"/>
    <cellStyle name="20% - Accent2 8 2 4" xfId="11221"/>
    <cellStyle name="40% - Accent2 8 2 4" xfId="11222"/>
    <cellStyle name="60% - Accent2 8 2 4" xfId="11223"/>
    <cellStyle name="20% - Accent3 8 2 4" xfId="11224"/>
    <cellStyle name="40% - Accent3 8 2 4" xfId="11225"/>
    <cellStyle name="60% - Accent3 8 2 4" xfId="11226"/>
    <cellStyle name="20% - Accent4 8 2 4" xfId="11227"/>
    <cellStyle name="40% - Accent4 8 2 4" xfId="11228"/>
    <cellStyle name="60% - Accent4 8 2 4" xfId="11229"/>
    <cellStyle name="20% - Accent5 8 2 4" xfId="11230"/>
    <cellStyle name="40% - Accent5 8 2 4" xfId="11231"/>
    <cellStyle name="60% - Accent5 8 2 4" xfId="11232"/>
    <cellStyle name="20% - Accent6 8 2 4" xfId="11233"/>
    <cellStyle name="40% - Accent6 8 2 4" xfId="11234"/>
    <cellStyle name="60% - Accent6 8 2 4" xfId="11235"/>
    <cellStyle name="Comma 2 9 3 4" xfId="11236"/>
    <cellStyle name="Comma 7 3 4" xfId="11237"/>
    <cellStyle name="Normal 13 4 4" xfId="11238"/>
    <cellStyle name="Comma 8 2 4" xfId="11239"/>
    <cellStyle name="20% - Accent1 9 2 4" xfId="11240"/>
    <cellStyle name="40% - Accent1 9 2 4" xfId="11241"/>
    <cellStyle name="60% - Accent1 9 2 4" xfId="11242"/>
    <cellStyle name="20% - Accent2 9 2 4" xfId="11243"/>
    <cellStyle name="40% - Accent2 9 2 4" xfId="11244"/>
    <cellStyle name="60% - Accent2 9 2 4" xfId="11245"/>
    <cellStyle name="20% - Accent3 9 2 4" xfId="11246"/>
    <cellStyle name="40% - Accent3 9 2 4" xfId="11247"/>
    <cellStyle name="60% - Accent3 9 2 4" xfId="11248"/>
    <cellStyle name="20% - Accent4 9 2 4" xfId="11249"/>
    <cellStyle name="40% - Accent4 9 2 4" xfId="11250"/>
    <cellStyle name="60% - Accent4 9 2 4" xfId="11251"/>
    <cellStyle name="20% - Accent5 9 2 4" xfId="11252"/>
    <cellStyle name="40% - Accent5 9 2 4" xfId="11253"/>
    <cellStyle name="60% - Accent5 9 2 4" xfId="11254"/>
    <cellStyle name="20% - Accent6 9 2 4" xfId="11255"/>
    <cellStyle name="40% - Accent6 9 2 4" xfId="11256"/>
    <cellStyle name="60% - Accent6 9 2 4" xfId="11257"/>
    <cellStyle name="Normal 3 2 8 2 4" xfId="11258"/>
    <cellStyle name="Normal 3 3 8 2 4" xfId="11259"/>
    <cellStyle name="Normal 3 4 8 2 4" xfId="11260"/>
    <cellStyle name="Normal 3 5 8 2 4" xfId="11261"/>
    <cellStyle name="Normal 3 2 2 7 2 4" xfId="11262"/>
    <cellStyle name="Normal 3 3 2 7 2 4" xfId="11263"/>
    <cellStyle name="Normal 3 4 2 7 2 4" xfId="11264"/>
    <cellStyle name="Normal 3 5 2 7 2 4" xfId="11265"/>
    <cellStyle name="Normal 5 7 2 4" xfId="11266"/>
    <cellStyle name="Percent 3 7 2 4" xfId="11267"/>
    <cellStyle name="Note 2 7 2 4" xfId="11268"/>
    <cellStyle name="Normal 3 6 7 2 4" xfId="11269"/>
    <cellStyle name="Comma 2 10 2 4" xfId="11270"/>
    <cellStyle name="Comma 3 9 2 4" xfId="11271"/>
    <cellStyle name="Percent 4 7 2 4" xfId="11272"/>
    <cellStyle name="Normal 3 7 7 2 4" xfId="11273"/>
    <cellStyle name="Note 3 7 2 4" xfId="11274"/>
    <cellStyle name="20% - Accent1 2 7 2 4" xfId="11275"/>
    <cellStyle name="40% - Accent1 2 7 2 4" xfId="11276"/>
    <cellStyle name="60% - Accent1 2 7 2 4" xfId="11277"/>
    <cellStyle name="20% - Accent2 2 7 2 4" xfId="11278"/>
    <cellStyle name="40% - Accent2 2 7 2 4" xfId="11279"/>
    <cellStyle name="60% - Accent2 2 7 2 4" xfId="11280"/>
    <cellStyle name="20% - Accent3 2 7 2 4" xfId="11281"/>
    <cellStyle name="40% - Accent3 2 7 2 4" xfId="11282"/>
    <cellStyle name="60% - Accent3 2 7 2 4" xfId="11283"/>
    <cellStyle name="20% - Accent4 2 7 2 4" xfId="11284"/>
    <cellStyle name="40% - Accent4 2 7 2 4" xfId="11285"/>
    <cellStyle name="60% - Accent4 2 7 2 4" xfId="11286"/>
    <cellStyle name="20% - Accent5 2 7 2 4" xfId="11287"/>
    <cellStyle name="40% - Accent5 2 7 2 4" xfId="11288"/>
    <cellStyle name="60% - Accent5 2 7 2 4" xfId="11289"/>
    <cellStyle name="20% - Accent6 2 7 2 4" xfId="11290"/>
    <cellStyle name="40% - Accent6 2 7 2 4" xfId="11291"/>
    <cellStyle name="60% - Accent6 2 7 2 4" xfId="11292"/>
    <cellStyle name="Comma 2 2 8 2 4" xfId="11293"/>
    <cellStyle name="Comma 4 8 2 4" xfId="11294"/>
    <cellStyle name="Normal 3 8 7 2 4" xfId="11295"/>
    <cellStyle name="Comma 2 4 5 2 4" xfId="11296"/>
    <cellStyle name="Comma 3 3 5 2 4" xfId="11297"/>
    <cellStyle name="Comma 2 2 3 5 2 4" xfId="11298"/>
    <cellStyle name="Comma 4 3 5 2 4" xfId="11299"/>
    <cellStyle name="Normal 7 6 2 4" xfId="11300"/>
    <cellStyle name="Comma 5 6 2 4" xfId="11301"/>
    <cellStyle name="20% - Accent1 3 6 2 4" xfId="11302"/>
    <cellStyle name="40% - Accent1 3 6 2 4" xfId="11303"/>
    <cellStyle name="60% - Accent1 3 6 2 4" xfId="11304"/>
    <cellStyle name="20% - Accent2 3 6 2 4" xfId="11305"/>
    <cellStyle name="40% - Accent2 3 6 2 4" xfId="11306"/>
    <cellStyle name="60% - Accent2 3 6 2 4" xfId="11307"/>
    <cellStyle name="20% - Accent3 3 6 2 4" xfId="11308"/>
    <cellStyle name="40% - Accent3 3 6 2 4" xfId="11309"/>
    <cellStyle name="60% - Accent3 3 6 2 4" xfId="11310"/>
    <cellStyle name="20% - Accent4 3 6 2 4" xfId="11311"/>
    <cellStyle name="40% - Accent4 3 6 2 4" xfId="11312"/>
    <cellStyle name="60% - Accent4 3 6 2 4" xfId="11313"/>
    <cellStyle name="20% - Accent5 3 6 2 4" xfId="11314"/>
    <cellStyle name="40% - Accent5 3 6 2 4" xfId="11315"/>
    <cellStyle name="60% - Accent5 3 6 2 4" xfId="11316"/>
    <cellStyle name="20% - Accent6 3 6 2 4" xfId="11317"/>
    <cellStyle name="40% - Accent6 3 6 2 4" xfId="11318"/>
    <cellStyle name="60% - Accent6 3 6 2 4" xfId="11319"/>
    <cellStyle name="Normal 3 2 3 6 2 4" xfId="11320"/>
    <cellStyle name="Normal 3 3 3 6 2 4" xfId="11321"/>
    <cellStyle name="Normal 3 4 3 6 2 4" xfId="11322"/>
    <cellStyle name="Normal 3 5 3 6 2 4" xfId="11323"/>
    <cellStyle name="Normal 3 2 2 2 6 2 4" xfId="11324"/>
    <cellStyle name="Normal 3 3 2 2 6 2 4" xfId="11325"/>
    <cellStyle name="Normal 3 4 2 2 6 2 4" xfId="11326"/>
    <cellStyle name="Normal 3 5 2 2 6 2 4" xfId="11327"/>
    <cellStyle name="Normal 5 2 6 2 4" xfId="11328"/>
    <cellStyle name="Percent 3 2 6 2 4" xfId="11329"/>
    <cellStyle name="Note 2 2 6 2 4" xfId="11330"/>
    <cellStyle name="Normal 3 6 2 6 2 4" xfId="11331"/>
    <cellStyle name="Comma 2 3 6 2 4" xfId="11332"/>
    <cellStyle name="Comma 3 2 6 2 4" xfId="11333"/>
    <cellStyle name="Percent 4 2 6 2 4" xfId="11334"/>
    <cellStyle name="Normal 3 7 2 6 2 4" xfId="11335"/>
    <cellStyle name="Note 3 2 6 2 4" xfId="11336"/>
    <cellStyle name="20% - Accent1 2 2 6 2 4" xfId="11337"/>
    <cellStyle name="40% - Accent1 2 2 6 2 4" xfId="11338"/>
    <cellStyle name="60% - Accent1 2 2 6 2 4" xfId="11339"/>
    <cellStyle name="20% - Accent2 2 2 6 2 4" xfId="11340"/>
    <cellStyle name="40% - Accent2 2 2 6 2 4" xfId="11341"/>
    <cellStyle name="60% - Accent2 2 2 6 2 4" xfId="11342"/>
    <cellStyle name="20% - Accent3 2 2 6 2 4" xfId="11343"/>
    <cellStyle name="40% - Accent3 2 2 6 2 4" xfId="11344"/>
    <cellStyle name="60% - Accent3 2 2 6 2 4" xfId="11345"/>
    <cellStyle name="20% - Accent4 2 2 6 2 4" xfId="11346"/>
    <cellStyle name="40% - Accent4 2 2 6 2 4" xfId="11347"/>
    <cellStyle name="60% - Accent4 2 2 6 2 4" xfId="11348"/>
    <cellStyle name="20% - Accent5 2 2 6 2 4" xfId="11349"/>
    <cellStyle name="40% - Accent5 2 2 6 2 4" xfId="11350"/>
    <cellStyle name="60% - Accent5 2 2 6 2 4" xfId="11351"/>
    <cellStyle name="20% - Accent6 2 2 6 2 4" xfId="11352"/>
    <cellStyle name="40% - Accent6 2 2 6 2 4" xfId="11353"/>
    <cellStyle name="60% - Accent6 2 2 6 2 4" xfId="11354"/>
    <cellStyle name="Comma 2 2 2 6 2 4" xfId="11355"/>
    <cellStyle name="Comma 4 2 6 2 4" xfId="11356"/>
    <cellStyle name="Normal 3 8 2 6 2 4" xfId="11357"/>
    <cellStyle name="Comma 2 11 4" xfId="11358"/>
    <cellStyle name="Comma 3 10 4" xfId="11359"/>
    <cellStyle name="Comma 2 2 9 4" xfId="11360"/>
    <cellStyle name="Comma 4 9 4" xfId="11361"/>
    <cellStyle name="Comma 5 7 4" xfId="11362"/>
    <cellStyle name="Comma 2 3 7 4" xfId="11363"/>
    <cellStyle name="Comma 3 2 7 4" xfId="11364"/>
    <cellStyle name="Comma 2 2 2 7 4" xfId="11365"/>
    <cellStyle name="Comma 4 2 7 4" xfId="11366"/>
    <cellStyle name="Comma 6 5 4" xfId="11367"/>
    <cellStyle name="Comma 2 5 5 4" xfId="11368"/>
    <cellStyle name="Comma 3 4 5 4" xfId="11369"/>
    <cellStyle name="Comma 2 2 4 5 4" xfId="11370"/>
    <cellStyle name="Comma 4 4 5 4" xfId="11371"/>
    <cellStyle name="Comma 2 4 6 4" xfId="11372"/>
    <cellStyle name="Comma 3 3 6 4" xfId="11373"/>
    <cellStyle name="Comma 2 2 3 6 4" xfId="11374"/>
    <cellStyle name="Comma 4 3 6 4" xfId="11375"/>
    <cellStyle name="Comma 5 2 5 4" xfId="11376"/>
    <cellStyle name="Comma 2 3 2 5 4" xfId="11377"/>
    <cellStyle name="Comma 3 2 2 5 4" xfId="11378"/>
    <cellStyle name="Comma 2 2 2 2 5 4" xfId="11379"/>
    <cellStyle name="Comma 4 2 2 5 4" xfId="11380"/>
    <cellStyle name="Comma 2 6 3 4" xfId="11381"/>
    <cellStyle name="Comma 3 5 3 4" xfId="11382"/>
    <cellStyle name="Comma 2 2 5 3 4" xfId="11383"/>
    <cellStyle name="Comma 4 5 3 4" xfId="11384"/>
    <cellStyle name="Comma 5 3 3 4" xfId="11385"/>
    <cellStyle name="Comma 2 3 3 3 4" xfId="11386"/>
    <cellStyle name="Comma 3 2 3 3 4" xfId="11387"/>
    <cellStyle name="Comma 2 2 2 3 3 4" xfId="11388"/>
    <cellStyle name="Comma 4 2 3 3 4" xfId="11389"/>
    <cellStyle name="Comma 6 2 3 4" xfId="11390"/>
    <cellStyle name="Comma 2 5 2 3 4" xfId="11391"/>
    <cellStyle name="Comma 3 4 2 3 4" xfId="11392"/>
    <cellStyle name="Comma 2 2 4 2 3 4" xfId="11393"/>
    <cellStyle name="Comma 4 4 2 3 4" xfId="11394"/>
    <cellStyle name="Comma 2 4 2 3 4" xfId="11395"/>
    <cellStyle name="Comma 3 3 2 3 4" xfId="11396"/>
    <cellStyle name="Comma 2 2 3 2 3 4" xfId="11397"/>
    <cellStyle name="Comma 4 3 2 3 4" xfId="11398"/>
    <cellStyle name="Comma 5 2 2 3 4" xfId="11399"/>
    <cellStyle name="Comma 2 3 2 2 3 4" xfId="11400"/>
    <cellStyle name="Comma 3 2 2 2 3 4" xfId="11401"/>
    <cellStyle name="Comma 2 2 2 2 2 3 4" xfId="11402"/>
    <cellStyle name="Comma 4 2 2 2 3 4" xfId="11403"/>
    <cellStyle name="Comma 2 7 2 4" xfId="11404"/>
    <cellStyle name="Comma 3 7 2 4" xfId="11405"/>
    <cellStyle name="Comma 2 2 6 2 4" xfId="11406"/>
    <cellStyle name="Comma 4 6 2 4" xfId="11407"/>
    <cellStyle name="Comma 5 4 2 4" xfId="11408"/>
    <cellStyle name="Comma 2 3 4 2 4" xfId="11409"/>
    <cellStyle name="Comma 3 2 4 2 4" xfId="11410"/>
    <cellStyle name="Comma 2 2 2 4 2 4" xfId="11411"/>
    <cellStyle name="Comma 4 2 4 2 4" xfId="11412"/>
    <cellStyle name="Comma 6 3 2 4" xfId="11413"/>
    <cellStyle name="Comma 2 5 3 2 4" xfId="11414"/>
    <cellStyle name="Comma 3 4 3 2 4" xfId="11415"/>
    <cellStyle name="Comma 2 2 4 3 2 4" xfId="11416"/>
    <cellStyle name="Comma 4 4 3 2 4" xfId="11417"/>
    <cellStyle name="Comma 2 4 3 2 4" xfId="11418"/>
    <cellStyle name="Comma 3 3 3 2 4" xfId="11419"/>
    <cellStyle name="Comma 2 2 3 3 2 4" xfId="11420"/>
    <cellStyle name="Comma 4 3 3 2 4" xfId="11421"/>
    <cellStyle name="Comma 5 2 3 2 4" xfId="11422"/>
    <cellStyle name="Comma 2 3 2 3 2 4" xfId="11423"/>
    <cellStyle name="Comma 3 2 2 3 2 4" xfId="11424"/>
    <cellStyle name="Comma 2 2 2 2 3 2 4" xfId="11425"/>
    <cellStyle name="Comma 4 2 2 3 2 4" xfId="11426"/>
    <cellStyle name="Comma 3 6 2 4" xfId="11427"/>
    <cellStyle name="Comma 2 6 2 2 4" xfId="11428"/>
    <cellStyle name="Comma 3 5 2 2 4" xfId="11429"/>
    <cellStyle name="Comma 2 2 5 2 2 4" xfId="11430"/>
    <cellStyle name="Comma 4 5 2 2 4" xfId="11431"/>
    <cellStyle name="Comma 5 3 2 2 4" xfId="11432"/>
    <cellStyle name="Comma 2 3 3 2 2 4" xfId="11433"/>
    <cellStyle name="Comma 3 2 3 2 2 4" xfId="11434"/>
    <cellStyle name="Comma 2 2 2 3 2 2 4" xfId="11435"/>
    <cellStyle name="Comma 4 2 3 2 2 4" xfId="11436"/>
    <cellStyle name="Comma 6 2 2 2 4" xfId="11437"/>
    <cellStyle name="Comma 2 5 2 2 2 4" xfId="11438"/>
    <cellStyle name="Comma 3 4 2 2 2 4" xfId="11439"/>
    <cellStyle name="Comma 2 2 4 2 2 2 4" xfId="11440"/>
    <cellStyle name="Comma 4 4 2 2 2 4" xfId="11441"/>
    <cellStyle name="Comma 2 4 2 2 2 4" xfId="11442"/>
    <cellStyle name="Comma 3 3 2 2 2 4" xfId="11443"/>
    <cellStyle name="Comma 2 2 3 2 2 2 4" xfId="11444"/>
    <cellStyle name="Comma 4 3 2 2 2 4" xfId="11445"/>
    <cellStyle name="Comma 5 2 2 2 2 4" xfId="11446"/>
    <cellStyle name="Comma 2 3 2 2 2 2 4" xfId="11447"/>
    <cellStyle name="Comma 3 2 2 2 2 2 4" xfId="11448"/>
    <cellStyle name="Comma 2 2 2 2 2 2 2 4" xfId="11449"/>
    <cellStyle name="Comma 4 2 2 2 2 2 4" xfId="11450"/>
    <cellStyle name="Comma 2 8 2 4" xfId="11451"/>
    <cellStyle name="Comma 3 8 2 4" xfId="11452"/>
    <cellStyle name="Comma 2 2 7 2 4" xfId="11453"/>
    <cellStyle name="Comma 4 7 2 4" xfId="11454"/>
    <cellStyle name="Comma 5 5 2 4" xfId="11455"/>
    <cellStyle name="Comma 2 3 5 2 4" xfId="11456"/>
    <cellStyle name="Comma 3 2 5 2 4" xfId="11457"/>
    <cellStyle name="Comma 2 2 2 5 2 4" xfId="11458"/>
    <cellStyle name="Comma 4 2 5 2 4" xfId="11459"/>
    <cellStyle name="Comma 6 4 2 4" xfId="11460"/>
    <cellStyle name="Comma 2 5 4 2 4" xfId="11461"/>
    <cellStyle name="Comma 3 4 4 2 4" xfId="11462"/>
    <cellStyle name="Comma 2 2 4 4 2 4" xfId="11463"/>
    <cellStyle name="Comma 4 4 4 2 4" xfId="11464"/>
    <cellStyle name="Comma 2 4 4 2 4" xfId="11465"/>
    <cellStyle name="Comma 3 3 4 2 4" xfId="11466"/>
    <cellStyle name="Comma 2 2 3 4 2 4" xfId="11467"/>
    <cellStyle name="Comma 4 3 4 2 4" xfId="11468"/>
    <cellStyle name="Comma 5 2 4 2 4" xfId="11469"/>
    <cellStyle name="Comma 2 3 2 4 2 4" xfId="11470"/>
    <cellStyle name="Comma 3 2 2 4 2 4" xfId="11471"/>
    <cellStyle name="Comma 2 2 2 2 4 2 4" xfId="11472"/>
    <cellStyle name="Comma 4 2 2 4 2 4" xfId="11473"/>
    <cellStyle name="Comma 2 9 2 4" xfId="11474"/>
    <cellStyle name="Comma 7 2 4" xfId="11475"/>
    <cellStyle name="Normal 13 2 4" xfId="11476"/>
    <cellStyle name="Normal 6 3 4" xfId="11477"/>
    <cellStyle name="Percent 5 3 4" xfId="11478"/>
    <cellStyle name="Normal 15 2 3" xfId="11479"/>
    <cellStyle name="20% - Accent1 11 2" xfId="11480"/>
    <cellStyle name="40% - Accent1 11 2" xfId="11481"/>
    <cellStyle name="60% - Accent1 11 2" xfId="11482"/>
    <cellStyle name="20% - Accent2 11 2" xfId="11483"/>
    <cellStyle name="40% - Accent2 11 2" xfId="11484"/>
    <cellStyle name="60% - Accent2 11 2" xfId="11485"/>
    <cellStyle name="20% - Accent3 11 2" xfId="11486"/>
    <cellStyle name="40% - Accent3 11 2" xfId="11487"/>
    <cellStyle name="60% - Accent3 11 2" xfId="11488"/>
    <cellStyle name="20% - Accent4 11 2" xfId="11489"/>
    <cellStyle name="40% - Accent4 11 2" xfId="11490"/>
    <cellStyle name="60% - Accent4 11 2" xfId="11491"/>
    <cellStyle name="20% - Accent5 11 2" xfId="11492"/>
    <cellStyle name="40% - Accent5 11 2" xfId="11493"/>
    <cellStyle name="60% - Accent5 11 2" xfId="11494"/>
    <cellStyle name="20% - Accent6 11 2" xfId="11495"/>
    <cellStyle name="40% - Accent6 11 2" xfId="11496"/>
    <cellStyle name="60% - Accent6 11 2" xfId="11497"/>
    <cellStyle name="Normal 3 2 10 2" xfId="11498"/>
    <cellStyle name="Normal 3 3 10 2" xfId="11499"/>
    <cellStyle name="Normal 3 4 10 2" xfId="11500"/>
    <cellStyle name="Normal 3 5 10 2" xfId="11501"/>
    <cellStyle name="Normal 3 2 2 9 2" xfId="11502"/>
    <cellStyle name="Normal 3 3 2 9 2" xfId="11503"/>
    <cellStyle name="Normal 3 4 2 9 2" xfId="11504"/>
    <cellStyle name="Normal 3 5 2 9 2" xfId="11505"/>
    <cellStyle name="Normal 5 9 2" xfId="11506"/>
    <cellStyle name="Percent 3 9 2" xfId="11507"/>
    <cellStyle name="Note 2 9 2" xfId="11508"/>
    <cellStyle name="Normal 3 6 9 2" xfId="11509"/>
    <cellStyle name="Comma 2 13 2" xfId="11510"/>
    <cellStyle name="Comma 3 12 2" xfId="11511"/>
    <cellStyle name="Percent 4 9 2" xfId="11512"/>
    <cellStyle name="Normal 3 7 9 2" xfId="11513"/>
    <cellStyle name="Note 3 9 2" xfId="11514"/>
    <cellStyle name="20% - Accent1 2 9 2" xfId="11515"/>
    <cellStyle name="40% - Accent1 2 9 2" xfId="11516"/>
    <cellStyle name="60% - Accent1 2 9 2" xfId="11517"/>
    <cellStyle name="20% - Accent2 2 9 2" xfId="11518"/>
    <cellStyle name="40% - Accent2 2 9 2" xfId="11519"/>
    <cellStyle name="60% - Accent2 2 9 2" xfId="11520"/>
    <cellStyle name="20% - Accent3 2 9 2" xfId="11521"/>
    <cellStyle name="40% - Accent3 2 9 2" xfId="11522"/>
    <cellStyle name="60% - Accent3 2 9 2" xfId="11523"/>
    <cellStyle name="20% - Accent4 2 9 2" xfId="11524"/>
    <cellStyle name="40% - Accent4 2 9 2" xfId="11525"/>
    <cellStyle name="60% - Accent4 2 9 2" xfId="11526"/>
    <cellStyle name="20% - Accent5 2 9 2" xfId="11527"/>
    <cellStyle name="40% - Accent5 2 9 2" xfId="11528"/>
    <cellStyle name="60% - Accent5 2 9 2" xfId="11529"/>
    <cellStyle name="20% - Accent6 2 9 2" xfId="11530"/>
    <cellStyle name="40% - Accent6 2 9 2" xfId="11531"/>
    <cellStyle name="60% - Accent6 2 9 2" xfId="11532"/>
    <cellStyle name="Comma 2 2 11 2" xfId="11533"/>
    <cellStyle name="Comma 4 11 2" xfId="11534"/>
    <cellStyle name="Normal 3 8 9 2" xfId="11535"/>
    <cellStyle name="Normal 7 8 2" xfId="11536"/>
    <cellStyle name="Comma 5 9 2" xfId="11537"/>
    <cellStyle name="20% - Accent1 3 8 2" xfId="11538"/>
    <cellStyle name="40% - Accent1 3 8 2" xfId="11539"/>
    <cellStyle name="60% - Accent1 3 8 2" xfId="11540"/>
    <cellStyle name="20% - Accent2 3 8 2" xfId="11541"/>
    <cellStyle name="40% - Accent2 3 8 2" xfId="11542"/>
    <cellStyle name="60% - Accent2 3 8 2" xfId="11543"/>
    <cellStyle name="20% - Accent3 3 8 2" xfId="11544"/>
    <cellStyle name="40% - Accent3 3 8 2" xfId="11545"/>
    <cellStyle name="60% - Accent3 3 8 2" xfId="11546"/>
    <cellStyle name="20% - Accent4 3 8 2" xfId="11547"/>
    <cellStyle name="40% - Accent4 3 8 2" xfId="11548"/>
    <cellStyle name="60% - Accent4 3 8 2" xfId="11549"/>
    <cellStyle name="20% - Accent5 3 8 2" xfId="11550"/>
    <cellStyle name="40% - Accent5 3 8 2" xfId="11551"/>
    <cellStyle name="60% - Accent5 3 8 2" xfId="11552"/>
    <cellStyle name="20% - Accent6 3 8 2" xfId="11553"/>
    <cellStyle name="40% - Accent6 3 8 2" xfId="11554"/>
    <cellStyle name="60% - Accent6 3 8 2" xfId="11555"/>
    <cellStyle name="Normal 3 2 3 8 2" xfId="11556"/>
    <cellStyle name="Normal 3 3 3 8 2" xfId="11557"/>
    <cellStyle name="Normal 3 4 3 8 2" xfId="11558"/>
    <cellStyle name="Normal 3 5 3 8 2" xfId="11559"/>
    <cellStyle name="Normal 3 2 2 2 8 2" xfId="11560"/>
    <cellStyle name="Normal 3 3 2 2 8 2" xfId="11561"/>
    <cellStyle name="Normal 3 4 2 2 8 2" xfId="11562"/>
    <cellStyle name="Normal 3 5 2 2 8 2" xfId="11563"/>
    <cellStyle name="Normal 5 2 8 2" xfId="11564"/>
    <cellStyle name="Percent 3 2 8 2" xfId="11565"/>
    <cellStyle name="Note 2 2 8 2" xfId="11566"/>
    <cellStyle name="Normal 3 6 2 8 2" xfId="11567"/>
    <cellStyle name="Comma 2 3 9 2" xfId="11568"/>
    <cellStyle name="Comma 3 2 9 2" xfId="11569"/>
    <cellStyle name="Percent 4 2 8 2" xfId="11570"/>
    <cellStyle name="Normal 3 7 2 8 2" xfId="11571"/>
    <cellStyle name="Note 3 2 8 2" xfId="11572"/>
    <cellStyle name="20% - Accent1 2 2 8 2" xfId="11573"/>
    <cellStyle name="40% - Accent1 2 2 8 2" xfId="11574"/>
    <cellStyle name="60% - Accent1 2 2 8 2" xfId="11575"/>
    <cellStyle name="20% - Accent2 2 2 8 2" xfId="11576"/>
    <cellStyle name="40% - Accent2 2 2 8 2" xfId="11577"/>
    <cellStyle name="60% - Accent2 2 2 8 2" xfId="11578"/>
    <cellStyle name="20% - Accent3 2 2 8 2" xfId="11579"/>
    <cellStyle name="40% - Accent3 2 2 8 2" xfId="11580"/>
    <cellStyle name="60% - Accent3 2 2 8 2" xfId="11581"/>
    <cellStyle name="20% - Accent4 2 2 8 2" xfId="11582"/>
    <cellStyle name="40% - Accent4 2 2 8 2" xfId="11583"/>
    <cellStyle name="60% - Accent4 2 2 8 2" xfId="11584"/>
    <cellStyle name="20% - Accent5 2 2 8 2" xfId="11585"/>
    <cellStyle name="40% - Accent5 2 2 8 2" xfId="11586"/>
    <cellStyle name="60% - Accent5 2 2 8 2" xfId="11587"/>
    <cellStyle name="20% - Accent6 2 2 8 2" xfId="11588"/>
    <cellStyle name="40% - Accent6 2 2 8 2" xfId="11589"/>
    <cellStyle name="60% - Accent6 2 2 8 2" xfId="11590"/>
    <cellStyle name="Comma 2 2 2 9 2" xfId="11591"/>
    <cellStyle name="Comma 4 2 9 2" xfId="11592"/>
    <cellStyle name="Normal 3 8 2 8 2" xfId="11593"/>
    <cellStyle name="Normal 8 6 2" xfId="11594"/>
    <cellStyle name="Comma 6 7 2" xfId="11595"/>
    <cellStyle name="20% - Accent1 4 6 2" xfId="11596"/>
    <cellStyle name="40% - Accent1 4 6 2" xfId="11597"/>
    <cellStyle name="60% - Accent1 4 6 2" xfId="11598"/>
    <cellStyle name="20% - Accent2 4 6 2" xfId="11599"/>
    <cellStyle name="40% - Accent2 4 6 2" xfId="11600"/>
    <cellStyle name="60% - Accent2 4 6 2" xfId="11601"/>
    <cellStyle name="20% - Accent3 4 6 2" xfId="11602"/>
    <cellStyle name="40% - Accent3 4 6 2" xfId="11603"/>
    <cellStyle name="60% - Accent3 4 6 2" xfId="11604"/>
    <cellStyle name="20% - Accent4 4 6 2" xfId="11605"/>
    <cellStyle name="40% - Accent4 4 6 2" xfId="11606"/>
    <cellStyle name="60% - Accent4 4 6 2" xfId="11607"/>
    <cellStyle name="20% - Accent5 4 6 2" xfId="11608"/>
    <cellStyle name="40% - Accent5 4 6 2" xfId="11609"/>
    <cellStyle name="60% - Accent5 4 6 2" xfId="11610"/>
    <cellStyle name="20% - Accent6 4 6 2" xfId="11611"/>
    <cellStyle name="40% - Accent6 4 6 2" xfId="11612"/>
    <cellStyle name="60% - Accent6 4 6 2" xfId="11613"/>
    <cellStyle name="Normal 3 2 4 6 2" xfId="11614"/>
    <cellStyle name="Normal 3 3 4 6 2" xfId="11615"/>
    <cellStyle name="Normal 3 4 4 6 2" xfId="11616"/>
    <cellStyle name="Normal 3 5 4 6 2" xfId="11617"/>
    <cellStyle name="Normal 3 2 2 3 6 2" xfId="11618"/>
    <cellStyle name="Normal 3 3 2 3 6 2" xfId="11619"/>
    <cellStyle name="Normal 3 4 2 3 6 2" xfId="11620"/>
    <cellStyle name="Normal 3 5 2 3 6 2" xfId="11621"/>
    <cellStyle name="Normal 5 3 6 2" xfId="11622"/>
    <cellStyle name="Percent 3 3 6 2" xfId="11623"/>
    <cellStyle name="Note 2 3 6 2" xfId="11624"/>
    <cellStyle name="Normal 3 6 3 6 2" xfId="11625"/>
    <cellStyle name="Comma 2 5 7 2" xfId="11626"/>
    <cellStyle name="Comma 3 4 7 2" xfId="11627"/>
    <cellStyle name="Percent 4 3 6 2" xfId="11628"/>
    <cellStyle name="Normal 3 7 3 6 2" xfId="11629"/>
    <cellStyle name="Note 3 3 6 2" xfId="11630"/>
    <cellStyle name="20% - Accent1 2 3 6 2" xfId="11631"/>
    <cellStyle name="40% - Accent1 2 3 6 2" xfId="11632"/>
    <cellStyle name="60% - Accent1 2 3 6 2" xfId="11633"/>
    <cellStyle name="20% - Accent2 2 3 6 2" xfId="11634"/>
    <cellStyle name="40% - Accent2 2 3 6 2" xfId="11635"/>
    <cellStyle name="60% - Accent2 2 3 6 2" xfId="11636"/>
    <cellStyle name="20% - Accent3 2 3 6 2" xfId="11637"/>
    <cellStyle name="40% - Accent3 2 3 6 2" xfId="11638"/>
    <cellStyle name="60% - Accent3 2 3 6 2" xfId="11639"/>
    <cellStyle name="20% - Accent4 2 3 6 2" xfId="11640"/>
    <cellStyle name="40% - Accent4 2 3 6 2" xfId="11641"/>
    <cellStyle name="60% - Accent4 2 3 6 2" xfId="11642"/>
    <cellStyle name="20% - Accent5 2 3 6 2" xfId="11643"/>
    <cellStyle name="40% - Accent5 2 3 6 2" xfId="11644"/>
    <cellStyle name="60% - Accent5 2 3 6 2" xfId="11645"/>
    <cellStyle name="20% - Accent6 2 3 6 2" xfId="11646"/>
    <cellStyle name="40% - Accent6 2 3 6 2" xfId="11647"/>
    <cellStyle name="60% - Accent6 2 3 6 2" xfId="11648"/>
    <cellStyle name="Comma 2 2 4 7 2" xfId="11649"/>
    <cellStyle name="Comma 4 4 7 2" xfId="11650"/>
    <cellStyle name="Normal 3 8 3 6 2" xfId="11651"/>
    <cellStyle name="Comma 2 4 8 2" xfId="11652"/>
    <cellStyle name="Comma 3 3 8 2" xfId="11653"/>
    <cellStyle name="Comma 2 2 3 8 2" xfId="11654"/>
    <cellStyle name="Comma 4 3 8 2" xfId="11655"/>
    <cellStyle name="Normal 7 2 6 2" xfId="11656"/>
    <cellStyle name="Comma 5 2 7 2" xfId="11657"/>
    <cellStyle name="20% - Accent1 3 2 6 2" xfId="11658"/>
    <cellStyle name="40% - Accent1 3 2 6 2" xfId="11659"/>
    <cellStyle name="60% - Accent1 3 2 6 2" xfId="11660"/>
    <cellStyle name="20% - Accent2 3 2 6 2" xfId="11661"/>
    <cellStyle name="40% - Accent2 3 2 6 2" xfId="11662"/>
    <cellStyle name="60% - Accent2 3 2 6 2" xfId="11663"/>
    <cellStyle name="20% - Accent3 3 2 6 2" xfId="11664"/>
    <cellStyle name="40% - Accent3 3 2 6 2" xfId="11665"/>
    <cellStyle name="60% - Accent3 3 2 6 2" xfId="11666"/>
    <cellStyle name="20% - Accent4 3 2 6 2" xfId="11667"/>
    <cellStyle name="40% - Accent4 3 2 6 2" xfId="11668"/>
    <cellStyle name="60% - Accent4 3 2 6 2" xfId="11669"/>
    <cellStyle name="20% - Accent5 3 2 6 2" xfId="11670"/>
    <cellStyle name="40% - Accent5 3 2 6 2" xfId="11671"/>
    <cellStyle name="60% - Accent5 3 2 6 2" xfId="11672"/>
    <cellStyle name="20% - Accent6 3 2 6 2" xfId="11673"/>
    <cellStyle name="40% - Accent6 3 2 6 2" xfId="11674"/>
    <cellStyle name="60% - Accent6 3 2 6 2" xfId="11675"/>
    <cellStyle name="Normal 3 2 3 2 6 2" xfId="11676"/>
    <cellStyle name="Normal 3 3 3 2 6 2" xfId="11677"/>
    <cellStyle name="Normal 3 4 3 2 6 2" xfId="11678"/>
    <cellStyle name="Normal 3 5 3 2 6 2" xfId="11679"/>
    <cellStyle name="Normal 3 2 2 2 2 6 2" xfId="11680"/>
    <cellStyle name="Normal 3 3 2 2 2 6 2" xfId="11681"/>
    <cellStyle name="Normal 3 4 2 2 2 6 2" xfId="11682"/>
    <cellStyle name="Normal 3 5 2 2 2 6 2" xfId="11683"/>
    <cellStyle name="Normal 5 2 2 6 2" xfId="11684"/>
    <cellStyle name="Percent 3 2 2 6 2" xfId="11685"/>
    <cellStyle name="Note 2 2 2 6 2" xfId="11686"/>
    <cellStyle name="Normal 3 6 2 2 6 2" xfId="11687"/>
    <cellStyle name="Comma 2 3 2 7 2" xfId="11688"/>
    <cellStyle name="Comma 3 2 2 7 2" xfId="11689"/>
    <cellStyle name="Percent 4 2 2 6 2" xfId="11690"/>
    <cellStyle name="Normal 3 7 2 2 6 2" xfId="11691"/>
    <cellStyle name="Note 3 2 2 6 2" xfId="11692"/>
    <cellStyle name="20% - Accent1 2 2 2 6 2" xfId="11693"/>
    <cellStyle name="40% - Accent1 2 2 2 6 2" xfId="11694"/>
    <cellStyle name="60% - Accent1 2 2 2 6 2" xfId="11695"/>
    <cellStyle name="20% - Accent2 2 2 2 6 2" xfId="11696"/>
    <cellStyle name="40% - Accent2 2 2 2 6 2" xfId="11697"/>
    <cellStyle name="60% - Accent2 2 2 2 6 2" xfId="11698"/>
    <cellStyle name="20% - Accent3 2 2 2 6 2" xfId="11699"/>
    <cellStyle name="40% - Accent3 2 2 2 6 2" xfId="11700"/>
    <cellStyle name="60% - Accent3 2 2 2 6 2" xfId="11701"/>
    <cellStyle name="20% - Accent4 2 2 2 6 2" xfId="11702"/>
    <cellStyle name="40% - Accent4 2 2 2 6 2" xfId="11703"/>
    <cellStyle name="60% - Accent4 2 2 2 6 2" xfId="11704"/>
    <cellStyle name="20% - Accent5 2 2 2 6 2" xfId="11705"/>
    <cellStyle name="40% - Accent5 2 2 2 6 2" xfId="11706"/>
    <cellStyle name="60% - Accent5 2 2 2 6 2" xfId="11707"/>
    <cellStyle name="20% - Accent6 2 2 2 6 2" xfId="11708"/>
    <cellStyle name="40% - Accent6 2 2 2 6 2" xfId="11709"/>
    <cellStyle name="60% - Accent6 2 2 2 6 2" xfId="11710"/>
    <cellStyle name="Comma 2 2 2 2 7 2" xfId="11711"/>
    <cellStyle name="Comma 4 2 2 7 2" xfId="11712"/>
    <cellStyle name="Normal 3 8 2 2 6 2" xfId="11713"/>
    <cellStyle name="Normal 3 10 6 2" xfId="11714"/>
    <cellStyle name="Normal 3 11 6 2" xfId="11715"/>
    <cellStyle name="Normal 3 12 4 2" xfId="11716"/>
    <cellStyle name="Normal 3 2 5 4 2" xfId="11717"/>
    <cellStyle name="Normal 3 3 5 4 2" xfId="11718"/>
    <cellStyle name="Normal 3 4 5 4 2" xfId="11719"/>
    <cellStyle name="Normal 3 5 5 4 2" xfId="11720"/>
    <cellStyle name="20% - Accent1 5 4 2" xfId="11721"/>
    <cellStyle name="40% - Accent1 5 4 2" xfId="11722"/>
    <cellStyle name="60% - Accent1 5 4 2" xfId="11723"/>
    <cellStyle name="20% - Accent2 5 4 2" xfId="11724"/>
    <cellStyle name="40% - Accent2 5 4 2" xfId="11725"/>
    <cellStyle name="60% - Accent2 5 4 2" xfId="11726"/>
    <cellStyle name="20% - Accent3 5 4 2" xfId="11727"/>
    <cellStyle name="40% - Accent3 5 4 2" xfId="11728"/>
    <cellStyle name="60% - Accent3 5 4 2" xfId="11729"/>
    <cellStyle name="20% - Accent4 5 4 2" xfId="11730"/>
    <cellStyle name="40% - Accent4 5 4 2" xfId="11731"/>
    <cellStyle name="60% - Accent4 5 4 2" xfId="11732"/>
    <cellStyle name="20% - Accent5 5 4 2" xfId="11733"/>
    <cellStyle name="40% - Accent5 5 4 2" xfId="11734"/>
    <cellStyle name="60% - Accent5 5 4 2" xfId="11735"/>
    <cellStyle name="20% - Accent6 5 4 2" xfId="11736"/>
    <cellStyle name="40% - Accent6 5 4 2" xfId="11737"/>
    <cellStyle name="60% - Accent6 5 4 2" xfId="11738"/>
    <cellStyle name="Normal 3 2 2 4 4 2" xfId="11739"/>
    <cellStyle name="Normal 3 3 2 4 4 2" xfId="11740"/>
    <cellStyle name="Normal 3 4 2 4 4 2" xfId="11741"/>
    <cellStyle name="Normal 3 5 2 4 4 2" xfId="11742"/>
    <cellStyle name="Normal 5 4 4 2" xfId="11743"/>
    <cellStyle name="Percent 3 4 4 2" xfId="11744"/>
    <cellStyle name="Note 2 4 4 2" xfId="11745"/>
    <cellStyle name="Normal 3 6 4 4 2" xfId="11746"/>
    <cellStyle name="Comma 2 6 5 2" xfId="11747"/>
    <cellStyle name="Comma 3 5 5 2" xfId="11748"/>
    <cellStyle name="Percent 4 4 4 2" xfId="11749"/>
    <cellStyle name="Normal 3 7 4 4 2" xfId="11750"/>
    <cellStyle name="Note 3 4 4 2" xfId="11751"/>
    <cellStyle name="20% - Accent1 2 4 4 2" xfId="11752"/>
    <cellStyle name="40% - Accent1 2 4 4 2" xfId="11753"/>
    <cellStyle name="60% - Accent1 2 4 4 2" xfId="11754"/>
    <cellStyle name="20% - Accent2 2 4 4 2" xfId="11755"/>
    <cellStyle name="40% - Accent2 2 4 4 2" xfId="11756"/>
    <cellStyle name="60% - Accent2 2 4 4 2" xfId="11757"/>
    <cellStyle name="20% - Accent3 2 4 4 2" xfId="11758"/>
    <cellStyle name="40% - Accent3 2 4 4 2" xfId="11759"/>
    <cellStyle name="60% - Accent3 2 4 4 2" xfId="11760"/>
    <cellStyle name="20% - Accent4 2 4 4 2" xfId="11761"/>
    <cellStyle name="40% - Accent4 2 4 4 2" xfId="11762"/>
    <cellStyle name="60% - Accent4 2 4 4 2" xfId="11763"/>
    <cellStyle name="20% - Accent5 2 4 4 2" xfId="11764"/>
    <cellStyle name="40% - Accent5 2 4 4 2" xfId="11765"/>
    <cellStyle name="60% - Accent5 2 4 4 2" xfId="11766"/>
    <cellStyle name="20% - Accent6 2 4 4 2" xfId="11767"/>
    <cellStyle name="40% - Accent6 2 4 4 2" xfId="11768"/>
    <cellStyle name="60% - Accent6 2 4 4 2" xfId="11769"/>
    <cellStyle name="Comma 2 2 5 5 2" xfId="11770"/>
    <cellStyle name="Comma 4 5 5 2" xfId="11771"/>
    <cellStyle name="Normal 3 8 4 4 2" xfId="11772"/>
    <cellStyle name="Normal 7 3 4 2" xfId="11773"/>
    <cellStyle name="Comma 5 3 5 2" xfId="11774"/>
    <cellStyle name="20% - Accent1 3 3 4 2" xfId="11775"/>
    <cellStyle name="40% - Accent1 3 3 4 2" xfId="11776"/>
    <cellStyle name="60% - Accent1 3 3 4 2" xfId="11777"/>
    <cellStyle name="20% - Accent2 3 3 4 2" xfId="11778"/>
    <cellStyle name="40% - Accent2 3 3 4 2" xfId="11779"/>
    <cellStyle name="60% - Accent2 3 3 4 2" xfId="11780"/>
    <cellStyle name="20% - Accent3 3 3 4 2" xfId="11781"/>
    <cellStyle name="40% - Accent3 3 3 4 2" xfId="11782"/>
    <cellStyle name="60% - Accent3 3 3 4 2" xfId="11783"/>
    <cellStyle name="20% - Accent4 3 3 4 2" xfId="11784"/>
    <cellStyle name="40% - Accent4 3 3 4 2" xfId="11785"/>
    <cellStyle name="60% - Accent4 3 3 4 2" xfId="11786"/>
    <cellStyle name="20% - Accent5 3 3 4 2" xfId="11787"/>
    <cellStyle name="40% - Accent5 3 3 4 2" xfId="11788"/>
    <cellStyle name="60% - Accent5 3 3 4 2" xfId="11789"/>
    <cellStyle name="20% - Accent6 3 3 4 2" xfId="11790"/>
    <cellStyle name="40% - Accent6 3 3 4 2" xfId="11791"/>
    <cellStyle name="60% - Accent6 3 3 4 2" xfId="11792"/>
    <cellStyle name="Normal 3 2 3 3 4 2" xfId="11793"/>
    <cellStyle name="Normal 3 3 3 3 4 2" xfId="11794"/>
    <cellStyle name="Normal 3 4 3 3 4 2" xfId="11795"/>
    <cellStyle name="Normal 3 5 3 3 4 2" xfId="11796"/>
    <cellStyle name="Normal 3 2 2 2 3 4 2" xfId="11797"/>
    <cellStyle name="Normal 3 3 2 2 3 4 2" xfId="11798"/>
    <cellStyle name="Normal 3 4 2 2 3 4 2" xfId="11799"/>
    <cellStyle name="Normal 3 5 2 2 3 4 2" xfId="11800"/>
    <cellStyle name="Normal 5 2 3 4 2" xfId="11801"/>
    <cellStyle name="Percent 3 2 3 4 2" xfId="11802"/>
    <cellStyle name="Note 2 2 3 4 2" xfId="11803"/>
    <cellStyle name="Normal 3 6 2 3 4 2" xfId="11804"/>
    <cellStyle name="Comma 2 3 3 5 2" xfId="11805"/>
    <cellStyle name="Comma 3 2 3 5 2" xfId="11806"/>
    <cellStyle name="Percent 4 2 3 4 2" xfId="11807"/>
    <cellStyle name="Normal 3 7 2 3 4 2" xfId="11808"/>
    <cellStyle name="Note 3 2 3 4 2" xfId="11809"/>
    <cellStyle name="20% - Accent1 2 2 3 4 2" xfId="11810"/>
    <cellStyle name="40% - Accent1 2 2 3 4 2" xfId="11811"/>
    <cellStyle name="60% - Accent1 2 2 3 4 2" xfId="11812"/>
    <cellStyle name="20% - Accent2 2 2 3 4 2" xfId="11813"/>
    <cellStyle name="40% - Accent2 2 2 3 4 2" xfId="11814"/>
    <cellStyle name="60% - Accent2 2 2 3 4 2" xfId="11815"/>
    <cellStyle name="20% - Accent3 2 2 3 4 2" xfId="11816"/>
    <cellStyle name="40% - Accent3 2 2 3 4 2" xfId="11817"/>
    <cellStyle name="60% - Accent3 2 2 3 4 2" xfId="11818"/>
    <cellStyle name="20% - Accent4 2 2 3 4 2" xfId="11819"/>
    <cellStyle name="40% - Accent4 2 2 3 4 2" xfId="11820"/>
    <cellStyle name="60% - Accent4 2 2 3 4 2" xfId="11821"/>
    <cellStyle name="20% - Accent5 2 2 3 4 2" xfId="11822"/>
    <cellStyle name="40% - Accent5 2 2 3 4 2" xfId="11823"/>
    <cellStyle name="60% - Accent5 2 2 3 4 2" xfId="11824"/>
    <cellStyle name="20% - Accent6 2 2 3 4 2" xfId="11825"/>
    <cellStyle name="40% - Accent6 2 2 3 4 2" xfId="11826"/>
    <cellStyle name="60% - Accent6 2 2 3 4 2" xfId="11827"/>
    <cellStyle name="Comma 2 2 2 3 5 2" xfId="11828"/>
    <cellStyle name="Comma 4 2 3 5 2" xfId="11829"/>
    <cellStyle name="Normal 3 8 2 3 4 2" xfId="11830"/>
    <cellStyle name="Normal 8 2 4 2" xfId="11831"/>
    <cellStyle name="Comma 6 2 5 2" xfId="11832"/>
    <cellStyle name="20% - Accent1 4 2 4 2" xfId="11833"/>
    <cellStyle name="40% - Accent1 4 2 4 2" xfId="11834"/>
    <cellStyle name="60% - Accent1 4 2 4 2" xfId="11835"/>
    <cellStyle name="20% - Accent2 4 2 4 2" xfId="11836"/>
    <cellStyle name="40% - Accent2 4 2 4 2" xfId="11837"/>
    <cellStyle name="60% - Accent2 4 2 4 2" xfId="11838"/>
    <cellStyle name="20% - Accent3 4 2 4 2" xfId="11839"/>
    <cellStyle name="40% - Accent3 4 2 4 2" xfId="11840"/>
    <cellStyle name="60% - Accent3 4 2 4 2" xfId="11841"/>
    <cellStyle name="20% - Accent4 4 2 4 2" xfId="11842"/>
    <cellStyle name="40% - Accent4 4 2 4 2" xfId="11843"/>
    <cellStyle name="60% - Accent4 4 2 4 2" xfId="11844"/>
    <cellStyle name="20% - Accent5 4 2 4 2" xfId="11845"/>
    <cellStyle name="40% - Accent5 4 2 4 2" xfId="11846"/>
    <cellStyle name="60% - Accent5 4 2 4 2" xfId="11847"/>
    <cellStyle name="20% - Accent6 4 2 4 2" xfId="11848"/>
    <cellStyle name="40% - Accent6 4 2 4 2" xfId="11849"/>
    <cellStyle name="60% - Accent6 4 2 4 2" xfId="11850"/>
    <cellStyle name="Normal 3 2 4 2 4 2" xfId="11851"/>
    <cellStyle name="Normal 3 3 4 2 4 2" xfId="11852"/>
    <cellStyle name="Normal 3 4 4 2 4 2" xfId="11853"/>
    <cellStyle name="Normal 3 5 4 2 4 2" xfId="11854"/>
    <cellStyle name="Normal 3 2 2 3 2 4 2" xfId="11855"/>
    <cellStyle name="Normal 3 3 2 3 2 4 2" xfId="11856"/>
    <cellStyle name="Normal 3 4 2 3 2 4 2" xfId="11857"/>
    <cellStyle name="Normal 3 5 2 3 2 4 2" xfId="11858"/>
    <cellStyle name="Normal 5 3 2 4 2" xfId="11859"/>
    <cellStyle name="Percent 3 3 2 4 2" xfId="11860"/>
    <cellStyle name="Note 2 3 2 4 2" xfId="11861"/>
    <cellStyle name="Normal 3 6 3 2 4 2" xfId="11862"/>
    <cellStyle name="Comma 2 5 2 5 2" xfId="11863"/>
    <cellStyle name="Comma 3 4 2 5 2" xfId="11864"/>
    <cellStyle name="Percent 4 3 2 4 2" xfId="11865"/>
    <cellStyle name="Normal 3 7 3 2 4 2" xfId="11866"/>
    <cellStyle name="Note 3 3 2 4 2" xfId="11867"/>
    <cellStyle name="20% - Accent1 2 3 2 4 2" xfId="11868"/>
    <cellStyle name="40% - Accent1 2 3 2 4 2" xfId="11869"/>
    <cellStyle name="60% - Accent1 2 3 2 4 2" xfId="11870"/>
    <cellStyle name="20% - Accent2 2 3 2 4 2" xfId="11871"/>
    <cellStyle name="40% - Accent2 2 3 2 4 2" xfId="11872"/>
    <cellStyle name="60% - Accent2 2 3 2 4 2" xfId="11873"/>
    <cellStyle name="20% - Accent3 2 3 2 4 2" xfId="11874"/>
    <cellStyle name="40% - Accent3 2 3 2 4 2" xfId="11875"/>
    <cellStyle name="60% - Accent3 2 3 2 4 2" xfId="11876"/>
    <cellStyle name="20% - Accent4 2 3 2 4 2" xfId="11877"/>
    <cellStyle name="40% - Accent4 2 3 2 4 2" xfId="11878"/>
    <cellStyle name="60% - Accent4 2 3 2 4 2" xfId="11879"/>
    <cellStyle name="20% - Accent5 2 3 2 4 2" xfId="11880"/>
    <cellStyle name="40% - Accent5 2 3 2 4 2" xfId="11881"/>
    <cellStyle name="60% - Accent5 2 3 2 4 2" xfId="11882"/>
    <cellStyle name="20% - Accent6 2 3 2 4 2" xfId="11883"/>
    <cellStyle name="40% - Accent6 2 3 2 4 2" xfId="11884"/>
    <cellStyle name="60% - Accent6 2 3 2 4 2" xfId="11885"/>
    <cellStyle name="Comma 2 2 4 2 5 2" xfId="11886"/>
    <cellStyle name="Comma 4 4 2 5 2" xfId="11887"/>
    <cellStyle name="Normal 3 8 3 2 4 2" xfId="11888"/>
    <cellStyle name="Comma 2 4 2 5 2" xfId="11889"/>
    <cellStyle name="Comma 3 3 2 5 2" xfId="11890"/>
    <cellStyle name="Comma 2 2 3 2 5 2" xfId="11891"/>
    <cellStyle name="Comma 4 3 2 5 2" xfId="11892"/>
    <cellStyle name="Normal 7 2 2 4 2" xfId="11893"/>
    <cellStyle name="Comma 5 2 2 5 2" xfId="11894"/>
    <cellStyle name="20% - Accent1 3 2 2 4 2" xfId="11895"/>
    <cellStyle name="40% - Accent1 3 2 2 4 2" xfId="11896"/>
    <cellStyle name="60% - Accent1 3 2 2 4 2" xfId="11897"/>
    <cellStyle name="20% - Accent2 3 2 2 4 2" xfId="11898"/>
    <cellStyle name="40% - Accent2 3 2 2 4 2" xfId="11899"/>
    <cellStyle name="60% - Accent2 3 2 2 4 2" xfId="11900"/>
    <cellStyle name="20% - Accent3 3 2 2 4 2" xfId="11901"/>
    <cellStyle name="40% - Accent3 3 2 2 4 2" xfId="11902"/>
    <cellStyle name="60% - Accent3 3 2 2 4 2" xfId="11903"/>
    <cellStyle name="20% - Accent4 3 2 2 4 2" xfId="11904"/>
    <cellStyle name="40% - Accent4 3 2 2 4 2" xfId="11905"/>
    <cellStyle name="60% - Accent4 3 2 2 4 2" xfId="11906"/>
    <cellStyle name="20% - Accent5 3 2 2 4 2" xfId="11907"/>
    <cellStyle name="40% - Accent5 3 2 2 4 2" xfId="11908"/>
    <cellStyle name="60% - Accent5 3 2 2 4 2" xfId="11909"/>
    <cellStyle name="20% - Accent6 3 2 2 4 2" xfId="11910"/>
    <cellStyle name="40% - Accent6 3 2 2 4 2" xfId="11911"/>
    <cellStyle name="60% - Accent6 3 2 2 4 2" xfId="11912"/>
    <cellStyle name="Normal 3 2 3 2 2 4 2" xfId="11913"/>
    <cellStyle name="Normal 3 3 3 2 2 4 2" xfId="11914"/>
    <cellStyle name="Normal 3 4 3 2 2 4 2" xfId="11915"/>
    <cellStyle name="Normal 3 5 3 2 2 4 2" xfId="11916"/>
    <cellStyle name="Normal 3 2 2 2 2 2 4 2" xfId="11917"/>
    <cellStyle name="Normal 3 3 2 2 2 2 4 2" xfId="11918"/>
    <cellStyle name="Normal 3 4 2 2 2 2 4 2" xfId="11919"/>
    <cellStyle name="Normal 3 5 2 2 2 2 4 2" xfId="11920"/>
    <cellStyle name="Normal 5 2 2 2 4 2" xfId="11921"/>
    <cellStyle name="Percent 3 2 2 2 4 2" xfId="11922"/>
    <cellStyle name="Note 2 2 2 2 4 2" xfId="11923"/>
    <cellStyle name="Normal 3 6 2 2 2 4 2" xfId="11924"/>
    <cellStyle name="Comma 2 3 2 2 5 2" xfId="11925"/>
    <cellStyle name="Comma 3 2 2 2 5 2" xfId="11926"/>
    <cellStyle name="Percent 4 2 2 2 4 2" xfId="11927"/>
    <cellStyle name="Normal 3 7 2 2 2 4 2" xfId="11928"/>
    <cellStyle name="Note 3 2 2 2 4 2" xfId="11929"/>
    <cellStyle name="20% - Accent1 2 2 2 2 4 2" xfId="11930"/>
    <cellStyle name="40% - Accent1 2 2 2 2 4 2" xfId="11931"/>
    <cellStyle name="60% - Accent1 2 2 2 2 4 2" xfId="11932"/>
    <cellStyle name="20% - Accent2 2 2 2 2 4 2" xfId="11933"/>
    <cellStyle name="40% - Accent2 2 2 2 2 4 2" xfId="11934"/>
    <cellStyle name="60% - Accent2 2 2 2 2 4 2" xfId="11935"/>
    <cellStyle name="20% - Accent3 2 2 2 2 4 2" xfId="11936"/>
    <cellStyle name="40% - Accent3 2 2 2 2 4 2" xfId="11937"/>
    <cellStyle name="60% - Accent3 2 2 2 2 4 2" xfId="11938"/>
    <cellStyle name="20% - Accent4 2 2 2 2 4 2" xfId="11939"/>
    <cellStyle name="40% - Accent4 2 2 2 2 4 2" xfId="11940"/>
    <cellStyle name="60% - Accent4 2 2 2 2 4 2" xfId="11941"/>
    <cellStyle name="20% - Accent5 2 2 2 2 4 2" xfId="11942"/>
    <cellStyle name="40% - Accent5 2 2 2 2 4 2" xfId="11943"/>
    <cellStyle name="60% - Accent5 2 2 2 2 4 2" xfId="11944"/>
    <cellStyle name="20% - Accent6 2 2 2 2 4 2" xfId="11945"/>
    <cellStyle name="40% - Accent6 2 2 2 2 4 2" xfId="11946"/>
    <cellStyle name="60% - Accent6 2 2 2 2 4 2" xfId="11947"/>
    <cellStyle name="Comma 2 2 2 2 2 5 2" xfId="11948"/>
    <cellStyle name="Comma 4 2 2 2 5 2" xfId="11949"/>
    <cellStyle name="Normal 3 8 2 2 2 4 2" xfId="11950"/>
    <cellStyle name="Normal 3 10 2 4 2" xfId="11951"/>
    <cellStyle name="Normal 3 11 2 4 2" xfId="11952"/>
    <cellStyle name="Normal 3 2 6 3 2" xfId="11953"/>
    <cellStyle name="Normal 3 3 6 3 2" xfId="11954"/>
    <cellStyle name="Normal 3 4 6 3 2" xfId="11955"/>
    <cellStyle name="Normal 3 5 6 3 2" xfId="11956"/>
    <cellStyle name="20% - Accent1 6 3 2" xfId="11957"/>
    <cellStyle name="40% - Accent1 6 3 2" xfId="11958"/>
    <cellStyle name="60% - Accent1 6 3 2" xfId="11959"/>
    <cellStyle name="20% - Accent2 6 3 2" xfId="11960"/>
    <cellStyle name="40% - Accent2 6 3 2" xfId="11961"/>
    <cellStyle name="60% - Accent2 6 3 2" xfId="11962"/>
    <cellStyle name="20% - Accent3 6 3 2" xfId="11963"/>
    <cellStyle name="40% - Accent3 6 3 2" xfId="11964"/>
    <cellStyle name="60% - Accent3 6 3 2" xfId="11965"/>
    <cellStyle name="20% - Accent4 6 3 2" xfId="11966"/>
    <cellStyle name="40% - Accent4 6 3 2" xfId="11967"/>
    <cellStyle name="60% - Accent4 6 3 2" xfId="11968"/>
    <cellStyle name="20% - Accent5 6 3 2" xfId="11969"/>
    <cellStyle name="40% - Accent5 6 3 2" xfId="11970"/>
    <cellStyle name="60% - Accent5 6 3 2" xfId="11971"/>
    <cellStyle name="20% - Accent6 6 3 2" xfId="11972"/>
    <cellStyle name="40% - Accent6 6 3 2" xfId="11973"/>
    <cellStyle name="60% - Accent6 6 3 2" xfId="11974"/>
    <cellStyle name="Normal 3 2 2 5 3 2" xfId="11975"/>
    <cellStyle name="Normal 3 3 2 5 3 2" xfId="11976"/>
    <cellStyle name="Normal 3 4 2 5 3 2" xfId="11977"/>
    <cellStyle name="Normal 3 5 2 5 3 2" xfId="11978"/>
    <cellStyle name="Normal 5 5 3 2" xfId="11979"/>
    <cellStyle name="Percent 3 5 3 2" xfId="11980"/>
    <cellStyle name="Note 2 5 3 2" xfId="11981"/>
    <cellStyle name="Normal 3 6 5 3 2" xfId="11982"/>
    <cellStyle name="Comma 2 7 4 2" xfId="11983"/>
    <cellStyle name="Comma 3 7 4 2" xfId="11984"/>
    <cellStyle name="Percent 4 5 3 2" xfId="11985"/>
    <cellStyle name="Normal 3 7 5 3 2" xfId="11986"/>
    <cellStyle name="Note 3 5 3 2" xfId="11987"/>
    <cellStyle name="20% - Accent1 2 5 3 2" xfId="11988"/>
    <cellStyle name="40% - Accent1 2 5 3 2" xfId="11989"/>
    <cellStyle name="60% - Accent1 2 5 3 2" xfId="11990"/>
    <cellStyle name="20% - Accent2 2 5 3 2" xfId="11991"/>
    <cellStyle name="40% - Accent2 2 5 3 2" xfId="11992"/>
    <cellStyle name="60% - Accent2 2 5 3 2" xfId="11993"/>
    <cellStyle name="20% - Accent3 2 5 3 2" xfId="11994"/>
    <cellStyle name="40% - Accent3 2 5 3 2" xfId="11995"/>
    <cellStyle name="60% - Accent3 2 5 3 2" xfId="11996"/>
    <cellStyle name="20% - Accent4 2 5 3 2" xfId="11997"/>
    <cellStyle name="40% - Accent4 2 5 3 2" xfId="11998"/>
    <cellStyle name="60% - Accent4 2 5 3 2" xfId="11999"/>
    <cellStyle name="20% - Accent5 2 5 3 2" xfId="12000"/>
    <cellStyle name="40% - Accent5 2 5 3 2" xfId="12001"/>
    <cellStyle name="60% - Accent5 2 5 3 2" xfId="12002"/>
    <cellStyle name="20% - Accent6 2 5 3 2" xfId="12003"/>
    <cellStyle name="40% - Accent6 2 5 3 2" xfId="12004"/>
    <cellStyle name="60% - Accent6 2 5 3 2" xfId="12005"/>
    <cellStyle name="Comma 2 2 6 4 2" xfId="12006"/>
    <cellStyle name="Comma 4 6 4 2" xfId="12007"/>
    <cellStyle name="Normal 3 8 5 3 2" xfId="12008"/>
    <cellStyle name="Normal 7 4 3 2" xfId="12009"/>
    <cellStyle name="Comma 5 4 4 2" xfId="12010"/>
    <cellStyle name="20% - Accent1 3 4 3 2" xfId="12011"/>
    <cellStyle name="40% - Accent1 3 4 3 2" xfId="12012"/>
    <cellStyle name="60% - Accent1 3 4 3 2" xfId="12013"/>
    <cellStyle name="20% - Accent2 3 4 3 2" xfId="12014"/>
    <cellStyle name="40% - Accent2 3 4 3 2" xfId="12015"/>
    <cellStyle name="60% - Accent2 3 4 3 2" xfId="12016"/>
    <cellStyle name="20% - Accent3 3 4 3 2" xfId="12017"/>
    <cellStyle name="40% - Accent3 3 4 3 2" xfId="12018"/>
    <cellStyle name="60% - Accent3 3 4 3 2" xfId="12019"/>
    <cellStyle name="20% - Accent4 3 4 3 2" xfId="12020"/>
    <cellStyle name="40% - Accent4 3 4 3 2" xfId="12021"/>
    <cellStyle name="60% - Accent4 3 4 3 2" xfId="12022"/>
    <cellStyle name="20% - Accent5 3 4 3 2" xfId="12023"/>
    <cellStyle name="40% - Accent5 3 4 3 2" xfId="12024"/>
    <cellStyle name="60% - Accent5 3 4 3 2" xfId="12025"/>
    <cellStyle name="20% - Accent6 3 4 3 2" xfId="12026"/>
    <cellStyle name="40% - Accent6 3 4 3 2" xfId="12027"/>
    <cellStyle name="60% - Accent6 3 4 3 2" xfId="12028"/>
    <cellStyle name="Normal 3 2 3 4 3 2" xfId="12029"/>
    <cellStyle name="Normal 3 3 3 4 3 2" xfId="12030"/>
    <cellStyle name="Normal 3 4 3 4 3 2" xfId="12031"/>
    <cellStyle name="Normal 3 5 3 4 3 2" xfId="12032"/>
    <cellStyle name="Normal 3 2 2 2 4 3 2" xfId="12033"/>
    <cellStyle name="Normal 3 3 2 2 4 3 2" xfId="12034"/>
    <cellStyle name="Normal 3 4 2 2 4 3 2" xfId="12035"/>
    <cellStyle name="Normal 3 5 2 2 4 3 2" xfId="12036"/>
    <cellStyle name="Normal 5 2 4 3 2" xfId="12037"/>
    <cellStyle name="Percent 3 2 4 3 2" xfId="12038"/>
    <cellStyle name="Note 2 2 4 3 2" xfId="12039"/>
    <cellStyle name="Normal 3 6 2 4 3 2" xfId="12040"/>
    <cellStyle name="Comma 2 3 4 4 2" xfId="12041"/>
    <cellStyle name="Comma 3 2 4 4 2" xfId="12042"/>
    <cellStyle name="Percent 4 2 4 3 2" xfId="12043"/>
    <cellStyle name="Normal 3 7 2 4 3 2" xfId="12044"/>
    <cellStyle name="Note 3 2 4 3 2" xfId="12045"/>
    <cellStyle name="20% - Accent1 2 2 4 3 2" xfId="12046"/>
    <cellStyle name="40% - Accent1 2 2 4 3 2" xfId="12047"/>
    <cellStyle name="60% - Accent1 2 2 4 3 2" xfId="12048"/>
    <cellStyle name="20% - Accent2 2 2 4 3 2" xfId="12049"/>
    <cellStyle name="40% - Accent2 2 2 4 3 2" xfId="12050"/>
    <cellStyle name="60% - Accent2 2 2 4 3 2" xfId="12051"/>
    <cellStyle name="20% - Accent3 2 2 4 3 2" xfId="12052"/>
    <cellStyle name="40% - Accent3 2 2 4 3 2" xfId="12053"/>
    <cellStyle name="60% - Accent3 2 2 4 3 2" xfId="12054"/>
    <cellStyle name="20% - Accent4 2 2 4 3 2" xfId="12055"/>
    <cellStyle name="40% - Accent4 2 2 4 3 2" xfId="12056"/>
    <cellStyle name="60% - Accent4 2 2 4 3 2" xfId="12057"/>
    <cellStyle name="20% - Accent5 2 2 4 3 2" xfId="12058"/>
    <cellStyle name="40% - Accent5 2 2 4 3 2" xfId="12059"/>
    <cellStyle name="60% - Accent5 2 2 4 3 2" xfId="12060"/>
    <cellStyle name="20% - Accent6 2 2 4 3 2" xfId="12061"/>
    <cellStyle name="40% - Accent6 2 2 4 3 2" xfId="12062"/>
    <cellStyle name="60% - Accent6 2 2 4 3 2" xfId="12063"/>
    <cellStyle name="Comma 2 2 2 4 4 2" xfId="12064"/>
    <cellStyle name="Comma 4 2 4 4 2" xfId="12065"/>
    <cellStyle name="Normal 3 8 2 4 3 2" xfId="12066"/>
    <cellStyle name="Normal 8 3 3 2" xfId="12067"/>
    <cellStyle name="Comma 6 3 4 2" xfId="12068"/>
    <cellStyle name="20% - Accent1 4 3 3 2" xfId="12069"/>
    <cellStyle name="40% - Accent1 4 3 3 2" xfId="12070"/>
    <cellStyle name="60% - Accent1 4 3 3 2" xfId="12071"/>
    <cellStyle name="20% - Accent2 4 3 3 2" xfId="12072"/>
    <cellStyle name="40% - Accent2 4 3 3 2" xfId="12073"/>
    <cellStyle name="60% - Accent2 4 3 3 2" xfId="12074"/>
    <cellStyle name="20% - Accent3 4 3 3 2" xfId="12075"/>
    <cellStyle name="40% - Accent3 4 3 3 2" xfId="12076"/>
    <cellStyle name="60% - Accent3 4 3 3 2" xfId="12077"/>
    <cellStyle name="20% - Accent4 4 3 3 2" xfId="12078"/>
    <cellStyle name="40% - Accent4 4 3 3 2" xfId="12079"/>
    <cellStyle name="60% - Accent4 4 3 3 2" xfId="12080"/>
    <cellStyle name="20% - Accent5 4 3 3 2" xfId="12081"/>
    <cellStyle name="40% - Accent5 4 3 3 2" xfId="12082"/>
    <cellStyle name="60% - Accent5 4 3 3 2" xfId="12083"/>
    <cellStyle name="20% - Accent6 4 3 3 2" xfId="12084"/>
    <cellStyle name="40% - Accent6 4 3 3 2" xfId="12085"/>
    <cellStyle name="60% - Accent6 4 3 3 2" xfId="12086"/>
    <cellStyle name="Normal 3 2 4 3 3 2" xfId="12087"/>
    <cellStyle name="Normal 3 3 4 3 3 2" xfId="12088"/>
    <cellStyle name="Normal 3 4 4 3 3 2" xfId="12089"/>
    <cellStyle name="Normal 3 5 4 3 3 2" xfId="12090"/>
    <cellStyle name="Normal 3 2 2 3 3 3 2" xfId="12091"/>
    <cellStyle name="Normal 3 3 2 3 3 3 2" xfId="12092"/>
    <cellStyle name="Normal 3 4 2 3 3 3 2" xfId="12093"/>
    <cellStyle name="Normal 3 5 2 3 3 3 2" xfId="12094"/>
    <cellStyle name="Normal 5 3 3 3 2" xfId="12095"/>
    <cellStyle name="Percent 3 3 3 3 2" xfId="12096"/>
    <cellStyle name="Note 2 3 3 3 2" xfId="12097"/>
    <cellStyle name="Normal 3 6 3 3 3 2" xfId="12098"/>
    <cellStyle name="Comma 2 5 3 4 2" xfId="12099"/>
    <cellStyle name="Comma 3 4 3 4 2" xfId="12100"/>
    <cellStyle name="Percent 4 3 3 3 2" xfId="12101"/>
    <cellStyle name="Normal 3 7 3 3 3 2" xfId="12102"/>
    <cellStyle name="Note 3 3 3 3 2" xfId="12103"/>
    <cellStyle name="20% - Accent1 2 3 3 3 2" xfId="12104"/>
    <cellStyle name="40% - Accent1 2 3 3 3 2" xfId="12105"/>
    <cellStyle name="60% - Accent1 2 3 3 3 2" xfId="12106"/>
    <cellStyle name="20% - Accent2 2 3 3 3 2" xfId="12107"/>
    <cellStyle name="40% - Accent2 2 3 3 3 2" xfId="12108"/>
    <cellStyle name="60% - Accent2 2 3 3 3 2" xfId="12109"/>
    <cellStyle name="20% - Accent3 2 3 3 3 2" xfId="12110"/>
    <cellStyle name="40% - Accent3 2 3 3 3 2" xfId="12111"/>
    <cellStyle name="60% - Accent3 2 3 3 3 2" xfId="12112"/>
    <cellStyle name="20% - Accent4 2 3 3 3 2" xfId="12113"/>
    <cellStyle name="40% - Accent4 2 3 3 3 2" xfId="12114"/>
    <cellStyle name="60% - Accent4 2 3 3 3 2" xfId="12115"/>
    <cellStyle name="20% - Accent5 2 3 3 3 2" xfId="12116"/>
    <cellStyle name="40% - Accent5 2 3 3 3 2" xfId="12117"/>
    <cellStyle name="60% - Accent5 2 3 3 3 2" xfId="12118"/>
    <cellStyle name="20% - Accent6 2 3 3 3 2" xfId="12119"/>
    <cellStyle name="40% - Accent6 2 3 3 3 2" xfId="12120"/>
    <cellStyle name="60% - Accent6 2 3 3 3 2" xfId="12121"/>
    <cellStyle name="Comma 2 2 4 3 4 2" xfId="12122"/>
    <cellStyle name="Comma 4 4 3 4 2" xfId="12123"/>
    <cellStyle name="Normal 3 8 3 3 3 2" xfId="12124"/>
    <cellStyle name="Comma 2 4 3 4 2" xfId="12125"/>
    <cellStyle name="Comma 3 3 3 4 2" xfId="12126"/>
    <cellStyle name="Comma 2 2 3 3 4 2" xfId="12127"/>
    <cellStyle name="Comma 4 3 3 4 2" xfId="12128"/>
    <cellStyle name="Normal 7 2 3 3 2" xfId="12129"/>
    <cellStyle name="Comma 5 2 3 4 2" xfId="12130"/>
    <cellStyle name="20% - Accent1 3 2 3 3 2" xfId="12131"/>
    <cellStyle name="40% - Accent1 3 2 3 3 2" xfId="12132"/>
    <cellStyle name="60% - Accent1 3 2 3 3 2" xfId="12133"/>
    <cellStyle name="20% - Accent2 3 2 3 3 2" xfId="12134"/>
    <cellStyle name="40% - Accent2 3 2 3 3 2" xfId="12135"/>
    <cellStyle name="60% - Accent2 3 2 3 3 2" xfId="12136"/>
    <cellStyle name="20% - Accent3 3 2 3 3 2" xfId="12137"/>
    <cellStyle name="40% - Accent3 3 2 3 3 2" xfId="12138"/>
    <cellStyle name="60% - Accent3 3 2 3 3 2" xfId="12139"/>
    <cellStyle name="20% - Accent4 3 2 3 3 2" xfId="12140"/>
    <cellStyle name="40% - Accent4 3 2 3 3 2" xfId="12141"/>
    <cellStyle name="60% - Accent4 3 2 3 3 2" xfId="12142"/>
    <cellStyle name="20% - Accent5 3 2 3 3 2" xfId="12143"/>
    <cellStyle name="40% - Accent5 3 2 3 3 2" xfId="12144"/>
    <cellStyle name="60% - Accent5 3 2 3 3 2" xfId="12145"/>
    <cellStyle name="20% - Accent6 3 2 3 3 2" xfId="12146"/>
    <cellStyle name="40% - Accent6 3 2 3 3 2" xfId="12147"/>
    <cellStyle name="60% - Accent6 3 2 3 3 2" xfId="12148"/>
    <cellStyle name="Normal 3 2 3 2 3 3 2" xfId="12149"/>
    <cellStyle name="Normal 3 3 3 2 3 3 2" xfId="12150"/>
    <cellStyle name="Normal 3 4 3 2 3 3 2" xfId="12151"/>
    <cellStyle name="Normal 3 5 3 2 3 3 2" xfId="12152"/>
    <cellStyle name="Normal 3 2 2 2 2 3 3 2" xfId="12153"/>
    <cellStyle name="Normal 3 3 2 2 2 3 3 2" xfId="12154"/>
    <cellStyle name="Normal 3 4 2 2 2 3 3 2" xfId="12155"/>
    <cellStyle name="Normal 3 5 2 2 2 3 3 2" xfId="12156"/>
    <cellStyle name="Normal 5 2 2 3 3 2" xfId="12157"/>
    <cellStyle name="Percent 3 2 2 3 3 2" xfId="12158"/>
    <cellStyle name="Note 2 2 2 3 3 2" xfId="12159"/>
    <cellStyle name="Normal 3 6 2 2 3 3 2" xfId="12160"/>
    <cellStyle name="Comma 2 3 2 3 4 2" xfId="12161"/>
    <cellStyle name="Comma 3 2 2 3 4 2" xfId="12162"/>
    <cellStyle name="Percent 4 2 2 3 3 2" xfId="12163"/>
    <cellStyle name="Normal 3 7 2 2 3 3 2" xfId="12164"/>
    <cellStyle name="Note 3 2 2 3 3 2" xfId="12165"/>
    <cellStyle name="20% - Accent1 2 2 2 3 3 2" xfId="12166"/>
    <cellStyle name="40% - Accent1 2 2 2 3 3 2" xfId="12167"/>
    <cellStyle name="60% - Accent1 2 2 2 3 3 2" xfId="12168"/>
    <cellStyle name="20% - Accent2 2 2 2 3 3 2" xfId="12169"/>
    <cellStyle name="40% - Accent2 2 2 2 3 3 2" xfId="12170"/>
    <cellStyle name="60% - Accent2 2 2 2 3 3 2" xfId="12171"/>
    <cellStyle name="20% - Accent3 2 2 2 3 3 2" xfId="12172"/>
    <cellStyle name="40% - Accent3 2 2 2 3 3 2" xfId="12173"/>
    <cellStyle name="60% - Accent3 2 2 2 3 3 2" xfId="12174"/>
    <cellStyle name="20% - Accent4 2 2 2 3 3 2" xfId="12175"/>
    <cellStyle name="40% - Accent4 2 2 2 3 3 2" xfId="12176"/>
    <cellStyle name="60% - Accent4 2 2 2 3 3 2" xfId="12177"/>
    <cellStyle name="20% - Accent5 2 2 2 3 3 2" xfId="12178"/>
    <cellStyle name="40% - Accent5 2 2 2 3 3 2" xfId="12179"/>
    <cellStyle name="60% - Accent5 2 2 2 3 3 2" xfId="12180"/>
    <cellStyle name="20% - Accent6 2 2 2 3 3 2" xfId="12181"/>
    <cellStyle name="40% - Accent6 2 2 2 3 3 2" xfId="12182"/>
    <cellStyle name="60% - Accent6 2 2 2 3 3 2" xfId="12183"/>
    <cellStyle name="Comma 2 2 2 2 3 4 2" xfId="12184"/>
    <cellStyle name="Comma 4 2 2 3 4 2" xfId="12185"/>
    <cellStyle name="Normal 3 8 2 2 3 3 2" xfId="12186"/>
    <cellStyle name="Normal 3 10 3 3 2" xfId="12187"/>
    <cellStyle name="Normal 3 11 3 3 2" xfId="12188"/>
    <cellStyle name="Normal 5 4 2 3 2" xfId="12189"/>
    <cellStyle name="Normal 7 3 2 3 2" xfId="12190"/>
    <cellStyle name="Normal 3 2 2 2 3 2 3 2" xfId="12191"/>
    <cellStyle name="Normal 8 2 2 3 2" xfId="12192"/>
    <cellStyle name="Normal 3 2 2 2 2 2 2 3 2" xfId="12193"/>
    <cellStyle name="Comma 3 6 4 2" xfId="12194"/>
    <cellStyle name="Normal 3 6 4 2 3 2" xfId="12195"/>
    <cellStyle name="Normal 3 12 2 3 2" xfId="12196"/>
    <cellStyle name="Normal 3 2 5 2 3 2" xfId="12197"/>
    <cellStyle name="Normal 3 3 5 2 3 2" xfId="12198"/>
    <cellStyle name="Normal 3 4 5 2 3 2" xfId="12199"/>
    <cellStyle name="Normal 3 5 5 2 3 2" xfId="12200"/>
    <cellStyle name="20% - Accent1 5 2 3 2" xfId="12201"/>
    <cellStyle name="40% - Accent1 5 2 3 2" xfId="12202"/>
    <cellStyle name="60% - Accent1 5 2 3 2" xfId="12203"/>
    <cellStyle name="20% - Accent2 5 2 3 2" xfId="12204"/>
    <cellStyle name="40% - Accent2 5 2 3 2" xfId="12205"/>
    <cellStyle name="60% - Accent2 5 2 3 2" xfId="12206"/>
    <cellStyle name="20% - Accent3 5 2 3 2" xfId="12207"/>
    <cellStyle name="40% - Accent3 5 2 3 2" xfId="12208"/>
    <cellStyle name="60% - Accent3 5 2 3 2" xfId="12209"/>
    <cellStyle name="20% - Accent4 5 2 3 2" xfId="12210"/>
    <cellStyle name="40% - Accent4 5 2 3 2" xfId="12211"/>
    <cellStyle name="60% - Accent4 5 2 3 2" xfId="12212"/>
    <cellStyle name="20% - Accent5 5 2 3 2" xfId="12213"/>
    <cellStyle name="40% - Accent5 5 2 3 2" xfId="12214"/>
    <cellStyle name="60% - Accent5 5 2 3 2" xfId="12215"/>
    <cellStyle name="20% - Accent6 5 2 3 2" xfId="12216"/>
    <cellStyle name="40% - Accent6 5 2 3 2" xfId="12217"/>
    <cellStyle name="60% - Accent6 5 2 3 2" xfId="12218"/>
    <cellStyle name="Normal 3 2 2 4 2 3 2" xfId="12219"/>
    <cellStyle name="Normal 3 3 2 4 2 3 2" xfId="12220"/>
    <cellStyle name="Normal 3 4 2 4 2 3 2" xfId="12221"/>
    <cellStyle name="Normal 3 5 2 4 2 3 2" xfId="12222"/>
    <cellStyle name="Percent 3 4 2 3 2" xfId="12223"/>
    <cellStyle name="Note 2 4 2 3 2" xfId="12224"/>
    <cellStyle name="Comma 2 6 2 4 2" xfId="12225"/>
    <cellStyle name="Comma 3 5 2 4 2" xfId="12226"/>
    <cellStyle name="Percent 4 4 2 3 2" xfId="12227"/>
    <cellStyle name="Normal 3 7 4 2 3 2" xfId="12228"/>
    <cellStyle name="Note 3 4 2 3 2" xfId="12229"/>
    <cellStyle name="20% - Accent1 2 4 2 3 2" xfId="12230"/>
    <cellStyle name="40% - Accent1 2 4 2 3 2" xfId="12231"/>
    <cellStyle name="60% - Accent1 2 4 2 3 2" xfId="12232"/>
    <cellStyle name="20% - Accent2 2 4 2 3 2" xfId="12233"/>
    <cellStyle name="40% - Accent2 2 4 2 3 2" xfId="12234"/>
    <cellStyle name="60% - Accent2 2 4 2 3 2" xfId="12235"/>
    <cellStyle name="20% - Accent3 2 4 2 3 2" xfId="12236"/>
    <cellStyle name="40% - Accent3 2 4 2 3 2" xfId="12237"/>
    <cellStyle name="60% - Accent3 2 4 2 3 2" xfId="12238"/>
    <cellStyle name="20% - Accent4 2 4 2 3 2" xfId="12239"/>
    <cellStyle name="40% - Accent4 2 4 2 3 2" xfId="12240"/>
    <cellStyle name="60% - Accent4 2 4 2 3 2" xfId="12241"/>
    <cellStyle name="20% - Accent5 2 4 2 3 2" xfId="12242"/>
    <cellStyle name="40% - Accent5 2 4 2 3 2" xfId="12243"/>
    <cellStyle name="60% - Accent5 2 4 2 3 2" xfId="12244"/>
    <cellStyle name="20% - Accent6 2 4 2 3 2" xfId="12245"/>
    <cellStyle name="40% - Accent6 2 4 2 3 2" xfId="12246"/>
    <cellStyle name="60% - Accent6 2 4 2 3 2" xfId="12247"/>
    <cellStyle name="Comma 2 2 5 2 4 2" xfId="12248"/>
    <cellStyle name="Comma 4 5 2 4 2" xfId="12249"/>
    <cellStyle name="Normal 3 8 4 2 3 2" xfId="12250"/>
    <cellStyle name="Comma 5 3 2 4 2" xfId="12251"/>
    <cellStyle name="20% - Accent1 3 3 2 3 2" xfId="12252"/>
    <cellStyle name="40% - Accent1 3 3 2 3 2" xfId="12253"/>
    <cellStyle name="60% - Accent1 3 3 2 3 2" xfId="12254"/>
    <cellStyle name="20% - Accent2 3 3 2 3 2" xfId="12255"/>
    <cellStyle name="40% - Accent2 3 3 2 3 2" xfId="12256"/>
    <cellStyle name="60% - Accent2 3 3 2 3 2" xfId="12257"/>
    <cellStyle name="20% - Accent3 3 3 2 3 2" xfId="12258"/>
    <cellStyle name="40% - Accent3 3 3 2 3 2" xfId="12259"/>
    <cellStyle name="60% - Accent3 3 3 2 3 2" xfId="12260"/>
    <cellStyle name="20% - Accent4 3 3 2 3 2" xfId="12261"/>
    <cellStyle name="40% - Accent4 3 3 2 3 2" xfId="12262"/>
    <cellStyle name="60% - Accent4 3 3 2 3 2" xfId="12263"/>
    <cellStyle name="20% - Accent5 3 3 2 3 2" xfId="12264"/>
    <cellStyle name="40% - Accent5 3 3 2 3 2" xfId="12265"/>
    <cellStyle name="60% - Accent5 3 3 2 3 2" xfId="12266"/>
    <cellStyle name="20% - Accent6 3 3 2 3 2" xfId="12267"/>
    <cellStyle name="40% - Accent6 3 3 2 3 2" xfId="12268"/>
    <cellStyle name="60% - Accent6 3 3 2 3 2" xfId="12269"/>
    <cellStyle name="Normal 3 2 3 3 2 3 2" xfId="12270"/>
    <cellStyle name="Normal 3 3 3 3 2 3 2" xfId="12271"/>
    <cellStyle name="Normal 3 4 3 3 2 3 2" xfId="12272"/>
    <cellStyle name="Normal 3 5 3 3 2 3 2" xfId="12273"/>
    <cellStyle name="Normal 3 3 2 2 3 2 3 2" xfId="12274"/>
    <cellStyle name="Normal 3 4 2 2 3 2 3 2" xfId="12275"/>
    <cellStyle name="Normal 3 5 2 2 3 2 3 2" xfId="12276"/>
    <cellStyle name="Normal 5 2 3 2 3 2" xfId="12277"/>
    <cellStyle name="Percent 3 2 3 2 3 2" xfId="12278"/>
    <cellStyle name="Note 2 2 3 2 3 2" xfId="12279"/>
    <cellStyle name="Normal 3 6 2 3 2 3 2" xfId="12280"/>
    <cellStyle name="Comma 2 3 3 2 4 2" xfId="12281"/>
    <cellStyle name="Comma 3 2 3 2 4 2" xfId="12282"/>
    <cellStyle name="Percent 4 2 3 2 3 2" xfId="12283"/>
    <cellStyle name="Normal 3 7 2 3 2 3 2" xfId="12284"/>
    <cellStyle name="Note 3 2 3 2 3 2" xfId="12285"/>
    <cellStyle name="20% - Accent1 2 2 3 2 3 2" xfId="12286"/>
    <cellStyle name="40% - Accent1 2 2 3 2 3 2" xfId="12287"/>
    <cellStyle name="60% - Accent1 2 2 3 2 3 2" xfId="12288"/>
    <cellStyle name="20% - Accent2 2 2 3 2 3 2" xfId="12289"/>
    <cellStyle name="40% - Accent2 2 2 3 2 3 2" xfId="12290"/>
    <cellStyle name="60% - Accent2 2 2 3 2 3 2" xfId="12291"/>
    <cellStyle name="20% - Accent3 2 2 3 2 3 2" xfId="12292"/>
    <cellStyle name="40% - Accent3 2 2 3 2 3 2" xfId="12293"/>
    <cellStyle name="60% - Accent3 2 2 3 2 3 2" xfId="12294"/>
    <cellStyle name="20% - Accent4 2 2 3 2 3 2" xfId="12295"/>
    <cellStyle name="40% - Accent4 2 2 3 2 3 2" xfId="12296"/>
    <cellStyle name="60% - Accent4 2 2 3 2 3 2" xfId="12297"/>
    <cellStyle name="20% - Accent5 2 2 3 2 3 2" xfId="12298"/>
    <cellStyle name="40% - Accent5 2 2 3 2 3 2" xfId="12299"/>
    <cellStyle name="60% - Accent5 2 2 3 2 3 2" xfId="12300"/>
    <cellStyle name="20% - Accent6 2 2 3 2 3 2" xfId="12301"/>
    <cellStyle name="40% - Accent6 2 2 3 2 3 2" xfId="12302"/>
    <cellStyle name="60% - Accent6 2 2 3 2 3 2" xfId="12303"/>
    <cellStyle name="Comma 2 2 2 3 2 4 2" xfId="12304"/>
    <cellStyle name="Comma 4 2 3 2 4 2" xfId="12305"/>
    <cellStyle name="Normal 3 8 2 3 2 3 2" xfId="12306"/>
    <cellStyle name="Comma 6 2 2 4 2" xfId="12307"/>
    <cellStyle name="20% - Accent1 4 2 2 3 2" xfId="12308"/>
    <cellStyle name="40% - Accent1 4 2 2 3 2" xfId="12309"/>
    <cellStyle name="60% - Accent1 4 2 2 3 2" xfId="12310"/>
    <cellStyle name="20% - Accent2 4 2 2 3 2" xfId="12311"/>
    <cellStyle name="40% - Accent2 4 2 2 3 2" xfId="12312"/>
    <cellStyle name="60% - Accent2 4 2 2 3 2" xfId="12313"/>
    <cellStyle name="20% - Accent3 4 2 2 3 2" xfId="12314"/>
    <cellStyle name="40% - Accent3 4 2 2 3 2" xfId="12315"/>
    <cellStyle name="60% - Accent3 4 2 2 3 2" xfId="12316"/>
    <cellStyle name="20% - Accent4 4 2 2 3 2" xfId="12317"/>
    <cellStyle name="40% - Accent4 4 2 2 3 2" xfId="12318"/>
    <cellStyle name="60% - Accent4 4 2 2 3 2" xfId="12319"/>
    <cellStyle name="20% - Accent5 4 2 2 3 2" xfId="12320"/>
    <cellStyle name="40% - Accent5 4 2 2 3 2" xfId="12321"/>
    <cellStyle name="60% - Accent5 4 2 2 3 2" xfId="12322"/>
    <cellStyle name="20% - Accent6 4 2 2 3 2" xfId="12323"/>
    <cellStyle name="40% - Accent6 4 2 2 3 2" xfId="12324"/>
    <cellStyle name="60% - Accent6 4 2 2 3 2" xfId="12325"/>
    <cellStyle name="Normal 3 2 4 2 2 3 2" xfId="12326"/>
    <cellStyle name="Normal 3 3 4 2 2 3 2" xfId="12327"/>
    <cellStyle name="Normal 3 4 4 2 2 3 2" xfId="12328"/>
    <cellStyle name="Normal 3 5 4 2 2 3 2" xfId="12329"/>
    <cellStyle name="Normal 3 2 2 3 2 2 3 2" xfId="12330"/>
    <cellStyle name="Normal 3 3 2 3 2 2 3 2" xfId="12331"/>
    <cellStyle name="Normal 3 4 2 3 2 2 3 2" xfId="12332"/>
    <cellStyle name="Normal 3 5 2 3 2 2 3 2" xfId="12333"/>
    <cellStyle name="Normal 5 3 2 2 3 2" xfId="12334"/>
    <cellStyle name="Percent 3 3 2 2 3 2" xfId="12335"/>
    <cellStyle name="Note 2 3 2 2 3 2" xfId="12336"/>
    <cellStyle name="Normal 3 6 3 2 2 3 2" xfId="12337"/>
    <cellStyle name="Comma 2 5 2 2 4 2" xfId="12338"/>
    <cellStyle name="Comma 3 4 2 2 4 2" xfId="12339"/>
    <cellStyle name="Percent 4 3 2 2 3 2" xfId="12340"/>
    <cellStyle name="Normal 3 7 3 2 2 3 2" xfId="12341"/>
    <cellStyle name="Note 3 3 2 2 3 2" xfId="12342"/>
    <cellStyle name="20% - Accent1 2 3 2 2 3 2" xfId="12343"/>
    <cellStyle name="40% - Accent1 2 3 2 2 3 2" xfId="12344"/>
    <cellStyle name="60% - Accent1 2 3 2 2 3 2" xfId="12345"/>
    <cellStyle name="20% - Accent2 2 3 2 2 3 2" xfId="12346"/>
    <cellStyle name="40% - Accent2 2 3 2 2 3 2" xfId="12347"/>
    <cellStyle name="60% - Accent2 2 3 2 2 3 2" xfId="12348"/>
    <cellStyle name="20% - Accent3 2 3 2 2 3 2" xfId="12349"/>
    <cellStyle name="40% - Accent3 2 3 2 2 3 2" xfId="12350"/>
    <cellStyle name="60% - Accent3 2 3 2 2 3 2" xfId="12351"/>
    <cellStyle name="20% - Accent4 2 3 2 2 3 2" xfId="12352"/>
    <cellStyle name="40% - Accent4 2 3 2 2 3 2" xfId="12353"/>
    <cellStyle name="60% - Accent4 2 3 2 2 3 2" xfId="12354"/>
    <cellStyle name="20% - Accent5 2 3 2 2 3 2" xfId="12355"/>
    <cellStyle name="40% - Accent5 2 3 2 2 3 2" xfId="12356"/>
    <cellStyle name="60% - Accent5 2 3 2 2 3 2" xfId="12357"/>
    <cellStyle name="20% - Accent6 2 3 2 2 3 2" xfId="12358"/>
    <cellStyle name="40% - Accent6 2 3 2 2 3 2" xfId="12359"/>
    <cellStyle name="60% - Accent6 2 3 2 2 3 2" xfId="12360"/>
    <cellStyle name="Comma 2 2 4 2 2 4 2" xfId="12361"/>
    <cellStyle name="Comma 4 4 2 2 4 2" xfId="12362"/>
    <cellStyle name="Normal 3 8 3 2 2 3 2" xfId="12363"/>
    <cellStyle name="Comma 2 4 2 2 4 2" xfId="12364"/>
    <cellStyle name="Comma 3 3 2 2 4 2" xfId="12365"/>
    <cellStyle name="Comma 2 2 3 2 2 4 2" xfId="12366"/>
    <cellStyle name="Comma 4 3 2 2 4 2" xfId="12367"/>
    <cellStyle name="Normal 7 2 2 2 3 2" xfId="12368"/>
    <cellStyle name="Comma 5 2 2 2 4 2" xfId="12369"/>
    <cellStyle name="20% - Accent1 3 2 2 2 3 2" xfId="12370"/>
    <cellStyle name="40% - Accent1 3 2 2 2 3 2" xfId="12371"/>
    <cellStyle name="60% - Accent1 3 2 2 2 3 2" xfId="12372"/>
    <cellStyle name="20% - Accent2 3 2 2 2 3 2" xfId="12373"/>
    <cellStyle name="40% - Accent2 3 2 2 2 3 2" xfId="12374"/>
    <cellStyle name="60% - Accent2 3 2 2 2 3 2" xfId="12375"/>
    <cellStyle name="20% - Accent3 3 2 2 2 3 2" xfId="12376"/>
    <cellStyle name="40% - Accent3 3 2 2 2 3 2" xfId="12377"/>
    <cellStyle name="60% - Accent3 3 2 2 2 3 2" xfId="12378"/>
    <cellStyle name="20% - Accent4 3 2 2 2 3 2" xfId="12379"/>
    <cellStyle name="40% - Accent4 3 2 2 2 3 2" xfId="12380"/>
    <cellStyle name="60% - Accent4 3 2 2 2 3 2" xfId="12381"/>
    <cellStyle name="20% - Accent5 3 2 2 2 3 2" xfId="12382"/>
    <cellStyle name="40% - Accent5 3 2 2 2 3 2" xfId="12383"/>
    <cellStyle name="60% - Accent5 3 2 2 2 3 2" xfId="12384"/>
    <cellStyle name="20% - Accent6 3 2 2 2 3 2" xfId="12385"/>
    <cellStyle name="40% - Accent6 3 2 2 2 3 2" xfId="12386"/>
    <cellStyle name="60% - Accent6 3 2 2 2 3 2" xfId="12387"/>
    <cellStyle name="Normal 3 2 3 2 2 2 3 2" xfId="12388"/>
    <cellStyle name="Normal 3 3 3 2 2 2 3 2" xfId="12389"/>
    <cellStyle name="Normal 3 4 3 2 2 2 3 2" xfId="12390"/>
    <cellStyle name="Normal 3 5 3 2 2 2 3 2" xfId="12391"/>
    <cellStyle name="Normal 3 3 2 2 2 2 2 3 2" xfId="12392"/>
    <cellStyle name="Normal 3 4 2 2 2 2 2 3 2" xfId="12393"/>
    <cellStyle name="Normal 3 5 2 2 2 2 2 3 2" xfId="12394"/>
    <cellStyle name="Normal 5 2 2 2 2 3 2" xfId="12395"/>
    <cellStyle name="Percent 3 2 2 2 2 3 2" xfId="12396"/>
    <cellStyle name="Note 2 2 2 2 2 3 2" xfId="12397"/>
    <cellStyle name="Normal 3 6 2 2 2 2 3 2" xfId="12398"/>
    <cellStyle name="Comma 2 3 2 2 2 4 2" xfId="12399"/>
    <cellStyle name="Comma 3 2 2 2 2 4 2" xfId="12400"/>
    <cellStyle name="Percent 4 2 2 2 2 3 2" xfId="12401"/>
    <cellStyle name="Normal 3 7 2 2 2 2 3 2" xfId="12402"/>
    <cellStyle name="Note 3 2 2 2 2 3 2" xfId="12403"/>
    <cellStyle name="20% - Accent1 2 2 2 2 2 3 2" xfId="12404"/>
    <cellStyle name="40% - Accent1 2 2 2 2 2 3 2" xfId="12405"/>
    <cellStyle name="60% - Accent1 2 2 2 2 2 3 2" xfId="12406"/>
    <cellStyle name="20% - Accent2 2 2 2 2 2 3 2" xfId="12407"/>
    <cellStyle name="40% - Accent2 2 2 2 2 2 3 2" xfId="12408"/>
    <cellStyle name="60% - Accent2 2 2 2 2 2 3 2" xfId="12409"/>
    <cellStyle name="20% - Accent3 2 2 2 2 2 3 2" xfId="12410"/>
    <cellStyle name="40% - Accent3 2 2 2 2 2 3 2" xfId="12411"/>
    <cellStyle name="60% - Accent3 2 2 2 2 2 3 2" xfId="12412"/>
    <cellStyle name="20% - Accent4 2 2 2 2 2 3 2" xfId="12413"/>
    <cellStyle name="40% - Accent4 2 2 2 2 2 3 2" xfId="12414"/>
    <cellStyle name="60% - Accent4 2 2 2 2 2 3 2" xfId="12415"/>
    <cellStyle name="20% - Accent5 2 2 2 2 2 3 2" xfId="12416"/>
    <cellStyle name="40% - Accent5 2 2 2 2 2 3 2" xfId="12417"/>
    <cellStyle name="60% - Accent5 2 2 2 2 2 3 2" xfId="12418"/>
    <cellStyle name="20% - Accent6 2 2 2 2 2 3 2" xfId="12419"/>
    <cellStyle name="40% - Accent6 2 2 2 2 2 3 2" xfId="12420"/>
    <cellStyle name="60% - Accent6 2 2 2 2 2 3 2" xfId="12421"/>
    <cellStyle name="Comma 2 2 2 2 2 2 4 2" xfId="12422"/>
    <cellStyle name="Comma 4 2 2 2 2 4 2" xfId="12423"/>
    <cellStyle name="Normal 3 8 2 2 2 2 3 2" xfId="12424"/>
    <cellStyle name="Normal 3 10 2 2 3 2" xfId="12425"/>
    <cellStyle name="Normal 3 11 2 2 3 2" xfId="12426"/>
    <cellStyle name="Normal 3 13 3 2" xfId="12427"/>
    <cellStyle name="Normal 3 2 7 3 2" xfId="12428"/>
    <cellStyle name="Normal 3 3 7 3 2" xfId="12429"/>
    <cellStyle name="Normal 3 4 7 3 2" xfId="12430"/>
    <cellStyle name="Normal 3 5 7 3 2" xfId="12431"/>
    <cellStyle name="20% - Accent1 7 3 2" xfId="12432"/>
    <cellStyle name="40% - Accent1 7 3 2" xfId="12433"/>
    <cellStyle name="60% - Accent1 7 3 2" xfId="12434"/>
    <cellStyle name="20% - Accent2 7 3 2" xfId="12435"/>
    <cellStyle name="40% - Accent2 7 3 2" xfId="12436"/>
    <cellStyle name="60% - Accent2 7 3 2" xfId="12437"/>
    <cellStyle name="20% - Accent3 7 3 2" xfId="12438"/>
    <cellStyle name="40% - Accent3 7 3 2" xfId="12439"/>
    <cellStyle name="60% - Accent3 7 3 2" xfId="12440"/>
    <cellStyle name="20% - Accent4 7 3 2" xfId="12441"/>
    <cellStyle name="40% - Accent4 7 3 2" xfId="12442"/>
    <cellStyle name="60% - Accent4 7 3 2" xfId="12443"/>
    <cellStyle name="20% - Accent5 7 3 2" xfId="12444"/>
    <cellStyle name="40% - Accent5 7 3 2" xfId="12445"/>
    <cellStyle name="60% - Accent5 7 3 2" xfId="12446"/>
    <cellStyle name="20% - Accent6 7 3 2" xfId="12447"/>
    <cellStyle name="40% - Accent6 7 3 2" xfId="12448"/>
    <cellStyle name="60% - Accent6 7 3 2" xfId="12449"/>
    <cellStyle name="Normal 3 2 2 6 3 2" xfId="12450"/>
    <cellStyle name="Normal 3 3 2 6 3 2" xfId="12451"/>
    <cellStyle name="Normal 3 4 2 6 3 2" xfId="12452"/>
    <cellStyle name="Normal 3 5 2 6 3 2" xfId="12453"/>
    <cellStyle name="Normal 5 6 3 2" xfId="12454"/>
    <cellStyle name="Percent 3 6 3 2" xfId="12455"/>
    <cellStyle name="Note 2 6 3 2" xfId="12456"/>
    <cellStyle name="Normal 3 6 6 3 2" xfId="12457"/>
    <cellStyle name="Comma 2 8 4 2" xfId="12458"/>
    <cellStyle name="Comma 3 8 4 2" xfId="12459"/>
    <cellStyle name="Percent 4 6 3 2" xfId="12460"/>
    <cellStyle name="Normal 3 7 6 3 2" xfId="12461"/>
    <cellStyle name="Note 3 6 3 2" xfId="12462"/>
    <cellStyle name="20% - Accent1 2 6 3 2" xfId="12463"/>
    <cellStyle name="40% - Accent1 2 6 3 2" xfId="12464"/>
    <cellStyle name="60% - Accent1 2 6 3 2" xfId="12465"/>
    <cellStyle name="20% - Accent2 2 6 3 2" xfId="12466"/>
    <cellStyle name="40% - Accent2 2 6 3 2" xfId="12467"/>
    <cellStyle name="60% - Accent2 2 6 3 2" xfId="12468"/>
    <cellStyle name="20% - Accent3 2 6 3 2" xfId="12469"/>
    <cellStyle name="40% - Accent3 2 6 3 2" xfId="12470"/>
    <cellStyle name="60% - Accent3 2 6 3 2" xfId="12471"/>
    <cellStyle name="20% - Accent4 2 6 3 2" xfId="12472"/>
    <cellStyle name="40% - Accent4 2 6 3 2" xfId="12473"/>
    <cellStyle name="60% - Accent4 2 6 3 2" xfId="12474"/>
    <cellStyle name="20% - Accent5 2 6 3 2" xfId="12475"/>
    <cellStyle name="40% - Accent5 2 6 3 2" xfId="12476"/>
    <cellStyle name="60% - Accent5 2 6 3 2" xfId="12477"/>
    <cellStyle name="20% - Accent6 2 6 3 2" xfId="12478"/>
    <cellStyle name="40% - Accent6 2 6 3 2" xfId="12479"/>
    <cellStyle name="60% - Accent6 2 6 3 2" xfId="12480"/>
    <cellStyle name="Comma 2 2 7 4 2" xfId="12481"/>
    <cellStyle name="Comma 4 7 4 2" xfId="12482"/>
    <cellStyle name="Normal 3 8 6 3 2" xfId="12483"/>
    <cellStyle name="Normal 7 5 3 2" xfId="12484"/>
    <cellStyle name="Comma 5 5 4 2" xfId="12485"/>
    <cellStyle name="20% - Accent1 3 5 3 2" xfId="12486"/>
    <cellStyle name="40% - Accent1 3 5 3 2" xfId="12487"/>
    <cellStyle name="60% - Accent1 3 5 3 2" xfId="12488"/>
    <cellStyle name="20% - Accent2 3 5 3 2" xfId="12489"/>
    <cellStyle name="40% - Accent2 3 5 3 2" xfId="12490"/>
    <cellStyle name="60% - Accent2 3 5 3 2" xfId="12491"/>
    <cellStyle name="20% - Accent3 3 5 3 2" xfId="12492"/>
    <cellStyle name="40% - Accent3 3 5 3 2" xfId="12493"/>
    <cellStyle name="60% - Accent3 3 5 3 2" xfId="12494"/>
    <cellStyle name="20% - Accent4 3 5 3 2" xfId="12495"/>
    <cellStyle name="40% - Accent4 3 5 3 2" xfId="12496"/>
    <cellStyle name="60% - Accent4 3 5 3 2" xfId="12497"/>
    <cellStyle name="20% - Accent5 3 5 3 2" xfId="12498"/>
    <cellStyle name="40% - Accent5 3 5 3 2" xfId="12499"/>
    <cellStyle name="60% - Accent5 3 5 3 2" xfId="12500"/>
    <cellStyle name="20% - Accent6 3 5 3 2" xfId="12501"/>
    <cellStyle name="40% - Accent6 3 5 3 2" xfId="12502"/>
    <cellStyle name="60% - Accent6 3 5 3 2" xfId="12503"/>
    <cellStyle name="Normal 3 2 3 5 3 2" xfId="12504"/>
    <cellStyle name="Normal 3 3 3 5 3 2" xfId="12505"/>
    <cellStyle name="Normal 3 4 3 5 3 2" xfId="12506"/>
    <cellStyle name="Normal 3 5 3 5 3 2" xfId="12507"/>
    <cellStyle name="Normal 3 2 2 2 5 3 2" xfId="12508"/>
    <cellStyle name="Normal 3 3 2 2 5 3 2" xfId="12509"/>
    <cellStyle name="Normal 3 4 2 2 5 3 2" xfId="12510"/>
    <cellStyle name="Normal 3 5 2 2 5 3 2" xfId="12511"/>
    <cellStyle name="Normal 5 2 5 3 2" xfId="12512"/>
    <cellStyle name="Percent 3 2 5 3 2" xfId="12513"/>
    <cellStyle name="Note 2 2 5 3 2" xfId="12514"/>
    <cellStyle name="Normal 3 6 2 5 3 2" xfId="12515"/>
    <cellStyle name="Comma 2 3 5 4 2" xfId="12516"/>
    <cellStyle name="Comma 3 2 5 4 2" xfId="12517"/>
    <cellStyle name="Percent 4 2 5 3 2" xfId="12518"/>
    <cellStyle name="Normal 3 7 2 5 3 2" xfId="12519"/>
    <cellStyle name="Note 3 2 5 3 2" xfId="12520"/>
    <cellStyle name="20% - Accent1 2 2 5 3 2" xfId="12521"/>
    <cellStyle name="40% - Accent1 2 2 5 3 2" xfId="12522"/>
    <cellStyle name="60% - Accent1 2 2 5 3 2" xfId="12523"/>
    <cellStyle name="20% - Accent2 2 2 5 3 2" xfId="12524"/>
    <cellStyle name="40% - Accent2 2 2 5 3 2" xfId="12525"/>
    <cellStyle name="60% - Accent2 2 2 5 3 2" xfId="12526"/>
    <cellStyle name="20% - Accent3 2 2 5 3 2" xfId="12527"/>
    <cellStyle name="40% - Accent3 2 2 5 3 2" xfId="12528"/>
    <cellStyle name="60% - Accent3 2 2 5 3 2" xfId="12529"/>
    <cellStyle name="20% - Accent4 2 2 5 3 2" xfId="12530"/>
    <cellStyle name="40% - Accent4 2 2 5 3 2" xfId="12531"/>
    <cellStyle name="60% - Accent4 2 2 5 3 2" xfId="12532"/>
    <cellStyle name="20% - Accent5 2 2 5 3 2" xfId="12533"/>
    <cellStyle name="40% - Accent5 2 2 5 3 2" xfId="12534"/>
    <cellStyle name="60% - Accent5 2 2 5 3 2" xfId="12535"/>
    <cellStyle name="20% - Accent6 2 2 5 3 2" xfId="12536"/>
    <cellStyle name="40% - Accent6 2 2 5 3 2" xfId="12537"/>
    <cellStyle name="60% - Accent6 2 2 5 3 2" xfId="12538"/>
    <cellStyle name="Comma 2 2 2 5 4 2" xfId="12539"/>
    <cellStyle name="Comma 4 2 5 4 2" xfId="12540"/>
    <cellStyle name="Normal 3 8 2 5 3 2" xfId="12541"/>
    <cellStyle name="Normal 8 4 3 2" xfId="12542"/>
    <cellStyle name="Comma 6 4 4 2" xfId="12543"/>
    <cellStyle name="20% - Accent1 4 4 3 2" xfId="12544"/>
    <cellStyle name="40% - Accent1 4 4 3 2" xfId="12545"/>
    <cellStyle name="60% - Accent1 4 4 3 2" xfId="12546"/>
    <cellStyle name="20% - Accent2 4 4 3 2" xfId="12547"/>
    <cellStyle name="40% - Accent2 4 4 3 2" xfId="12548"/>
    <cellStyle name="60% - Accent2 4 4 3 2" xfId="12549"/>
    <cellStyle name="20% - Accent3 4 4 3 2" xfId="12550"/>
    <cellStyle name="40% - Accent3 4 4 3 2" xfId="12551"/>
    <cellStyle name="60% - Accent3 4 4 3 2" xfId="12552"/>
    <cellStyle name="20% - Accent4 4 4 3 2" xfId="12553"/>
    <cellStyle name="40% - Accent4 4 4 3 2" xfId="12554"/>
    <cellStyle name="60% - Accent4 4 4 3 2" xfId="12555"/>
    <cellStyle name="20% - Accent5 4 4 3 2" xfId="12556"/>
    <cellStyle name="40% - Accent5 4 4 3 2" xfId="12557"/>
    <cellStyle name="60% - Accent5 4 4 3 2" xfId="12558"/>
    <cellStyle name="20% - Accent6 4 4 3 2" xfId="12559"/>
    <cellStyle name="40% - Accent6 4 4 3 2" xfId="12560"/>
    <cellStyle name="60% - Accent6 4 4 3 2" xfId="12561"/>
    <cellStyle name="Normal 3 2 4 4 3 2" xfId="12562"/>
    <cellStyle name="Normal 3 3 4 4 3 2" xfId="12563"/>
    <cellStyle name="Normal 3 4 4 4 3 2" xfId="12564"/>
    <cellStyle name="Normal 3 5 4 4 3 2" xfId="12565"/>
    <cellStyle name="Normal 3 2 2 3 4 3 2" xfId="12566"/>
    <cellStyle name="Normal 3 3 2 3 4 3 2" xfId="12567"/>
    <cellStyle name="Normal 3 4 2 3 4 3 2" xfId="12568"/>
    <cellStyle name="Normal 3 5 2 3 4 3 2" xfId="12569"/>
    <cellStyle name="Normal 5 3 4 3 2" xfId="12570"/>
    <cellStyle name="Percent 3 3 4 3 2" xfId="12571"/>
    <cellStyle name="Note 2 3 4 3 2" xfId="12572"/>
    <cellStyle name="Normal 3 6 3 4 3 2" xfId="12573"/>
    <cellStyle name="Comma 2 5 4 4 2" xfId="12574"/>
    <cellStyle name="Comma 3 4 4 4 2" xfId="12575"/>
    <cellStyle name="Percent 4 3 4 3 2" xfId="12576"/>
    <cellStyle name="Normal 3 7 3 4 3 2" xfId="12577"/>
    <cellStyle name="Note 3 3 4 3 2" xfId="12578"/>
    <cellStyle name="20% - Accent1 2 3 4 3 2" xfId="12579"/>
    <cellStyle name="40% - Accent1 2 3 4 3 2" xfId="12580"/>
    <cellStyle name="60% - Accent1 2 3 4 3 2" xfId="12581"/>
    <cellStyle name="20% - Accent2 2 3 4 3 2" xfId="12582"/>
    <cellStyle name="40% - Accent2 2 3 4 3 2" xfId="12583"/>
    <cellStyle name="60% - Accent2 2 3 4 3 2" xfId="12584"/>
    <cellStyle name="20% - Accent3 2 3 4 3 2" xfId="12585"/>
    <cellStyle name="40% - Accent3 2 3 4 3 2" xfId="12586"/>
    <cellStyle name="60% - Accent3 2 3 4 3 2" xfId="12587"/>
    <cellStyle name="20% - Accent4 2 3 4 3 2" xfId="12588"/>
    <cellStyle name="40% - Accent4 2 3 4 3 2" xfId="12589"/>
    <cellStyle name="60% - Accent4 2 3 4 3 2" xfId="12590"/>
    <cellStyle name="20% - Accent5 2 3 4 3 2" xfId="12591"/>
    <cellStyle name="40% - Accent5 2 3 4 3 2" xfId="12592"/>
    <cellStyle name="60% - Accent5 2 3 4 3 2" xfId="12593"/>
    <cellStyle name="20% - Accent6 2 3 4 3 2" xfId="12594"/>
    <cellStyle name="40% - Accent6 2 3 4 3 2" xfId="12595"/>
    <cellStyle name="60% - Accent6 2 3 4 3 2" xfId="12596"/>
    <cellStyle name="Comma 2 2 4 4 4 2" xfId="12597"/>
    <cellStyle name="Comma 4 4 4 4 2" xfId="12598"/>
    <cellStyle name="Normal 3 8 3 4 3 2" xfId="12599"/>
    <cellStyle name="Comma 2 4 4 4 2" xfId="12600"/>
    <cellStyle name="Comma 3 3 4 4 2" xfId="12601"/>
    <cellStyle name="Comma 2 2 3 4 4 2" xfId="12602"/>
    <cellStyle name="Comma 4 3 4 4 2" xfId="12603"/>
    <cellStyle name="Normal 7 2 4 3 2" xfId="12604"/>
    <cellStyle name="Comma 5 2 4 4 2" xfId="12605"/>
    <cellStyle name="20% - Accent1 3 2 4 3 2" xfId="12606"/>
    <cellStyle name="40% - Accent1 3 2 4 3 2" xfId="12607"/>
    <cellStyle name="60% - Accent1 3 2 4 3 2" xfId="12608"/>
    <cellStyle name="20% - Accent2 3 2 4 3 2" xfId="12609"/>
    <cellStyle name="40% - Accent2 3 2 4 3 2" xfId="12610"/>
    <cellStyle name="60% - Accent2 3 2 4 3 2" xfId="12611"/>
    <cellStyle name="20% - Accent3 3 2 4 3 2" xfId="12612"/>
    <cellStyle name="40% - Accent3 3 2 4 3 2" xfId="12613"/>
    <cellStyle name="60% - Accent3 3 2 4 3 2" xfId="12614"/>
    <cellStyle name="20% - Accent4 3 2 4 3 2" xfId="12615"/>
    <cellStyle name="40% - Accent4 3 2 4 3 2" xfId="12616"/>
    <cellStyle name="60% - Accent4 3 2 4 3 2" xfId="12617"/>
    <cellStyle name="20% - Accent5 3 2 4 3 2" xfId="12618"/>
    <cellStyle name="40% - Accent5 3 2 4 3 2" xfId="12619"/>
    <cellStyle name="60% - Accent5 3 2 4 3 2" xfId="12620"/>
    <cellStyle name="20% - Accent6 3 2 4 3 2" xfId="12621"/>
    <cellStyle name="40% - Accent6 3 2 4 3 2" xfId="12622"/>
    <cellStyle name="60% - Accent6 3 2 4 3 2" xfId="12623"/>
    <cellStyle name="Normal 3 2 3 2 4 3 2" xfId="12624"/>
    <cellStyle name="Normal 3 3 3 2 4 3 2" xfId="12625"/>
    <cellStyle name="Normal 3 4 3 2 4 3 2" xfId="12626"/>
    <cellStyle name="Normal 3 5 3 2 4 3 2" xfId="12627"/>
    <cellStyle name="Normal 3 2 2 2 2 4 3 2" xfId="12628"/>
    <cellStyle name="Normal 3 3 2 2 2 4 3 2" xfId="12629"/>
    <cellStyle name="Normal 3 4 2 2 2 4 3 2" xfId="12630"/>
    <cellStyle name="Normal 3 5 2 2 2 4 3 2" xfId="12631"/>
    <cellStyle name="Normal 5 2 2 4 3 2" xfId="12632"/>
    <cellStyle name="Percent 3 2 2 4 3 2" xfId="12633"/>
    <cellStyle name="Note 2 2 2 4 3 2" xfId="12634"/>
    <cellStyle name="Normal 3 6 2 2 4 3 2" xfId="12635"/>
    <cellStyle name="Comma 2 3 2 4 4 2" xfId="12636"/>
    <cellStyle name="Comma 3 2 2 4 4 2" xfId="12637"/>
    <cellStyle name="Percent 4 2 2 4 3 2" xfId="12638"/>
    <cellStyle name="Normal 3 7 2 2 4 3 2" xfId="12639"/>
    <cellStyle name="Note 3 2 2 4 3 2" xfId="12640"/>
    <cellStyle name="20% - Accent1 2 2 2 4 3 2" xfId="12641"/>
    <cellStyle name="40% - Accent1 2 2 2 4 3 2" xfId="12642"/>
    <cellStyle name="60% - Accent1 2 2 2 4 3 2" xfId="12643"/>
    <cellStyle name="20% - Accent2 2 2 2 4 3 2" xfId="12644"/>
    <cellStyle name="40% - Accent2 2 2 2 4 3 2" xfId="12645"/>
    <cellStyle name="60% - Accent2 2 2 2 4 3 2" xfId="12646"/>
    <cellStyle name="20% - Accent3 2 2 2 4 3 2" xfId="12647"/>
    <cellStyle name="40% - Accent3 2 2 2 4 3 2" xfId="12648"/>
    <cellStyle name="60% - Accent3 2 2 2 4 3 2" xfId="12649"/>
    <cellStyle name="20% - Accent4 2 2 2 4 3 2" xfId="12650"/>
    <cellStyle name="40% - Accent4 2 2 2 4 3 2" xfId="12651"/>
    <cellStyle name="60% - Accent4 2 2 2 4 3 2" xfId="12652"/>
    <cellStyle name="20% - Accent5 2 2 2 4 3 2" xfId="12653"/>
    <cellStyle name="40% - Accent5 2 2 2 4 3 2" xfId="12654"/>
    <cellStyle name="60% - Accent5 2 2 2 4 3 2" xfId="12655"/>
    <cellStyle name="20% - Accent6 2 2 2 4 3 2" xfId="12656"/>
    <cellStyle name="40% - Accent6 2 2 2 4 3 2" xfId="12657"/>
    <cellStyle name="60% - Accent6 2 2 2 4 3 2" xfId="12658"/>
    <cellStyle name="Comma 2 2 2 2 4 4 2" xfId="12659"/>
    <cellStyle name="Comma 4 2 2 4 4 2" xfId="12660"/>
    <cellStyle name="Normal 3 8 2 2 4 3 2" xfId="12661"/>
    <cellStyle name="Normal 3 10 4 3 2" xfId="12662"/>
    <cellStyle name="Normal 3 11 4 3 2" xfId="12663"/>
    <cellStyle name="Normal 12 3 2" xfId="12664"/>
    <cellStyle name="Percent 8 3 2" xfId="12665"/>
    <cellStyle name="Note 4 3 2" xfId="12666"/>
    <cellStyle name="20% - Accent1 8 3 2" xfId="12667"/>
    <cellStyle name="40% - Accent1 8 3 2" xfId="12668"/>
    <cellStyle name="60% - Accent1 8 3 2" xfId="12669"/>
    <cellStyle name="20% - Accent2 8 3 2" xfId="12670"/>
    <cellStyle name="40% - Accent2 8 3 2" xfId="12671"/>
    <cellStyle name="60% - Accent2 8 3 2" xfId="12672"/>
    <cellStyle name="20% - Accent3 8 3 2" xfId="12673"/>
    <cellStyle name="40% - Accent3 8 3 2" xfId="12674"/>
    <cellStyle name="60% - Accent3 8 3 2" xfId="12675"/>
    <cellStyle name="20% - Accent4 8 3 2" xfId="12676"/>
    <cellStyle name="40% - Accent4 8 3 2" xfId="12677"/>
    <cellStyle name="60% - Accent4 8 3 2" xfId="12678"/>
    <cellStyle name="20% - Accent5 8 3 2" xfId="12679"/>
    <cellStyle name="40% - Accent5 8 3 2" xfId="12680"/>
    <cellStyle name="60% - Accent5 8 3 2" xfId="12681"/>
    <cellStyle name="20% - Accent6 8 3 2" xfId="12682"/>
    <cellStyle name="40% - Accent6 8 3 2" xfId="12683"/>
    <cellStyle name="60% - Accent6 8 3 2" xfId="12684"/>
    <cellStyle name="Comma 2 9 4 2" xfId="12685"/>
    <cellStyle name="Comma 7 4 2" xfId="12686"/>
    <cellStyle name="Normal 13 5 2" xfId="12687"/>
    <cellStyle name="Comma 8 3 2" xfId="12688"/>
    <cellStyle name="20% - Accent1 9 3 2" xfId="12689"/>
    <cellStyle name="40% - Accent1 9 3 2" xfId="12690"/>
    <cellStyle name="60% - Accent1 9 3 2" xfId="12691"/>
    <cellStyle name="20% - Accent2 9 3 2" xfId="12692"/>
    <cellStyle name="40% - Accent2 9 3 2" xfId="12693"/>
    <cellStyle name="60% - Accent2 9 3 2" xfId="12694"/>
    <cellStyle name="20% - Accent3 9 3 2" xfId="12695"/>
    <cellStyle name="40% - Accent3 9 3 2" xfId="12696"/>
    <cellStyle name="60% - Accent3 9 3 2" xfId="12697"/>
    <cellStyle name="20% - Accent4 9 3 2" xfId="12698"/>
    <cellStyle name="40% - Accent4 9 3 2" xfId="12699"/>
    <cellStyle name="60% - Accent4 9 3 2" xfId="12700"/>
    <cellStyle name="20% - Accent5 9 3 2" xfId="12701"/>
    <cellStyle name="40% - Accent5 9 3 2" xfId="12702"/>
    <cellStyle name="60% - Accent5 9 3 2" xfId="12703"/>
    <cellStyle name="20% - Accent6 9 3 2" xfId="12704"/>
    <cellStyle name="40% - Accent6 9 3 2" xfId="12705"/>
    <cellStyle name="60% - Accent6 9 3 2" xfId="12706"/>
    <cellStyle name="Normal 3 2 8 3 2" xfId="12707"/>
    <cellStyle name="Normal 3 3 8 3 2" xfId="12708"/>
    <cellStyle name="Normal 3 4 8 3 2" xfId="12709"/>
    <cellStyle name="Normal 3 5 8 3 2" xfId="12710"/>
    <cellStyle name="Normal 3 2 2 7 3 2" xfId="12711"/>
    <cellStyle name="Normal 3 3 2 7 3 2" xfId="12712"/>
    <cellStyle name="Normal 3 4 2 7 3 2" xfId="12713"/>
    <cellStyle name="Normal 3 5 2 7 3 2" xfId="12714"/>
    <cellStyle name="Normal 5 7 3 2" xfId="12715"/>
    <cellStyle name="Percent 3 7 3 2" xfId="12716"/>
    <cellStyle name="Note 2 7 3 2" xfId="12717"/>
    <cellStyle name="Normal 3 6 7 3 2" xfId="12718"/>
    <cellStyle name="Comma 2 10 3 2" xfId="12719"/>
    <cellStyle name="Comma 3 9 3 2" xfId="12720"/>
    <cellStyle name="Percent 4 7 3 2" xfId="12721"/>
    <cellStyle name="Normal 3 7 7 3 2" xfId="12722"/>
    <cellStyle name="Note 3 7 3 2" xfId="12723"/>
    <cellStyle name="20% - Accent1 2 7 3 2" xfId="12724"/>
    <cellStyle name="40% - Accent1 2 7 3 2" xfId="12725"/>
    <cellStyle name="60% - Accent1 2 7 3 2" xfId="12726"/>
    <cellStyle name="20% - Accent2 2 7 3 2" xfId="12727"/>
    <cellStyle name="40% - Accent2 2 7 3 2" xfId="12728"/>
    <cellStyle name="60% - Accent2 2 7 3 2" xfId="12729"/>
    <cellStyle name="20% - Accent3 2 7 3 2" xfId="12730"/>
    <cellStyle name="40% - Accent3 2 7 3 2" xfId="12731"/>
    <cellStyle name="60% - Accent3 2 7 3 2" xfId="12732"/>
    <cellStyle name="20% - Accent4 2 7 3 2" xfId="12733"/>
    <cellStyle name="40% - Accent4 2 7 3 2" xfId="12734"/>
    <cellStyle name="60% - Accent4 2 7 3 2" xfId="12735"/>
    <cellStyle name="20% - Accent5 2 7 3 2" xfId="12736"/>
    <cellStyle name="40% - Accent5 2 7 3 2" xfId="12737"/>
    <cellStyle name="60% - Accent5 2 7 3 2" xfId="12738"/>
    <cellStyle name="20% - Accent6 2 7 3 2" xfId="12739"/>
    <cellStyle name="40% - Accent6 2 7 3 2" xfId="12740"/>
    <cellStyle name="60% - Accent6 2 7 3 2" xfId="12741"/>
    <cellStyle name="Comma 2 2 8 3 2" xfId="12742"/>
    <cellStyle name="Comma 4 8 3 2" xfId="12743"/>
    <cellStyle name="Normal 3 8 7 3 2" xfId="12744"/>
    <cellStyle name="Comma 2 4 5 3 2" xfId="12745"/>
    <cellStyle name="Comma 3 3 5 3 2" xfId="12746"/>
    <cellStyle name="Comma 2 2 3 5 3 2" xfId="12747"/>
    <cellStyle name="Comma 4 3 5 3 2" xfId="12748"/>
    <cellStyle name="Normal 7 6 3 2" xfId="12749"/>
    <cellStyle name="Comma 5 6 3 2" xfId="12750"/>
    <cellStyle name="20% - Accent1 3 6 3 2" xfId="12751"/>
    <cellStyle name="40% - Accent1 3 6 3 2" xfId="12752"/>
    <cellStyle name="60% - Accent1 3 6 3 2" xfId="12753"/>
    <cellStyle name="20% - Accent2 3 6 3 2" xfId="12754"/>
    <cellStyle name="40% - Accent2 3 6 3 2" xfId="12755"/>
    <cellStyle name="60% - Accent2 3 6 3 2" xfId="12756"/>
    <cellStyle name="20% - Accent3 3 6 3 2" xfId="12757"/>
    <cellStyle name="40% - Accent3 3 6 3 2" xfId="12758"/>
    <cellStyle name="60% - Accent3 3 6 3 2" xfId="12759"/>
    <cellStyle name="20% - Accent4 3 6 3 2" xfId="12760"/>
    <cellStyle name="40% - Accent4 3 6 3 2" xfId="12761"/>
    <cellStyle name="60% - Accent4 3 6 3 2" xfId="12762"/>
    <cellStyle name="20% - Accent5 3 6 3 2" xfId="12763"/>
    <cellStyle name="40% - Accent5 3 6 3 2" xfId="12764"/>
    <cellStyle name="60% - Accent5 3 6 3 2" xfId="12765"/>
    <cellStyle name="20% - Accent6 3 6 3 2" xfId="12766"/>
    <cellStyle name="40% - Accent6 3 6 3 2" xfId="12767"/>
    <cellStyle name="60% - Accent6 3 6 3 2" xfId="12768"/>
    <cellStyle name="Normal 3 2 3 6 3 2" xfId="12769"/>
    <cellStyle name="Normal 3 3 3 6 3 2" xfId="12770"/>
    <cellStyle name="Normal 3 4 3 6 3 2" xfId="12771"/>
    <cellStyle name="Normal 3 5 3 6 3 2" xfId="12772"/>
    <cellStyle name="Normal 3 2 2 2 6 3 2" xfId="12773"/>
    <cellStyle name="Normal 3 3 2 2 6 3 2" xfId="12774"/>
    <cellStyle name="Normal 3 4 2 2 6 3 2" xfId="12775"/>
    <cellStyle name="Normal 3 5 2 2 6 3 2" xfId="12776"/>
    <cellStyle name="Normal 5 2 6 3 2" xfId="12777"/>
    <cellStyle name="Percent 3 2 6 3 2" xfId="12778"/>
    <cellStyle name="Note 2 2 6 3 2" xfId="12779"/>
    <cellStyle name="Normal 3 6 2 6 3 2" xfId="12780"/>
    <cellStyle name="Comma 2 3 6 3 2" xfId="12781"/>
    <cellStyle name="Comma 3 2 6 3 2" xfId="12782"/>
    <cellStyle name="Percent 4 2 6 3 2" xfId="12783"/>
    <cellStyle name="Normal 3 7 2 6 3 2" xfId="12784"/>
    <cellStyle name="Note 3 2 6 3 2" xfId="12785"/>
    <cellStyle name="20% - Accent1 2 2 6 3 2" xfId="12786"/>
    <cellStyle name="40% - Accent1 2 2 6 3 2" xfId="12787"/>
    <cellStyle name="60% - Accent1 2 2 6 3 2" xfId="12788"/>
    <cellStyle name="20% - Accent2 2 2 6 3 2" xfId="12789"/>
    <cellStyle name="40% - Accent2 2 2 6 3 2" xfId="12790"/>
    <cellStyle name="60% - Accent2 2 2 6 3 2" xfId="12791"/>
    <cellStyle name="20% - Accent3 2 2 6 3 2" xfId="12792"/>
    <cellStyle name="40% - Accent3 2 2 6 3 2" xfId="12793"/>
    <cellStyle name="60% - Accent3 2 2 6 3 2" xfId="12794"/>
    <cellStyle name="20% - Accent4 2 2 6 3 2" xfId="12795"/>
    <cellStyle name="40% - Accent4 2 2 6 3 2" xfId="12796"/>
    <cellStyle name="60% - Accent4 2 2 6 3 2" xfId="12797"/>
    <cellStyle name="20% - Accent5 2 2 6 3 2" xfId="12798"/>
    <cellStyle name="40% - Accent5 2 2 6 3 2" xfId="12799"/>
    <cellStyle name="60% - Accent5 2 2 6 3 2" xfId="12800"/>
    <cellStyle name="20% - Accent6 2 2 6 3 2" xfId="12801"/>
    <cellStyle name="40% - Accent6 2 2 6 3 2" xfId="12802"/>
    <cellStyle name="60% - Accent6 2 2 6 3 2" xfId="12803"/>
    <cellStyle name="Comma 2 2 2 6 3 2" xfId="12804"/>
    <cellStyle name="Comma 4 2 6 3 2" xfId="12805"/>
    <cellStyle name="Normal 3 8 2 6 3 2" xfId="12806"/>
    <cellStyle name="20% - Accent1 10 2 2" xfId="12807"/>
    <cellStyle name="40% - Accent1 10 2 2" xfId="12808"/>
    <cellStyle name="60% - Accent1 10 2 2" xfId="12809"/>
    <cellStyle name="20% - Accent2 10 2 2" xfId="12810"/>
    <cellStyle name="40% - Accent2 10 2 2" xfId="12811"/>
    <cellStyle name="60% - Accent2 10 2 2" xfId="12812"/>
    <cellStyle name="20% - Accent3 10 2 2" xfId="12813"/>
    <cellStyle name="40% - Accent3 10 2 2" xfId="12814"/>
    <cellStyle name="60% - Accent3 10 2 2" xfId="12815"/>
    <cellStyle name="20% - Accent4 10 2 2" xfId="12816"/>
    <cellStyle name="40% - Accent4 10 2 2" xfId="12817"/>
    <cellStyle name="60% - Accent4 10 2 2" xfId="12818"/>
    <cellStyle name="20% - Accent5 10 2 2" xfId="12819"/>
    <cellStyle name="40% - Accent5 10 2 2" xfId="12820"/>
    <cellStyle name="60% - Accent5 10 2 2" xfId="12821"/>
    <cellStyle name="20% - Accent6 10 2 2" xfId="12822"/>
    <cellStyle name="40% - Accent6 10 2 2" xfId="12823"/>
    <cellStyle name="60% - Accent6 10 2 2" xfId="12824"/>
    <cellStyle name="Normal 3 2 9 2 2" xfId="12825"/>
    <cellStyle name="Normal 3 3 9 2 2" xfId="12826"/>
    <cellStyle name="Normal 3 4 9 2 2" xfId="12827"/>
    <cellStyle name="Normal 3 5 9 2 2" xfId="12828"/>
    <cellStyle name="Normal 3 2 2 8 2 2" xfId="12829"/>
    <cellStyle name="Normal 3 3 2 8 2 2" xfId="12830"/>
    <cellStyle name="Normal 3 4 2 8 2 2" xfId="12831"/>
    <cellStyle name="Normal 3 5 2 8 2 2" xfId="12832"/>
    <cellStyle name="Normal 5 8 2 2" xfId="12833"/>
    <cellStyle name="Percent 3 8 2 2" xfId="12834"/>
    <cellStyle name="Note 2 8 2 2" xfId="12835"/>
    <cellStyle name="Normal 3 6 8 2 2" xfId="12836"/>
    <cellStyle name="Comma 2 12 2 2" xfId="12837"/>
    <cellStyle name="Comma 3 11 2 2" xfId="12838"/>
    <cellStyle name="Percent 4 8 2 2" xfId="12839"/>
    <cellStyle name="Normal 3 7 8 2 2" xfId="12840"/>
    <cellStyle name="Note 3 8 2 2" xfId="12841"/>
    <cellStyle name="20% - Accent1 2 8 2 2" xfId="12842"/>
    <cellStyle name="40% - Accent1 2 8 2 2" xfId="12843"/>
    <cellStyle name="60% - Accent1 2 8 2 2" xfId="12844"/>
    <cellStyle name="20% - Accent2 2 8 2 2" xfId="12845"/>
    <cellStyle name="40% - Accent2 2 8 2 2" xfId="12846"/>
    <cellStyle name="60% - Accent2 2 8 2 2" xfId="12847"/>
    <cellStyle name="20% - Accent3 2 8 2 2" xfId="12848"/>
    <cellStyle name="40% - Accent3 2 8 2 2" xfId="12849"/>
    <cellStyle name="60% - Accent3 2 8 2 2" xfId="12850"/>
    <cellStyle name="20% - Accent4 2 8 2 2" xfId="12851"/>
    <cellStyle name="40% - Accent4 2 8 2 2" xfId="12852"/>
    <cellStyle name="60% - Accent4 2 8 2 2" xfId="12853"/>
    <cellStyle name="20% - Accent5 2 8 2 2" xfId="12854"/>
    <cellStyle name="40% - Accent5 2 8 2 2" xfId="12855"/>
    <cellStyle name="60% - Accent5 2 8 2 2" xfId="12856"/>
    <cellStyle name="20% - Accent6 2 8 2 2" xfId="12857"/>
    <cellStyle name="40% - Accent6 2 8 2 2" xfId="12858"/>
    <cellStyle name="60% - Accent6 2 8 2 2" xfId="12859"/>
    <cellStyle name="Comma 2 2 10 2 2" xfId="12860"/>
    <cellStyle name="Comma 4 10 2 2" xfId="12861"/>
    <cellStyle name="Normal 3 8 8 2 2" xfId="12862"/>
    <cellStyle name="Normal 7 7 2 2" xfId="12863"/>
    <cellStyle name="Comma 5 8 2 2" xfId="12864"/>
    <cellStyle name="20% - Accent1 3 7 2 2" xfId="12865"/>
    <cellStyle name="40% - Accent1 3 7 2 2" xfId="12866"/>
    <cellStyle name="60% - Accent1 3 7 2 2" xfId="12867"/>
    <cellStyle name="20% - Accent2 3 7 2 2" xfId="12868"/>
    <cellStyle name="40% - Accent2 3 7 2 2" xfId="12869"/>
    <cellStyle name="60% - Accent2 3 7 2 2" xfId="12870"/>
    <cellStyle name="20% - Accent3 3 7 2 2" xfId="12871"/>
    <cellStyle name="40% - Accent3 3 7 2 2" xfId="12872"/>
    <cellStyle name="60% - Accent3 3 7 2 2" xfId="12873"/>
    <cellStyle name="20% - Accent4 3 7 2 2" xfId="12874"/>
    <cellStyle name="40% - Accent4 3 7 2 2" xfId="12875"/>
    <cellStyle name="60% - Accent4 3 7 2 2" xfId="12876"/>
    <cellStyle name="20% - Accent5 3 7 2 2" xfId="12877"/>
    <cellStyle name="40% - Accent5 3 7 2 2" xfId="12878"/>
    <cellStyle name="60% - Accent5 3 7 2 2" xfId="12879"/>
    <cellStyle name="20% - Accent6 3 7 2 2" xfId="12880"/>
    <cellStyle name="40% - Accent6 3 7 2 2" xfId="12881"/>
    <cellStyle name="60% - Accent6 3 7 2 2" xfId="12882"/>
    <cellStyle name="Normal 3 2 3 7 2 2" xfId="12883"/>
    <cellStyle name="Normal 3 3 3 7 2 2" xfId="12884"/>
    <cellStyle name="Normal 3 4 3 7 2 2" xfId="12885"/>
    <cellStyle name="Normal 3 5 3 7 2 2" xfId="12886"/>
    <cellStyle name="Normal 3 2 2 2 7 2 2" xfId="12887"/>
    <cellStyle name="Normal 3 3 2 2 7 2 2" xfId="12888"/>
    <cellStyle name="Normal 3 4 2 2 7 2 2" xfId="12889"/>
    <cellStyle name="Normal 3 5 2 2 7 2 2" xfId="12890"/>
    <cellStyle name="Normal 5 2 7 2 2" xfId="12891"/>
    <cellStyle name="Percent 3 2 7 2 2" xfId="12892"/>
    <cellStyle name="Note 2 2 7 2 2" xfId="12893"/>
    <cellStyle name="Normal 3 6 2 7 2 2" xfId="12894"/>
    <cellStyle name="Comma 2 3 8 2 2" xfId="12895"/>
    <cellStyle name="Comma 3 2 8 2 2" xfId="12896"/>
    <cellStyle name="Percent 4 2 7 2 2" xfId="12897"/>
    <cellStyle name="Normal 3 7 2 7 2 2" xfId="12898"/>
    <cellStyle name="Note 3 2 7 2 2" xfId="12899"/>
    <cellStyle name="20% - Accent1 2 2 7 2 2" xfId="12900"/>
    <cellStyle name="40% - Accent1 2 2 7 2 2" xfId="12901"/>
    <cellStyle name="60% - Accent1 2 2 7 2 2" xfId="12902"/>
    <cellStyle name="20% - Accent2 2 2 7 2 2" xfId="12903"/>
    <cellStyle name="40% - Accent2 2 2 7 2 2" xfId="12904"/>
    <cellStyle name="60% - Accent2 2 2 7 2 2" xfId="12905"/>
    <cellStyle name="20% - Accent3 2 2 7 2 2" xfId="12906"/>
    <cellStyle name="40% - Accent3 2 2 7 2 2" xfId="12907"/>
    <cellStyle name="60% - Accent3 2 2 7 2 2" xfId="12908"/>
    <cellStyle name="20% - Accent4 2 2 7 2 2" xfId="12909"/>
    <cellStyle name="40% - Accent4 2 2 7 2 2" xfId="12910"/>
    <cellStyle name="60% - Accent4 2 2 7 2 2" xfId="12911"/>
    <cellStyle name="20% - Accent5 2 2 7 2 2" xfId="12912"/>
    <cellStyle name="40% - Accent5 2 2 7 2 2" xfId="12913"/>
    <cellStyle name="60% - Accent5 2 2 7 2 2" xfId="12914"/>
    <cellStyle name="20% - Accent6 2 2 7 2 2" xfId="12915"/>
    <cellStyle name="40% - Accent6 2 2 7 2 2" xfId="12916"/>
    <cellStyle name="60% - Accent6 2 2 7 2 2" xfId="12917"/>
    <cellStyle name="Comma 2 2 2 8 2 2" xfId="12918"/>
    <cellStyle name="Comma 4 2 8 2 2" xfId="12919"/>
    <cellStyle name="Normal 3 8 2 7 2 2" xfId="12920"/>
    <cellStyle name="Normal 8 5 2 2" xfId="12921"/>
    <cellStyle name="Comma 6 6 2 2" xfId="12922"/>
    <cellStyle name="20% - Accent1 4 5 2 2" xfId="12923"/>
    <cellStyle name="40% - Accent1 4 5 2 2" xfId="12924"/>
    <cellStyle name="60% - Accent1 4 5 2 2" xfId="12925"/>
    <cellStyle name="20% - Accent2 4 5 2 2" xfId="12926"/>
    <cellStyle name="40% - Accent2 4 5 2 2" xfId="12927"/>
    <cellStyle name="60% - Accent2 4 5 2 2" xfId="12928"/>
    <cellStyle name="20% - Accent3 4 5 2 2" xfId="12929"/>
    <cellStyle name="40% - Accent3 4 5 2 2" xfId="12930"/>
    <cellStyle name="60% - Accent3 4 5 2 2" xfId="12931"/>
    <cellStyle name="20% - Accent4 4 5 2 2" xfId="12932"/>
    <cellStyle name="40% - Accent4 4 5 2 2" xfId="12933"/>
    <cellStyle name="60% - Accent4 4 5 2 2" xfId="12934"/>
    <cellStyle name="20% - Accent5 4 5 2 2" xfId="12935"/>
    <cellStyle name="40% - Accent5 4 5 2 2" xfId="12936"/>
    <cellStyle name="60% - Accent5 4 5 2 2" xfId="12937"/>
    <cellStyle name="20% - Accent6 4 5 2 2" xfId="12938"/>
    <cellStyle name="40% - Accent6 4 5 2 2" xfId="12939"/>
    <cellStyle name="60% - Accent6 4 5 2 2" xfId="12940"/>
    <cellStyle name="Normal 3 2 4 5 2 2" xfId="12941"/>
    <cellStyle name="Normal 3 3 4 5 2 2" xfId="12942"/>
    <cellStyle name="Normal 3 4 4 5 2 2" xfId="12943"/>
    <cellStyle name="Normal 3 5 4 5 2 2" xfId="12944"/>
    <cellStyle name="Normal 3 2 2 3 5 2 2" xfId="12945"/>
    <cellStyle name="Normal 3 3 2 3 5 2 2" xfId="12946"/>
    <cellStyle name="Normal 3 4 2 3 5 2 2" xfId="12947"/>
    <cellStyle name="Normal 3 5 2 3 5 2 2" xfId="12948"/>
    <cellStyle name="Normal 5 3 5 2 2" xfId="12949"/>
    <cellStyle name="Percent 3 3 5 2 2" xfId="12950"/>
    <cellStyle name="Note 2 3 5 2 2" xfId="12951"/>
    <cellStyle name="Normal 3 6 3 5 2 2" xfId="12952"/>
    <cellStyle name="Comma 2 5 6 2 2" xfId="12953"/>
    <cellStyle name="Comma 3 4 6 2 2" xfId="12954"/>
    <cellStyle name="Percent 4 3 5 2 2" xfId="12955"/>
    <cellStyle name="Normal 3 7 3 5 2 2" xfId="12956"/>
    <cellStyle name="Note 3 3 5 2 2" xfId="12957"/>
    <cellStyle name="20% - Accent1 2 3 5 2 2" xfId="12958"/>
    <cellStyle name="40% - Accent1 2 3 5 2 2" xfId="12959"/>
    <cellStyle name="60% - Accent1 2 3 5 2 2" xfId="12960"/>
    <cellStyle name="20% - Accent2 2 3 5 2 2" xfId="12961"/>
    <cellStyle name="40% - Accent2 2 3 5 2 2" xfId="12962"/>
    <cellStyle name="60% - Accent2 2 3 5 2 2" xfId="12963"/>
    <cellStyle name="20% - Accent3 2 3 5 2 2" xfId="12964"/>
    <cellStyle name="40% - Accent3 2 3 5 2 2" xfId="12965"/>
    <cellStyle name="60% - Accent3 2 3 5 2 2" xfId="12966"/>
    <cellStyle name="20% - Accent4 2 3 5 2 2" xfId="12967"/>
    <cellStyle name="40% - Accent4 2 3 5 2 2" xfId="12968"/>
    <cellStyle name="60% - Accent4 2 3 5 2 2" xfId="12969"/>
    <cellStyle name="20% - Accent5 2 3 5 2 2" xfId="12970"/>
    <cellStyle name="40% - Accent5 2 3 5 2 2" xfId="12971"/>
    <cellStyle name="60% - Accent5 2 3 5 2 2" xfId="12972"/>
    <cellStyle name="20% - Accent6 2 3 5 2 2" xfId="12973"/>
    <cellStyle name="40% - Accent6 2 3 5 2 2" xfId="12974"/>
    <cellStyle name="60% - Accent6 2 3 5 2 2" xfId="12975"/>
    <cellStyle name="Comma 2 2 4 6 2 2" xfId="12976"/>
    <cellStyle name="Comma 4 4 6 2 2" xfId="12977"/>
    <cellStyle name="Normal 3 8 3 5 2 2" xfId="12978"/>
    <cellStyle name="Comma 2 4 7 2 2" xfId="12979"/>
    <cellStyle name="Comma 3 3 7 2 2" xfId="12980"/>
    <cellStyle name="Comma 2 2 3 7 2 2" xfId="12981"/>
    <cellStyle name="Comma 4 3 7 2 2" xfId="12982"/>
    <cellStyle name="Normal 7 2 5 2 2" xfId="12983"/>
    <cellStyle name="Comma 5 2 6 2 2" xfId="12984"/>
    <cellStyle name="20% - Accent1 3 2 5 2 2" xfId="12985"/>
    <cellStyle name="40% - Accent1 3 2 5 2 2" xfId="12986"/>
    <cellStyle name="60% - Accent1 3 2 5 2 2" xfId="12987"/>
    <cellStyle name="20% - Accent2 3 2 5 2 2" xfId="12988"/>
    <cellStyle name="40% - Accent2 3 2 5 2 2" xfId="12989"/>
    <cellStyle name="60% - Accent2 3 2 5 2 2" xfId="12990"/>
    <cellStyle name="20% - Accent3 3 2 5 2 2" xfId="12991"/>
    <cellStyle name="40% - Accent3 3 2 5 2 2" xfId="12992"/>
    <cellStyle name="60% - Accent3 3 2 5 2 2" xfId="12993"/>
    <cellStyle name="20% - Accent4 3 2 5 2 2" xfId="12994"/>
    <cellStyle name="40% - Accent4 3 2 5 2 2" xfId="12995"/>
    <cellStyle name="60% - Accent4 3 2 5 2 2" xfId="12996"/>
    <cellStyle name="20% - Accent5 3 2 5 2 2" xfId="12997"/>
    <cellStyle name="40% - Accent5 3 2 5 2 2" xfId="12998"/>
    <cellStyle name="60% - Accent5 3 2 5 2 2" xfId="12999"/>
    <cellStyle name="20% - Accent6 3 2 5 2 2" xfId="13000"/>
    <cellStyle name="40% - Accent6 3 2 5 2 2" xfId="13001"/>
    <cellStyle name="60% - Accent6 3 2 5 2 2" xfId="13002"/>
    <cellStyle name="Normal 3 2 3 2 5 2 2" xfId="13003"/>
    <cellStyle name="Normal 3 3 3 2 5 2 2" xfId="13004"/>
    <cellStyle name="Normal 3 4 3 2 5 2 2" xfId="13005"/>
    <cellStyle name="Normal 3 5 3 2 5 2 2" xfId="13006"/>
    <cellStyle name="Normal 3 2 2 2 2 5 2 2" xfId="13007"/>
    <cellStyle name="Normal 3 3 2 2 2 5 2 2" xfId="13008"/>
    <cellStyle name="Normal 3 4 2 2 2 5 2 2" xfId="13009"/>
    <cellStyle name="Normal 3 5 2 2 2 5 2 2" xfId="13010"/>
    <cellStyle name="Normal 5 2 2 5 2 2" xfId="13011"/>
    <cellStyle name="Percent 3 2 2 5 2 2" xfId="13012"/>
    <cellStyle name="Note 2 2 2 5 2 2" xfId="13013"/>
    <cellStyle name="Normal 3 6 2 2 5 2 2" xfId="13014"/>
    <cellStyle name="Comma 2 3 2 6 2 2" xfId="13015"/>
    <cellStyle name="Comma 3 2 2 6 2 2" xfId="13016"/>
    <cellStyle name="Percent 4 2 2 5 2 2" xfId="13017"/>
    <cellStyle name="Normal 3 7 2 2 5 2 2" xfId="13018"/>
    <cellStyle name="Note 3 2 2 5 2 2" xfId="13019"/>
    <cellStyle name="20% - Accent1 2 2 2 5 2 2" xfId="13020"/>
    <cellStyle name="40% - Accent1 2 2 2 5 2 2" xfId="13021"/>
    <cellStyle name="60% - Accent1 2 2 2 5 2 2" xfId="13022"/>
    <cellStyle name="20% - Accent2 2 2 2 5 2 2" xfId="13023"/>
    <cellStyle name="40% - Accent2 2 2 2 5 2 2" xfId="13024"/>
    <cellStyle name="60% - Accent2 2 2 2 5 2 2" xfId="13025"/>
    <cellStyle name="20% - Accent3 2 2 2 5 2 2" xfId="13026"/>
    <cellStyle name="40% - Accent3 2 2 2 5 2 2" xfId="13027"/>
    <cellStyle name="60% - Accent3 2 2 2 5 2 2" xfId="13028"/>
    <cellStyle name="20% - Accent4 2 2 2 5 2 2" xfId="13029"/>
    <cellStyle name="40% - Accent4 2 2 2 5 2 2" xfId="13030"/>
    <cellStyle name="60% - Accent4 2 2 2 5 2 2" xfId="13031"/>
    <cellStyle name="20% - Accent5 2 2 2 5 2 2" xfId="13032"/>
    <cellStyle name="40% - Accent5 2 2 2 5 2 2" xfId="13033"/>
    <cellStyle name="60% - Accent5 2 2 2 5 2 2" xfId="13034"/>
    <cellStyle name="20% - Accent6 2 2 2 5 2 2" xfId="13035"/>
    <cellStyle name="40% - Accent6 2 2 2 5 2 2" xfId="13036"/>
    <cellStyle name="60% - Accent6 2 2 2 5 2 2" xfId="13037"/>
    <cellStyle name="Comma 2 2 2 2 6 2 2" xfId="13038"/>
    <cellStyle name="Comma 4 2 2 6 2 2" xfId="13039"/>
    <cellStyle name="Normal 3 8 2 2 5 2 2" xfId="13040"/>
    <cellStyle name="Normal 3 10 5 2 2" xfId="13041"/>
    <cellStyle name="Normal 3 11 5 2 2" xfId="13042"/>
    <cellStyle name="Normal 3 12 3 2 2" xfId="13043"/>
    <cellStyle name="Normal 3 2 5 3 2 2" xfId="13044"/>
    <cellStyle name="Normal 3 3 5 3 2 2" xfId="13045"/>
    <cellStyle name="Normal 3 4 5 3 2 2" xfId="13046"/>
    <cellStyle name="Normal 3 5 5 3 2 2" xfId="13047"/>
    <cellStyle name="20% - Accent1 5 3 2 2" xfId="13048"/>
    <cellStyle name="40% - Accent1 5 3 2 2" xfId="13049"/>
    <cellStyle name="60% - Accent1 5 3 2 2" xfId="13050"/>
    <cellStyle name="20% - Accent2 5 3 2 2" xfId="13051"/>
    <cellStyle name="40% - Accent2 5 3 2 2" xfId="13052"/>
    <cellStyle name="60% - Accent2 5 3 2 2" xfId="13053"/>
    <cellStyle name="20% - Accent3 5 3 2 2" xfId="13054"/>
    <cellStyle name="40% - Accent3 5 3 2 2" xfId="13055"/>
    <cellStyle name="60% - Accent3 5 3 2 2" xfId="13056"/>
    <cellStyle name="20% - Accent4 5 3 2 2" xfId="13057"/>
    <cellStyle name="40% - Accent4 5 3 2 2" xfId="13058"/>
    <cellStyle name="60% - Accent4 5 3 2 2" xfId="13059"/>
    <cellStyle name="20% - Accent5 5 3 2 2" xfId="13060"/>
    <cellStyle name="40% - Accent5 5 3 2 2" xfId="13061"/>
    <cellStyle name="60% - Accent5 5 3 2 2" xfId="13062"/>
    <cellStyle name="20% - Accent6 5 3 2 2" xfId="13063"/>
    <cellStyle name="40% - Accent6 5 3 2 2" xfId="13064"/>
    <cellStyle name="60% - Accent6 5 3 2 2" xfId="13065"/>
    <cellStyle name="Normal 3 2 2 4 3 2 2" xfId="13066"/>
    <cellStyle name="Normal 3 3 2 4 3 2 2" xfId="13067"/>
    <cellStyle name="Normal 3 4 2 4 3 2 2" xfId="13068"/>
    <cellStyle name="Normal 3 5 2 4 3 2 2" xfId="13069"/>
    <cellStyle name="Normal 5 4 3 2 2" xfId="13070"/>
    <cellStyle name="Percent 3 4 3 2 2" xfId="13071"/>
    <cellStyle name="Note 2 4 3 2 2" xfId="13072"/>
    <cellStyle name="Normal 3 6 4 3 2 2" xfId="13073"/>
    <cellStyle name="Comma 2 6 4 2 2" xfId="13074"/>
    <cellStyle name="Comma 3 5 4 2 2" xfId="13075"/>
    <cellStyle name="Percent 4 4 3 2 2" xfId="13076"/>
    <cellStyle name="Normal 3 7 4 3 2 2" xfId="13077"/>
    <cellStyle name="Note 3 4 3 2 2" xfId="13078"/>
    <cellStyle name="20% - Accent1 2 4 3 2 2" xfId="13079"/>
    <cellStyle name="40% - Accent1 2 4 3 2 2" xfId="13080"/>
    <cellStyle name="60% - Accent1 2 4 3 2 2" xfId="13081"/>
    <cellStyle name="20% - Accent2 2 4 3 2 2" xfId="13082"/>
    <cellStyle name="40% - Accent2 2 4 3 2 2" xfId="13083"/>
    <cellStyle name="60% - Accent2 2 4 3 2 2" xfId="13084"/>
    <cellStyle name="20% - Accent3 2 4 3 2 2" xfId="13085"/>
    <cellStyle name="40% - Accent3 2 4 3 2 2" xfId="13086"/>
    <cellStyle name="60% - Accent3 2 4 3 2 2" xfId="13087"/>
    <cellStyle name="20% - Accent4 2 4 3 2 2" xfId="13088"/>
    <cellStyle name="40% - Accent4 2 4 3 2 2" xfId="13089"/>
    <cellStyle name="60% - Accent4 2 4 3 2 2" xfId="13090"/>
    <cellStyle name="20% - Accent5 2 4 3 2 2" xfId="13091"/>
    <cellStyle name="40% - Accent5 2 4 3 2 2" xfId="13092"/>
    <cellStyle name="60% - Accent5 2 4 3 2 2" xfId="13093"/>
    <cellStyle name="20% - Accent6 2 4 3 2 2" xfId="13094"/>
    <cellStyle name="40% - Accent6 2 4 3 2 2" xfId="13095"/>
    <cellStyle name="60% - Accent6 2 4 3 2 2" xfId="13096"/>
    <cellStyle name="Comma 2 2 5 4 2 2" xfId="13097"/>
    <cellStyle name="Comma 4 5 4 2 2" xfId="13098"/>
    <cellStyle name="Normal 3 8 4 3 2 2" xfId="13099"/>
    <cellStyle name="Normal 7 3 3 2 2" xfId="13100"/>
    <cellStyle name="Comma 5 3 4 2 2" xfId="13101"/>
    <cellStyle name="20% - Accent1 3 3 3 2 2" xfId="13102"/>
    <cellStyle name="40% - Accent1 3 3 3 2 2" xfId="13103"/>
    <cellStyle name="60% - Accent1 3 3 3 2 2" xfId="13104"/>
    <cellStyle name="20% - Accent2 3 3 3 2 2" xfId="13105"/>
    <cellStyle name="40% - Accent2 3 3 3 2 2" xfId="13106"/>
    <cellStyle name="60% - Accent2 3 3 3 2 2" xfId="13107"/>
    <cellStyle name="20% - Accent3 3 3 3 2 2" xfId="13108"/>
    <cellStyle name="40% - Accent3 3 3 3 2 2" xfId="13109"/>
    <cellStyle name="60% - Accent3 3 3 3 2 2" xfId="13110"/>
    <cellStyle name="20% - Accent4 3 3 3 2 2" xfId="13111"/>
    <cellStyle name="40% - Accent4 3 3 3 2 2" xfId="13112"/>
    <cellStyle name="60% - Accent4 3 3 3 2 2" xfId="13113"/>
    <cellStyle name="20% - Accent5 3 3 3 2 2" xfId="13114"/>
    <cellStyle name="40% - Accent5 3 3 3 2 2" xfId="13115"/>
    <cellStyle name="60% - Accent5 3 3 3 2 2" xfId="13116"/>
    <cellStyle name="20% - Accent6 3 3 3 2 2" xfId="13117"/>
    <cellStyle name="40% - Accent6 3 3 3 2 2" xfId="13118"/>
    <cellStyle name="60% - Accent6 3 3 3 2 2" xfId="13119"/>
    <cellStyle name="Normal 3 2 3 3 3 2 2" xfId="13120"/>
    <cellStyle name="Normal 3 3 3 3 3 2 2" xfId="13121"/>
    <cellStyle name="Normal 3 4 3 3 3 2 2" xfId="13122"/>
    <cellStyle name="Normal 3 5 3 3 3 2 2" xfId="13123"/>
    <cellStyle name="Normal 3 2 2 2 3 3 2 2" xfId="13124"/>
    <cellStyle name="Normal 3 3 2 2 3 3 2 2" xfId="13125"/>
    <cellStyle name="Normal 3 4 2 2 3 3 2 2" xfId="13126"/>
    <cellStyle name="Normal 3 5 2 2 3 3 2 2" xfId="13127"/>
    <cellStyle name="Normal 5 2 3 3 2 2" xfId="13128"/>
    <cellStyle name="Percent 3 2 3 3 2 2" xfId="13129"/>
    <cellStyle name="Note 2 2 3 3 2 2" xfId="13130"/>
    <cellStyle name="Normal 3 6 2 3 3 2 2" xfId="13131"/>
    <cellStyle name="Comma 2 3 3 4 2 2" xfId="13132"/>
    <cellStyle name="Comma 3 2 3 4 2 2" xfId="13133"/>
    <cellStyle name="Percent 4 2 3 3 2 2" xfId="13134"/>
    <cellStyle name="Normal 3 7 2 3 3 2 2" xfId="13135"/>
    <cellStyle name="Note 3 2 3 3 2 2" xfId="13136"/>
    <cellStyle name="20% - Accent1 2 2 3 3 2 2" xfId="13137"/>
    <cellStyle name="40% - Accent1 2 2 3 3 2 2" xfId="13138"/>
    <cellStyle name="60% - Accent1 2 2 3 3 2 2" xfId="13139"/>
    <cellStyle name="20% - Accent2 2 2 3 3 2 2" xfId="13140"/>
    <cellStyle name="40% - Accent2 2 2 3 3 2 2" xfId="13141"/>
    <cellStyle name="60% - Accent2 2 2 3 3 2 2" xfId="13142"/>
    <cellStyle name="20% - Accent3 2 2 3 3 2 2" xfId="13143"/>
    <cellStyle name="40% - Accent3 2 2 3 3 2 2" xfId="13144"/>
    <cellStyle name="60% - Accent3 2 2 3 3 2 2" xfId="13145"/>
    <cellStyle name="20% - Accent4 2 2 3 3 2 2" xfId="13146"/>
    <cellStyle name="40% - Accent4 2 2 3 3 2 2" xfId="13147"/>
    <cellStyle name="60% - Accent4 2 2 3 3 2 2" xfId="13148"/>
    <cellStyle name="20% - Accent5 2 2 3 3 2 2" xfId="13149"/>
    <cellStyle name="40% - Accent5 2 2 3 3 2 2" xfId="13150"/>
    <cellStyle name="60% - Accent5 2 2 3 3 2 2" xfId="13151"/>
    <cellStyle name="20% - Accent6 2 2 3 3 2 2" xfId="13152"/>
    <cellStyle name="40% - Accent6 2 2 3 3 2 2" xfId="13153"/>
    <cellStyle name="60% - Accent6 2 2 3 3 2 2" xfId="13154"/>
    <cellStyle name="Comma 2 2 2 3 4 2 2" xfId="13155"/>
    <cellStyle name="Comma 4 2 3 4 2 2" xfId="13156"/>
    <cellStyle name="Normal 3 8 2 3 3 2 2" xfId="13157"/>
    <cellStyle name="Normal 8 2 3 2 2" xfId="13158"/>
    <cellStyle name="Comma 6 2 4 2 2" xfId="13159"/>
    <cellStyle name="20% - Accent1 4 2 3 2 2" xfId="13160"/>
    <cellStyle name="40% - Accent1 4 2 3 2 2" xfId="13161"/>
    <cellStyle name="60% - Accent1 4 2 3 2 2" xfId="13162"/>
    <cellStyle name="20% - Accent2 4 2 3 2 2" xfId="13163"/>
    <cellStyle name="40% - Accent2 4 2 3 2 2" xfId="13164"/>
    <cellStyle name="60% - Accent2 4 2 3 2 2" xfId="13165"/>
    <cellStyle name="20% - Accent3 4 2 3 2 2" xfId="13166"/>
    <cellStyle name="40% - Accent3 4 2 3 2 2" xfId="13167"/>
    <cellStyle name="60% - Accent3 4 2 3 2 2" xfId="13168"/>
    <cellStyle name="20% - Accent4 4 2 3 2 2" xfId="13169"/>
    <cellStyle name="40% - Accent4 4 2 3 2 2" xfId="13170"/>
    <cellStyle name="60% - Accent4 4 2 3 2 2" xfId="13171"/>
    <cellStyle name="20% - Accent5 4 2 3 2 2" xfId="13172"/>
    <cellStyle name="40% - Accent5 4 2 3 2 2" xfId="13173"/>
    <cellStyle name="60% - Accent5 4 2 3 2 2" xfId="13174"/>
    <cellStyle name="20% - Accent6 4 2 3 2 2" xfId="13175"/>
    <cellStyle name="40% - Accent6 4 2 3 2 2" xfId="13176"/>
    <cellStyle name="60% - Accent6 4 2 3 2 2" xfId="13177"/>
    <cellStyle name="Normal 3 2 4 2 3 2 2" xfId="13178"/>
    <cellStyle name="Normal 3 3 4 2 3 2 2" xfId="13179"/>
    <cellStyle name="Normal 3 4 4 2 3 2 2" xfId="13180"/>
    <cellStyle name="Normal 3 5 4 2 3 2 2" xfId="13181"/>
    <cellStyle name="Normal 3 2 2 3 2 3 2 2" xfId="13182"/>
    <cellStyle name="Normal 3 3 2 3 2 3 2 2" xfId="13183"/>
    <cellStyle name="Normal 3 4 2 3 2 3 2 2" xfId="13184"/>
    <cellStyle name="Normal 3 5 2 3 2 3 2 2" xfId="13185"/>
    <cellStyle name="Normal 5 3 2 3 2 2" xfId="13186"/>
    <cellStyle name="Percent 3 3 2 3 2 2" xfId="13187"/>
    <cellStyle name="Note 2 3 2 3 2 2" xfId="13188"/>
    <cellStyle name="Normal 3 6 3 2 3 2 2" xfId="13189"/>
    <cellStyle name="Comma 2 5 2 4 2 2" xfId="13190"/>
    <cellStyle name="Comma 3 4 2 4 2 2" xfId="13191"/>
    <cellStyle name="Percent 4 3 2 3 2 2" xfId="13192"/>
    <cellStyle name="Normal 3 7 3 2 3 2 2" xfId="13193"/>
    <cellStyle name="Note 3 3 2 3 2 2" xfId="13194"/>
    <cellStyle name="20% - Accent1 2 3 2 3 2 2" xfId="13195"/>
    <cellStyle name="40% - Accent1 2 3 2 3 2 2" xfId="13196"/>
    <cellStyle name="60% - Accent1 2 3 2 3 2 2" xfId="13197"/>
    <cellStyle name="20% - Accent2 2 3 2 3 2 2" xfId="13198"/>
    <cellStyle name="40% - Accent2 2 3 2 3 2 2" xfId="13199"/>
    <cellStyle name="60% - Accent2 2 3 2 3 2 2" xfId="13200"/>
    <cellStyle name="20% - Accent3 2 3 2 3 2 2" xfId="13201"/>
    <cellStyle name="40% - Accent3 2 3 2 3 2 2" xfId="13202"/>
    <cellStyle name="60% - Accent3 2 3 2 3 2 2" xfId="13203"/>
    <cellStyle name="20% - Accent4 2 3 2 3 2 2" xfId="13204"/>
    <cellStyle name="40% - Accent4 2 3 2 3 2 2" xfId="13205"/>
    <cellStyle name="60% - Accent4 2 3 2 3 2 2" xfId="13206"/>
    <cellStyle name="20% - Accent5 2 3 2 3 2 2" xfId="13207"/>
    <cellStyle name="40% - Accent5 2 3 2 3 2 2" xfId="13208"/>
    <cellStyle name="60% - Accent5 2 3 2 3 2 2" xfId="13209"/>
    <cellStyle name="20% - Accent6 2 3 2 3 2 2" xfId="13210"/>
    <cellStyle name="40% - Accent6 2 3 2 3 2 2" xfId="13211"/>
    <cellStyle name="60% - Accent6 2 3 2 3 2 2" xfId="13212"/>
    <cellStyle name="Comma 2 2 4 2 4 2 2" xfId="13213"/>
    <cellStyle name="Comma 4 4 2 4 2 2" xfId="13214"/>
    <cellStyle name="Normal 3 8 3 2 3 2 2" xfId="13215"/>
    <cellStyle name="Comma 2 4 2 4 2 2" xfId="13216"/>
    <cellStyle name="Comma 3 3 2 4 2 2" xfId="13217"/>
    <cellStyle name="Comma 2 2 3 2 4 2 2" xfId="13218"/>
    <cellStyle name="Comma 4 3 2 4 2 2" xfId="13219"/>
    <cellStyle name="Normal 7 2 2 3 2 2" xfId="13220"/>
    <cellStyle name="Comma 5 2 2 4 2 2" xfId="13221"/>
    <cellStyle name="20% - Accent1 3 2 2 3 2 2" xfId="13222"/>
    <cellStyle name="40% - Accent1 3 2 2 3 2 2" xfId="13223"/>
    <cellStyle name="60% - Accent1 3 2 2 3 2 2" xfId="13224"/>
    <cellStyle name="20% - Accent2 3 2 2 3 2 2" xfId="13225"/>
    <cellStyle name="40% - Accent2 3 2 2 3 2 2" xfId="13226"/>
    <cellStyle name="60% - Accent2 3 2 2 3 2 2" xfId="13227"/>
    <cellStyle name="20% - Accent3 3 2 2 3 2 2" xfId="13228"/>
    <cellStyle name="40% - Accent3 3 2 2 3 2 2" xfId="13229"/>
    <cellStyle name="60% - Accent3 3 2 2 3 2 2" xfId="13230"/>
    <cellStyle name="20% - Accent4 3 2 2 3 2 2" xfId="13231"/>
    <cellStyle name="40% - Accent4 3 2 2 3 2 2" xfId="13232"/>
    <cellStyle name="60% - Accent4 3 2 2 3 2 2" xfId="13233"/>
    <cellStyle name="20% - Accent5 3 2 2 3 2 2" xfId="13234"/>
    <cellStyle name="40% - Accent5 3 2 2 3 2 2" xfId="13235"/>
    <cellStyle name="60% - Accent5 3 2 2 3 2 2" xfId="13236"/>
    <cellStyle name="20% - Accent6 3 2 2 3 2 2" xfId="13237"/>
    <cellStyle name="40% - Accent6 3 2 2 3 2 2" xfId="13238"/>
    <cellStyle name="60% - Accent6 3 2 2 3 2 2" xfId="13239"/>
    <cellStyle name="Normal 3 2 3 2 2 3 2 2" xfId="13240"/>
    <cellStyle name="Normal 3 3 3 2 2 3 2 2" xfId="13241"/>
    <cellStyle name="Normal 3 4 3 2 2 3 2 2" xfId="13242"/>
    <cellStyle name="Normal 3 5 3 2 2 3 2 2" xfId="13243"/>
    <cellStyle name="Normal 3 2 2 2 2 2 3 2 2" xfId="13244"/>
    <cellStyle name="Normal 3 3 2 2 2 2 3 2 2" xfId="13245"/>
    <cellStyle name="Normal 3 4 2 2 2 2 3 2 2" xfId="13246"/>
    <cellStyle name="Normal 3 5 2 2 2 2 3 2 2" xfId="13247"/>
    <cellStyle name="Normal 5 2 2 2 3 2 2" xfId="13248"/>
    <cellStyle name="Percent 3 2 2 2 3 2 2" xfId="13249"/>
    <cellStyle name="Note 2 2 2 2 3 2 2" xfId="13250"/>
    <cellStyle name="Normal 3 6 2 2 2 3 2 2" xfId="13251"/>
    <cellStyle name="Comma 2 3 2 2 4 2 2" xfId="13252"/>
    <cellStyle name="Comma 3 2 2 2 4 2 2" xfId="13253"/>
    <cellStyle name="Percent 4 2 2 2 3 2 2" xfId="13254"/>
    <cellStyle name="Normal 3 7 2 2 2 3 2 2" xfId="13255"/>
    <cellStyle name="Note 3 2 2 2 3 2 2" xfId="13256"/>
    <cellStyle name="20% - Accent1 2 2 2 2 3 2 2" xfId="13257"/>
    <cellStyle name="40% - Accent1 2 2 2 2 3 2 2" xfId="13258"/>
    <cellStyle name="60% - Accent1 2 2 2 2 3 2 2" xfId="13259"/>
    <cellStyle name="20% - Accent2 2 2 2 2 3 2 2" xfId="13260"/>
    <cellStyle name="40% - Accent2 2 2 2 2 3 2 2" xfId="13261"/>
    <cellStyle name="60% - Accent2 2 2 2 2 3 2 2" xfId="13262"/>
    <cellStyle name="20% - Accent3 2 2 2 2 3 2 2" xfId="13263"/>
    <cellStyle name="40% - Accent3 2 2 2 2 3 2 2" xfId="13264"/>
    <cellStyle name="60% - Accent3 2 2 2 2 3 2 2" xfId="13265"/>
    <cellStyle name="20% - Accent4 2 2 2 2 3 2 2" xfId="13266"/>
    <cellStyle name="40% - Accent4 2 2 2 2 3 2 2" xfId="13267"/>
    <cellStyle name="60% - Accent4 2 2 2 2 3 2 2" xfId="13268"/>
    <cellStyle name="20% - Accent5 2 2 2 2 3 2 2" xfId="13269"/>
    <cellStyle name="40% - Accent5 2 2 2 2 3 2 2" xfId="13270"/>
    <cellStyle name="60% - Accent5 2 2 2 2 3 2 2" xfId="13271"/>
    <cellStyle name="20% - Accent6 2 2 2 2 3 2 2" xfId="13272"/>
    <cellStyle name="40% - Accent6 2 2 2 2 3 2 2" xfId="13273"/>
    <cellStyle name="60% - Accent6 2 2 2 2 3 2 2" xfId="13274"/>
    <cellStyle name="Comma 2 2 2 2 2 4 2 2" xfId="13275"/>
    <cellStyle name="Comma 4 2 2 2 4 2 2" xfId="13276"/>
    <cellStyle name="Normal 3 8 2 2 2 3 2 2" xfId="13277"/>
    <cellStyle name="Normal 3 10 2 3 2 2" xfId="13278"/>
    <cellStyle name="Normal 3 11 2 3 2 2" xfId="13279"/>
    <cellStyle name="Normal 3 2 6 2 2 2" xfId="13280"/>
    <cellStyle name="Normal 3 3 6 2 2 2" xfId="13281"/>
    <cellStyle name="Normal 3 4 6 2 2 2" xfId="13282"/>
    <cellStyle name="Normal 3 5 6 2 2 2" xfId="13283"/>
    <cellStyle name="20% - Accent1 6 2 2 2" xfId="13284"/>
    <cellStyle name="40% - Accent1 6 2 2 2" xfId="13285"/>
    <cellStyle name="60% - Accent1 6 2 2 2" xfId="13286"/>
    <cellStyle name="20% - Accent2 6 2 2 2" xfId="13287"/>
    <cellStyle name="40% - Accent2 6 2 2 2" xfId="13288"/>
    <cellStyle name="60% - Accent2 6 2 2 2" xfId="13289"/>
    <cellStyle name="20% - Accent3 6 2 2 2" xfId="13290"/>
    <cellStyle name="40% - Accent3 6 2 2 2" xfId="13291"/>
    <cellStyle name="60% - Accent3 6 2 2 2" xfId="13292"/>
    <cellStyle name="20% - Accent4 6 2 2 2" xfId="13293"/>
    <cellStyle name="40% - Accent4 6 2 2 2" xfId="13294"/>
    <cellStyle name="60% - Accent4 6 2 2 2" xfId="13295"/>
    <cellStyle name="20% - Accent5 6 2 2 2" xfId="13296"/>
    <cellStyle name="40% - Accent5 6 2 2 2" xfId="13297"/>
    <cellStyle name="60% - Accent5 6 2 2 2" xfId="13298"/>
    <cellStyle name="20% - Accent6 6 2 2 2" xfId="13299"/>
    <cellStyle name="40% - Accent6 6 2 2 2" xfId="13300"/>
    <cellStyle name="60% - Accent6 6 2 2 2" xfId="13301"/>
    <cellStyle name="Normal 3 2 2 5 2 2 2" xfId="13302"/>
    <cellStyle name="Normal 3 3 2 5 2 2 2" xfId="13303"/>
    <cellStyle name="Normal 3 4 2 5 2 2 2" xfId="13304"/>
    <cellStyle name="Normal 3 5 2 5 2 2 2" xfId="13305"/>
    <cellStyle name="Normal 5 5 2 2 2" xfId="13306"/>
    <cellStyle name="Percent 3 5 2 2 2" xfId="13307"/>
    <cellStyle name="Note 2 5 2 2 2" xfId="13308"/>
    <cellStyle name="Normal 3 6 5 2 2 2" xfId="13309"/>
    <cellStyle name="Comma 2 7 3 2 2" xfId="13310"/>
    <cellStyle name="Comma 3 7 3 2 2" xfId="13311"/>
    <cellStyle name="Percent 4 5 2 2 2" xfId="13312"/>
    <cellStyle name="Normal 3 7 5 2 2 2" xfId="13313"/>
    <cellStyle name="Note 3 5 2 2 2" xfId="13314"/>
    <cellStyle name="20% - Accent1 2 5 2 2 2" xfId="13315"/>
    <cellStyle name="40% - Accent1 2 5 2 2 2" xfId="13316"/>
    <cellStyle name="60% - Accent1 2 5 2 2 2" xfId="13317"/>
    <cellStyle name="20% - Accent2 2 5 2 2 2" xfId="13318"/>
    <cellStyle name="40% - Accent2 2 5 2 2 2" xfId="13319"/>
    <cellStyle name="60% - Accent2 2 5 2 2 2" xfId="13320"/>
    <cellStyle name="20% - Accent3 2 5 2 2 2" xfId="13321"/>
    <cellStyle name="40% - Accent3 2 5 2 2 2" xfId="13322"/>
    <cellStyle name="60% - Accent3 2 5 2 2 2" xfId="13323"/>
    <cellStyle name="20% - Accent4 2 5 2 2 2" xfId="13324"/>
    <cellStyle name="40% - Accent4 2 5 2 2 2" xfId="13325"/>
    <cellStyle name="60% - Accent4 2 5 2 2 2" xfId="13326"/>
    <cellStyle name="20% - Accent5 2 5 2 2 2" xfId="13327"/>
    <cellStyle name="40% - Accent5 2 5 2 2 2" xfId="13328"/>
    <cellStyle name="60% - Accent5 2 5 2 2 2" xfId="13329"/>
    <cellStyle name="20% - Accent6 2 5 2 2 2" xfId="13330"/>
    <cellStyle name="40% - Accent6 2 5 2 2 2" xfId="13331"/>
    <cellStyle name="60% - Accent6 2 5 2 2 2" xfId="13332"/>
    <cellStyle name="Comma 2 2 6 3 2 2" xfId="13333"/>
    <cellStyle name="Comma 4 6 3 2 2" xfId="13334"/>
    <cellStyle name="Normal 3 8 5 2 2 2" xfId="13335"/>
    <cellStyle name="Normal 7 4 2 2 2" xfId="13336"/>
    <cellStyle name="Comma 5 4 3 2 2" xfId="13337"/>
    <cellStyle name="20% - Accent1 3 4 2 2 2" xfId="13338"/>
    <cellStyle name="40% - Accent1 3 4 2 2 2" xfId="13339"/>
    <cellStyle name="60% - Accent1 3 4 2 2 2" xfId="13340"/>
    <cellStyle name="20% - Accent2 3 4 2 2 2" xfId="13341"/>
    <cellStyle name="40% - Accent2 3 4 2 2 2" xfId="13342"/>
    <cellStyle name="60% - Accent2 3 4 2 2 2" xfId="13343"/>
    <cellStyle name="20% - Accent3 3 4 2 2 2" xfId="13344"/>
    <cellStyle name="40% - Accent3 3 4 2 2 2" xfId="13345"/>
    <cellStyle name="60% - Accent3 3 4 2 2 2" xfId="13346"/>
    <cellStyle name="20% - Accent4 3 4 2 2 2" xfId="13347"/>
    <cellStyle name="40% - Accent4 3 4 2 2 2" xfId="13348"/>
    <cellStyle name="60% - Accent4 3 4 2 2 2" xfId="13349"/>
    <cellStyle name="20% - Accent5 3 4 2 2 2" xfId="13350"/>
    <cellStyle name="40% - Accent5 3 4 2 2 2" xfId="13351"/>
    <cellStyle name="60% - Accent5 3 4 2 2 2" xfId="13352"/>
    <cellStyle name="20% - Accent6 3 4 2 2 2" xfId="13353"/>
    <cellStyle name="40% - Accent6 3 4 2 2 2" xfId="13354"/>
    <cellStyle name="60% - Accent6 3 4 2 2 2" xfId="13355"/>
    <cellStyle name="Normal 3 2 3 4 2 2 2" xfId="13356"/>
    <cellStyle name="Normal 3 3 3 4 2 2 2" xfId="13357"/>
    <cellStyle name="Normal 3 4 3 4 2 2 2" xfId="13358"/>
    <cellStyle name="Normal 3 5 3 4 2 2 2" xfId="13359"/>
    <cellStyle name="Normal 3 2 2 2 4 2 2 2" xfId="13360"/>
    <cellStyle name="Normal 3 3 2 2 4 2 2 2" xfId="13361"/>
    <cellStyle name="Normal 3 4 2 2 4 2 2 2" xfId="13362"/>
    <cellStyle name="Normal 3 5 2 2 4 2 2 2" xfId="13363"/>
    <cellStyle name="Normal 5 2 4 2 2 2" xfId="13364"/>
    <cellStyle name="Percent 3 2 4 2 2 2" xfId="13365"/>
    <cellStyle name="Note 2 2 4 2 2 2" xfId="13366"/>
    <cellStyle name="Normal 3 6 2 4 2 2 2" xfId="13367"/>
    <cellStyle name="Comma 2 3 4 3 2 2" xfId="13368"/>
    <cellStyle name="Comma 3 2 4 3 2 2" xfId="13369"/>
    <cellStyle name="Percent 4 2 4 2 2 2" xfId="13370"/>
    <cellStyle name="Normal 3 7 2 4 2 2 2" xfId="13371"/>
    <cellStyle name="Note 3 2 4 2 2 2" xfId="13372"/>
    <cellStyle name="20% - Accent1 2 2 4 2 2 2" xfId="13373"/>
    <cellStyle name="40% - Accent1 2 2 4 2 2 2" xfId="13374"/>
    <cellStyle name="60% - Accent1 2 2 4 2 2 2" xfId="13375"/>
    <cellStyle name="20% - Accent2 2 2 4 2 2 2" xfId="13376"/>
    <cellStyle name="40% - Accent2 2 2 4 2 2 2" xfId="13377"/>
    <cellStyle name="60% - Accent2 2 2 4 2 2 2" xfId="13378"/>
    <cellStyle name="20% - Accent3 2 2 4 2 2 2" xfId="13379"/>
    <cellStyle name="40% - Accent3 2 2 4 2 2 2" xfId="13380"/>
    <cellStyle name="60% - Accent3 2 2 4 2 2 2" xfId="13381"/>
    <cellStyle name="20% - Accent4 2 2 4 2 2 2" xfId="13382"/>
    <cellStyle name="40% - Accent4 2 2 4 2 2 2" xfId="13383"/>
    <cellStyle name="60% - Accent4 2 2 4 2 2 2" xfId="13384"/>
    <cellStyle name="20% - Accent5 2 2 4 2 2 2" xfId="13385"/>
    <cellStyle name="40% - Accent5 2 2 4 2 2 2" xfId="13386"/>
    <cellStyle name="60% - Accent5 2 2 4 2 2 2" xfId="13387"/>
    <cellStyle name="20% - Accent6 2 2 4 2 2 2" xfId="13388"/>
    <cellStyle name="40% - Accent6 2 2 4 2 2 2" xfId="13389"/>
    <cellStyle name="60% - Accent6 2 2 4 2 2 2" xfId="13390"/>
    <cellStyle name="Comma 2 2 2 4 3 2 2" xfId="13391"/>
    <cellStyle name="Comma 4 2 4 3 2 2" xfId="13392"/>
    <cellStyle name="Normal 3 8 2 4 2 2 2" xfId="13393"/>
    <cellStyle name="Normal 8 3 2 2 2" xfId="13394"/>
    <cellStyle name="Comma 6 3 3 2 2" xfId="13395"/>
    <cellStyle name="20% - Accent1 4 3 2 2 2" xfId="13396"/>
    <cellStyle name="40% - Accent1 4 3 2 2 2" xfId="13397"/>
    <cellStyle name="60% - Accent1 4 3 2 2 2" xfId="13398"/>
    <cellStyle name="20% - Accent2 4 3 2 2 2" xfId="13399"/>
    <cellStyle name="40% - Accent2 4 3 2 2 2" xfId="13400"/>
    <cellStyle name="60% - Accent2 4 3 2 2 2" xfId="13401"/>
    <cellStyle name="20% - Accent3 4 3 2 2 2" xfId="13402"/>
    <cellStyle name="40% - Accent3 4 3 2 2 2" xfId="13403"/>
    <cellStyle name="60% - Accent3 4 3 2 2 2" xfId="13404"/>
    <cellStyle name="20% - Accent4 4 3 2 2 2" xfId="13405"/>
    <cellStyle name="40% - Accent4 4 3 2 2 2" xfId="13406"/>
    <cellStyle name="60% - Accent4 4 3 2 2 2" xfId="13407"/>
    <cellStyle name="20% - Accent5 4 3 2 2 2" xfId="13408"/>
    <cellStyle name="40% - Accent5 4 3 2 2 2" xfId="13409"/>
    <cellStyle name="60% - Accent5 4 3 2 2 2" xfId="13410"/>
    <cellStyle name="20% - Accent6 4 3 2 2 2" xfId="13411"/>
    <cellStyle name="40% - Accent6 4 3 2 2 2" xfId="13412"/>
    <cellStyle name="60% - Accent6 4 3 2 2 2" xfId="13413"/>
    <cellStyle name="Normal 3 2 4 3 2 2 2" xfId="13414"/>
    <cellStyle name="Normal 3 3 4 3 2 2 2" xfId="13415"/>
    <cellStyle name="Normal 3 4 4 3 2 2 2" xfId="13416"/>
    <cellStyle name="Normal 3 5 4 3 2 2 2" xfId="13417"/>
    <cellStyle name="Normal 3 2 2 3 3 2 2 2" xfId="13418"/>
    <cellStyle name="Normal 3 3 2 3 3 2 2 2" xfId="13419"/>
    <cellStyle name="Normal 3 4 2 3 3 2 2 2" xfId="13420"/>
    <cellStyle name="Normal 3 5 2 3 3 2 2 2" xfId="13421"/>
    <cellStyle name="Normal 5 3 3 2 2 2" xfId="13422"/>
    <cellStyle name="Percent 3 3 3 2 2 2" xfId="13423"/>
    <cellStyle name="Note 2 3 3 2 2 2" xfId="13424"/>
    <cellStyle name="Normal 3 6 3 3 2 2 2" xfId="13425"/>
    <cellStyle name="Comma 2 5 3 3 2 2" xfId="13426"/>
    <cellStyle name="Comma 3 4 3 3 2 2" xfId="13427"/>
    <cellStyle name="Percent 4 3 3 2 2 2" xfId="13428"/>
    <cellStyle name="Normal 3 7 3 3 2 2 2" xfId="13429"/>
    <cellStyle name="Note 3 3 3 2 2 2" xfId="13430"/>
    <cellStyle name="20% - Accent1 2 3 3 2 2 2" xfId="13431"/>
    <cellStyle name="40% - Accent1 2 3 3 2 2 2" xfId="13432"/>
    <cellStyle name="60% - Accent1 2 3 3 2 2 2" xfId="13433"/>
    <cellStyle name="20% - Accent2 2 3 3 2 2 2" xfId="13434"/>
    <cellStyle name="40% - Accent2 2 3 3 2 2 2" xfId="13435"/>
    <cellStyle name="60% - Accent2 2 3 3 2 2 2" xfId="13436"/>
    <cellStyle name="20% - Accent3 2 3 3 2 2 2" xfId="13437"/>
    <cellStyle name="40% - Accent3 2 3 3 2 2 2" xfId="13438"/>
    <cellStyle name="60% - Accent3 2 3 3 2 2 2" xfId="13439"/>
    <cellStyle name="20% - Accent4 2 3 3 2 2 2" xfId="13440"/>
    <cellStyle name="40% - Accent4 2 3 3 2 2 2" xfId="13441"/>
    <cellStyle name="60% - Accent4 2 3 3 2 2 2" xfId="13442"/>
    <cellStyle name="20% - Accent5 2 3 3 2 2 2" xfId="13443"/>
    <cellStyle name="40% - Accent5 2 3 3 2 2 2" xfId="13444"/>
    <cellStyle name="60% - Accent5 2 3 3 2 2 2" xfId="13445"/>
    <cellStyle name="20% - Accent6 2 3 3 2 2 2" xfId="13446"/>
    <cellStyle name="40% - Accent6 2 3 3 2 2 2" xfId="13447"/>
    <cellStyle name="60% - Accent6 2 3 3 2 2 2" xfId="13448"/>
    <cellStyle name="Comma 2 2 4 3 3 2 2" xfId="13449"/>
    <cellStyle name="Comma 4 4 3 3 2 2" xfId="13450"/>
    <cellStyle name="Normal 3 8 3 3 2 2 2" xfId="13451"/>
    <cellStyle name="Comma 2 4 3 3 2 2" xfId="13452"/>
    <cellStyle name="Comma 3 3 3 3 2 2" xfId="13453"/>
    <cellStyle name="Comma 2 2 3 3 3 2 2" xfId="13454"/>
    <cellStyle name="Comma 4 3 3 3 2 2" xfId="13455"/>
    <cellStyle name="Normal 7 2 3 2 2 2" xfId="13456"/>
    <cellStyle name="Comma 5 2 3 3 2 2" xfId="13457"/>
    <cellStyle name="20% - Accent1 3 2 3 2 2 2" xfId="13458"/>
    <cellStyle name="40% - Accent1 3 2 3 2 2 2" xfId="13459"/>
    <cellStyle name="60% - Accent1 3 2 3 2 2 2" xfId="13460"/>
    <cellStyle name="20% - Accent2 3 2 3 2 2 2" xfId="13461"/>
    <cellStyle name="40% - Accent2 3 2 3 2 2 2" xfId="13462"/>
    <cellStyle name="60% - Accent2 3 2 3 2 2 2" xfId="13463"/>
    <cellStyle name="20% - Accent3 3 2 3 2 2 2" xfId="13464"/>
    <cellStyle name="40% - Accent3 3 2 3 2 2 2" xfId="13465"/>
    <cellStyle name="60% - Accent3 3 2 3 2 2 2" xfId="13466"/>
    <cellStyle name="20% - Accent4 3 2 3 2 2 2" xfId="13467"/>
    <cellStyle name="40% - Accent4 3 2 3 2 2 2" xfId="13468"/>
    <cellStyle name="60% - Accent4 3 2 3 2 2 2" xfId="13469"/>
    <cellStyle name="20% - Accent5 3 2 3 2 2 2" xfId="13470"/>
    <cellStyle name="40% - Accent5 3 2 3 2 2 2" xfId="13471"/>
    <cellStyle name="60% - Accent5 3 2 3 2 2 2" xfId="13472"/>
    <cellStyle name="20% - Accent6 3 2 3 2 2 2" xfId="13473"/>
    <cellStyle name="40% - Accent6 3 2 3 2 2 2" xfId="13474"/>
    <cellStyle name="60% - Accent6 3 2 3 2 2 2" xfId="13475"/>
    <cellStyle name="Normal 3 2 3 2 3 2 2 2" xfId="13476"/>
    <cellStyle name="Normal 3 3 3 2 3 2 2 2" xfId="13477"/>
    <cellStyle name="Normal 3 4 3 2 3 2 2 2" xfId="13478"/>
    <cellStyle name="Normal 3 5 3 2 3 2 2 2" xfId="13479"/>
    <cellStyle name="Normal 3 2 2 2 2 3 2 2 2" xfId="13480"/>
    <cellStyle name="Normal 3 3 2 2 2 3 2 2 2" xfId="13481"/>
    <cellStyle name="Normal 3 4 2 2 2 3 2 2 2" xfId="13482"/>
    <cellStyle name="Normal 3 5 2 2 2 3 2 2 2" xfId="13483"/>
    <cellStyle name="Normal 5 2 2 3 2 2 2" xfId="13484"/>
    <cellStyle name="Percent 3 2 2 3 2 2 2" xfId="13485"/>
    <cellStyle name="Note 2 2 2 3 2 2 2" xfId="13486"/>
    <cellStyle name="Normal 3 6 2 2 3 2 2 2" xfId="13487"/>
    <cellStyle name="Comma 2 3 2 3 3 2 2" xfId="13488"/>
    <cellStyle name="Comma 3 2 2 3 3 2 2" xfId="13489"/>
    <cellStyle name="Percent 4 2 2 3 2 2 2" xfId="13490"/>
    <cellStyle name="Normal 3 7 2 2 3 2 2 2" xfId="13491"/>
    <cellStyle name="Note 3 2 2 3 2 2 2" xfId="13492"/>
    <cellStyle name="20% - Accent1 2 2 2 3 2 2 2" xfId="13493"/>
    <cellStyle name="40% - Accent1 2 2 2 3 2 2 2" xfId="13494"/>
    <cellStyle name="60% - Accent1 2 2 2 3 2 2 2" xfId="13495"/>
    <cellStyle name="20% - Accent2 2 2 2 3 2 2 2" xfId="13496"/>
    <cellStyle name="40% - Accent2 2 2 2 3 2 2 2" xfId="13497"/>
    <cellStyle name="60% - Accent2 2 2 2 3 2 2 2" xfId="13498"/>
    <cellStyle name="20% - Accent3 2 2 2 3 2 2 2" xfId="13499"/>
    <cellStyle name="40% - Accent3 2 2 2 3 2 2 2" xfId="13500"/>
    <cellStyle name="60% - Accent3 2 2 2 3 2 2 2" xfId="13501"/>
    <cellStyle name="20% - Accent4 2 2 2 3 2 2 2" xfId="13502"/>
    <cellStyle name="40% - Accent4 2 2 2 3 2 2 2" xfId="13503"/>
    <cellStyle name="60% - Accent4 2 2 2 3 2 2 2" xfId="13504"/>
    <cellStyle name="20% - Accent5 2 2 2 3 2 2 2" xfId="13505"/>
    <cellStyle name="40% - Accent5 2 2 2 3 2 2 2" xfId="13506"/>
    <cellStyle name="60% - Accent5 2 2 2 3 2 2 2" xfId="13507"/>
    <cellStyle name="20% - Accent6 2 2 2 3 2 2 2" xfId="13508"/>
    <cellStyle name="40% - Accent6 2 2 2 3 2 2 2" xfId="13509"/>
    <cellStyle name="60% - Accent6 2 2 2 3 2 2 2" xfId="13510"/>
    <cellStyle name="Comma 2 2 2 2 3 3 2 2" xfId="13511"/>
    <cellStyle name="Comma 4 2 2 3 3 2 2" xfId="13512"/>
    <cellStyle name="Normal 3 8 2 2 3 2 2 2" xfId="13513"/>
    <cellStyle name="Normal 3 10 3 2 2 2" xfId="13514"/>
    <cellStyle name="Normal 3 11 3 2 2 2" xfId="13515"/>
    <cellStyle name="Normal 5 4 2 2 2 2" xfId="13516"/>
    <cellStyle name="Normal 7 3 2 2 2 2" xfId="13517"/>
    <cellStyle name="Normal 3 2 2 2 3 2 2 2 2" xfId="13518"/>
    <cellStyle name="Normal 8 2 2 2 2 2" xfId="13519"/>
    <cellStyle name="Normal 3 2 2 2 2 2 2 2 2 2" xfId="13520"/>
    <cellStyle name="Comma 3 6 3 2 2" xfId="13521"/>
    <cellStyle name="Normal 3 6 4 2 2 2 2" xfId="13522"/>
    <cellStyle name="Normal 3 12 2 2 2 2" xfId="13523"/>
    <cellStyle name="Normal 3 2 5 2 2 2 2" xfId="13524"/>
    <cellStyle name="Normal 3 3 5 2 2 2 2" xfId="13525"/>
    <cellStyle name="Normal 3 4 5 2 2 2 2" xfId="13526"/>
    <cellStyle name="Normal 3 5 5 2 2 2 2" xfId="13527"/>
    <cellStyle name="20% - Accent1 5 2 2 2 2" xfId="13528"/>
    <cellStyle name="40% - Accent1 5 2 2 2 2" xfId="13529"/>
    <cellStyle name="60% - Accent1 5 2 2 2 2" xfId="13530"/>
    <cellStyle name="20% - Accent2 5 2 2 2 2" xfId="13531"/>
    <cellStyle name="40% - Accent2 5 2 2 2 2" xfId="13532"/>
    <cellStyle name="60% - Accent2 5 2 2 2 2" xfId="13533"/>
    <cellStyle name="20% - Accent3 5 2 2 2 2" xfId="13534"/>
    <cellStyle name="40% - Accent3 5 2 2 2 2" xfId="13535"/>
    <cellStyle name="60% - Accent3 5 2 2 2 2" xfId="13536"/>
    <cellStyle name="20% - Accent4 5 2 2 2 2" xfId="13537"/>
    <cellStyle name="40% - Accent4 5 2 2 2 2" xfId="13538"/>
    <cellStyle name="60% - Accent4 5 2 2 2 2" xfId="13539"/>
    <cellStyle name="20% - Accent5 5 2 2 2 2" xfId="13540"/>
    <cellStyle name="40% - Accent5 5 2 2 2 2" xfId="13541"/>
    <cellStyle name="60% - Accent5 5 2 2 2 2" xfId="13542"/>
    <cellStyle name="20% - Accent6 5 2 2 2 2" xfId="13543"/>
    <cellStyle name="40% - Accent6 5 2 2 2 2" xfId="13544"/>
    <cellStyle name="60% - Accent6 5 2 2 2 2" xfId="13545"/>
    <cellStyle name="Normal 3 2 2 4 2 2 2 2" xfId="13546"/>
    <cellStyle name="Normal 3 3 2 4 2 2 2 2" xfId="13547"/>
    <cellStyle name="Normal 3 4 2 4 2 2 2 2" xfId="13548"/>
    <cellStyle name="Normal 3 5 2 4 2 2 2 2" xfId="13549"/>
    <cellStyle name="Percent 3 4 2 2 2 2" xfId="13550"/>
    <cellStyle name="Note 2 4 2 2 2 2" xfId="13551"/>
    <cellStyle name="Comma 2 6 2 3 2 2" xfId="13552"/>
    <cellStyle name="Comma 3 5 2 3 2 2" xfId="13553"/>
    <cellStyle name="Percent 4 4 2 2 2 2" xfId="13554"/>
    <cellStyle name="Normal 3 7 4 2 2 2 2" xfId="13555"/>
    <cellStyle name="Note 3 4 2 2 2 2" xfId="13556"/>
    <cellStyle name="20% - Accent1 2 4 2 2 2 2" xfId="13557"/>
    <cellStyle name="40% - Accent1 2 4 2 2 2 2" xfId="13558"/>
    <cellStyle name="60% - Accent1 2 4 2 2 2 2" xfId="13559"/>
    <cellStyle name="20% - Accent2 2 4 2 2 2 2" xfId="13560"/>
    <cellStyle name="40% - Accent2 2 4 2 2 2 2" xfId="13561"/>
    <cellStyle name="60% - Accent2 2 4 2 2 2 2" xfId="13562"/>
    <cellStyle name="20% - Accent3 2 4 2 2 2 2" xfId="13563"/>
    <cellStyle name="40% - Accent3 2 4 2 2 2 2" xfId="13564"/>
    <cellStyle name="60% - Accent3 2 4 2 2 2 2" xfId="13565"/>
    <cellStyle name="20% - Accent4 2 4 2 2 2 2" xfId="13566"/>
    <cellStyle name="40% - Accent4 2 4 2 2 2 2" xfId="13567"/>
    <cellStyle name="60% - Accent4 2 4 2 2 2 2" xfId="13568"/>
    <cellStyle name="20% - Accent5 2 4 2 2 2 2" xfId="13569"/>
    <cellStyle name="40% - Accent5 2 4 2 2 2 2" xfId="13570"/>
    <cellStyle name="60% - Accent5 2 4 2 2 2 2" xfId="13571"/>
    <cellStyle name="20% - Accent6 2 4 2 2 2 2" xfId="13572"/>
    <cellStyle name="40% - Accent6 2 4 2 2 2 2" xfId="13573"/>
    <cellStyle name="60% - Accent6 2 4 2 2 2 2" xfId="13574"/>
    <cellStyle name="Comma 2 2 5 2 3 2 2" xfId="13575"/>
    <cellStyle name="Comma 4 5 2 3 2 2" xfId="13576"/>
    <cellStyle name="Normal 3 8 4 2 2 2 2" xfId="13577"/>
    <cellStyle name="Comma 5 3 2 3 2 2" xfId="13578"/>
    <cellStyle name="20% - Accent1 3 3 2 2 2 2" xfId="13579"/>
    <cellStyle name="40% - Accent1 3 3 2 2 2 2" xfId="13580"/>
    <cellStyle name="60% - Accent1 3 3 2 2 2 2" xfId="13581"/>
    <cellStyle name="20% - Accent2 3 3 2 2 2 2" xfId="13582"/>
    <cellStyle name="40% - Accent2 3 3 2 2 2 2" xfId="13583"/>
    <cellStyle name="60% - Accent2 3 3 2 2 2 2" xfId="13584"/>
    <cellStyle name="20% - Accent3 3 3 2 2 2 2" xfId="13585"/>
    <cellStyle name="40% - Accent3 3 3 2 2 2 2" xfId="13586"/>
    <cellStyle name="60% - Accent3 3 3 2 2 2 2" xfId="13587"/>
    <cellStyle name="20% - Accent4 3 3 2 2 2 2" xfId="13588"/>
    <cellStyle name="40% - Accent4 3 3 2 2 2 2" xfId="13589"/>
    <cellStyle name="60% - Accent4 3 3 2 2 2 2" xfId="13590"/>
    <cellStyle name="20% - Accent5 3 3 2 2 2 2" xfId="13591"/>
    <cellStyle name="40% - Accent5 3 3 2 2 2 2" xfId="13592"/>
    <cellStyle name="60% - Accent5 3 3 2 2 2 2" xfId="13593"/>
    <cellStyle name="20% - Accent6 3 3 2 2 2 2" xfId="13594"/>
    <cellStyle name="40% - Accent6 3 3 2 2 2 2" xfId="13595"/>
    <cellStyle name="60% - Accent6 3 3 2 2 2 2" xfId="13596"/>
    <cellStyle name="Normal 3 2 3 3 2 2 2 2" xfId="13597"/>
    <cellStyle name="Normal 3 3 3 3 2 2 2 2" xfId="13598"/>
    <cellStyle name="Normal 3 4 3 3 2 2 2 2" xfId="13599"/>
    <cellStyle name="Normal 3 5 3 3 2 2 2 2" xfId="13600"/>
    <cellStyle name="Normal 3 3 2 2 3 2 2 2 2" xfId="13601"/>
    <cellStyle name="Normal 3 4 2 2 3 2 2 2 2" xfId="13602"/>
    <cellStyle name="Normal 3 5 2 2 3 2 2 2 2" xfId="13603"/>
    <cellStyle name="Normal 5 2 3 2 2 2 2" xfId="13604"/>
    <cellStyle name="Percent 3 2 3 2 2 2 2" xfId="13605"/>
    <cellStyle name="Note 2 2 3 2 2 2 2" xfId="13606"/>
    <cellStyle name="Normal 3 6 2 3 2 2 2 2" xfId="13607"/>
    <cellStyle name="Comma 2 3 3 2 3 2 2" xfId="13608"/>
    <cellStyle name="Comma 3 2 3 2 3 2 2" xfId="13609"/>
    <cellStyle name="Percent 4 2 3 2 2 2 2" xfId="13610"/>
    <cellStyle name="Normal 3 7 2 3 2 2 2 2" xfId="13611"/>
    <cellStyle name="Note 3 2 3 2 2 2 2" xfId="13612"/>
    <cellStyle name="20% - Accent1 2 2 3 2 2 2 2" xfId="13613"/>
    <cellStyle name="40% - Accent1 2 2 3 2 2 2 2" xfId="13614"/>
    <cellStyle name="60% - Accent1 2 2 3 2 2 2 2" xfId="13615"/>
    <cellStyle name="20% - Accent2 2 2 3 2 2 2 2" xfId="13616"/>
    <cellStyle name="40% - Accent2 2 2 3 2 2 2 2" xfId="13617"/>
    <cellStyle name="60% - Accent2 2 2 3 2 2 2 2" xfId="13618"/>
    <cellStyle name="20% - Accent3 2 2 3 2 2 2 2" xfId="13619"/>
    <cellStyle name="40% - Accent3 2 2 3 2 2 2 2" xfId="13620"/>
    <cellStyle name="60% - Accent3 2 2 3 2 2 2 2" xfId="13621"/>
    <cellStyle name="20% - Accent4 2 2 3 2 2 2 2" xfId="13622"/>
    <cellStyle name="40% - Accent4 2 2 3 2 2 2 2" xfId="13623"/>
    <cellStyle name="60% - Accent4 2 2 3 2 2 2 2" xfId="13624"/>
    <cellStyle name="20% - Accent5 2 2 3 2 2 2 2" xfId="13625"/>
    <cellStyle name="40% - Accent5 2 2 3 2 2 2 2" xfId="13626"/>
    <cellStyle name="60% - Accent5 2 2 3 2 2 2 2" xfId="13627"/>
    <cellStyle name="20% - Accent6 2 2 3 2 2 2 2" xfId="13628"/>
    <cellStyle name="40% - Accent6 2 2 3 2 2 2 2" xfId="13629"/>
    <cellStyle name="60% - Accent6 2 2 3 2 2 2 2" xfId="13630"/>
    <cellStyle name="Comma 2 2 2 3 2 3 2 2" xfId="13631"/>
    <cellStyle name="Comma 4 2 3 2 3 2 2" xfId="13632"/>
    <cellStyle name="Normal 3 8 2 3 2 2 2 2" xfId="13633"/>
    <cellStyle name="Comma 6 2 2 3 2 2" xfId="13634"/>
    <cellStyle name="20% - Accent1 4 2 2 2 2 2" xfId="13635"/>
    <cellStyle name="40% - Accent1 4 2 2 2 2 2" xfId="13636"/>
    <cellStyle name="60% - Accent1 4 2 2 2 2 2" xfId="13637"/>
    <cellStyle name="20% - Accent2 4 2 2 2 2 2" xfId="13638"/>
    <cellStyle name="40% - Accent2 4 2 2 2 2 2" xfId="13639"/>
    <cellStyle name="60% - Accent2 4 2 2 2 2 2" xfId="13640"/>
    <cellStyle name="20% - Accent3 4 2 2 2 2 2" xfId="13641"/>
    <cellStyle name="40% - Accent3 4 2 2 2 2 2" xfId="13642"/>
    <cellStyle name="60% - Accent3 4 2 2 2 2 2" xfId="13643"/>
    <cellStyle name="20% - Accent4 4 2 2 2 2 2" xfId="13644"/>
    <cellStyle name="40% - Accent4 4 2 2 2 2 2" xfId="13645"/>
    <cellStyle name="60% - Accent4 4 2 2 2 2 2" xfId="13646"/>
    <cellStyle name="20% - Accent5 4 2 2 2 2 2" xfId="13647"/>
    <cellStyle name="40% - Accent5 4 2 2 2 2 2" xfId="13648"/>
    <cellStyle name="60% - Accent5 4 2 2 2 2 2" xfId="13649"/>
    <cellStyle name="20% - Accent6 4 2 2 2 2 2" xfId="13650"/>
    <cellStyle name="40% - Accent6 4 2 2 2 2 2" xfId="13651"/>
    <cellStyle name="60% - Accent6 4 2 2 2 2 2" xfId="13652"/>
    <cellStyle name="Normal 3 2 4 2 2 2 2 2" xfId="13653"/>
    <cellStyle name="Normal 3 3 4 2 2 2 2 2" xfId="13654"/>
    <cellStyle name="Normal 3 4 4 2 2 2 2 2" xfId="13655"/>
    <cellStyle name="Normal 3 5 4 2 2 2 2 2" xfId="13656"/>
    <cellStyle name="Normal 3 2 2 3 2 2 2 2 2" xfId="13657"/>
    <cellStyle name="Normal 3 3 2 3 2 2 2 2 2" xfId="13658"/>
    <cellStyle name="Normal 3 4 2 3 2 2 2 2 2" xfId="13659"/>
    <cellStyle name="Normal 3 5 2 3 2 2 2 2 2" xfId="13660"/>
    <cellStyle name="Normal 5 3 2 2 2 2 2" xfId="13661"/>
    <cellStyle name="Percent 3 3 2 2 2 2 2" xfId="13662"/>
    <cellStyle name="Note 2 3 2 2 2 2 2" xfId="13663"/>
    <cellStyle name="Normal 3 6 3 2 2 2 2 2" xfId="13664"/>
    <cellStyle name="Comma 2 5 2 2 3 2 2" xfId="13665"/>
    <cellStyle name="Comma 3 4 2 2 3 2 2" xfId="13666"/>
    <cellStyle name="Percent 4 3 2 2 2 2 2" xfId="13667"/>
    <cellStyle name="Normal 3 7 3 2 2 2 2 2" xfId="13668"/>
    <cellStyle name="Note 3 3 2 2 2 2 2" xfId="13669"/>
    <cellStyle name="20% - Accent1 2 3 2 2 2 2 2" xfId="13670"/>
    <cellStyle name="40% - Accent1 2 3 2 2 2 2 2" xfId="13671"/>
    <cellStyle name="60% - Accent1 2 3 2 2 2 2 2" xfId="13672"/>
    <cellStyle name="20% - Accent2 2 3 2 2 2 2 2" xfId="13673"/>
    <cellStyle name="40% - Accent2 2 3 2 2 2 2 2" xfId="13674"/>
    <cellStyle name="60% - Accent2 2 3 2 2 2 2 2" xfId="13675"/>
    <cellStyle name="20% - Accent3 2 3 2 2 2 2 2" xfId="13676"/>
    <cellStyle name="40% - Accent3 2 3 2 2 2 2 2" xfId="13677"/>
    <cellStyle name="60% - Accent3 2 3 2 2 2 2 2" xfId="13678"/>
    <cellStyle name="20% - Accent4 2 3 2 2 2 2 2" xfId="13679"/>
    <cellStyle name="40% - Accent4 2 3 2 2 2 2 2" xfId="13680"/>
    <cellStyle name="60% - Accent4 2 3 2 2 2 2 2" xfId="13681"/>
    <cellStyle name="20% - Accent5 2 3 2 2 2 2 2" xfId="13682"/>
    <cellStyle name="40% - Accent5 2 3 2 2 2 2 2" xfId="13683"/>
    <cellStyle name="60% - Accent5 2 3 2 2 2 2 2" xfId="13684"/>
    <cellStyle name="20% - Accent6 2 3 2 2 2 2 2" xfId="13685"/>
    <cellStyle name="40% - Accent6 2 3 2 2 2 2 2" xfId="13686"/>
    <cellStyle name="60% - Accent6 2 3 2 2 2 2 2" xfId="13687"/>
    <cellStyle name="Comma 2 2 4 2 2 3 2 2" xfId="13688"/>
    <cellStyle name="Comma 4 4 2 2 3 2 2" xfId="13689"/>
    <cellStyle name="Normal 3 8 3 2 2 2 2 2" xfId="13690"/>
    <cellStyle name="Comma 2 4 2 2 3 2 2" xfId="13691"/>
    <cellStyle name="Comma 3 3 2 2 3 2 2" xfId="13692"/>
    <cellStyle name="Comma 2 2 3 2 2 3 2 2" xfId="13693"/>
    <cellStyle name="Comma 4 3 2 2 3 2 2" xfId="13694"/>
    <cellStyle name="Normal 7 2 2 2 2 2 2" xfId="13695"/>
    <cellStyle name="Comma 5 2 2 2 3 2 2" xfId="13696"/>
    <cellStyle name="20% - Accent1 3 2 2 2 2 2 2" xfId="13697"/>
    <cellStyle name="40% - Accent1 3 2 2 2 2 2 2" xfId="13698"/>
    <cellStyle name="60% - Accent1 3 2 2 2 2 2 2" xfId="13699"/>
    <cellStyle name="20% - Accent2 3 2 2 2 2 2 2" xfId="13700"/>
    <cellStyle name="40% - Accent2 3 2 2 2 2 2 2" xfId="13701"/>
    <cellStyle name="60% - Accent2 3 2 2 2 2 2 2" xfId="13702"/>
    <cellStyle name="20% - Accent3 3 2 2 2 2 2 2" xfId="13703"/>
    <cellStyle name="40% - Accent3 3 2 2 2 2 2 2" xfId="13704"/>
    <cellStyle name="60% - Accent3 3 2 2 2 2 2 2" xfId="13705"/>
    <cellStyle name="20% - Accent4 3 2 2 2 2 2 2" xfId="13706"/>
    <cellStyle name="40% - Accent4 3 2 2 2 2 2 2" xfId="13707"/>
    <cellStyle name="60% - Accent4 3 2 2 2 2 2 2" xfId="13708"/>
    <cellStyle name="20% - Accent5 3 2 2 2 2 2 2" xfId="13709"/>
    <cellStyle name="40% - Accent5 3 2 2 2 2 2 2" xfId="13710"/>
    <cellStyle name="60% - Accent5 3 2 2 2 2 2 2" xfId="13711"/>
    <cellStyle name="20% - Accent6 3 2 2 2 2 2 2" xfId="13712"/>
    <cellStyle name="40% - Accent6 3 2 2 2 2 2 2" xfId="13713"/>
    <cellStyle name="60% - Accent6 3 2 2 2 2 2 2" xfId="13714"/>
    <cellStyle name="Normal 3 2 3 2 2 2 2 2 2" xfId="13715"/>
    <cellStyle name="Normal 3 3 3 2 2 2 2 2 2" xfId="13716"/>
    <cellStyle name="Normal 3 4 3 2 2 2 2 2 2" xfId="13717"/>
    <cellStyle name="Normal 3 5 3 2 2 2 2 2 2" xfId="13718"/>
    <cellStyle name="Normal 3 3 2 2 2 2 2 2 2 2" xfId="13719"/>
    <cellStyle name="Normal 3 4 2 2 2 2 2 2 2 2" xfId="13720"/>
    <cellStyle name="Normal 3 5 2 2 2 2 2 2 2 2" xfId="13721"/>
    <cellStyle name="Normal 5 2 2 2 2 2 2 2" xfId="13722"/>
    <cellStyle name="Percent 3 2 2 2 2 2 2 2" xfId="13723"/>
    <cellStyle name="Note 2 2 2 2 2 2 2 2" xfId="13724"/>
    <cellStyle name="Normal 3 6 2 2 2 2 2 2 2" xfId="13725"/>
    <cellStyle name="Comma 2 3 2 2 2 3 2 2" xfId="13726"/>
    <cellStyle name="Comma 3 2 2 2 2 3 2 2" xfId="13727"/>
    <cellStyle name="Percent 4 2 2 2 2 2 2 2" xfId="13728"/>
    <cellStyle name="Normal 3 7 2 2 2 2 2 2 2" xfId="13729"/>
    <cellStyle name="Note 3 2 2 2 2 2 2 2" xfId="13730"/>
    <cellStyle name="20% - Accent1 2 2 2 2 2 2 2 2" xfId="13731"/>
    <cellStyle name="40% - Accent1 2 2 2 2 2 2 2 2" xfId="13732"/>
    <cellStyle name="60% - Accent1 2 2 2 2 2 2 2 2" xfId="13733"/>
    <cellStyle name="20% - Accent2 2 2 2 2 2 2 2 2" xfId="13734"/>
    <cellStyle name="40% - Accent2 2 2 2 2 2 2 2 2" xfId="13735"/>
    <cellStyle name="60% - Accent2 2 2 2 2 2 2 2 2" xfId="13736"/>
    <cellStyle name="20% - Accent3 2 2 2 2 2 2 2 2" xfId="13737"/>
    <cellStyle name="40% - Accent3 2 2 2 2 2 2 2 2" xfId="13738"/>
    <cellStyle name="60% - Accent3 2 2 2 2 2 2 2 2" xfId="13739"/>
    <cellStyle name="20% - Accent4 2 2 2 2 2 2 2 2" xfId="13740"/>
    <cellStyle name="40% - Accent4 2 2 2 2 2 2 2 2" xfId="13741"/>
    <cellStyle name="60% - Accent4 2 2 2 2 2 2 2 2" xfId="13742"/>
    <cellStyle name="20% - Accent5 2 2 2 2 2 2 2 2" xfId="13743"/>
    <cellStyle name="40% - Accent5 2 2 2 2 2 2 2 2" xfId="13744"/>
    <cellStyle name="60% - Accent5 2 2 2 2 2 2 2 2" xfId="13745"/>
    <cellStyle name="20% - Accent6 2 2 2 2 2 2 2 2" xfId="13746"/>
    <cellStyle name="40% - Accent6 2 2 2 2 2 2 2 2" xfId="13747"/>
    <cellStyle name="60% - Accent6 2 2 2 2 2 2 2 2" xfId="13748"/>
    <cellStyle name="Comma 2 2 2 2 2 2 3 2 2" xfId="13749"/>
    <cellStyle name="Comma 4 2 2 2 2 3 2 2" xfId="13750"/>
    <cellStyle name="Normal 3 8 2 2 2 2 2 2 2" xfId="13751"/>
    <cellStyle name="Normal 3 10 2 2 2 2 2" xfId="13752"/>
    <cellStyle name="Normal 3 11 2 2 2 2 2" xfId="13753"/>
    <cellStyle name="Normal 3 13 2 2 2" xfId="13754"/>
    <cellStyle name="Normal 3 2 7 2 2 2" xfId="13755"/>
    <cellStyle name="Normal 3 3 7 2 2 2" xfId="13756"/>
    <cellStyle name="Normal 3 4 7 2 2 2" xfId="13757"/>
    <cellStyle name="Normal 3 5 7 2 2 2" xfId="13758"/>
    <cellStyle name="20% - Accent1 7 2 2 2" xfId="13759"/>
    <cellStyle name="40% - Accent1 7 2 2 2" xfId="13760"/>
    <cellStyle name="60% - Accent1 7 2 2 2" xfId="13761"/>
    <cellStyle name="20% - Accent2 7 2 2 2" xfId="13762"/>
    <cellStyle name="40% - Accent2 7 2 2 2" xfId="13763"/>
    <cellStyle name="60% - Accent2 7 2 2 2" xfId="13764"/>
    <cellStyle name="20% - Accent3 7 2 2 2" xfId="13765"/>
    <cellStyle name="40% - Accent3 7 2 2 2" xfId="13766"/>
    <cellStyle name="60% - Accent3 7 2 2 2" xfId="13767"/>
    <cellStyle name="20% - Accent4 7 2 2 2" xfId="13768"/>
    <cellStyle name="40% - Accent4 7 2 2 2" xfId="13769"/>
    <cellStyle name="60% - Accent4 7 2 2 2" xfId="13770"/>
    <cellStyle name="20% - Accent5 7 2 2 2" xfId="13771"/>
    <cellStyle name="40% - Accent5 7 2 2 2" xfId="13772"/>
    <cellStyle name="60% - Accent5 7 2 2 2" xfId="13773"/>
    <cellStyle name="20% - Accent6 7 2 2 2" xfId="13774"/>
    <cellStyle name="40% - Accent6 7 2 2 2" xfId="13775"/>
    <cellStyle name="60% - Accent6 7 2 2 2" xfId="13776"/>
    <cellStyle name="Normal 3 2 2 6 2 2 2" xfId="13777"/>
    <cellStyle name="Normal 3 3 2 6 2 2 2" xfId="13778"/>
    <cellStyle name="Normal 3 4 2 6 2 2 2" xfId="13779"/>
    <cellStyle name="Normal 3 5 2 6 2 2 2" xfId="13780"/>
    <cellStyle name="Normal 5 6 2 2 2" xfId="13781"/>
    <cellStyle name="Percent 3 6 2 2 2" xfId="13782"/>
    <cellStyle name="Note 2 6 2 2 2" xfId="13783"/>
    <cellStyle name="Normal 3 6 6 2 2 2" xfId="13784"/>
    <cellStyle name="Comma 2 8 3 2 2" xfId="13785"/>
    <cellStyle name="Comma 3 8 3 2 2" xfId="13786"/>
    <cellStyle name="Percent 4 6 2 2 2" xfId="13787"/>
    <cellStyle name="Normal 3 7 6 2 2 2" xfId="13788"/>
    <cellStyle name="Note 3 6 2 2 2" xfId="13789"/>
    <cellStyle name="20% - Accent1 2 6 2 2 2" xfId="13790"/>
    <cellStyle name="40% - Accent1 2 6 2 2 2" xfId="13791"/>
    <cellStyle name="60% - Accent1 2 6 2 2 2" xfId="13792"/>
    <cellStyle name="20% - Accent2 2 6 2 2 2" xfId="13793"/>
    <cellStyle name="40% - Accent2 2 6 2 2 2" xfId="13794"/>
    <cellStyle name="60% - Accent2 2 6 2 2 2" xfId="13795"/>
    <cellStyle name="20% - Accent3 2 6 2 2 2" xfId="13796"/>
    <cellStyle name="40% - Accent3 2 6 2 2 2" xfId="13797"/>
    <cellStyle name="60% - Accent3 2 6 2 2 2" xfId="13798"/>
    <cellStyle name="20% - Accent4 2 6 2 2 2" xfId="13799"/>
    <cellStyle name="40% - Accent4 2 6 2 2 2" xfId="13800"/>
    <cellStyle name="60% - Accent4 2 6 2 2 2" xfId="13801"/>
    <cellStyle name="20% - Accent5 2 6 2 2 2" xfId="13802"/>
    <cellStyle name="40% - Accent5 2 6 2 2 2" xfId="13803"/>
    <cellStyle name="60% - Accent5 2 6 2 2 2" xfId="13804"/>
    <cellStyle name="20% - Accent6 2 6 2 2 2" xfId="13805"/>
    <cellStyle name="40% - Accent6 2 6 2 2 2" xfId="13806"/>
    <cellStyle name="60% - Accent6 2 6 2 2 2" xfId="13807"/>
    <cellStyle name="Comma 2 2 7 3 2 2" xfId="13808"/>
    <cellStyle name="Comma 4 7 3 2 2" xfId="13809"/>
    <cellStyle name="Normal 3 8 6 2 2 2" xfId="13810"/>
    <cellStyle name="Normal 7 5 2 2 2" xfId="13811"/>
    <cellStyle name="Comma 5 5 3 2 2" xfId="13812"/>
    <cellStyle name="20% - Accent1 3 5 2 2 2" xfId="13813"/>
    <cellStyle name="40% - Accent1 3 5 2 2 2" xfId="13814"/>
    <cellStyle name="60% - Accent1 3 5 2 2 2" xfId="13815"/>
    <cellStyle name="20% - Accent2 3 5 2 2 2" xfId="13816"/>
    <cellStyle name="40% - Accent2 3 5 2 2 2" xfId="13817"/>
    <cellStyle name="60% - Accent2 3 5 2 2 2" xfId="13818"/>
    <cellStyle name="20% - Accent3 3 5 2 2 2" xfId="13819"/>
    <cellStyle name="40% - Accent3 3 5 2 2 2" xfId="13820"/>
    <cellStyle name="60% - Accent3 3 5 2 2 2" xfId="13821"/>
    <cellStyle name="20% - Accent4 3 5 2 2 2" xfId="13822"/>
    <cellStyle name="40% - Accent4 3 5 2 2 2" xfId="13823"/>
    <cellStyle name="60% - Accent4 3 5 2 2 2" xfId="13824"/>
    <cellStyle name="20% - Accent5 3 5 2 2 2" xfId="13825"/>
    <cellStyle name="40% - Accent5 3 5 2 2 2" xfId="13826"/>
    <cellStyle name="60% - Accent5 3 5 2 2 2" xfId="13827"/>
    <cellStyle name="20% - Accent6 3 5 2 2 2" xfId="13828"/>
    <cellStyle name="40% - Accent6 3 5 2 2 2" xfId="13829"/>
    <cellStyle name="60% - Accent6 3 5 2 2 2" xfId="13830"/>
    <cellStyle name="Normal 3 2 3 5 2 2 2" xfId="13831"/>
    <cellStyle name="Normal 3 3 3 5 2 2 2" xfId="13832"/>
    <cellStyle name="Normal 3 4 3 5 2 2 2" xfId="13833"/>
    <cellStyle name="Normal 3 5 3 5 2 2 2" xfId="13834"/>
    <cellStyle name="Normal 3 2 2 2 5 2 2 2" xfId="13835"/>
    <cellStyle name="Normal 3 3 2 2 5 2 2 2" xfId="13836"/>
    <cellStyle name="Normal 3 4 2 2 5 2 2 2" xfId="13837"/>
    <cellStyle name="Normal 3 5 2 2 5 2 2 2" xfId="13838"/>
    <cellStyle name="Normal 5 2 5 2 2 2" xfId="13839"/>
    <cellStyle name="Percent 3 2 5 2 2 2" xfId="13840"/>
    <cellStyle name="Note 2 2 5 2 2 2" xfId="13841"/>
    <cellStyle name="Normal 3 6 2 5 2 2 2" xfId="13842"/>
    <cellStyle name="Comma 2 3 5 3 2 2" xfId="13843"/>
    <cellStyle name="Comma 3 2 5 3 2 2" xfId="13844"/>
    <cellStyle name="Percent 4 2 5 2 2 2" xfId="13845"/>
    <cellStyle name="Normal 3 7 2 5 2 2 2" xfId="13846"/>
    <cellStyle name="Note 3 2 5 2 2 2" xfId="13847"/>
    <cellStyle name="20% - Accent1 2 2 5 2 2 2" xfId="13848"/>
    <cellStyle name="40% - Accent1 2 2 5 2 2 2" xfId="13849"/>
    <cellStyle name="60% - Accent1 2 2 5 2 2 2" xfId="13850"/>
    <cellStyle name="20% - Accent2 2 2 5 2 2 2" xfId="13851"/>
    <cellStyle name="40% - Accent2 2 2 5 2 2 2" xfId="13852"/>
    <cellStyle name="60% - Accent2 2 2 5 2 2 2" xfId="13853"/>
    <cellStyle name="20% - Accent3 2 2 5 2 2 2" xfId="13854"/>
    <cellStyle name="40% - Accent3 2 2 5 2 2 2" xfId="13855"/>
    <cellStyle name="60% - Accent3 2 2 5 2 2 2" xfId="13856"/>
    <cellStyle name="20% - Accent4 2 2 5 2 2 2" xfId="13857"/>
    <cellStyle name="40% - Accent4 2 2 5 2 2 2" xfId="13858"/>
    <cellStyle name="60% - Accent4 2 2 5 2 2 2" xfId="13859"/>
    <cellStyle name="20% - Accent5 2 2 5 2 2 2" xfId="13860"/>
    <cellStyle name="40% - Accent5 2 2 5 2 2 2" xfId="13861"/>
    <cellStyle name="60% - Accent5 2 2 5 2 2 2" xfId="13862"/>
    <cellStyle name="20% - Accent6 2 2 5 2 2 2" xfId="13863"/>
    <cellStyle name="40% - Accent6 2 2 5 2 2 2" xfId="13864"/>
    <cellStyle name="60% - Accent6 2 2 5 2 2 2" xfId="13865"/>
    <cellStyle name="Comma 2 2 2 5 3 2 2" xfId="13866"/>
    <cellStyle name="Comma 4 2 5 3 2 2" xfId="13867"/>
    <cellStyle name="Normal 3 8 2 5 2 2 2" xfId="13868"/>
    <cellStyle name="Normal 8 4 2 2 2" xfId="13869"/>
    <cellStyle name="Comma 6 4 3 2 2" xfId="13870"/>
    <cellStyle name="20% - Accent1 4 4 2 2 2" xfId="13871"/>
    <cellStyle name="40% - Accent1 4 4 2 2 2" xfId="13872"/>
    <cellStyle name="60% - Accent1 4 4 2 2 2" xfId="13873"/>
    <cellStyle name="20% - Accent2 4 4 2 2 2" xfId="13874"/>
    <cellStyle name="40% - Accent2 4 4 2 2 2" xfId="13875"/>
    <cellStyle name="60% - Accent2 4 4 2 2 2" xfId="13876"/>
    <cellStyle name="20% - Accent3 4 4 2 2 2" xfId="13877"/>
    <cellStyle name="40% - Accent3 4 4 2 2 2" xfId="13878"/>
    <cellStyle name="60% - Accent3 4 4 2 2 2" xfId="13879"/>
    <cellStyle name="20% - Accent4 4 4 2 2 2" xfId="13880"/>
    <cellStyle name="40% - Accent4 4 4 2 2 2" xfId="13881"/>
    <cellStyle name="60% - Accent4 4 4 2 2 2" xfId="13882"/>
    <cellStyle name="20% - Accent5 4 4 2 2 2" xfId="13883"/>
    <cellStyle name="40% - Accent5 4 4 2 2 2" xfId="13884"/>
    <cellStyle name="60% - Accent5 4 4 2 2 2" xfId="13885"/>
    <cellStyle name="20% - Accent6 4 4 2 2 2" xfId="13886"/>
    <cellStyle name="40% - Accent6 4 4 2 2 2" xfId="13887"/>
    <cellStyle name="60% - Accent6 4 4 2 2 2" xfId="13888"/>
    <cellStyle name="Normal 3 2 4 4 2 2 2" xfId="13889"/>
    <cellStyle name="Normal 3 3 4 4 2 2 2" xfId="13890"/>
    <cellStyle name="Normal 3 4 4 4 2 2 2" xfId="13891"/>
    <cellStyle name="Normal 3 5 4 4 2 2 2" xfId="13892"/>
    <cellStyle name="Normal 3 2 2 3 4 2 2 2" xfId="13893"/>
    <cellStyle name="Normal 3 3 2 3 4 2 2 2" xfId="13894"/>
    <cellStyle name="Normal 3 4 2 3 4 2 2 2" xfId="13895"/>
    <cellStyle name="Normal 3 5 2 3 4 2 2 2" xfId="13896"/>
    <cellStyle name="Normal 5 3 4 2 2 2" xfId="13897"/>
    <cellStyle name="Percent 3 3 4 2 2 2" xfId="13898"/>
    <cellStyle name="Note 2 3 4 2 2 2" xfId="13899"/>
    <cellStyle name="Normal 3 6 3 4 2 2 2" xfId="13900"/>
    <cellStyle name="Comma 2 5 4 3 2 2" xfId="13901"/>
    <cellStyle name="Comma 3 4 4 3 2 2" xfId="13902"/>
    <cellStyle name="Percent 4 3 4 2 2 2" xfId="13903"/>
    <cellStyle name="Normal 3 7 3 4 2 2 2" xfId="13904"/>
    <cellStyle name="Note 3 3 4 2 2 2" xfId="13905"/>
    <cellStyle name="20% - Accent1 2 3 4 2 2 2" xfId="13906"/>
    <cellStyle name="40% - Accent1 2 3 4 2 2 2" xfId="13907"/>
    <cellStyle name="60% - Accent1 2 3 4 2 2 2" xfId="13908"/>
    <cellStyle name="20% - Accent2 2 3 4 2 2 2" xfId="13909"/>
    <cellStyle name="40% - Accent2 2 3 4 2 2 2" xfId="13910"/>
    <cellStyle name="60% - Accent2 2 3 4 2 2 2" xfId="13911"/>
    <cellStyle name="20% - Accent3 2 3 4 2 2 2" xfId="13912"/>
    <cellStyle name="40% - Accent3 2 3 4 2 2 2" xfId="13913"/>
    <cellStyle name="60% - Accent3 2 3 4 2 2 2" xfId="13914"/>
    <cellStyle name="20% - Accent4 2 3 4 2 2 2" xfId="13915"/>
    <cellStyle name="40% - Accent4 2 3 4 2 2 2" xfId="13916"/>
    <cellStyle name="60% - Accent4 2 3 4 2 2 2" xfId="13917"/>
    <cellStyle name="20% - Accent5 2 3 4 2 2 2" xfId="13918"/>
    <cellStyle name="40% - Accent5 2 3 4 2 2 2" xfId="13919"/>
    <cellStyle name="60% - Accent5 2 3 4 2 2 2" xfId="13920"/>
    <cellStyle name="20% - Accent6 2 3 4 2 2 2" xfId="13921"/>
    <cellStyle name="40% - Accent6 2 3 4 2 2 2" xfId="13922"/>
    <cellStyle name="60% - Accent6 2 3 4 2 2 2" xfId="13923"/>
    <cellStyle name="Comma 2 2 4 4 3 2 2" xfId="13924"/>
    <cellStyle name="Comma 4 4 4 3 2 2" xfId="13925"/>
    <cellStyle name="Normal 3 8 3 4 2 2 2" xfId="13926"/>
    <cellStyle name="Comma 2 4 4 3 2 2" xfId="13927"/>
    <cellStyle name="Comma 3 3 4 3 2 2" xfId="13928"/>
    <cellStyle name="Comma 2 2 3 4 3 2 2" xfId="13929"/>
    <cellStyle name="Comma 4 3 4 3 2 2" xfId="13930"/>
    <cellStyle name="Normal 7 2 4 2 2 2" xfId="13931"/>
    <cellStyle name="Comma 5 2 4 3 2 2" xfId="13932"/>
    <cellStyle name="20% - Accent1 3 2 4 2 2 2" xfId="13933"/>
    <cellStyle name="40% - Accent1 3 2 4 2 2 2" xfId="13934"/>
    <cellStyle name="60% - Accent1 3 2 4 2 2 2" xfId="13935"/>
    <cellStyle name="20% - Accent2 3 2 4 2 2 2" xfId="13936"/>
    <cellStyle name="40% - Accent2 3 2 4 2 2 2" xfId="13937"/>
    <cellStyle name="60% - Accent2 3 2 4 2 2 2" xfId="13938"/>
    <cellStyle name="20% - Accent3 3 2 4 2 2 2" xfId="13939"/>
    <cellStyle name="40% - Accent3 3 2 4 2 2 2" xfId="13940"/>
    <cellStyle name="60% - Accent3 3 2 4 2 2 2" xfId="13941"/>
    <cellStyle name="20% - Accent4 3 2 4 2 2 2" xfId="13942"/>
    <cellStyle name="40% - Accent4 3 2 4 2 2 2" xfId="13943"/>
    <cellStyle name="60% - Accent4 3 2 4 2 2 2" xfId="13944"/>
    <cellStyle name="20% - Accent5 3 2 4 2 2 2" xfId="13945"/>
    <cellStyle name="40% - Accent5 3 2 4 2 2 2" xfId="13946"/>
    <cellStyle name="60% - Accent5 3 2 4 2 2 2" xfId="13947"/>
    <cellStyle name="20% - Accent6 3 2 4 2 2 2" xfId="13948"/>
    <cellStyle name="40% - Accent6 3 2 4 2 2 2" xfId="13949"/>
    <cellStyle name="60% - Accent6 3 2 4 2 2 2" xfId="13950"/>
    <cellStyle name="Normal 3 2 3 2 4 2 2 2" xfId="13951"/>
    <cellStyle name="Normal 3 3 3 2 4 2 2 2" xfId="13952"/>
    <cellStyle name="Normal 3 4 3 2 4 2 2 2" xfId="13953"/>
    <cellStyle name="Normal 3 5 3 2 4 2 2 2" xfId="13954"/>
    <cellStyle name="Normal 3 2 2 2 2 4 2 2 2" xfId="13955"/>
    <cellStyle name="Normal 3 3 2 2 2 4 2 2 2" xfId="13956"/>
    <cellStyle name="Normal 3 4 2 2 2 4 2 2 2" xfId="13957"/>
    <cellStyle name="Normal 3 5 2 2 2 4 2 2 2" xfId="13958"/>
    <cellStyle name="Normal 5 2 2 4 2 2 2" xfId="13959"/>
    <cellStyle name="Percent 3 2 2 4 2 2 2" xfId="13960"/>
    <cellStyle name="Note 2 2 2 4 2 2 2" xfId="13961"/>
    <cellStyle name="Normal 3 6 2 2 4 2 2 2" xfId="13962"/>
    <cellStyle name="Comma 2 3 2 4 3 2 2" xfId="13963"/>
    <cellStyle name="Comma 3 2 2 4 3 2 2" xfId="13964"/>
    <cellStyle name="Percent 4 2 2 4 2 2 2" xfId="13965"/>
    <cellStyle name="Normal 3 7 2 2 4 2 2 2" xfId="13966"/>
    <cellStyle name="Note 3 2 2 4 2 2 2" xfId="13967"/>
    <cellStyle name="20% - Accent1 2 2 2 4 2 2 2" xfId="13968"/>
    <cellStyle name="40% - Accent1 2 2 2 4 2 2 2" xfId="13969"/>
    <cellStyle name="60% - Accent1 2 2 2 4 2 2 2" xfId="13970"/>
    <cellStyle name="20% - Accent2 2 2 2 4 2 2 2" xfId="13971"/>
    <cellStyle name="40% - Accent2 2 2 2 4 2 2 2" xfId="13972"/>
    <cellStyle name="60% - Accent2 2 2 2 4 2 2 2" xfId="13973"/>
    <cellStyle name="20% - Accent3 2 2 2 4 2 2 2" xfId="13974"/>
    <cellStyle name="40% - Accent3 2 2 2 4 2 2 2" xfId="13975"/>
    <cellStyle name="60% - Accent3 2 2 2 4 2 2 2" xfId="13976"/>
    <cellStyle name="20% - Accent4 2 2 2 4 2 2 2" xfId="13977"/>
    <cellStyle name="40% - Accent4 2 2 2 4 2 2 2" xfId="13978"/>
    <cellStyle name="60% - Accent4 2 2 2 4 2 2 2" xfId="13979"/>
    <cellStyle name="20% - Accent5 2 2 2 4 2 2 2" xfId="13980"/>
    <cellStyle name="40% - Accent5 2 2 2 4 2 2 2" xfId="13981"/>
    <cellStyle name="60% - Accent5 2 2 2 4 2 2 2" xfId="13982"/>
    <cellStyle name="20% - Accent6 2 2 2 4 2 2 2" xfId="13983"/>
    <cellStyle name="40% - Accent6 2 2 2 4 2 2 2" xfId="13984"/>
    <cellStyle name="60% - Accent6 2 2 2 4 2 2 2" xfId="13985"/>
    <cellStyle name="Comma 2 2 2 2 4 3 2 2" xfId="13986"/>
    <cellStyle name="Comma 4 2 2 4 3 2 2" xfId="13987"/>
    <cellStyle name="Normal 3 8 2 2 4 2 2 2" xfId="13988"/>
    <cellStyle name="Normal 3 10 4 2 2 2" xfId="13989"/>
    <cellStyle name="Normal 3 11 4 2 2 2" xfId="13990"/>
    <cellStyle name="Normal 12 2 2 2" xfId="13991"/>
    <cellStyle name="Percent 8 2 2 2" xfId="13992"/>
    <cellStyle name="Note 4 2 2 2" xfId="13993"/>
    <cellStyle name="20% - Accent1 8 2 2 2" xfId="13994"/>
    <cellStyle name="40% - Accent1 8 2 2 2" xfId="13995"/>
    <cellStyle name="60% - Accent1 8 2 2 2" xfId="13996"/>
    <cellStyle name="20% - Accent2 8 2 2 2" xfId="13997"/>
    <cellStyle name="40% - Accent2 8 2 2 2" xfId="13998"/>
    <cellStyle name="60% - Accent2 8 2 2 2" xfId="13999"/>
    <cellStyle name="20% - Accent3 8 2 2 2" xfId="14000"/>
    <cellStyle name="40% - Accent3 8 2 2 2" xfId="14001"/>
    <cellStyle name="60% - Accent3 8 2 2 2" xfId="14002"/>
    <cellStyle name="20% - Accent4 8 2 2 2" xfId="14003"/>
    <cellStyle name="40% - Accent4 8 2 2 2" xfId="14004"/>
    <cellStyle name="60% - Accent4 8 2 2 2" xfId="14005"/>
    <cellStyle name="20% - Accent5 8 2 2 2" xfId="14006"/>
    <cellStyle name="40% - Accent5 8 2 2 2" xfId="14007"/>
    <cellStyle name="60% - Accent5 8 2 2 2" xfId="14008"/>
    <cellStyle name="20% - Accent6 8 2 2 2" xfId="14009"/>
    <cellStyle name="40% - Accent6 8 2 2 2" xfId="14010"/>
    <cellStyle name="60% - Accent6 8 2 2 2" xfId="14011"/>
    <cellStyle name="Comma 2 9 3 2 2" xfId="14012"/>
    <cellStyle name="Comma 7 3 2 2" xfId="14013"/>
    <cellStyle name="Normal 13 4 2 2" xfId="14014"/>
    <cellStyle name="Comma 8 2 2 2" xfId="14015"/>
    <cellStyle name="20% - Accent1 9 2 2 2" xfId="14016"/>
    <cellStyle name="40% - Accent1 9 2 2 2" xfId="14017"/>
    <cellStyle name="60% - Accent1 9 2 2 2" xfId="14018"/>
    <cellStyle name="20% - Accent2 9 2 2 2" xfId="14019"/>
    <cellStyle name="40% - Accent2 9 2 2 2" xfId="14020"/>
    <cellStyle name="60% - Accent2 9 2 2 2" xfId="14021"/>
    <cellStyle name="20% - Accent3 9 2 2 2" xfId="14022"/>
    <cellStyle name="40% - Accent3 9 2 2 2" xfId="14023"/>
    <cellStyle name="60% - Accent3 9 2 2 2" xfId="14024"/>
    <cellStyle name="20% - Accent4 9 2 2 2" xfId="14025"/>
    <cellStyle name="40% - Accent4 9 2 2 2" xfId="14026"/>
    <cellStyle name="60% - Accent4 9 2 2 2" xfId="14027"/>
    <cellStyle name="20% - Accent5 9 2 2 2" xfId="14028"/>
    <cellStyle name="40% - Accent5 9 2 2 2" xfId="14029"/>
    <cellStyle name="60% - Accent5 9 2 2 2" xfId="14030"/>
    <cellStyle name="20% - Accent6 9 2 2 2" xfId="14031"/>
    <cellStyle name="40% - Accent6 9 2 2 2" xfId="14032"/>
    <cellStyle name="60% - Accent6 9 2 2 2" xfId="14033"/>
    <cellStyle name="Normal 3 2 8 2 2 2" xfId="14034"/>
    <cellStyle name="Normal 3 3 8 2 2 2" xfId="14035"/>
    <cellStyle name="Normal 3 4 8 2 2 2" xfId="14036"/>
    <cellStyle name="Normal 3 5 8 2 2 2" xfId="14037"/>
    <cellStyle name="Normal 3 2 2 7 2 2 2" xfId="14038"/>
    <cellStyle name="Normal 3 3 2 7 2 2 2" xfId="14039"/>
    <cellStyle name="Normal 3 4 2 7 2 2 2" xfId="14040"/>
    <cellStyle name="Normal 3 5 2 7 2 2 2" xfId="14041"/>
    <cellStyle name="Normal 5 7 2 2 2" xfId="14042"/>
    <cellStyle name="Percent 3 7 2 2 2" xfId="14043"/>
    <cellStyle name="Note 2 7 2 2 2" xfId="14044"/>
    <cellStyle name="Normal 3 6 7 2 2 2" xfId="14045"/>
    <cellStyle name="Comma 2 10 2 2 2" xfId="14046"/>
    <cellStyle name="Comma 3 9 2 2 2" xfId="14047"/>
    <cellStyle name="Percent 4 7 2 2 2" xfId="14048"/>
    <cellStyle name="Normal 3 7 7 2 2 2" xfId="14049"/>
    <cellStyle name="Note 3 7 2 2 2" xfId="14050"/>
    <cellStyle name="20% - Accent1 2 7 2 2 2" xfId="14051"/>
    <cellStyle name="40% - Accent1 2 7 2 2 2" xfId="14052"/>
    <cellStyle name="60% - Accent1 2 7 2 2 2" xfId="14053"/>
    <cellStyle name="20% - Accent2 2 7 2 2 2" xfId="14054"/>
    <cellStyle name="40% - Accent2 2 7 2 2 2" xfId="14055"/>
    <cellStyle name="60% - Accent2 2 7 2 2 2" xfId="14056"/>
    <cellStyle name="20% - Accent3 2 7 2 2 2" xfId="14057"/>
    <cellStyle name="40% - Accent3 2 7 2 2 2" xfId="14058"/>
    <cellStyle name="60% - Accent3 2 7 2 2 2" xfId="14059"/>
    <cellStyle name="20% - Accent4 2 7 2 2 2" xfId="14060"/>
    <cellStyle name="40% - Accent4 2 7 2 2 2" xfId="14061"/>
    <cellStyle name="60% - Accent4 2 7 2 2 2" xfId="14062"/>
    <cellStyle name="20% - Accent5 2 7 2 2 2" xfId="14063"/>
    <cellStyle name="40% - Accent5 2 7 2 2 2" xfId="14064"/>
    <cellStyle name="60% - Accent5 2 7 2 2 2" xfId="14065"/>
    <cellStyle name="20% - Accent6 2 7 2 2 2" xfId="14066"/>
    <cellStyle name="40% - Accent6 2 7 2 2 2" xfId="14067"/>
    <cellStyle name="60% - Accent6 2 7 2 2 2" xfId="14068"/>
    <cellStyle name="Comma 2 2 8 2 2 2" xfId="14069"/>
    <cellStyle name="Comma 4 8 2 2 2" xfId="14070"/>
    <cellStyle name="Normal 3 8 7 2 2 2" xfId="14071"/>
    <cellStyle name="Comma 2 4 5 2 2 2" xfId="14072"/>
    <cellStyle name="Comma 3 3 5 2 2 2" xfId="14073"/>
    <cellStyle name="Comma 2 2 3 5 2 2 2" xfId="14074"/>
    <cellStyle name="Comma 4 3 5 2 2 2" xfId="14075"/>
    <cellStyle name="Normal 7 6 2 2 2" xfId="14076"/>
    <cellStyle name="Comma 5 6 2 2 2" xfId="14077"/>
    <cellStyle name="20% - Accent1 3 6 2 2 2" xfId="14078"/>
    <cellStyle name="40% - Accent1 3 6 2 2 2" xfId="14079"/>
    <cellStyle name="60% - Accent1 3 6 2 2 2" xfId="14080"/>
    <cellStyle name="20% - Accent2 3 6 2 2 2" xfId="14081"/>
    <cellStyle name="40% - Accent2 3 6 2 2 2" xfId="14082"/>
    <cellStyle name="60% - Accent2 3 6 2 2 2" xfId="14083"/>
    <cellStyle name="20% - Accent3 3 6 2 2 2" xfId="14084"/>
    <cellStyle name="40% - Accent3 3 6 2 2 2" xfId="14085"/>
    <cellStyle name="60% - Accent3 3 6 2 2 2" xfId="14086"/>
    <cellStyle name="20% - Accent4 3 6 2 2 2" xfId="14087"/>
    <cellStyle name="40% - Accent4 3 6 2 2 2" xfId="14088"/>
    <cellStyle name="60% - Accent4 3 6 2 2 2" xfId="14089"/>
    <cellStyle name="20% - Accent5 3 6 2 2 2" xfId="14090"/>
    <cellStyle name="40% - Accent5 3 6 2 2 2" xfId="14091"/>
    <cellStyle name="60% - Accent5 3 6 2 2 2" xfId="14092"/>
    <cellStyle name="20% - Accent6 3 6 2 2 2" xfId="14093"/>
    <cellStyle name="40% - Accent6 3 6 2 2 2" xfId="14094"/>
    <cellStyle name="60% - Accent6 3 6 2 2 2" xfId="14095"/>
    <cellStyle name="Normal 3 2 3 6 2 2 2" xfId="14096"/>
    <cellStyle name="Normal 3 3 3 6 2 2 2" xfId="14097"/>
    <cellStyle name="Normal 3 4 3 6 2 2 2" xfId="14098"/>
    <cellStyle name="Normal 3 5 3 6 2 2 2" xfId="14099"/>
    <cellStyle name="Normal 3 2 2 2 6 2 2 2" xfId="14100"/>
    <cellStyle name="Normal 3 3 2 2 6 2 2 2" xfId="14101"/>
    <cellStyle name="Normal 3 4 2 2 6 2 2 2" xfId="14102"/>
    <cellStyle name="Normal 3 5 2 2 6 2 2 2" xfId="14103"/>
    <cellStyle name="Normal 5 2 6 2 2 2" xfId="14104"/>
    <cellStyle name="Percent 3 2 6 2 2 2" xfId="14105"/>
    <cellStyle name="Note 2 2 6 2 2 2" xfId="14106"/>
    <cellStyle name="Normal 3 6 2 6 2 2 2" xfId="14107"/>
    <cellStyle name="Comma 2 3 6 2 2 2" xfId="14108"/>
    <cellStyle name="Comma 3 2 6 2 2 2" xfId="14109"/>
    <cellStyle name="Percent 4 2 6 2 2 2" xfId="14110"/>
    <cellStyle name="Normal 3 7 2 6 2 2 2" xfId="14111"/>
    <cellStyle name="Note 3 2 6 2 2 2" xfId="14112"/>
    <cellStyle name="20% - Accent1 2 2 6 2 2 2" xfId="14113"/>
    <cellStyle name="40% - Accent1 2 2 6 2 2 2" xfId="14114"/>
    <cellStyle name="60% - Accent1 2 2 6 2 2 2" xfId="14115"/>
    <cellStyle name="20% - Accent2 2 2 6 2 2 2" xfId="14116"/>
    <cellStyle name="40% - Accent2 2 2 6 2 2 2" xfId="14117"/>
    <cellStyle name="60% - Accent2 2 2 6 2 2 2" xfId="14118"/>
    <cellStyle name="20% - Accent3 2 2 6 2 2 2" xfId="14119"/>
    <cellStyle name="40% - Accent3 2 2 6 2 2 2" xfId="14120"/>
    <cellStyle name="60% - Accent3 2 2 6 2 2 2" xfId="14121"/>
    <cellStyle name="20% - Accent4 2 2 6 2 2 2" xfId="14122"/>
    <cellStyle name="40% - Accent4 2 2 6 2 2 2" xfId="14123"/>
    <cellStyle name="60% - Accent4 2 2 6 2 2 2" xfId="14124"/>
    <cellStyle name="20% - Accent5 2 2 6 2 2 2" xfId="14125"/>
    <cellStyle name="40% - Accent5 2 2 6 2 2 2" xfId="14126"/>
    <cellStyle name="60% - Accent5 2 2 6 2 2 2" xfId="14127"/>
    <cellStyle name="20% - Accent6 2 2 6 2 2 2" xfId="14128"/>
    <cellStyle name="40% - Accent6 2 2 6 2 2 2" xfId="14129"/>
    <cellStyle name="60% - Accent6 2 2 6 2 2 2" xfId="14130"/>
    <cellStyle name="Comma 2 2 2 6 2 2 2" xfId="14131"/>
    <cellStyle name="Comma 4 2 6 2 2 2" xfId="14132"/>
    <cellStyle name="Normal 3 8 2 6 2 2 2" xfId="14133"/>
    <cellStyle name="Comma 2 11 2 2" xfId="14134"/>
    <cellStyle name="Comma 3 10 2 2" xfId="14135"/>
    <cellStyle name="Comma 2 2 9 2 2" xfId="14136"/>
    <cellStyle name="Comma 4 9 2 2" xfId="14137"/>
    <cellStyle name="Comma 5 7 2 2" xfId="14138"/>
    <cellStyle name="Comma 2 3 7 2 2" xfId="14139"/>
    <cellStyle name="Comma 3 2 7 2 2" xfId="14140"/>
    <cellStyle name="Comma 2 2 2 7 2 2" xfId="14141"/>
    <cellStyle name="Comma 4 2 7 2 2" xfId="14142"/>
    <cellStyle name="Comma 6 5 2 2" xfId="14143"/>
    <cellStyle name="Comma 2 5 5 2 2" xfId="14144"/>
    <cellStyle name="Comma 3 4 5 2 2" xfId="14145"/>
    <cellStyle name="Comma 2 2 4 5 2 2" xfId="14146"/>
    <cellStyle name="Comma 4 4 5 2 2" xfId="14147"/>
    <cellStyle name="Comma 2 4 6 2 2" xfId="14148"/>
    <cellStyle name="Comma 3 3 6 2 2" xfId="14149"/>
    <cellStyle name="Comma 2 2 3 6 2 2" xfId="14150"/>
    <cellStyle name="Comma 4 3 6 2 2" xfId="14151"/>
    <cellStyle name="Comma 5 2 5 2 2" xfId="14152"/>
    <cellStyle name="Comma 2 3 2 5 2 2" xfId="14153"/>
    <cellStyle name="Comma 3 2 2 5 2 2" xfId="14154"/>
    <cellStyle name="Comma 2 2 2 2 5 2 2" xfId="14155"/>
    <cellStyle name="Comma 4 2 2 5 2 2" xfId="14156"/>
    <cellStyle name="Comma 2 6 3 2 2" xfId="14157"/>
    <cellStyle name="Comma 3 5 3 2 2" xfId="14158"/>
    <cellStyle name="Comma 2 2 5 3 2 2" xfId="14159"/>
    <cellStyle name="Comma 4 5 3 2 2" xfId="14160"/>
    <cellStyle name="Comma 5 3 3 2 2" xfId="14161"/>
    <cellStyle name="Comma 2 3 3 3 2 2" xfId="14162"/>
    <cellStyle name="Comma 3 2 3 3 2 2" xfId="14163"/>
    <cellStyle name="Comma 2 2 2 3 3 2 2" xfId="14164"/>
    <cellStyle name="Comma 4 2 3 3 2 2" xfId="14165"/>
    <cellStyle name="Comma 6 2 3 2 2" xfId="14166"/>
    <cellStyle name="Comma 2 5 2 3 2 2" xfId="14167"/>
    <cellStyle name="Comma 3 4 2 3 2 2" xfId="14168"/>
    <cellStyle name="Comma 2 2 4 2 3 2 2" xfId="14169"/>
    <cellStyle name="Comma 4 4 2 3 2 2" xfId="14170"/>
    <cellStyle name="Comma 2 4 2 3 2 2" xfId="14171"/>
    <cellStyle name="Comma 3 3 2 3 2 2" xfId="14172"/>
    <cellStyle name="Comma 2 2 3 2 3 2 2" xfId="14173"/>
    <cellStyle name="Comma 4 3 2 3 2 2" xfId="14174"/>
    <cellStyle name="Comma 5 2 2 3 2 2" xfId="14175"/>
    <cellStyle name="Comma 2 3 2 2 3 2 2" xfId="14176"/>
    <cellStyle name="Comma 3 2 2 2 3 2 2" xfId="14177"/>
    <cellStyle name="Comma 2 2 2 2 2 3 2 2" xfId="14178"/>
    <cellStyle name="Comma 4 2 2 2 3 2 2" xfId="14179"/>
    <cellStyle name="Comma 2 7 2 2 2" xfId="14180"/>
    <cellStyle name="Comma 3 7 2 2 2" xfId="14181"/>
    <cellStyle name="Comma 2 2 6 2 2 2" xfId="14182"/>
    <cellStyle name="Comma 4 6 2 2 2" xfId="14183"/>
    <cellStyle name="Comma 5 4 2 2 2" xfId="14184"/>
    <cellStyle name="Comma 2 3 4 2 2 2" xfId="14185"/>
    <cellStyle name="Comma 3 2 4 2 2 2" xfId="14186"/>
    <cellStyle name="Comma 2 2 2 4 2 2 2" xfId="14187"/>
    <cellStyle name="Comma 4 2 4 2 2 2" xfId="14188"/>
    <cellStyle name="Comma 6 3 2 2 2" xfId="14189"/>
    <cellStyle name="Comma 2 5 3 2 2 2" xfId="14190"/>
    <cellStyle name="Comma 3 4 3 2 2 2" xfId="14191"/>
    <cellStyle name="Comma 2 2 4 3 2 2 2" xfId="14192"/>
    <cellStyle name="Comma 4 4 3 2 2 2" xfId="14193"/>
    <cellStyle name="Comma 2 4 3 2 2 2" xfId="14194"/>
    <cellStyle name="Comma 3 3 3 2 2 2" xfId="14195"/>
    <cellStyle name="Comma 2 2 3 3 2 2 2" xfId="14196"/>
    <cellStyle name="Comma 4 3 3 2 2 2" xfId="14197"/>
    <cellStyle name="Comma 5 2 3 2 2 2" xfId="14198"/>
    <cellStyle name="Comma 2 3 2 3 2 2 2" xfId="14199"/>
    <cellStyle name="Comma 3 2 2 3 2 2 2" xfId="14200"/>
    <cellStyle name="Comma 2 2 2 2 3 2 2 2" xfId="14201"/>
    <cellStyle name="Comma 4 2 2 3 2 2 2" xfId="14202"/>
    <cellStyle name="Comma 3 6 2 2 2" xfId="14203"/>
    <cellStyle name="Comma 2 6 2 2 2 2" xfId="14204"/>
    <cellStyle name="Comma 3 5 2 2 2 2" xfId="14205"/>
    <cellStyle name="Comma 2 2 5 2 2 2 2" xfId="14206"/>
    <cellStyle name="Comma 4 5 2 2 2 2" xfId="14207"/>
    <cellStyle name="Comma 5 3 2 2 2 2" xfId="14208"/>
    <cellStyle name="Comma 2 3 3 2 2 2 2" xfId="14209"/>
    <cellStyle name="Comma 3 2 3 2 2 2 2" xfId="14210"/>
    <cellStyle name="Comma 2 2 2 3 2 2 2 2" xfId="14211"/>
    <cellStyle name="Comma 4 2 3 2 2 2 2" xfId="14212"/>
    <cellStyle name="Comma 6 2 2 2 2 2" xfId="14213"/>
    <cellStyle name="Comma 2 5 2 2 2 2 2" xfId="14214"/>
    <cellStyle name="Comma 3 4 2 2 2 2 2" xfId="14215"/>
    <cellStyle name="Comma 2 2 4 2 2 2 2 2" xfId="14216"/>
    <cellStyle name="Comma 4 4 2 2 2 2 2" xfId="14217"/>
    <cellStyle name="Comma 2 4 2 2 2 2 2" xfId="14218"/>
    <cellStyle name="Comma 3 3 2 2 2 2 2" xfId="14219"/>
    <cellStyle name="Comma 2 2 3 2 2 2 2 2" xfId="14220"/>
    <cellStyle name="Comma 4 3 2 2 2 2 2" xfId="14221"/>
    <cellStyle name="Comma 5 2 2 2 2 2 2" xfId="14222"/>
    <cellStyle name="Comma 2 3 2 2 2 2 2 2" xfId="14223"/>
    <cellStyle name="Comma 3 2 2 2 2 2 2 2" xfId="14224"/>
    <cellStyle name="Comma 2 2 2 2 2 2 2 2 2" xfId="14225"/>
    <cellStyle name="Comma 4 2 2 2 2 2 2 2" xfId="14226"/>
    <cellStyle name="Comma 2 8 2 2 2" xfId="14227"/>
    <cellStyle name="Comma 3 8 2 2 2" xfId="14228"/>
    <cellStyle name="Comma 2 2 7 2 2 2" xfId="14229"/>
    <cellStyle name="Comma 4 7 2 2 2" xfId="14230"/>
    <cellStyle name="Comma 5 5 2 2 2" xfId="14231"/>
    <cellStyle name="Comma 2 3 5 2 2 2" xfId="14232"/>
    <cellStyle name="Comma 3 2 5 2 2 2" xfId="14233"/>
    <cellStyle name="Comma 2 2 2 5 2 2 2" xfId="14234"/>
    <cellStyle name="Comma 4 2 5 2 2 2" xfId="14235"/>
    <cellStyle name="Comma 6 4 2 2 2" xfId="14236"/>
    <cellStyle name="Comma 2 5 4 2 2 2" xfId="14237"/>
    <cellStyle name="Comma 3 4 4 2 2 2" xfId="14238"/>
    <cellStyle name="Comma 2 2 4 4 2 2 2" xfId="14239"/>
    <cellStyle name="Comma 4 4 4 2 2 2" xfId="14240"/>
    <cellStyle name="Comma 2 4 4 2 2 2" xfId="14241"/>
    <cellStyle name="Comma 3 3 4 2 2 2" xfId="14242"/>
    <cellStyle name="Comma 2 2 3 4 2 2 2" xfId="14243"/>
    <cellStyle name="Comma 4 3 4 2 2 2" xfId="14244"/>
    <cellStyle name="Comma 5 2 4 2 2 2" xfId="14245"/>
    <cellStyle name="Comma 2 3 2 4 2 2 2" xfId="14246"/>
    <cellStyle name="Comma 3 2 2 4 2 2 2" xfId="14247"/>
    <cellStyle name="Comma 2 2 2 2 4 2 2 2" xfId="14248"/>
    <cellStyle name="Comma 4 2 2 4 2 2 2" xfId="14249"/>
    <cellStyle name="Comma 2 9 2 2 2" xfId="14250"/>
    <cellStyle name="Comma 7 2 2 2" xfId="14251"/>
    <cellStyle name="Normal 13 2 2 2" xfId="14252"/>
    <cellStyle name="Normal 6 3 2 2" xfId="14253"/>
    <cellStyle name="Percent 5 3 2 2" xfId="14254"/>
    <cellStyle name="Normal 16 2 3" xfId="14255"/>
    <cellStyle name="20% - Accent1 12 2" xfId="14256"/>
    <cellStyle name="40% - Accent1 12 2" xfId="14257"/>
    <cellStyle name="60% - Accent1 12 2" xfId="14258"/>
    <cellStyle name="20% - Accent2 12 2" xfId="14259"/>
    <cellStyle name="40% - Accent2 12 2" xfId="14260"/>
    <cellStyle name="60% - Accent2 12 2" xfId="14261"/>
    <cellStyle name="20% - Accent3 12 2" xfId="14262"/>
    <cellStyle name="40% - Accent3 12 2" xfId="14263"/>
    <cellStyle name="60% - Accent3 12 2" xfId="14264"/>
    <cellStyle name="20% - Accent4 12 2" xfId="14265"/>
    <cellStyle name="40% - Accent4 12 2" xfId="14266"/>
    <cellStyle name="60% - Accent4 12 2" xfId="14267"/>
    <cellStyle name="20% - Accent5 12 2" xfId="14268"/>
    <cellStyle name="40% - Accent5 12 2" xfId="14269"/>
    <cellStyle name="60% - Accent5 12 2" xfId="14270"/>
    <cellStyle name="20% - Accent6 12 2" xfId="14271"/>
    <cellStyle name="40% - Accent6 12 2" xfId="14272"/>
    <cellStyle name="60% - Accent6 12 2" xfId="14273"/>
    <cellStyle name="Normal 3 2 11 2" xfId="14274"/>
    <cellStyle name="Normal 3 3 11 2" xfId="14275"/>
    <cellStyle name="Normal 3 4 11 2" xfId="14276"/>
    <cellStyle name="Normal 3 5 11 2" xfId="14277"/>
    <cellStyle name="Normal 3 2 2 10 2" xfId="14278"/>
    <cellStyle name="Normal 3 3 2 10 2" xfId="14279"/>
    <cellStyle name="Normal 3 4 2 10 2" xfId="14280"/>
    <cellStyle name="Normal 3 5 2 10 2" xfId="14281"/>
    <cellStyle name="Normal 5 10 2" xfId="14282"/>
    <cellStyle name="Percent 3 10 2" xfId="14283"/>
    <cellStyle name="Note 2 10 2" xfId="14284"/>
    <cellStyle name="Normal 3 6 10 2" xfId="14285"/>
    <cellStyle name="Comma 2 14 2" xfId="14286"/>
    <cellStyle name="Comma 3 13 2" xfId="14287"/>
    <cellStyle name="Percent 4 10 2" xfId="14288"/>
    <cellStyle name="Normal 3 7 10 2" xfId="14289"/>
    <cellStyle name="Note 3 10 2" xfId="14290"/>
    <cellStyle name="20% - Accent1 2 10 2" xfId="14291"/>
    <cellStyle name="40% - Accent1 2 10 2" xfId="14292"/>
    <cellStyle name="60% - Accent1 2 10 2" xfId="14293"/>
    <cellStyle name="20% - Accent2 2 10 2" xfId="14294"/>
    <cellStyle name="40% - Accent2 2 10 2" xfId="14295"/>
    <cellStyle name="60% - Accent2 2 10 2" xfId="14296"/>
    <cellStyle name="20% - Accent3 2 10 2" xfId="14297"/>
    <cellStyle name="40% - Accent3 2 10 2" xfId="14298"/>
    <cellStyle name="60% - Accent3 2 10 2" xfId="14299"/>
    <cellStyle name="20% - Accent4 2 10 2" xfId="14300"/>
    <cellStyle name="40% - Accent4 2 10 2" xfId="14301"/>
    <cellStyle name="60% - Accent4 2 10 2" xfId="14302"/>
    <cellStyle name="20% - Accent5 2 10 2" xfId="14303"/>
    <cellStyle name="40% - Accent5 2 10 2" xfId="14304"/>
    <cellStyle name="60% - Accent5 2 10 2" xfId="14305"/>
    <cellStyle name="20% - Accent6 2 10 2" xfId="14306"/>
    <cellStyle name="40% - Accent6 2 10 2" xfId="14307"/>
    <cellStyle name="60% - Accent6 2 10 2" xfId="14308"/>
    <cellStyle name="Comma 2 2 12 2" xfId="14309"/>
    <cellStyle name="Comma 4 12 2" xfId="14310"/>
    <cellStyle name="Normal 3 8 10 2" xfId="14311"/>
    <cellStyle name="Normal 7 9 2" xfId="14312"/>
    <cellStyle name="Comma 5 10 2" xfId="14313"/>
    <cellStyle name="20% - Accent1 3 9 2" xfId="14314"/>
    <cellStyle name="40% - Accent1 3 9 2" xfId="14315"/>
    <cellStyle name="60% - Accent1 3 9 2" xfId="14316"/>
    <cellStyle name="20% - Accent2 3 9 2" xfId="14317"/>
    <cellStyle name="40% - Accent2 3 9 2" xfId="14318"/>
    <cellStyle name="60% - Accent2 3 9 2" xfId="14319"/>
    <cellStyle name="20% - Accent3 3 9 2" xfId="14320"/>
    <cellStyle name="40% - Accent3 3 9 2" xfId="14321"/>
    <cellStyle name="60% - Accent3 3 9 2" xfId="14322"/>
    <cellStyle name="20% - Accent4 3 9 2" xfId="14323"/>
    <cellStyle name="40% - Accent4 3 9 2" xfId="14324"/>
    <cellStyle name="60% - Accent4 3 9 2" xfId="14325"/>
    <cellStyle name="20% - Accent5 3 9 2" xfId="14326"/>
    <cellStyle name="40% - Accent5 3 9 2" xfId="14327"/>
    <cellStyle name="60% - Accent5 3 9 2" xfId="14328"/>
    <cellStyle name="20% - Accent6 3 9 2" xfId="14329"/>
    <cellStyle name="40% - Accent6 3 9 2" xfId="14330"/>
    <cellStyle name="60% - Accent6 3 9 2" xfId="14331"/>
    <cellStyle name="Normal 3 2 3 9 2" xfId="14332"/>
    <cellStyle name="Normal 3 3 3 9 2" xfId="14333"/>
    <cellStyle name="Normal 3 4 3 9 2" xfId="14334"/>
    <cellStyle name="Normal 3 5 3 9 2" xfId="14335"/>
    <cellStyle name="Normal 3 2 2 2 9 2" xfId="14336"/>
    <cellStyle name="Normal 3 3 2 2 9 2" xfId="14337"/>
    <cellStyle name="Normal 3 4 2 2 9 2" xfId="14338"/>
    <cellStyle name="Normal 3 5 2 2 9 2" xfId="14339"/>
    <cellStyle name="Normal 5 2 9 2" xfId="14340"/>
    <cellStyle name="Percent 3 2 9 2" xfId="14341"/>
    <cellStyle name="Note 2 2 9 2" xfId="14342"/>
    <cellStyle name="Normal 3 6 2 9 2" xfId="14343"/>
    <cellStyle name="Comma 2 3 10 2" xfId="14344"/>
    <cellStyle name="Comma 3 2 10 2" xfId="14345"/>
    <cellStyle name="Percent 4 2 9 2" xfId="14346"/>
    <cellStyle name="Normal 3 7 2 9 2" xfId="14347"/>
    <cellStyle name="Note 3 2 9 2" xfId="14348"/>
    <cellStyle name="20% - Accent1 2 2 9 2" xfId="14349"/>
    <cellStyle name="40% - Accent1 2 2 9 2" xfId="14350"/>
    <cellStyle name="60% - Accent1 2 2 9 2" xfId="14351"/>
    <cellStyle name="20% - Accent2 2 2 9 2" xfId="14352"/>
    <cellStyle name="40% - Accent2 2 2 9 2" xfId="14353"/>
    <cellStyle name="60% - Accent2 2 2 9 2" xfId="14354"/>
    <cellStyle name="20% - Accent3 2 2 9 2" xfId="14355"/>
    <cellStyle name="40% - Accent3 2 2 9 2" xfId="14356"/>
    <cellStyle name="60% - Accent3 2 2 9 2" xfId="14357"/>
    <cellStyle name="20% - Accent4 2 2 9 2" xfId="14358"/>
    <cellStyle name="40% - Accent4 2 2 9 2" xfId="14359"/>
    <cellStyle name="60% - Accent4 2 2 9 2" xfId="14360"/>
    <cellStyle name="20% - Accent5 2 2 9 2" xfId="14361"/>
    <cellStyle name="40% - Accent5 2 2 9 2" xfId="14362"/>
    <cellStyle name="60% - Accent5 2 2 9 2" xfId="14363"/>
    <cellStyle name="20% - Accent6 2 2 9 2" xfId="14364"/>
    <cellStyle name="40% - Accent6 2 2 9 2" xfId="14365"/>
    <cellStyle name="60% - Accent6 2 2 9 2" xfId="14366"/>
    <cellStyle name="Comma 2 2 2 10 2" xfId="14367"/>
    <cellStyle name="Comma 4 2 10 2" xfId="14368"/>
    <cellStyle name="Normal 3 8 2 9 2" xfId="14369"/>
    <cellStyle name="Normal 8 7 2" xfId="14370"/>
    <cellStyle name="Comma 6 8 2" xfId="14371"/>
    <cellStyle name="20% - Accent1 4 7 2" xfId="14372"/>
    <cellStyle name="40% - Accent1 4 7 2" xfId="14373"/>
    <cellStyle name="60% - Accent1 4 7 2" xfId="14374"/>
    <cellStyle name="20% - Accent2 4 7 2" xfId="14375"/>
    <cellStyle name="40% - Accent2 4 7 2" xfId="14376"/>
    <cellStyle name="60% - Accent2 4 7 2" xfId="14377"/>
    <cellStyle name="20% - Accent3 4 7 2" xfId="14378"/>
    <cellStyle name="40% - Accent3 4 7 2" xfId="14379"/>
    <cellStyle name="60% - Accent3 4 7 2" xfId="14380"/>
    <cellStyle name="20% - Accent4 4 7 2" xfId="14381"/>
    <cellStyle name="40% - Accent4 4 7 2" xfId="14382"/>
    <cellStyle name="60% - Accent4 4 7 2" xfId="14383"/>
    <cellStyle name="20% - Accent5 4 7 2" xfId="14384"/>
    <cellStyle name="40% - Accent5 4 7 2" xfId="14385"/>
    <cellStyle name="60% - Accent5 4 7 2" xfId="14386"/>
    <cellStyle name="20% - Accent6 4 7 2" xfId="14387"/>
    <cellStyle name="40% - Accent6 4 7 2" xfId="14388"/>
    <cellStyle name="60% - Accent6 4 7 2" xfId="14389"/>
    <cellStyle name="Normal 3 2 4 7 2" xfId="14390"/>
    <cellStyle name="Normal 3 3 4 7 2" xfId="14391"/>
    <cellStyle name="Normal 3 4 4 7 2" xfId="14392"/>
    <cellStyle name="Normal 3 5 4 7 2" xfId="14393"/>
    <cellStyle name="Normal 3 2 2 3 7 2" xfId="14394"/>
    <cellStyle name="Normal 3 3 2 3 7 2" xfId="14395"/>
    <cellStyle name="Normal 3 4 2 3 7 2" xfId="14396"/>
    <cellStyle name="Normal 3 5 2 3 7 2" xfId="14397"/>
    <cellStyle name="Normal 5 3 7 2" xfId="14398"/>
    <cellStyle name="Percent 3 3 7 2" xfId="14399"/>
    <cellStyle name="Note 2 3 7 2" xfId="14400"/>
    <cellStyle name="Normal 3 6 3 7 2" xfId="14401"/>
    <cellStyle name="Comma 2 5 8 2" xfId="14402"/>
    <cellStyle name="Comma 3 4 8 2" xfId="14403"/>
    <cellStyle name="Percent 4 3 7 2" xfId="14404"/>
    <cellStyle name="Normal 3 7 3 7 2" xfId="14405"/>
    <cellStyle name="Note 3 3 7 2" xfId="14406"/>
    <cellStyle name="20% - Accent1 2 3 7 2" xfId="14407"/>
    <cellStyle name="40% - Accent1 2 3 7 2" xfId="14408"/>
    <cellStyle name="60% - Accent1 2 3 7 2" xfId="14409"/>
    <cellStyle name="20% - Accent2 2 3 7 2" xfId="14410"/>
    <cellStyle name="40% - Accent2 2 3 7 2" xfId="14411"/>
    <cellStyle name="60% - Accent2 2 3 7 2" xfId="14412"/>
    <cellStyle name="20% - Accent3 2 3 7 2" xfId="14413"/>
    <cellStyle name="40% - Accent3 2 3 7 2" xfId="14414"/>
    <cellStyle name="60% - Accent3 2 3 7 2" xfId="14415"/>
    <cellStyle name="20% - Accent4 2 3 7 2" xfId="14416"/>
    <cellStyle name="40% - Accent4 2 3 7 2" xfId="14417"/>
    <cellStyle name="60% - Accent4 2 3 7 2" xfId="14418"/>
    <cellStyle name="20% - Accent5 2 3 7 2" xfId="14419"/>
    <cellStyle name="40% - Accent5 2 3 7 2" xfId="14420"/>
    <cellStyle name="60% - Accent5 2 3 7 2" xfId="14421"/>
    <cellStyle name="20% - Accent6 2 3 7 2" xfId="14422"/>
    <cellStyle name="40% - Accent6 2 3 7 2" xfId="14423"/>
    <cellStyle name="60% - Accent6 2 3 7 2" xfId="14424"/>
    <cellStyle name="Comma 2 2 4 8 2" xfId="14425"/>
    <cellStyle name="Comma 4 4 8 2" xfId="14426"/>
    <cellStyle name="Normal 3 8 3 7 2" xfId="14427"/>
    <cellStyle name="Comma 2 4 9 2" xfId="14428"/>
    <cellStyle name="Comma 3 3 9 2" xfId="14429"/>
    <cellStyle name="Comma 2 2 3 9 2" xfId="14430"/>
    <cellStyle name="Comma 4 3 9 2" xfId="14431"/>
    <cellStyle name="Normal 7 2 7 2" xfId="14432"/>
    <cellStyle name="Comma 5 2 8 2" xfId="14433"/>
    <cellStyle name="20% - Accent1 3 2 7 2" xfId="14434"/>
    <cellStyle name="40% - Accent1 3 2 7 2" xfId="14435"/>
    <cellStyle name="60% - Accent1 3 2 7 2" xfId="14436"/>
    <cellStyle name="20% - Accent2 3 2 7 2" xfId="14437"/>
    <cellStyle name="40% - Accent2 3 2 7 2" xfId="14438"/>
    <cellStyle name="60% - Accent2 3 2 7 2" xfId="14439"/>
    <cellStyle name="20% - Accent3 3 2 7 2" xfId="14440"/>
    <cellStyle name="40% - Accent3 3 2 7 2" xfId="14441"/>
    <cellStyle name="60% - Accent3 3 2 7 2" xfId="14442"/>
    <cellStyle name="20% - Accent4 3 2 7 2" xfId="14443"/>
    <cellStyle name="40% - Accent4 3 2 7 2" xfId="14444"/>
    <cellStyle name="60% - Accent4 3 2 7 2" xfId="14445"/>
    <cellStyle name="20% - Accent5 3 2 7 2" xfId="14446"/>
    <cellStyle name="40% - Accent5 3 2 7 2" xfId="14447"/>
    <cellStyle name="60% - Accent5 3 2 7 2" xfId="14448"/>
    <cellStyle name="20% - Accent6 3 2 7 2" xfId="14449"/>
    <cellStyle name="40% - Accent6 3 2 7 2" xfId="14450"/>
    <cellStyle name="60% - Accent6 3 2 7 2" xfId="14451"/>
    <cellStyle name="Normal 3 2 3 2 7 2" xfId="14452"/>
    <cellStyle name="Normal 3 3 3 2 7 2" xfId="14453"/>
    <cellStyle name="Normal 3 4 3 2 7 2" xfId="14454"/>
    <cellStyle name="Normal 3 5 3 2 7 2" xfId="14455"/>
    <cellStyle name="Normal 3 2 2 2 2 7 2" xfId="14456"/>
    <cellStyle name="Normal 3 3 2 2 2 7 2" xfId="14457"/>
    <cellStyle name="Normal 3 4 2 2 2 7 2" xfId="14458"/>
    <cellStyle name="Normal 3 5 2 2 2 7 2" xfId="14459"/>
    <cellStyle name="Normal 5 2 2 7 2" xfId="14460"/>
    <cellStyle name="Percent 3 2 2 7 2" xfId="14461"/>
    <cellStyle name="Note 2 2 2 7 2" xfId="14462"/>
    <cellStyle name="Normal 3 6 2 2 7 2" xfId="14463"/>
    <cellStyle name="Comma 2 3 2 8 2" xfId="14464"/>
    <cellStyle name="Comma 3 2 2 8 2" xfId="14465"/>
    <cellStyle name="Percent 4 2 2 7 2" xfId="14466"/>
    <cellStyle name="Normal 3 7 2 2 7 2" xfId="14467"/>
    <cellStyle name="Note 3 2 2 7 2" xfId="14468"/>
    <cellStyle name="20% - Accent1 2 2 2 7 2" xfId="14469"/>
    <cellStyle name="40% - Accent1 2 2 2 7 2" xfId="14470"/>
    <cellStyle name="60% - Accent1 2 2 2 7 2" xfId="14471"/>
    <cellStyle name="20% - Accent2 2 2 2 7 2" xfId="14472"/>
    <cellStyle name="40% - Accent2 2 2 2 7 2" xfId="14473"/>
    <cellStyle name="60% - Accent2 2 2 2 7 2" xfId="14474"/>
    <cellStyle name="20% - Accent3 2 2 2 7 2" xfId="14475"/>
    <cellStyle name="40% - Accent3 2 2 2 7 2" xfId="14476"/>
    <cellStyle name="60% - Accent3 2 2 2 7 2" xfId="14477"/>
    <cellStyle name="20% - Accent4 2 2 2 7 2" xfId="14478"/>
    <cellStyle name="40% - Accent4 2 2 2 7 2" xfId="14479"/>
    <cellStyle name="60% - Accent4 2 2 2 7 2" xfId="14480"/>
    <cellStyle name="20% - Accent5 2 2 2 7 2" xfId="14481"/>
    <cellStyle name="40% - Accent5 2 2 2 7 2" xfId="14482"/>
    <cellStyle name="60% - Accent5 2 2 2 7 2" xfId="14483"/>
    <cellStyle name="20% - Accent6 2 2 2 7 2" xfId="14484"/>
    <cellStyle name="40% - Accent6 2 2 2 7 2" xfId="14485"/>
    <cellStyle name="60% - Accent6 2 2 2 7 2" xfId="14486"/>
    <cellStyle name="Comma 2 2 2 2 8 2" xfId="14487"/>
    <cellStyle name="Comma 4 2 2 8 2" xfId="14488"/>
    <cellStyle name="Normal 3 8 2 2 7 2" xfId="14489"/>
    <cellStyle name="Normal 3 10 7 2" xfId="14490"/>
    <cellStyle name="Normal 3 11 7 2" xfId="14491"/>
    <cellStyle name="Normal 3 12 5 2" xfId="14492"/>
    <cellStyle name="Normal 3 2 5 5 2" xfId="14493"/>
    <cellStyle name="Normal 3 3 5 5 2" xfId="14494"/>
    <cellStyle name="Normal 3 4 5 5 2" xfId="14495"/>
    <cellStyle name="Normal 3 5 5 5 2" xfId="14496"/>
    <cellStyle name="20% - Accent1 5 5 2" xfId="14497"/>
    <cellStyle name="40% - Accent1 5 5 2" xfId="14498"/>
    <cellStyle name="60% - Accent1 5 5 2" xfId="14499"/>
    <cellStyle name="20% - Accent2 5 5 2" xfId="14500"/>
    <cellStyle name="40% - Accent2 5 5 2" xfId="14501"/>
    <cellStyle name="60% - Accent2 5 5 2" xfId="14502"/>
    <cellStyle name="20% - Accent3 5 5 2" xfId="14503"/>
    <cellStyle name="40% - Accent3 5 5 2" xfId="14504"/>
    <cellStyle name="60% - Accent3 5 5 2" xfId="14505"/>
    <cellStyle name="20% - Accent4 5 5 2" xfId="14506"/>
    <cellStyle name="40% - Accent4 5 5 2" xfId="14507"/>
    <cellStyle name="60% - Accent4 5 5 2" xfId="14508"/>
    <cellStyle name="20% - Accent5 5 5 2" xfId="14509"/>
    <cellStyle name="40% - Accent5 5 5 2" xfId="14510"/>
    <cellStyle name="60% - Accent5 5 5 2" xfId="14511"/>
    <cellStyle name="20% - Accent6 5 5 2" xfId="14512"/>
    <cellStyle name="40% - Accent6 5 5 2" xfId="14513"/>
    <cellStyle name="60% - Accent6 5 5 2" xfId="14514"/>
    <cellStyle name="Normal 3 2 2 4 5 2" xfId="14515"/>
    <cellStyle name="Normal 3 3 2 4 5 2" xfId="14516"/>
    <cellStyle name="Normal 3 4 2 4 5 2" xfId="14517"/>
    <cellStyle name="Normal 3 5 2 4 5 2" xfId="14518"/>
    <cellStyle name="Normal 5 4 5 2" xfId="14519"/>
    <cellStyle name="Percent 3 4 5 2" xfId="14520"/>
    <cellStyle name="Note 2 4 5 2" xfId="14521"/>
    <cellStyle name="Normal 3 6 4 5 2" xfId="14522"/>
    <cellStyle name="Comma 2 6 6 2" xfId="14523"/>
    <cellStyle name="Comma 3 5 6 2" xfId="14524"/>
    <cellStyle name="Percent 4 4 5 2" xfId="14525"/>
    <cellStyle name="Normal 3 7 4 5 2" xfId="14526"/>
    <cellStyle name="Note 3 4 5 2" xfId="14527"/>
    <cellStyle name="20% - Accent1 2 4 5 2" xfId="14528"/>
    <cellStyle name="40% - Accent1 2 4 5 2" xfId="14529"/>
    <cellStyle name="60% - Accent1 2 4 5 2" xfId="14530"/>
    <cellStyle name="20% - Accent2 2 4 5 2" xfId="14531"/>
    <cellStyle name="40% - Accent2 2 4 5 2" xfId="14532"/>
    <cellStyle name="60% - Accent2 2 4 5 2" xfId="14533"/>
    <cellStyle name="20% - Accent3 2 4 5 2" xfId="14534"/>
    <cellStyle name="40% - Accent3 2 4 5 2" xfId="14535"/>
    <cellStyle name="60% - Accent3 2 4 5 2" xfId="14536"/>
    <cellStyle name="20% - Accent4 2 4 5 2" xfId="14537"/>
    <cellStyle name="40% - Accent4 2 4 5 2" xfId="14538"/>
    <cellStyle name="60% - Accent4 2 4 5 2" xfId="14539"/>
    <cellStyle name="20% - Accent5 2 4 5 2" xfId="14540"/>
    <cellStyle name="40% - Accent5 2 4 5 2" xfId="14541"/>
    <cellStyle name="60% - Accent5 2 4 5 2" xfId="14542"/>
    <cellStyle name="20% - Accent6 2 4 5 2" xfId="14543"/>
    <cellStyle name="40% - Accent6 2 4 5 2" xfId="14544"/>
    <cellStyle name="60% - Accent6 2 4 5 2" xfId="14545"/>
    <cellStyle name="Comma 2 2 5 6 2" xfId="14546"/>
    <cellStyle name="Comma 4 5 6 2" xfId="14547"/>
    <cellStyle name="Normal 3 8 4 5 2" xfId="14548"/>
    <cellStyle name="Normal 7 3 5 2" xfId="14549"/>
    <cellStyle name="Comma 5 3 6 2" xfId="14550"/>
    <cellStyle name="20% - Accent1 3 3 5 2" xfId="14551"/>
    <cellStyle name="40% - Accent1 3 3 5 2" xfId="14552"/>
    <cellStyle name="60% - Accent1 3 3 5 2" xfId="14553"/>
    <cellStyle name="20% - Accent2 3 3 5 2" xfId="14554"/>
    <cellStyle name="40% - Accent2 3 3 5 2" xfId="14555"/>
    <cellStyle name="60% - Accent2 3 3 5 2" xfId="14556"/>
    <cellStyle name="20% - Accent3 3 3 5 2" xfId="14557"/>
    <cellStyle name="40% - Accent3 3 3 5 2" xfId="14558"/>
    <cellStyle name="60% - Accent3 3 3 5 2" xfId="14559"/>
    <cellStyle name="20% - Accent4 3 3 5 2" xfId="14560"/>
    <cellStyle name="40% - Accent4 3 3 5 2" xfId="14561"/>
    <cellStyle name="60% - Accent4 3 3 5 2" xfId="14562"/>
    <cellStyle name="20% - Accent5 3 3 5 2" xfId="14563"/>
    <cellStyle name="40% - Accent5 3 3 5 2" xfId="14564"/>
    <cellStyle name="60% - Accent5 3 3 5 2" xfId="14565"/>
    <cellStyle name="20% - Accent6 3 3 5 2" xfId="14566"/>
    <cellStyle name="40% - Accent6 3 3 5 2" xfId="14567"/>
    <cellStyle name="60% - Accent6 3 3 5 2" xfId="14568"/>
    <cellStyle name="Normal 3 2 3 3 5 2" xfId="14569"/>
    <cellStyle name="Normal 3 3 3 3 5 2" xfId="14570"/>
    <cellStyle name="Normal 3 4 3 3 5 2" xfId="14571"/>
    <cellStyle name="Normal 3 5 3 3 5 2" xfId="14572"/>
    <cellStyle name="Normal 3 2 2 2 3 5 2" xfId="14573"/>
    <cellStyle name="Normal 3 3 2 2 3 5 2" xfId="14574"/>
    <cellStyle name="Normal 3 4 2 2 3 5 2" xfId="14575"/>
    <cellStyle name="Normal 3 5 2 2 3 5 2" xfId="14576"/>
    <cellStyle name="Normal 5 2 3 5 2" xfId="14577"/>
    <cellStyle name="Percent 3 2 3 5 2" xfId="14578"/>
    <cellStyle name="Note 2 2 3 5 2" xfId="14579"/>
    <cellStyle name="Normal 3 6 2 3 5 2" xfId="14580"/>
    <cellStyle name="Comma 2 3 3 6 2" xfId="14581"/>
    <cellStyle name="Comma 3 2 3 6 2" xfId="14582"/>
    <cellStyle name="Percent 4 2 3 5 2" xfId="14583"/>
    <cellStyle name="Normal 3 7 2 3 5 2" xfId="14584"/>
    <cellStyle name="Note 3 2 3 5 2" xfId="14585"/>
    <cellStyle name="20% - Accent1 2 2 3 5 2" xfId="14586"/>
    <cellStyle name="40% - Accent1 2 2 3 5 2" xfId="14587"/>
    <cellStyle name="60% - Accent1 2 2 3 5 2" xfId="14588"/>
    <cellStyle name="20% - Accent2 2 2 3 5 2" xfId="14589"/>
    <cellStyle name="40% - Accent2 2 2 3 5 2" xfId="14590"/>
    <cellStyle name="60% - Accent2 2 2 3 5 2" xfId="14591"/>
    <cellStyle name="20% - Accent3 2 2 3 5 2" xfId="14592"/>
    <cellStyle name="40% - Accent3 2 2 3 5 2" xfId="14593"/>
    <cellStyle name="60% - Accent3 2 2 3 5 2" xfId="14594"/>
    <cellStyle name="20% - Accent4 2 2 3 5 2" xfId="14595"/>
    <cellStyle name="40% - Accent4 2 2 3 5 2" xfId="14596"/>
    <cellStyle name="60% - Accent4 2 2 3 5 2" xfId="14597"/>
    <cellStyle name="20% - Accent5 2 2 3 5 2" xfId="14598"/>
    <cellStyle name="40% - Accent5 2 2 3 5 2" xfId="14599"/>
    <cellStyle name="60% - Accent5 2 2 3 5 2" xfId="14600"/>
    <cellStyle name="20% - Accent6 2 2 3 5 2" xfId="14601"/>
    <cellStyle name="40% - Accent6 2 2 3 5 2" xfId="14602"/>
    <cellStyle name="60% - Accent6 2 2 3 5 2" xfId="14603"/>
    <cellStyle name="Comma 2 2 2 3 6 2" xfId="14604"/>
    <cellStyle name="Comma 4 2 3 6 2" xfId="14605"/>
    <cellStyle name="Normal 3 8 2 3 5 2" xfId="14606"/>
    <cellStyle name="Normal 8 2 5 2" xfId="14607"/>
    <cellStyle name="Comma 6 2 6 2" xfId="14608"/>
    <cellStyle name="20% - Accent1 4 2 5 2" xfId="14609"/>
    <cellStyle name="40% - Accent1 4 2 5 2" xfId="14610"/>
    <cellStyle name="60% - Accent1 4 2 5 2" xfId="14611"/>
    <cellStyle name="20% - Accent2 4 2 5 2" xfId="14612"/>
    <cellStyle name="40% - Accent2 4 2 5 2" xfId="14613"/>
    <cellStyle name="60% - Accent2 4 2 5 2" xfId="14614"/>
    <cellStyle name="20% - Accent3 4 2 5 2" xfId="14615"/>
    <cellStyle name="40% - Accent3 4 2 5 2" xfId="14616"/>
    <cellStyle name="60% - Accent3 4 2 5 2" xfId="14617"/>
    <cellStyle name="20% - Accent4 4 2 5 2" xfId="14618"/>
    <cellStyle name="40% - Accent4 4 2 5 2" xfId="14619"/>
    <cellStyle name="60% - Accent4 4 2 5 2" xfId="14620"/>
    <cellStyle name="20% - Accent5 4 2 5 2" xfId="14621"/>
    <cellStyle name="40% - Accent5 4 2 5 2" xfId="14622"/>
    <cellStyle name="60% - Accent5 4 2 5 2" xfId="14623"/>
    <cellStyle name="20% - Accent6 4 2 5 2" xfId="14624"/>
    <cellStyle name="40% - Accent6 4 2 5 2" xfId="14625"/>
    <cellStyle name="60% - Accent6 4 2 5 2" xfId="14626"/>
    <cellStyle name="Normal 3 2 4 2 5 2" xfId="14627"/>
    <cellStyle name="Normal 3 3 4 2 5 2" xfId="14628"/>
    <cellStyle name="Normal 3 4 4 2 5 2" xfId="14629"/>
    <cellStyle name="Normal 3 5 4 2 5 2" xfId="14630"/>
    <cellStyle name="Normal 3 2 2 3 2 5 2" xfId="14631"/>
    <cellStyle name="Normal 3 3 2 3 2 5 2" xfId="14632"/>
    <cellStyle name="Normal 3 4 2 3 2 5 2" xfId="14633"/>
    <cellStyle name="Normal 3 5 2 3 2 5 2" xfId="14634"/>
    <cellStyle name="Normal 5 3 2 5 2" xfId="14635"/>
    <cellStyle name="Percent 3 3 2 5 2" xfId="14636"/>
    <cellStyle name="Note 2 3 2 5 2" xfId="14637"/>
    <cellStyle name="Normal 3 6 3 2 5 2" xfId="14638"/>
    <cellStyle name="Comma 2 5 2 6 2" xfId="14639"/>
    <cellStyle name="Comma 3 4 2 6 2" xfId="14640"/>
    <cellStyle name="Percent 4 3 2 5 2" xfId="14641"/>
    <cellStyle name="Normal 3 7 3 2 5 2" xfId="14642"/>
    <cellStyle name="Note 3 3 2 5 2" xfId="14643"/>
    <cellStyle name="20% - Accent1 2 3 2 5 2" xfId="14644"/>
    <cellStyle name="40% - Accent1 2 3 2 5 2" xfId="14645"/>
    <cellStyle name="60% - Accent1 2 3 2 5 2" xfId="14646"/>
    <cellStyle name="20% - Accent2 2 3 2 5 2" xfId="14647"/>
    <cellStyle name="40% - Accent2 2 3 2 5 2" xfId="14648"/>
    <cellStyle name="60% - Accent2 2 3 2 5 2" xfId="14649"/>
    <cellStyle name="20% - Accent3 2 3 2 5 2" xfId="14650"/>
    <cellStyle name="40% - Accent3 2 3 2 5 2" xfId="14651"/>
    <cellStyle name="60% - Accent3 2 3 2 5 2" xfId="14652"/>
    <cellStyle name="20% - Accent4 2 3 2 5 2" xfId="14653"/>
    <cellStyle name="40% - Accent4 2 3 2 5 2" xfId="14654"/>
    <cellStyle name="60% - Accent4 2 3 2 5 2" xfId="14655"/>
    <cellStyle name="20% - Accent5 2 3 2 5 2" xfId="14656"/>
    <cellStyle name="40% - Accent5 2 3 2 5 2" xfId="14657"/>
    <cellStyle name="60% - Accent5 2 3 2 5 2" xfId="14658"/>
    <cellStyle name="20% - Accent6 2 3 2 5 2" xfId="14659"/>
    <cellStyle name="40% - Accent6 2 3 2 5 2" xfId="14660"/>
    <cellStyle name="60% - Accent6 2 3 2 5 2" xfId="14661"/>
    <cellStyle name="Comma 2 2 4 2 6 2" xfId="14662"/>
    <cellStyle name="Comma 4 4 2 6 2" xfId="14663"/>
    <cellStyle name="Normal 3 8 3 2 5 2" xfId="14664"/>
    <cellStyle name="Comma 2 4 2 6 2" xfId="14665"/>
    <cellStyle name="Comma 3 3 2 6 2" xfId="14666"/>
    <cellStyle name="Comma 2 2 3 2 6 2" xfId="14667"/>
    <cellStyle name="Comma 4 3 2 6 2" xfId="14668"/>
    <cellStyle name="Normal 7 2 2 5 2" xfId="14669"/>
    <cellStyle name="Comma 5 2 2 6 2" xfId="14670"/>
    <cellStyle name="20% - Accent1 3 2 2 5 2" xfId="14671"/>
    <cellStyle name="40% - Accent1 3 2 2 5 2" xfId="14672"/>
    <cellStyle name="60% - Accent1 3 2 2 5 2" xfId="14673"/>
    <cellStyle name="20% - Accent2 3 2 2 5 2" xfId="14674"/>
    <cellStyle name="40% - Accent2 3 2 2 5 2" xfId="14675"/>
    <cellStyle name="60% - Accent2 3 2 2 5 2" xfId="14676"/>
    <cellStyle name="20% - Accent3 3 2 2 5 2" xfId="14677"/>
    <cellStyle name="40% - Accent3 3 2 2 5 2" xfId="14678"/>
    <cellStyle name="60% - Accent3 3 2 2 5 2" xfId="14679"/>
    <cellStyle name="20% - Accent4 3 2 2 5 2" xfId="14680"/>
    <cellStyle name="40% - Accent4 3 2 2 5 2" xfId="14681"/>
    <cellStyle name="60% - Accent4 3 2 2 5 2" xfId="14682"/>
    <cellStyle name="20% - Accent5 3 2 2 5 2" xfId="14683"/>
    <cellStyle name="40% - Accent5 3 2 2 5 2" xfId="14684"/>
    <cellStyle name="60% - Accent5 3 2 2 5 2" xfId="14685"/>
    <cellStyle name="20% - Accent6 3 2 2 5 2" xfId="14686"/>
    <cellStyle name="40% - Accent6 3 2 2 5 2" xfId="14687"/>
    <cellStyle name="60% - Accent6 3 2 2 5 2" xfId="14688"/>
    <cellStyle name="Normal 3 2 3 2 2 5 2" xfId="14689"/>
    <cellStyle name="Normal 3 3 3 2 2 5 2" xfId="14690"/>
    <cellStyle name="Normal 3 4 3 2 2 5 2" xfId="14691"/>
    <cellStyle name="Normal 3 5 3 2 2 5 2" xfId="14692"/>
    <cellStyle name="Normal 3 2 2 2 2 2 5 2" xfId="14693"/>
    <cellStyle name="Normal 3 3 2 2 2 2 5 2" xfId="14694"/>
    <cellStyle name="Normal 3 4 2 2 2 2 5 2" xfId="14695"/>
    <cellStyle name="Normal 3 5 2 2 2 2 5 2" xfId="14696"/>
    <cellStyle name="Normal 5 2 2 2 5 2" xfId="14697"/>
    <cellStyle name="Percent 3 2 2 2 5 2" xfId="14698"/>
    <cellStyle name="Note 2 2 2 2 5 2" xfId="14699"/>
    <cellStyle name="Normal 3 6 2 2 2 5 2" xfId="14700"/>
    <cellStyle name="Comma 2 3 2 2 6 2" xfId="14701"/>
    <cellStyle name="Comma 3 2 2 2 6 2" xfId="14702"/>
    <cellStyle name="Percent 4 2 2 2 5 2" xfId="14703"/>
    <cellStyle name="Normal 3 7 2 2 2 5 2" xfId="14704"/>
    <cellStyle name="Note 3 2 2 2 5 2" xfId="14705"/>
    <cellStyle name="20% - Accent1 2 2 2 2 5 2" xfId="14706"/>
    <cellStyle name="40% - Accent1 2 2 2 2 5 2" xfId="14707"/>
    <cellStyle name="60% - Accent1 2 2 2 2 5 2" xfId="14708"/>
    <cellStyle name="20% - Accent2 2 2 2 2 5 2" xfId="14709"/>
    <cellStyle name="40% - Accent2 2 2 2 2 5 2" xfId="14710"/>
    <cellStyle name="60% - Accent2 2 2 2 2 5 2" xfId="14711"/>
    <cellStyle name="20% - Accent3 2 2 2 2 5 2" xfId="14712"/>
    <cellStyle name="40% - Accent3 2 2 2 2 5 2" xfId="14713"/>
    <cellStyle name="60% - Accent3 2 2 2 2 5 2" xfId="14714"/>
    <cellStyle name="20% - Accent4 2 2 2 2 5 2" xfId="14715"/>
    <cellStyle name="40% - Accent4 2 2 2 2 5 2" xfId="14716"/>
    <cellStyle name="60% - Accent4 2 2 2 2 5 2" xfId="14717"/>
    <cellStyle name="20% - Accent5 2 2 2 2 5 2" xfId="14718"/>
    <cellStyle name="40% - Accent5 2 2 2 2 5 2" xfId="14719"/>
    <cellStyle name="60% - Accent5 2 2 2 2 5 2" xfId="14720"/>
    <cellStyle name="20% - Accent6 2 2 2 2 5 2" xfId="14721"/>
    <cellStyle name="40% - Accent6 2 2 2 2 5 2" xfId="14722"/>
    <cellStyle name="60% - Accent6 2 2 2 2 5 2" xfId="14723"/>
    <cellStyle name="Comma 2 2 2 2 2 6 2" xfId="14724"/>
    <cellStyle name="Comma 4 2 2 2 6 2" xfId="14725"/>
    <cellStyle name="Normal 3 8 2 2 2 5 2" xfId="14726"/>
    <cellStyle name="Normal 3 10 2 5 2" xfId="14727"/>
    <cellStyle name="Normal 3 11 2 5 2" xfId="14728"/>
    <cellStyle name="Normal 3 2 6 4 2" xfId="14729"/>
    <cellStyle name="Normal 3 3 6 4 2" xfId="14730"/>
    <cellStyle name="Normal 3 4 6 4 2" xfId="14731"/>
    <cellStyle name="Normal 3 5 6 4 2" xfId="14732"/>
    <cellStyle name="20% - Accent1 6 4 2" xfId="14733"/>
    <cellStyle name="40% - Accent1 6 4 2" xfId="14734"/>
    <cellStyle name="60% - Accent1 6 4 2" xfId="14735"/>
    <cellStyle name="20% - Accent2 6 4 2" xfId="14736"/>
    <cellStyle name="40% - Accent2 6 4 2" xfId="14737"/>
    <cellStyle name="60% - Accent2 6 4 2" xfId="14738"/>
    <cellStyle name="20% - Accent3 6 4 2" xfId="14739"/>
    <cellStyle name="40% - Accent3 6 4 2" xfId="14740"/>
    <cellStyle name="60% - Accent3 6 4 2" xfId="14741"/>
    <cellStyle name="20% - Accent4 6 4 2" xfId="14742"/>
    <cellStyle name="40% - Accent4 6 4 2" xfId="14743"/>
    <cellStyle name="60% - Accent4 6 4 2" xfId="14744"/>
    <cellStyle name="20% - Accent5 6 4 2" xfId="14745"/>
    <cellStyle name="40% - Accent5 6 4 2" xfId="14746"/>
    <cellStyle name="60% - Accent5 6 4 2" xfId="14747"/>
    <cellStyle name="20% - Accent6 6 4 2" xfId="14748"/>
    <cellStyle name="40% - Accent6 6 4 2" xfId="14749"/>
    <cellStyle name="60% - Accent6 6 4 2" xfId="14750"/>
    <cellStyle name="Normal 3 2 2 5 4 2" xfId="14751"/>
    <cellStyle name="Normal 3 3 2 5 4 2" xfId="14752"/>
    <cellStyle name="Normal 3 4 2 5 4 2" xfId="14753"/>
    <cellStyle name="Normal 3 5 2 5 4 2" xfId="14754"/>
    <cellStyle name="Normal 5 5 4 2" xfId="14755"/>
    <cellStyle name="Percent 3 5 4 2" xfId="14756"/>
    <cellStyle name="Note 2 5 4 2" xfId="14757"/>
    <cellStyle name="Normal 3 6 5 4 2" xfId="14758"/>
    <cellStyle name="Comma 2 7 5 2" xfId="14759"/>
    <cellStyle name="Comma 3 7 5 2" xfId="14760"/>
    <cellStyle name="Percent 4 5 4 2" xfId="14761"/>
    <cellStyle name="Normal 3 7 5 4 2" xfId="14762"/>
    <cellStyle name="Note 3 5 4 2" xfId="14763"/>
    <cellStyle name="20% - Accent1 2 5 4 2" xfId="14764"/>
    <cellStyle name="40% - Accent1 2 5 4 2" xfId="14765"/>
    <cellStyle name="60% - Accent1 2 5 4 2" xfId="14766"/>
    <cellStyle name="20% - Accent2 2 5 4 2" xfId="14767"/>
    <cellStyle name="40% - Accent2 2 5 4 2" xfId="14768"/>
    <cellStyle name="60% - Accent2 2 5 4 2" xfId="14769"/>
    <cellStyle name="20% - Accent3 2 5 4 2" xfId="14770"/>
    <cellStyle name="40% - Accent3 2 5 4 2" xfId="14771"/>
    <cellStyle name="60% - Accent3 2 5 4 2" xfId="14772"/>
    <cellStyle name="20% - Accent4 2 5 4 2" xfId="14773"/>
    <cellStyle name="40% - Accent4 2 5 4 2" xfId="14774"/>
    <cellStyle name="60% - Accent4 2 5 4 2" xfId="14775"/>
    <cellStyle name="20% - Accent5 2 5 4 2" xfId="14776"/>
    <cellStyle name="40% - Accent5 2 5 4 2" xfId="14777"/>
    <cellStyle name="60% - Accent5 2 5 4 2" xfId="14778"/>
    <cellStyle name="20% - Accent6 2 5 4 2" xfId="14779"/>
    <cellStyle name="40% - Accent6 2 5 4 2" xfId="14780"/>
    <cellStyle name="60% - Accent6 2 5 4 2" xfId="14781"/>
    <cellStyle name="Comma 2 2 6 5 2" xfId="14782"/>
    <cellStyle name="Comma 4 6 5 2" xfId="14783"/>
    <cellStyle name="Normal 3 8 5 4 2" xfId="14784"/>
    <cellStyle name="Normal 7 4 4 2" xfId="14785"/>
    <cellStyle name="Comma 5 4 5 2" xfId="14786"/>
    <cellStyle name="20% - Accent1 3 4 4 2" xfId="14787"/>
    <cellStyle name="40% - Accent1 3 4 4 2" xfId="14788"/>
    <cellStyle name="60% - Accent1 3 4 4 2" xfId="14789"/>
    <cellStyle name="20% - Accent2 3 4 4 2" xfId="14790"/>
    <cellStyle name="40% - Accent2 3 4 4 2" xfId="14791"/>
    <cellStyle name="60% - Accent2 3 4 4 2" xfId="14792"/>
    <cellStyle name="20% - Accent3 3 4 4 2" xfId="14793"/>
    <cellStyle name="40% - Accent3 3 4 4 2" xfId="14794"/>
    <cellStyle name="60% - Accent3 3 4 4 2" xfId="14795"/>
    <cellStyle name="20% - Accent4 3 4 4 2" xfId="14796"/>
    <cellStyle name="40% - Accent4 3 4 4 2" xfId="14797"/>
    <cellStyle name="60% - Accent4 3 4 4 2" xfId="14798"/>
    <cellStyle name="20% - Accent5 3 4 4 2" xfId="14799"/>
    <cellStyle name="40% - Accent5 3 4 4 2" xfId="14800"/>
    <cellStyle name="60% - Accent5 3 4 4 2" xfId="14801"/>
    <cellStyle name="20% - Accent6 3 4 4 2" xfId="14802"/>
    <cellStyle name="40% - Accent6 3 4 4 2" xfId="14803"/>
    <cellStyle name="60% - Accent6 3 4 4 2" xfId="14804"/>
    <cellStyle name="Normal 3 2 3 4 4 2" xfId="14805"/>
    <cellStyle name="Normal 3 3 3 4 4 2" xfId="14806"/>
    <cellStyle name="Normal 3 4 3 4 4 2" xfId="14807"/>
    <cellStyle name="Normal 3 5 3 4 4 2" xfId="14808"/>
    <cellStyle name="Normal 3 2 2 2 4 4 2" xfId="14809"/>
    <cellStyle name="Normal 3 3 2 2 4 4 2" xfId="14810"/>
    <cellStyle name="Normal 3 4 2 2 4 4 2" xfId="14811"/>
    <cellStyle name="Normal 3 5 2 2 4 4 2" xfId="14812"/>
    <cellStyle name="Normal 5 2 4 4 2" xfId="14813"/>
    <cellStyle name="Percent 3 2 4 4 2" xfId="14814"/>
    <cellStyle name="Note 2 2 4 4 2" xfId="14815"/>
    <cellStyle name="Normal 3 6 2 4 4 2" xfId="14816"/>
    <cellStyle name="Comma 2 3 4 5 2" xfId="14817"/>
    <cellStyle name="Comma 3 2 4 5 2" xfId="14818"/>
    <cellStyle name="Percent 4 2 4 4 2" xfId="14819"/>
    <cellStyle name="Normal 3 7 2 4 4 2" xfId="14820"/>
    <cellStyle name="Note 3 2 4 4 2" xfId="14821"/>
    <cellStyle name="20% - Accent1 2 2 4 4 2" xfId="14822"/>
    <cellStyle name="40% - Accent1 2 2 4 4 2" xfId="14823"/>
    <cellStyle name="60% - Accent1 2 2 4 4 2" xfId="14824"/>
    <cellStyle name="20% - Accent2 2 2 4 4 2" xfId="14825"/>
    <cellStyle name="40% - Accent2 2 2 4 4 2" xfId="14826"/>
    <cellStyle name="60% - Accent2 2 2 4 4 2" xfId="14827"/>
    <cellStyle name="20% - Accent3 2 2 4 4 2" xfId="14828"/>
    <cellStyle name="40% - Accent3 2 2 4 4 2" xfId="14829"/>
    <cellStyle name="60% - Accent3 2 2 4 4 2" xfId="14830"/>
    <cellStyle name="20% - Accent4 2 2 4 4 2" xfId="14831"/>
    <cellStyle name="40% - Accent4 2 2 4 4 2" xfId="14832"/>
    <cellStyle name="60% - Accent4 2 2 4 4 2" xfId="14833"/>
    <cellStyle name="20% - Accent5 2 2 4 4 2" xfId="14834"/>
    <cellStyle name="40% - Accent5 2 2 4 4 2" xfId="14835"/>
    <cellStyle name="60% - Accent5 2 2 4 4 2" xfId="14836"/>
    <cellStyle name="20% - Accent6 2 2 4 4 2" xfId="14837"/>
    <cellStyle name="40% - Accent6 2 2 4 4 2" xfId="14838"/>
    <cellStyle name="60% - Accent6 2 2 4 4 2" xfId="14839"/>
    <cellStyle name="Comma 2 2 2 4 5 2" xfId="14840"/>
    <cellStyle name="Comma 4 2 4 5 2" xfId="14841"/>
    <cellStyle name="Normal 3 8 2 4 4 2" xfId="14842"/>
    <cellStyle name="Normal 8 3 4 2" xfId="14843"/>
    <cellStyle name="Comma 6 3 5 2" xfId="14844"/>
    <cellStyle name="20% - Accent1 4 3 4 2" xfId="14845"/>
    <cellStyle name="40% - Accent1 4 3 4 2" xfId="14846"/>
    <cellStyle name="60% - Accent1 4 3 4 2" xfId="14847"/>
    <cellStyle name="20% - Accent2 4 3 4 2" xfId="14848"/>
    <cellStyle name="40% - Accent2 4 3 4 2" xfId="14849"/>
    <cellStyle name="60% - Accent2 4 3 4 2" xfId="14850"/>
    <cellStyle name="20% - Accent3 4 3 4 2" xfId="14851"/>
    <cellStyle name="40% - Accent3 4 3 4 2" xfId="14852"/>
    <cellStyle name="60% - Accent3 4 3 4 2" xfId="14853"/>
    <cellStyle name="20% - Accent4 4 3 4 2" xfId="14854"/>
    <cellStyle name="40% - Accent4 4 3 4 2" xfId="14855"/>
    <cellStyle name="60% - Accent4 4 3 4 2" xfId="14856"/>
    <cellStyle name="20% - Accent5 4 3 4 2" xfId="14857"/>
    <cellStyle name="40% - Accent5 4 3 4 2" xfId="14858"/>
    <cellStyle name="60% - Accent5 4 3 4 2" xfId="14859"/>
    <cellStyle name="20% - Accent6 4 3 4 2" xfId="14860"/>
    <cellStyle name="40% - Accent6 4 3 4 2" xfId="14861"/>
    <cellStyle name="60% - Accent6 4 3 4 2" xfId="14862"/>
    <cellStyle name="Normal 3 2 4 3 4 2" xfId="14863"/>
    <cellStyle name="Normal 3 3 4 3 4 2" xfId="14864"/>
    <cellStyle name="Normal 3 4 4 3 4 2" xfId="14865"/>
    <cellStyle name="Normal 3 5 4 3 4 2" xfId="14866"/>
    <cellStyle name="Normal 3 2 2 3 3 4 2" xfId="14867"/>
    <cellStyle name="Normal 3 3 2 3 3 4 2" xfId="14868"/>
    <cellStyle name="Normal 3 4 2 3 3 4 2" xfId="14869"/>
    <cellStyle name="Normal 3 5 2 3 3 4 2" xfId="14870"/>
    <cellStyle name="Normal 5 3 3 4 2" xfId="14871"/>
    <cellStyle name="Percent 3 3 3 4 2" xfId="14872"/>
    <cellStyle name="Note 2 3 3 4 2" xfId="14873"/>
    <cellStyle name="Normal 3 6 3 3 4 2" xfId="14874"/>
    <cellStyle name="Comma 2 5 3 5 2" xfId="14875"/>
    <cellStyle name="Comma 3 4 3 5 2" xfId="14876"/>
    <cellStyle name="Percent 4 3 3 4 2" xfId="14877"/>
    <cellStyle name="Normal 3 7 3 3 4 2" xfId="14878"/>
    <cellStyle name="Note 3 3 3 4 2" xfId="14879"/>
    <cellStyle name="20% - Accent1 2 3 3 4 2" xfId="14880"/>
    <cellStyle name="40% - Accent1 2 3 3 4 2" xfId="14881"/>
    <cellStyle name="60% - Accent1 2 3 3 4 2" xfId="14882"/>
    <cellStyle name="20% - Accent2 2 3 3 4 2" xfId="14883"/>
    <cellStyle name="40% - Accent2 2 3 3 4 2" xfId="14884"/>
    <cellStyle name="60% - Accent2 2 3 3 4 2" xfId="14885"/>
    <cellStyle name="20% - Accent3 2 3 3 4 2" xfId="14886"/>
    <cellStyle name="40% - Accent3 2 3 3 4 2" xfId="14887"/>
    <cellStyle name="60% - Accent3 2 3 3 4 2" xfId="14888"/>
    <cellStyle name="20% - Accent4 2 3 3 4 2" xfId="14889"/>
    <cellStyle name="40% - Accent4 2 3 3 4 2" xfId="14890"/>
    <cellStyle name="60% - Accent4 2 3 3 4 2" xfId="14891"/>
    <cellStyle name="20% - Accent5 2 3 3 4 2" xfId="14892"/>
    <cellStyle name="40% - Accent5 2 3 3 4 2" xfId="14893"/>
    <cellStyle name="60% - Accent5 2 3 3 4 2" xfId="14894"/>
    <cellStyle name="20% - Accent6 2 3 3 4 2" xfId="14895"/>
    <cellStyle name="40% - Accent6 2 3 3 4 2" xfId="14896"/>
    <cellStyle name="60% - Accent6 2 3 3 4 2" xfId="14897"/>
    <cellStyle name="Comma 2 2 4 3 5 2" xfId="14898"/>
    <cellStyle name="Comma 4 4 3 5 2" xfId="14899"/>
    <cellStyle name="Normal 3 8 3 3 4 2" xfId="14900"/>
    <cellStyle name="Comma 2 4 3 5 2" xfId="14901"/>
    <cellStyle name="Comma 3 3 3 5 2" xfId="14902"/>
    <cellStyle name="Comma 2 2 3 3 5 2" xfId="14903"/>
    <cellStyle name="Comma 4 3 3 5 2" xfId="14904"/>
    <cellStyle name="Normal 7 2 3 4 2" xfId="14905"/>
    <cellStyle name="Comma 5 2 3 5 2" xfId="14906"/>
    <cellStyle name="20% - Accent1 3 2 3 4 2" xfId="14907"/>
    <cellStyle name="40% - Accent1 3 2 3 4 2" xfId="14908"/>
    <cellStyle name="60% - Accent1 3 2 3 4 2" xfId="14909"/>
    <cellStyle name="20% - Accent2 3 2 3 4 2" xfId="14910"/>
    <cellStyle name="40% - Accent2 3 2 3 4 2" xfId="14911"/>
    <cellStyle name="60% - Accent2 3 2 3 4 2" xfId="14912"/>
    <cellStyle name="20% - Accent3 3 2 3 4 2" xfId="14913"/>
    <cellStyle name="40% - Accent3 3 2 3 4 2" xfId="14914"/>
    <cellStyle name="60% - Accent3 3 2 3 4 2" xfId="14915"/>
    <cellStyle name="20% - Accent4 3 2 3 4 2" xfId="14916"/>
    <cellStyle name="40% - Accent4 3 2 3 4 2" xfId="14917"/>
    <cellStyle name="60% - Accent4 3 2 3 4 2" xfId="14918"/>
    <cellStyle name="20% - Accent5 3 2 3 4 2" xfId="14919"/>
    <cellStyle name="40% - Accent5 3 2 3 4 2" xfId="14920"/>
    <cellStyle name="60% - Accent5 3 2 3 4 2" xfId="14921"/>
    <cellStyle name="20% - Accent6 3 2 3 4 2" xfId="14922"/>
    <cellStyle name="40% - Accent6 3 2 3 4 2" xfId="14923"/>
    <cellStyle name="60% - Accent6 3 2 3 4 2" xfId="14924"/>
    <cellStyle name="Normal 3 2 3 2 3 4 2" xfId="14925"/>
    <cellStyle name="Normal 3 3 3 2 3 4 2" xfId="14926"/>
    <cellStyle name="Normal 3 4 3 2 3 4 2" xfId="14927"/>
    <cellStyle name="Normal 3 5 3 2 3 4 2" xfId="14928"/>
    <cellStyle name="Normal 3 2 2 2 2 3 4 2" xfId="14929"/>
    <cellStyle name="Normal 3 3 2 2 2 3 4 2" xfId="14930"/>
    <cellStyle name="Normal 3 4 2 2 2 3 4 2" xfId="14931"/>
    <cellStyle name="Normal 3 5 2 2 2 3 4 2" xfId="14932"/>
    <cellStyle name="Normal 5 2 2 3 4 2" xfId="14933"/>
    <cellStyle name="Percent 3 2 2 3 4 2" xfId="14934"/>
    <cellStyle name="Note 2 2 2 3 4 2" xfId="14935"/>
    <cellStyle name="Normal 3 6 2 2 3 4 2" xfId="14936"/>
    <cellStyle name="Comma 2 3 2 3 5 2" xfId="14937"/>
    <cellStyle name="Comma 3 2 2 3 5 2" xfId="14938"/>
    <cellStyle name="Percent 4 2 2 3 4 2" xfId="14939"/>
    <cellStyle name="Normal 3 7 2 2 3 4 2" xfId="14940"/>
    <cellStyle name="Note 3 2 2 3 4 2" xfId="14941"/>
    <cellStyle name="20% - Accent1 2 2 2 3 4 2" xfId="14942"/>
    <cellStyle name="40% - Accent1 2 2 2 3 4 2" xfId="14943"/>
    <cellStyle name="60% - Accent1 2 2 2 3 4 2" xfId="14944"/>
    <cellStyle name="20% - Accent2 2 2 2 3 4 2" xfId="14945"/>
    <cellStyle name="40% - Accent2 2 2 2 3 4 2" xfId="14946"/>
    <cellStyle name="60% - Accent2 2 2 2 3 4 2" xfId="14947"/>
    <cellStyle name="20% - Accent3 2 2 2 3 4 2" xfId="14948"/>
    <cellStyle name="40% - Accent3 2 2 2 3 4 2" xfId="14949"/>
    <cellStyle name="60% - Accent3 2 2 2 3 4 2" xfId="14950"/>
    <cellStyle name="20% - Accent4 2 2 2 3 4 2" xfId="14951"/>
    <cellStyle name="40% - Accent4 2 2 2 3 4 2" xfId="14952"/>
    <cellStyle name="60% - Accent4 2 2 2 3 4 2" xfId="14953"/>
    <cellStyle name="20% - Accent5 2 2 2 3 4 2" xfId="14954"/>
    <cellStyle name="40% - Accent5 2 2 2 3 4 2" xfId="14955"/>
    <cellStyle name="60% - Accent5 2 2 2 3 4 2" xfId="14956"/>
    <cellStyle name="20% - Accent6 2 2 2 3 4 2" xfId="14957"/>
    <cellStyle name="40% - Accent6 2 2 2 3 4 2" xfId="14958"/>
    <cellStyle name="60% - Accent6 2 2 2 3 4 2" xfId="14959"/>
    <cellStyle name="Comma 2 2 2 2 3 5 2" xfId="14960"/>
    <cellStyle name="Comma 4 2 2 3 5 2" xfId="14961"/>
    <cellStyle name="Normal 3 8 2 2 3 4 2" xfId="14962"/>
    <cellStyle name="Normal 3 10 3 4 2" xfId="14963"/>
    <cellStyle name="Normal 3 11 3 4 2" xfId="14964"/>
    <cellStyle name="Normal 5 4 2 4 2" xfId="14965"/>
    <cellStyle name="Normal 7 3 2 4 2" xfId="14966"/>
    <cellStyle name="Normal 3 2 2 2 3 2 4 2" xfId="14967"/>
    <cellStyle name="Normal 8 2 2 4 2" xfId="14968"/>
    <cellStyle name="Normal 3 2 2 2 2 2 2 4 2" xfId="14969"/>
    <cellStyle name="Comma 3 6 5 2" xfId="14970"/>
    <cellStyle name="Normal 3 6 4 2 4 2" xfId="14971"/>
    <cellStyle name="Normal 3 12 2 4 2" xfId="14972"/>
    <cellStyle name="Normal 3 2 5 2 4 2" xfId="14973"/>
    <cellStyle name="Normal 3 3 5 2 4 2" xfId="14974"/>
    <cellStyle name="Normal 3 4 5 2 4 2" xfId="14975"/>
    <cellStyle name="Normal 3 5 5 2 4 2" xfId="14976"/>
    <cellStyle name="20% - Accent1 5 2 4 2" xfId="14977"/>
    <cellStyle name="40% - Accent1 5 2 4 2" xfId="14978"/>
    <cellStyle name="60% - Accent1 5 2 4 2" xfId="14979"/>
    <cellStyle name="20% - Accent2 5 2 4 2" xfId="14980"/>
    <cellStyle name="40% - Accent2 5 2 4 2" xfId="14981"/>
    <cellStyle name="60% - Accent2 5 2 4 2" xfId="14982"/>
    <cellStyle name="20% - Accent3 5 2 4 2" xfId="14983"/>
    <cellStyle name="40% - Accent3 5 2 4 2" xfId="14984"/>
    <cellStyle name="60% - Accent3 5 2 4 2" xfId="14985"/>
    <cellStyle name="20% - Accent4 5 2 4 2" xfId="14986"/>
    <cellStyle name="40% - Accent4 5 2 4 2" xfId="14987"/>
    <cellStyle name="60% - Accent4 5 2 4 2" xfId="14988"/>
    <cellStyle name="20% - Accent5 5 2 4 2" xfId="14989"/>
    <cellStyle name="40% - Accent5 5 2 4 2" xfId="14990"/>
    <cellStyle name="60% - Accent5 5 2 4 2" xfId="14991"/>
    <cellStyle name="20% - Accent6 5 2 4 2" xfId="14992"/>
    <cellStyle name="40% - Accent6 5 2 4 2" xfId="14993"/>
    <cellStyle name="60% - Accent6 5 2 4 2" xfId="14994"/>
    <cellStyle name="Normal 3 2 2 4 2 4 2" xfId="14995"/>
    <cellStyle name="Normal 3 3 2 4 2 4 2" xfId="14996"/>
    <cellStyle name="Normal 3 4 2 4 2 4 2" xfId="14997"/>
    <cellStyle name="Normal 3 5 2 4 2 4 2" xfId="14998"/>
    <cellStyle name="Percent 3 4 2 4 2" xfId="14999"/>
    <cellStyle name="Note 2 4 2 4 2" xfId="15000"/>
    <cellStyle name="Comma 2 6 2 5 2" xfId="15001"/>
    <cellStyle name="Comma 3 5 2 5 2" xfId="15002"/>
    <cellStyle name="Percent 4 4 2 4 2" xfId="15003"/>
    <cellStyle name="Normal 3 7 4 2 4 2" xfId="15004"/>
    <cellStyle name="Note 3 4 2 4 2" xfId="15005"/>
    <cellStyle name="20% - Accent1 2 4 2 4 2" xfId="15006"/>
    <cellStyle name="40% - Accent1 2 4 2 4 2" xfId="15007"/>
    <cellStyle name="60% - Accent1 2 4 2 4 2" xfId="15008"/>
    <cellStyle name="20% - Accent2 2 4 2 4 2" xfId="15009"/>
    <cellStyle name="40% - Accent2 2 4 2 4 2" xfId="15010"/>
    <cellStyle name="60% - Accent2 2 4 2 4 2" xfId="15011"/>
    <cellStyle name="20% - Accent3 2 4 2 4 2" xfId="15012"/>
    <cellStyle name="40% - Accent3 2 4 2 4 2" xfId="15013"/>
    <cellStyle name="60% - Accent3 2 4 2 4 2" xfId="15014"/>
    <cellStyle name="20% - Accent4 2 4 2 4 2" xfId="15015"/>
    <cellStyle name="40% - Accent4 2 4 2 4 2" xfId="15016"/>
    <cellStyle name="60% - Accent4 2 4 2 4 2" xfId="15017"/>
    <cellStyle name="20% - Accent5 2 4 2 4 2" xfId="15018"/>
    <cellStyle name="40% - Accent5 2 4 2 4 2" xfId="15019"/>
    <cellStyle name="60% - Accent5 2 4 2 4 2" xfId="15020"/>
    <cellStyle name="20% - Accent6 2 4 2 4 2" xfId="15021"/>
    <cellStyle name="40% - Accent6 2 4 2 4 2" xfId="15022"/>
    <cellStyle name="60% - Accent6 2 4 2 4 2" xfId="15023"/>
    <cellStyle name="Comma 2 2 5 2 5 2" xfId="15024"/>
    <cellStyle name="Comma 4 5 2 5 2" xfId="15025"/>
    <cellStyle name="Normal 3 8 4 2 4 2" xfId="15026"/>
    <cellStyle name="Comma 5 3 2 5 2" xfId="15027"/>
    <cellStyle name="20% - Accent1 3 3 2 4 2" xfId="15028"/>
    <cellStyle name="40% - Accent1 3 3 2 4 2" xfId="15029"/>
    <cellStyle name="60% - Accent1 3 3 2 4 2" xfId="15030"/>
    <cellStyle name="20% - Accent2 3 3 2 4 2" xfId="15031"/>
    <cellStyle name="40% - Accent2 3 3 2 4 2" xfId="15032"/>
    <cellStyle name="60% - Accent2 3 3 2 4 2" xfId="15033"/>
    <cellStyle name="20% - Accent3 3 3 2 4 2" xfId="15034"/>
    <cellStyle name="40% - Accent3 3 3 2 4 2" xfId="15035"/>
    <cellStyle name="60% - Accent3 3 3 2 4 2" xfId="15036"/>
    <cellStyle name="20% - Accent4 3 3 2 4 2" xfId="15037"/>
    <cellStyle name="40% - Accent4 3 3 2 4 2" xfId="15038"/>
    <cellStyle name="60% - Accent4 3 3 2 4 2" xfId="15039"/>
    <cellStyle name="20% - Accent5 3 3 2 4 2" xfId="15040"/>
    <cellStyle name="40% - Accent5 3 3 2 4 2" xfId="15041"/>
    <cellStyle name="60% - Accent5 3 3 2 4 2" xfId="15042"/>
    <cellStyle name="20% - Accent6 3 3 2 4 2" xfId="15043"/>
    <cellStyle name="40% - Accent6 3 3 2 4 2" xfId="15044"/>
    <cellStyle name="60% - Accent6 3 3 2 4 2" xfId="15045"/>
    <cellStyle name="Normal 3 2 3 3 2 4 2" xfId="15046"/>
    <cellStyle name="Normal 3 3 3 3 2 4 2" xfId="15047"/>
    <cellStyle name="Normal 3 4 3 3 2 4 2" xfId="15048"/>
    <cellStyle name="Normal 3 5 3 3 2 4 2" xfId="15049"/>
    <cellStyle name="Normal 3 3 2 2 3 2 4 2" xfId="15050"/>
    <cellStyle name="Normal 3 4 2 2 3 2 4 2" xfId="15051"/>
    <cellStyle name="Normal 3 5 2 2 3 2 4 2" xfId="15052"/>
    <cellStyle name="Normal 5 2 3 2 4 2" xfId="15053"/>
    <cellStyle name="Percent 3 2 3 2 4 2" xfId="15054"/>
    <cellStyle name="Note 2 2 3 2 4 2" xfId="15055"/>
    <cellStyle name="Normal 3 6 2 3 2 4 2" xfId="15056"/>
    <cellStyle name="Comma 2 3 3 2 5 2" xfId="15057"/>
    <cellStyle name="Comma 3 2 3 2 5 2" xfId="15058"/>
    <cellStyle name="Percent 4 2 3 2 4 2" xfId="15059"/>
    <cellStyle name="Normal 3 7 2 3 2 4 2" xfId="15060"/>
    <cellStyle name="Note 3 2 3 2 4 2" xfId="15061"/>
    <cellStyle name="20% - Accent1 2 2 3 2 4 2" xfId="15062"/>
    <cellStyle name="40% - Accent1 2 2 3 2 4 2" xfId="15063"/>
    <cellStyle name="60% - Accent1 2 2 3 2 4 2" xfId="15064"/>
    <cellStyle name="20% - Accent2 2 2 3 2 4 2" xfId="15065"/>
    <cellStyle name="40% - Accent2 2 2 3 2 4 2" xfId="15066"/>
    <cellStyle name="60% - Accent2 2 2 3 2 4 2" xfId="15067"/>
    <cellStyle name="20% - Accent3 2 2 3 2 4 2" xfId="15068"/>
    <cellStyle name="40% - Accent3 2 2 3 2 4 2" xfId="15069"/>
    <cellStyle name="60% - Accent3 2 2 3 2 4 2" xfId="15070"/>
    <cellStyle name="20% - Accent4 2 2 3 2 4 2" xfId="15071"/>
    <cellStyle name="40% - Accent4 2 2 3 2 4 2" xfId="15072"/>
    <cellStyle name="60% - Accent4 2 2 3 2 4 2" xfId="15073"/>
    <cellStyle name="20% - Accent5 2 2 3 2 4 2" xfId="15074"/>
    <cellStyle name="40% - Accent5 2 2 3 2 4 2" xfId="15075"/>
    <cellStyle name="60% - Accent5 2 2 3 2 4 2" xfId="15076"/>
    <cellStyle name="20% - Accent6 2 2 3 2 4 2" xfId="15077"/>
    <cellStyle name="40% - Accent6 2 2 3 2 4 2" xfId="15078"/>
    <cellStyle name="60% - Accent6 2 2 3 2 4 2" xfId="15079"/>
    <cellStyle name="Comma 2 2 2 3 2 5 2" xfId="15080"/>
    <cellStyle name="Comma 4 2 3 2 5 2" xfId="15081"/>
    <cellStyle name="Normal 3 8 2 3 2 4 2" xfId="15082"/>
    <cellStyle name="Comma 6 2 2 5 2" xfId="15083"/>
    <cellStyle name="20% - Accent1 4 2 2 4 2" xfId="15084"/>
    <cellStyle name="40% - Accent1 4 2 2 4 2" xfId="15085"/>
    <cellStyle name="60% - Accent1 4 2 2 4 2" xfId="15086"/>
    <cellStyle name="20% - Accent2 4 2 2 4 2" xfId="15087"/>
    <cellStyle name="40% - Accent2 4 2 2 4 2" xfId="15088"/>
    <cellStyle name="60% - Accent2 4 2 2 4 2" xfId="15089"/>
    <cellStyle name="20% - Accent3 4 2 2 4 2" xfId="15090"/>
    <cellStyle name="40% - Accent3 4 2 2 4 2" xfId="15091"/>
    <cellStyle name="60% - Accent3 4 2 2 4 2" xfId="15092"/>
    <cellStyle name="20% - Accent4 4 2 2 4 2" xfId="15093"/>
    <cellStyle name="40% - Accent4 4 2 2 4 2" xfId="15094"/>
    <cellStyle name="60% - Accent4 4 2 2 4 2" xfId="15095"/>
    <cellStyle name="20% - Accent5 4 2 2 4 2" xfId="15096"/>
    <cellStyle name="40% - Accent5 4 2 2 4 2" xfId="15097"/>
    <cellStyle name="60% - Accent5 4 2 2 4 2" xfId="15098"/>
    <cellStyle name="20% - Accent6 4 2 2 4 2" xfId="15099"/>
    <cellStyle name="40% - Accent6 4 2 2 4 2" xfId="15100"/>
    <cellStyle name="60% - Accent6 4 2 2 4 2" xfId="15101"/>
    <cellStyle name="Normal 3 2 4 2 2 4 2" xfId="15102"/>
    <cellStyle name="Normal 3 3 4 2 2 4 2" xfId="15103"/>
    <cellStyle name="Normal 3 4 4 2 2 4 2" xfId="15104"/>
    <cellStyle name="Normal 3 5 4 2 2 4 2" xfId="15105"/>
    <cellStyle name="Normal 3 2 2 3 2 2 4 2" xfId="15106"/>
    <cellStyle name="Normal 3 3 2 3 2 2 4 2" xfId="15107"/>
    <cellStyle name="Normal 3 4 2 3 2 2 4 2" xfId="15108"/>
    <cellStyle name="Normal 3 5 2 3 2 2 4 2" xfId="15109"/>
    <cellStyle name="Normal 5 3 2 2 4 2" xfId="15110"/>
    <cellStyle name="Percent 3 3 2 2 4 2" xfId="15111"/>
    <cellStyle name="Note 2 3 2 2 4 2" xfId="15112"/>
    <cellStyle name="Normal 3 6 3 2 2 4 2" xfId="15113"/>
    <cellStyle name="Comma 2 5 2 2 5 2" xfId="15114"/>
    <cellStyle name="Comma 3 4 2 2 5 2" xfId="15115"/>
    <cellStyle name="Percent 4 3 2 2 4 2" xfId="15116"/>
    <cellStyle name="Normal 3 7 3 2 2 4 2" xfId="15117"/>
    <cellStyle name="Note 3 3 2 2 4 2" xfId="15118"/>
    <cellStyle name="20% - Accent1 2 3 2 2 4 2" xfId="15119"/>
    <cellStyle name="40% - Accent1 2 3 2 2 4 2" xfId="15120"/>
    <cellStyle name="60% - Accent1 2 3 2 2 4 2" xfId="15121"/>
    <cellStyle name="20% - Accent2 2 3 2 2 4 2" xfId="15122"/>
    <cellStyle name="40% - Accent2 2 3 2 2 4 2" xfId="15123"/>
    <cellStyle name="60% - Accent2 2 3 2 2 4 2" xfId="15124"/>
    <cellStyle name="20% - Accent3 2 3 2 2 4 2" xfId="15125"/>
    <cellStyle name="40% - Accent3 2 3 2 2 4 2" xfId="15126"/>
    <cellStyle name="60% - Accent3 2 3 2 2 4 2" xfId="15127"/>
    <cellStyle name="20% - Accent4 2 3 2 2 4 2" xfId="15128"/>
    <cellStyle name="40% - Accent4 2 3 2 2 4 2" xfId="15129"/>
    <cellStyle name="60% - Accent4 2 3 2 2 4 2" xfId="15130"/>
    <cellStyle name="20% - Accent5 2 3 2 2 4 2" xfId="15131"/>
    <cellStyle name="40% - Accent5 2 3 2 2 4 2" xfId="15132"/>
    <cellStyle name="60% - Accent5 2 3 2 2 4 2" xfId="15133"/>
    <cellStyle name="20% - Accent6 2 3 2 2 4 2" xfId="15134"/>
    <cellStyle name="40% - Accent6 2 3 2 2 4 2" xfId="15135"/>
    <cellStyle name="60% - Accent6 2 3 2 2 4 2" xfId="15136"/>
    <cellStyle name="Comma 2 2 4 2 2 5 2" xfId="15137"/>
    <cellStyle name="Comma 4 4 2 2 5 2" xfId="15138"/>
    <cellStyle name="Normal 3 8 3 2 2 4 2" xfId="15139"/>
    <cellStyle name="Comma 2 4 2 2 5 2" xfId="15140"/>
    <cellStyle name="Comma 3 3 2 2 5 2" xfId="15141"/>
    <cellStyle name="Comma 2 2 3 2 2 5 2" xfId="15142"/>
    <cellStyle name="Comma 4 3 2 2 5 2" xfId="15143"/>
    <cellStyle name="Normal 7 2 2 2 4 2" xfId="15144"/>
    <cellStyle name="Comma 5 2 2 2 5 2" xfId="15145"/>
    <cellStyle name="20% - Accent1 3 2 2 2 4 2" xfId="15146"/>
    <cellStyle name="40% - Accent1 3 2 2 2 4 2" xfId="15147"/>
    <cellStyle name="60% - Accent1 3 2 2 2 4 2" xfId="15148"/>
    <cellStyle name="20% - Accent2 3 2 2 2 4 2" xfId="15149"/>
    <cellStyle name="40% - Accent2 3 2 2 2 4 2" xfId="15150"/>
    <cellStyle name="60% - Accent2 3 2 2 2 4 2" xfId="15151"/>
    <cellStyle name="20% - Accent3 3 2 2 2 4 2" xfId="15152"/>
    <cellStyle name="40% - Accent3 3 2 2 2 4 2" xfId="15153"/>
    <cellStyle name="60% - Accent3 3 2 2 2 4 2" xfId="15154"/>
    <cellStyle name="20% - Accent4 3 2 2 2 4 2" xfId="15155"/>
    <cellStyle name="40% - Accent4 3 2 2 2 4 2" xfId="15156"/>
    <cellStyle name="60% - Accent4 3 2 2 2 4 2" xfId="15157"/>
    <cellStyle name="20% - Accent5 3 2 2 2 4 2" xfId="15158"/>
    <cellStyle name="40% - Accent5 3 2 2 2 4 2" xfId="15159"/>
    <cellStyle name="60% - Accent5 3 2 2 2 4 2" xfId="15160"/>
    <cellStyle name="20% - Accent6 3 2 2 2 4 2" xfId="15161"/>
    <cellStyle name="40% - Accent6 3 2 2 2 4 2" xfId="15162"/>
    <cellStyle name="60% - Accent6 3 2 2 2 4 2" xfId="15163"/>
    <cellStyle name="Normal 3 2 3 2 2 2 4 2" xfId="15164"/>
    <cellStyle name="Normal 3 3 3 2 2 2 4 2" xfId="15165"/>
    <cellStyle name="Normal 3 4 3 2 2 2 4 2" xfId="15166"/>
    <cellStyle name="Normal 3 5 3 2 2 2 4 2" xfId="15167"/>
    <cellStyle name="Normal 3 3 2 2 2 2 2 4 2" xfId="15168"/>
    <cellStyle name="Normal 3 4 2 2 2 2 2 4 2" xfId="15169"/>
    <cellStyle name="Normal 3 5 2 2 2 2 2 4 2" xfId="15170"/>
    <cellStyle name="Normal 5 2 2 2 2 4 2" xfId="15171"/>
    <cellStyle name="Percent 3 2 2 2 2 4 2" xfId="15172"/>
    <cellStyle name="Note 2 2 2 2 2 4 2" xfId="15173"/>
    <cellStyle name="Normal 3 6 2 2 2 2 4 2" xfId="15174"/>
    <cellStyle name="Comma 2 3 2 2 2 5 2" xfId="15175"/>
    <cellStyle name="Comma 3 2 2 2 2 5 2" xfId="15176"/>
    <cellStyle name="Percent 4 2 2 2 2 4 2" xfId="15177"/>
    <cellStyle name="Normal 3 7 2 2 2 2 4 2" xfId="15178"/>
    <cellStyle name="Note 3 2 2 2 2 4 2" xfId="15179"/>
    <cellStyle name="20% - Accent1 2 2 2 2 2 4 2" xfId="15180"/>
    <cellStyle name="40% - Accent1 2 2 2 2 2 4 2" xfId="15181"/>
    <cellStyle name="60% - Accent1 2 2 2 2 2 4 2" xfId="15182"/>
    <cellStyle name="20% - Accent2 2 2 2 2 2 4 2" xfId="15183"/>
    <cellStyle name="40% - Accent2 2 2 2 2 2 4 2" xfId="15184"/>
    <cellStyle name="60% - Accent2 2 2 2 2 2 4 2" xfId="15185"/>
    <cellStyle name="20% - Accent3 2 2 2 2 2 4 2" xfId="15186"/>
    <cellStyle name="40% - Accent3 2 2 2 2 2 4 2" xfId="15187"/>
    <cellStyle name="60% - Accent3 2 2 2 2 2 4 2" xfId="15188"/>
    <cellStyle name="20% - Accent4 2 2 2 2 2 4 2" xfId="15189"/>
    <cellStyle name="40% - Accent4 2 2 2 2 2 4 2" xfId="15190"/>
    <cellStyle name="60% - Accent4 2 2 2 2 2 4 2" xfId="15191"/>
    <cellStyle name="20% - Accent5 2 2 2 2 2 4 2" xfId="15192"/>
    <cellStyle name="40% - Accent5 2 2 2 2 2 4 2" xfId="15193"/>
    <cellStyle name="60% - Accent5 2 2 2 2 2 4 2" xfId="15194"/>
    <cellStyle name="20% - Accent6 2 2 2 2 2 4 2" xfId="15195"/>
    <cellStyle name="40% - Accent6 2 2 2 2 2 4 2" xfId="15196"/>
    <cellStyle name="60% - Accent6 2 2 2 2 2 4 2" xfId="15197"/>
    <cellStyle name="Comma 2 2 2 2 2 2 5 2" xfId="15198"/>
    <cellStyle name="Comma 4 2 2 2 2 5 2" xfId="15199"/>
    <cellStyle name="Normal 3 8 2 2 2 2 4 2" xfId="15200"/>
    <cellStyle name="Normal 3 10 2 2 4 2" xfId="15201"/>
    <cellStyle name="Normal 3 11 2 2 4 2" xfId="15202"/>
    <cellStyle name="Normal 3 13 4 2" xfId="15203"/>
    <cellStyle name="Normal 3 2 7 4 2" xfId="15204"/>
    <cellStyle name="Normal 3 3 7 4 2" xfId="15205"/>
    <cellStyle name="Normal 3 4 7 4 2" xfId="15206"/>
    <cellStyle name="Normal 3 5 7 4 2" xfId="15207"/>
    <cellStyle name="20% - Accent1 7 4 2" xfId="15208"/>
    <cellStyle name="40% - Accent1 7 4 2" xfId="15209"/>
    <cellStyle name="60% - Accent1 7 4 2" xfId="15210"/>
    <cellStyle name="20% - Accent2 7 4 2" xfId="15211"/>
    <cellStyle name="40% - Accent2 7 4 2" xfId="15212"/>
    <cellStyle name="60% - Accent2 7 4 2" xfId="15213"/>
    <cellStyle name="20% - Accent3 7 4 2" xfId="15214"/>
    <cellStyle name="40% - Accent3 7 4 2" xfId="15215"/>
    <cellStyle name="60% - Accent3 7 4 2" xfId="15216"/>
    <cellStyle name="20% - Accent4 7 4 2" xfId="15217"/>
    <cellStyle name="40% - Accent4 7 4 2" xfId="15218"/>
    <cellStyle name="60% - Accent4 7 4 2" xfId="15219"/>
    <cellStyle name="20% - Accent5 7 4 2" xfId="15220"/>
    <cellStyle name="40% - Accent5 7 4 2" xfId="15221"/>
    <cellStyle name="60% - Accent5 7 4 2" xfId="15222"/>
    <cellStyle name="20% - Accent6 7 4 2" xfId="15223"/>
    <cellStyle name="40% - Accent6 7 4 2" xfId="15224"/>
    <cellStyle name="60% - Accent6 7 4 2" xfId="15225"/>
    <cellStyle name="Normal 3 2 2 6 4 2" xfId="15226"/>
    <cellStyle name="Normal 3 3 2 6 4 2" xfId="15227"/>
    <cellStyle name="Normal 3 4 2 6 4 2" xfId="15228"/>
    <cellStyle name="Normal 3 5 2 6 4 2" xfId="15229"/>
    <cellStyle name="Normal 5 6 4 2" xfId="15230"/>
    <cellStyle name="Percent 3 6 4 2" xfId="15231"/>
    <cellStyle name="Note 2 6 4 2" xfId="15232"/>
    <cellStyle name="Normal 3 6 6 4 2" xfId="15233"/>
    <cellStyle name="Comma 2 8 5 2" xfId="15234"/>
    <cellStyle name="Comma 3 8 5 2" xfId="15235"/>
    <cellStyle name="Percent 4 6 4 2" xfId="15236"/>
    <cellStyle name="Normal 3 7 6 4 2" xfId="15237"/>
    <cellStyle name="Note 3 6 4 2" xfId="15238"/>
    <cellStyle name="20% - Accent1 2 6 4 2" xfId="15239"/>
    <cellStyle name="40% - Accent1 2 6 4 2" xfId="15240"/>
    <cellStyle name="60% - Accent1 2 6 4 2" xfId="15241"/>
    <cellStyle name="20% - Accent2 2 6 4 2" xfId="15242"/>
    <cellStyle name="40% - Accent2 2 6 4 2" xfId="15243"/>
    <cellStyle name="60% - Accent2 2 6 4 2" xfId="15244"/>
    <cellStyle name="20% - Accent3 2 6 4 2" xfId="15245"/>
    <cellStyle name="40% - Accent3 2 6 4 2" xfId="15246"/>
    <cellStyle name="60% - Accent3 2 6 4 2" xfId="15247"/>
    <cellStyle name="20% - Accent4 2 6 4 2" xfId="15248"/>
    <cellStyle name="40% - Accent4 2 6 4 2" xfId="15249"/>
    <cellStyle name="60% - Accent4 2 6 4 2" xfId="15250"/>
    <cellStyle name="20% - Accent5 2 6 4 2" xfId="15251"/>
    <cellStyle name="40% - Accent5 2 6 4 2" xfId="15252"/>
    <cellStyle name="60% - Accent5 2 6 4 2" xfId="15253"/>
    <cellStyle name="20% - Accent6 2 6 4 2" xfId="15254"/>
    <cellStyle name="40% - Accent6 2 6 4 2" xfId="15255"/>
    <cellStyle name="60% - Accent6 2 6 4 2" xfId="15256"/>
    <cellStyle name="Comma 2 2 7 5 2" xfId="15257"/>
    <cellStyle name="Comma 4 7 5 2" xfId="15258"/>
    <cellStyle name="Normal 3 8 6 4 2" xfId="15259"/>
    <cellStyle name="Normal 7 5 4 2" xfId="15260"/>
    <cellStyle name="Comma 5 5 5 2" xfId="15261"/>
    <cellStyle name="20% - Accent1 3 5 4 2" xfId="15262"/>
    <cellStyle name="40% - Accent1 3 5 4 2" xfId="15263"/>
    <cellStyle name="60% - Accent1 3 5 4 2" xfId="15264"/>
    <cellStyle name="20% - Accent2 3 5 4 2" xfId="15265"/>
    <cellStyle name="40% - Accent2 3 5 4 2" xfId="15266"/>
    <cellStyle name="60% - Accent2 3 5 4 2" xfId="15267"/>
    <cellStyle name="20% - Accent3 3 5 4 2" xfId="15268"/>
    <cellStyle name="40% - Accent3 3 5 4 2" xfId="15269"/>
    <cellStyle name="60% - Accent3 3 5 4 2" xfId="15270"/>
    <cellStyle name="20% - Accent4 3 5 4 2" xfId="15271"/>
    <cellStyle name="40% - Accent4 3 5 4 2" xfId="15272"/>
    <cellStyle name="60% - Accent4 3 5 4 2" xfId="15273"/>
    <cellStyle name="20% - Accent5 3 5 4 2" xfId="15274"/>
    <cellStyle name="40% - Accent5 3 5 4 2" xfId="15275"/>
    <cellStyle name="60% - Accent5 3 5 4 2" xfId="15276"/>
    <cellStyle name="20% - Accent6 3 5 4 2" xfId="15277"/>
    <cellStyle name="40% - Accent6 3 5 4 2" xfId="15278"/>
    <cellStyle name="60% - Accent6 3 5 4 2" xfId="15279"/>
    <cellStyle name="Normal 3 2 3 5 4 2" xfId="15280"/>
    <cellStyle name="Normal 3 3 3 5 4 2" xfId="15281"/>
    <cellStyle name="Normal 3 4 3 5 4 2" xfId="15282"/>
    <cellStyle name="Normal 3 5 3 5 4 2" xfId="15283"/>
    <cellStyle name="Normal 3 2 2 2 5 4 2" xfId="15284"/>
    <cellStyle name="Normal 3 3 2 2 5 4 2" xfId="15285"/>
    <cellStyle name="Normal 3 4 2 2 5 4 2" xfId="15286"/>
    <cellStyle name="Normal 3 5 2 2 5 4 2" xfId="15287"/>
    <cellStyle name="Normal 5 2 5 4 2" xfId="15288"/>
    <cellStyle name="Percent 3 2 5 4 2" xfId="15289"/>
    <cellStyle name="Note 2 2 5 4 2" xfId="15290"/>
    <cellStyle name="Normal 3 6 2 5 4 2" xfId="15291"/>
    <cellStyle name="Comma 2 3 5 5 2" xfId="15292"/>
    <cellStyle name="Comma 3 2 5 5 2" xfId="15293"/>
    <cellStyle name="Percent 4 2 5 4 2" xfId="15294"/>
    <cellStyle name="Normal 3 7 2 5 4 2" xfId="15295"/>
    <cellStyle name="Note 3 2 5 4 2" xfId="15296"/>
    <cellStyle name="20% - Accent1 2 2 5 4 2" xfId="15297"/>
    <cellStyle name="40% - Accent1 2 2 5 4 2" xfId="15298"/>
    <cellStyle name="60% - Accent1 2 2 5 4 2" xfId="15299"/>
    <cellStyle name="20% - Accent2 2 2 5 4 2" xfId="15300"/>
    <cellStyle name="40% - Accent2 2 2 5 4 2" xfId="15301"/>
    <cellStyle name="60% - Accent2 2 2 5 4 2" xfId="15302"/>
    <cellStyle name="20% - Accent3 2 2 5 4 2" xfId="15303"/>
    <cellStyle name="40% - Accent3 2 2 5 4 2" xfId="15304"/>
    <cellStyle name="60% - Accent3 2 2 5 4 2" xfId="15305"/>
    <cellStyle name="20% - Accent4 2 2 5 4 2" xfId="15306"/>
    <cellStyle name="40% - Accent4 2 2 5 4 2" xfId="15307"/>
    <cellStyle name="60% - Accent4 2 2 5 4 2" xfId="15308"/>
    <cellStyle name="20% - Accent5 2 2 5 4 2" xfId="15309"/>
    <cellStyle name="40% - Accent5 2 2 5 4 2" xfId="15310"/>
    <cellStyle name="60% - Accent5 2 2 5 4 2" xfId="15311"/>
    <cellStyle name="20% - Accent6 2 2 5 4 2" xfId="15312"/>
    <cellStyle name="40% - Accent6 2 2 5 4 2" xfId="15313"/>
    <cellStyle name="60% - Accent6 2 2 5 4 2" xfId="15314"/>
    <cellStyle name="Comma 2 2 2 5 5 2" xfId="15315"/>
    <cellStyle name="Comma 4 2 5 5 2" xfId="15316"/>
    <cellStyle name="Normal 3 8 2 5 4 2" xfId="15317"/>
    <cellStyle name="Normal 8 4 4 2" xfId="15318"/>
    <cellStyle name="Comma 6 4 5 2" xfId="15319"/>
    <cellStyle name="20% - Accent1 4 4 4 2" xfId="15320"/>
    <cellStyle name="40% - Accent1 4 4 4 2" xfId="15321"/>
    <cellStyle name="60% - Accent1 4 4 4 2" xfId="15322"/>
    <cellStyle name="20% - Accent2 4 4 4 2" xfId="15323"/>
    <cellStyle name="40% - Accent2 4 4 4 2" xfId="15324"/>
    <cellStyle name="60% - Accent2 4 4 4 2" xfId="15325"/>
    <cellStyle name="20% - Accent3 4 4 4 2" xfId="15326"/>
    <cellStyle name="40% - Accent3 4 4 4 2" xfId="15327"/>
    <cellStyle name="60% - Accent3 4 4 4 2" xfId="15328"/>
    <cellStyle name="20% - Accent4 4 4 4 2" xfId="15329"/>
    <cellStyle name="40% - Accent4 4 4 4 2" xfId="15330"/>
    <cellStyle name="60% - Accent4 4 4 4 2" xfId="15331"/>
    <cellStyle name="20% - Accent5 4 4 4 2" xfId="15332"/>
    <cellStyle name="40% - Accent5 4 4 4 2" xfId="15333"/>
    <cellStyle name="60% - Accent5 4 4 4 2" xfId="15334"/>
    <cellStyle name="20% - Accent6 4 4 4 2" xfId="15335"/>
    <cellStyle name="40% - Accent6 4 4 4 2" xfId="15336"/>
    <cellStyle name="60% - Accent6 4 4 4 2" xfId="15337"/>
    <cellStyle name="Normal 3 2 4 4 4 2" xfId="15338"/>
    <cellStyle name="Normal 3 3 4 4 4 2" xfId="15339"/>
    <cellStyle name="Normal 3 4 4 4 4 2" xfId="15340"/>
    <cellStyle name="Normal 3 5 4 4 4 2" xfId="15341"/>
    <cellStyle name="Normal 3 2 2 3 4 4 2" xfId="15342"/>
    <cellStyle name="Normal 3 3 2 3 4 4 2" xfId="15343"/>
    <cellStyle name="Normal 3 4 2 3 4 4 2" xfId="15344"/>
    <cellStyle name="Normal 3 5 2 3 4 4 2" xfId="15345"/>
    <cellStyle name="Normal 5 3 4 4 2" xfId="15346"/>
    <cellStyle name="Percent 3 3 4 4 2" xfId="15347"/>
    <cellStyle name="Note 2 3 4 4 2" xfId="15348"/>
    <cellStyle name="Normal 3 6 3 4 4 2" xfId="15349"/>
    <cellStyle name="Comma 2 5 4 5 2" xfId="15350"/>
    <cellStyle name="Comma 3 4 4 5 2" xfId="15351"/>
    <cellStyle name="Percent 4 3 4 4 2" xfId="15352"/>
    <cellStyle name="Normal 3 7 3 4 4 2" xfId="15353"/>
    <cellStyle name="Note 3 3 4 4 2" xfId="15354"/>
    <cellStyle name="20% - Accent1 2 3 4 4 2" xfId="15355"/>
    <cellStyle name="40% - Accent1 2 3 4 4 2" xfId="15356"/>
    <cellStyle name="60% - Accent1 2 3 4 4 2" xfId="15357"/>
    <cellStyle name="20% - Accent2 2 3 4 4 2" xfId="15358"/>
    <cellStyle name="40% - Accent2 2 3 4 4 2" xfId="15359"/>
    <cellStyle name="60% - Accent2 2 3 4 4 2" xfId="15360"/>
    <cellStyle name="20% - Accent3 2 3 4 4 2" xfId="15361"/>
    <cellStyle name="40% - Accent3 2 3 4 4 2" xfId="15362"/>
    <cellStyle name="60% - Accent3 2 3 4 4 2" xfId="15363"/>
    <cellStyle name="20% - Accent4 2 3 4 4 2" xfId="15364"/>
    <cellStyle name="40% - Accent4 2 3 4 4 2" xfId="15365"/>
    <cellStyle name="60% - Accent4 2 3 4 4 2" xfId="15366"/>
    <cellStyle name="20% - Accent5 2 3 4 4 2" xfId="15367"/>
    <cellStyle name="40% - Accent5 2 3 4 4 2" xfId="15368"/>
    <cellStyle name="60% - Accent5 2 3 4 4 2" xfId="15369"/>
    <cellStyle name="20% - Accent6 2 3 4 4 2" xfId="15370"/>
    <cellStyle name="40% - Accent6 2 3 4 4 2" xfId="15371"/>
    <cellStyle name="60% - Accent6 2 3 4 4 2" xfId="15372"/>
    <cellStyle name="Comma 2 2 4 4 5 2" xfId="15373"/>
    <cellStyle name="Comma 4 4 4 5 2" xfId="15374"/>
    <cellStyle name="Normal 3 8 3 4 4 2" xfId="15375"/>
    <cellStyle name="Comma 2 4 4 5 2" xfId="15376"/>
    <cellStyle name="Comma 3 3 4 5 2" xfId="15377"/>
    <cellStyle name="Comma 2 2 3 4 5 2" xfId="15378"/>
    <cellStyle name="Comma 4 3 4 5 2" xfId="15379"/>
    <cellStyle name="Normal 7 2 4 4 2" xfId="15380"/>
    <cellStyle name="Comma 5 2 4 5 2" xfId="15381"/>
    <cellStyle name="20% - Accent1 3 2 4 4 2" xfId="15382"/>
    <cellStyle name="40% - Accent1 3 2 4 4 2" xfId="15383"/>
    <cellStyle name="60% - Accent1 3 2 4 4 2" xfId="15384"/>
    <cellStyle name="20% - Accent2 3 2 4 4 2" xfId="15385"/>
    <cellStyle name="40% - Accent2 3 2 4 4 2" xfId="15386"/>
    <cellStyle name="60% - Accent2 3 2 4 4 2" xfId="15387"/>
    <cellStyle name="20% - Accent3 3 2 4 4 2" xfId="15388"/>
    <cellStyle name="40% - Accent3 3 2 4 4 2" xfId="15389"/>
    <cellStyle name="60% - Accent3 3 2 4 4 2" xfId="15390"/>
    <cellStyle name="20% - Accent4 3 2 4 4 2" xfId="15391"/>
    <cellStyle name="40% - Accent4 3 2 4 4 2" xfId="15392"/>
    <cellStyle name="60% - Accent4 3 2 4 4 2" xfId="15393"/>
    <cellStyle name="20% - Accent5 3 2 4 4 2" xfId="15394"/>
    <cellStyle name="40% - Accent5 3 2 4 4 2" xfId="15395"/>
    <cellStyle name="60% - Accent5 3 2 4 4 2" xfId="15396"/>
    <cellStyle name="20% - Accent6 3 2 4 4 2" xfId="15397"/>
    <cellStyle name="40% - Accent6 3 2 4 4 2" xfId="15398"/>
    <cellStyle name="60% - Accent6 3 2 4 4 2" xfId="15399"/>
    <cellStyle name="Normal 3 2 3 2 4 4 2" xfId="15400"/>
    <cellStyle name="Normal 3 3 3 2 4 4 2" xfId="15401"/>
    <cellStyle name="Normal 3 4 3 2 4 4 2" xfId="15402"/>
    <cellStyle name="Normal 3 5 3 2 4 4 2" xfId="15403"/>
    <cellStyle name="Normal 3 2 2 2 2 4 4 2" xfId="15404"/>
    <cellStyle name="Normal 3 3 2 2 2 4 4 2" xfId="15405"/>
    <cellStyle name="Normal 3 4 2 2 2 4 4 2" xfId="15406"/>
    <cellStyle name="Normal 3 5 2 2 2 4 4 2" xfId="15407"/>
    <cellStyle name="Normal 5 2 2 4 4 2" xfId="15408"/>
    <cellStyle name="Percent 3 2 2 4 4 2" xfId="15409"/>
    <cellStyle name="Note 2 2 2 4 4 2" xfId="15410"/>
    <cellStyle name="Normal 3 6 2 2 4 4 2" xfId="15411"/>
    <cellStyle name="Comma 2 3 2 4 5 2" xfId="15412"/>
    <cellStyle name="Comma 3 2 2 4 5 2" xfId="15413"/>
    <cellStyle name="Percent 4 2 2 4 4 2" xfId="15414"/>
    <cellStyle name="Normal 3 7 2 2 4 4 2" xfId="15415"/>
    <cellStyle name="Note 3 2 2 4 4 2" xfId="15416"/>
    <cellStyle name="20% - Accent1 2 2 2 4 4 2" xfId="15417"/>
    <cellStyle name="40% - Accent1 2 2 2 4 4 2" xfId="15418"/>
    <cellStyle name="60% - Accent1 2 2 2 4 4 2" xfId="15419"/>
    <cellStyle name="20% - Accent2 2 2 2 4 4 2" xfId="15420"/>
    <cellStyle name="40% - Accent2 2 2 2 4 4 2" xfId="15421"/>
    <cellStyle name="60% - Accent2 2 2 2 4 4 2" xfId="15422"/>
    <cellStyle name="20% - Accent3 2 2 2 4 4 2" xfId="15423"/>
    <cellStyle name="40% - Accent3 2 2 2 4 4 2" xfId="15424"/>
    <cellStyle name="60% - Accent3 2 2 2 4 4 2" xfId="15425"/>
    <cellStyle name="20% - Accent4 2 2 2 4 4 2" xfId="15426"/>
    <cellStyle name="40% - Accent4 2 2 2 4 4 2" xfId="15427"/>
    <cellStyle name="60% - Accent4 2 2 2 4 4 2" xfId="15428"/>
    <cellStyle name="20% - Accent5 2 2 2 4 4 2" xfId="15429"/>
    <cellStyle name="40% - Accent5 2 2 2 4 4 2" xfId="15430"/>
    <cellStyle name="60% - Accent5 2 2 2 4 4 2" xfId="15431"/>
    <cellStyle name="20% - Accent6 2 2 2 4 4 2" xfId="15432"/>
    <cellStyle name="40% - Accent6 2 2 2 4 4 2" xfId="15433"/>
    <cellStyle name="60% - Accent6 2 2 2 4 4 2" xfId="15434"/>
    <cellStyle name="Comma 2 2 2 2 4 5 2" xfId="15435"/>
    <cellStyle name="Comma 4 2 2 4 5 2" xfId="15436"/>
    <cellStyle name="Normal 3 8 2 2 4 4 2" xfId="15437"/>
    <cellStyle name="Normal 3 10 4 4 2" xfId="15438"/>
    <cellStyle name="Normal 3 11 4 4 2" xfId="15439"/>
    <cellStyle name="Normal 12 4 2" xfId="15440"/>
    <cellStyle name="Percent 8 4 2" xfId="15441"/>
    <cellStyle name="Note 4 4 2" xfId="15442"/>
    <cellStyle name="20% - Accent1 8 4 2" xfId="15443"/>
    <cellStyle name="40% - Accent1 8 4 2" xfId="15444"/>
    <cellStyle name="60% - Accent1 8 4 2" xfId="15445"/>
    <cellStyle name="20% - Accent2 8 4 2" xfId="15446"/>
    <cellStyle name="40% - Accent2 8 4 2" xfId="15447"/>
    <cellStyle name="60% - Accent2 8 4 2" xfId="15448"/>
    <cellStyle name="20% - Accent3 8 4 2" xfId="15449"/>
    <cellStyle name="40% - Accent3 8 4 2" xfId="15450"/>
    <cellStyle name="60% - Accent3 8 4 2" xfId="15451"/>
    <cellStyle name="20% - Accent4 8 4 2" xfId="15452"/>
    <cellStyle name="40% - Accent4 8 4 2" xfId="15453"/>
    <cellStyle name="60% - Accent4 8 4 2" xfId="15454"/>
    <cellStyle name="20% - Accent5 8 4 2" xfId="15455"/>
    <cellStyle name="40% - Accent5 8 4 2" xfId="15456"/>
    <cellStyle name="60% - Accent5 8 4 2" xfId="15457"/>
    <cellStyle name="20% - Accent6 8 4 2" xfId="15458"/>
    <cellStyle name="40% - Accent6 8 4 2" xfId="15459"/>
    <cellStyle name="60% - Accent6 8 4 2" xfId="15460"/>
    <cellStyle name="Comma 2 9 5 2" xfId="15461"/>
    <cellStyle name="Comma 7 5 2" xfId="15462"/>
    <cellStyle name="Normal 13 6 2" xfId="15463"/>
    <cellStyle name="Comma 8 4 2" xfId="15464"/>
    <cellStyle name="20% - Accent1 9 4 2" xfId="15465"/>
    <cellStyle name="40% - Accent1 9 4 2" xfId="15466"/>
    <cellStyle name="60% - Accent1 9 4 2" xfId="15467"/>
    <cellStyle name="20% - Accent2 9 4 2" xfId="15468"/>
    <cellStyle name="40% - Accent2 9 4 2" xfId="15469"/>
    <cellStyle name="60% - Accent2 9 4 2" xfId="15470"/>
    <cellStyle name="20% - Accent3 9 4 2" xfId="15471"/>
    <cellStyle name="40% - Accent3 9 4 2" xfId="15472"/>
    <cellStyle name="60% - Accent3 9 4 2" xfId="15473"/>
    <cellStyle name="20% - Accent4 9 4 2" xfId="15474"/>
    <cellStyle name="40% - Accent4 9 4 2" xfId="15475"/>
    <cellStyle name="60% - Accent4 9 4 2" xfId="15476"/>
    <cellStyle name="20% - Accent5 9 4 2" xfId="15477"/>
    <cellStyle name="40% - Accent5 9 4 2" xfId="15478"/>
    <cellStyle name="60% - Accent5 9 4 2" xfId="15479"/>
    <cellStyle name="20% - Accent6 9 4 2" xfId="15480"/>
    <cellStyle name="40% - Accent6 9 4 2" xfId="15481"/>
    <cellStyle name="60% - Accent6 9 4 2" xfId="15482"/>
    <cellStyle name="Normal 3 2 8 4 2" xfId="15483"/>
    <cellStyle name="Normal 3 3 8 4 2" xfId="15484"/>
    <cellStyle name="Normal 3 4 8 4 2" xfId="15485"/>
    <cellStyle name="Normal 3 5 8 4 2" xfId="15486"/>
    <cellStyle name="Normal 3 2 2 7 4 2" xfId="15487"/>
    <cellStyle name="Normal 3 3 2 7 4 2" xfId="15488"/>
    <cellStyle name="Normal 3 4 2 7 4 2" xfId="15489"/>
    <cellStyle name="Normal 3 5 2 7 4 2" xfId="15490"/>
    <cellStyle name="Normal 5 7 4 2" xfId="15491"/>
    <cellStyle name="Percent 3 7 4 2" xfId="15492"/>
    <cellStyle name="Note 2 7 4 2" xfId="15493"/>
    <cellStyle name="Normal 3 6 7 4 2" xfId="15494"/>
    <cellStyle name="Comma 2 10 4 2" xfId="15495"/>
    <cellStyle name="Comma 3 9 4 2" xfId="15496"/>
    <cellStyle name="Percent 4 7 4 2" xfId="15497"/>
    <cellStyle name="Normal 3 7 7 4 2" xfId="15498"/>
    <cellStyle name="Note 3 7 4 2" xfId="15499"/>
    <cellStyle name="20% - Accent1 2 7 4 2" xfId="15500"/>
    <cellStyle name="40% - Accent1 2 7 4 2" xfId="15501"/>
    <cellStyle name="60% - Accent1 2 7 4 2" xfId="15502"/>
    <cellStyle name="20% - Accent2 2 7 4 2" xfId="15503"/>
    <cellStyle name="40% - Accent2 2 7 4 2" xfId="15504"/>
    <cellStyle name="60% - Accent2 2 7 4 2" xfId="15505"/>
    <cellStyle name="20% - Accent3 2 7 4 2" xfId="15506"/>
    <cellStyle name="40% - Accent3 2 7 4 2" xfId="15507"/>
    <cellStyle name="60% - Accent3 2 7 4 2" xfId="15508"/>
    <cellStyle name="20% - Accent4 2 7 4 2" xfId="15509"/>
    <cellStyle name="40% - Accent4 2 7 4 2" xfId="15510"/>
    <cellStyle name="60% - Accent4 2 7 4 2" xfId="15511"/>
    <cellStyle name="20% - Accent5 2 7 4 2" xfId="15512"/>
    <cellStyle name="40% - Accent5 2 7 4 2" xfId="15513"/>
    <cellStyle name="60% - Accent5 2 7 4 2" xfId="15514"/>
    <cellStyle name="20% - Accent6 2 7 4 2" xfId="15515"/>
    <cellStyle name="40% - Accent6 2 7 4 2" xfId="15516"/>
    <cellStyle name="60% - Accent6 2 7 4 2" xfId="15517"/>
    <cellStyle name="Comma 2 2 8 4 2" xfId="15518"/>
    <cellStyle name="Comma 4 8 4 2" xfId="15519"/>
    <cellStyle name="Normal 3 8 7 4 2" xfId="15520"/>
    <cellStyle name="Comma 2 4 5 4 2" xfId="15521"/>
    <cellStyle name="Comma 3 3 5 4 2" xfId="15522"/>
    <cellStyle name="Comma 2 2 3 5 4 2" xfId="15523"/>
    <cellStyle name="Comma 4 3 5 4 2" xfId="15524"/>
    <cellStyle name="Normal 7 6 4 2" xfId="15525"/>
    <cellStyle name="Comma 5 6 4 2" xfId="15526"/>
    <cellStyle name="20% - Accent1 3 6 4 2" xfId="15527"/>
    <cellStyle name="40% - Accent1 3 6 4 2" xfId="15528"/>
    <cellStyle name="60% - Accent1 3 6 4 2" xfId="15529"/>
    <cellStyle name="20% - Accent2 3 6 4 2" xfId="15530"/>
    <cellStyle name="40% - Accent2 3 6 4 2" xfId="15531"/>
    <cellStyle name="60% - Accent2 3 6 4 2" xfId="15532"/>
    <cellStyle name="20% - Accent3 3 6 4 2" xfId="15533"/>
    <cellStyle name="40% - Accent3 3 6 4 2" xfId="15534"/>
    <cellStyle name="60% - Accent3 3 6 4 2" xfId="15535"/>
    <cellStyle name="20% - Accent4 3 6 4 2" xfId="15536"/>
    <cellStyle name="40% - Accent4 3 6 4 2" xfId="15537"/>
    <cellStyle name="60% - Accent4 3 6 4 2" xfId="15538"/>
    <cellStyle name="20% - Accent5 3 6 4 2" xfId="15539"/>
    <cellStyle name="40% - Accent5 3 6 4 2" xfId="15540"/>
    <cellStyle name="60% - Accent5 3 6 4 2" xfId="15541"/>
    <cellStyle name="20% - Accent6 3 6 4 2" xfId="15542"/>
    <cellStyle name="40% - Accent6 3 6 4 2" xfId="15543"/>
    <cellStyle name="60% - Accent6 3 6 4 2" xfId="15544"/>
    <cellStyle name="Normal 3 2 3 6 4 2" xfId="15545"/>
    <cellStyle name="Normal 3 3 3 6 4 2" xfId="15546"/>
    <cellStyle name="Normal 3 4 3 6 4 2" xfId="15547"/>
    <cellStyle name="Normal 3 5 3 6 4 2" xfId="15548"/>
    <cellStyle name="Normal 3 2 2 2 6 4 2" xfId="15549"/>
    <cellStyle name="Normal 3 3 2 2 6 4 2" xfId="15550"/>
    <cellStyle name="Normal 3 4 2 2 6 4 2" xfId="15551"/>
    <cellStyle name="Normal 3 5 2 2 6 4 2" xfId="15552"/>
    <cellStyle name="Normal 5 2 6 4 2" xfId="15553"/>
    <cellStyle name="Percent 3 2 6 4 2" xfId="15554"/>
    <cellStyle name="Note 2 2 6 4 2" xfId="15555"/>
    <cellStyle name="Normal 3 6 2 6 4 2" xfId="15556"/>
    <cellStyle name="Comma 2 3 6 4 2" xfId="15557"/>
    <cellStyle name="Comma 3 2 6 4 2" xfId="15558"/>
    <cellStyle name="Percent 4 2 6 4 2" xfId="15559"/>
    <cellStyle name="Normal 3 7 2 6 4 2" xfId="15560"/>
    <cellStyle name="Note 3 2 6 4 2" xfId="15561"/>
    <cellStyle name="20% - Accent1 2 2 6 4 2" xfId="15562"/>
    <cellStyle name="40% - Accent1 2 2 6 4 2" xfId="15563"/>
    <cellStyle name="60% - Accent1 2 2 6 4 2" xfId="15564"/>
    <cellStyle name="20% - Accent2 2 2 6 4 2" xfId="15565"/>
    <cellStyle name="40% - Accent2 2 2 6 4 2" xfId="15566"/>
    <cellStyle name="60% - Accent2 2 2 6 4 2" xfId="15567"/>
    <cellStyle name="20% - Accent3 2 2 6 4 2" xfId="15568"/>
    <cellStyle name="40% - Accent3 2 2 6 4 2" xfId="15569"/>
    <cellStyle name="60% - Accent3 2 2 6 4 2" xfId="15570"/>
    <cellStyle name="20% - Accent4 2 2 6 4 2" xfId="15571"/>
    <cellStyle name="40% - Accent4 2 2 6 4 2" xfId="15572"/>
    <cellStyle name="60% - Accent4 2 2 6 4 2" xfId="15573"/>
    <cellStyle name="20% - Accent5 2 2 6 4 2" xfId="15574"/>
    <cellStyle name="40% - Accent5 2 2 6 4 2" xfId="15575"/>
    <cellStyle name="60% - Accent5 2 2 6 4 2" xfId="15576"/>
    <cellStyle name="20% - Accent6 2 2 6 4 2" xfId="15577"/>
    <cellStyle name="40% - Accent6 2 2 6 4 2" xfId="15578"/>
    <cellStyle name="60% - Accent6 2 2 6 4 2" xfId="15579"/>
    <cellStyle name="Comma 2 2 2 6 4 2" xfId="15580"/>
    <cellStyle name="Comma 4 2 6 4 2" xfId="15581"/>
    <cellStyle name="Normal 3 8 2 6 4 2" xfId="15582"/>
    <cellStyle name="20% - Accent1 10 3 2" xfId="15583"/>
    <cellStyle name="40% - Accent1 10 3 2" xfId="15584"/>
    <cellStyle name="60% - Accent1 10 3 2" xfId="15585"/>
    <cellStyle name="20% - Accent2 10 3 2" xfId="15586"/>
    <cellStyle name="40% - Accent2 10 3 2" xfId="15587"/>
    <cellStyle name="60% - Accent2 10 3 2" xfId="15588"/>
    <cellStyle name="20% - Accent3 10 3 2" xfId="15589"/>
    <cellStyle name="40% - Accent3 10 3 2" xfId="15590"/>
    <cellStyle name="60% - Accent3 10 3 2" xfId="15591"/>
    <cellStyle name="20% - Accent4 10 3 2" xfId="15592"/>
    <cellStyle name="40% - Accent4 10 3 2" xfId="15593"/>
    <cellStyle name="60% - Accent4 10 3 2" xfId="15594"/>
    <cellStyle name="20% - Accent5 10 3 2" xfId="15595"/>
    <cellStyle name="40% - Accent5 10 3 2" xfId="15596"/>
    <cellStyle name="60% - Accent5 10 3 2" xfId="15597"/>
    <cellStyle name="20% - Accent6 10 3 2" xfId="15598"/>
    <cellStyle name="40% - Accent6 10 3 2" xfId="15599"/>
    <cellStyle name="60% - Accent6 10 3 2" xfId="15600"/>
    <cellStyle name="Normal 3 2 9 3 2" xfId="15601"/>
    <cellStyle name="Normal 3 3 9 3 2" xfId="15602"/>
    <cellStyle name="Normal 3 4 9 3 2" xfId="15603"/>
    <cellStyle name="Normal 3 5 9 3 2" xfId="15604"/>
    <cellStyle name="Normal 3 2 2 8 3 2" xfId="15605"/>
    <cellStyle name="Normal 3 3 2 8 3 2" xfId="15606"/>
    <cellStyle name="Normal 3 4 2 8 3 2" xfId="15607"/>
    <cellStyle name="Normal 3 5 2 8 3 2" xfId="15608"/>
    <cellStyle name="Normal 5 8 3 2" xfId="15609"/>
    <cellStyle name="Percent 3 8 3 2" xfId="15610"/>
    <cellStyle name="Note 2 8 3 2" xfId="15611"/>
    <cellStyle name="Normal 3 6 8 3 2" xfId="15612"/>
    <cellStyle name="Comma 2 12 3 2" xfId="15613"/>
    <cellStyle name="Comma 3 11 3 2" xfId="15614"/>
    <cellStyle name="Percent 4 8 3 2" xfId="15615"/>
    <cellStyle name="Normal 3 7 8 3 2" xfId="15616"/>
    <cellStyle name="Note 3 8 3 2" xfId="15617"/>
    <cellStyle name="20% - Accent1 2 8 3 2" xfId="15618"/>
    <cellStyle name="40% - Accent1 2 8 3 2" xfId="15619"/>
    <cellStyle name="60% - Accent1 2 8 3 2" xfId="15620"/>
    <cellStyle name="20% - Accent2 2 8 3 2" xfId="15621"/>
    <cellStyle name="40% - Accent2 2 8 3 2" xfId="15622"/>
    <cellStyle name="60% - Accent2 2 8 3 2" xfId="15623"/>
    <cellStyle name="20% - Accent3 2 8 3 2" xfId="15624"/>
    <cellStyle name="40% - Accent3 2 8 3 2" xfId="15625"/>
    <cellStyle name="60% - Accent3 2 8 3 2" xfId="15626"/>
    <cellStyle name="20% - Accent4 2 8 3 2" xfId="15627"/>
    <cellStyle name="40% - Accent4 2 8 3 2" xfId="15628"/>
    <cellStyle name="60% - Accent4 2 8 3 2" xfId="15629"/>
    <cellStyle name="20% - Accent5 2 8 3 2" xfId="15630"/>
    <cellStyle name="40% - Accent5 2 8 3 2" xfId="15631"/>
    <cellStyle name="60% - Accent5 2 8 3 2" xfId="15632"/>
    <cellStyle name="20% - Accent6 2 8 3 2" xfId="15633"/>
    <cellStyle name="40% - Accent6 2 8 3 2" xfId="15634"/>
    <cellStyle name="60% - Accent6 2 8 3 2" xfId="15635"/>
    <cellStyle name="Comma 2 2 10 3 2" xfId="15636"/>
    <cellStyle name="Comma 4 10 3 2" xfId="15637"/>
    <cellStyle name="Normal 3 8 8 3 2" xfId="15638"/>
    <cellStyle name="Normal 7 7 3 2" xfId="15639"/>
    <cellStyle name="Comma 5 8 3 2" xfId="15640"/>
    <cellStyle name="20% - Accent1 3 7 3 2" xfId="15641"/>
    <cellStyle name="40% - Accent1 3 7 3 2" xfId="15642"/>
    <cellStyle name="60% - Accent1 3 7 3 2" xfId="15643"/>
    <cellStyle name="20% - Accent2 3 7 3 2" xfId="15644"/>
    <cellStyle name="40% - Accent2 3 7 3 2" xfId="15645"/>
    <cellStyle name="60% - Accent2 3 7 3 2" xfId="15646"/>
    <cellStyle name="20% - Accent3 3 7 3 2" xfId="15647"/>
    <cellStyle name="40% - Accent3 3 7 3 2" xfId="15648"/>
    <cellStyle name="60% - Accent3 3 7 3 2" xfId="15649"/>
    <cellStyle name="20% - Accent4 3 7 3 2" xfId="15650"/>
    <cellStyle name="40% - Accent4 3 7 3 2" xfId="15651"/>
    <cellStyle name="60% - Accent4 3 7 3 2" xfId="15652"/>
    <cellStyle name="20% - Accent5 3 7 3 2" xfId="15653"/>
    <cellStyle name="40% - Accent5 3 7 3 2" xfId="15654"/>
    <cellStyle name="60% - Accent5 3 7 3 2" xfId="15655"/>
    <cellStyle name="20% - Accent6 3 7 3 2" xfId="15656"/>
    <cellStyle name="40% - Accent6 3 7 3 2" xfId="15657"/>
    <cellStyle name="60% - Accent6 3 7 3 2" xfId="15658"/>
    <cellStyle name="Normal 3 2 3 7 3 2" xfId="15659"/>
    <cellStyle name="Normal 3 3 3 7 3 2" xfId="15660"/>
    <cellStyle name="Normal 3 4 3 7 3 2" xfId="15661"/>
    <cellStyle name="Normal 3 5 3 7 3 2" xfId="15662"/>
    <cellStyle name="Normal 3 2 2 2 7 3 2" xfId="15663"/>
    <cellStyle name="Normal 3 3 2 2 7 3 2" xfId="15664"/>
    <cellStyle name="Normal 3 4 2 2 7 3 2" xfId="15665"/>
    <cellStyle name="Normal 3 5 2 2 7 3 2" xfId="15666"/>
    <cellStyle name="Normal 5 2 7 3 2" xfId="15667"/>
    <cellStyle name="Percent 3 2 7 3 2" xfId="15668"/>
    <cellStyle name="Note 2 2 7 3 2" xfId="15669"/>
    <cellStyle name="Normal 3 6 2 7 3 2" xfId="15670"/>
    <cellStyle name="Comma 2 3 8 3 2" xfId="15671"/>
    <cellStyle name="Comma 3 2 8 3 2" xfId="15672"/>
    <cellStyle name="Percent 4 2 7 3 2" xfId="15673"/>
    <cellStyle name="Normal 3 7 2 7 3 2" xfId="15674"/>
    <cellStyle name="Note 3 2 7 3 2" xfId="15675"/>
    <cellStyle name="20% - Accent1 2 2 7 3 2" xfId="15676"/>
    <cellStyle name="40% - Accent1 2 2 7 3 2" xfId="15677"/>
    <cellStyle name="60% - Accent1 2 2 7 3 2" xfId="15678"/>
    <cellStyle name="20% - Accent2 2 2 7 3 2" xfId="15679"/>
    <cellStyle name="40% - Accent2 2 2 7 3 2" xfId="15680"/>
    <cellStyle name="60% - Accent2 2 2 7 3 2" xfId="15681"/>
    <cellStyle name="20% - Accent3 2 2 7 3 2" xfId="15682"/>
    <cellStyle name="40% - Accent3 2 2 7 3 2" xfId="15683"/>
    <cellStyle name="60% - Accent3 2 2 7 3 2" xfId="15684"/>
    <cellStyle name="20% - Accent4 2 2 7 3 2" xfId="15685"/>
    <cellStyle name="40% - Accent4 2 2 7 3 2" xfId="15686"/>
    <cellStyle name="60% - Accent4 2 2 7 3 2" xfId="15687"/>
    <cellStyle name="20% - Accent5 2 2 7 3 2" xfId="15688"/>
    <cellStyle name="40% - Accent5 2 2 7 3 2" xfId="15689"/>
    <cellStyle name="60% - Accent5 2 2 7 3 2" xfId="15690"/>
    <cellStyle name="20% - Accent6 2 2 7 3 2" xfId="15691"/>
    <cellStyle name="40% - Accent6 2 2 7 3 2" xfId="15692"/>
    <cellStyle name="60% - Accent6 2 2 7 3 2" xfId="15693"/>
    <cellStyle name="Comma 2 2 2 8 3 2" xfId="15694"/>
    <cellStyle name="Comma 4 2 8 3 2" xfId="15695"/>
    <cellStyle name="Normal 3 8 2 7 3 2" xfId="15696"/>
    <cellStyle name="Normal 8 5 3 2" xfId="15697"/>
    <cellStyle name="Comma 6 6 3 2" xfId="15698"/>
    <cellStyle name="20% - Accent1 4 5 3 2" xfId="15699"/>
    <cellStyle name="40% - Accent1 4 5 3 2" xfId="15700"/>
    <cellStyle name="60% - Accent1 4 5 3 2" xfId="15701"/>
    <cellStyle name="20% - Accent2 4 5 3 2" xfId="15702"/>
    <cellStyle name="40% - Accent2 4 5 3 2" xfId="15703"/>
    <cellStyle name="60% - Accent2 4 5 3 2" xfId="15704"/>
    <cellStyle name="20% - Accent3 4 5 3 2" xfId="15705"/>
    <cellStyle name="40% - Accent3 4 5 3 2" xfId="15706"/>
    <cellStyle name="60% - Accent3 4 5 3 2" xfId="15707"/>
    <cellStyle name="20% - Accent4 4 5 3 2" xfId="15708"/>
    <cellStyle name="40% - Accent4 4 5 3 2" xfId="15709"/>
    <cellStyle name="60% - Accent4 4 5 3 2" xfId="15710"/>
    <cellStyle name="20% - Accent5 4 5 3 2" xfId="15711"/>
    <cellStyle name="40% - Accent5 4 5 3 2" xfId="15712"/>
    <cellStyle name="60% - Accent5 4 5 3 2" xfId="15713"/>
    <cellStyle name="20% - Accent6 4 5 3 2" xfId="15714"/>
    <cellStyle name="40% - Accent6 4 5 3 2" xfId="15715"/>
    <cellStyle name="60% - Accent6 4 5 3 2" xfId="15716"/>
    <cellStyle name="Normal 3 2 4 5 3 2" xfId="15717"/>
    <cellStyle name="Normal 3 3 4 5 3 2" xfId="15718"/>
    <cellStyle name="Normal 3 4 4 5 3 2" xfId="15719"/>
    <cellStyle name="Normal 3 5 4 5 3 2" xfId="15720"/>
    <cellStyle name="Normal 3 2 2 3 5 3 2" xfId="15721"/>
    <cellStyle name="Normal 3 3 2 3 5 3 2" xfId="15722"/>
    <cellStyle name="Normal 3 4 2 3 5 3 2" xfId="15723"/>
    <cellStyle name="Normal 3 5 2 3 5 3 2" xfId="15724"/>
    <cellStyle name="Normal 5 3 5 3 2" xfId="15725"/>
    <cellStyle name="Percent 3 3 5 3 2" xfId="15726"/>
    <cellStyle name="Note 2 3 5 3 2" xfId="15727"/>
    <cellStyle name="Normal 3 6 3 5 3 2" xfId="15728"/>
    <cellStyle name="Comma 2 5 6 3 2" xfId="15729"/>
    <cellStyle name="Comma 3 4 6 3 2" xfId="15730"/>
    <cellStyle name="Percent 4 3 5 3 2" xfId="15731"/>
    <cellStyle name="Normal 3 7 3 5 3 2" xfId="15732"/>
    <cellStyle name="Note 3 3 5 3 2" xfId="15733"/>
    <cellStyle name="20% - Accent1 2 3 5 3 2" xfId="15734"/>
    <cellStyle name="40% - Accent1 2 3 5 3 2" xfId="15735"/>
    <cellStyle name="60% - Accent1 2 3 5 3 2" xfId="15736"/>
    <cellStyle name="20% - Accent2 2 3 5 3 2" xfId="15737"/>
    <cellStyle name="40% - Accent2 2 3 5 3 2" xfId="15738"/>
    <cellStyle name="60% - Accent2 2 3 5 3 2" xfId="15739"/>
    <cellStyle name="20% - Accent3 2 3 5 3 2" xfId="15740"/>
    <cellStyle name="40% - Accent3 2 3 5 3 2" xfId="15741"/>
    <cellStyle name="60% - Accent3 2 3 5 3 2" xfId="15742"/>
    <cellStyle name="20% - Accent4 2 3 5 3 2" xfId="15743"/>
    <cellStyle name="40% - Accent4 2 3 5 3 2" xfId="15744"/>
    <cellStyle name="60% - Accent4 2 3 5 3 2" xfId="15745"/>
    <cellStyle name="20% - Accent5 2 3 5 3 2" xfId="15746"/>
    <cellStyle name="40% - Accent5 2 3 5 3 2" xfId="15747"/>
    <cellStyle name="60% - Accent5 2 3 5 3 2" xfId="15748"/>
    <cellStyle name="20% - Accent6 2 3 5 3 2" xfId="15749"/>
    <cellStyle name="40% - Accent6 2 3 5 3 2" xfId="15750"/>
    <cellStyle name="60% - Accent6 2 3 5 3 2" xfId="15751"/>
    <cellStyle name="Comma 2 2 4 6 3 2" xfId="15752"/>
    <cellStyle name="Comma 4 4 6 3 2" xfId="15753"/>
    <cellStyle name="Normal 3 8 3 5 3 2" xfId="15754"/>
    <cellStyle name="Comma 2 4 7 3 2" xfId="15755"/>
    <cellStyle name="Comma 3 3 7 3 2" xfId="15756"/>
    <cellStyle name="Comma 2 2 3 7 3 2" xfId="15757"/>
    <cellStyle name="Comma 4 3 7 3 2" xfId="15758"/>
    <cellStyle name="Normal 7 2 5 3 2" xfId="15759"/>
    <cellStyle name="Comma 5 2 6 3 2" xfId="15760"/>
    <cellStyle name="20% - Accent1 3 2 5 3 2" xfId="15761"/>
    <cellStyle name="40% - Accent1 3 2 5 3 2" xfId="15762"/>
    <cellStyle name="60% - Accent1 3 2 5 3 2" xfId="15763"/>
    <cellStyle name="20% - Accent2 3 2 5 3 2" xfId="15764"/>
    <cellStyle name="40% - Accent2 3 2 5 3 2" xfId="15765"/>
    <cellStyle name="60% - Accent2 3 2 5 3 2" xfId="15766"/>
    <cellStyle name="20% - Accent3 3 2 5 3 2" xfId="15767"/>
    <cellStyle name="40% - Accent3 3 2 5 3 2" xfId="15768"/>
    <cellStyle name="60% - Accent3 3 2 5 3 2" xfId="15769"/>
    <cellStyle name="20% - Accent4 3 2 5 3 2" xfId="15770"/>
    <cellStyle name="40% - Accent4 3 2 5 3 2" xfId="15771"/>
    <cellStyle name="60% - Accent4 3 2 5 3 2" xfId="15772"/>
    <cellStyle name="20% - Accent5 3 2 5 3 2" xfId="15773"/>
    <cellStyle name="40% - Accent5 3 2 5 3 2" xfId="15774"/>
    <cellStyle name="60% - Accent5 3 2 5 3 2" xfId="15775"/>
    <cellStyle name="20% - Accent6 3 2 5 3 2" xfId="15776"/>
    <cellStyle name="40% - Accent6 3 2 5 3 2" xfId="15777"/>
    <cellStyle name="60% - Accent6 3 2 5 3 2" xfId="15778"/>
    <cellStyle name="Normal 3 2 3 2 5 3 2" xfId="15779"/>
    <cellStyle name="Normal 3 3 3 2 5 3 2" xfId="15780"/>
    <cellStyle name="Normal 3 4 3 2 5 3 2" xfId="15781"/>
    <cellStyle name="Normal 3 5 3 2 5 3 2" xfId="15782"/>
    <cellStyle name="Normal 3 2 2 2 2 5 3 2" xfId="15783"/>
    <cellStyle name="Normal 3 3 2 2 2 5 3 2" xfId="15784"/>
    <cellStyle name="Normal 3 4 2 2 2 5 3 2" xfId="15785"/>
    <cellStyle name="Normal 3 5 2 2 2 5 3 2" xfId="15786"/>
    <cellStyle name="Normal 5 2 2 5 3 2" xfId="15787"/>
    <cellStyle name="Percent 3 2 2 5 3 2" xfId="15788"/>
    <cellStyle name="Note 2 2 2 5 3 2" xfId="15789"/>
    <cellStyle name="Normal 3 6 2 2 5 3 2" xfId="15790"/>
    <cellStyle name="Comma 2 3 2 6 3 2" xfId="15791"/>
    <cellStyle name="Comma 3 2 2 6 3 2" xfId="15792"/>
    <cellStyle name="Percent 4 2 2 5 3 2" xfId="15793"/>
    <cellStyle name="Normal 3 7 2 2 5 3 2" xfId="15794"/>
    <cellStyle name="Note 3 2 2 5 3 2" xfId="15795"/>
    <cellStyle name="20% - Accent1 2 2 2 5 3 2" xfId="15796"/>
    <cellStyle name="40% - Accent1 2 2 2 5 3 2" xfId="15797"/>
    <cellStyle name="60% - Accent1 2 2 2 5 3 2" xfId="15798"/>
    <cellStyle name="20% - Accent2 2 2 2 5 3 2" xfId="15799"/>
    <cellStyle name="40% - Accent2 2 2 2 5 3 2" xfId="15800"/>
    <cellStyle name="60% - Accent2 2 2 2 5 3 2" xfId="15801"/>
    <cellStyle name="20% - Accent3 2 2 2 5 3 2" xfId="15802"/>
    <cellStyle name="40% - Accent3 2 2 2 5 3 2" xfId="15803"/>
    <cellStyle name="60% - Accent3 2 2 2 5 3 2" xfId="15804"/>
    <cellStyle name="20% - Accent4 2 2 2 5 3 2" xfId="15805"/>
    <cellStyle name="40% - Accent4 2 2 2 5 3 2" xfId="15806"/>
    <cellStyle name="60% - Accent4 2 2 2 5 3 2" xfId="15807"/>
    <cellStyle name="20% - Accent5 2 2 2 5 3 2" xfId="15808"/>
    <cellStyle name="40% - Accent5 2 2 2 5 3 2" xfId="15809"/>
    <cellStyle name="60% - Accent5 2 2 2 5 3 2" xfId="15810"/>
    <cellStyle name="20% - Accent6 2 2 2 5 3 2" xfId="15811"/>
    <cellStyle name="40% - Accent6 2 2 2 5 3 2" xfId="15812"/>
    <cellStyle name="60% - Accent6 2 2 2 5 3 2" xfId="15813"/>
    <cellStyle name="Comma 2 2 2 2 6 3 2" xfId="15814"/>
    <cellStyle name="Comma 4 2 2 6 3 2" xfId="15815"/>
    <cellStyle name="Normal 3 8 2 2 5 3 2" xfId="15816"/>
    <cellStyle name="Normal 3 10 5 3 2" xfId="15817"/>
    <cellStyle name="Normal 3 11 5 3 2" xfId="15818"/>
    <cellStyle name="Normal 3 12 3 3 2" xfId="15819"/>
    <cellStyle name="Normal 3 2 5 3 3 2" xfId="15820"/>
    <cellStyle name="Normal 3 3 5 3 3 2" xfId="15821"/>
    <cellStyle name="Normal 3 4 5 3 3 2" xfId="15822"/>
    <cellStyle name="Normal 3 5 5 3 3 2" xfId="15823"/>
    <cellStyle name="20% - Accent1 5 3 3 2" xfId="15824"/>
    <cellStyle name="40% - Accent1 5 3 3 2" xfId="15825"/>
    <cellStyle name="60% - Accent1 5 3 3 2" xfId="15826"/>
    <cellStyle name="20% - Accent2 5 3 3 2" xfId="15827"/>
    <cellStyle name="40% - Accent2 5 3 3 2" xfId="15828"/>
    <cellStyle name="60% - Accent2 5 3 3 2" xfId="15829"/>
    <cellStyle name="20% - Accent3 5 3 3 2" xfId="15830"/>
    <cellStyle name="40% - Accent3 5 3 3 2" xfId="15831"/>
    <cellStyle name="60% - Accent3 5 3 3 2" xfId="15832"/>
    <cellStyle name="20% - Accent4 5 3 3 2" xfId="15833"/>
    <cellStyle name="40% - Accent4 5 3 3 2" xfId="15834"/>
    <cellStyle name="60% - Accent4 5 3 3 2" xfId="15835"/>
    <cellStyle name="20% - Accent5 5 3 3 2" xfId="15836"/>
    <cellStyle name="40% - Accent5 5 3 3 2" xfId="15837"/>
    <cellStyle name="60% - Accent5 5 3 3 2" xfId="15838"/>
    <cellStyle name="20% - Accent6 5 3 3 2" xfId="15839"/>
    <cellStyle name="40% - Accent6 5 3 3 2" xfId="15840"/>
    <cellStyle name="60% - Accent6 5 3 3 2" xfId="15841"/>
    <cellStyle name="Normal 3 2 2 4 3 3 2" xfId="15842"/>
    <cellStyle name="Normal 3 3 2 4 3 3 2" xfId="15843"/>
    <cellStyle name="Normal 3 4 2 4 3 3 2" xfId="15844"/>
    <cellStyle name="Normal 3 5 2 4 3 3 2" xfId="15845"/>
    <cellStyle name="Normal 5 4 3 3 2" xfId="15846"/>
    <cellStyle name="Percent 3 4 3 3 2" xfId="15847"/>
    <cellStyle name="Note 2 4 3 3 2" xfId="15848"/>
    <cellStyle name="Normal 3 6 4 3 3 2" xfId="15849"/>
    <cellStyle name="Comma 2 6 4 3 2" xfId="15850"/>
    <cellStyle name="Comma 3 5 4 3 2" xfId="15851"/>
    <cellStyle name="Percent 4 4 3 3 2" xfId="15852"/>
    <cellStyle name="Normal 3 7 4 3 3 2" xfId="15853"/>
    <cellStyle name="Note 3 4 3 3 2" xfId="15854"/>
    <cellStyle name="20% - Accent1 2 4 3 3 2" xfId="15855"/>
    <cellStyle name="40% - Accent1 2 4 3 3 2" xfId="15856"/>
    <cellStyle name="60% - Accent1 2 4 3 3 2" xfId="15857"/>
    <cellStyle name="20% - Accent2 2 4 3 3 2" xfId="15858"/>
    <cellStyle name="40% - Accent2 2 4 3 3 2" xfId="15859"/>
    <cellStyle name="60% - Accent2 2 4 3 3 2" xfId="15860"/>
    <cellStyle name="20% - Accent3 2 4 3 3 2" xfId="15861"/>
    <cellStyle name="40% - Accent3 2 4 3 3 2" xfId="15862"/>
    <cellStyle name="60% - Accent3 2 4 3 3 2" xfId="15863"/>
    <cellStyle name="20% - Accent4 2 4 3 3 2" xfId="15864"/>
    <cellStyle name="40% - Accent4 2 4 3 3 2" xfId="15865"/>
    <cellStyle name="60% - Accent4 2 4 3 3 2" xfId="15866"/>
    <cellStyle name="20% - Accent5 2 4 3 3 2" xfId="15867"/>
    <cellStyle name="40% - Accent5 2 4 3 3 2" xfId="15868"/>
    <cellStyle name="60% - Accent5 2 4 3 3 2" xfId="15869"/>
    <cellStyle name="20% - Accent6 2 4 3 3 2" xfId="15870"/>
    <cellStyle name="40% - Accent6 2 4 3 3 2" xfId="15871"/>
    <cellStyle name="60% - Accent6 2 4 3 3 2" xfId="15872"/>
    <cellStyle name="Comma 2 2 5 4 3 2" xfId="15873"/>
    <cellStyle name="Comma 4 5 4 3 2" xfId="15874"/>
    <cellStyle name="Normal 3 8 4 3 3 2" xfId="15875"/>
    <cellStyle name="Normal 7 3 3 3 2" xfId="15876"/>
    <cellStyle name="Comma 5 3 4 3 2" xfId="15877"/>
    <cellStyle name="20% - Accent1 3 3 3 3 2" xfId="15878"/>
    <cellStyle name="40% - Accent1 3 3 3 3 2" xfId="15879"/>
    <cellStyle name="60% - Accent1 3 3 3 3 2" xfId="15880"/>
    <cellStyle name="20% - Accent2 3 3 3 3 2" xfId="15881"/>
    <cellStyle name="40% - Accent2 3 3 3 3 2" xfId="15882"/>
    <cellStyle name="60% - Accent2 3 3 3 3 2" xfId="15883"/>
    <cellStyle name="20% - Accent3 3 3 3 3 2" xfId="15884"/>
    <cellStyle name="40% - Accent3 3 3 3 3 2" xfId="15885"/>
    <cellStyle name="60% - Accent3 3 3 3 3 2" xfId="15886"/>
    <cellStyle name="20% - Accent4 3 3 3 3 2" xfId="15887"/>
    <cellStyle name="40% - Accent4 3 3 3 3 2" xfId="15888"/>
    <cellStyle name="60% - Accent4 3 3 3 3 2" xfId="15889"/>
    <cellStyle name="20% - Accent5 3 3 3 3 2" xfId="15890"/>
    <cellStyle name="40% - Accent5 3 3 3 3 2" xfId="15891"/>
    <cellStyle name="60% - Accent5 3 3 3 3 2" xfId="15892"/>
    <cellStyle name="20% - Accent6 3 3 3 3 2" xfId="15893"/>
    <cellStyle name="40% - Accent6 3 3 3 3 2" xfId="15894"/>
    <cellStyle name="60% - Accent6 3 3 3 3 2" xfId="15895"/>
    <cellStyle name="Normal 3 2 3 3 3 3 2" xfId="15896"/>
    <cellStyle name="Normal 3 3 3 3 3 3 2" xfId="15897"/>
    <cellStyle name="Normal 3 4 3 3 3 3 2" xfId="15898"/>
    <cellStyle name="Normal 3 5 3 3 3 3 2" xfId="15899"/>
    <cellStyle name="Normal 3 2 2 2 3 3 3 2" xfId="15900"/>
    <cellStyle name="Normal 3 3 2 2 3 3 3 2" xfId="15901"/>
    <cellStyle name="Normal 3 4 2 2 3 3 3 2" xfId="15902"/>
    <cellStyle name="Normal 3 5 2 2 3 3 3 2" xfId="15903"/>
    <cellStyle name="Normal 5 2 3 3 3 2" xfId="15904"/>
    <cellStyle name="Percent 3 2 3 3 3 2" xfId="15905"/>
    <cellStyle name="Note 2 2 3 3 3 2" xfId="15906"/>
    <cellStyle name="Normal 3 6 2 3 3 3 2" xfId="15907"/>
    <cellStyle name="Comma 2 3 3 4 3 2" xfId="15908"/>
    <cellStyle name="Comma 3 2 3 4 3 2" xfId="15909"/>
    <cellStyle name="Percent 4 2 3 3 3 2" xfId="15910"/>
    <cellStyle name="Normal 3 7 2 3 3 3 2" xfId="15911"/>
    <cellStyle name="Note 3 2 3 3 3 2" xfId="15912"/>
    <cellStyle name="20% - Accent1 2 2 3 3 3 2" xfId="15913"/>
    <cellStyle name="40% - Accent1 2 2 3 3 3 2" xfId="15914"/>
    <cellStyle name="60% - Accent1 2 2 3 3 3 2" xfId="15915"/>
    <cellStyle name="20% - Accent2 2 2 3 3 3 2" xfId="15916"/>
    <cellStyle name="40% - Accent2 2 2 3 3 3 2" xfId="15917"/>
    <cellStyle name="60% - Accent2 2 2 3 3 3 2" xfId="15918"/>
    <cellStyle name="20% - Accent3 2 2 3 3 3 2" xfId="15919"/>
    <cellStyle name="40% - Accent3 2 2 3 3 3 2" xfId="15920"/>
    <cellStyle name="60% - Accent3 2 2 3 3 3 2" xfId="15921"/>
    <cellStyle name="20% - Accent4 2 2 3 3 3 2" xfId="15922"/>
    <cellStyle name="40% - Accent4 2 2 3 3 3 2" xfId="15923"/>
    <cellStyle name="60% - Accent4 2 2 3 3 3 2" xfId="15924"/>
    <cellStyle name="20% - Accent5 2 2 3 3 3 2" xfId="15925"/>
    <cellStyle name="40% - Accent5 2 2 3 3 3 2" xfId="15926"/>
    <cellStyle name="60% - Accent5 2 2 3 3 3 2" xfId="15927"/>
    <cellStyle name="20% - Accent6 2 2 3 3 3 2" xfId="15928"/>
    <cellStyle name="40% - Accent6 2 2 3 3 3 2" xfId="15929"/>
    <cellStyle name="60% - Accent6 2 2 3 3 3 2" xfId="15930"/>
    <cellStyle name="Comma 2 2 2 3 4 3 2" xfId="15931"/>
    <cellStyle name="Comma 4 2 3 4 3 2" xfId="15932"/>
    <cellStyle name="Normal 3 8 2 3 3 3 2" xfId="15933"/>
    <cellStyle name="Normal 8 2 3 3 2" xfId="15934"/>
    <cellStyle name="Comma 6 2 4 3 2" xfId="15935"/>
    <cellStyle name="20% - Accent1 4 2 3 3 2" xfId="15936"/>
    <cellStyle name="40% - Accent1 4 2 3 3 2" xfId="15937"/>
    <cellStyle name="60% - Accent1 4 2 3 3 2" xfId="15938"/>
    <cellStyle name="20% - Accent2 4 2 3 3 2" xfId="15939"/>
    <cellStyle name="40% - Accent2 4 2 3 3 2" xfId="15940"/>
    <cellStyle name="60% - Accent2 4 2 3 3 2" xfId="15941"/>
    <cellStyle name="20% - Accent3 4 2 3 3 2" xfId="15942"/>
    <cellStyle name="40% - Accent3 4 2 3 3 2" xfId="15943"/>
    <cellStyle name="60% - Accent3 4 2 3 3 2" xfId="15944"/>
    <cellStyle name="20% - Accent4 4 2 3 3 2" xfId="15945"/>
    <cellStyle name="40% - Accent4 4 2 3 3 2" xfId="15946"/>
    <cellStyle name="60% - Accent4 4 2 3 3 2" xfId="15947"/>
    <cellStyle name="20% - Accent5 4 2 3 3 2" xfId="15948"/>
    <cellStyle name="40% - Accent5 4 2 3 3 2" xfId="15949"/>
    <cellStyle name="60% - Accent5 4 2 3 3 2" xfId="15950"/>
    <cellStyle name="20% - Accent6 4 2 3 3 2" xfId="15951"/>
    <cellStyle name="40% - Accent6 4 2 3 3 2" xfId="15952"/>
    <cellStyle name="60% - Accent6 4 2 3 3 2" xfId="15953"/>
    <cellStyle name="Normal 3 2 4 2 3 3 2" xfId="15954"/>
    <cellStyle name="Normal 3 3 4 2 3 3 2" xfId="15955"/>
    <cellStyle name="Normal 3 4 4 2 3 3 2" xfId="15956"/>
    <cellStyle name="Normal 3 5 4 2 3 3 2" xfId="15957"/>
    <cellStyle name="Normal 3 2 2 3 2 3 3 2" xfId="15958"/>
    <cellStyle name="Normal 3 3 2 3 2 3 3 2" xfId="15959"/>
    <cellStyle name="Normal 3 4 2 3 2 3 3 2" xfId="15960"/>
    <cellStyle name="Normal 3 5 2 3 2 3 3 2" xfId="15961"/>
    <cellStyle name="Normal 5 3 2 3 3 2" xfId="15962"/>
    <cellStyle name="Percent 3 3 2 3 3 2" xfId="15963"/>
    <cellStyle name="Note 2 3 2 3 3 2" xfId="15964"/>
    <cellStyle name="Normal 3 6 3 2 3 3 2" xfId="15965"/>
    <cellStyle name="Comma 2 5 2 4 3 2" xfId="15966"/>
    <cellStyle name="Comma 3 4 2 4 3 2" xfId="15967"/>
    <cellStyle name="Percent 4 3 2 3 3 2" xfId="15968"/>
    <cellStyle name="Normal 3 7 3 2 3 3 2" xfId="15969"/>
    <cellStyle name="Note 3 3 2 3 3 2" xfId="15970"/>
    <cellStyle name="20% - Accent1 2 3 2 3 3 2" xfId="15971"/>
    <cellStyle name="40% - Accent1 2 3 2 3 3 2" xfId="15972"/>
    <cellStyle name="60% - Accent1 2 3 2 3 3 2" xfId="15973"/>
    <cellStyle name="20% - Accent2 2 3 2 3 3 2" xfId="15974"/>
    <cellStyle name="40% - Accent2 2 3 2 3 3 2" xfId="15975"/>
    <cellStyle name="60% - Accent2 2 3 2 3 3 2" xfId="15976"/>
    <cellStyle name="20% - Accent3 2 3 2 3 3 2" xfId="15977"/>
    <cellStyle name="40% - Accent3 2 3 2 3 3 2" xfId="15978"/>
    <cellStyle name="60% - Accent3 2 3 2 3 3 2" xfId="15979"/>
    <cellStyle name="20% - Accent4 2 3 2 3 3 2" xfId="15980"/>
    <cellStyle name="40% - Accent4 2 3 2 3 3 2" xfId="15981"/>
    <cellStyle name="60% - Accent4 2 3 2 3 3 2" xfId="15982"/>
    <cellStyle name="20% - Accent5 2 3 2 3 3 2" xfId="15983"/>
    <cellStyle name="40% - Accent5 2 3 2 3 3 2" xfId="15984"/>
    <cellStyle name="60% - Accent5 2 3 2 3 3 2" xfId="15985"/>
    <cellStyle name="20% - Accent6 2 3 2 3 3 2" xfId="15986"/>
    <cellStyle name="40% - Accent6 2 3 2 3 3 2" xfId="15987"/>
    <cellStyle name="60% - Accent6 2 3 2 3 3 2" xfId="15988"/>
    <cellStyle name="Comma 2 2 4 2 4 3 2" xfId="15989"/>
    <cellStyle name="Comma 4 4 2 4 3 2" xfId="15990"/>
    <cellStyle name="Normal 3 8 3 2 3 3 2" xfId="15991"/>
    <cellStyle name="Comma 2 4 2 4 3 2" xfId="15992"/>
    <cellStyle name="Comma 3 3 2 4 3 2" xfId="15993"/>
    <cellStyle name="Comma 2 2 3 2 4 3 2" xfId="15994"/>
    <cellStyle name="Comma 4 3 2 4 3 2" xfId="15995"/>
    <cellStyle name="Normal 7 2 2 3 3 2" xfId="15996"/>
    <cellStyle name="Comma 5 2 2 4 3 2" xfId="15997"/>
    <cellStyle name="20% - Accent1 3 2 2 3 3 2" xfId="15998"/>
    <cellStyle name="40% - Accent1 3 2 2 3 3 2" xfId="15999"/>
    <cellStyle name="60% - Accent1 3 2 2 3 3 2" xfId="16000"/>
    <cellStyle name="20% - Accent2 3 2 2 3 3 2" xfId="16001"/>
    <cellStyle name="40% - Accent2 3 2 2 3 3 2" xfId="16002"/>
    <cellStyle name="60% - Accent2 3 2 2 3 3 2" xfId="16003"/>
    <cellStyle name="20% - Accent3 3 2 2 3 3 2" xfId="16004"/>
    <cellStyle name="40% - Accent3 3 2 2 3 3 2" xfId="16005"/>
    <cellStyle name="60% - Accent3 3 2 2 3 3 2" xfId="16006"/>
    <cellStyle name="20% - Accent4 3 2 2 3 3 2" xfId="16007"/>
    <cellStyle name="40% - Accent4 3 2 2 3 3 2" xfId="16008"/>
    <cellStyle name="60% - Accent4 3 2 2 3 3 2" xfId="16009"/>
    <cellStyle name="20% - Accent5 3 2 2 3 3 2" xfId="16010"/>
    <cellStyle name="40% - Accent5 3 2 2 3 3 2" xfId="16011"/>
    <cellStyle name="60% - Accent5 3 2 2 3 3 2" xfId="16012"/>
    <cellStyle name="20% - Accent6 3 2 2 3 3 2" xfId="16013"/>
    <cellStyle name="40% - Accent6 3 2 2 3 3 2" xfId="16014"/>
    <cellStyle name="60% - Accent6 3 2 2 3 3 2" xfId="16015"/>
    <cellStyle name="Normal 3 2 3 2 2 3 3 2" xfId="16016"/>
    <cellStyle name="Normal 3 3 3 2 2 3 3 2" xfId="16017"/>
    <cellStyle name="Normal 3 4 3 2 2 3 3 2" xfId="16018"/>
    <cellStyle name="Normal 3 5 3 2 2 3 3 2" xfId="16019"/>
    <cellStyle name="Normal 3 2 2 2 2 2 3 3 2" xfId="16020"/>
    <cellStyle name="Normal 3 3 2 2 2 2 3 3 2" xfId="16021"/>
    <cellStyle name="Normal 3 4 2 2 2 2 3 3 2" xfId="16022"/>
    <cellStyle name="Normal 3 5 2 2 2 2 3 3 2" xfId="16023"/>
    <cellStyle name="Normal 5 2 2 2 3 3 2" xfId="16024"/>
    <cellStyle name="Percent 3 2 2 2 3 3 2" xfId="16025"/>
    <cellStyle name="Note 2 2 2 2 3 3 2" xfId="16026"/>
    <cellStyle name="Normal 3 6 2 2 2 3 3 2" xfId="16027"/>
    <cellStyle name="Comma 2 3 2 2 4 3 2" xfId="16028"/>
    <cellStyle name="Comma 3 2 2 2 4 3 2" xfId="16029"/>
    <cellStyle name="Percent 4 2 2 2 3 3 2" xfId="16030"/>
    <cellStyle name="Normal 3 7 2 2 2 3 3 2" xfId="16031"/>
    <cellStyle name="Note 3 2 2 2 3 3 2" xfId="16032"/>
    <cellStyle name="20% - Accent1 2 2 2 2 3 3 2" xfId="16033"/>
    <cellStyle name="40% - Accent1 2 2 2 2 3 3 2" xfId="16034"/>
    <cellStyle name="60% - Accent1 2 2 2 2 3 3 2" xfId="16035"/>
    <cellStyle name="20% - Accent2 2 2 2 2 3 3 2" xfId="16036"/>
    <cellStyle name="40% - Accent2 2 2 2 2 3 3 2" xfId="16037"/>
    <cellStyle name="60% - Accent2 2 2 2 2 3 3 2" xfId="16038"/>
    <cellStyle name="20% - Accent3 2 2 2 2 3 3 2" xfId="16039"/>
    <cellStyle name="40% - Accent3 2 2 2 2 3 3 2" xfId="16040"/>
    <cellStyle name="60% - Accent3 2 2 2 2 3 3 2" xfId="16041"/>
    <cellStyle name="20% - Accent4 2 2 2 2 3 3 2" xfId="16042"/>
    <cellStyle name="40% - Accent4 2 2 2 2 3 3 2" xfId="16043"/>
    <cellStyle name="60% - Accent4 2 2 2 2 3 3 2" xfId="16044"/>
    <cellStyle name="20% - Accent5 2 2 2 2 3 3 2" xfId="16045"/>
    <cellStyle name="40% - Accent5 2 2 2 2 3 3 2" xfId="16046"/>
    <cellStyle name="60% - Accent5 2 2 2 2 3 3 2" xfId="16047"/>
    <cellStyle name="20% - Accent6 2 2 2 2 3 3 2" xfId="16048"/>
    <cellStyle name="40% - Accent6 2 2 2 2 3 3 2" xfId="16049"/>
    <cellStyle name="60% - Accent6 2 2 2 2 3 3 2" xfId="16050"/>
    <cellStyle name="Comma 2 2 2 2 2 4 3 2" xfId="16051"/>
    <cellStyle name="Comma 4 2 2 2 4 3 2" xfId="16052"/>
    <cellStyle name="Normal 3 8 2 2 2 3 3 2" xfId="16053"/>
    <cellStyle name="Normal 3 10 2 3 3 2" xfId="16054"/>
    <cellStyle name="Normal 3 11 2 3 3 2" xfId="16055"/>
    <cellStyle name="Normal 3 2 6 2 3 2" xfId="16056"/>
    <cellStyle name="Normal 3 3 6 2 3 2" xfId="16057"/>
    <cellStyle name="Normal 3 4 6 2 3 2" xfId="16058"/>
    <cellStyle name="Normal 3 5 6 2 3 2" xfId="16059"/>
    <cellStyle name="20% - Accent1 6 2 3 2" xfId="16060"/>
    <cellStyle name="40% - Accent1 6 2 3 2" xfId="16061"/>
    <cellStyle name="60% - Accent1 6 2 3 2" xfId="16062"/>
    <cellStyle name="20% - Accent2 6 2 3 2" xfId="16063"/>
    <cellStyle name="40% - Accent2 6 2 3 2" xfId="16064"/>
    <cellStyle name="60% - Accent2 6 2 3 2" xfId="16065"/>
    <cellStyle name="20% - Accent3 6 2 3 2" xfId="16066"/>
    <cellStyle name="40% - Accent3 6 2 3 2" xfId="16067"/>
    <cellStyle name="60% - Accent3 6 2 3 2" xfId="16068"/>
    <cellStyle name="20% - Accent4 6 2 3 2" xfId="16069"/>
    <cellStyle name="40% - Accent4 6 2 3 2" xfId="16070"/>
    <cellStyle name="60% - Accent4 6 2 3 2" xfId="16071"/>
    <cellStyle name="20% - Accent5 6 2 3 2" xfId="16072"/>
    <cellStyle name="40% - Accent5 6 2 3 2" xfId="16073"/>
    <cellStyle name="60% - Accent5 6 2 3 2" xfId="16074"/>
    <cellStyle name="20% - Accent6 6 2 3 2" xfId="16075"/>
    <cellStyle name="40% - Accent6 6 2 3 2" xfId="16076"/>
    <cellStyle name="60% - Accent6 6 2 3 2" xfId="16077"/>
    <cellStyle name="Normal 3 2 2 5 2 3 2" xfId="16078"/>
    <cellStyle name="Normal 3 3 2 5 2 3 2" xfId="16079"/>
    <cellStyle name="Normal 3 4 2 5 2 3 2" xfId="16080"/>
    <cellStyle name="Normal 3 5 2 5 2 3 2" xfId="16081"/>
    <cellStyle name="Normal 5 5 2 3 2" xfId="16082"/>
    <cellStyle name="Percent 3 5 2 3 2" xfId="16083"/>
    <cellStyle name="Note 2 5 2 3 2" xfId="16084"/>
    <cellStyle name="Normal 3 6 5 2 3 2" xfId="16085"/>
    <cellStyle name="Comma 2 7 3 3 2" xfId="16086"/>
    <cellStyle name="Comma 3 7 3 3 2" xfId="16087"/>
    <cellStyle name="Percent 4 5 2 3 2" xfId="16088"/>
    <cellStyle name="Normal 3 7 5 2 3 2" xfId="16089"/>
    <cellStyle name="Note 3 5 2 3 2" xfId="16090"/>
    <cellStyle name="20% - Accent1 2 5 2 3 2" xfId="16091"/>
    <cellStyle name="40% - Accent1 2 5 2 3 2" xfId="16092"/>
    <cellStyle name="60% - Accent1 2 5 2 3 2" xfId="16093"/>
    <cellStyle name="20% - Accent2 2 5 2 3 2" xfId="16094"/>
    <cellStyle name="40% - Accent2 2 5 2 3 2" xfId="16095"/>
    <cellStyle name="60% - Accent2 2 5 2 3 2" xfId="16096"/>
    <cellStyle name="20% - Accent3 2 5 2 3 2" xfId="16097"/>
    <cellStyle name="40% - Accent3 2 5 2 3 2" xfId="16098"/>
    <cellStyle name="60% - Accent3 2 5 2 3 2" xfId="16099"/>
    <cellStyle name="20% - Accent4 2 5 2 3 2" xfId="16100"/>
    <cellStyle name="40% - Accent4 2 5 2 3 2" xfId="16101"/>
    <cellStyle name="60% - Accent4 2 5 2 3 2" xfId="16102"/>
    <cellStyle name="20% - Accent5 2 5 2 3 2" xfId="16103"/>
    <cellStyle name="40% - Accent5 2 5 2 3 2" xfId="16104"/>
    <cellStyle name="60% - Accent5 2 5 2 3 2" xfId="16105"/>
    <cellStyle name="20% - Accent6 2 5 2 3 2" xfId="16106"/>
    <cellStyle name="40% - Accent6 2 5 2 3 2" xfId="16107"/>
    <cellStyle name="60% - Accent6 2 5 2 3 2" xfId="16108"/>
    <cellStyle name="Comma 2 2 6 3 3 2" xfId="16109"/>
    <cellStyle name="Comma 4 6 3 3 2" xfId="16110"/>
    <cellStyle name="Normal 3 8 5 2 3 2" xfId="16111"/>
    <cellStyle name="Normal 7 4 2 3 2" xfId="16112"/>
    <cellStyle name="Comma 5 4 3 3 2" xfId="16113"/>
    <cellStyle name="20% - Accent1 3 4 2 3 2" xfId="16114"/>
    <cellStyle name="40% - Accent1 3 4 2 3 2" xfId="16115"/>
    <cellStyle name="60% - Accent1 3 4 2 3 2" xfId="16116"/>
    <cellStyle name="20% - Accent2 3 4 2 3 2" xfId="16117"/>
    <cellStyle name="40% - Accent2 3 4 2 3 2" xfId="16118"/>
    <cellStyle name="60% - Accent2 3 4 2 3 2" xfId="16119"/>
    <cellStyle name="20% - Accent3 3 4 2 3 2" xfId="16120"/>
    <cellStyle name="40% - Accent3 3 4 2 3 2" xfId="16121"/>
    <cellStyle name="60% - Accent3 3 4 2 3 2" xfId="16122"/>
    <cellStyle name="20% - Accent4 3 4 2 3 2" xfId="16123"/>
    <cellStyle name="40% - Accent4 3 4 2 3 2" xfId="16124"/>
    <cellStyle name="60% - Accent4 3 4 2 3 2" xfId="16125"/>
    <cellStyle name="20% - Accent5 3 4 2 3 2" xfId="16126"/>
    <cellStyle name="40% - Accent5 3 4 2 3 2" xfId="16127"/>
    <cellStyle name="60% - Accent5 3 4 2 3 2" xfId="16128"/>
    <cellStyle name="20% - Accent6 3 4 2 3 2" xfId="16129"/>
    <cellStyle name="40% - Accent6 3 4 2 3 2" xfId="16130"/>
    <cellStyle name="60% - Accent6 3 4 2 3 2" xfId="16131"/>
    <cellStyle name="Normal 3 2 3 4 2 3 2" xfId="16132"/>
    <cellStyle name="Normal 3 3 3 4 2 3 2" xfId="16133"/>
    <cellStyle name="Normal 3 4 3 4 2 3 2" xfId="16134"/>
    <cellStyle name="Normal 3 5 3 4 2 3 2" xfId="16135"/>
    <cellStyle name="Normal 3 2 2 2 4 2 3 2" xfId="16136"/>
    <cellStyle name="Normal 3 3 2 2 4 2 3 2" xfId="16137"/>
    <cellStyle name="Normal 3 4 2 2 4 2 3 2" xfId="16138"/>
    <cellStyle name="Normal 3 5 2 2 4 2 3 2" xfId="16139"/>
    <cellStyle name="Normal 5 2 4 2 3 2" xfId="16140"/>
    <cellStyle name="Percent 3 2 4 2 3 2" xfId="16141"/>
    <cellStyle name="Note 2 2 4 2 3 2" xfId="16142"/>
    <cellStyle name="Normal 3 6 2 4 2 3 2" xfId="16143"/>
    <cellStyle name="Comma 2 3 4 3 3 2" xfId="16144"/>
    <cellStyle name="Comma 3 2 4 3 3 2" xfId="16145"/>
    <cellStyle name="Percent 4 2 4 2 3 2" xfId="16146"/>
    <cellStyle name="Normal 3 7 2 4 2 3 2" xfId="16147"/>
    <cellStyle name="Note 3 2 4 2 3 2" xfId="16148"/>
    <cellStyle name="20% - Accent1 2 2 4 2 3 2" xfId="16149"/>
    <cellStyle name="40% - Accent1 2 2 4 2 3 2" xfId="16150"/>
    <cellStyle name="60% - Accent1 2 2 4 2 3 2" xfId="16151"/>
    <cellStyle name="20% - Accent2 2 2 4 2 3 2" xfId="16152"/>
    <cellStyle name="40% - Accent2 2 2 4 2 3 2" xfId="16153"/>
    <cellStyle name="60% - Accent2 2 2 4 2 3 2" xfId="16154"/>
    <cellStyle name="20% - Accent3 2 2 4 2 3 2" xfId="16155"/>
    <cellStyle name="40% - Accent3 2 2 4 2 3 2" xfId="16156"/>
    <cellStyle name="60% - Accent3 2 2 4 2 3 2" xfId="16157"/>
    <cellStyle name="20% - Accent4 2 2 4 2 3 2" xfId="16158"/>
    <cellStyle name="40% - Accent4 2 2 4 2 3 2" xfId="16159"/>
    <cellStyle name="60% - Accent4 2 2 4 2 3 2" xfId="16160"/>
    <cellStyle name="20% - Accent5 2 2 4 2 3 2" xfId="16161"/>
    <cellStyle name="40% - Accent5 2 2 4 2 3 2" xfId="16162"/>
    <cellStyle name="60% - Accent5 2 2 4 2 3 2" xfId="16163"/>
    <cellStyle name="20% - Accent6 2 2 4 2 3 2" xfId="16164"/>
    <cellStyle name="40% - Accent6 2 2 4 2 3 2" xfId="16165"/>
    <cellStyle name="60% - Accent6 2 2 4 2 3 2" xfId="16166"/>
    <cellStyle name="Comma 2 2 2 4 3 3 2" xfId="16167"/>
    <cellStyle name="Comma 4 2 4 3 3 2" xfId="16168"/>
    <cellStyle name="Normal 3 8 2 4 2 3 2" xfId="16169"/>
    <cellStyle name="Normal 8 3 2 3 2" xfId="16170"/>
    <cellStyle name="Comma 6 3 3 3 2" xfId="16171"/>
    <cellStyle name="20% - Accent1 4 3 2 3 2" xfId="16172"/>
    <cellStyle name="40% - Accent1 4 3 2 3 2" xfId="16173"/>
    <cellStyle name="60% - Accent1 4 3 2 3 2" xfId="16174"/>
    <cellStyle name="20% - Accent2 4 3 2 3 2" xfId="16175"/>
    <cellStyle name="40% - Accent2 4 3 2 3 2" xfId="16176"/>
    <cellStyle name="60% - Accent2 4 3 2 3 2" xfId="16177"/>
    <cellStyle name="20% - Accent3 4 3 2 3 2" xfId="16178"/>
    <cellStyle name="40% - Accent3 4 3 2 3 2" xfId="16179"/>
    <cellStyle name="60% - Accent3 4 3 2 3 2" xfId="16180"/>
    <cellStyle name="20% - Accent4 4 3 2 3 2" xfId="16181"/>
    <cellStyle name="40% - Accent4 4 3 2 3 2" xfId="16182"/>
    <cellStyle name="60% - Accent4 4 3 2 3 2" xfId="16183"/>
    <cellStyle name="20% - Accent5 4 3 2 3 2" xfId="16184"/>
    <cellStyle name="40% - Accent5 4 3 2 3 2" xfId="16185"/>
    <cellStyle name="60% - Accent5 4 3 2 3 2" xfId="16186"/>
    <cellStyle name="20% - Accent6 4 3 2 3 2" xfId="16187"/>
    <cellStyle name="40% - Accent6 4 3 2 3 2" xfId="16188"/>
    <cellStyle name="60% - Accent6 4 3 2 3 2" xfId="16189"/>
    <cellStyle name="Normal 3 2 4 3 2 3 2" xfId="16190"/>
    <cellStyle name="Normal 3 3 4 3 2 3 2" xfId="16191"/>
    <cellStyle name="Normal 3 4 4 3 2 3 2" xfId="16192"/>
    <cellStyle name="Normal 3 5 4 3 2 3 2" xfId="16193"/>
    <cellStyle name="Normal 3 2 2 3 3 2 3 2" xfId="16194"/>
    <cellStyle name="Normal 3 3 2 3 3 2 3 2" xfId="16195"/>
    <cellStyle name="Normal 3 4 2 3 3 2 3 2" xfId="16196"/>
    <cellStyle name="Normal 3 5 2 3 3 2 3 2" xfId="16197"/>
    <cellStyle name="Normal 5 3 3 2 3 2" xfId="16198"/>
    <cellStyle name="Percent 3 3 3 2 3 2" xfId="16199"/>
    <cellStyle name="Note 2 3 3 2 3 2" xfId="16200"/>
    <cellStyle name="Normal 3 6 3 3 2 3 2" xfId="16201"/>
    <cellStyle name="Comma 2 5 3 3 3 2" xfId="16202"/>
    <cellStyle name="Comma 3 4 3 3 3 2" xfId="16203"/>
    <cellStyle name="Percent 4 3 3 2 3 2" xfId="16204"/>
    <cellStyle name="Normal 3 7 3 3 2 3 2" xfId="16205"/>
    <cellStyle name="Note 3 3 3 2 3 2" xfId="16206"/>
    <cellStyle name="20% - Accent1 2 3 3 2 3 2" xfId="16207"/>
    <cellStyle name="40% - Accent1 2 3 3 2 3 2" xfId="16208"/>
    <cellStyle name="60% - Accent1 2 3 3 2 3 2" xfId="16209"/>
    <cellStyle name="20% - Accent2 2 3 3 2 3 2" xfId="16210"/>
    <cellStyle name="40% - Accent2 2 3 3 2 3 2" xfId="16211"/>
    <cellStyle name="60% - Accent2 2 3 3 2 3 2" xfId="16212"/>
    <cellStyle name="20% - Accent3 2 3 3 2 3 2" xfId="16213"/>
    <cellStyle name="40% - Accent3 2 3 3 2 3 2" xfId="16214"/>
    <cellStyle name="60% - Accent3 2 3 3 2 3 2" xfId="16215"/>
    <cellStyle name="20% - Accent4 2 3 3 2 3 2" xfId="16216"/>
    <cellStyle name="40% - Accent4 2 3 3 2 3 2" xfId="16217"/>
    <cellStyle name="60% - Accent4 2 3 3 2 3 2" xfId="16218"/>
    <cellStyle name="20% - Accent5 2 3 3 2 3 2" xfId="16219"/>
    <cellStyle name="40% - Accent5 2 3 3 2 3 2" xfId="16220"/>
    <cellStyle name="60% - Accent5 2 3 3 2 3 2" xfId="16221"/>
    <cellStyle name="20% - Accent6 2 3 3 2 3 2" xfId="16222"/>
    <cellStyle name="40% - Accent6 2 3 3 2 3 2" xfId="16223"/>
    <cellStyle name="60% - Accent6 2 3 3 2 3 2" xfId="16224"/>
    <cellStyle name="Comma 2 2 4 3 3 3 2" xfId="16225"/>
    <cellStyle name="Comma 4 4 3 3 3 2" xfId="16226"/>
    <cellStyle name="Normal 3 8 3 3 2 3 2" xfId="16227"/>
    <cellStyle name="Comma 2 4 3 3 3 2" xfId="16228"/>
    <cellStyle name="Comma 3 3 3 3 3 2" xfId="16229"/>
    <cellStyle name="Comma 2 2 3 3 3 3 2" xfId="16230"/>
    <cellStyle name="Comma 4 3 3 3 3 2" xfId="16231"/>
    <cellStyle name="Normal 7 2 3 2 3 2" xfId="16232"/>
    <cellStyle name="Comma 5 2 3 3 3 2" xfId="16233"/>
    <cellStyle name="20% - Accent1 3 2 3 2 3 2" xfId="16234"/>
    <cellStyle name="40% - Accent1 3 2 3 2 3 2" xfId="16235"/>
    <cellStyle name="60% - Accent1 3 2 3 2 3 2" xfId="16236"/>
    <cellStyle name="20% - Accent2 3 2 3 2 3 2" xfId="16237"/>
    <cellStyle name="40% - Accent2 3 2 3 2 3 2" xfId="16238"/>
    <cellStyle name="60% - Accent2 3 2 3 2 3 2" xfId="16239"/>
    <cellStyle name="20% - Accent3 3 2 3 2 3 2" xfId="16240"/>
    <cellStyle name="40% - Accent3 3 2 3 2 3 2" xfId="16241"/>
    <cellStyle name="60% - Accent3 3 2 3 2 3 2" xfId="16242"/>
    <cellStyle name="20% - Accent4 3 2 3 2 3 2" xfId="16243"/>
    <cellStyle name="40% - Accent4 3 2 3 2 3 2" xfId="16244"/>
    <cellStyle name="60% - Accent4 3 2 3 2 3 2" xfId="16245"/>
    <cellStyle name="20% - Accent5 3 2 3 2 3 2" xfId="16246"/>
    <cellStyle name="40% - Accent5 3 2 3 2 3 2" xfId="16247"/>
    <cellStyle name="60% - Accent5 3 2 3 2 3 2" xfId="16248"/>
    <cellStyle name="20% - Accent6 3 2 3 2 3 2" xfId="16249"/>
    <cellStyle name="40% - Accent6 3 2 3 2 3 2" xfId="16250"/>
    <cellStyle name="60% - Accent6 3 2 3 2 3 2" xfId="16251"/>
    <cellStyle name="Normal 3 2 3 2 3 2 3 2" xfId="16252"/>
    <cellStyle name="Normal 3 3 3 2 3 2 3 2" xfId="16253"/>
    <cellStyle name="Normal 3 4 3 2 3 2 3 2" xfId="16254"/>
    <cellStyle name="Normal 3 5 3 2 3 2 3 2" xfId="16255"/>
    <cellStyle name="Normal 3 2 2 2 2 3 2 3 2" xfId="16256"/>
    <cellStyle name="Normal 3 3 2 2 2 3 2 3 2" xfId="16257"/>
    <cellStyle name="Normal 3 4 2 2 2 3 2 3 2" xfId="16258"/>
    <cellStyle name="Normal 3 5 2 2 2 3 2 3 2" xfId="16259"/>
    <cellStyle name="Normal 5 2 2 3 2 3 2" xfId="16260"/>
    <cellStyle name="Percent 3 2 2 3 2 3 2" xfId="16261"/>
    <cellStyle name="Note 2 2 2 3 2 3 2" xfId="16262"/>
    <cellStyle name="Normal 3 6 2 2 3 2 3 2" xfId="16263"/>
    <cellStyle name="Comma 2 3 2 3 3 3 2" xfId="16264"/>
    <cellStyle name="Comma 3 2 2 3 3 3 2" xfId="16265"/>
    <cellStyle name="Percent 4 2 2 3 2 3 2" xfId="16266"/>
    <cellStyle name="Normal 3 7 2 2 3 2 3 2" xfId="16267"/>
    <cellStyle name="Note 3 2 2 3 2 3 2" xfId="16268"/>
    <cellStyle name="20% - Accent1 2 2 2 3 2 3 2" xfId="16269"/>
    <cellStyle name="40% - Accent1 2 2 2 3 2 3 2" xfId="16270"/>
    <cellStyle name="60% - Accent1 2 2 2 3 2 3 2" xfId="16271"/>
    <cellStyle name="20% - Accent2 2 2 2 3 2 3 2" xfId="16272"/>
    <cellStyle name="40% - Accent2 2 2 2 3 2 3 2" xfId="16273"/>
    <cellStyle name="60% - Accent2 2 2 2 3 2 3 2" xfId="16274"/>
    <cellStyle name="20% - Accent3 2 2 2 3 2 3 2" xfId="16275"/>
    <cellStyle name="40% - Accent3 2 2 2 3 2 3 2" xfId="16276"/>
    <cellStyle name="60% - Accent3 2 2 2 3 2 3 2" xfId="16277"/>
    <cellStyle name="20% - Accent4 2 2 2 3 2 3 2" xfId="16278"/>
    <cellStyle name="40% - Accent4 2 2 2 3 2 3 2" xfId="16279"/>
    <cellStyle name="60% - Accent4 2 2 2 3 2 3 2" xfId="16280"/>
    <cellStyle name="20% - Accent5 2 2 2 3 2 3 2" xfId="16281"/>
    <cellStyle name="40% - Accent5 2 2 2 3 2 3 2" xfId="16282"/>
    <cellStyle name="60% - Accent5 2 2 2 3 2 3 2" xfId="16283"/>
    <cellStyle name="20% - Accent6 2 2 2 3 2 3 2" xfId="16284"/>
    <cellStyle name="40% - Accent6 2 2 2 3 2 3 2" xfId="16285"/>
    <cellStyle name="60% - Accent6 2 2 2 3 2 3 2" xfId="16286"/>
    <cellStyle name="Comma 2 2 2 2 3 3 3 2" xfId="16287"/>
    <cellStyle name="Comma 4 2 2 3 3 3 2" xfId="16288"/>
    <cellStyle name="Normal 3 8 2 2 3 2 3 2" xfId="16289"/>
    <cellStyle name="Normal 3 10 3 2 3 2" xfId="16290"/>
    <cellStyle name="Normal 3 11 3 2 3 2" xfId="16291"/>
    <cellStyle name="Normal 5 4 2 2 3 2" xfId="16292"/>
    <cellStyle name="Normal 7 3 2 2 3 2" xfId="16293"/>
    <cellStyle name="Normal 3 2 2 2 3 2 2 3 2" xfId="16294"/>
    <cellStyle name="Normal 8 2 2 2 3 2" xfId="16295"/>
    <cellStyle name="Normal 3 2 2 2 2 2 2 2 3 2" xfId="16296"/>
    <cellStyle name="Comma 3 6 3 3 2" xfId="16297"/>
    <cellStyle name="Normal 3 6 4 2 2 3 2" xfId="16298"/>
    <cellStyle name="Normal 3 12 2 2 3 2" xfId="16299"/>
    <cellStyle name="Normal 3 2 5 2 2 3 2" xfId="16300"/>
    <cellStyle name="Normal 3 3 5 2 2 3 2" xfId="16301"/>
    <cellStyle name="Normal 3 4 5 2 2 3 2" xfId="16302"/>
    <cellStyle name="Normal 3 5 5 2 2 3 2" xfId="16303"/>
    <cellStyle name="20% - Accent1 5 2 2 3 2" xfId="16304"/>
    <cellStyle name="40% - Accent1 5 2 2 3 2" xfId="16305"/>
    <cellStyle name="60% - Accent1 5 2 2 3 2" xfId="16306"/>
    <cellStyle name="20% - Accent2 5 2 2 3 2" xfId="16307"/>
    <cellStyle name="40% - Accent2 5 2 2 3 2" xfId="16308"/>
    <cellStyle name="60% - Accent2 5 2 2 3 2" xfId="16309"/>
    <cellStyle name="20% - Accent3 5 2 2 3 2" xfId="16310"/>
    <cellStyle name="40% - Accent3 5 2 2 3 2" xfId="16311"/>
    <cellStyle name="60% - Accent3 5 2 2 3 2" xfId="16312"/>
    <cellStyle name="20% - Accent4 5 2 2 3 2" xfId="16313"/>
    <cellStyle name="40% - Accent4 5 2 2 3 2" xfId="16314"/>
    <cellStyle name="60% - Accent4 5 2 2 3 2" xfId="16315"/>
    <cellStyle name="20% - Accent5 5 2 2 3 2" xfId="16316"/>
    <cellStyle name="40% - Accent5 5 2 2 3 2" xfId="16317"/>
    <cellStyle name="60% - Accent5 5 2 2 3 2" xfId="16318"/>
    <cellStyle name="20% - Accent6 5 2 2 3 2" xfId="16319"/>
    <cellStyle name="40% - Accent6 5 2 2 3 2" xfId="16320"/>
    <cellStyle name="60% - Accent6 5 2 2 3 2" xfId="16321"/>
    <cellStyle name="Normal 3 2 2 4 2 2 3 2" xfId="16322"/>
    <cellStyle name="Normal 3 3 2 4 2 2 3 2" xfId="16323"/>
    <cellStyle name="Normal 3 4 2 4 2 2 3 2" xfId="16324"/>
    <cellStyle name="Normal 3 5 2 4 2 2 3 2" xfId="16325"/>
    <cellStyle name="Percent 3 4 2 2 3 2" xfId="16326"/>
    <cellStyle name="Note 2 4 2 2 3 2" xfId="16327"/>
    <cellStyle name="Comma 2 6 2 3 3 2" xfId="16328"/>
    <cellStyle name="Comma 3 5 2 3 3 2" xfId="16329"/>
    <cellStyle name="Percent 4 4 2 2 3 2" xfId="16330"/>
    <cellStyle name="Normal 3 7 4 2 2 3 2" xfId="16331"/>
    <cellStyle name="Note 3 4 2 2 3 2" xfId="16332"/>
    <cellStyle name="20% - Accent1 2 4 2 2 3 2" xfId="16333"/>
    <cellStyle name="40% - Accent1 2 4 2 2 3 2" xfId="16334"/>
    <cellStyle name="60% - Accent1 2 4 2 2 3 2" xfId="16335"/>
    <cellStyle name="20% - Accent2 2 4 2 2 3 2" xfId="16336"/>
    <cellStyle name="40% - Accent2 2 4 2 2 3 2" xfId="16337"/>
    <cellStyle name="60% - Accent2 2 4 2 2 3 2" xfId="16338"/>
    <cellStyle name="20% - Accent3 2 4 2 2 3 2" xfId="16339"/>
    <cellStyle name="40% - Accent3 2 4 2 2 3 2" xfId="16340"/>
    <cellStyle name="60% - Accent3 2 4 2 2 3 2" xfId="16341"/>
    <cellStyle name="20% - Accent4 2 4 2 2 3 2" xfId="16342"/>
    <cellStyle name="40% - Accent4 2 4 2 2 3 2" xfId="16343"/>
    <cellStyle name="60% - Accent4 2 4 2 2 3 2" xfId="16344"/>
    <cellStyle name="20% - Accent5 2 4 2 2 3 2" xfId="16345"/>
    <cellStyle name="40% - Accent5 2 4 2 2 3 2" xfId="16346"/>
    <cellStyle name="60% - Accent5 2 4 2 2 3 2" xfId="16347"/>
    <cellStyle name="20% - Accent6 2 4 2 2 3 2" xfId="16348"/>
    <cellStyle name="40% - Accent6 2 4 2 2 3 2" xfId="16349"/>
    <cellStyle name="60% - Accent6 2 4 2 2 3 2" xfId="16350"/>
    <cellStyle name="Comma 2 2 5 2 3 3 2" xfId="16351"/>
    <cellStyle name="Comma 4 5 2 3 3 2" xfId="16352"/>
    <cellStyle name="Normal 3 8 4 2 2 3 2" xfId="16353"/>
    <cellStyle name="Comma 5 3 2 3 3 2" xfId="16354"/>
    <cellStyle name="20% - Accent1 3 3 2 2 3 2" xfId="16355"/>
    <cellStyle name="40% - Accent1 3 3 2 2 3 2" xfId="16356"/>
    <cellStyle name="60% - Accent1 3 3 2 2 3 2" xfId="16357"/>
    <cellStyle name="20% - Accent2 3 3 2 2 3 2" xfId="16358"/>
    <cellStyle name="40% - Accent2 3 3 2 2 3 2" xfId="16359"/>
    <cellStyle name="60% - Accent2 3 3 2 2 3 2" xfId="16360"/>
    <cellStyle name="20% - Accent3 3 3 2 2 3 2" xfId="16361"/>
    <cellStyle name="40% - Accent3 3 3 2 2 3 2" xfId="16362"/>
    <cellStyle name="60% - Accent3 3 3 2 2 3 2" xfId="16363"/>
    <cellStyle name="20% - Accent4 3 3 2 2 3 2" xfId="16364"/>
    <cellStyle name="40% - Accent4 3 3 2 2 3 2" xfId="16365"/>
    <cellStyle name="60% - Accent4 3 3 2 2 3 2" xfId="16366"/>
    <cellStyle name="20% - Accent5 3 3 2 2 3 2" xfId="16367"/>
    <cellStyle name="40% - Accent5 3 3 2 2 3 2" xfId="16368"/>
    <cellStyle name="60% - Accent5 3 3 2 2 3 2" xfId="16369"/>
    <cellStyle name="20% - Accent6 3 3 2 2 3 2" xfId="16370"/>
    <cellStyle name="40% - Accent6 3 3 2 2 3 2" xfId="16371"/>
    <cellStyle name="60% - Accent6 3 3 2 2 3 2" xfId="16372"/>
    <cellStyle name="Normal 3 2 3 3 2 2 3 2" xfId="16373"/>
    <cellStyle name="Normal 3 3 3 3 2 2 3 2" xfId="16374"/>
    <cellStyle name="Normal 3 4 3 3 2 2 3 2" xfId="16375"/>
    <cellStyle name="Normal 3 5 3 3 2 2 3 2" xfId="16376"/>
    <cellStyle name="Normal 3 3 2 2 3 2 2 3 2" xfId="16377"/>
    <cellStyle name="Normal 3 4 2 2 3 2 2 3 2" xfId="16378"/>
    <cellStyle name="Normal 3 5 2 2 3 2 2 3 2" xfId="16379"/>
    <cellStyle name="Normal 5 2 3 2 2 3 2" xfId="16380"/>
    <cellStyle name="Percent 3 2 3 2 2 3 2" xfId="16381"/>
    <cellStyle name="Note 2 2 3 2 2 3 2" xfId="16382"/>
    <cellStyle name="Normal 3 6 2 3 2 2 3 2" xfId="16383"/>
    <cellStyle name="Comma 2 3 3 2 3 3 2" xfId="16384"/>
    <cellStyle name="Comma 3 2 3 2 3 3 2" xfId="16385"/>
    <cellStyle name="Percent 4 2 3 2 2 3 2" xfId="16386"/>
    <cellStyle name="Normal 3 7 2 3 2 2 3 2" xfId="16387"/>
    <cellStyle name="Note 3 2 3 2 2 3 2" xfId="16388"/>
    <cellStyle name="20% - Accent1 2 2 3 2 2 3 2" xfId="16389"/>
    <cellStyle name="40% - Accent1 2 2 3 2 2 3 2" xfId="16390"/>
    <cellStyle name="60% - Accent1 2 2 3 2 2 3 2" xfId="16391"/>
    <cellStyle name="20% - Accent2 2 2 3 2 2 3 2" xfId="16392"/>
    <cellStyle name="40% - Accent2 2 2 3 2 2 3 2" xfId="16393"/>
    <cellStyle name="60% - Accent2 2 2 3 2 2 3 2" xfId="16394"/>
    <cellStyle name="20% - Accent3 2 2 3 2 2 3 2" xfId="16395"/>
    <cellStyle name="40% - Accent3 2 2 3 2 2 3 2" xfId="16396"/>
    <cellStyle name="60% - Accent3 2 2 3 2 2 3 2" xfId="16397"/>
    <cellStyle name="20% - Accent4 2 2 3 2 2 3 2" xfId="16398"/>
    <cellStyle name="40% - Accent4 2 2 3 2 2 3 2" xfId="16399"/>
    <cellStyle name="60% - Accent4 2 2 3 2 2 3 2" xfId="16400"/>
    <cellStyle name="20% - Accent5 2 2 3 2 2 3 2" xfId="16401"/>
    <cellStyle name="40% - Accent5 2 2 3 2 2 3 2" xfId="16402"/>
    <cellStyle name="60% - Accent5 2 2 3 2 2 3 2" xfId="16403"/>
    <cellStyle name="20% - Accent6 2 2 3 2 2 3 2" xfId="16404"/>
    <cellStyle name="40% - Accent6 2 2 3 2 2 3 2" xfId="16405"/>
    <cellStyle name="60% - Accent6 2 2 3 2 2 3 2" xfId="16406"/>
    <cellStyle name="Comma 2 2 2 3 2 3 3 2" xfId="16407"/>
    <cellStyle name="Comma 4 2 3 2 3 3 2" xfId="16408"/>
    <cellStyle name="Normal 3 8 2 3 2 2 3 2" xfId="16409"/>
    <cellStyle name="Comma 6 2 2 3 3 2" xfId="16410"/>
    <cellStyle name="20% - Accent1 4 2 2 2 3 2" xfId="16411"/>
    <cellStyle name="40% - Accent1 4 2 2 2 3 2" xfId="16412"/>
    <cellStyle name="60% - Accent1 4 2 2 2 3 2" xfId="16413"/>
    <cellStyle name="20% - Accent2 4 2 2 2 3 2" xfId="16414"/>
    <cellStyle name="40% - Accent2 4 2 2 2 3 2" xfId="16415"/>
    <cellStyle name="60% - Accent2 4 2 2 2 3 2" xfId="16416"/>
    <cellStyle name="20% - Accent3 4 2 2 2 3 2" xfId="16417"/>
    <cellStyle name="40% - Accent3 4 2 2 2 3 2" xfId="16418"/>
    <cellStyle name="60% - Accent3 4 2 2 2 3 2" xfId="16419"/>
    <cellStyle name="20% - Accent4 4 2 2 2 3 2" xfId="16420"/>
    <cellStyle name="40% - Accent4 4 2 2 2 3 2" xfId="16421"/>
    <cellStyle name="60% - Accent4 4 2 2 2 3 2" xfId="16422"/>
    <cellStyle name="20% - Accent5 4 2 2 2 3 2" xfId="16423"/>
    <cellStyle name="40% - Accent5 4 2 2 2 3 2" xfId="16424"/>
    <cellStyle name="60% - Accent5 4 2 2 2 3 2" xfId="16425"/>
    <cellStyle name="20% - Accent6 4 2 2 2 3 2" xfId="16426"/>
    <cellStyle name="40% - Accent6 4 2 2 2 3 2" xfId="16427"/>
    <cellStyle name="60% - Accent6 4 2 2 2 3 2" xfId="16428"/>
    <cellStyle name="Normal 3 2 4 2 2 2 3 2" xfId="16429"/>
    <cellStyle name="Normal 3 3 4 2 2 2 3 2" xfId="16430"/>
    <cellStyle name="Normal 3 4 4 2 2 2 3 2" xfId="16431"/>
    <cellStyle name="Normal 3 5 4 2 2 2 3 2" xfId="16432"/>
    <cellStyle name="Normal 3 2 2 3 2 2 2 3 2" xfId="16433"/>
    <cellStyle name="Normal 3 3 2 3 2 2 2 3 2" xfId="16434"/>
    <cellStyle name="Normal 3 4 2 3 2 2 2 3 2" xfId="16435"/>
    <cellStyle name="Normal 3 5 2 3 2 2 2 3 2" xfId="16436"/>
    <cellStyle name="Normal 5 3 2 2 2 3 2" xfId="16437"/>
    <cellStyle name="Percent 3 3 2 2 2 3 2" xfId="16438"/>
    <cellStyle name="Note 2 3 2 2 2 3 2" xfId="16439"/>
    <cellStyle name="Normal 3 6 3 2 2 2 3 2" xfId="16440"/>
    <cellStyle name="Comma 2 5 2 2 3 3 2" xfId="16441"/>
    <cellStyle name="Comma 3 4 2 2 3 3 2" xfId="16442"/>
    <cellStyle name="Percent 4 3 2 2 2 3 2" xfId="16443"/>
    <cellStyle name="Normal 3 7 3 2 2 2 3 2" xfId="16444"/>
    <cellStyle name="Note 3 3 2 2 2 3 2" xfId="16445"/>
    <cellStyle name="20% - Accent1 2 3 2 2 2 3 2" xfId="16446"/>
    <cellStyle name="40% - Accent1 2 3 2 2 2 3 2" xfId="16447"/>
    <cellStyle name="60% - Accent1 2 3 2 2 2 3 2" xfId="16448"/>
    <cellStyle name="20% - Accent2 2 3 2 2 2 3 2" xfId="16449"/>
    <cellStyle name="40% - Accent2 2 3 2 2 2 3 2" xfId="16450"/>
    <cellStyle name="60% - Accent2 2 3 2 2 2 3 2" xfId="16451"/>
    <cellStyle name="20% - Accent3 2 3 2 2 2 3 2" xfId="16452"/>
    <cellStyle name="40% - Accent3 2 3 2 2 2 3 2" xfId="16453"/>
    <cellStyle name="60% - Accent3 2 3 2 2 2 3 2" xfId="16454"/>
    <cellStyle name="20% - Accent4 2 3 2 2 2 3 2" xfId="16455"/>
    <cellStyle name="40% - Accent4 2 3 2 2 2 3 2" xfId="16456"/>
    <cellStyle name="60% - Accent4 2 3 2 2 2 3 2" xfId="16457"/>
    <cellStyle name="20% - Accent5 2 3 2 2 2 3 2" xfId="16458"/>
    <cellStyle name="40% - Accent5 2 3 2 2 2 3 2" xfId="16459"/>
    <cellStyle name="60% - Accent5 2 3 2 2 2 3 2" xfId="16460"/>
    <cellStyle name="20% - Accent6 2 3 2 2 2 3 2" xfId="16461"/>
    <cellStyle name="40% - Accent6 2 3 2 2 2 3 2" xfId="16462"/>
    <cellStyle name="60% - Accent6 2 3 2 2 2 3 2" xfId="16463"/>
    <cellStyle name="Comma 2 2 4 2 2 3 3 2" xfId="16464"/>
    <cellStyle name="Comma 4 4 2 2 3 3 2" xfId="16465"/>
    <cellStyle name="Normal 3 8 3 2 2 2 3 2" xfId="16466"/>
    <cellStyle name="Comma 2 4 2 2 3 3 2" xfId="16467"/>
    <cellStyle name="Comma 3 3 2 2 3 3 2" xfId="16468"/>
    <cellStyle name="Comma 2 2 3 2 2 3 3 2" xfId="16469"/>
    <cellStyle name="Comma 4 3 2 2 3 3 2" xfId="16470"/>
    <cellStyle name="Normal 7 2 2 2 2 3 2" xfId="16471"/>
    <cellStyle name="Comma 5 2 2 2 3 3 2" xfId="16472"/>
    <cellStyle name="20% - Accent1 3 2 2 2 2 3 2" xfId="16473"/>
    <cellStyle name="40% - Accent1 3 2 2 2 2 3 2" xfId="16474"/>
    <cellStyle name="60% - Accent1 3 2 2 2 2 3 2" xfId="16475"/>
    <cellStyle name="20% - Accent2 3 2 2 2 2 3 2" xfId="16476"/>
    <cellStyle name="40% - Accent2 3 2 2 2 2 3 2" xfId="16477"/>
    <cellStyle name="60% - Accent2 3 2 2 2 2 3 2" xfId="16478"/>
    <cellStyle name="20% - Accent3 3 2 2 2 2 3 2" xfId="16479"/>
    <cellStyle name="40% - Accent3 3 2 2 2 2 3 2" xfId="16480"/>
    <cellStyle name="60% - Accent3 3 2 2 2 2 3 2" xfId="16481"/>
    <cellStyle name="20% - Accent4 3 2 2 2 2 3 2" xfId="16482"/>
    <cellStyle name="40% - Accent4 3 2 2 2 2 3 2" xfId="16483"/>
    <cellStyle name="60% - Accent4 3 2 2 2 2 3 2" xfId="16484"/>
    <cellStyle name="20% - Accent5 3 2 2 2 2 3 2" xfId="16485"/>
    <cellStyle name="40% - Accent5 3 2 2 2 2 3 2" xfId="16486"/>
    <cellStyle name="60% - Accent5 3 2 2 2 2 3 2" xfId="16487"/>
    <cellStyle name="20% - Accent6 3 2 2 2 2 3 2" xfId="16488"/>
    <cellStyle name="40% - Accent6 3 2 2 2 2 3 2" xfId="16489"/>
    <cellStyle name="60% - Accent6 3 2 2 2 2 3 2" xfId="16490"/>
    <cellStyle name="Normal 3 2 3 2 2 2 2 3 2" xfId="16491"/>
    <cellStyle name="Normal 3 3 3 2 2 2 2 3 2" xfId="16492"/>
    <cellStyle name="Normal 3 4 3 2 2 2 2 3 2" xfId="16493"/>
    <cellStyle name="Normal 3 5 3 2 2 2 2 3 2" xfId="16494"/>
    <cellStyle name="Normal 3 3 2 2 2 2 2 2 3 2" xfId="16495"/>
    <cellStyle name="Normal 3 4 2 2 2 2 2 2 3 2" xfId="16496"/>
    <cellStyle name="Normal 3 5 2 2 2 2 2 2 3 2" xfId="16497"/>
    <cellStyle name="Normal 5 2 2 2 2 2 3 2" xfId="16498"/>
    <cellStyle name="Percent 3 2 2 2 2 2 3 2" xfId="16499"/>
    <cellStyle name="Note 2 2 2 2 2 2 3 2" xfId="16500"/>
    <cellStyle name="Normal 3 6 2 2 2 2 2 3 2" xfId="16501"/>
    <cellStyle name="Comma 2 3 2 2 2 3 3 2" xfId="16502"/>
    <cellStyle name="Comma 3 2 2 2 2 3 3 2" xfId="16503"/>
    <cellStyle name="Percent 4 2 2 2 2 2 3 2" xfId="16504"/>
    <cellStyle name="Normal 3 7 2 2 2 2 2 3 2" xfId="16505"/>
    <cellStyle name="Note 3 2 2 2 2 2 3 2" xfId="16506"/>
    <cellStyle name="20% - Accent1 2 2 2 2 2 2 3 2" xfId="16507"/>
    <cellStyle name="40% - Accent1 2 2 2 2 2 2 3 2" xfId="16508"/>
    <cellStyle name="60% - Accent1 2 2 2 2 2 2 3 2" xfId="16509"/>
    <cellStyle name="20% - Accent2 2 2 2 2 2 2 3 2" xfId="16510"/>
    <cellStyle name="40% - Accent2 2 2 2 2 2 2 3 2" xfId="16511"/>
    <cellStyle name="60% - Accent2 2 2 2 2 2 2 3 2" xfId="16512"/>
    <cellStyle name="20% - Accent3 2 2 2 2 2 2 3 2" xfId="16513"/>
    <cellStyle name="40% - Accent3 2 2 2 2 2 2 3 2" xfId="16514"/>
    <cellStyle name="60% - Accent3 2 2 2 2 2 2 3 2" xfId="16515"/>
    <cellStyle name="20% - Accent4 2 2 2 2 2 2 3 2" xfId="16516"/>
    <cellStyle name="40% - Accent4 2 2 2 2 2 2 3 2" xfId="16517"/>
    <cellStyle name="60% - Accent4 2 2 2 2 2 2 3 2" xfId="16518"/>
    <cellStyle name="20% - Accent5 2 2 2 2 2 2 3 2" xfId="16519"/>
    <cellStyle name="40% - Accent5 2 2 2 2 2 2 3 2" xfId="16520"/>
    <cellStyle name="60% - Accent5 2 2 2 2 2 2 3 2" xfId="16521"/>
    <cellStyle name="20% - Accent6 2 2 2 2 2 2 3 2" xfId="16522"/>
    <cellStyle name="40% - Accent6 2 2 2 2 2 2 3 2" xfId="16523"/>
    <cellStyle name="60% - Accent6 2 2 2 2 2 2 3 2" xfId="16524"/>
    <cellStyle name="Comma 2 2 2 2 2 2 3 3 2" xfId="16525"/>
    <cellStyle name="Comma 4 2 2 2 2 3 3 2" xfId="16526"/>
    <cellStyle name="Normal 3 8 2 2 2 2 2 3 2" xfId="16527"/>
    <cellStyle name="Normal 3 10 2 2 2 3 2" xfId="16528"/>
    <cellStyle name="Normal 3 11 2 2 2 3 2" xfId="16529"/>
    <cellStyle name="Normal 3 13 2 3 2" xfId="16530"/>
    <cellStyle name="Normal 3 2 7 2 3 2" xfId="16531"/>
    <cellStyle name="Normal 3 3 7 2 3 2" xfId="16532"/>
    <cellStyle name="Normal 3 4 7 2 3 2" xfId="16533"/>
    <cellStyle name="Normal 3 5 7 2 3 2" xfId="16534"/>
    <cellStyle name="20% - Accent1 7 2 3 2" xfId="16535"/>
    <cellStyle name="40% - Accent1 7 2 3 2" xfId="16536"/>
    <cellStyle name="60% - Accent1 7 2 3 2" xfId="16537"/>
    <cellStyle name="20% - Accent2 7 2 3 2" xfId="16538"/>
    <cellStyle name="40% - Accent2 7 2 3 2" xfId="16539"/>
    <cellStyle name="60% - Accent2 7 2 3 2" xfId="16540"/>
    <cellStyle name="20% - Accent3 7 2 3 2" xfId="16541"/>
    <cellStyle name="40% - Accent3 7 2 3 2" xfId="16542"/>
    <cellStyle name="60% - Accent3 7 2 3 2" xfId="16543"/>
    <cellStyle name="20% - Accent4 7 2 3 2" xfId="16544"/>
    <cellStyle name="40% - Accent4 7 2 3 2" xfId="16545"/>
    <cellStyle name="60% - Accent4 7 2 3 2" xfId="16546"/>
    <cellStyle name="20% - Accent5 7 2 3 2" xfId="16547"/>
    <cellStyle name="40% - Accent5 7 2 3 2" xfId="16548"/>
    <cellStyle name="60% - Accent5 7 2 3 2" xfId="16549"/>
    <cellStyle name="20% - Accent6 7 2 3 2" xfId="16550"/>
    <cellStyle name="40% - Accent6 7 2 3 2" xfId="16551"/>
    <cellStyle name="60% - Accent6 7 2 3 2" xfId="16552"/>
    <cellStyle name="Normal 3 2 2 6 2 3 2" xfId="16553"/>
    <cellStyle name="Normal 3 3 2 6 2 3 2" xfId="16554"/>
    <cellStyle name="Normal 3 4 2 6 2 3 2" xfId="16555"/>
    <cellStyle name="Normal 3 5 2 6 2 3 2" xfId="16556"/>
    <cellStyle name="Normal 5 6 2 3 2" xfId="16557"/>
    <cellStyle name="Percent 3 6 2 3 2" xfId="16558"/>
    <cellStyle name="Note 2 6 2 3 2" xfId="16559"/>
    <cellStyle name="Normal 3 6 6 2 3 2" xfId="16560"/>
    <cellStyle name="Comma 2 8 3 3 2" xfId="16561"/>
    <cellStyle name="Comma 3 8 3 3 2" xfId="16562"/>
    <cellStyle name="Percent 4 6 2 3 2" xfId="16563"/>
    <cellStyle name="Normal 3 7 6 2 3 2" xfId="16564"/>
    <cellStyle name="Note 3 6 2 3 2" xfId="16565"/>
    <cellStyle name="20% - Accent1 2 6 2 3 2" xfId="16566"/>
    <cellStyle name="40% - Accent1 2 6 2 3 2" xfId="16567"/>
    <cellStyle name="60% - Accent1 2 6 2 3 2" xfId="16568"/>
    <cellStyle name="20% - Accent2 2 6 2 3 2" xfId="16569"/>
    <cellStyle name="40% - Accent2 2 6 2 3 2" xfId="16570"/>
    <cellStyle name="60% - Accent2 2 6 2 3 2" xfId="16571"/>
    <cellStyle name="20% - Accent3 2 6 2 3 2" xfId="16572"/>
    <cellStyle name="40% - Accent3 2 6 2 3 2" xfId="16573"/>
    <cellStyle name="60% - Accent3 2 6 2 3 2" xfId="16574"/>
    <cellStyle name="20% - Accent4 2 6 2 3 2" xfId="16575"/>
    <cellStyle name="40% - Accent4 2 6 2 3 2" xfId="16576"/>
    <cellStyle name="60% - Accent4 2 6 2 3 2" xfId="16577"/>
    <cellStyle name="20% - Accent5 2 6 2 3 2" xfId="16578"/>
    <cellStyle name="40% - Accent5 2 6 2 3 2" xfId="16579"/>
    <cellStyle name="60% - Accent5 2 6 2 3 2" xfId="16580"/>
    <cellStyle name="20% - Accent6 2 6 2 3 2" xfId="16581"/>
    <cellStyle name="40% - Accent6 2 6 2 3 2" xfId="16582"/>
    <cellStyle name="60% - Accent6 2 6 2 3 2" xfId="16583"/>
    <cellStyle name="Comma 2 2 7 3 3 2" xfId="16584"/>
    <cellStyle name="Comma 4 7 3 3 2" xfId="16585"/>
    <cellStyle name="Normal 3 8 6 2 3 2" xfId="16586"/>
    <cellStyle name="Normal 7 5 2 3 2" xfId="16587"/>
    <cellStyle name="Comma 5 5 3 3 2" xfId="16588"/>
    <cellStyle name="20% - Accent1 3 5 2 3 2" xfId="16589"/>
    <cellStyle name="40% - Accent1 3 5 2 3 2" xfId="16590"/>
    <cellStyle name="60% - Accent1 3 5 2 3 2" xfId="16591"/>
    <cellStyle name="20% - Accent2 3 5 2 3 2" xfId="16592"/>
    <cellStyle name="40% - Accent2 3 5 2 3 2" xfId="16593"/>
    <cellStyle name="60% - Accent2 3 5 2 3 2" xfId="16594"/>
    <cellStyle name="20% - Accent3 3 5 2 3 2" xfId="16595"/>
    <cellStyle name="40% - Accent3 3 5 2 3 2" xfId="16596"/>
    <cellStyle name="60% - Accent3 3 5 2 3 2" xfId="16597"/>
    <cellStyle name="20% - Accent4 3 5 2 3 2" xfId="16598"/>
    <cellStyle name="40% - Accent4 3 5 2 3 2" xfId="16599"/>
    <cellStyle name="60% - Accent4 3 5 2 3 2" xfId="16600"/>
    <cellStyle name="20% - Accent5 3 5 2 3 2" xfId="16601"/>
    <cellStyle name="40% - Accent5 3 5 2 3 2" xfId="16602"/>
    <cellStyle name="60% - Accent5 3 5 2 3 2" xfId="16603"/>
    <cellStyle name="20% - Accent6 3 5 2 3 2" xfId="16604"/>
    <cellStyle name="40% - Accent6 3 5 2 3 2" xfId="16605"/>
    <cellStyle name="60% - Accent6 3 5 2 3 2" xfId="16606"/>
    <cellStyle name="Normal 3 2 3 5 2 3 2" xfId="16607"/>
    <cellStyle name="Normal 3 3 3 5 2 3 2" xfId="16608"/>
    <cellStyle name="Normal 3 4 3 5 2 3 2" xfId="16609"/>
    <cellStyle name="Normal 3 5 3 5 2 3 2" xfId="16610"/>
    <cellStyle name="Normal 3 2 2 2 5 2 3 2" xfId="16611"/>
    <cellStyle name="Normal 3 3 2 2 5 2 3 2" xfId="16612"/>
    <cellStyle name="Normal 3 4 2 2 5 2 3 2" xfId="16613"/>
    <cellStyle name="Normal 3 5 2 2 5 2 3 2" xfId="16614"/>
    <cellStyle name="Normal 5 2 5 2 3 2" xfId="16615"/>
    <cellStyle name="Percent 3 2 5 2 3 2" xfId="16616"/>
    <cellStyle name="Note 2 2 5 2 3 2" xfId="16617"/>
    <cellStyle name="Normal 3 6 2 5 2 3 2" xfId="16618"/>
    <cellStyle name="Comma 2 3 5 3 3 2" xfId="16619"/>
    <cellStyle name="Comma 3 2 5 3 3 2" xfId="16620"/>
    <cellStyle name="Percent 4 2 5 2 3 2" xfId="16621"/>
    <cellStyle name="Normal 3 7 2 5 2 3 2" xfId="16622"/>
    <cellStyle name="Note 3 2 5 2 3 2" xfId="16623"/>
    <cellStyle name="20% - Accent1 2 2 5 2 3 2" xfId="16624"/>
    <cellStyle name="40% - Accent1 2 2 5 2 3 2" xfId="16625"/>
    <cellStyle name="60% - Accent1 2 2 5 2 3 2" xfId="16626"/>
    <cellStyle name="20% - Accent2 2 2 5 2 3 2" xfId="16627"/>
    <cellStyle name="40% - Accent2 2 2 5 2 3 2" xfId="16628"/>
    <cellStyle name="60% - Accent2 2 2 5 2 3 2" xfId="16629"/>
    <cellStyle name="20% - Accent3 2 2 5 2 3 2" xfId="16630"/>
    <cellStyle name="40% - Accent3 2 2 5 2 3 2" xfId="16631"/>
    <cellStyle name="60% - Accent3 2 2 5 2 3 2" xfId="16632"/>
    <cellStyle name="20% - Accent4 2 2 5 2 3 2" xfId="16633"/>
    <cellStyle name="40% - Accent4 2 2 5 2 3 2" xfId="16634"/>
    <cellStyle name="60% - Accent4 2 2 5 2 3 2" xfId="16635"/>
    <cellStyle name="20% - Accent5 2 2 5 2 3 2" xfId="16636"/>
    <cellStyle name="40% - Accent5 2 2 5 2 3 2" xfId="16637"/>
    <cellStyle name="60% - Accent5 2 2 5 2 3 2" xfId="16638"/>
    <cellStyle name="20% - Accent6 2 2 5 2 3 2" xfId="16639"/>
    <cellStyle name="40% - Accent6 2 2 5 2 3 2" xfId="16640"/>
    <cellStyle name="60% - Accent6 2 2 5 2 3 2" xfId="16641"/>
    <cellStyle name="Comma 2 2 2 5 3 3 2" xfId="16642"/>
    <cellStyle name="Comma 4 2 5 3 3 2" xfId="16643"/>
    <cellStyle name="Normal 3 8 2 5 2 3 2" xfId="16644"/>
    <cellStyle name="Normal 8 4 2 3 2" xfId="16645"/>
    <cellStyle name="Comma 6 4 3 3 2" xfId="16646"/>
    <cellStyle name="20% - Accent1 4 4 2 3 2" xfId="16647"/>
    <cellStyle name="40% - Accent1 4 4 2 3 2" xfId="16648"/>
    <cellStyle name="60% - Accent1 4 4 2 3 2" xfId="16649"/>
    <cellStyle name="20% - Accent2 4 4 2 3 2" xfId="16650"/>
    <cellStyle name="40% - Accent2 4 4 2 3 2" xfId="16651"/>
    <cellStyle name="60% - Accent2 4 4 2 3 2" xfId="16652"/>
    <cellStyle name="20% - Accent3 4 4 2 3 2" xfId="16653"/>
    <cellStyle name="40% - Accent3 4 4 2 3 2" xfId="16654"/>
    <cellStyle name="60% - Accent3 4 4 2 3 2" xfId="16655"/>
    <cellStyle name="20% - Accent4 4 4 2 3 2" xfId="16656"/>
    <cellStyle name="40% - Accent4 4 4 2 3 2" xfId="16657"/>
    <cellStyle name="60% - Accent4 4 4 2 3 2" xfId="16658"/>
    <cellStyle name="20% - Accent5 4 4 2 3 2" xfId="16659"/>
    <cellStyle name="40% - Accent5 4 4 2 3 2" xfId="16660"/>
    <cellStyle name="60% - Accent5 4 4 2 3 2" xfId="16661"/>
    <cellStyle name="20% - Accent6 4 4 2 3 2" xfId="16662"/>
    <cellStyle name="40% - Accent6 4 4 2 3 2" xfId="16663"/>
    <cellStyle name="60% - Accent6 4 4 2 3 2" xfId="16664"/>
    <cellStyle name="Normal 3 2 4 4 2 3 2" xfId="16665"/>
    <cellStyle name="Normal 3 3 4 4 2 3 2" xfId="16666"/>
    <cellStyle name="Normal 3 4 4 4 2 3 2" xfId="16667"/>
    <cellStyle name="Normal 3 5 4 4 2 3 2" xfId="16668"/>
    <cellStyle name="Normal 3 2 2 3 4 2 3 2" xfId="16669"/>
    <cellStyle name="Normal 3 3 2 3 4 2 3 2" xfId="16670"/>
    <cellStyle name="Normal 3 4 2 3 4 2 3 2" xfId="16671"/>
    <cellStyle name="Normal 3 5 2 3 4 2 3 2" xfId="16672"/>
    <cellStyle name="Normal 5 3 4 2 3 2" xfId="16673"/>
    <cellStyle name="Percent 3 3 4 2 3 2" xfId="16674"/>
    <cellStyle name="Note 2 3 4 2 3 2" xfId="16675"/>
    <cellStyle name="Normal 3 6 3 4 2 3 2" xfId="16676"/>
    <cellStyle name="Comma 2 5 4 3 3 2" xfId="16677"/>
    <cellStyle name="Comma 3 4 4 3 3 2" xfId="16678"/>
    <cellStyle name="Percent 4 3 4 2 3 2" xfId="16679"/>
    <cellStyle name="Normal 3 7 3 4 2 3 2" xfId="16680"/>
    <cellStyle name="Note 3 3 4 2 3 2" xfId="16681"/>
    <cellStyle name="20% - Accent1 2 3 4 2 3 2" xfId="16682"/>
    <cellStyle name="40% - Accent1 2 3 4 2 3 2" xfId="16683"/>
    <cellStyle name="60% - Accent1 2 3 4 2 3 2" xfId="16684"/>
    <cellStyle name="20% - Accent2 2 3 4 2 3 2" xfId="16685"/>
    <cellStyle name="40% - Accent2 2 3 4 2 3 2" xfId="16686"/>
    <cellStyle name="60% - Accent2 2 3 4 2 3 2" xfId="16687"/>
    <cellStyle name="20% - Accent3 2 3 4 2 3 2" xfId="16688"/>
    <cellStyle name="40% - Accent3 2 3 4 2 3 2" xfId="16689"/>
    <cellStyle name="60% - Accent3 2 3 4 2 3 2" xfId="16690"/>
    <cellStyle name="20% - Accent4 2 3 4 2 3 2" xfId="16691"/>
    <cellStyle name="40% - Accent4 2 3 4 2 3 2" xfId="16692"/>
    <cellStyle name="60% - Accent4 2 3 4 2 3 2" xfId="16693"/>
    <cellStyle name="20% - Accent5 2 3 4 2 3 2" xfId="16694"/>
    <cellStyle name="40% - Accent5 2 3 4 2 3 2" xfId="16695"/>
    <cellStyle name="60% - Accent5 2 3 4 2 3 2" xfId="16696"/>
    <cellStyle name="20% - Accent6 2 3 4 2 3 2" xfId="16697"/>
    <cellStyle name="40% - Accent6 2 3 4 2 3 2" xfId="16698"/>
    <cellStyle name="60% - Accent6 2 3 4 2 3 2" xfId="16699"/>
    <cellStyle name="Comma 2 2 4 4 3 3 2" xfId="16700"/>
    <cellStyle name="Comma 4 4 4 3 3 2" xfId="16701"/>
    <cellStyle name="Normal 3 8 3 4 2 3 2" xfId="16702"/>
    <cellStyle name="Comma 2 4 4 3 3 2" xfId="16703"/>
    <cellStyle name="Comma 3 3 4 3 3 2" xfId="16704"/>
    <cellStyle name="Comma 2 2 3 4 3 3 2" xfId="16705"/>
    <cellStyle name="Comma 4 3 4 3 3 2" xfId="16706"/>
    <cellStyle name="Normal 7 2 4 2 3 2" xfId="16707"/>
    <cellStyle name="Comma 5 2 4 3 3 2" xfId="16708"/>
    <cellStyle name="20% - Accent1 3 2 4 2 3 2" xfId="16709"/>
    <cellStyle name="40% - Accent1 3 2 4 2 3 2" xfId="16710"/>
    <cellStyle name="60% - Accent1 3 2 4 2 3 2" xfId="16711"/>
    <cellStyle name="20% - Accent2 3 2 4 2 3 2" xfId="16712"/>
    <cellStyle name="40% - Accent2 3 2 4 2 3 2" xfId="16713"/>
    <cellStyle name="60% - Accent2 3 2 4 2 3 2" xfId="16714"/>
    <cellStyle name="20% - Accent3 3 2 4 2 3 2" xfId="16715"/>
    <cellStyle name="40% - Accent3 3 2 4 2 3 2" xfId="16716"/>
    <cellStyle name="60% - Accent3 3 2 4 2 3 2" xfId="16717"/>
    <cellStyle name="20% - Accent4 3 2 4 2 3 2" xfId="16718"/>
    <cellStyle name="40% - Accent4 3 2 4 2 3 2" xfId="16719"/>
    <cellStyle name="60% - Accent4 3 2 4 2 3 2" xfId="16720"/>
    <cellStyle name="20% - Accent5 3 2 4 2 3 2" xfId="16721"/>
    <cellStyle name="40% - Accent5 3 2 4 2 3 2" xfId="16722"/>
    <cellStyle name="60% - Accent5 3 2 4 2 3 2" xfId="16723"/>
    <cellStyle name="20% - Accent6 3 2 4 2 3 2" xfId="16724"/>
    <cellStyle name="40% - Accent6 3 2 4 2 3 2" xfId="16725"/>
    <cellStyle name="60% - Accent6 3 2 4 2 3 2" xfId="16726"/>
    <cellStyle name="Normal 3 2 3 2 4 2 3 2" xfId="16727"/>
    <cellStyle name="Normal 3 3 3 2 4 2 3 2" xfId="16728"/>
    <cellStyle name="Normal 3 4 3 2 4 2 3 2" xfId="16729"/>
    <cellStyle name="Normal 3 5 3 2 4 2 3 2" xfId="16730"/>
    <cellStyle name="Normal 3 2 2 2 2 4 2 3 2" xfId="16731"/>
    <cellStyle name="Normal 3 3 2 2 2 4 2 3 2" xfId="16732"/>
    <cellStyle name="Normal 3 4 2 2 2 4 2 3 2" xfId="16733"/>
    <cellStyle name="Normal 3 5 2 2 2 4 2 3 2" xfId="16734"/>
    <cellStyle name="Normal 5 2 2 4 2 3 2" xfId="16735"/>
    <cellStyle name="Percent 3 2 2 4 2 3 2" xfId="16736"/>
    <cellStyle name="Note 2 2 2 4 2 3 2" xfId="16737"/>
    <cellStyle name="Normal 3 6 2 2 4 2 3 2" xfId="16738"/>
    <cellStyle name="Comma 2 3 2 4 3 3 2" xfId="16739"/>
    <cellStyle name="Comma 3 2 2 4 3 3 2" xfId="16740"/>
    <cellStyle name="Percent 4 2 2 4 2 3 2" xfId="16741"/>
    <cellStyle name="Normal 3 7 2 2 4 2 3 2" xfId="16742"/>
    <cellStyle name="Note 3 2 2 4 2 3 2" xfId="16743"/>
    <cellStyle name="20% - Accent1 2 2 2 4 2 3 2" xfId="16744"/>
    <cellStyle name="40% - Accent1 2 2 2 4 2 3 2" xfId="16745"/>
    <cellStyle name="60% - Accent1 2 2 2 4 2 3 2" xfId="16746"/>
    <cellStyle name="20% - Accent2 2 2 2 4 2 3 2" xfId="16747"/>
    <cellStyle name="40% - Accent2 2 2 2 4 2 3 2" xfId="16748"/>
    <cellStyle name="60% - Accent2 2 2 2 4 2 3 2" xfId="16749"/>
    <cellStyle name="20% - Accent3 2 2 2 4 2 3 2" xfId="16750"/>
    <cellStyle name="40% - Accent3 2 2 2 4 2 3 2" xfId="16751"/>
    <cellStyle name="60% - Accent3 2 2 2 4 2 3 2" xfId="16752"/>
    <cellStyle name="20% - Accent4 2 2 2 4 2 3 2" xfId="16753"/>
    <cellStyle name="40% - Accent4 2 2 2 4 2 3 2" xfId="16754"/>
    <cellStyle name="60% - Accent4 2 2 2 4 2 3 2" xfId="16755"/>
    <cellStyle name="20% - Accent5 2 2 2 4 2 3 2" xfId="16756"/>
    <cellStyle name="40% - Accent5 2 2 2 4 2 3 2" xfId="16757"/>
    <cellStyle name="60% - Accent5 2 2 2 4 2 3 2" xfId="16758"/>
    <cellStyle name="20% - Accent6 2 2 2 4 2 3 2" xfId="16759"/>
    <cellStyle name="40% - Accent6 2 2 2 4 2 3 2" xfId="16760"/>
    <cellStyle name="60% - Accent6 2 2 2 4 2 3 2" xfId="16761"/>
    <cellStyle name="Comma 2 2 2 2 4 3 3 2" xfId="16762"/>
    <cellStyle name="Comma 4 2 2 4 3 3 2" xfId="16763"/>
    <cellStyle name="Normal 3 8 2 2 4 2 3 2" xfId="16764"/>
    <cellStyle name="Normal 3 10 4 2 3 2" xfId="16765"/>
    <cellStyle name="Normal 3 11 4 2 3 2" xfId="16766"/>
    <cellStyle name="Normal 12 2 3 2" xfId="16767"/>
    <cellStyle name="Percent 8 2 3 2" xfId="16768"/>
    <cellStyle name="Note 4 2 3 2" xfId="16769"/>
    <cellStyle name="20% - Accent1 8 2 3 2" xfId="16770"/>
    <cellStyle name="40% - Accent1 8 2 3 2" xfId="16771"/>
    <cellStyle name="60% - Accent1 8 2 3 2" xfId="16772"/>
    <cellStyle name="20% - Accent2 8 2 3 2" xfId="16773"/>
    <cellStyle name="40% - Accent2 8 2 3 2" xfId="16774"/>
    <cellStyle name="60% - Accent2 8 2 3 2" xfId="16775"/>
    <cellStyle name="20% - Accent3 8 2 3 2" xfId="16776"/>
    <cellStyle name="40% - Accent3 8 2 3 2" xfId="16777"/>
    <cellStyle name="60% - Accent3 8 2 3 2" xfId="16778"/>
    <cellStyle name="20% - Accent4 8 2 3 2" xfId="16779"/>
    <cellStyle name="40% - Accent4 8 2 3 2" xfId="16780"/>
    <cellStyle name="60% - Accent4 8 2 3 2" xfId="16781"/>
    <cellStyle name="20% - Accent5 8 2 3 2" xfId="16782"/>
    <cellStyle name="40% - Accent5 8 2 3 2" xfId="16783"/>
    <cellStyle name="60% - Accent5 8 2 3 2" xfId="16784"/>
    <cellStyle name="20% - Accent6 8 2 3 2" xfId="16785"/>
    <cellStyle name="40% - Accent6 8 2 3 2" xfId="16786"/>
    <cellStyle name="60% - Accent6 8 2 3 2" xfId="16787"/>
    <cellStyle name="Comma 2 9 3 3 2" xfId="16788"/>
    <cellStyle name="Comma 7 3 3 2" xfId="16789"/>
    <cellStyle name="Normal 13 4 3 2" xfId="16790"/>
    <cellStyle name="Comma 8 2 3 2" xfId="16791"/>
    <cellStyle name="20% - Accent1 9 2 3 2" xfId="16792"/>
    <cellStyle name="40% - Accent1 9 2 3 2" xfId="16793"/>
    <cellStyle name="60% - Accent1 9 2 3 2" xfId="16794"/>
    <cellStyle name="20% - Accent2 9 2 3 2" xfId="16795"/>
    <cellStyle name="40% - Accent2 9 2 3 2" xfId="16796"/>
    <cellStyle name="60% - Accent2 9 2 3 2" xfId="16797"/>
    <cellStyle name="20% - Accent3 9 2 3 2" xfId="16798"/>
    <cellStyle name="40% - Accent3 9 2 3 2" xfId="16799"/>
    <cellStyle name="60% - Accent3 9 2 3 2" xfId="16800"/>
    <cellStyle name="20% - Accent4 9 2 3 2" xfId="16801"/>
    <cellStyle name="40% - Accent4 9 2 3 2" xfId="16802"/>
    <cellStyle name="60% - Accent4 9 2 3 2" xfId="16803"/>
    <cellStyle name="20% - Accent5 9 2 3 2" xfId="16804"/>
    <cellStyle name="40% - Accent5 9 2 3 2" xfId="16805"/>
    <cellStyle name="60% - Accent5 9 2 3 2" xfId="16806"/>
    <cellStyle name="20% - Accent6 9 2 3 2" xfId="16807"/>
    <cellStyle name="40% - Accent6 9 2 3 2" xfId="16808"/>
    <cellStyle name="60% - Accent6 9 2 3 2" xfId="16809"/>
    <cellStyle name="Normal 3 2 8 2 3 2" xfId="16810"/>
    <cellStyle name="Normal 3 3 8 2 3 2" xfId="16811"/>
    <cellStyle name="Normal 3 4 8 2 3 2" xfId="16812"/>
    <cellStyle name="Normal 3 5 8 2 3 2" xfId="16813"/>
    <cellStyle name="Normal 3 2 2 7 2 3 2" xfId="16814"/>
    <cellStyle name="Normal 3 3 2 7 2 3 2" xfId="16815"/>
    <cellStyle name="Normal 3 4 2 7 2 3 2" xfId="16816"/>
    <cellStyle name="Normal 3 5 2 7 2 3 2" xfId="16817"/>
    <cellStyle name="Normal 5 7 2 3 2" xfId="16818"/>
    <cellStyle name="Percent 3 7 2 3 2" xfId="16819"/>
    <cellStyle name="Note 2 7 2 3 2" xfId="16820"/>
    <cellStyle name="Normal 3 6 7 2 3 2" xfId="16821"/>
    <cellStyle name="Comma 2 10 2 3 2" xfId="16822"/>
    <cellStyle name="Comma 3 9 2 3 2" xfId="16823"/>
    <cellStyle name="Percent 4 7 2 3 2" xfId="16824"/>
    <cellStyle name="Normal 3 7 7 2 3 2" xfId="16825"/>
    <cellStyle name="Note 3 7 2 3 2" xfId="16826"/>
    <cellStyle name="20% - Accent1 2 7 2 3 2" xfId="16827"/>
    <cellStyle name="40% - Accent1 2 7 2 3 2" xfId="16828"/>
    <cellStyle name="60% - Accent1 2 7 2 3 2" xfId="16829"/>
    <cellStyle name="20% - Accent2 2 7 2 3 2" xfId="16830"/>
    <cellStyle name="40% - Accent2 2 7 2 3 2" xfId="16831"/>
    <cellStyle name="60% - Accent2 2 7 2 3 2" xfId="16832"/>
    <cellStyle name="20% - Accent3 2 7 2 3 2" xfId="16833"/>
    <cellStyle name="40% - Accent3 2 7 2 3 2" xfId="16834"/>
    <cellStyle name="60% - Accent3 2 7 2 3 2" xfId="16835"/>
    <cellStyle name="20% - Accent4 2 7 2 3 2" xfId="16836"/>
    <cellStyle name="40% - Accent4 2 7 2 3 2" xfId="16837"/>
    <cellStyle name="60% - Accent4 2 7 2 3 2" xfId="16838"/>
    <cellStyle name="20% - Accent5 2 7 2 3 2" xfId="16839"/>
    <cellStyle name="40% - Accent5 2 7 2 3 2" xfId="16840"/>
    <cellStyle name="60% - Accent5 2 7 2 3 2" xfId="16841"/>
    <cellStyle name="20% - Accent6 2 7 2 3 2" xfId="16842"/>
    <cellStyle name="40% - Accent6 2 7 2 3 2" xfId="16843"/>
    <cellStyle name="60% - Accent6 2 7 2 3 2" xfId="16844"/>
    <cellStyle name="Comma 2 2 8 2 3 2" xfId="16845"/>
    <cellStyle name="Comma 4 8 2 3 2" xfId="16846"/>
    <cellStyle name="Normal 3 8 7 2 3 2" xfId="16847"/>
    <cellStyle name="Comma 2 4 5 2 3 2" xfId="16848"/>
    <cellStyle name="Comma 3 3 5 2 3 2" xfId="16849"/>
    <cellStyle name="Comma 2 2 3 5 2 3 2" xfId="16850"/>
    <cellStyle name="Comma 4 3 5 2 3 2" xfId="16851"/>
    <cellStyle name="Normal 7 6 2 3 2" xfId="16852"/>
    <cellStyle name="Comma 5 6 2 3 2" xfId="16853"/>
    <cellStyle name="20% - Accent1 3 6 2 3 2" xfId="16854"/>
    <cellStyle name="40% - Accent1 3 6 2 3 2" xfId="16855"/>
    <cellStyle name="60% - Accent1 3 6 2 3 2" xfId="16856"/>
    <cellStyle name="20% - Accent2 3 6 2 3 2" xfId="16857"/>
    <cellStyle name="40% - Accent2 3 6 2 3 2" xfId="16858"/>
    <cellStyle name="60% - Accent2 3 6 2 3 2" xfId="16859"/>
    <cellStyle name="20% - Accent3 3 6 2 3 2" xfId="16860"/>
    <cellStyle name="40% - Accent3 3 6 2 3 2" xfId="16861"/>
    <cellStyle name="60% - Accent3 3 6 2 3 2" xfId="16862"/>
    <cellStyle name="20% - Accent4 3 6 2 3 2" xfId="16863"/>
    <cellStyle name="40% - Accent4 3 6 2 3 2" xfId="16864"/>
    <cellStyle name="60% - Accent4 3 6 2 3 2" xfId="16865"/>
    <cellStyle name="20% - Accent5 3 6 2 3 2" xfId="16866"/>
    <cellStyle name="40% - Accent5 3 6 2 3 2" xfId="16867"/>
    <cellStyle name="60% - Accent5 3 6 2 3 2" xfId="16868"/>
    <cellStyle name="20% - Accent6 3 6 2 3 2" xfId="16869"/>
    <cellStyle name="40% - Accent6 3 6 2 3 2" xfId="16870"/>
    <cellStyle name="60% - Accent6 3 6 2 3 2" xfId="16871"/>
    <cellStyle name="Normal 3 2 3 6 2 3 2" xfId="16872"/>
    <cellStyle name="Normal 3 3 3 6 2 3 2" xfId="16873"/>
    <cellStyle name="Normal 3 4 3 6 2 3 2" xfId="16874"/>
    <cellStyle name="Normal 3 5 3 6 2 3 2" xfId="16875"/>
    <cellStyle name="Normal 3 2 2 2 6 2 3 2" xfId="16876"/>
    <cellStyle name="Normal 3 3 2 2 6 2 3 2" xfId="16877"/>
    <cellStyle name="Normal 3 4 2 2 6 2 3 2" xfId="16878"/>
    <cellStyle name="Normal 3 5 2 2 6 2 3 2" xfId="16879"/>
    <cellStyle name="Normal 5 2 6 2 3 2" xfId="16880"/>
    <cellStyle name="Percent 3 2 6 2 3 2" xfId="16881"/>
    <cellStyle name="Note 2 2 6 2 3 2" xfId="16882"/>
    <cellStyle name="Normal 3 6 2 6 2 3 2" xfId="16883"/>
    <cellStyle name="Comma 2 3 6 2 3 2" xfId="16884"/>
    <cellStyle name="Comma 3 2 6 2 3 2" xfId="16885"/>
    <cellStyle name="Percent 4 2 6 2 3 2" xfId="16886"/>
    <cellStyle name="Normal 3 7 2 6 2 3 2" xfId="16887"/>
    <cellStyle name="Note 3 2 6 2 3 2" xfId="16888"/>
    <cellStyle name="20% - Accent1 2 2 6 2 3 2" xfId="16889"/>
    <cellStyle name="40% - Accent1 2 2 6 2 3 2" xfId="16890"/>
    <cellStyle name="60% - Accent1 2 2 6 2 3 2" xfId="16891"/>
    <cellStyle name="20% - Accent2 2 2 6 2 3 2" xfId="16892"/>
    <cellStyle name="40% - Accent2 2 2 6 2 3 2" xfId="16893"/>
    <cellStyle name="60% - Accent2 2 2 6 2 3 2" xfId="16894"/>
    <cellStyle name="20% - Accent3 2 2 6 2 3 2" xfId="16895"/>
    <cellStyle name="40% - Accent3 2 2 6 2 3 2" xfId="16896"/>
    <cellStyle name="60% - Accent3 2 2 6 2 3 2" xfId="16897"/>
    <cellStyle name="20% - Accent4 2 2 6 2 3 2" xfId="16898"/>
    <cellStyle name="40% - Accent4 2 2 6 2 3 2" xfId="16899"/>
    <cellStyle name="60% - Accent4 2 2 6 2 3 2" xfId="16900"/>
    <cellStyle name="20% - Accent5 2 2 6 2 3 2" xfId="16901"/>
    <cellStyle name="40% - Accent5 2 2 6 2 3 2" xfId="16902"/>
    <cellStyle name="60% - Accent5 2 2 6 2 3 2" xfId="16903"/>
    <cellStyle name="20% - Accent6 2 2 6 2 3 2" xfId="16904"/>
    <cellStyle name="40% - Accent6 2 2 6 2 3 2" xfId="16905"/>
    <cellStyle name="60% - Accent6 2 2 6 2 3 2" xfId="16906"/>
    <cellStyle name="Comma 2 2 2 6 2 3 2" xfId="16907"/>
    <cellStyle name="Comma 4 2 6 2 3 2" xfId="16908"/>
    <cellStyle name="Normal 3 8 2 6 2 3 2" xfId="16909"/>
    <cellStyle name="Comma 2 11 3 2" xfId="16910"/>
    <cellStyle name="Comma 3 10 3 2" xfId="16911"/>
    <cellStyle name="Comma 2 2 9 3 2" xfId="16912"/>
    <cellStyle name="Comma 4 9 3 2" xfId="16913"/>
    <cellStyle name="Comma 5 7 3 2" xfId="16914"/>
    <cellStyle name="Comma 2 3 7 3 2" xfId="16915"/>
    <cellStyle name="Comma 3 2 7 3 2" xfId="16916"/>
    <cellStyle name="Comma 2 2 2 7 3 2" xfId="16917"/>
    <cellStyle name="Comma 4 2 7 3 2" xfId="16918"/>
    <cellStyle name="Comma 6 5 3 2" xfId="16919"/>
    <cellStyle name="Comma 2 5 5 3 2" xfId="16920"/>
    <cellStyle name="Comma 3 4 5 3 2" xfId="16921"/>
    <cellStyle name="Comma 2 2 4 5 3 2" xfId="16922"/>
    <cellStyle name="Comma 4 4 5 3 2" xfId="16923"/>
    <cellStyle name="Comma 2 4 6 3 2" xfId="16924"/>
    <cellStyle name="Comma 3 3 6 3 2" xfId="16925"/>
    <cellStyle name="Comma 2 2 3 6 3 2" xfId="16926"/>
    <cellStyle name="Comma 4 3 6 3 2" xfId="16927"/>
    <cellStyle name="Comma 5 2 5 3 2" xfId="16928"/>
    <cellStyle name="Comma 2 3 2 5 3 2" xfId="16929"/>
    <cellStyle name="Comma 3 2 2 5 3 2" xfId="16930"/>
    <cellStyle name="Comma 2 2 2 2 5 3 2" xfId="16931"/>
    <cellStyle name="Comma 4 2 2 5 3 2" xfId="16932"/>
    <cellStyle name="Comma 2 6 3 3 2" xfId="16933"/>
    <cellStyle name="Comma 3 5 3 3 2" xfId="16934"/>
    <cellStyle name="Comma 2 2 5 3 3 2" xfId="16935"/>
    <cellStyle name="Comma 4 5 3 3 2" xfId="16936"/>
    <cellStyle name="Comma 5 3 3 3 2" xfId="16937"/>
    <cellStyle name="Comma 2 3 3 3 3 2" xfId="16938"/>
    <cellStyle name="Comma 3 2 3 3 3 2" xfId="16939"/>
    <cellStyle name="Comma 2 2 2 3 3 3 2" xfId="16940"/>
    <cellStyle name="Comma 4 2 3 3 3 2" xfId="16941"/>
    <cellStyle name="Comma 6 2 3 3 2" xfId="16942"/>
    <cellStyle name="Comma 2 5 2 3 3 2" xfId="16943"/>
    <cellStyle name="Comma 3 4 2 3 3 2" xfId="16944"/>
    <cellStyle name="Comma 2 2 4 2 3 3 2" xfId="16945"/>
    <cellStyle name="Comma 4 4 2 3 3 2" xfId="16946"/>
    <cellStyle name="Comma 2 4 2 3 3 2" xfId="16947"/>
    <cellStyle name="Comma 3 3 2 3 3 2" xfId="16948"/>
    <cellStyle name="Comma 2 2 3 2 3 3 2" xfId="16949"/>
    <cellStyle name="Comma 4 3 2 3 3 2" xfId="16950"/>
    <cellStyle name="Comma 5 2 2 3 3 2" xfId="16951"/>
    <cellStyle name="Comma 2 3 2 2 3 3 2" xfId="16952"/>
    <cellStyle name="Comma 3 2 2 2 3 3 2" xfId="16953"/>
    <cellStyle name="Comma 2 2 2 2 2 3 3 2" xfId="16954"/>
    <cellStyle name="Comma 4 2 2 2 3 3 2" xfId="16955"/>
    <cellStyle name="Comma 2 7 2 3 2" xfId="16956"/>
    <cellStyle name="Comma 3 7 2 3 2" xfId="16957"/>
    <cellStyle name="Comma 2 2 6 2 3 2" xfId="16958"/>
    <cellStyle name="Comma 4 6 2 3 2" xfId="16959"/>
    <cellStyle name="Comma 5 4 2 3 2" xfId="16960"/>
    <cellStyle name="Comma 2 3 4 2 3 2" xfId="16961"/>
    <cellStyle name="Comma 3 2 4 2 3 2" xfId="16962"/>
    <cellStyle name="Comma 2 2 2 4 2 3 2" xfId="16963"/>
    <cellStyle name="Comma 4 2 4 2 3 2" xfId="16964"/>
    <cellStyle name="Comma 6 3 2 3 2" xfId="16965"/>
    <cellStyle name="Comma 2 5 3 2 3 2" xfId="16966"/>
    <cellStyle name="Comma 3 4 3 2 3 2" xfId="16967"/>
    <cellStyle name="Comma 2 2 4 3 2 3 2" xfId="16968"/>
    <cellStyle name="Comma 4 4 3 2 3 2" xfId="16969"/>
    <cellStyle name="Comma 2 4 3 2 3 2" xfId="16970"/>
    <cellStyle name="Comma 3 3 3 2 3 2" xfId="16971"/>
    <cellStyle name="Comma 2 2 3 3 2 3 2" xfId="16972"/>
    <cellStyle name="Comma 4 3 3 2 3 2" xfId="16973"/>
    <cellStyle name="Comma 5 2 3 2 3 2" xfId="16974"/>
    <cellStyle name="Comma 2 3 2 3 2 3 2" xfId="16975"/>
    <cellStyle name="Comma 3 2 2 3 2 3 2" xfId="16976"/>
    <cellStyle name="Comma 2 2 2 2 3 2 3 2" xfId="16977"/>
    <cellStyle name="Comma 4 2 2 3 2 3 2" xfId="16978"/>
    <cellStyle name="Comma 3 6 2 3 2" xfId="16979"/>
    <cellStyle name="Comma 2 6 2 2 3 2" xfId="16980"/>
    <cellStyle name="Comma 3 5 2 2 3 2" xfId="16981"/>
    <cellStyle name="Comma 2 2 5 2 2 3 2" xfId="16982"/>
    <cellStyle name="Comma 4 5 2 2 3 2" xfId="16983"/>
    <cellStyle name="Comma 5 3 2 2 3 2" xfId="16984"/>
    <cellStyle name="Comma 2 3 3 2 2 3 2" xfId="16985"/>
    <cellStyle name="Comma 3 2 3 2 2 3 2" xfId="16986"/>
    <cellStyle name="Comma 2 2 2 3 2 2 3 2" xfId="16987"/>
    <cellStyle name="Comma 4 2 3 2 2 3 2" xfId="16988"/>
    <cellStyle name="Comma 6 2 2 2 3 2" xfId="16989"/>
    <cellStyle name="Comma 2 5 2 2 2 3 2" xfId="16990"/>
    <cellStyle name="Comma 3 4 2 2 2 3 2" xfId="16991"/>
    <cellStyle name="Comma 2 2 4 2 2 2 3 2" xfId="16992"/>
    <cellStyle name="Comma 4 4 2 2 2 3 2" xfId="16993"/>
    <cellStyle name="Comma 2 4 2 2 2 3 2" xfId="16994"/>
    <cellStyle name="Comma 3 3 2 2 2 3 2" xfId="16995"/>
    <cellStyle name="Comma 2 2 3 2 2 2 3 2" xfId="16996"/>
    <cellStyle name="Comma 4 3 2 2 2 3 2" xfId="16997"/>
    <cellStyle name="Comma 5 2 2 2 2 3 2" xfId="16998"/>
    <cellStyle name="Comma 2 3 2 2 2 2 3 2" xfId="16999"/>
    <cellStyle name="Comma 3 2 2 2 2 2 3 2" xfId="17000"/>
    <cellStyle name="Comma 2 2 2 2 2 2 2 3 2" xfId="17001"/>
    <cellStyle name="Comma 4 2 2 2 2 2 3 2" xfId="17002"/>
    <cellStyle name="Comma 2 8 2 3 2" xfId="17003"/>
    <cellStyle name="Comma 3 8 2 3 2" xfId="17004"/>
    <cellStyle name="Comma 2 2 7 2 3 2" xfId="17005"/>
    <cellStyle name="Comma 4 7 2 3 2" xfId="17006"/>
    <cellStyle name="Comma 5 5 2 3 2" xfId="17007"/>
    <cellStyle name="Comma 2 3 5 2 3 2" xfId="17008"/>
    <cellStyle name="Comma 3 2 5 2 3 2" xfId="17009"/>
    <cellStyle name="Comma 2 2 2 5 2 3 2" xfId="17010"/>
    <cellStyle name="Comma 4 2 5 2 3 2" xfId="17011"/>
    <cellStyle name="Comma 6 4 2 3 2" xfId="17012"/>
    <cellStyle name="Comma 2 5 4 2 3 2" xfId="17013"/>
    <cellStyle name="Comma 3 4 4 2 3 2" xfId="17014"/>
    <cellStyle name="Comma 2 2 4 4 2 3 2" xfId="17015"/>
    <cellStyle name="Comma 4 4 4 2 3 2" xfId="17016"/>
    <cellStyle name="Comma 2 4 4 2 3 2" xfId="17017"/>
    <cellStyle name="Comma 3 3 4 2 3 2" xfId="17018"/>
    <cellStyle name="Comma 2 2 3 4 2 3 2" xfId="17019"/>
    <cellStyle name="Comma 4 3 4 2 3 2" xfId="17020"/>
    <cellStyle name="Comma 5 2 4 2 3 2" xfId="17021"/>
    <cellStyle name="Comma 2 3 2 4 2 3 2" xfId="17022"/>
    <cellStyle name="Comma 3 2 2 4 2 3 2" xfId="17023"/>
    <cellStyle name="Comma 2 2 2 2 4 2 3 2" xfId="17024"/>
    <cellStyle name="Comma 4 2 2 4 2 3 2" xfId="17025"/>
    <cellStyle name="Comma 2 9 2 3 2" xfId="17026"/>
    <cellStyle name="Comma 7 2 3 2" xfId="17027"/>
    <cellStyle name="Normal 13 2 3 2" xfId="17028"/>
    <cellStyle name="Normal 6 3 3 2" xfId="17029"/>
    <cellStyle name="Percent 5 3 3 2" xfId="17030"/>
    <cellStyle name="20% - Accent1 14" xfId="17031"/>
    <cellStyle name="40% - Accent1 14" xfId="17032"/>
    <cellStyle name="60% - Accent1 14" xfId="17033"/>
    <cellStyle name="20% - Accent2 14" xfId="17034"/>
    <cellStyle name="40% - Accent2 14" xfId="17035"/>
    <cellStyle name="60% - Accent2 14" xfId="17036"/>
    <cellStyle name="20% - Accent3 14" xfId="17037"/>
    <cellStyle name="40% - Accent3 14" xfId="17038"/>
    <cellStyle name="60% - Accent3 14" xfId="17039"/>
    <cellStyle name="20% - Accent4 14" xfId="17040"/>
    <cellStyle name="40% - Accent4 14" xfId="17041"/>
    <cellStyle name="60% - Accent4 14" xfId="17042"/>
    <cellStyle name="20% - Accent5 14" xfId="17043"/>
    <cellStyle name="40% - Accent5 14" xfId="17044"/>
    <cellStyle name="60% - Accent5 14" xfId="17045"/>
    <cellStyle name="20% - Accent6 14" xfId="17046"/>
    <cellStyle name="40% - Accent6 14" xfId="17047"/>
    <cellStyle name="60% - Accent6 14" xfId="17048"/>
    <cellStyle name="Normal 3 16" xfId="17049"/>
    <cellStyle name="Normal 3 15" xfId="17050"/>
    <cellStyle name="Normal 3 2 13" xfId="17051"/>
    <cellStyle name="Normal 3 3 13" xfId="17052"/>
    <cellStyle name="Normal 3 4 13" xfId="17053"/>
    <cellStyle name="Normal 3 5 13" xfId="17054"/>
    <cellStyle name="Normal 3 2 2 12" xfId="17055"/>
    <cellStyle name="Normal 3 3 2 12" xfId="17056"/>
    <cellStyle name="Normal 3 4 2 12" xfId="17057"/>
    <cellStyle name="Normal 3 5 2 12" xfId="17058"/>
    <cellStyle name="Normal 5 12" xfId="17059"/>
    <cellStyle name="Percent 3 12" xfId="17060"/>
    <cellStyle name="Note 2 12" xfId="17061"/>
    <cellStyle name="Normal 3 6 12" xfId="17062"/>
    <cellStyle name="Comma 2 17" xfId="17063"/>
    <cellStyle name="Comma 3 16" xfId="17064"/>
    <cellStyle name="Percent 4 12" xfId="17065"/>
    <cellStyle name="Normal 3 7 12" xfId="17066"/>
    <cellStyle name="Note 3 12" xfId="17067"/>
    <cellStyle name="20% - Accent1 2 12" xfId="17068"/>
    <cellStyle name="40% - Accent1 2 12" xfId="17069"/>
    <cellStyle name="60% - Accent1 2 12" xfId="17070"/>
    <cellStyle name="20% - Accent2 2 12" xfId="17071"/>
    <cellStyle name="40% - Accent2 2 12" xfId="17072"/>
    <cellStyle name="60% - Accent2 2 12" xfId="17073"/>
    <cellStyle name="20% - Accent3 2 12" xfId="17074"/>
    <cellStyle name="40% - Accent3 2 12" xfId="17075"/>
    <cellStyle name="60% - Accent3 2 12" xfId="17076"/>
    <cellStyle name="20% - Accent4 2 12" xfId="17077"/>
    <cellStyle name="40% - Accent4 2 12" xfId="17078"/>
    <cellStyle name="60% - Accent4 2 12" xfId="17079"/>
    <cellStyle name="20% - Accent5 2 12" xfId="17080"/>
    <cellStyle name="40% - Accent5 2 12" xfId="17081"/>
    <cellStyle name="60% - Accent5 2 12" xfId="17082"/>
    <cellStyle name="20% - Accent6 2 12" xfId="17083"/>
    <cellStyle name="40% - Accent6 2 12" xfId="17084"/>
    <cellStyle name="60% - Accent6 2 12" xfId="17085"/>
    <cellStyle name="Comma 2 2 15" xfId="17086"/>
    <cellStyle name="Comma 4 15" xfId="17087"/>
    <cellStyle name="Normal 3 8 12" xfId="17088"/>
    <cellStyle name="Normal 7 11" xfId="17089"/>
    <cellStyle name="Comma 5 13" xfId="17090"/>
    <cellStyle name="20% - Accent1 3 11" xfId="17091"/>
    <cellStyle name="40% - Accent1 3 11" xfId="17092"/>
    <cellStyle name="60% - Accent1 3 11" xfId="17093"/>
    <cellStyle name="20% - Accent2 3 11" xfId="17094"/>
    <cellStyle name="40% - Accent2 3 11" xfId="17095"/>
    <cellStyle name="60% - Accent2 3 11" xfId="17096"/>
    <cellStyle name="20% - Accent3 3 11" xfId="17097"/>
    <cellStyle name="40% - Accent3 3 11" xfId="17098"/>
    <cellStyle name="60% - Accent3 3 11" xfId="17099"/>
    <cellStyle name="20% - Accent4 3 11" xfId="17100"/>
    <cellStyle name="40% - Accent4 3 11" xfId="17101"/>
    <cellStyle name="60% - Accent4 3 11" xfId="17102"/>
    <cellStyle name="20% - Accent5 3 11" xfId="17103"/>
    <cellStyle name="40% - Accent5 3 11" xfId="17104"/>
    <cellStyle name="60% - Accent5 3 11" xfId="17105"/>
    <cellStyle name="20% - Accent6 3 11" xfId="17106"/>
    <cellStyle name="40% - Accent6 3 11" xfId="17107"/>
    <cellStyle name="60% - Accent6 3 11" xfId="17108"/>
    <cellStyle name="Normal 3 2 3 11" xfId="17109"/>
    <cellStyle name="Normal 3 3 3 11" xfId="17110"/>
    <cellStyle name="Normal 3 4 3 11" xfId="17111"/>
    <cellStyle name="Normal 3 5 3 11" xfId="17112"/>
    <cellStyle name="Normal 3 2 2 2 11" xfId="17113"/>
    <cellStyle name="Normal 3 3 2 2 11" xfId="17114"/>
    <cellStyle name="Normal 3 4 2 2 11" xfId="17115"/>
    <cellStyle name="Normal 3 5 2 2 11" xfId="17116"/>
    <cellStyle name="Normal 5 2 11" xfId="17117"/>
    <cellStyle name="Percent 3 2 11" xfId="17118"/>
    <cellStyle name="Note 2 2 11" xfId="17119"/>
    <cellStyle name="Normal 3 6 2 11" xfId="17120"/>
    <cellStyle name="Comma 2 3 13" xfId="17121"/>
    <cellStyle name="Comma 3 2 13" xfId="17122"/>
    <cellStyle name="Percent 4 2 11" xfId="17123"/>
    <cellStyle name="Normal 3 7 2 11" xfId="17124"/>
    <cellStyle name="Note 3 2 11" xfId="17125"/>
    <cellStyle name="20% - Accent1 2 2 11" xfId="17126"/>
    <cellStyle name="40% - Accent1 2 2 11" xfId="17127"/>
    <cellStyle name="60% - Accent1 2 2 11" xfId="17128"/>
    <cellStyle name="20% - Accent2 2 2 11" xfId="17129"/>
    <cellStyle name="40% - Accent2 2 2 11" xfId="17130"/>
    <cellStyle name="60% - Accent2 2 2 11" xfId="17131"/>
    <cellStyle name="20% - Accent3 2 2 11" xfId="17132"/>
    <cellStyle name="40% - Accent3 2 2 11" xfId="17133"/>
    <cellStyle name="60% - Accent3 2 2 11" xfId="17134"/>
    <cellStyle name="20% - Accent4 2 2 11" xfId="17135"/>
    <cellStyle name="40% - Accent4 2 2 11" xfId="17136"/>
    <cellStyle name="60% - Accent4 2 2 11" xfId="17137"/>
    <cellStyle name="20% - Accent5 2 2 11" xfId="17138"/>
    <cellStyle name="40% - Accent5 2 2 11" xfId="17139"/>
    <cellStyle name="60% - Accent5 2 2 11" xfId="17140"/>
    <cellStyle name="20% - Accent6 2 2 11" xfId="17141"/>
    <cellStyle name="40% - Accent6 2 2 11" xfId="17142"/>
    <cellStyle name="60% - Accent6 2 2 11" xfId="17143"/>
    <cellStyle name="Comma 2 2 2 13" xfId="17144"/>
    <cellStyle name="Comma 4 2 13" xfId="17145"/>
    <cellStyle name="Normal 3 8 2 11" xfId="17146"/>
    <cellStyle name="Normal 8 9" xfId="17147"/>
    <cellStyle name="Comma 6 11" xfId="17148"/>
    <cellStyle name="20% - Accent1 4 9" xfId="17149"/>
    <cellStyle name="40% - Accent1 4 9" xfId="17150"/>
    <cellStyle name="60% - Accent1 4 9" xfId="17151"/>
    <cellStyle name="20% - Accent2 4 9" xfId="17152"/>
    <cellStyle name="40% - Accent2 4 9" xfId="17153"/>
    <cellStyle name="60% - Accent2 4 9" xfId="17154"/>
    <cellStyle name="20% - Accent3 4 9" xfId="17155"/>
    <cellStyle name="40% - Accent3 4 9" xfId="17156"/>
    <cellStyle name="60% - Accent3 4 9" xfId="17157"/>
    <cellStyle name="20% - Accent4 4 9" xfId="17158"/>
    <cellStyle name="40% - Accent4 4 9" xfId="17159"/>
    <cellStyle name="60% - Accent4 4 9" xfId="17160"/>
    <cellStyle name="20% - Accent5 4 9" xfId="17161"/>
    <cellStyle name="40% - Accent5 4 9" xfId="17162"/>
    <cellStyle name="60% - Accent5 4 9" xfId="17163"/>
    <cellStyle name="20% - Accent6 4 9" xfId="17164"/>
    <cellStyle name="40% - Accent6 4 9" xfId="17165"/>
    <cellStyle name="60% - Accent6 4 9" xfId="17166"/>
    <cellStyle name="Normal 3 2 4 9" xfId="17167"/>
    <cellStyle name="Normal 3 3 4 9" xfId="17168"/>
    <cellStyle name="Normal 3 4 4 9" xfId="17169"/>
    <cellStyle name="Normal 3 5 4 9" xfId="17170"/>
    <cellStyle name="Normal 3 2 2 3 9" xfId="17171"/>
    <cellStyle name="Normal 3 3 2 3 9" xfId="17172"/>
    <cellStyle name="Normal 3 4 2 3 9" xfId="17173"/>
    <cellStyle name="Normal 3 5 2 3 9" xfId="17174"/>
    <cellStyle name="Normal 5 3 9" xfId="17175"/>
    <cellStyle name="Percent 3 3 9" xfId="17176"/>
    <cellStyle name="Note 2 3 9" xfId="17177"/>
    <cellStyle name="Normal 3 6 3 9" xfId="17178"/>
    <cellStyle name="Comma 2 5 11" xfId="17179"/>
    <cellStyle name="Comma 3 4 11" xfId="17180"/>
    <cellStyle name="Percent 4 3 9" xfId="17181"/>
    <cellStyle name="Normal 3 7 3 9" xfId="17182"/>
    <cellStyle name="Note 3 3 9" xfId="17183"/>
    <cellStyle name="20% - Accent1 2 3 9" xfId="17184"/>
    <cellStyle name="40% - Accent1 2 3 9" xfId="17185"/>
    <cellStyle name="60% - Accent1 2 3 9" xfId="17186"/>
    <cellStyle name="20% - Accent2 2 3 9" xfId="17187"/>
    <cellStyle name="40% - Accent2 2 3 9" xfId="17188"/>
    <cellStyle name="60% - Accent2 2 3 9" xfId="17189"/>
    <cellStyle name="20% - Accent3 2 3 9" xfId="17190"/>
    <cellStyle name="40% - Accent3 2 3 9" xfId="17191"/>
    <cellStyle name="60% - Accent3 2 3 9" xfId="17192"/>
    <cellStyle name="20% - Accent4 2 3 9" xfId="17193"/>
    <cellStyle name="40% - Accent4 2 3 9" xfId="17194"/>
    <cellStyle name="60% - Accent4 2 3 9" xfId="17195"/>
    <cellStyle name="20% - Accent5 2 3 9" xfId="17196"/>
    <cellStyle name="40% - Accent5 2 3 9" xfId="17197"/>
    <cellStyle name="60% - Accent5 2 3 9" xfId="17198"/>
    <cellStyle name="20% - Accent6 2 3 9" xfId="17199"/>
    <cellStyle name="40% - Accent6 2 3 9" xfId="17200"/>
    <cellStyle name="60% - Accent6 2 3 9" xfId="17201"/>
    <cellStyle name="Comma 2 2 4 11" xfId="17202"/>
    <cellStyle name="Comma 4 4 11" xfId="17203"/>
    <cellStyle name="Normal 3 8 3 9" xfId="17204"/>
    <cellStyle name="Comma 2 4 12" xfId="17205"/>
    <cellStyle name="Comma 3 3 12" xfId="17206"/>
    <cellStyle name="Comma 2 2 3 12" xfId="17207"/>
    <cellStyle name="Comma 4 3 12" xfId="17208"/>
    <cellStyle name="Normal 7 2 9" xfId="17209"/>
    <cellStyle name="Comma 5 2 11" xfId="17210"/>
    <cellStyle name="20% - Accent1 3 2 9" xfId="17211"/>
    <cellStyle name="40% - Accent1 3 2 9" xfId="17212"/>
    <cellStyle name="60% - Accent1 3 2 9" xfId="17213"/>
    <cellStyle name="20% - Accent2 3 2 9" xfId="17214"/>
    <cellStyle name="40% - Accent2 3 2 9" xfId="17215"/>
    <cellStyle name="60% - Accent2 3 2 9" xfId="17216"/>
    <cellStyle name="20% - Accent3 3 2 9" xfId="17217"/>
    <cellStyle name="40% - Accent3 3 2 9" xfId="17218"/>
    <cellStyle name="60% - Accent3 3 2 9" xfId="17219"/>
    <cellStyle name="20% - Accent4 3 2 9" xfId="17220"/>
    <cellStyle name="40% - Accent4 3 2 9" xfId="17221"/>
    <cellStyle name="60% - Accent4 3 2 9" xfId="17222"/>
    <cellStyle name="20% - Accent5 3 2 9" xfId="17223"/>
    <cellStyle name="40% - Accent5 3 2 9" xfId="17224"/>
    <cellStyle name="60% - Accent5 3 2 9" xfId="17225"/>
    <cellStyle name="20% - Accent6 3 2 9" xfId="17226"/>
    <cellStyle name="40% - Accent6 3 2 9" xfId="17227"/>
    <cellStyle name="60% - Accent6 3 2 9" xfId="17228"/>
    <cellStyle name="Normal 3 2 3 2 9" xfId="17229"/>
    <cellStyle name="Normal 3 3 3 2 9" xfId="17230"/>
    <cellStyle name="Normal 3 4 3 2 9" xfId="17231"/>
    <cellStyle name="Normal 3 5 3 2 9" xfId="17232"/>
    <cellStyle name="Normal 3 2 2 2 2 9" xfId="17233"/>
    <cellStyle name="Normal 3 3 2 2 2 9" xfId="17234"/>
    <cellStyle name="Normal 3 4 2 2 2 9" xfId="17235"/>
    <cellStyle name="Normal 3 5 2 2 2 9" xfId="17236"/>
    <cellStyle name="Normal 5 2 2 9" xfId="17237"/>
    <cellStyle name="Percent 3 2 2 9" xfId="17238"/>
    <cellStyle name="Note 2 2 2 9" xfId="17239"/>
    <cellStyle name="Normal 3 6 2 2 9" xfId="17240"/>
    <cellStyle name="Comma 2 3 2 11" xfId="17241"/>
    <cellStyle name="Comma 3 2 2 11" xfId="17242"/>
    <cellStyle name="Percent 4 2 2 9" xfId="17243"/>
    <cellStyle name="Normal 3 7 2 2 9" xfId="17244"/>
    <cellStyle name="Note 3 2 2 9" xfId="17245"/>
    <cellStyle name="20% - Accent1 2 2 2 9" xfId="17246"/>
    <cellStyle name="40% - Accent1 2 2 2 9" xfId="17247"/>
    <cellStyle name="60% - Accent1 2 2 2 9" xfId="17248"/>
    <cellStyle name="20% - Accent2 2 2 2 9" xfId="17249"/>
    <cellStyle name="40% - Accent2 2 2 2 9" xfId="17250"/>
    <cellStyle name="60% - Accent2 2 2 2 9" xfId="17251"/>
    <cellStyle name="20% - Accent3 2 2 2 9" xfId="17252"/>
    <cellStyle name="40% - Accent3 2 2 2 9" xfId="17253"/>
    <cellStyle name="60% - Accent3 2 2 2 9" xfId="17254"/>
    <cellStyle name="20% - Accent4 2 2 2 9" xfId="17255"/>
    <cellStyle name="40% - Accent4 2 2 2 9" xfId="17256"/>
    <cellStyle name="60% - Accent4 2 2 2 9" xfId="17257"/>
    <cellStyle name="20% - Accent5 2 2 2 9" xfId="17258"/>
    <cellStyle name="40% - Accent5 2 2 2 9" xfId="17259"/>
    <cellStyle name="60% - Accent5 2 2 2 9" xfId="17260"/>
    <cellStyle name="20% - Accent6 2 2 2 9" xfId="17261"/>
    <cellStyle name="40% - Accent6 2 2 2 9" xfId="17262"/>
    <cellStyle name="60% - Accent6 2 2 2 9" xfId="17263"/>
    <cellStyle name="Comma 2 2 2 2 11" xfId="17264"/>
    <cellStyle name="Comma 4 2 2 11" xfId="17265"/>
    <cellStyle name="Normal 3 8 2 2 9" xfId="17266"/>
    <cellStyle name="Normal 3 10 9" xfId="17267"/>
    <cellStyle name="Normal 3 11 9" xfId="17268"/>
    <cellStyle name="Normal 3 12 7" xfId="17269"/>
    <cellStyle name="Normal 3 2 5 7" xfId="17270"/>
    <cellStyle name="Normal 3 3 5 7" xfId="17271"/>
    <cellStyle name="Normal 3 4 5 7" xfId="17272"/>
    <cellStyle name="Normal 3 5 5 7" xfId="17273"/>
    <cellStyle name="20% - Accent1 5 7" xfId="17274"/>
    <cellStyle name="40% - Accent1 5 7" xfId="17275"/>
    <cellStyle name="60% - Accent1 5 7" xfId="17276"/>
    <cellStyle name="20% - Accent2 5 7" xfId="17277"/>
    <cellStyle name="40% - Accent2 5 7" xfId="17278"/>
    <cellStyle name="60% - Accent2 5 7" xfId="17279"/>
    <cellStyle name="20% - Accent3 5 7" xfId="17280"/>
    <cellStyle name="40% - Accent3 5 7" xfId="17281"/>
    <cellStyle name="60% - Accent3 5 7" xfId="17282"/>
    <cellStyle name="20% - Accent4 5 7" xfId="17283"/>
    <cellStyle name="40% - Accent4 5 7" xfId="17284"/>
    <cellStyle name="60% - Accent4 5 7" xfId="17285"/>
    <cellStyle name="20% - Accent5 5 7" xfId="17286"/>
    <cellStyle name="40% - Accent5 5 7" xfId="17287"/>
    <cellStyle name="60% - Accent5 5 7" xfId="17288"/>
    <cellStyle name="20% - Accent6 5 7" xfId="17289"/>
    <cellStyle name="40% - Accent6 5 7" xfId="17290"/>
    <cellStyle name="60% - Accent6 5 7" xfId="17291"/>
    <cellStyle name="Normal 3 2 2 4 7" xfId="17292"/>
    <cellStyle name="Normal 3 3 2 4 7" xfId="17293"/>
    <cellStyle name="Normal 3 4 2 4 7" xfId="17294"/>
    <cellStyle name="Normal 3 5 2 4 7" xfId="17295"/>
    <cellStyle name="Normal 5 4 7" xfId="17296"/>
    <cellStyle name="Percent 3 4 7" xfId="17297"/>
    <cellStyle name="Note 2 4 7" xfId="17298"/>
    <cellStyle name="Normal 3 6 4 7" xfId="17299"/>
    <cellStyle name="Comma 2 6 9" xfId="17300"/>
    <cellStyle name="Comma 3 5 9" xfId="17301"/>
    <cellStyle name="Percent 4 4 7" xfId="17302"/>
    <cellStyle name="Normal 3 7 4 7" xfId="17303"/>
    <cellStyle name="Note 3 4 7" xfId="17304"/>
    <cellStyle name="20% - Accent1 2 4 7" xfId="17305"/>
    <cellStyle name="40% - Accent1 2 4 7" xfId="17306"/>
    <cellStyle name="60% - Accent1 2 4 7" xfId="17307"/>
    <cellStyle name="20% - Accent2 2 4 7" xfId="17308"/>
    <cellStyle name="40% - Accent2 2 4 7" xfId="17309"/>
    <cellStyle name="60% - Accent2 2 4 7" xfId="17310"/>
    <cellStyle name="20% - Accent3 2 4 7" xfId="17311"/>
    <cellStyle name="40% - Accent3 2 4 7" xfId="17312"/>
    <cellStyle name="60% - Accent3 2 4 7" xfId="17313"/>
    <cellStyle name="20% - Accent4 2 4 7" xfId="17314"/>
    <cellStyle name="40% - Accent4 2 4 7" xfId="17315"/>
    <cellStyle name="60% - Accent4 2 4 7" xfId="17316"/>
    <cellStyle name="20% - Accent5 2 4 7" xfId="17317"/>
    <cellStyle name="40% - Accent5 2 4 7" xfId="17318"/>
    <cellStyle name="60% - Accent5 2 4 7" xfId="17319"/>
    <cellStyle name="20% - Accent6 2 4 7" xfId="17320"/>
    <cellStyle name="40% - Accent6 2 4 7" xfId="17321"/>
    <cellStyle name="60% - Accent6 2 4 7" xfId="17322"/>
    <cellStyle name="Comma 2 2 5 9" xfId="17323"/>
    <cellStyle name="Comma 4 5 9" xfId="17324"/>
    <cellStyle name="Normal 3 8 4 7" xfId="17325"/>
    <cellStyle name="Normal 7 3 7" xfId="17326"/>
    <cellStyle name="Comma 5 3 9" xfId="17327"/>
    <cellStyle name="20% - Accent1 3 3 7" xfId="17328"/>
    <cellStyle name="40% - Accent1 3 3 7" xfId="17329"/>
    <cellStyle name="60% - Accent1 3 3 7" xfId="17330"/>
    <cellStyle name="20% - Accent2 3 3 7" xfId="17331"/>
    <cellStyle name="40% - Accent2 3 3 7" xfId="17332"/>
    <cellStyle name="60% - Accent2 3 3 7" xfId="17333"/>
    <cellStyle name="20% - Accent3 3 3 7" xfId="17334"/>
    <cellStyle name="40% - Accent3 3 3 7" xfId="17335"/>
    <cellStyle name="60% - Accent3 3 3 7" xfId="17336"/>
    <cellStyle name="20% - Accent4 3 3 7" xfId="17337"/>
    <cellStyle name="40% - Accent4 3 3 7" xfId="17338"/>
    <cellStyle name="60% - Accent4 3 3 7" xfId="17339"/>
    <cellStyle name="20% - Accent5 3 3 7" xfId="17340"/>
    <cellStyle name="40% - Accent5 3 3 7" xfId="17341"/>
    <cellStyle name="60% - Accent5 3 3 7" xfId="17342"/>
    <cellStyle name="20% - Accent6 3 3 7" xfId="17343"/>
    <cellStyle name="40% - Accent6 3 3 7" xfId="17344"/>
    <cellStyle name="60% - Accent6 3 3 7" xfId="17345"/>
    <cellStyle name="Normal 3 2 3 3 7" xfId="17346"/>
    <cellStyle name="Normal 3 3 3 3 7" xfId="17347"/>
    <cellStyle name="Normal 3 4 3 3 7" xfId="17348"/>
    <cellStyle name="Normal 3 5 3 3 7" xfId="17349"/>
    <cellStyle name="Normal 3 2 2 2 3 7" xfId="17350"/>
    <cellStyle name="Normal 3 3 2 2 3 7" xfId="17351"/>
    <cellStyle name="Normal 3 4 2 2 3 7" xfId="17352"/>
    <cellStyle name="Normal 3 5 2 2 3 7" xfId="17353"/>
    <cellStyle name="Normal 5 2 3 7" xfId="17354"/>
    <cellStyle name="Percent 3 2 3 7" xfId="17355"/>
    <cellStyle name="Note 2 2 3 7" xfId="17356"/>
    <cellStyle name="Normal 3 6 2 3 7" xfId="17357"/>
    <cellStyle name="Comma 2 3 3 9" xfId="17358"/>
    <cellStyle name="Comma 3 2 3 9" xfId="17359"/>
    <cellStyle name="Percent 4 2 3 7" xfId="17360"/>
    <cellStyle name="Normal 3 7 2 3 7" xfId="17361"/>
    <cellStyle name="Note 3 2 3 7" xfId="17362"/>
    <cellStyle name="20% - Accent1 2 2 3 7" xfId="17363"/>
    <cellStyle name="40% - Accent1 2 2 3 7" xfId="17364"/>
    <cellStyle name="60% - Accent1 2 2 3 7" xfId="17365"/>
    <cellStyle name="20% - Accent2 2 2 3 7" xfId="17366"/>
    <cellStyle name="40% - Accent2 2 2 3 7" xfId="17367"/>
    <cellStyle name="60% - Accent2 2 2 3 7" xfId="17368"/>
    <cellStyle name="20% - Accent3 2 2 3 7" xfId="17369"/>
    <cellStyle name="40% - Accent3 2 2 3 7" xfId="17370"/>
    <cellStyle name="60% - Accent3 2 2 3 7" xfId="17371"/>
    <cellStyle name="20% - Accent4 2 2 3 7" xfId="17372"/>
    <cellStyle name="40% - Accent4 2 2 3 7" xfId="17373"/>
    <cellStyle name="60% - Accent4 2 2 3 7" xfId="17374"/>
    <cellStyle name="20% - Accent5 2 2 3 7" xfId="17375"/>
    <cellStyle name="40% - Accent5 2 2 3 7" xfId="17376"/>
    <cellStyle name="60% - Accent5 2 2 3 7" xfId="17377"/>
    <cellStyle name="20% - Accent6 2 2 3 7" xfId="17378"/>
    <cellStyle name="40% - Accent6 2 2 3 7" xfId="17379"/>
    <cellStyle name="60% - Accent6 2 2 3 7" xfId="17380"/>
    <cellStyle name="Comma 2 2 2 3 9" xfId="17381"/>
    <cellStyle name="Comma 4 2 3 9" xfId="17382"/>
    <cellStyle name="Normal 3 8 2 3 7" xfId="17383"/>
    <cellStyle name="Normal 8 2 7" xfId="17384"/>
    <cellStyle name="Comma 6 2 9" xfId="17385"/>
    <cellStyle name="20% - Accent1 4 2 7" xfId="17386"/>
    <cellStyle name="40% - Accent1 4 2 7" xfId="17387"/>
    <cellStyle name="60% - Accent1 4 2 7" xfId="17388"/>
    <cellStyle name="20% - Accent2 4 2 7" xfId="17389"/>
    <cellStyle name="40% - Accent2 4 2 7" xfId="17390"/>
    <cellStyle name="60% - Accent2 4 2 7" xfId="17391"/>
    <cellStyle name="20% - Accent3 4 2 7" xfId="17392"/>
    <cellStyle name="40% - Accent3 4 2 7" xfId="17393"/>
    <cellStyle name="60% - Accent3 4 2 7" xfId="17394"/>
    <cellStyle name="20% - Accent4 4 2 7" xfId="17395"/>
    <cellStyle name="40% - Accent4 4 2 7" xfId="17396"/>
    <cellStyle name="60% - Accent4 4 2 7" xfId="17397"/>
    <cellStyle name="20% - Accent5 4 2 7" xfId="17398"/>
    <cellStyle name="40% - Accent5 4 2 7" xfId="17399"/>
    <cellStyle name="60% - Accent5 4 2 7" xfId="17400"/>
    <cellStyle name="20% - Accent6 4 2 7" xfId="17401"/>
    <cellStyle name="40% - Accent6 4 2 7" xfId="17402"/>
    <cellStyle name="60% - Accent6 4 2 7" xfId="17403"/>
    <cellStyle name="Normal 3 2 4 2 7" xfId="17404"/>
    <cellStyle name="Normal 3 3 4 2 7" xfId="17405"/>
    <cellStyle name="Normal 3 4 4 2 7" xfId="17406"/>
    <cellStyle name="Normal 3 5 4 2 7" xfId="17407"/>
    <cellStyle name="Normal 3 2 2 3 2 7" xfId="17408"/>
    <cellStyle name="Normal 3 3 2 3 2 7" xfId="17409"/>
    <cellStyle name="Normal 3 4 2 3 2 7" xfId="17410"/>
    <cellStyle name="Normal 3 5 2 3 2 7" xfId="17411"/>
    <cellStyle name="Normal 5 3 2 7" xfId="17412"/>
    <cellStyle name="Percent 3 3 2 7" xfId="17413"/>
    <cellStyle name="Note 2 3 2 7" xfId="17414"/>
    <cellStyle name="Normal 3 6 3 2 7" xfId="17415"/>
    <cellStyle name="Comma 2 5 2 9" xfId="17416"/>
    <cellStyle name="Comma 3 4 2 9" xfId="17417"/>
    <cellStyle name="Percent 4 3 2 7" xfId="17418"/>
    <cellStyle name="Normal 3 7 3 2 7" xfId="17419"/>
    <cellStyle name="Note 3 3 2 7" xfId="17420"/>
    <cellStyle name="20% - Accent1 2 3 2 7" xfId="17421"/>
    <cellStyle name="40% - Accent1 2 3 2 7" xfId="17422"/>
    <cellStyle name="60% - Accent1 2 3 2 7" xfId="17423"/>
    <cellStyle name="20% - Accent2 2 3 2 7" xfId="17424"/>
    <cellStyle name="40% - Accent2 2 3 2 7" xfId="17425"/>
    <cellStyle name="60% - Accent2 2 3 2 7" xfId="17426"/>
    <cellStyle name="20% - Accent3 2 3 2 7" xfId="17427"/>
    <cellStyle name="40% - Accent3 2 3 2 7" xfId="17428"/>
    <cellStyle name="60% - Accent3 2 3 2 7" xfId="17429"/>
    <cellStyle name="20% - Accent4 2 3 2 7" xfId="17430"/>
    <cellStyle name="40% - Accent4 2 3 2 7" xfId="17431"/>
    <cellStyle name="60% - Accent4 2 3 2 7" xfId="17432"/>
    <cellStyle name="20% - Accent5 2 3 2 7" xfId="17433"/>
    <cellStyle name="40% - Accent5 2 3 2 7" xfId="17434"/>
    <cellStyle name="60% - Accent5 2 3 2 7" xfId="17435"/>
    <cellStyle name="20% - Accent6 2 3 2 7" xfId="17436"/>
    <cellStyle name="40% - Accent6 2 3 2 7" xfId="17437"/>
    <cellStyle name="60% - Accent6 2 3 2 7" xfId="17438"/>
    <cellStyle name="Comma 2 2 4 2 9" xfId="17439"/>
    <cellStyle name="Comma 4 4 2 9" xfId="17440"/>
    <cellStyle name="Normal 3 8 3 2 7" xfId="17441"/>
    <cellStyle name="Comma 2 4 2 9" xfId="17442"/>
    <cellStyle name="Comma 3 3 2 9" xfId="17443"/>
    <cellStyle name="Comma 2 2 3 2 9" xfId="17444"/>
    <cellStyle name="Comma 4 3 2 9" xfId="17445"/>
    <cellStyle name="Normal 7 2 2 7" xfId="17446"/>
    <cellStyle name="Comma 5 2 2 9" xfId="17447"/>
    <cellStyle name="20% - Accent1 3 2 2 7" xfId="17448"/>
    <cellStyle name="40% - Accent1 3 2 2 7" xfId="17449"/>
    <cellStyle name="60% - Accent1 3 2 2 7" xfId="17450"/>
    <cellStyle name="20% - Accent2 3 2 2 7" xfId="17451"/>
    <cellStyle name="40% - Accent2 3 2 2 7" xfId="17452"/>
    <cellStyle name="60% - Accent2 3 2 2 7" xfId="17453"/>
    <cellStyle name="20% - Accent3 3 2 2 7" xfId="17454"/>
    <cellStyle name="40% - Accent3 3 2 2 7" xfId="17455"/>
    <cellStyle name="60% - Accent3 3 2 2 7" xfId="17456"/>
    <cellStyle name="20% - Accent4 3 2 2 7" xfId="17457"/>
    <cellStyle name="40% - Accent4 3 2 2 7" xfId="17458"/>
    <cellStyle name="60% - Accent4 3 2 2 7" xfId="17459"/>
    <cellStyle name="20% - Accent5 3 2 2 7" xfId="17460"/>
    <cellStyle name="40% - Accent5 3 2 2 7" xfId="17461"/>
    <cellStyle name="60% - Accent5 3 2 2 7" xfId="17462"/>
    <cellStyle name="20% - Accent6 3 2 2 7" xfId="17463"/>
    <cellStyle name="40% - Accent6 3 2 2 7" xfId="17464"/>
    <cellStyle name="60% - Accent6 3 2 2 7" xfId="17465"/>
    <cellStyle name="Normal 3 2 3 2 2 7" xfId="17466"/>
    <cellStyle name="Normal 3 3 3 2 2 7" xfId="17467"/>
    <cellStyle name="Normal 3 4 3 2 2 7" xfId="17468"/>
    <cellStyle name="Normal 3 5 3 2 2 7" xfId="17469"/>
    <cellStyle name="Normal 3 2 2 2 2 2 7" xfId="17470"/>
    <cellStyle name="Normal 3 3 2 2 2 2 7" xfId="17471"/>
    <cellStyle name="Normal 3 4 2 2 2 2 7" xfId="17472"/>
    <cellStyle name="Normal 3 5 2 2 2 2 7" xfId="17473"/>
    <cellStyle name="Normal 5 2 2 2 7" xfId="17474"/>
    <cellStyle name="Percent 3 2 2 2 7" xfId="17475"/>
    <cellStyle name="Note 2 2 2 2 7" xfId="17476"/>
    <cellStyle name="Normal 3 6 2 2 2 7" xfId="17477"/>
    <cellStyle name="Comma 2 3 2 2 9" xfId="17478"/>
    <cellStyle name="Comma 3 2 2 2 9" xfId="17479"/>
    <cellStyle name="Percent 4 2 2 2 7" xfId="17480"/>
    <cellStyle name="Normal 3 7 2 2 2 7" xfId="17481"/>
    <cellStyle name="Note 3 2 2 2 7" xfId="17482"/>
    <cellStyle name="20% - Accent1 2 2 2 2 7" xfId="17483"/>
    <cellStyle name="40% - Accent1 2 2 2 2 7" xfId="17484"/>
    <cellStyle name="60% - Accent1 2 2 2 2 7" xfId="17485"/>
    <cellStyle name="20% - Accent2 2 2 2 2 7" xfId="17486"/>
    <cellStyle name="40% - Accent2 2 2 2 2 7" xfId="17487"/>
    <cellStyle name="60% - Accent2 2 2 2 2 7" xfId="17488"/>
    <cellStyle name="20% - Accent3 2 2 2 2 7" xfId="17489"/>
    <cellStyle name="40% - Accent3 2 2 2 2 7" xfId="17490"/>
    <cellStyle name="60% - Accent3 2 2 2 2 7" xfId="17491"/>
    <cellStyle name="20% - Accent4 2 2 2 2 7" xfId="17492"/>
    <cellStyle name="40% - Accent4 2 2 2 2 7" xfId="17493"/>
    <cellStyle name="60% - Accent4 2 2 2 2 7" xfId="17494"/>
    <cellStyle name="20% - Accent5 2 2 2 2 7" xfId="17495"/>
    <cellStyle name="40% - Accent5 2 2 2 2 7" xfId="17496"/>
    <cellStyle name="60% - Accent5 2 2 2 2 7" xfId="17497"/>
    <cellStyle name="20% - Accent6 2 2 2 2 7" xfId="17498"/>
    <cellStyle name="40% - Accent6 2 2 2 2 7" xfId="17499"/>
    <cellStyle name="60% - Accent6 2 2 2 2 7" xfId="17500"/>
    <cellStyle name="Comma 2 2 2 2 2 9" xfId="17501"/>
    <cellStyle name="Comma 4 2 2 2 9" xfId="17502"/>
    <cellStyle name="Normal 3 8 2 2 2 7" xfId="17503"/>
    <cellStyle name="Normal 3 10 2 7" xfId="17504"/>
    <cellStyle name="Normal 3 11 2 7" xfId="17505"/>
    <cellStyle name="Normal 3 2 6 6" xfId="17506"/>
    <cellStyle name="Normal 3 3 6 6" xfId="17507"/>
    <cellStyle name="Normal 3 4 6 6" xfId="17508"/>
    <cellStyle name="Normal 3 5 6 6" xfId="17509"/>
    <cellStyle name="20% - Accent1 6 6" xfId="17510"/>
    <cellStyle name="40% - Accent1 6 6" xfId="17511"/>
    <cellStyle name="60% - Accent1 6 6" xfId="17512"/>
    <cellStyle name="20% - Accent2 6 6" xfId="17513"/>
    <cellStyle name="40% - Accent2 6 6" xfId="17514"/>
    <cellStyle name="60% - Accent2 6 6" xfId="17515"/>
    <cellStyle name="20% - Accent3 6 6" xfId="17516"/>
    <cellStyle name="40% - Accent3 6 6" xfId="17517"/>
    <cellStyle name="60% - Accent3 6 6" xfId="17518"/>
    <cellStyle name="20% - Accent4 6 6" xfId="17519"/>
    <cellStyle name="40% - Accent4 6 6" xfId="17520"/>
    <cellStyle name="60% - Accent4 6 6" xfId="17521"/>
    <cellStyle name="20% - Accent5 6 6" xfId="17522"/>
    <cellStyle name="40% - Accent5 6 6" xfId="17523"/>
    <cellStyle name="60% - Accent5 6 6" xfId="17524"/>
    <cellStyle name="20% - Accent6 6 6" xfId="17525"/>
    <cellStyle name="40% - Accent6 6 6" xfId="17526"/>
    <cellStyle name="60% - Accent6 6 6" xfId="17527"/>
    <cellStyle name="Normal 3 2 2 5 6" xfId="17528"/>
    <cellStyle name="Normal 3 3 2 5 6" xfId="17529"/>
    <cellStyle name="Normal 3 4 2 5 6" xfId="17530"/>
    <cellStyle name="Normal 3 5 2 5 6" xfId="17531"/>
    <cellStyle name="Normal 5 5 6" xfId="17532"/>
    <cellStyle name="Percent 3 5 6" xfId="17533"/>
    <cellStyle name="Note 2 5 6" xfId="17534"/>
    <cellStyle name="Normal 3 6 5 6" xfId="17535"/>
    <cellStyle name="Comma 2 7 8" xfId="17536"/>
    <cellStyle name="Comma 3 7 8" xfId="17537"/>
    <cellStyle name="Percent 4 5 6" xfId="17538"/>
    <cellStyle name="Normal 3 7 5 6" xfId="17539"/>
    <cellStyle name="Note 3 5 6" xfId="17540"/>
    <cellStyle name="20% - Accent1 2 5 6" xfId="17541"/>
    <cellStyle name="40% - Accent1 2 5 6" xfId="17542"/>
    <cellStyle name="60% - Accent1 2 5 6" xfId="17543"/>
    <cellStyle name="20% - Accent2 2 5 6" xfId="17544"/>
    <cellStyle name="40% - Accent2 2 5 6" xfId="17545"/>
    <cellStyle name="60% - Accent2 2 5 6" xfId="17546"/>
    <cellStyle name="20% - Accent3 2 5 6" xfId="17547"/>
    <cellStyle name="40% - Accent3 2 5 6" xfId="17548"/>
    <cellStyle name="60% - Accent3 2 5 6" xfId="17549"/>
    <cellStyle name="20% - Accent4 2 5 6" xfId="17550"/>
    <cellStyle name="40% - Accent4 2 5 6" xfId="17551"/>
    <cellStyle name="60% - Accent4 2 5 6" xfId="17552"/>
    <cellStyle name="20% - Accent5 2 5 6" xfId="17553"/>
    <cellStyle name="40% - Accent5 2 5 6" xfId="17554"/>
    <cellStyle name="60% - Accent5 2 5 6" xfId="17555"/>
    <cellStyle name="20% - Accent6 2 5 6" xfId="17556"/>
    <cellStyle name="40% - Accent6 2 5 6" xfId="17557"/>
    <cellStyle name="60% - Accent6 2 5 6" xfId="17558"/>
    <cellStyle name="Comma 2 2 6 8" xfId="17559"/>
    <cellStyle name="Comma 4 6 8" xfId="17560"/>
    <cellStyle name="Normal 3 8 5 6" xfId="17561"/>
    <cellStyle name="Normal 7 4 6" xfId="17562"/>
    <cellStyle name="Comma 5 4 8" xfId="17563"/>
    <cellStyle name="20% - Accent1 3 4 6" xfId="17564"/>
    <cellStyle name="40% - Accent1 3 4 6" xfId="17565"/>
    <cellStyle name="60% - Accent1 3 4 6" xfId="17566"/>
    <cellStyle name="20% - Accent2 3 4 6" xfId="17567"/>
    <cellStyle name="40% - Accent2 3 4 6" xfId="17568"/>
    <cellStyle name="60% - Accent2 3 4 6" xfId="17569"/>
    <cellStyle name="20% - Accent3 3 4 6" xfId="17570"/>
    <cellStyle name="40% - Accent3 3 4 6" xfId="17571"/>
    <cellStyle name="60% - Accent3 3 4 6" xfId="17572"/>
    <cellStyle name="20% - Accent4 3 4 6" xfId="17573"/>
    <cellStyle name="40% - Accent4 3 4 6" xfId="17574"/>
    <cellStyle name="60% - Accent4 3 4 6" xfId="17575"/>
    <cellStyle name="20% - Accent5 3 4 6" xfId="17576"/>
    <cellStyle name="40% - Accent5 3 4 6" xfId="17577"/>
    <cellStyle name="60% - Accent5 3 4 6" xfId="17578"/>
    <cellStyle name="20% - Accent6 3 4 6" xfId="17579"/>
    <cellStyle name="40% - Accent6 3 4 6" xfId="17580"/>
    <cellStyle name="60% - Accent6 3 4 6" xfId="17581"/>
    <cellStyle name="Normal 3 2 3 4 6" xfId="17582"/>
    <cellStyle name="Normal 3 3 3 4 6" xfId="17583"/>
    <cellStyle name="Normal 3 4 3 4 6" xfId="17584"/>
    <cellStyle name="Normal 3 5 3 4 6" xfId="17585"/>
    <cellStyle name="Normal 3 2 2 2 4 6" xfId="17586"/>
    <cellStyle name="Normal 3 3 2 2 4 6" xfId="17587"/>
    <cellStyle name="Normal 3 4 2 2 4 6" xfId="17588"/>
    <cellStyle name="Normal 3 5 2 2 4 6" xfId="17589"/>
    <cellStyle name="Normal 5 2 4 6" xfId="17590"/>
    <cellStyle name="Percent 3 2 4 6" xfId="17591"/>
    <cellStyle name="Note 2 2 4 6" xfId="17592"/>
    <cellStyle name="Normal 3 6 2 4 6" xfId="17593"/>
    <cellStyle name="Comma 2 3 4 8" xfId="17594"/>
    <cellStyle name="Comma 3 2 4 8" xfId="17595"/>
    <cellStyle name="Percent 4 2 4 6" xfId="17596"/>
    <cellStyle name="Normal 3 7 2 4 6" xfId="17597"/>
    <cellStyle name="Note 3 2 4 6" xfId="17598"/>
    <cellStyle name="20% - Accent1 2 2 4 6" xfId="17599"/>
    <cellStyle name="40% - Accent1 2 2 4 6" xfId="17600"/>
    <cellStyle name="60% - Accent1 2 2 4 6" xfId="17601"/>
    <cellStyle name="20% - Accent2 2 2 4 6" xfId="17602"/>
    <cellStyle name="40% - Accent2 2 2 4 6" xfId="17603"/>
    <cellStyle name="60% - Accent2 2 2 4 6" xfId="17604"/>
    <cellStyle name="20% - Accent3 2 2 4 6" xfId="17605"/>
    <cellStyle name="40% - Accent3 2 2 4 6" xfId="17606"/>
    <cellStyle name="60% - Accent3 2 2 4 6" xfId="17607"/>
    <cellStyle name="20% - Accent4 2 2 4 6" xfId="17608"/>
    <cellStyle name="40% - Accent4 2 2 4 6" xfId="17609"/>
    <cellStyle name="60% - Accent4 2 2 4 6" xfId="17610"/>
    <cellStyle name="20% - Accent5 2 2 4 6" xfId="17611"/>
    <cellStyle name="40% - Accent5 2 2 4 6" xfId="17612"/>
    <cellStyle name="60% - Accent5 2 2 4 6" xfId="17613"/>
    <cellStyle name="20% - Accent6 2 2 4 6" xfId="17614"/>
    <cellStyle name="40% - Accent6 2 2 4 6" xfId="17615"/>
    <cellStyle name="60% - Accent6 2 2 4 6" xfId="17616"/>
    <cellStyle name="Comma 2 2 2 4 8" xfId="17617"/>
    <cellStyle name="Comma 4 2 4 8" xfId="17618"/>
    <cellStyle name="Normal 3 8 2 4 6" xfId="17619"/>
    <cellStyle name="Normal 8 3 6" xfId="17620"/>
    <cellStyle name="Comma 6 3 8" xfId="17621"/>
    <cellStyle name="20% - Accent1 4 3 6" xfId="17622"/>
    <cellStyle name="40% - Accent1 4 3 6" xfId="17623"/>
    <cellStyle name="60% - Accent1 4 3 6" xfId="17624"/>
    <cellStyle name="20% - Accent2 4 3 6" xfId="17625"/>
    <cellStyle name="40% - Accent2 4 3 6" xfId="17626"/>
    <cellStyle name="60% - Accent2 4 3 6" xfId="17627"/>
    <cellStyle name="20% - Accent3 4 3 6" xfId="17628"/>
    <cellStyle name="40% - Accent3 4 3 6" xfId="17629"/>
    <cellStyle name="60% - Accent3 4 3 6" xfId="17630"/>
    <cellStyle name="20% - Accent4 4 3 6" xfId="17631"/>
    <cellStyle name="40% - Accent4 4 3 6" xfId="17632"/>
    <cellStyle name="60% - Accent4 4 3 6" xfId="17633"/>
    <cellStyle name="20% - Accent5 4 3 6" xfId="17634"/>
    <cellStyle name="40% - Accent5 4 3 6" xfId="17635"/>
    <cellStyle name="60% - Accent5 4 3 6" xfId="17636"/>
    <cellStyle name="20% - Accent6 4 3 6" xfId="17637"/>
    <cellStyle name="40% - Accent6 4 3 6" xfId="17638"/>
    <cellStyle name="60% - Accent6 4 3 6" xfId="17639"/>
    <cellStyle name="Normal 3 2 4 3 6" xfId="17640"/>
    <cellStyle name="Normal 3 3 4 3 6" xfId="17641"/>
    <cellStyle name="Normal 3 4 4 3 6" xfId="17642"/>
    <cellStyle name="Normal 3 5 4 3 6" xfId="17643"/>
    <cellStyle name="Normal 3 2 2 3 3 6" xfId="17644"/>
    <cellStyle name="Normal 3 3 2 3 3 6" xfId="17645"/>
    <cellStyle name="Normal 3 4 2 3 3 6" xfId="17646"/>
    <cellStyle name="Normal 3 5 2 3 3 6" xfId="17647"/>
    <cellStyle name="Normal 5 3 3 6" xfId="17648"/>
    <cellStyle name="Percent 3 3 3 6" xfId="17649"/>
    <cellStyle name="Note 2 3 3 6" xfId="17650"/>
    <cellStyle name="Normal 3 6 3 3 6" xfId="17651"/>
    <cellStyle name="Comma 2 5 3 8" xfId="17652"/>
    <cellStyle name="Comma 3 4 3 8" xfId="17653"/>
    <cellStyle name="Percent 4 3 3 6" xfId="17654"/>
    <cellStyle name="Normal 3 7 3 3 6" xfId="17655"/>
    <cellStyle name="Note 3 3 3 6" xfId="17656"/>
    <cellStyle name="20% - Accent1 2 3 3 6" xfId="17657"/>
    <cellStyle name="40% - Accent1 2 3 3 6" xfId="17658"/>
    <cellStyle name="60% - Accent1 2 3 3 6" xfId="17659"/>
    <cellStyle name="20% - Accent2 2 3 3 6" xfId="17660"/>
    <cellStyle name="40% - Accent2 2 3 3 6" xfId="17661"/>
    <cellStyle name="60% - Accent2 2 3 3 6" xfId="17662"/>
    <cellStyle name="20% - Accent3 2 3 3 6" xfId="17663"/>
    <cellStyle name="40% - Accent3 2 3 3 6" xfId="17664"/>
    <cellStyle name="60% - Accent3 2 3 3 6" xfId="17665"/>
    <cellStyle name="20% - Accent4 2 3 3 6" xfId="17666"/>
    <cellStyle name="40% - Accent4 2 3 3 6" xfId="17667"/>
    <cellStyle name="60% - Accent4 2 3 3 6" xfId="17668"/>
    <cellStyle name="20% - Accent5 2 3 3 6" xfId="17669"/>
    <cellStyle name="40% - Accent5 2 3 3 6" xfId="17670"/>
    <cellStyle name="60% - Accent5 2 3 3 6" xfId="17671"/>
    <cellStyle name="20% - Accent6 2 3 3 6" xfId="17672"/>
    <cellStyle name="40% - Accent6 2 3 3 6" xfId="17673"/>
    <cellStyle name="60% - Accent6 2 3 3 6" xfId="17674"/>
    <cellStyle name="Comma 2 2 4 3 8" xfId="17675"/>
    <cellStyle name="Comma 4 4 3 8" xfId="17676"/>
    <cellStyle name="Normal 3 8 3 3 6" xfId="17677"/>
    <cellStyle name="Comma 2 4 3 8" xfId="17678"/>
    <cellStyle name="Comma 3 3 3 8" xfId="17679"/>
    <cellStyle name="Comma 2 2 3 3 8" xfId="17680"/>
    <cellStyle name="Comma 4 3 3 8" xfId="17681"/>
    <cellStyle name="Normal 7 2 3 6" xfId="17682"/>
    <cellStyle name="Comma 5 2 3 8" xfId="17683"/>
    <cellStyle name="20% - Accent1 3 2 3 6" xfId="17684"/>
    <cellStyle name="40% - Accent1 3 2 3 6" xfId="17685"/>
    <cellStyle name="60% - Accent1 3 2 3 6" xfId="17686"/>
    <cellStyle name="20% - Accent2 3 2 3 6" xfId="17687"/>
    <cellStyle name="40% - Accent2 3 2 3 6" xfId="17688"/>
    <cellStyle name="60% - Accent2 3 2 3 6" xfId="17689"/>
    <cellStyle name="20% - Accent3 3 2 3 6" xfId="17690"/>
    <cellStyle name="40% - Accent3 3 2 3 6" xfId="17691"/>
    <cellStyle name="60% - Accent3 3 2 3 6" xfId="17692"/>
    <cellStyle name="20% - Accent4 3 2 3 6" xfId="17693"/>
    <cellStyle name="40% - Accent4 3 2 3 6" xfId="17694"/>
    <cellStyle name="60% - Accent4 3 2 3 6" xfId="17695"/>
    <cellStyle name="20% - Accent5 3 2 3 6" xfId="17696"/>
    <cellStyle name="40% - Accent5 3 2 3 6" xfId="17697"/>
    <cellStyle name="60% - Accent5 3 2 3 6" xfId="17698"/>
    <cellStyle name="20% - Accent6 3 2 3 6" xfId="17699"/>
    <cellStyle name="40% - Accent6 3 2 3 6" xfId="17700"/>
    <cellStyle name="60% - Accent6 3 2 3 6" xfId="17701"/>
    <cellStyle name="Normal 3 2 3 2 3 6" xfId="17702"/>
    <cellStyle name="Normal 3 3 3 2 3 6" xfId="17703"/>
    <cellStyle name="Normal 3 4 3 2 3 6" xfId="17704"/>
    <cellStyle name="Normal 3 5 3 2 3 6" xfId="17705"/>
    <cellStyle name="Normal 3 2 2 2 2 3 6" xfId="17706"/>
    <cellStyle name="Normal 3 3 2 2 2 3 6" xfId="17707"/>
    <cellStyle name="Normal 3 4 2 2 2 3 6" xfId="17708"/>
    <cellStyle name="Normal 3 5 2 2 2 3 6" xfId="17709"/>
    <cellStyle name="Normal 5 2 2 3 6" xfId="17710"/>
    <cellStyle name="Percent 3 2 2 3 6" xfId="17711"/>
    <cellStyle name="Note 2 2 2 3 6" xfId="17712"/>
    <cellStyle name="Normal 3 6 2 2 3 6" xfId="17713"/>
    <cellStyle name="Comma 2 3 2 3 8" xfId="17714"/>
    <cellStyle name="Comma 3 2 2 3 8" xfId="17715"/>
    <cellStyle name="Percent 4 2 2 3 6" xfId="17716"/>
    <cellStyle name="Normal 3 7 2 2 3 6" xfId="17717"/>
    <cellStyle name="Note 3 2 2 3 6" xfId="17718"/>
    <cellStyle name="20% - Accent1 2 2 2 3 6" xfId="17719"/>
    <cellStyle name="40% - Accent1 2 2 2 3 6" xfId="17720"/>
    <cellStyle name="60% - Accent1 2 2 2 3 6" xfId="17721"/>
    <cellStyle name="20% - Accent2 2 2 2 3 6" xfId="17722"/>
    <cellStyle name="40% - Accent2 2 2 2 3 6" xfId="17723"/>
    <cellStyle name="60% - Accent2 2 2 2 3 6" xfId="17724"/>
    <cellStyle name="20% - Accent3 2 2 2 3 6" xfId="17725"/>
    <cellStyle name="40% - Accent3 2 2 2 3 6" xfId="17726"/>
    <cellStyle name="60% - Accent3 2 2 2 3 6" xfId="17727"/>
    <cellStyle name="20% - Accent4 2 2 2 3 6" xfId="17728"/>
    <cellStyle name="40% - Accent4 2 2 2 3 6" xfId="17729"/>
    <cellStyle name="60% - Accent4 2 2 2 3 6" xfId="17730"/>
    <cellStyle name="20% - Accent5 2 2 2 3 6" xfId="17731"/>
    <cellStyle name="40% - Accent5 2 2 2 3 6" xfId="17732"/>
    <cellStyle name="60% - Accent5 2 2 2 3 6" xfId="17733"/>
    <cellStyle name="20% - Accent6 2 2 2 3 6" xfId="17734"/>
    <cellStyle name="40% - Accent6 2 2 2 3 6" xfId="17735"/>
    <cellStyle name="60% - Accent6 2 2 2 3 6" xfId="17736"/>
    <cellStyle name="Comma 2 2 2 2 3 8" xfId="17737"/>
    <cellStyle name="Comma 4 2 2 3 8" xfId="17738"/>
    <cellStyle name="Normal 3 8 2 2 3 6" xfId="17739"/>
    <cellStyle name="Normal 3 10 3 6" xfId="17740"/>
    <cellStyle name="Normal 3 11 3 6" xfId="17741"/>
    <cellStyle name="Normal 5 4 2 6" xfId="17742"/>
    <cellStyle name="Normal 7 3 2 6" xfId="17743"/>
    <cellStyle name="Normal 3 2 2 2 3 2 6" xfId="17744"/>
    <cellStyle name="Normal 8 2 2 6" xfId="17745"/>
    <cellStyle name="Normal 3 2 2 2 2 2 2 6" xfId="17746"/>
    <cellStyle name="Comma 3 6 8" xfId="17747"/>
    <cellStyle name="Normal 3 6 4 2 6" xfId="17748"/>
    <cellStyle name="Normal 3 12 2 6" xfId="17749"/>
    <cellStyle name="Normal 3 2 5 2 6" xfId="17750"/>
    <cellStyle name="Normal 3 3 5 2 6" xfId="17751"/>
    <cellStyle name="Normal 3 4 5 2 6" xfId="17752"/>
    <cellStyle name="Normal 3 5 5 2 6" xfId="17753"/>
    <cellStyle name="20% - Accent1 5 2 6" xfId="17754"/>
    <cellStyle name="40% - Accent1 5 2 6" xfId="17755"/>
    <cellStyle name="60% - Accent1 5 2 6" xfId="17756"/>
    <cellStyle name="20% - Accent2 5 2 6" xfId="17757"/>
    <cellStyle name="40% - Accent2 5 2 6" xfId="17758"/>
    <cellStyle name="60% - Accent2 5 2 6" xfId="17759"/>
    <cellStyle name="20% - Accent3 5 2 6" xfId="17760"/>
    <cellStyle name="40% - Accent3 5 2 6" xfId="17761"/>
    <cellStyle name="60% - Accent3 5 2 6" xfId="17762"/>
    <cellStyle name="20% - Accent4 5 2 6" xfId="17763"/>
    <cellStyle name="40% - Accent4 5 2 6" xfId="17764"/>
    <cellStyle name="60% - Accent4 5 2 6" xfId="17765"/>
    <cellStyle name="20% - Accent5 5 2 6" xfId="17766"/>
    <cellStyle name="40% - Accent5 5 2 6" xfId="17767"/>
    <cellStyle name="60% - Accent5 5 2 6" xfId="17768"/>
    <cellStyle name="20% - Accent6 5 2 6" xfId="17769"/>
    <cellStyle name="40% - Accent6 5 2 6" xfId="17770"/>
    <cellStyle name="60% - Accent6 5 2 6" xfId="17771"/>
    <cellStyle name="Normal 3 2 2 4 2 6" xfId="17772"/>
    <cellStyle name="Normal 3 3 2 4 2 6" xfId="17773"/>
    <cellStyle name="Normal 3 4 2 4 2 6" xfId="17774"/>
    <cellStyle name="Normal 3 5 2 4 2 6" xfId="17775"/>
    <cellStyle name="Percent 3 4 2 6" xfId="17776"/>
    <cellStyle name="Note 2 4 2 6" xfId="17777"/>
    <cellStyle name="Comma 2 6 2 8" xfId="17778"/>
    <cellStyle name="Comma 3 5 2 8" xfId="17779"/>
    <cellStyle name="Percent 4 4 2 6" xfId="17780"/>
    <cellStyle name="Normal 3 7 4 2 6" xfId="17781"/>
    <cellStyle name="Note 3 4 2 6" xfId="17782"/>
    <cellStyle name="20% - Accent1 2 4 2 6" xfId="17783"/>
    <cellStyle name="40% - Accent1 2 4 2 6" xfId="17784"/>
    <cellStyle name="60% - Accent1 2 4 2 6" xfId="17785"/>
    <cellStyle name="20% - Accent2 2 4 2 6" xfId="17786"/>
    <cellStyle name="40% - Accent2 2 4 2 6" xfId="17787"/>
    <cellStyle name="60% - Accent2 2 4 2 6" xfId="17788"/>
    <cellStyle name="20% - Accent3 2 4 2 6" xfId="17789"/>
    <cellStyle name="40% - Accent3 2 4 2 6" xfId="17790"/>
    <cellStyle name="60% - Accent3 2 4 2 6" xfId="17791"/>
    <cellStyle name="20% - Accent4 2 4 2 6" xfId="17792"/>
    <cellStyle name="40% - Accent4 2 4 2 6" xfId="17793"/>
    <cellStyle name="60% - Accent4 2 4 2 6" xfId="17794"/>
    <cellStyle name="20% - Accent5 2 4 2 6" xfId="17795"/>
    <cellStyle name="40% - Accent5 2 4 2 6" xfId="17796"/>
    <cellStyle name="60% - Accent5 2 4 2 6" xfId="17797"/>
    <cellStyle name="20% - Accent6 2 4 2 6" xfId="17798"/>
    <cellStyle name="40% - Accent6 2 4 2 6" xfId="17799"/>
    <cellStyle name="60% - Accent6 2 4 2 6" xfId="17800"/>
    <cellStyle name="Comma 2 2 5 2 8" xfId="17801"/>
    <cellStyle name="Comma 4 5 2 8" xfId="17802"/>
    <cellStyle name="Normal 3 8 4 2 6" xfId="17803"/>
    <cellStyle name="Comma 5 3 2 8" xfId="17804"/>
    <cellStyle name="20% - Accent1 3 3 2 6" xfId="17805"/>
    <cellStyle name="40% - Accent1 3 3 2 6" xfId="17806"/>
    <cellStyle name="60% - Accent1 3 3 2 6" xfId="17807"/>
    <cellStyle name="20% - Accent2 3 3 2 6" xfId="17808"/>
    <cellStyle name="40% - Accent2 3 3 2 6" xfId="17809"/>
    <cellStyle name="60% - Accent2 3 3 2 6" xfId="17810"/>
    <cellStyle name="20% - Accent3 3 3 2 6" xfId="17811"/>
    <cellStyle name="40% - Accent3 3 3 2 6" xfId="17812"/>
    <cellStyle name="60% - Accent3 3 3 2 6" xfId="17813"/>
    <cellStyle name="20% - Accent4 3 3 2 6" xfId="17814"/>
    <cellStyle name="40% - Accent4 3 3 2 6" xfId="17815"/>
    <cellStyle name="60% - Accent4 3 3 2 6" xfId="17816"/>
    <cellStyle name="20% - Accent5 3 3 2 6" xfId="17817"/>
    <cellStyle name="40% - Accent5 3 3 2 6" xfId="17818"/>
    <cellStyle name="60% - Accent5 3 3 2 6" xfId="17819"/>
    <cellStyle name="20% - Accent6 3 3 2 6" xfId="17820"/>
    <cellStyle name="40% - Accent6 3 3 2 6" xfId="17821"/>
    <cellStyle name="60% - Accent6 3 3 2 6" xfId="17822"/>
    <cellStyle name="Normal 3 2 3 3 2 6" xfId="17823"/>
    <cellStyle name="Normal 3 3 3 3 2 6" xfId="17824"/>
    <cellStyle name="Normal 3 4 3 3 2 6" xfId="17825"/>
    <cellStyle name="Normal 3 5 3 3 2 6" xfId="17826"/>
    <cellStyle name="Normal 3 3 2 2 3 2 6" xfId="17827"/>
    <cellStyle name="Normal 3 4 2 2 3 2 6" xfId="17828"/>
    <cellStyle name="Normal 3 5 2 2 3 2 6" xfId="17829"/>
    <cellStyle name="Normal 5 2 3 2 6" xfId="17830"/>
    <cellStyle name="Percent 3 2 3 2 6" xfId="17831"/>
    <cellStyle name="Note 2 2 3 2 6" xfId="17832"/>
    <cellStyle name="Normal 3 6 2 3 2 6" xfId="17833"/>
    <cellStyle name="Comma 2 3 3 2 8" xfId="17834"/>
    <cellStyle name="Comma 3 2 3 2 8" xfId="17835"/>
    <cellStyle name="Percent 4 2 3 2 6" xfId="17836"/>
    <cellStyle name="Normal 3 7 2 3 2 6" xfId="17837"/>
    <cellStyle name="Note 3 2 3 2 6" xfId="17838"/>
    <cellStyle name="20% - Accent1 2 2 3 2 6" xfId="17839"/>
    <cellStyle name="40% - Accent1 2 2 3 2 6" xfId="17840"/>
    <cellStyle name="60% - Accent1 2 2 3 2 6" xfId="17841"/>
    <cellStyle name="20% - Accent2 2 2 3 2 6" xfId="17842"/>
    <cellStyle name="40% - Accent2 2 2 3 2 6" xfId="17843"/>
    <cellStyle name="60% - Accent2 2 2 3 2 6" xfId="17844"/>
    <cellStyle name="20% - Accent3 2 2 3 2 6" xfId="17845"/>
    <cellStyle name="40% - Accent3 2 2 3 2 6" xfId="17846"/>
    <cellStyle name="60% - Accent3 2 2 3 2 6" xfId="17847"/>
    <cellStyle name="20% - Accent4 2 2 3 2 6" xfId="17848"/>
    <cellStyle name="40% - Accent4 2 2 3 2 6" xfId="17849"/>
    <cellStyle name="60% - Accent4 2 2 3 2 6" xfId="17850"/>
    <cellStyle name="20% - Accent5 2 2 3 2 6" xfId="17851"/>
    <cellStyle name="40% - Accent5 2 2 3 2 6" xfId="17852"/>
    <cellStyle name="60% - Accent5 2 2 3 2 6" xfId="17853"/>
    <cellStyle name="20% - Accent6 2 2 3 2 6" xfId="17854"/>
    <cellStyle name="40% - Accent6 2 2 3 2 6" xfId="17855"/>
    <cellStyle name="60% - Accent6 2 2 3 2 6" xfId="17856"/>
    <cellStyle name="Comma 2 2 2 3 2 8" xfId="17857"/>
    <cellStyle name="Comma 4 2 3 2 8" xfId="17858"/>
    <cellStyle name="Normal 3 8 2 3 2 6" xfId="17859"/>
    <cellStyle name="Comma 6 2 2 8" xfId="17860"/>
    <cellStyle name="20% - Accent1 4 2 2 6" xfId="17861"/>
    <cellStyle name="40% - Accent1 4 2 2 6" xfId="17862"/>
    <cellStyle name="60% - Accent1 4 2 2 6" xfId="17863"/>
    <cellStyle name="20% - Accent2 4 2 2 6" xfId="17864"/>
    <cellStyle name="40% - Accent2 4 2 2 6" xfId="17865"/>
    <cellStyle name="60% - Accent2 4 2 2 6" xfId="17866"/>
    <cellStyle name="20% - Accent3 4 2 2 6" xfId="17867"/>
    <cellStyle name="40% - Accent3 4 2 2 6" xfId="17868"/>
    <cellStyle name="60% - Accent3 4 2 2 6" xfId="17869"/>
    <cellStyle name="20% - Accent4 4 2 2 6" xfId="17870"/>
    <cellStyle name="40% - Accent4 4 2 2 6" xfId="17871"/>
    <cellStyle name="60% - Accent4 4 2 2 6" xfId="17872"/>
    <cellStyle name="20% - Accent5 4 2 2 6" xfId="17873"/>
    <cellStyle name="40% - Accent5 4 2 2 6" xfId="17874"/>
    <cellStyle name="60% - Accent5 4 2 2 6" xfId="17875"/>
    <cellStyle name="20% - Accent6 4 2 2 6" xfId="17876"/>
    <cellStyle name="40% - Accent6 4 2 2 6" xfId="17877"/>
    <cellStyle name="60% - Accent6 4 2 2 6" xfId="17878"/>
    <cellStyle name="Normal 3 2 4 2 2 6" xfId="17879"/>
    <cellStyle name="Normal 3 3 4 2 2 6" xfId="17880"/>
    <cellStyle name="Normal 3 4 4 2 2 6" xfId="17881"/>
    <cellStyle name="Normal 3 5 4 2 2 6" xfId="17882"/>
    <cellStyle name="Normal 3 2 2 3 2 2 6" xfId="17883"/>
    <cellStyle name="Normal 3 3 2 3 2 2 6" xfId="17884"/>
    <cellStyle name="Normal 3 4 2 3 2 2 6" xfId="17885"/>
    <cellStyle name="Normal 3 5 2 3 2 2 6" xfId="17886"/>
    <cellStyle name="Normal 5 3 2 2 6" xfId="17887"/>
    <cellStyle name="Percent 3 3 2 2 6" xfId="17888"/>
    <cellStyle name="Note 2 3 2 2 6" xfId="17889"/>
    <cellStyle name="Normal 3 6 3 2 2 6" xfId="17890"/>
    <cellStyle name="Comma 2 5 2 2 8" xfId="17891"/>
    <cellStyle name="Comma 3 4 2 2 8" xfId="17892"/>
    <cellStyle name="Percent 4 3 2 2 6" xfId="17893"/>
    <cellStyle name="Normal 3 7 3 2 2 6" xfId="17894"/>
    <cellStyle name="Note 3 3 2 2 6" xfId="17895"/>
    <cellStyle name="20% - Accent1 2 3 2 2 6" xfId="17896"/>
    <cellStyle name="40% - Accent1 2 3 2 2 6" xfId="17897"/>
    <cellStyle name="60% - Accent1 2 3 2 2 6" xfId="17898"/>
    <cellStyle name="20% - Accent2 2 3 2 2 6" xfId="17899"/>
    <cellStyle name="40% - Accent2 2 3 2 2 6" xfId="17900"/>
    <cellStyle name="60% - Accent2 2 3 2 2 6" xfId="17901"/>
    <cellStyle name="20% - Accent3 2 3 2 2 6" xfId="17902"/>
    <cellStyle name="40% - Accent3 2 3 2 2 6" xfId="17903"/>
    <cellStyle name="60% - Accent3 2 3 2 2 6" xfId="17904"/>
    <cellStyle name="20% - Accent4 2 3 2 2 6" xfId="17905"/>
    <cellStyle name="40% - Accent4 2 3 2 2 6" xfId="17906"/>
    <cellStyle name="60% - Accent4 2 3 2 2 6" xfId="17907"/>
    <cellStyle name="20% - Accent5 2 3 2 2 6" xfId="17908"/>
    <cellStyle name="40% - Accent5 2 3 2 2 6" xfId="17909"/>
    <cellStyle name="60% - Accent5 2 3 2 2 6" xfId="17910"/>
    <cellStyle name="20% - Accent6 2 3 2 2 6" xfId="17911"/>
    <cellStyle name="40% - Accent6 2 3 2 2 6" xfId="17912"/>
    <cellStyle name="60% - Accent6 2 3 2 2 6" xfId="17913"/>
    <cellStyle name="Comma 2 2 4 2 2 8" xfId="17914"/>
    <cellStyle name="Comma 4 4 2 2 8" xfId="17915"/>
    <cellStyle name="Normal 3 8 3 2 2 6" xfId="17916"/>
    <cellStyle name="Comma 2 4 2 2 8" xfId="17917"/>
    <cellStyle name="Comma 3 3 2 2 8" xfId="17918"/>
    <cellStyle name="Comma 2 2 3 2 2 8" xfId="17919"/>
    <cellStyle name="Comma 4 3 2 2 8" xfId="17920"/>
    <cellStyle name="Normal 7 2 2 2 6" xfId="17921"/>
    <cellStyle name="Comma 5 2 2 2 8" xfId="17922"/>
    <cellStyle name="20% - Accent1 3 2 2 2 6" xfId="17923"/>
    <cellStyle name="40% - Accent1 3 2 2 2 6" xfId="17924"/>
    <cellStyle name="60% - Accent1 3 2 2 2 6" xfId="17925"/>
    <cellStyle name="20% - Accent2 3 2 2 2 6" xfId="17926"/>
    <cellStyle name="40% - Accent2 3 2 2 2 6" xfId="17927"/>
    <cellStyle name="60% - Accent2 3 2 2 2 6" xfId="17928"/>
    <cellStyle name="20% - Accent3 3 2 2 2 6" xfId="17929"/>
    <cellStyle name="40% - Accent3 3 2 2 2 6" xfId="17930"/>
    <cellStyle name="60% - Accent3 3 2 2 2 6" xfId="17931"/>
    <cellStyle name="20% - Accent4 3 2 2 2 6" xfId="17932"/>
    <cellStyle name="40% - Accent4 3 2 2 2 6" xfId="17933"/>
    <cellStyle name="60% - Accent4 3 2 2 2 6" xfId="17934"/>
    <cellStyle name="20% - Accent5 3 2 2 2 6" xfId="17935"/>
    <cellStyle name="40% - Accent5 3 2 2 2 6" xfId="17936"/>
    <cellStyle name="60% - Accent5 3 2 2 2 6" xfId="17937"/>
    <cellStyle name="20% - Accent6 3 2 2 2 6" xfId="17938"/>
    <cellStyle name="40% - Accent6 3 2 2 2 6" xfId="17939"/>
    <cellStyle name="60% - Accent6 3 2 2 2 6" xfId="17940"/>
    <cellStyle name="Normal 3 2 3 2 2 2 6" xfId="17941"/>
    <cellStyle name="Normal 3 3 3 2 2 2 6" xfId="17942"/>
    <cellStyle name="Normal 3 4 3 2 2 2 6" xfId="17943"/>
    <cellStyle name="Normal 3 5 3 2 2 2 6" xfId="17944"/>
    <cellStyle name="Normal 3 3 2 2 2 2 2 6" xfId="17945"/>
    <cellStyle name="Normal 3 4 2 2 2 2 2 6" xfId="17946"/>
    <cellStyle name="Normal 3 5 2 2 2 2 2 6" xfId="17947"/>
    <cellStyle name="Normal 5 2 2 2 2 6" xfId="17948"/>
    <cellStyle name="Percent 3 2 2 2 2 6" xfId="17949"/>
    <cellStyle name="Note 2 2 2 2 2 6" xfId="17950"/>
    <cellStyle name="Normal 3 6 2 2 2 2 6" xfId="17951"/>
    <cellStyle name="Comma 2 3 2 2 2 8" xfId="17952"/>
    <cellStyle name="Comma 3 2 2 2 2 8" xfId="17953"/>
    <cellStyle name="Percent 4 2 2 2 2 6" xfId="17954"/>
    <cellStyle name="Normal 3 7 2 2 2 2 6" xfId="17955"/>
    <cellStyle name="Note 3 2 2 2 2 6" xfId="17956"/>
    <cellStyle name="20% - Accent1 2 2 2 2 2 6" xfId="17957"/>
    <cellStyle name="40% - Accent1 2 2 2 2 2 6" xfId="17958"/>
    <cellStyle name="60% - Accent1 2 2 2 2 2 6" xfId="17959"/>
    <cellStyle name="20% - Accent2 2 2 2 2 2 6" xfId="17960"/>
    <cellStyle name="40% - Accent2 2 2 2 2 2 6" xfId="17961"/>
    <cellStyle name="60% - Accent2 2 2 2 2 2 6" xfId="17962"/>
    <cellStyle name="20% - Accent3 2 2 2 2 2 6" xfId="17963"/>
    <cellStyle name="40% - Accent3 2 2 2 2 2 6" xfId="17964"/>
    <cellStyle name="60% - Accent3 2 2 2 2 2 6" xfId="17965"/>
    <cellStyle name="20% - Accent4 2 2 2 2 2 6" xfId="17966"/>
    <cellStyle name="40% - Accent4 2 2 2 2 2 6" xfId="17967"/>
    <cellStyle name="60% - Accent4 2 2 2 2 2 6" xfId="17968"/>
    <cellStyle name="20% - Accent5 2 2 2 2 2 6" xfId="17969"/>
    <cellStyle name="40% - Accent5 2 2 2 2 2 6" xfId="17970"/>
    <cellStyle name="60% - Accent5 2 2 2 2 2 6" xfId="17971"/>
    <cellStyle name="20% - Accent6 2 2 2 2 2 6" xfId="17972"/>
    <cellStyle name="40% - Accent6 2 2 2 2 2 6" xfId="17973"/>
    <cellStyle name="60% - Accent6 2 2 2 2 2 6" xfId="17974"/>
    <cellStyle name="Comma 2 2 2 2 2 2 8" xfId="17975"/>
    <cellStyle name="Comma 4 2 2 2 2 8" xfId="17976"/>
    <cellStyle name="Normal 3 8 2 2 2 2 6" xfId="17977"/>
    <cellStyle name="Normal 3 10 2 2 6" xfId="17978"/>
    <cellStyle name="Normal 3 11 2 2 6" xfId="17979"/>
    <cellStyle name="Normal 3 13 6" xfId="17980"/>
    <cellStyle name="Normal 3 2 7 6" xfId="17981"/>
    <cellStyle name="Normal 3 3 7 6" xfId="17982"/>
    <cellStyle name="Normal 3 4 7 6" xfId="17983"/>
    <cellStyle name="Normal 3 5 7 6" xfId="17984"/>
    <cellStyle name="20% - Accent1 7 6" xfId="17985"/>
    <cellStyle name="40% - Accent1 7 6" xfId="17986"/>
    <cellStyle name="60% - Accent1 7 6" xfId="17987"/>
    <cellStyle name="20% - Accent2 7 6" xfId="17988"/>
    <cellStyle name="40% - Accent2 7 6" xfId="17989"/>
    <cellStyle name="60% - Accent2 7 6" xfId="17990"/>
    <cellStyle name="20% - Accent3 7 6" xfId="17991"/>
    <cellStyle name="40% - Accent3 7 6" xfId="17992"/>
    <cellStyle name="60% - Accent3 7 6" xfId="17993"/>
    <cellStyle name="20% - Accent4 7 6" xfId="17994"/>
    <cellStyle name="40% - Accent4 7 6" xfId="17995"/>
    <cellStyle name="60% - Accent4 7 6" xfId="17996"/>
    <cellStyle name="20% - Accent5 7 6" xfId="17997"/>
    <cellStyle name="40% - Accent5 7 6" xfId="17998"/>
    <cellStyle name="60% - Accent5 7 6" xfId="17999"/>
    <cellStyle name="20% - Accent6 7 6" xfId="18000"/>
    <cellStyle name="40% - Accent6 7 6" xfId="18001"/>
    <cellStyle name="60% - Accent6 7 6" xfId="18002"/>
    <cellStyle name="Normal 3 2 2 6 6" xfId="18003"/>
    <cellStyle name="Normal 3 3 2 6 6" xfId="18004"/>
    <cellStyle name="Normal 3 4 2 6 6" xfId="18005"/>
    <cellStyle name="Normal 3 5 2 6 6" xfId="18006"/>
    <cellStyle name="Normal 5 6 6" xfId="18007"/>
    <cellStyle name="Percent 3 6 6" xfId="18008"/>
    <cellStyle name="Note 2 6 6" xfId="18009"/>
    <cellStyle name="Normal 3 6 6 6" xfId="18010"/>
    <cellStyle name="Comma 2 8 8" xfId="18011"/>
    <cellStyle name="Comma 3 8 8" xfId="18012"/>
    <cellStyle name="Percent 4 6 6" xfId="18013"/>
    <cellStyle name="Normal 3 7 6 6" xfId="18014"/>
    <cellStyle name="Note 3 6 6" xfId="18015"/>
    <cellStyle name="20% - Accent1 2 6 6" xfId="18016"/>
    <cellStyle name="40% - Accent1 2 6 6" xfId="18017"/>
    <cellStyle name="60% - Accent1 2 6 6" xfId="18018"/>
    <cellStyle name="20% - Accent2 2 6 6" xfId="18019"/>
    <cellStyle name="40% - Accent2 2 6 6" xfId="18020"/>
    <cellStyle name="60% - Accent2 2 6 6" xfId="18021"/>
    <cellStyle name="20% - Accent3 2 6 6" xfId="18022"/>
    <cellStyle name="40% - Accent3 2 6 6" xfId="18023"/>
    <cellStyle name="60% - Accent3 2 6 6" xfId="18024"/>
    <cellStyle name="20% - Accent4 2 6 6" xfId="18025"/>
    <cellStyle name="40% - Accent4 2 6 6" xfId="18026"/>
    <cellStyle name="60% - Accent4 2 6 6" xfId="18027"/>
    <cellStyle name="20% - Accent5 2 6 6" xfId="18028"/>
    <cellStyle name="40% - Accent5 2 6 6" xfId="18029"/>
    <cellStyle name="60% - Accent5 2 6 6" xfId="18030"/>
    <cellStyle name="20% - Accent6 2 6 6" xfId="18031"/>
    <cellStyle name="40% - Accent6 2 6 6" xfId="18032"/>
    <cellStyle name="60% - Accent6 2 6 6" xfId="18033"/>
    <cellStyle name="Comma 2 2 7 8" xfId="18034"/>
    <cellStyle name="Comma 4 7 8" xfId="18035"/>
    <cellStyle name="Normal 3 8 6 6" xfId="18036"/>
    <cellStyle name="Normal 7 5 6" xfId="18037"/>
    <cellStyle name="Comma 5 5 8" xfId="18038"/>
    <cellStyle name="20% - Accent1 3 5 6" xfId="18039"/>
    <cellStyle name="40% - Accent1 3 5 6" xfId="18040"/>
    <cellStyle name="60% - Accent1 3 5 6" xfId="18041"/>
    <cellStyle name="20% - Accent2 3 5 6" xfId="18042"/>
    <cellStyle name="40% - Accent2 3 5 6" xfId="18043"/>
    <cellStyle name="60% - Accent2 3 5 6" xfId="18044"/>
    <cellStyle name="20% - Accent3 3 5 6" xfId="18045"/>
    <cellStyle name="40% - Accent3 3 5 6" xfId="18046"/>
    <cellStyle name="60% - Accent3 3 5 6" xfId="18047"/>
    <cellStyle name="20% - Accent4 3 5 6" xfId="18048"/>
    <cellStyle name="40% - Accent4 3 5 6" xfId="18049"/>
    <cellStyle name="60% - Accent4 3 5 6" xfId="18050"/>
    <cellStyle name="20% - Accent5 3 5 6" xfId="18051"/>
    <cellStyle name="40% - Accent5 3 5 6" xfId="18052"/>
    <cellStyle name="60% - Accent5 3 5 6" xfId="18053"/>
    <cellStyle name="20% - Accent6 3 5 6" xfId="18054"/>
    <cellStyle name="40% - Accent6 3 5 6" xfId="18055"/>
    <cellStyle name="60% - Accent6 3 5 6" xfId="18056"/>
    <cellStyle name="Normal 3 2 3 5 6" xfId="18057"/>
    <cellStyle name="Normal 3 3 3 5 6" xfId="18058"/>
    <cellStyle name="Normal 3 4 3 5 6" xfId="18059"/>
    <cellStyle name="Normal 3 5 3 5 6" xfId="18060"/>
    <cellStyle name="Normal 3 2 2 2 5 6" xfId="18061"/>
    <cellStyle name="Normal 3 3 2 2 5 6" xfId="18062"/>
    <cellStyle name="Normal 3 4 2 2 5 6" xfId="18063"/>
    <cellStyle name="Normal 3 5 2 2 5 6" xfId="18064"/>
    <cellStyle name="Normal 5 2 5 6" xfId="18065"/>
    <cellStyle name="Percent 3 2 5 6" xfId="18066"/>
    <cellStyle name="Note 2 2 5 6" xfId="18067"/>
    <cellStyle name="Normal 3 6 2 5 6" xfId="18068"/>
    <cellStyle name="Comma 2 3 5 8" xfId="18069"/>
    <cellStyle name="Comma 3 2 5 8" xfId="18070"/>
    <cellStyle name="Percent 4 2 5 6" xfId="18071"/>
    <cellStyle name="Normal 3 7 2 5 6" xfId="18072"/>
    <cellStyle name="Note 3 2 5 6" xfId="18073"/>
    <cellStyle name="20% - Accent1 2 2 5 6" xfId="18074"/>
    <cellStyle name="40% - Accent1 2 2 5 6" xfId="18075"/>
    <cellStyle name="60% - Accent1 2 2 5 6" xfId="18076"/>
    <cellStyle name="20% - Accent2 2 2 5 6" xfId="18077"/>
    <cellStyle name="40% - Accent2 2 2 5 6" xfId="18078"/>
    <cellStyle name="60% - Accent2 2 2 5 6" xfId="18079"/>
    <cellStyle name="20% - Accent3 2 2 5 6" xfId="18080"/>
    <cellStyle name="40% - Accent3 2 2 5 6" xfId="18081"/>
    <cellStyle name="60% - Accent3 2 2 5 6" xfId="18082"/>
    <cellStyle name="20% - Accent4 2 2 5 6" xfId="18083"/>
    <cellStyle name="40% - Accent4 2 2 5 6" xfId="18084"/>
    <cellStyle name="60% - Accent4 2 2 5 6" xfId="18085"/>
    <cellStyle name="20% - Accent5 2 2 5 6" xfId="18086"/>
    <cellStyle name="40% - Accent5 2 2 5 6" xfId="18087"/>
    <cellStyle name="60% - Accent5 2 2 5 6" xfId="18088"/>
    <cellStyle name="20% - Accent6 2 2 5 6" xfId="18089"/>
    <cellStyle name="40% - Accent6 2 2 5 6" xfId="18090"/>
    <cellStyle name="60% - Accent6 2 2 5 6" xfId="18091"/>
    <cellStyle name="Comma 2 2 2 5 8" xfId="18092"/>
    <cellStyle name="Comma 4 2 5 8" xfId="18093"/>
    <cellStyle name="Normal 3 8 2 5 6" xfId="18094"/>
    <cellStyle name="Normal 8 4 6" xfId="18095"/>
    <cellStyle name="Comma 6 4 8" xfId="18096"/>
    <cellStyle name="20% - Accent1 4 4 6" xfId="18097"/>
    <cellStyle name="40% - Accent1 4 4 6" xfId="18098"/>
    <cellStyle name="60% - Accent1 4 4 6" xfId="18099"/>
    <cellStyle name="20% - Accent2 4 4 6" xfId="18100"/>
    <cellStyle name="40% - Accent2 4 4 6" xfId="18101"/>
    <cellStyle name="60% - Accent2 4 4 6" xfId="18102"/>
    <cellStyle name="20% - Accent3 4 4 6" xfId="18103"/>
    <cellStyle name="40% - Accent3 4 4 6" xfId="18104"/>
    <cellStyle name="60% - Accent3 4 4 6" xfId="18105"/>
    <cellStyle name="20% - Accent4 4 4 6" xfId="18106"/>
    <cellStyle name="40% - Accent4 4 4 6" xfId="18107"/>
    <cellStyle name="60% - Accent4 4 4 6" xfId="18108"/>
    <cellStyle name="20% - Accent5 4 4 6" xfId="18109"/>
    <cellStyle name="40% - Accent5 4 4 6" xfId="18110"/>
    <cellStyle name="60% - Accent5 4 4 6" xfId="18111"/>
    <cellStyle name="20% - Accent6 4 4 6" xfId="18112"/>
    <cellStyle name="40% - Accent6 4 4 6" xfId="18113"/>
    <cellStyle name="60% - Accent6 4 4 6" xfId="18114"/>
    <cellStyle name="Normal 3 2 4 4 6" xfId="18115"/>
    <cellStyle name="Normal 3 3 4 4 6" xfId="18116"/>
    <cellStyle name="Normal 3 4 4 4 6" xfId="18117"/>
    <cellStyle name="Normal 3 5 4 4 6" xfId="18118"/>
    <cellStyle name="Normal 3 2 2 3 4 6" xfId="18119"/>
    <cellStyle name="Normal 3 3 2 3 4 6" xfId="18120"/>
    <cellStyle name="Normal 3 4 2 3 4 6" xfId="18121"/>
    <cellStyle name="Normal 3 5 2 3 4 6" xfId="18122"/>
    <cellStyle name="Normal 5 3 4 6" xfId="18123"/>
    <cellStyle name="Percent 3 3 4 6" xfId="18124"/>
    <cellStyle name="Note 2 3 4 6" xfId="18125"/>
    <cellStyle name="Normal 3 6 3 4 6" xfId="18126"/>
    <cellStyle name="Comma 2 5 4 8" xfId="18127"/>
    <cellStyle name="Comma 3 4 4 8" xfId="18128"/>
    <cellStyle name="Percent 4 3 4 6" xfId="18129"/>
    <cellStyle name="Normal 3 7 3 4 6" xfId="18130"/>
    <cellStyle name="Note 3 3 4 6" xfId="18131"/>
    <cellStyle name="20% - Accent1 2 3 4 6" xfId="18132"/>
    <cellStyle name="40% - Accent1 2 3 4 6" xfId="18133"/>
    <cellStyle name="60% - Accent1 2 3 4 6" xfId="18134"/>
    <cellStyle name="20% - Accent2 2 3 4 6" xfId="18135"/>
    <cellStyle name="40% - Accent2 2 3 4 6" xfId="18136"/>
    <cellStyle name="60% - Accent2 2 3 4 6" xfId="18137"/>
    <cellStyle name="20% - Accent3 2 3 4 6" xfId="18138"/>
    <cellStyle name="40% - Accent3 2 3 4 6" xfId="18139"/>
    <cellStyle name="60% - Accent3 2 3 4 6" xfId="18140"/>
    <cellStyle name="20% - Accent4 2 3 4 6" xfId="18141"/>
    <cellStyle name="40% - Accent4 2 3 4 6" xfId="18142"/>
    <cellStyle name="60% - Accent4 2 3 4 6" xfId="18143"/>
    <cellStyle name="20% - Accent5 2 3 4 6" xfId="18144"/>
    <cellStyle name="40% - Accent5 2 3 4 6" xfId="18145"/>
    <cellStyle name="60% - Accent5 2 3 4 6" xfId="18146"/>
    <cellStyle name="20% - Accent6 2 3 4 6" xfId="18147"/>
    <cellStyle name="40% - Accent6 2 3 4 6" xfId="18148"/>
    <cellStyle name="60% - Accent6 2 3 4 6" xfId="18149"/>
    <cellStyle name="Comma 2 2 4 4 8" xfId="18150"/>
    <cellStyle name="Comma 4 4 4 8" xfId="18151"/>
    <cellStyle name="Normal 3 8 3 4 6" xfId="18152"/>
    <cellStyle name="Comma 2 4 4 8" xfId="18153"/>
    <cellStyle name="Comma 3 3 4 8" xfId="18154"/>
    <cellStyle name="Comma 2 2 3 4 8" xfId="18155"/>
    <cellStyle name="Comma 4 3 4 8" xfId="18156"/>
    <cellStyle name="Normal 7 2 4 6" xfId="18157"/>
    <cellStyle name="Comma 5 2 4 8" xfId="18158"/>
    <cellStyle name="20% - Accent1 3 2 4 6" xfId="18159"/>
    <cellStyle name="40% - Accent1 3 2 4 6" xfId="18160"/>
    <cellStyle name="60% - Accent1 3 2 4 6" xfId="18161"/>
    <cellStyle name="20% - Accent2 3 2 4 6" xfId="18162"/>
    <cellStyle name="40% - Accent2 3 2 4 6" xfId="18163"/>
    <cellStyle name="60% - Accent2 3 2 4 6" xfId="18164"/>
    <cellStyle name="20% - Accent3 3 2 4 6" xfId="18165"/>
    <cellStyle name="40% - Accent3 3 2 4 6" xfId="18166"/>
    <cellStyle name="60% - Accent3 3 2 4 6" xfId="18167"/>
    <cellStyle name="20% - Accent4 3 2 4 6" xfId="18168"/>
    <cellStyle name="40% - Accent4 3 2 4 6" xfId="18169"/>
    <cellStyle name="60% - Accent4 3 2 4 6" xfId="18170"/>
    <cellStyle name="20% - Accent5 3 2 4 6" xfId="18171"/>
    <cellStyle name="40% - Accent5 3 2 4 6" xfId="18172"/>
    <cellStyle name="60% - Accent5 3 2 4 6" xfId="18173"/>
    <cellStyle name="20% - Accent6 3 2 4 6" xfId="18174"/>
    <cellStyle name="40% - Accent6 3 2 4 6" xfId="18175"/>
    <cellStyle name="60% - Accent6 3 2 4 6" xfId="18176"/>
    <cellStyle name="Normal 3 2 3 2 4 6" xfId="18177"/>
    <cellStyle name="Normal 3 3 3 2 4 6" xfId="18178"/>
    <cellStyle name="Normal 3 4 3 2 4 6" xfId="18179"/>
    <cellStyle name="Normal 3 5 3 2 4 6" xfId="18180"/>
    <cellStyle name="Normal 3 2 2 2 2 4 6" xfId="18181"/>
    <cellStyle name="Normal 3 3 2 2 2 4 6" xfId="18182"/>
    <cellStyle name="Normal 3 4 2 2 2 4 6" xfId="18183"/>
    <cellStyle name="Normal 3 5 2 2 2 4 6" xfId="18184"/>
    <cellStyle name="Normal 5 2 2 4 6" xfId="18185"/>
    <cellStyle name="Percent 3 2 2 4 6" xfId="18186"/>
    <cellStyle name="Note 2 2 2 4 6" xfId="18187"/>
    <cellStyle name="Normal 3 6 2 2 4 6" xfId="18188"/>
    <cellStyle name="Comma 2 3 2 4 8" xfId="18189"/>
    <cellStyle name="Comma 3 2 2 4 8" xfId="18190"/>
    <cellStyle name="Percent 4 2 2 4 6" xfId="18191"/>
    <cellStyle name="Normal 3 7 2 2 4 6" xfId="18192"/>
    <cellStyle name="Note 3 2 2 4 6" xfId="18193"/>
    <cellStyle name="20% - Accent1 2 2 2 4 6" xfId="18194"/>
    <cellStyle name="40% - Accent1 2 2 2 4 6" xfId="18195"/>
    <cellStyle name="60% - Accent1 2 2 2 4 6" xfId="18196"/>
    <cellStyle name="20% - Accent2 2 2 2 4 6" xfId="18197"/>
    <cellStyle name="40% - Accent2 2 2 2 4 6" xfId="18198"/>
    <cellStyle name="60% - Accent2 2 2 2 4 6" xfId="18199"/>
    <cellStyle name="20% - Accent3 2 2 2 4 6" xfId="18200"/>
    <cellStyle name="40% - Accent3 2 2 2 4 6" xfId="18201"/>
    <cellStyle name="60% - Accent3 2 2 2 4 6" xfId="18202"/>
    <cellStyle name="20% - Accent4 2 2 2 4 6" xfId="18203"/>
    <cellStyle name="40% - Accent4 2 2 2 4 6" xfId="18204"/>
    <cellStyle name="60% - Accent4 2 2 2 4 6" xfId="18205"/>
    <cellStyle name="20% - Accent5 2 2 2 4 6" xfId="18206"/>
    <cellStyle name="40% - Accent5 2 2 2 4 6" xfId="18207"/>
    <cellStyle name="60% - Accent5 2 2 2 4 6" xfId="18208"/>
    <cellStyle name="20% - Accent6 2 2 2 4 6" xfId="18209"/>
    <cellStyle name="40% - Accent6 2 2 2 4 6" xfId="18210"/>
    <cellStyle name="60% - Accent6 2 2 2 4 6" xfId="18211"/>
    <cellStyle name="Comma 2 2 2 2 4 8" xfId="18212"/>
    <cellStyle name="Comma 4 2 2 4 8" xfId="18213"/>
    <cellStyle name="Normal 3 8 2 2 4 6" xfId="18214"/>
    <cellStyle name="Normal 3 10 4 6" xfId="18215"/>
    <cellStyle name="Normal 3 11 4 6" xfId="18216"/>
    <cellStyle name="Normal 12 6" xfId="18217"/>
    <cellStyle name="Percent 8 6" xfId="18218"/>
    <cellStyle name="Note 4 6" xfId="18219"/>
    <cellStyle name="20% - Accent1 8 6" xfId="18220"/>
    <cellStyle name="40% - Accent1 8 6" xfId="18221"/>
    <cellStyle name="60% - Accent1 8 6" xfId="18222"/>
    <cellStyle name="20% - Accent2 8 6" xfId="18223"/>
    <cellStyle name="40% - Accent2 8 6" xfId="18224"/>
    <cellStyle name="60% - Accent2 8 6" xfId="18225"/>
    <cellStyle name="20% - Accent3 8 6" xfId="18226"/>
    <cellStyle name="40% - Accent3 8 6" xfId="18227"/>
    <cellStyle name="60% - Accent3 8 6" xfId="18228"/>
    <cellStyle name="20% - Accent4 8 6" xfId="18229"/>
    <cellStyle name="40% - Accent4 8 6" xfId="18230"/>
    <cellStyle name="60% - Accent4 8 6" xfId="18231"/>
    <cellStyle name="20% - Accent5 8 6" xfId="18232"/>
    <cellStyle name="40% - Accent5 8 6" xfId="18233"/>
    <cellStyle name="60% - Accent5 8 6" xfId="18234"/>
    <cellStyle name="20% - Accent6 8 6" xfId="18235"/>
    <cellStyle name="40% - Accent6 8 6" xfId="18236"/>
    <cellStyle name="60% - Accent6 8 6" xfId="18237"/>
    <cellStyle name="Comma 2 9 8" xfId="18238"/>
    <cellStyle name="Comma 7 8" xfId="18239"/>
    <cellStyle name="Normal 13 8" xfId="18240"/>
    <cellStyle name="Comma 8 7" xfId="18241"/>
    <cellStyle name="20% - Accent1 9 6" xfId="18242"/>
    <cellStyle name="40% - Accent1 9 6" xfId="18243"/>
    <cellStyle name="60% - Accent1 9 6" xfId="18244"/>
    <cellStyle name="20% - Accent2 9 6" xfId="18245"/>
    <cellStyle name="40% - Accent2 9 6" xfId="18246"/>
    <cellStyle name="60% - Accent2 9 6" xfId="18247"/>
    <cellStyle name="20% - Accent3 9 6" xfId="18248"/>
    <cellStyle name="40% - Accent3 9 6" xfId="18249"/>
    <cellStyle name="60% - Accent3 9 6" xfId="18250"/>
    <cellStyle name="20% - Accent4 9 6" xfId="18251"/>
    <cellStyle name="40% - Accent4 9 6" xfId="18252"/>
    <cellStyle name="60% - Accent4 9 6" xfId="18253"/>
    <cellStyle name="20% - Accent5 9 6" xfId="18254"/>
    <cellStyle name="40% - Accent5 9 6" xfId="18255"/>
    <cellStyle name="60% - Accent5 9 6" xfId="18256"/>
    <cellStyle name="20% - Accent6 9 6" xfId="18257"/>
    <cellStyle name="40% - Accent6 9 6" xfId="18258"/>
    <cellStyle name="60% - Accent6 9 6" xfId="18259"/>
    <cellStyle name="Normal 3 2 8 6" xfId="18260"/>
    <cellStyle name="Normal 3 3 8 6" xfId="18261"/>
    <cellStyle name="Normal 3 4 8 6" xfId="18262"/>
    <cellStyle name="Normal 3 5 8 6" xfId="18263"/>
    <cellStyle name="Normal 3 2 2 7 6" xfId="18264"/>
    <cellStyle name="Normal 3 3 2 7 6" xfId="18265"/>
    <cellStyle name="Normal 3 4 2 7 6" xfId="18266"/>
    <cellStyle name="Normal 3 5 2 7 6" xfId="18267"/>
    <cellStyle name="Normal 5 7 6" xfId="18268"/>
    <cellStyle name="Percent 3 7 6" xfId="18269"/>
    <cellStyle name="Note 2 7 6" xfId="18270"/>
    <cellStyle name="Normal 3 6 7 6" xfId="18271"/>
    <cellStyle name="Comma 2 10 7" xfId="18272"/>
    <cellStyle name="Comma 3 9 7" xfId="18273"/>
    <cellStyle name="Percent 4 7 6" xfId="18274"/>
    <cellStyle name="Normal 3 7 7 6" xfId="18275"/>
    <cellStyle name="Note 3 7 6" xfId="18276"/>
    <cellStyle name="20% - Accent1 2 7 6" xfId="18277"/>
    <cellStyle name="40% - Accent1 2 7 6" xfId="18278"/>
    <cellStyle name="60% - Accent1 2 7 6" xfId="18279"/>
    <cellStyle name="20% - Accent2 2 7 6" xfId="18280"/>
    <cellStyle name="40% - Accent2 2 7 6" xfId="18281"/>
    <cellStyle name="60% - Accent2 2 7 6" xfId="18282"/>
    <cellStyle name="20% - Accent3 2 7 6" xfId="18283"/>
    <cellStyle name="40% - Accent3 2 7 6" xfId="18284"/>
    <cellStyle name="60% - Accent3 2 7 6" xfId="18285"/>
    <cellStyle name="20% - Accent4 2 7 6" xfId="18286"/>
    <cellStyle name="40% - Accent4 2 7 6" xfId="18287"/>
    <cellStyle name="60% - Accent4 2 7 6" xfId="18288"/>
    <cellStyle name="20% - Accent5 2 7 6" xfId="18289"/>
    <cellStyle name="40% - Accent5 2 7 6" xfId="18290"/>
    <cellStyle name="60% - Accent5 2 7 6" xfId="18291"/>
    <cellStyle name="20% - Accent6 2 7 6" xfId="18292"/>
    <cellStyle name="40% - Accent6 2 7 6" xfId="18293"/>
    <cellStyle name="60% - Accent6 2 7 6" xfId="18294"/>
    <cellStyle name="Comma 2 2 8 7" xfId="18295"/>
    <cellStyle name="Comma 4 8 7" xfId="18296"/>
    <cellStyle name="Normal 3 8 7 6" xfId="18297"/>
    <cellStyle name="Comma 2 4 5 7" xfId="18298"/>
    <cellStyle name="Comma 3 3 5 7" xfId="18299"/>
    <cellStyle name="Comma 2 2 3 5 7" xfId="18300"/>
    <cellStyle name="Comma 4 3 5 7" xfId="18301"/>
    <cellStyle name="Normal 7 6 6" xfId="18302"/>
    <cellStyle name="Comma 5 6 7" xfId="18303"/>
    <cellStyle name="20% - Accent1 3 6 6" xfId="18304"/>
    <cellStyle name="40% - Accent1 3 6 6" xfId="18305"/>
    <cellStyle name="60% - Accent1 3 6 6" xfId="18306"/>
    <cellStyle name="20% - Accent2 3 6 6" xfId="18307"/>
    <cellStyle name="40% - Accent2 3 6 6" xfId="18308"/>
    <cellStyle name="60% - Accent2 3 6 6" xfId="18309"/>
    <cellStyle name="20% - Accent3 3 6 6" xfId="18310"/>
    <cellStyle name="40% - Accent3 3 6 6" xfId="18311"/>
    <cellStyle name="60% - Accent3 3 6 6" xfId="18312"/>
    <cellStyle name="20% - Accent4 3 6 6" xfId="18313"/>
    <cellStyle name="40% - Accent4 3 6 6" xfId="18314"/>
    <cellStyle name="60% - Accent4 3 6 6" xfId="18315"/>
    <cellStyle name="20% - Accent5 3 6 6" xfId="18316"/>
    <cellStyle name="40% - Accent5 3 6 6" xfId="18317"/>
    <cellStyle name="60% - Accent5 3 6 6" xfId="18318"/>
    <cellStyle name="20% - Accent6 3 6 6" xfId="18319"/>
    <cellStyle name="40% - Accent6 3 6 6" xfId="18320"/>
    <cellStyle name="60% - Accent6 3 6 6" xfId="18321"/>
    <cellStyle name="Normal 3 2 3 6 6" xfId="18322"/>
    <cellStyle name="Normal 3 3 3 6 6" xfId="18323"/>
    <cellStyle name="Normal 3 4 3 6 6" xfId="18324"/>
    <cellStyle name="Normal 3 5 3 6 6" xfId="18325"/>
    <cellStyle name="Normal 3 2 2 2 6 6" xfId="18326"/>
    <cellStyle name="Normal 3 3 2 2 6 6" xfId="18327"/>
    <cellStyle name="Normal 3 4 2 2 6 6" xfId="18328"/>
    <cellStyle name="Normal 3 5 2 2 6 6" xfId="18329"/>
    <cellStyle name="Normal 5 2 6 6" xfId="18330"/>
    <cellStyle name="Percent 3 2 6 6" xfId="18331"/>
    <cellStyle name="Note 2 2 6 6" xfId="18332"/>
    <cellStyle name="Normal 3 6 2 6 6" xfId="18333"/>
    <cellStyle name="Comma 2 3 6 7" xfId="18334"/>
    <cellStyle name="Comma 3 2 6 7" xfId="18335"/>
    <cellStyle name="Percent 4 2 6 6" xfId="18336"/>
    <cellStyle name="Normal 3 7 2 6 6" xfId="18337"/>
    <cellStyle name="Note 3 2 6 6" xfId="18338"/>
    <cellStyle name="20% - Accent1 2 2 6 6" xfId="18339"/>
    <cellStyle name="40% - Accent1 2 2 6 6" xfId="18340"/>
    <cellStyle name="60% - Accent1 2 2 6 6" xfId="18341"/>
    <cellStyle name="20% - Accent2 2 2 6 6" xfId="18342"/>
    <cellStyle name="40% - Accent2 2 2 6 6" xfId="18343"/>
    <cellStyle name="60% - Accent2 2 2 6 6" xfId="18344"/>
    <cellStyle name="20% - Accent3 2 2 6 6" xfId="18345"/>
    <cellStyle name="40% - Accent3 2 2 6 6" xfId="18346"/>
    <cellStyle name="60% - Accent3 2 2 6 6" xfId="18347"/>
    <cellStyle name="20% - Accent4 2 2 6 6" xfId="18348"/>
    <cellStyle name="40% - Accent4 2 2 6 6" xfId="18349"/>
    <cellStyle name="60% - Accent4 2 2 6 6" xfId="18350"/>
    <cellStyle name="20% - Accent5 2 2 6 6" xfId="18351"/>
    <cellStyle name="40% - Accent5 2 2 6 6" xfId="18352"/>
    <cellStyle name="60% - Accent5 2 2 6 6" xfId="18353"/>
    <cellStyle name="20% - Accent6 2 2 6 6" xfId="18354"/>
    <cellStyle name="40% - Accent6 2 2 6 6" xfId="18355"/>
    <cellStyle name="60% - Accent6 2 2 6 6" xfId="18356"/>
    <cellStyle name="Comma 2 2 2 6 7" xfId="18357"/>
    <cellStyle name="Comma 4 2 6 7" xfId="18358"/>
    <cellStyle name="Normal 3 8 2 6 6" xfId="18359"/>
    <cellStyle name="20% - Accent1 10 5" xfId="18360"/>
    <cellStyle name="40% - Accent1 10 5" xfId="18361"/>
    <cellStyle name="60% - Accent1 10 5" xfId="18362"/>
    <cellStyle name="20% - Accent2 10 5" xfId="18363"/>
    <cellStyle name="40% - Accent2 10 5" xfId="18364"/>
    <cellStyle name="60% - Accent2 10 5" xfId="18365"/>
    <cellStyle name="20% - Accent3 10 5" xfId="18366"/>
    <cellStyle name="40% - Accent3 10 5" xfId="18367"/>
    <cellStyle name="60% - Accent3 10 5" xfId="18368"/>
    <cellStyle name="20% - Accent4 10 5" xfId="18369"/>
    <cellStyle name="40% - Accent4 10 5" xfId="18370"/>
    <cellStyle name="60% - Accent4 10 5" xfId="18371"/>
    <cellStyle name="20% - Accent5 10 5" xfId="18372"/>
    <cellStyle name="40% - Accent5 10 5" xfId="18373"/>
    <cellStyle name="60% - Accent5 10 5" xfId="18374"/>
    <cellStyle name="20% - Accent6 10 5" xfId="18375"/>
    <cellStyle name="40% - Accent6 10 5" xfId="18376"/>
    <cellStyle name="60% - Accent6 10 5" xfId="18377"/>
    <cellStyle name="Normal 3 2 9 5" xfId="18378"/>
    <cellStyle name="Normal 3 3 9 5" xfId="18379"/>
    <cellStyle name="Normal 3 4 9 5" xfId="18380"/>
    <cellStyle name="Normal 3 5 9 5" xfId="18381"/>
    <cellStyle name="Normal 3 2 2 8 5" xfId="18382"/>
    <cellStyle name="Normal 3 3 2 8 5" xfId="18383"/>
    <cellStyle name="Normal 3 4 2 8 5" xfId="18384"/>
    <cellStyle name="Normal 3 5 2 8 5" xfId="18385"/>
    <cellStyle name="Normal 5 8 5" xfId="18386"/>
    <cellStyle name="Percent 3 8 5" xfId="18387"/>
    <cellStyle name="Note 2 8 5" xfId="18388"/>
    <cellStyle name="Normal 3 6 8 5" xfId="18389"/>
    <cellStyle name="Comma 2 12 6" xfId="18390"/>
    <cellStyle name="Comma 3 11 6" xfId="18391"/>
    <cellStyle name="Percent 4 8 5" xfId="18392"/>
    <cellStyle name="Normal 3 7 8 5" xfId="18393"/>
    <cellStyle name="Note 3 8 5" xfId="18394"/>
    <cellStyle name="20% - Accent1 2 8 5" xfId="18395"/>
    <cellStyle name="40% - Accent1 2 8 5" xfId="18396"/>
    <cellStyle name="60% - Accent1 2 8 5" xfId="18397"/>
    <cellStyle name="20% - Accent2 2 8 5" xfId="18398"/>
    <cellStyle name="40% - Accent2 2 8 5" xfId="18399"/>
    <cellStyle name="60% - Accent2 2 8 5" xfId="18400"/>
    <cellStyle name="20% - Accent3 2 8 5" xfId="18401"/>
    <cellStyle name="40% - Accent3 2 8 5" xfId="18402"/>
    <cellStyle name="60% - Accent3 2 8 5" xfId="18403"/>
    <cellStyle name="20% - Accent4 2 8 5" xfId="18404"/>
    <cellStyle name="40% - Accent4 2 8 5" xfId="18405"/>
    <cellStyle name="60% - Accent4 2 8 5" xfId="18406"/>
    <cellStyle name="20% - Accent5 2 8 5" xfId="18407"/>
    <cellStyle name="40% - Accent5 2 8 5" xfId="18408"/>
    <cellStyle name="60% - Accent5 2 8 5" xfId="18409"/>
    <cellStyle name="20% - Accent6 2 8 5" xfId="18410"/>
    <cellStyle name="40% - Accent6 2 8 5" xfId="18411"/>
    <cellStyle name="60% - Accent6 2 8 5" xfId="18412"/>
    <cellStyle name="Comma 2 2 10 6" xfId="18413"/>
    <cellStyle name="Comma 4 10 6" xfId="18414"/>
    <cellStyle name="Normal 3 8 8 5" xfId="18415"/>
    <cellStyle name="Normal 7 7 5" xfId="18416"/>
    <cellStyle name="Comma 5 8 6" xfId="18417"/>
    <cellStyle name="20% - Accent1 3 7 5" xfId="18418"/>
    <cellStyle name="40% - Accent1 3 7 5" xfId="18419"/>
    <cellStyle name="60% - Accent1 3 7 5" xfId="18420"/>
    <cellStyle name="20% - Accent2 3 7 5" xfId="18421"/>
    <cellStyle name="40% - Accent2 3 7 5" xfId="18422"/>
    <cellStyle name="60% - Accent2 3 7 5" xfId="18423"/>
    <cellStyle name="20% - Accent3 3 7 5" xfId="18424"/>
    <cellStyle name="40% - Accent3 3 7 5" xfId="18425"/>
    <cellStyle name="60% - Accent3 3 7 5" xfId="18426"/>
    <cellStyle name="20% - Accent4 3 7 5" xfId="18427"/>
    <cellStyle name="40% - Accent4 3 7 5" xfId="18428"/>
    <cellStyle name="60% - Accent4 3 7 5" xfId="18429"/>
    <cellStyle name="20% - Accent5 3 7 5" xfId="18430"/>
    <cellStyle name="40% - Accent5 3 7 5" xfId="18431"/>
    <cellStyle name="60% - Accent5 3 7 5" xfId="18432"/>
    <cellStyle name="20% - Accent6 3 7 5" xfId="18433"/>
    <cellStyle name="40% - Accent6 3 7 5" xfId="18434"/>
    <cellStyle name="60% - Accent6 3 7 5" xfId="18435"/>
    <cellStyle name="Normal 3 2 3 7 5" xfId="18436"/>
    <cellStyle name="Normal 3 3 3 7 5" xfId="18437"/>
    <cellStyle name="Normal 3 4 3 7 5" xfId="18438"/>
    <cellStyle name="Normal 3 5 3 7 5" xfId="18439"/>
    <cellStyle name="Normal 3 2 2 2 7 5" xfId="18440"/>
    <cellStyle name="Normal 3 3 2 2 7 5" xfId="18441"/>
    <cellStyle name="Normal 3 4 2 2 7 5" xfId="18442"/>
    <cellStyle name="Normal 3 5 2 2 7 5" xfId="18443"/>
    <cellStyle name="Normal 5 2 7 5" xfId="18444"/>
    <cellStyle name="Percent 3 2 7 5" xfId="18445"/>
    <cellStyle name="Note 2 2 7 5" xfId="18446"/>
    <cellStyle name="Normal 3 6 2 7 5" xfId="18447"/>
    <cellStyle name="Comma 2 3 8 6" xfId="18448"/>
    <cellStyle name="Comma 3 2 8 6" xfId="18449"/>
    <cellStyle name="Percent 4 2 7 5" xfId="18450"/>
    <cellStyle name="Normal 3 7 2 7 5" xfId="18451"/>
    <cellStyle name="Note 3 2 7 5" xfId="18452"/>
    <cellStyle name="20% - Accent1 2 2 7 5" xfId="18453"/>
    <cellStyle name="40% - Accent1 2 2 7 5" xfId="18454"/>
    <cellStyle name="60% - Accent1 2 2 7 5" xfId="18455"/>
    <cellStyle name="20% - Accent2 2 2 7 5" xfId="18456"/>
    <cellStyle name="40% - Accent2 2 2 7 5" xfId="18457"/>
    <cellStyle name="60% - Accent2 2 2 7 5" xfId="18458"/>
    <cellStyle name="20% - Accent3 2 2 7 5" xfId="18459"/>
    <cellStyle name="40% - Accent3 2 2 7 5" xfId="18460"/>
    <cellStyle name="60% - Accent3 2 2 7 5" xfId="18461"/>
    <cellStyle name="20% - Accent4 2 2 7 5" xfId="18462"/>
    <cellStyle name="40% - Accent4 2 2 7 5" xfId="18463"/>
    <cellStyle name="60% - Accent4 2 2 7 5" xfId="18464"/>
    <cellStyle name="20% - Accent5 2 2 7 5" xfId="18465"/>
    <cellStyle name="40% - Accent5 2 2 7 5" xfId="18466"/>
    <cellStyle name="60% - Accent5 2 2 7 5" xfId="18467"/>
    <cellStyle name="20% - Accent6 2 2 7 5" xfId="18468"/>
    <cellStyle name="40% - Accent6 2 2 7 5" xfId="18469"/>
    <cellStyle name="60% - Accent6 2 2 7 5" xfId="18470"/>
    <cellStyle name="Comma 2 2 2 8 6" xfId="18471"/>
    <cellStyle name="Comma 4 2 8 6" xfId="18472"/>
    <cellStyle name="Normal 3 8 2 7 5" xfId="18473"/>
    <cellStyle name="Normal 8 5 5" xfId="18474"/>
    <cellStyle name="Comma 6 6 6" xfId="18475"/>
    <cellStyle name="20% - Accent1 4 5 5" xfId="18476"/>
    <cellStyle name="40% - Accent1 4 5 5" xfId="18477"/>
    <cellStyle name="60% - Accent1 4 5 5" xfId="18478"/>
    <cellStyle name="20% - Accent2 4 5 5" xfId="18479"/>
    <cellStyle name="40% - Accent2 4 5 5" xfId="18480"/>
    <cellStyle name="60% - Accent2 4 5 5" xfId="18481"/>
    <cellStyle name="20% - Accent3 4 5 5" xfId="18482"/>
    <cellStyle name="40% - Accent3 4 5 5" xfId="18483"/>
    <cellStyle name="60% - Accent3 4 5 5" xfId="18484"/>
    <cellStyle name="20% - Accent4 4 5 5" xfId="18485"/>
    <cellStyle name="40% - Accent4 4 5 5" xfId="18486"/>
    <cellStyle name="60% - Accent4 4 5 5" xfId="18487"/>
    <cellStyle name="20% - Accent5 4 5 5" xfId="18488"/>
    <cellStyle name="40% - Accent5 4 5 5" xfId="18489"/>
    <cellStyle name="60% - Accent5 4 5 5" xfId="18490"/>
    <cellStyle name="20% - Accent6 4 5 5" xfId="18491"/>
    <cellStyle name="40% - Accent6 4 5 5" xfId="18492"/>
    <cellStyle name="60% - Accent6 4 5 5" xfId="18493"/>
    <cellStyle name="Normal 3 2 4 5 5" xfId="18494"/>
    <cellStyle name="Normal 3 3 4 5 5" xfId="18495"/>
    <cellStyle name="Normal 3 4 4 5 5" xfId="18496"/>
    <cellStyle name="Normal 3 5 4 5 5" xfId="18497"/>
    <cellStyle name="Normal 3 2 2 3 5 5" xfId="18498"/>
    <cellStyle name="Normal 3 3 2 3 5 5" xfId="18499"/>
    <cellStyle name="Normal 3 4 2 3 5 5" xfId="18500"/>
    <cellStyle name="Normal 3 5 2 3 5 5" xfId="18501"/>
    <cellStyle name="Normal 5 3 5 5" xfId="18502"/>
    <cellStyle name="Percent 3 3 5 5" xfId="18503"/>
    <cellStyle name="Note 2 3 5 5" xfId="18504"/>
    <cellStyle name="Normal 3 6 3 5 5" xfId="18505"/>
    <cellStyle name="Comma 2 5 6 6" xfId="18506"/>
    <cellStyle name="Comma 3 4 6 6" xfId="18507"/>
    <cellStyle name="Percent 4 3 5 5" xfId="18508"/>
    <cellStyle name="Normal 3 7 3 5 5" xfId="18509"/>
    <cellStyle name="Note 3 3 5 5" xfId="18510"/>
    <cellStyle name="20% - Accent1 2 3 5 5" xfId="18511"/>
    <cellStyle name="40% - Accent1 2 3 5 5" xfId="18512"/>
    <cellStyle name="60% - Accent1 2 3 5 5" xfId="18513"/>
    <cellStyle name="20% - Accent2 2 3 5 5" xfId="18514"/>
    <cellStyle name="40% - Accent2 2 3 5 5" xfId="18515"/>
    <cellStyle name="60% - Accent2 2 3 5 5" xfId="18516"/>
    <cellStyle name="20% - Accent3 2 3 5 5" xfId="18517"/>
    <cellStyle name="40% - Accent3 2 3 5 5" xfId="18518"/>
    <cellStyle name="60% - Accent3 2 3 5 5" xfId="18519"/>
    <cellStyle name="20% - Accent4 2 3 5 5" xfId="18520"/>
    <cellStyle name="40% - Accent4 2 3 5 5" xfId="18521"/>
    <cellStyle name="60% - Accent4 2 3 5 5" xfId="18522"/>
    <cellStyle name="20% - Accent5 2 3 5 5" xfId="18523"/>
    <cellStyle name="40% - Accent5 2 3 5 5" xfId="18524"/>
    <cellStyle name="60% - Accent5 2 3 5 5" xfId="18525"/>
    <cellStyle name="20% - Accent6 2 3 5 5" xfId="18526"/>
    <cellStyle name="40% - Accent6 2 3 5 5" xfId="18527"/>
    <cellStyle name="60% - Accent6 2 3 5 5" xfId="18528"/>
    <cellStyle name="Comma 2 2 4 6 6" xfId="18529"/>
    <cellStyle name="Comma 4 4 6 6" xfId="18530"/>
    <cellStyle name="Normal 3 8 3 5 5" xfId="18531"/>
    <cellStyle name="Comma 2 4 7 6" xfId="18532"/>
    <cellStyle name="Comma 3 3 7 6" xfId="18533"/>
    <cellStyle name="Comma 2 2 3 7 6" xfId="18534"/>
    <cellStyle name="Comma 4 3 7 6" xfId="18535"/>
    <cellStyle name="Normal 7 2 5 5" xfId="18536"/>
    <cellStyle name="Comma 5 2 6 6" xfId="18537"/>
    <cellStyle name="20% - Accent1 3 2 5 5" xfId="18538"/>
    <cellStyle name="40% - Accent1 3 2 5 5" xfId="18539"/>
    <cellStyle name="60% - Accent1 3 2 5 5" xfId="18540"/>
    <cellStyle name="20% - Accent2 3 2 5 5" xfId="18541"/>
    <cellStyle name="40% - Accent2 3 2 5 5" xfId="18542"/>
    <cellStyle name="60% - Accent2 3 2 5 5" xfId="18543"/>
    <cellStyle name="20% - Accent3 3 2 5 5" xfId="18544"/>
    <cellStyle name="40% - Accent3 3 2 5 5" xfId="18545"/>
    <cellStyle name="60% - Accent3 3 2 5 5" xfId="18546"/>
    <cellStyle name="20% - Accent4 3 2 5 5" xfId="18547"/>
    <cellStyle name="40% - Accent4 3 2 5 5" xfId="18548"/>
    <cellStyle name="60% - Accent4 3 2 5 5" xfId="18549"/>
    <cellStyle name="20% - Accent5 3 2 5 5" xfId="18550"/>
    <cellStyle name="40% - Accent5 3 2 5 5" xfId="18551"/>
    <cellStyle name="60% - Accent5 3 2 5 5" xfId="18552"/>
    <cellStyle name="20% - Accent6 3 2 5 5" xfId="18553"/>
    <cellStyle name="40% - Accent6 3 2 5 5" xfId="18554"/>
    <cellStyle name="60% - Accent6 3 2 5 5" xfId="18555"/>
    <cellStyle name="Normal 3 2 3 2 5 5" xfId="18556"/>
    <cellStyle name="Normal 3 3 3 2 5 5" xfId="18557"/>
    <cellStyle name="Normal 3 4 3 2 5 5" xfId="18558"/>
    <cellStyle name="Normal 3 5 3 2 5 5" xfId="18559"/>
    <cellStyle name="Normal 3 2 2 2 2 5 5" xfId="18560"/>
    <cellStyle name="Normal 3 3 2 2 2 5 5" xfId="18561"/>
    <cellStyle name="Normal 3 4 2 2 2 5 5" xfId="18562"/>
    <cellStyle name="Normal 3 5 2 2 2 5 5" xfId="18563"/>
    <cellStyle name="Normal 5 2 2 5 5" xfId="18564"/>
    <cellStyle name="Percent 3 2 2 5 5" xfId="18565"/>
    <cellStyle name="Note 2 2 2 5 5" xfId="18566"/>
    <cellStyle name="Normal 3 6 2 2 5 5" xfId="18567"/>
    <cellStyle name="Comma 2 3 2 6 6" xfId="18568"/>
    <cellStyle name="Comma 3 2 2 6 6" xfId="18569"/>
    <cellStyle name="Percent 4 2 2 5 5" xfId="18570"/>
    <cellStyle name="Normal 3 7 2 2 5 5" xfId="18571"/>
    <cellStyle name="Note 3 2 2 5 5" xfId="18572"/>
    <cellStyle name="20% - Accent1 2 2 2 5 5" xfId="18573"/>
    <cellStyle name="40% - Accent1 2 2 2 5 5" xfId="18574"/>
    <cellStyle name="60% - Accent1 2 2 2 5 5" xfId="18575"/>
    <cellStyle name="20% - Accent2 2 2 2 5 5" xfId="18576"/>
    <cellStyle name="40% - Accent2 2 2 2 5 5" xfId="18577"/>
    <cellStyle name="60% - Accent2 2 2 2 5 5" xfId="18578"/>
    <cellStyle name="20% - Accent3 2 2 2 5 5" xfId="18579"/>
    <cellStyle name="40% - Accent3 2 2 2 5 5" xfId="18580"/>
    <cellStyle name="60% - Accent3 2 2 2 5 5" xfId="18581"/>
    <cellStyle name="20% - Accent4 2 2 2 5 5" xfId="18582"/>
    <cellStyle name="40% - Accent4 2 2 2 5 5" xfId="18583"/>
    <cellStyle name="60% - Accent4 2 2 2 5 5" xfId="18584"/>
    <cellStyle name="20% - Accent5 2 2 2 5 5" xfId="18585"/>
    <cellStyle name="40% - Accent5 2 2 2 5 5" xfId="18586"/>
    <cellStyle name="60% - Accent5 2 2 2 5 5" xfId="18587"/>
    <cellStyle name="20% - Accent6 2 2 2 5 5" xfId="18588"/>
    <cellStyle name="40% - Accent6 2 2 2 5 5" xfId="18589"/>
    <cellStyle name="60% - Accent6 2 2 2 5 5" xfId="18590"/>
    <cellStyle name="Comma 2 2 2 2 6 6" xfId="18591"/>
    <cellStyle name="Comma 4 2 2 6 6" xfId="18592"/>
    <cellStyle name="Normal 3 8 2 2 5 5" xfId="18593"/>
    <cellStyle name="Normal 3 10 5 5" xfId="18594"/>
    <cellStyle name="Normal 3 11 5 5" xfId="18595"/>
    <cellStyle name="Normal 3 12 3 5" xfId="18596"/>
    <cellStyle name="Normal 3 2 5 3 5" xfId="18597"/>
    <cellStyle name="Normal 3 3 5 3 5" xfId="18598"/>
    <cellStyle name="Normal 3 4 5 3 5" xfId="18599"/>
    <cellStyle name="Normal 3 5 5 3 5" xfId="18600"/>
    <cellStyle name="20% - Accent1 5 3 5" xfId="18601"/>
    <cellStyle name="40% - Accent1 5 3 5" xfId="18602"/>
    <cellStyle name="60% - Accent1 5 3 5" xfId="18603"/>
    <cellStyle name="20% - Accent2 5 3 5" xfId="18604"/>
    <cellStyle name="40% - Accent2 5 3 5" xfId="18605"/>
    <cellStyle name="60% - Accent2 5 3 5" xfId="18606"/>
    <cellStyle name="20% - Accent3 5 3 5" xfId="18607"/>
    <cellStyle name="40% - Accent3 5 3 5" xfId="18608"/>
    <cellStyle name="60% - Accent3 5 3 5" xfId="18609"/>
    <cellStyle name="20% - Accent4 5 3 5" xfId="18610"/>
    <cellStyle name="40% - Accent4 5 3 5" xfId="18611"/>
    <cellStyle name="60% - Accent4 5 3 5" xfId="18612"/>
    <cellStyle name="20% - Accent5 5 3 5" xfId="18613"/>
    <cellStyle name="40% - Accent5 5 3 5" xfId="18614"/>
    <cellStyle name="60% - Accent5 5 3 5" xfId="18615"/>
    <cellStyle name="20% - Accent6 5 3 5" xfId="18616"/>
    <cellStyle name="40% - Accent6 5 3 5" xfId="18617"/>
    <cellStyle name="60% - Accent6 5 3 5" xfId="18618"/>
    <cellStyle name="Normal 3 2 2 4 3 5" xfId="18619"/>
    <cellStyle name="Normal 3 3 2 4 3 5" xfId="18620"/>
    <cellStyle name="Normal 3 4 2 4 3 5" xfId="18621"/>
    <cellStyle name="Normal 3 5 2 4 3 5" xfId="18622"/>
    <cellStyle name="Normal 5 4 3 5" xfId="18623"/>
    <cellStyle name="Percent 3 4 3 5" xfId="18624"/>
    <cellStyle name="Note 2 4 3 5" xfId="18625"/>
    <cellStyle name="Normal 3 6 4 3 5" xfId="18626"/>
    <cellStyle name="Comma 2 6 4 6" xfId="18627"/>
    <cellStyle name="Comma 3 5 4 6" xfId="18628"/>
    <cellStyle name="Percent 4 4 3 5" xfId="18629"/>
    <cellStyle name="Normal 3 7 4 3 5" xfId="18630"/>
    <cellStyle name="Note 3 4 3 5" xfId="18631"/>
    <cellStyle name="20% - Accent1 2 4 3 5" xfId="18632"/>
    <cellStyle name="40% - Accent1 2 4 3 5" xfId="18633"/>
    <cellStyle name="60% - Accent1 2 4 3 5" xfId="18634"/>
    <cellStyle name="20% - Accent2 2 4 3 5" xfId="18635"/>
    <cellStyle name="40% - Accent2 2 4 3 5" xfId="18636"/>
    <cellStyle name="60% - Accent2 2 4 3 5" xfId="18637"/>
    <cellStyle name="20% - Accent3 2 4 3 5" xfId="18638"/>
    <cellStyle name="40% - Accent3 2 4 3 5" xfId="18639"/>
    <cellStyle name="60% - Accent3 2 4 3 5" xfId="18640"/>
    <cellStyle name="20% - Accent4 2 4 3 5" xfId="18641"/>
    <cellStyle name="40% - Accent4 2 4 3 5" xfId="18642"/>
    <cellStyle name="60% - Accent4 2 4 3 5" xfId="18643"/>
    <cellStyle name="20% - Accent5 2 4 3 5" xfId="18644"/>
    <cellStyle name="40% - Accent5 2 4 3 5" xfId="18645"/>
    <cellStyle name="60% - Accent5 2 4 3 5" xfId="18646"/>
    <cellStyle name="20% - Accent6 2 4 3 5" xfId="18647"/>
    <cellStyle name="40% - Accent6 2 4 3 5" xfId="18648"/>
    <cellStyle name="60% - Accent6 2 4 3 5" xfId="18649"/>
    <cellStyle name="Comma 2 2 5 4 6" xfId="18650"/>
    <cellStyle name="Comma 4 5 4 6" xfId="18651"/>
    <cellStyle name="Normal 3 8 4 3 5" xfId="18652"/>
    <cellStyle name="Normal 7 3 3 5" xfId="18653"/>
    <cellStyle name="Comma 5 3 4 6" xfId="18654"/>
    <cellStyle name="20% - Accent1 3 3 3 5" xfId="18655"/>
    <cellStyle name="40% - Accent1 3 3 3 5" xfId="18656"/>
    <cellStyle name="60% - Accent1 3 3 3 5" xfId="18657"/>
    <cellStyle name="20% - Accent2 3 3 3 5" xfId="18658"/>
    <cellStyle name="40% - Accent2 3 3 3 5" xfId="18659"/>
    <cellStyle name="60% - Accent2 3 3 3 5" xfId="18660"/>
    <cellStyle name="20% - Accent3 3 3 3 5" xfId="18661"/>
    <cellStyle name="40% - Accent3 3 3 3 5" xfId="18662"/>
    <cellStyle name="60% - Accent3 3 3 3 5" xfId="18663"/>
    <cellStyle name="20% - Accent4 3 3 3 5" xfId="18664"/>
    <cellStyle name="40% - Accent4 3 3 3 5" xfId="18665"/>
    <cellStyle name="60% - Accent4 3 3 3 5" xfId="18666"/>
    <cellStyle name="20% - Accent5 3 3 3 5" xfId="18667"/>
    <cellStyle name="40% - Accent5 3 3 3 5" xfId="18668"/>
    <cellStyle name="60% - Accent5 3 3 3 5" xfId="18669"/>
    <cellStyle name="20% - Accent6 3 3 3 5" xfId="18670"/>
    <cellStyle name="40% - Accent6 3 3 3 5" xfId="18671"/>
    <cellStyle name="60% - Accent6 3 3 3 5" xfId="18672"/>
    <cellStyle name="Normal 3 2 3 3 3 5" xfId="18673"/>
    <cellStyle name="Normal 3 3 3 3 3 5" xfId="18674"/>
    <cellStyle name="Normal 3 4 3 3 3 5" xfId="18675"/>
    <cellStyle name="Normal 3 5 3 3 3 5" xfId="18676"/>
    <cellStyle name="Normal 3 2 2 2 3 3 5" xfId="18677"/>
    <cellStyle name="Normal 3 3 2 2 3 3 5" xfId="18678"/>
    <cellStyle name="Normal 3 4 2 2 3 3 5" xfId="18679"/>
    <cellStyle name="Normal 3 5 2 2 3 3 5" xfId="18680"/>
    <cellStyle name="Normal 5 2 3 3 5" xfId="18681"/>
    <cellStyle name="Percent 3 2 3 3 5" xfId="18682"/>
    <cellStyle name="Note 2 2 3 3 5" xfId="18683"/>
    <cellStyle name="Normal 3 6 2 3 3 5" xfId="18684"/>
    <cellStyle name="Comma 2 3 3 4 6" xfId="18685"/>
    <cellStyle name="Comma 3 2 3 4 6" xfId="18686"/>
    <cellStyle name="Percent 4 2 3 3 5" xfId="18687"/>
    <cellStyle name="Normal 3 7 2 3 3 5" xfId="18688"/>
    <cellStyle name="Note 3 2 3 3 5" xfId="18689"/>
    <cellStyle name="20% - Accent1 2 2 3 3 5" xfId="18690"/>
    <cellStyle name="40% - Accent1 2 2 3 3 5" xfId="18691"/>
    <cellStyle name="60% - Accent1 2 2 3 3 5" xfId="18692"/>
    <cellStyle name="20% - Accent2 2 2 3 3 5" xfId="18693"/>
    <cellStyle name="40% - Accent2 2 2 3 3 5" xfId="18694"/>
    <cellStyle name="60% - Accent2 2 2 3 3 5" xfId="18695"/>
    <cellStyle name="20% - Accent3 2 2 3 3 5" xfId="18696"/>
    <cellStyle name="40% - Accent3 2 2 3 3 5" xfId="18697"/>
    <cellStyle name="60% - Accent3 2 2 3 3 5" xfId="18698"/>
    <cellStyle name="20% - Accent4 2 2 3 3 5" xfId="18699"/>
    <cellStyle name="40% - Accent4 2 2 3 3 5" xfId="18700"/>
    <cellStyle name="60% - Accent4 2 2 3 3 5" xfId="18701"/>
    <cellStyle name="20% - Accent5 2 2 3 3 5" xfId="18702"/>
    <cellStyle name="40% - Accent5 2 2 3 3 5" xfId="18703"/>
    <cellStyle name="60% - Accent5 2 2 3 3 5" xfId="18704"/>
    <cellStyle name="20% - Accent6 2 2 3 3 5" xfId="18705"/>
    <cellStyle name="40% - Accent6 2 2 3 3 5" xfId="18706"/>
    <cellStyle name="60% - Accent6 2 2 3 3 5" xfId="18707"/>
    <cellStyle name="Comma 2 2 2 3 4 6" xfId="18708"/>
    <cellStyle name="Comma 4 2 3 4 6" xfId="18709"/>
    <cellStyle name="Normal 3 8 2 3 3 5" xfId="18710"/>
    <cellStyle name="Normal 8 2 3 5" xfId="18711"/>
    <cellStyle name="Comma 6 2 4 6" xfId="18712"/>
    <cellStyle name="20% - Accent1 4 2 3 5" xfId="18713"/>
    <cellStyle name="40% - Accent1 4 2 3 5" xfId="18714"/>
    <cellStyle name="60% - Accent1 4 2 3 5" xfId="18715"/>
    <cellStyle name="20% - Accent2 4 2 3 5" xfId="18716"/>
    <cellStyle name="40% - Accent2 4 2 3 5" xfId="18717"/>
    <cellStyle name="60% - Accent2 4 2 3 5" xfId="18718"/>
    <cellStyle name="20% - Accent3 4 2 3 5" xfId="18719"/>
    <cellStyle name="40% - Accent3 4 2 3 5" xfId="18720"/>
    <cellStyle name="60% - Accent3 4 2 3 5" xfId="18721"/>
    <cellStyle name="20% - Accent4 4 2 3 5" xfId="18722"/>
    <cellStyle name="40% - Accent4 4 2 3 5" xfId="18723"/>
    <cellStyle name="60% - Accent4 4 2 3 5" xfId="18724"/>
    <cellStyle name="20% - Accent5 4 2 3 5" xfId="18725"/>
    <cellStyle name="40% - Accent5 4 2 3 5" xfId="18726"/>
    <cellStyle name="60% - Accent5 4 2 3 5" xfId="18727"/>
    <cellStyle name="20% - Accent6 4 2 3 5" xfId="18728"/>
    <cellStyle name="40% - Accent6 4 2 3 5" xfId="18729"/>
    <cellStyle name="60% - Accent6 4 2 3 5" xfId="18730"/>
    <cellStyle name="Normal 3 2 4 2 3 5" xfId="18731"/>
    <cellStyle name="Normal 3 3 4 2 3 5" xfId="18732"/>
    <cellStyle name="Normal 3 4 4 2 3 5" xfId="18733"/>
    <cellStyle name="Normal 3 5 4 2 3 5" xfId="18734"/>
    <cellStyle name="Normal 3 2 2 3 2 3 5" xfId="18735"/>
    <cellStyle name="Normal 3 3 2 3 2 3 5" xfId="18736"/>
    <cellStyle name="Normal 3 4 2 3 2 3 5" xfId="18737"/>
    <cellStyle name="Normal 3 5 2 3 2 3 5" xfId="18738"/>
    <cellStyle name="Normal 5 3 2 3 5" xfId="18739"/>
    <cellStyle name="Percent 3 3 2 3 5" xfId="18740"/>
    <cellStyle name="Note 2 3 2 3 5" xfId="18741"/>
    <cellStyle name="Normal 3 6 3 2 3 5" xfId="18742"/>
    <cellStyle name="Comma 2 5 2 4 6" xfId="18743"/>
    <cellStyle name="Comma 3 4 2 4 6" xfId="18744"/>
    <cellStyle name="Percent 4 3 2 3 5" xfId="18745"/>
    <cellStyle name="Normal 3 7 3 2 3 5" xfId="18746"/>
    <cellStyle name="Note 3 3 2 3 5" xfId="18747"/>
    <cellStyle name="20% - Accent1 2 3 2 3 5" xfId="18748"/>
    <cellStyle name="40% - Accent1 2 3 2 3 5" xfId="18749"/>
    <cellStyle name="60% - Accent1 2 3 2 3 5" xfId="18750"/>
    <cellStyle name="20% - Accent2 2 3 2 3 5" xfId="18751"/>
    <cellStyle name="40% - Accent2 2 3 2 3 5" xfId="18752"/>
    <cellStyle name="60% - Accent2 2 3 2 3 5" xfId="18753"/>
    <cellStyle name="20% - Accent3 2 3 2 3 5" xfId="18754"/>
    <cellStyle name="40% - Accent3 2 3 2 3 5" xfId="18755"/>
    <cellStyle name="60% - Accent3 2 3 2 3 5" xfId="18756"/>
    <cellStyle name="20% - Accent4 2 3 2 3 5" xfId="18757"/>
    <cellStyle name="40% - Accent4 2 3 2 3 5" xfId="18758"/>
    <cellStyle name="60% - Accent4 2 3 2 3 5" xfId="18759"/>
    <cellStyle name="20% - Accent5 2 3 2 3 5" xfId="18760"/>
    <cellStyle name="40% - Accent5 2 3 2 3 5" xfId="18761"/>
    <cellStyle name="60% - Accent5 2 3 2 3 5" xfId="18762"/>
    <cellStyle name="20% - Accent6 2 3 2 3 5" xfId="18763"/>
    <cellStyle name="40% - Accent6 2 3 2 3 5" xfId="18764"/>
    <cellStyle name="60% - Accent6 2 3 2 3 5" xfId="18765"/>
    <cellStyle name="Comma 2 2 4 2 4 6" xfId="18766"/>
    <cellStyle name="Comma 4 4 2 4 6" xfId="18767"/>
    <cellStyle name="Normal 3 8 3 2 3 5" xfId="18768"/>
    <cellStyle name="Comma 2 4 2 4 6" xfId="18769"/>
    <cellStyle name="Comma 3 3 2 4 6" xfId="18770"/>
    <cellStyle name="Comma 2 2 3 2 4 6" xfId="18771"/>
    <cellStyle name="Comma 4 3 2 4 6" xfId="18772"/>
    <cellStyle name="Normal 7 2 2 3 5" xfId="18773"/>
    <cellStyle name="Comma 5 2 2 4 6" xfId="18774"/>
    <cellStyle name="20% - Accent1 3 2 2 3 5" xfId="18775"/>
    <cellStyle name="40% - Accent1 3 2 2 3 5" xfId="18776"/>
    <cellStyle name="60% - Accent1 3 2 2 3 5" xfId="18777"/>
    <cellStyle name="20% - Accent2 3 2 2 3 5" xfId="18778"/>
    <cellStyle name="40% - Accent2 3 2 2 3 5" xfId="18779"/>
    <cellStyle name="60% - Accent2 3 2 2 3 5" xfId="18780"/>
    <cellStyle name="20% - Accent3 3 2 2 3 5" xfId="18781"/>
    <cellStyle name="40% - Accent3 3 2 2 3 5" xfId="18782"/>
    <cellStyle name="60% - Accent3 3 2 2 3 5" xfId="18783"/>
    <cellStyle name="20% - Accent4 3 2 2 3 5" xfId="18784"/>
    <cellStyle name="40% - Accent4 3 2 2 3 5" xfId="18785"/>
    <cellStyle name="60% - Accent4 3 2 2 3 5" xfId="18786"/>
    <cellStyle name="20% - Accent5 3 2 2 3 5" xfId="18787"/>
    <cellStyle name="40% - Accent5 3 2 2 3 5" xfId="18788"/>
    <cellStyle name="60% - Accent5 3 2 2 3 5" xfId="18789"/>
    <cellStyle name="20% - Accent6 3 2 2 3 5" xfId="18790"/>
    <cellStyle name="40% - Accent6 3 2 2 3 5" xfId="18791"/>
    <cellStyle name="60% - Accent6 3 2 2 3 5" xfId="18792"/>
    <cellStyle name="Normal 3 2 3 2 2 3 5" xfId="18793"/>
    <cellStyle name="Normal 3 3 3 2 2 3 5" xfId="18794"/>
    <cellStyle name="Normal 3 4 3 2 2 3 5" xfId="18795"/>
    <cellStyle name="Normal 3 5 3 2 2 3 5" xfId="18796"/>
    <cellStyle name="Normal 3 2 2 2 2 2 3 5" xfId="18797"/>
    <cellStyle name="Normal 3 3 2 2 2 2 3 5" xfId="18798"/>
    <cellStyle name="Normal 3 4 2 2 2 2 3 5" xfId="18799"/>
    <cellStyle name="Normal 3 5 2 2 2 2 3 5" xfId="18800"/>
    <cellStyle name="Normal 5 2 2 2 3 5" xfId="18801"/>
    <cellStyle name="Percent 3 2 2 2 3 5" xfId="18802"/>
    <cellStyle name="Note 2 2 2 2 3 5" xfId="18803"/>
    <cellStyle name="Normal 3 6 2 2 2 3 5" xfId="18804"/>
    <cellStyle name="Comma 2 3 2 2 4 6" xfId="18805"/>
    <cellStyle name="Comma 3 2 2 2 4 6" xfId="18806"/>
    <cellStyle name="Percent 4 2 2 2 3 5" xfId="18807"/>
    <cellStyle name="Normal 3 7 2 2 2 3 5" xfId="18808"/>
    <cellStyle name="Note 3 2 2 2 3 5" xfId="18809"/>
    <cellStyle name="20% - Accent1 2 2 2 2 3 5" xfId="18810"/>
    <cellStyle name="40% - Accent1 2 2 2 2 3 5" xfId="18811"/>
    <cellStyle name="60% - Accent1 2 2 2 2 3 5" xfId="18812"/>
    <cellStyle name="20% - Accent2 2 2 2 2 3 5" xfId="18813"/>
    <cellStyle name="40% - Accent2 2 2 2 2 3 5" xfId="18814"/>
    <cellStyle name="60% - Accent2 2 2 2 2 3 5" xfId="18815"/>
    <cellStyle name="20% - Accent3 2 2 2 2 3 5" xfId="18816"/>
    <cellStyle name="40% - Accent3 2 2 2 2 3 5" xfId="18817"/>
    <cellStyle name="60% - Accent3 2 2 2 2 3 5" xfId="18818"/>
    <cellStyle name="20% - Accent4 2 2 2 2 3 5" xfId="18819"/>
    <cellStyle name="40% - Accent4 2 2 2 2 3 5" xfId="18820"/>
    <cellStyle name="60% - Accent4 2 2 2 2 3 5" xfId="18821"/>
    <cellStyle name="20% - Accent5 2 2 2 2 3 5" xfId="18822"/>
    <cellStyle name="40% - Accent5 2 2 2 2 3 5" xfId="18823"/>
    <cellStyle name="60% - Accent5 2 2 2 2 3 5" xfId="18824"/>
    <cellStyle name="20% - Accent6 2 2 2 2 3 5" xfId="18825"/>
    <cellStyle name="40% - Accent6 2 2 2 2 3 5" xfId="18826"/>
    <cellStyle name="60% - Accent6 2 2 2 2 3 5" xfId="18827"/>
    <cellStyle name="Comma 2 2 2 2 2 4 6" xfId="18828"/>
    <cellStyle name="Comma 4 2 2 2 4 6" xfId="18829"/>
    <cellStyle name="Normal 3 8 2 2 2 3 5" xfId="18830"/>
    <cellStyle name="Normal 3 10 2 3 5" xfId="18831"/>
    <cellStyle name="Normal 3 11 2 3 5" xfId="18832"/>
    <cellStyle name="Normal 3 2 6 2 5" xfId="18833"/>
    <cellStyle name="Normal 3 3 6 2 5" xfId="18834"/>
    <cellStyle name="Normal 3 4 6 2 5" xfId="18835"/>
    <cellStyle name="Normal 3 5 6 2 5" xfId="18836"/>
    <cellStyle name="20% - Accent1 6 2 5" xfId="18837"/>
    <cellStyle name="40% - Accent1 6 2 5" xfId="18838"/>
    <cellStyle name="60% - Accent1 6 2 5" xfId="18839"/>
    <cellStyle name="20% - Accent2 6 2 5" xfId="18840"/>
    <cellStyle name="40% - Accent2 6 2 5" xfId="18841"/>
    <cellStyle name="60% - Accent2 6 2 5" xfId="18842"/>
    <cellStyle name="20% - Accent3 6 2 5" xfId="18843"/>
    <cellStyle name="40% - Accent3 6 2 5" xfId="18844"/>
    <cellStyle name="60% - Accent3 6 2 5" xfId="18845"/>
    <cellStyle name="20% - Accent4 6 2 5" xfId="18846"/>
    <cellStyle name="40% - Accent4 6 2 5" xfId="18847"/>
    <cellStyle name="60% - Accent4 6 2 5" xfId="18848"/>
    <cellStyle name="20% - Accent5 6 2 5" xfId="18849"/>
    <cellStyle name="40% - Accent5 6 2 5" xfId="18850"/>
    <cellStyle name="60% - Accent5 6 2 5" xfId="18851"/>
    <cellStyle name="20% - Accent6 6 2 5" xfId="18852"/>
    <cellStyle name="40% - Accent6 6 2 5" xfId="18853"/>
    <cellStyle name="60% - Accent6 6 2 5" xfId="18854"/>
    <cellStyle name="Normal 3 2 2 5 2 5" xfId="18855"/>
    <cellStyle name="Normal 3 3 2 5 2 5" xfId="18856"/>
    <cellStyle name="Normal 3 4 2 5 2 5" xfId="18857"/>
    <cellStyle name="Normal 3 5 2 5 2 5" xfId="18858"/>
    <cellStyle name="Normal 5 5 2 5" xfId="18859"/>
    <cellStyle name="Percent 3 5 2 5" xfId="18860"/>
    <cellStyle name="Note 2 5 2 5" xfId="18861"/>
    <cellStyle name="Normal 3 6 5 2 5" xfId="18862"/>
    <cellStyle name="Comma 2 7 3 6" xfId="18863"/>
    <cellStyle name="Comma 3 7 3 6" xfId="18864"/>
    <cellStyle name="Percent 4 5 2 5" xfId="18865"/>
    <cellStyle name="Normal 3 7 5 2 5" xfId="18866"/>
    <cellStyle name="Note 3 5 2 5" xfId="18867"/>
    <cellStyle name="20% - Accent1 2 5 2 5" xfId="18868"/>
    <cellStyle name="40% - Accent1 2 5 2 5" xfId="18869"/>
    <cellStyle name="60% - Accent1 2 5 2 5" xfId="18870"/>
    <cellStyle name="20% - Accent2 2 5 2 5" xfId="18871"/>
    <cellStyle name="40% - Accent2 2 5 2 5" xfId="18872"/>
    <cellStyle name="60% - Accent2 2 5 2 5" xfId="18873"/>
    <cellStyle name="20% - Accent3 2 5 2 5" xfId="18874"/>
    <cellStyle name="40% - Accent3 2 5 2 5" xfId="18875"/>
    <cellStyle name="60% - Accent3 2 5 2 5" xfId="18876"/>
    <cellStyle name="20% - Accent4 2 5 2 5" xfId="18877"/>
    <cellStyle name="40% - Accent4 2 5 2 5" xfId="18878"/>
    <cellStyle name="60% - Accent4 2 5 2 5" xfId="18879"/>
    <cellStyle name="20% - Accent5 2 5 2 5" xfId="18880"/>
    <cellStyle name="40% - Accent5 2 5 2 5" xfId="18881"/>
    <cellStyle name="60% - Accent5 2 5 2 5" xfId="18882"/>
    <cellStyle name="20% - Accent6 2 5 2 5" xfId="18883"/>
    <cellStyle name="40% - Accent6 2 5 2 5" xfId="18884"/>
    <cellStyle name="60% - Accent6 2 5 2 5" xfId="18885"/>
    <cellStyle name="Comma 2 2 6 3 6" xfId="18886"/>
    <cellStyle name="Comma 4 6 3 6" xfId="18887"/>
    <cellStyle name="Normal 3 8 5 2 5" xfId="18888"/>
    <cellStyle name="Normal 7 4 2 5" xfId="18889"/>
    <cellStyle name="Comma 5 4 3 6" xfId="18890"/>
    <cellStyle name="20% - Accent1 3 4 2 5" xfId="18891"/>
    <cellStyle name="40% - Accent1 3 4 2 5" xfId="18892"/>
    <cellStyle name="60% - Accent1 3 4 2 5" xfId="18893"/>
    <cellStyle name="20% - Accent2 3 4 2 5" xfId="18894"/>
    <cellStyle name="40% - Accent2 3 4 2 5" xfId="18895"/>
    <cellStyle name="60% - Accent2 3 4 2 5" xfId="18896"/>
    <cellStyle name="20% - Accent3 3 4 2 5" xfId="18897"/>
    <cellStyle name="40% - Accent3 3 4 2 5" xfId="18898"/>
    <cellStyle name="60% - Accent3 3 4 2 5" xfId="18899"/>
    <cellStyle name="20% - Accent4 3 4 2 5" xfId="18900"/>
    <cellStyle name="40% - Accent4 3 4 2 5" xfId="18901"/>
    <cellStyle name="60% - Accent4 3 4 2 5" xfId="18902"/>
    <cellStyle name="20% - Accent5 3 4 2 5" xfId="18903"/>
    <cellStyle name="40% - Accent5 3 4 2 5" xfId="18904"/>
    <cellStyle name="60% - Accent5 3 4 2 5" xfId="18905"/>
    <cellStyle name="20% - Accent6 3 4 2 5" xfId="18906"/>
    <cellStyle name="40% - Accent6 3 4 2 5" xfId="18907"/>
    <cellStyle name="60% - Accent6 3 4 2 5" xfId="18908"/>
    <cellStyle name="Normal 3 2 3 4 2 5" xfId="18909"/>
    <cellStyle name="Normal 3 3 3 4 2 5" xfId="18910"/>
    <cellStyle name="Normal 3 4 3 4 2 5" xfId="18911"/>
    <cellStyle name="Normal 3 5 3 4 2 5" xfId="18912"/>
    <cellStyle name="Normal 3 2 2 2 4 2 5" xfId="18913"/>
    <cellStyle name="Normal 3 3 2 2 4 2 5" xfId="18914"/>
    <cellStyle name="Normal 3 4 2 2 4 2 5" xfId="18915"/>
    <cellStyle name="Normal 3 5 2 2 4 2 5" xfId="18916"/>
    <cellStyle name="Normal 5 2 4 2 5" xfId="18917"/>
    <cellStyle name="Percent 3 2 4 2 5" xfId="18918"/>
    <cellStyle name="Note 2 2 4 2 5" xfId="18919"/>
    <cellStyle name="Normal 3 6 2 4 2 5" xfId="18920"/>
    <cellStyle name="Comma 2 3 4 3 6" xfId="18921"/>
    <cellStyle name="Comma 3 2 4 3 6" xfId="18922"/>
    <cellStyle name="Percent 4 2 4 2 5" xfId="18923"/>
    <cellStyle name="Normal 3 7 2 4 2 5" xfId="18924"/>
    <cellStyle name="Note 3 2 4 2 5" xfId="18925"/>
    <cellStyle name="20% - Accent1 2 2 4 2 5" xfId="18926"/>
    <cellStyle name="40% - Accent1 2 2 4 2 5" xfId="18927"/>
    <cellStyle name="60% - Accent1 2 2 4 2 5" xfId="18928"/>
    <cellStyle name="20% - Accent2 2 2 4 2 5" xfId="18929"/>
    <cellStyle name="40% - Accent2 2 2 4 2 5" xfId="18930"/>
    <cellStyle name="60% - Accent2 2 2 4 2 5" xfId="18931"/>
    <cellStyle name="20% - Accent3 2 2 4 2 5" xfId="18932"/>
    <cellStyle name="40% - Accent3 2 2 4 2 5" xfId="18933"/>
    <cellStyle name="60% - Accent3 2 2 4 2 5" xfId="18934"/>
    <cellStyle name="20% - Accent4 2 2 4 2 5" xfId="18935"/>
    <cellStyle name="40% - Accent4 2 2 4 2 5" xfId="18936"/>
    <cellStyle name="60% - Accent4 2 2 4 2 5" xfId="18937"/>
    <cellStyle name="20% - Accent5 2 2 4 2 5" xfId="18938"/>
    <cellStyle name="40% - Accent5 2 2 4 2 5" xfId="18939"/>
    <cellStyle name="60% - Accent5 2 2 4 2 5" xfId="18940"/>
    <cellStyle name="20% - Accent6 2 2 4 2 5" xfId="18941"/>
    <cellStyle name="40% - Accent6 2 2 4 2 5" xfId="18942"/>
    <cellStyle name="60% - Accent6 2 2 4 2 5" xfId="18943"/>
    <cellStyle name="Comma 2 2 2 4 3 6" xfId="18944"/>
    <cellStyle name="Comma 4 2 4 3 6" xfId="18945"/>
    <cellStyle name="Normal 3 8 2 4 2 5" xfId="18946"/>
    <cellStyle name="Normal 8 3 2 5" xfId="18947"/>
    <cellStyle name="Comma 6 3 3 6" xfId="18948"/>
    <cellStyle name="20% - Accent1 4 3 2 5" xfId="18949"/>
    <cellStyle name="40% - Accent1 4 3 2 5" xfId="18950"/>
    <cellStyle name="60% - Accent1 4 3 2 5" xfId="18951"/>
    <cellStyle name="20% - Accent2 4 3 2 5" xfId="18952"/>
    <cellStyle name="40% - Accent2 4 3 2 5" xfId="18953"/>
    <cellStyle name="60% - Accent2 4 3 2 5" xfId="18954"/>
    <cellStyle name="20% - Accent3 4 3 2 5" xfId="18955"/>
    <cellStyle name="40% - Accent3 4 3 2 5" xfId="18956"/>
    <cellStyle name="60% - Accent3 4 3 2 5" xfId="18957"/>
    <cellStyle name="20% - Accent4 4 3 2 5" xfId="18958"/>
    <cellStyle name="40% - Accent4 4 3 2 5" xfId="18959"/>
    <cellStyle name="60% - Accent4 4 3 2 5" xfId="18960"/>
    <cellStyle name="20% - Accent5 4 3 2 5" xfId="18961"/>
    <cellStyle name="40% - Accent5 4 3 2 5" xfId="18962"/>
    <cellStyle name="60% - Accent5 4 3 2 5" xfId="18963"/>
    <cellStyle name="20% - Accent6 4 3 2 5" xfId="18964"/>
    <cellStyle name="40% - Accent6 4 3 2 5" xfId="18965"/>
    <cellStyle name="60% - Accent6 4 3 2 5" xfId="18966"/>
    <cellStyle name="Normal 3 2 4 3 2 5" xfId="18967"/>
    <cellStyle name="Normal 3 3 4 3 2 5" xfId="18968"/>
    <cellStyle name="Normal 3 4 4 3 2 5" xfId="18969"/>
    <cellStyle name="Normal 3 5 4 3 2 5" xfId="18970"/>
    <cellStyle name="Normal 3 2 2 3 3 2 5" xfId="18971"/>
    <cellStyle name="Normal 3 3 2 3 3 2 5" xfId="18972"/>
    <cellStyle name="Normal 3 4 2 3 3 2 5" xfId="18973"/>
    <cellStyle name="Normal 3 5 2 3 3 2 5" xfId="18974"/>
    <cellStyle name="Normal 5 3 3 2 5" xfId="18975"/>
    <cellStyle name="Percent 3 3 3 2 5" xfId="18976"/>
    <cellStyle name="Note 2 3 3 2 5" xfId="18977"/>
    <cellStyle name="Normal 3 6 3 3 2 5" xfId="18978"/>
    <cellStyle name="Comma 2 5 3 3 6" xfId="18979"/>
    <cellStyle name="Comma 3 4 3 3 6" xfId="18980"/>
    <cellStyle name="Percent 4 3 3 2 5" xfId="18981"/>
    <cellStyle name="Normal 3 7 3 3 2 5" xfId="18982"/>
    <cellStyle name="Note 3 3 3 2 5" xfId="18983"/>
    <cellStyle name="20% - Accent1 2 3 3 2 5" xfId="18984"/>
    <cellStyle name="40% - Accent1 2 3 3 2 5" xfId="18985"/>
    <cellStyle name="60% - Accent1 2 3 3 2 5" xfId="18986"/>
    <cellStyle name="20% - Accent2 2 3 3 2 5" xfId="18987"/>
    <cellStyle name="40% - Accent2 2 3 3 2 5" xfId="18988"/>
    <cellStyle name="60% - Accent2 2 3 3 2 5" xfId="18989"/>
    <cellStyle name="20% - Accent3 2 3 3 2 5" xfId="18990"/>
    <cellStyle name="40% - Accent3 2 3 3 2 5" xfId="18991"/>
    <cellStyle name="60% - Accent3 2 3 3 2 5" xfId="18992"/>
    <cellStyle name="20% - Accent4 2 3 3 2 5" xfId="18993"/>
    <cellStyle name="40% - Accent4 2 3 3 2 5" xfId="18994"/>
    <cellStyle name="60% - Accent4 2 3 3 2 5" xfId="18995"/>
    <cellStyle name="20% - Accent5 2 3 3 2 5" xfId="18996"/>
    <cellStyle name="40% - Accent5 2 3 3 2 5" xfId="18997"/>
    <cellStyle name="60% - Accent5 2 3 3 2 5" xfId="18998"/>
    <cellStyle name="20% - Accent6 2 3 3 2 5" xfId="18999"/>
    <cellStyle name="40% - Accent6 2 3 3 2 5" xfId="19000"/>
    <cellStyle name="60% - Accent6 2 3 3 2 5" xfId="19001"/>
    <cellStyle name="Comma 2 2 4 3 3 6" xfId="19002"/>
    <cellStyle name="Comma 4 4 3 3 6" xfId="19003"/>
    <cellStyle name="Normal 3 8 3 3 2 5" xfId="19004"/>
    <cellStyle name="Comma 2 4 3 3 6" xfId="19005"/>
    <cellStyle name="Comma 3 3 3 3 6" xfId="19006"/>
    <cellStyle name="Comma 2 2 3 3 3 6" xfId="19007"/>
    <cellStyle name="Comma 4 3 3 3 6" xfId="19008"/>
    <cellStyle name="Normal 7 2 3 2 5" xfId="19009"/>
    <cellStyle name="Comma 5 2 3 3 6" xfId="19010"/>
    <cellStyle name="20% - Accent1 3 2 3 2 5" xfId="19011"/>
    <cellStyle name="40% - Accent1 3 2 3 2 5" xfId="19012"/>
    <cellStyle name="60% - Accent1 3 2 3 2 5" xfId="19013"/>
    <cellStyle name="20% - Accent2 3 2 3 2 5" xfId="19014"/>
    <cellStyle name="40% - Accent2 3 2 3 2 5" xfId="19015"/>
    <cellStyle name="60% - Accent2 3 2 3 2 5" xfId="19016"/>
    <cellStyle name="20% - Accent3 3 2 3 2 5" xfId="19017"/>
    <cellStyle name="40% - Accent3 3 2 3 2 5" xfId="19018"/>
    <cellStyle name="60% - Accent3 3 2 3 2 5" xfId="19019"/>
    <cellStyle name="20% - Accent4 3 2 3 2 5" xfId="19020"/>
    <cellStyle name="40% - Accent4 3 2 3 2 5" xfId="19021"/>
    <cellStyle name="60% - Accent4 3 2 3 2 5" xfId="19022"/>
    <cellStyle name="20% - Accent5 3 2 3 2 5" xfId="19023"/>
    <cellStyle name="40% - Accent5 3 2 3 2 5" xfId="19024"/>
    <cellStyle name="60% - Accent5 3 2 3 2 5" xfId="19025"/>
    <cellStyle name="20% - Accent6 3 2 3 2 5" xfId="19026"/>
    <cellStyle name="40% - Accent6 3 2 3 2 5" xfId="19027"/>
    <cellStyle name="60% - Accent6 3 2 3 2 5" xfId="19028"/>
    <cellStyle name="Normal 3 2 3 2 3 2 5" xfId="19029"/>
    <cellStyle name="Normal 3 3 3 2 3 2 5" xfId="19030"/>
    <cellStyle name="Normal 3 4 3 2 3 2 5" xfId="19031"/>
    <cellStyle name="Normal 3 5 3 2 3 2 5" xfId="19032"/>
    <cellStyle name="Normal 3 2 2 2 2 3 2 5" xfId="19033"/>
    <cellStyle name="Normal 3 3 2 2 2 3 2 5" xfId="19034"/>
    <cellStyle name="Normal 3 4 2 2 2 3 2 5" xfId="19035"/>
    <cellStyle name="Normal 3 5 2 2 2 3 2 5" xfId="19036"/>
    <cellStyle name="Normal 5 2 2 3 2 5" xfId="19037"/>
    <cellStyle name="Percent 3 2 2 3 2 5" xfId="19038"/>
    <cellStyle name="Note 2 2 2 3 2 5" xfId="19039"/>
    <cellStyle name="Normal 3 6 2 2 3 2 5" xfId="19040"/>
    <cellStyle name="Comma 2 3 2 3 3 6" xfId="19041"/>
    <cellStyle name="Comma 3 2 2 3 3 6" xfId="19042"/>
    <cellStyle name="Percent 4 2 2 3 2 5" xfId="19043"/>
    <cellStyle name="Normal 3 7 2 2 3 2 5" xfId="19044"/>
    <cellStyle name="Note 3 2 2 3 2 5" xfId="19045"/>
    <cellStyle name="20% - Accent1 2 2 2 3 2 5" xfId="19046"/>
    <cellStyle name="40% - Accent1 2 2 2 3 2 5" xfId="19047"/>
    <cellStyle name="60% - Accent1 2 2 2 3 2 5" xfId="19048"/>
    <cellStyle name="20% - Accent2 2 2 2 3 2 5" xfId="19049"/>
    <cellStyle name="40% - Accent2 2 2 2 3 2 5" xfId="19050"/>
    <cellStyle name="60% - Accent2 2 2 2 3 2 5" xfId="19051"/>
    <cellStyle name="20% - Accent3 2 2 2 3 2 5" xfId="19052"/>
    <cellStyle name="40% - Accent3 2 2 2 3 2 5" xfId="19053"/>
    <cellStyle name="60% - Accent3 2 2 2 3 2 5" xfId="19054"/>
    <cellStyle name="20% - Accent4 2 2 2 3 2 5" xfId="19055"/>
    <cellStyle name="40% - Accent4 2 2 2 3 2 5" xfId="19056"/>
    <cellStyle name="60% - Accent4 2 2 2 3 2 5" xfId="19057"/>
    <cellStyle name="20% - Accent5 2 2 2 3 2 5" xfId="19058"/>
    <cellStyle name="40% - Accent5 2 2 2 3 2 5" xfId="19059"/>
    <cellStyle name="60% - Accent5 2 2 2 3 2 5" xfId="19060"/>
    <cellStyle name="20% - Accent6 2 2 2 3 2 5" xfId="19061"/>
    <cellStyle name="40% - Accent6 2 2 2 3 2 5" xfId="19062"/>
    <cellStyle name="60% - Accent6 2 2 2 3 2 5" xfId="19063"/>
    <cellStyle name="Comma 2 2 2 2 3 3 6" xfId="19064"/>
    <cellStyle name="Comma 4 2 2 3 3 6" xfId="19065"/>
    <cellStyle name="Normal 3 8 2 2 3 2 5" xfId="19066"/>
    <cellStyle name="Normal 3 10 3 2 5" xfId="19067"/>
    <cellStyle name="Normal 3 11 3 2 5" xfId="19068"/>
    <cellStyle name="Normal 5 4 2 2 5" xfId="19069"/>
    <cellStyle name="Normal 7 3 2 2 5" xfId="19070"/>
    <cellStyle name="Normal 3 2 2 2 3 2 2 5" xfId="19071"/>
    <cellStyle name="Normal 8 2 2 2 5" xfId="19072"/>
    <cellStyle name="Normal 3 2 2 2 2 2 2 2 5" xfId="19073"/>
    <cellStyle name="Comma 3 6 3 6" xfId="19074"/>
    <cellStyle name="Normal 3 6 4 2 2 5" xfId="19075"/>
    <cellStyle name="Normal 3 12 2 2 5" xfId="19076"/>
    <cellStyle name="Normal 3 2 5 2 2 5" xfId="19077"/>
    <cellStyle name="Normal 3 3 5 2 2 5" xfId="19078"/>
    <cellStyle name="Normal 3 4 5 2 2 5" xfId="19079"/>
    <cellStyle name="Normal 3 5 5 2 2 5" xfId="19080"/>
    <cellStyle name="20% - Accent1 5 2 2 5" xfId="19081"/>
    <cellStyle name="40% - Accent1 5 2 2 5" xfId="19082"/>
    <cellStyle name="60% - Accent1 5 2 2 5" xfId="19083"/>
    <cellStyle name="20% - Accent2 5 2 2 5" xfId="19084"/>
    <cellStyle name="40% - Accent2 5 2 2 5" xfId="19085"/>
    <cellStyle name="60% - Accent2 5 2 2 5" xfId="19086"/>
    <cellStyle name="20% - Accent3 5 2 2 5" xfId="19087"/>
    <cellStyle name="40% - Accent3 5 2 2 5" xfId="19088"/>
    <cellStyle name="60% - Accent3 5 2 2 5" xfId="19089"/>
    <cellStyle name="20% - Accent4 5 2 2 5" xfId="19090"/>
    <cellStyle name="40% - Accent4 5 2 2 5" xfId="19091"/>
    <cellStyle name="60% - Accent4 5 2 2 5" xfId="19092"/>
    <cellStyle name="20% - Accent5 5 2 2 5" xfId="19093"/>
    <cellStyle name="40% - Accent5 5 2 2 5" xfId="19094"/>
    <cellStyle name="60% - Accent5 5 2 2 5" xfId="19095"/>
    <cellStyle name="20% - Accent6 5 2 2 5" xfId="19096"/>
    <cellStyle name="40% - Accent6 5 2 2 5" xfId="19097"/>
    <cellStyle name="60% - Accent6 5 2 2 5" xfId="19098"/>
    <cellStyle name="Normal 3 2 2 4 2 2 5" xfId="19099"/>
    <cellStyle name="Normal 3 3 2 4 2 2 5" xfId="19100"/>
    <cellStyle name="Normal 3 4 2 4 2 2 5" xfId="19101"/>
    <cellStyle name="Normal 3 5 2 4 2 2 5" xfId="19102"/>
    <cellStyle name="Percent 3 4 2 2 5" xfId="19103"/>
    <cellStyle name="Note 2 4 2 2 5" xfId="19104"/>
    <cellStyle name="Comma 2 6 2 3 6" xfId="19105"/>
    <cellStyle name="Comma 3 5 2 3 6" xfId="19106"/>
    <cellStyle name="Percent 4 4 2 2 5" xfId="19107"/>
    <cellStyle name="Normal 3 7 4 2 2 5" xfId="19108"/>
    <cellStyle name="Note 3 4 2 2 5" xfId="19109"/>
    <cellStyle name="20% - Accent1 2 4 2 2 5" xfId="19110"/>
    <cellStyle name="40% - Accent1 2 4 2 2 5" xfId="19111"/>
    <cellStyle name="60% - Accent1 2 4 2 2 5" xfId="19112"/>
    <cellStyle name="20% - Accent2 2 4 2 2 5" xfId="19113"/>
    <cellStyle name="40% - Accent2 2 4 2 2 5" xfId="19114"/>
    <cellStyle name="60% - Accent2 2 4 2 2 5" xfId="19115"/>
    <cellStyle name="20% - Accent3 2 4 2 2 5" xfId="19116"/>
    <cellStyle name="40% - Accent3 2 4 2 2 5" xfId="19117"/>
    <cellStyle name="60% - Accent3 2 4 2 2 5" xfId="19118"/>
    <cellStyle name="20% - Accent4 2 4 2 2 5" xfId="19119"/>
    <cellStyle name="40% - Accent4 2 4 2 2 5" xfId="19120"/>
    <cellStyle name="60% - Accent4 2 4 2 2 5" xfId="19121"/>
    <cellStyle name="20% - Accent5 2 4 2 2 5" xfId="19122"/>
    <cellStyle name="40% - Accent5 2 4 2 2 5" xfId="19123"/>
    <cellStyle name="60% - Accent5 2 4 2 2 5" xfId="19124"/>
    <cellStyle name="20% - Accent6 2 4 2 2 5" xfId="19125"/>
    <cellStyle name="40% - Accent6 2 4 2 2 5" xfId="19126"/>
    <cellStyle name="60% - Accent6 2 4 2 2 5" xfId="19127"/>
    <cellStyle name="Comma 2 2 5 2 3 6" xfId="19128"/>
    <cellStyle name="Comma 4 5 2 3 6" xfId="19129"/>
    <cellStyle name="Normal 3 8 4 2 2 5" xfId="19130"/>
    <cellStyle name="Comma 5 3 2 3 6" xfId="19131"/>
    <cellStyle name="20% - Accent1 3 3 2 2 5" xfId="19132"/>
    <cellStyle name="40% - Accent1 3 3 2 2 5" xfId="19133"/>
    <cellStyle name="60% - Accent1 3 3 2 2 5" xfId="19134"/>
    <cellStyle name="20% - Accent2 3 3 2 2 5" xfId="19135"/>
    <cellStyle name="40% - Accent2 3 3 2 2 5" xfId="19136"/>
    <cellStyle name="60% - Accent2 3 3 2 2 5" xfId="19137"/>
    <cellStyle name="20% - Accent3 3 3 2 2 5" xfId="19138"/>
    <cellStyle name="40% - Accent3 3 3 2 2 5" xfId="19139"/>
    <cellStyle name="60% - Accent3 3 3 2 2 5" xfId="19140"/>
    <cellStyle name="20% - Accent4 3 3 2 2 5" xfId="19141"/>
    <cellStyle name="40% - Accent4 3 3 2 2 5" xfId="19142"/>
    <cellStyle name="60% - Accent4 3 3 2 2 5" xfId="19143"/>
    <cellStyle name="20% - Accent5 3 3 2 2 5" xfId="19144"/>
    <cellStyle name="40% - Accent5 3 3 2 2 5" xfId="19145"/>
    <cellStyle name="60% - Accent5 3 3 2 2 5" xfId="19146"/>
    <cellStyle name="20% - Accent6 3 3 2 2 5" xfId="19147"/>
    <cellStyle name="40% - Accent6 3 3 2 2 5" xfId="19148"/>
    <cellStyle name="60% - Accent6 3 3 2 2 5" xfId="19149"/>
    <cellStyle name="Normal 3 2 3 3 2 2 5" xfId="19150"/>
    <cellStyle name="Normal 3 3 3 3 2 2 5" xfId="19151"/>
    <cellStyle name="Normal 3 4 3 3 2 2 5" xfId="19152"/>
    <cellStyle name="Normal 3 5 3 3 2 2 5" xfId="19153"/>
    <cellStyle name="Normal 3 3 2 2 3 2 2 5" xfId="19154"/>
    <cellStyle name="Normal 3 4 2 2 3 2 2 5" xfId="19155"/>
    <cellStyle name="Normal 3 5 2 2 3 2 2 5" xfId="19156"/>
    <cellStyle name="Normal 5 2 3 2 2 5" xfId="19157"/>
    <cellStyle name="Percent 3 2 3 2 2 5" xfId="19158"/>
    <cellStyle name="Note 2 2 3 2 2 5" xfId="19159"/>
    <cellStyle name="Normal 3 6 2 3 2 2 5" xfId="19160"/>
    <cellStyle name="Comma 2 3 3 2 3 6" xfId="19161"/>
    <cellStyle name="Comma 3 2 3 2 3 6" xfId="19162"/>
    <cellStyle name="Percent 4 2 3 2 2 5" xfId="19163"/>
    <cellStyle name="Normal 3 7 2 3 2 2 5" xfId="19164"/>
    <cellStyle name="Note 3 2 3 2 2 5" xfId="19165"/>
    <cellStyle name="20% - Accent1 2 2 3 2 2 5" xfId="19166"/>
    <cellStyle name="40% - Accent1 2 2 3 2 2 5" xfId="19167"/>
    <cellStyle name="60% - Accent1 2 2 3 2 2 5" xfId="19168"/>
    <cellStyle name="20% - Accent2 2 2 3 2 2 5" xfId="19169"/>
    <cellStyle name="40% - Accent2 2 2 3 2 2 5" xfId="19170"/>
    <cellStyle name="60% - Accent2 2 2 3 2 2 5" xfId="19171"/>
    <cellStyle name="20% - Accent3 2 2 3 2 2 5" xfId="19172"/>
    <cellStyle name="40% - Accent3 2 2 3 2 2 5" xfId="19173"/>
    <cellStyle name="60% - Accent3 2 2 3 2 2 5" xfId="19174"/>
    <cellStyle name="20% - Accent4 2 2 3 2 2 5" xfId="19175"/>
    <cellStyle name="40% - Accent4 2 2 3 2 2 5" xfId="19176"/>
    <cellStyle name="60% - Accent4 2 2 3 2 2 5" xfId="19177"/>
    <cellStyle name="20% - Accent5 2 2 3 2 2 5" xfId="19178"/>
    <cellStyle name="40% - Accent5 2 2 3 2 2 5" xfId="19179"/>
    <cellStyle name="60% - Accent5 2 2 3 2 2 5" xfId="19180"/>
    <cellStyle name="20% - Accent6 2 2 3 2 2 5" xfId="19181"/>
    <cellStyle name="40% - Accent6 2 2 3 2 2 5" xfId="19182"/>
    <cellStyle name="60% - Accent6 2 2 3 2 2 5" xfId="19183"/>
    <cellStyle name="Comma 2 2 2 3 2 3 6" xfId="19184"/>
    <cellStyle name="Comma 4 2 3 2 3 6" xfId="19185"/>
    <cellStyle name="Normal 3 8 2 3 2 2 5" xfId="19186"/>
    <cellStyle name="Comma 6 2 2 3 6" xfId="19187"/>
    <cellStyle name="20% - Accent1 4 2 2 2 5" xfId="19188"/>
    <cellStyle name="40% - Accent1 4 2 2 2 5" xfId="19189"/>
    <cellStyle name="60% - Accent1 4 2 2 2 5" xfId="19190"/>
    <cellStyle name="20% - Accent2 4 2 2 2 5" xfId="19191"/>
    <cellStyle name="40% - Accent2 4 2 2 2 5" xfId="19192"/>
    <cellStyle name="60% - Accent2 4 2 2 2 5" xfId="19193"/>
    <cellStyle name="20% - Accent3 4 2 2 2 5" xfId="19194"/>
    <cellStyle name="40% - Accent3 4 2 2 2 5" xfId="19195"/>
    <cellStyle name="60% - Accent3 4 2 2 2 5" xfId="19196"/>
    <cellStyle name="20% - Accent4 4 2 2 2 5" xfId="19197"/>
    <cellStyle name="40% - Accent4 4 2 2 2 5" xfId="19198"/>
    <cellStyle name="60% - Accent4 4 2 2 2 5" xfId="19199"/>
    <cellStyle name="20% - Accent5 4 2 2 2 5" xfId="19200"/>
    <cellStyle name="40% - Accent5 4 2 2 2 5" xfId="19201"/>
    <cellStyle name="60% - Accent5 4 2 2 2 5" xfId="19202"/>
    <cellStyle name="20% - Accent6 4 2 2 2 5" xfId="19203"/>
    <cellStyle name="40% - Accent6 4 2 2 2 5" xfId="19204"/>
    <cellStyle name="60% - Accent6 4 2 2 2 5" xfId="19205"/>
    <cellStyle name="Normal 3 2 4 2 2 2 5" xfId="19206"/>
    <cellStyle name="Normal 3 3 4 2 2 2 5" xfId="19207"/>
    <cellStyle name="Normal 3 4 4 2 2 2 5" xfId="19208"/>
    <cellStyle name="Normal 3 5 4 2 2 2 5" xfId="19209"/>
    <cellStyle name="Normal 3 2 2 3 2 2 2 5" xfId="19210"/>
    <cellStyle name="Normal 3 3 2 3 2 2 2 5" xfId="19211"/>
    <cellStyle name="Normal 3 4 2 3 2 2 2 5" xfId="19212"/>
    <cellStyle name="Normal 3 5 2 3 2 2 2 5" xfId="19213"/>
    <cellStyle name="Normal 5 3 2 2 2 5" xfId="19214"/>
    <cellStyle name="Percent 3 3 2 2 2 5" xfId="19215"/>
    <cellStyle name="Note 2 3 2 2 2 5" xfId="19216"/>
    <cellStyle name="Normal 3 6 3 2 2 2 5" xfId="19217"/>
    <cellStyle name="Comma 2 5 2 2 3 6" xfId="19218"/>
    <cellStyle name="Comma 3 4 2 2 3 6" xfId="19219"/>
    <cellStyle name="Percent 4 3 2 2 2 5" xfId="19220"/>
    <cellStyle name="Normal 3 7 3 2 2 2 5" xfId="19221"/>
    <cellStyle name="Note 3 3 2 2 2 5" xfId="19222"/>
    <cellStyle name="20% - Accent1 2 3 2 2 2 5" xfId="19223"/>
    <cellStyle name="40% - Accent1 2 3 2 2 2 5" xfId="19224"/>
    <cellStyle name="60% - Accent1 2 3 2 2 2 5" xfId="19225"/>
    <cellStyle name="20% - Accent2 2 3 2 2 2 5" xfId="19226"/>
    <cellStyle name="40% - Accent2 2 3 2 2 2 5" xfId="19227"/>
    <cellStyle name="60% - Accent2 2 3 2 2 2 5" xfId="19228"/>
    <cellStyle name="20% - Accent3 2 3 2 2 2 5" xfId="19229"/>
    <cellStyle name="40% - Accent3 2 3 2 2 2 5" xfId="19230"/>
    <cellStyle name="60% - Accent3 2 3 2 2 2 5" xfId="19231"/>
    <cellStyle name="20% - Accent4 2 3 2 2 2 5" xfId="19232"/>
    <cellStyle name="40% - Accent4 2 3 2 2 2 5" xfId="19233"/>
    <cellStyle name="60% - Accent4 2 3 2 2 2 5" xfId="19234"/>
    <cellStyle name="20% - Accent5 2 3 2 2 2 5" xfId="19235"/>
    <cellStyle name="40% - Accent5 2 3 2 2 2 5" xfId="19236"/>
    <cellStyle name="60% - Accent5 2 3 2 2 2 5" xfId="19237"/>
    <cellStyle name="20% - Accent6 2 3 2 2 2 5" xfId="19238"/>
    <cellStyle name="40% - Accent6 2 3 2 2 2 5" xfId="19239"/>
    <cellStyle name="60% - Accent6 2 3 2 2 2 5" xfId="19240"/>
    <cellStyle name="Comma 2 2 4 2 2 3 6" xfId="19241"/>
    <cellStyle name="Comma 4 4 2 2 3 6" xfId="19242"/>
    <cellStyle name="Normal 3 8 3 2 2 2 5" xfId="19243"/>
    <cellStyle name="Comma 2 4 2 2 3 6" xfId="19244"/>
    <cellStyle name="Comma 3 3 2 2 3 6" xfId="19245"/>
    <cellStyle name="Comma 2 2 3 2 2 3 6" xfId="19246"/>
    <cellStyle name="Comma 4 3 2 2 3 6" xfId="19247"/>
    <cellStyle name="Normal 7 2 2 2 2 5" xfId="19248"/>
    <cellStyle name="Comma 5 2 2 2 3 6" xfId="19249"/>
    <cellStyle name="20% - Accent1 3 2 2 2 2 5" xfId="19250"/>
    <cellStyle name="40% - Accent1 3 2 2 2 2 5" xfId="19251"/>
    <cellStyle name="60% - Accent1 3 2 2 2 2 5" xfId="19252"/>
    <cellStyle name="20% - Accent2 3 2 2 2 2 5" xfId="19253"/>
    <cellStyle name="40% - Accent2 3 2 2 2 2 5" xfId="19254"/>
    <cellStyle name="60% - Accent2 3 2 2 2 2 5" xfId="19255"/>
    <cellStyle name="20% - Accent3 3 2 2 2 2 5" xfId="19256"/>
    <cellStyle name="40% - Accent3 3 2 2 2 2 5" xfId="19257"/>
    <cellStyle name="60% - Accent3 3 2 2 2 2 5" xfId="19258"/>
    <cellStyle name="20% - Accent4 3 2 2 2 2 5" xfId="19259"/>
    <cellStyle name="40% - Accent4 3 2 2 2 2 5" xfId="19260"/>
    <cellStyle name="60% - Accent4 3 2 2 2 2 5" xfId="19261"/>
    <cellStyle name="20% - Accent5 3 2 2 2 2 5" xfId="19262"/>
    <cellStyle name="40% - Accent5 3 2 2 2 2 5" xfId="19263"/>
    <cellStyle name="60% - Accent5 3 2 2 2 2 5" xfId="19264"/>
    <cellStyle name="20% - Accent6 3 2 2 2 2 5" xfId="19265"/>
    <cellStyle name="40% - Accent6 3 2 2 2 2 5" xfId="19266"/>
    <cellStyle name="60% - Accent6 3 2 2 2 2 5" xfId="19267"/>
    <cellStyle name="Normal 3 2 3 2 2 2 2 5" xfId="19268"/>
    <cellStyle name="Normal 3 3 3 2 2 2 2 5" xfId="19269"/>
    <cellStyle name="Normal 3 4 3 2 2 2 2 5" xfId="19270"/>
    <cellStyle name="Normal 3 5 3 2 2 2 2 5" xfId="19271"/>
    <cellStyle name="Normal 3 3 2 2 2 2 2 2 5" xfId="19272"/>
    <cellStyle name="Normal 3 4 2 2 2 2 2 2 5" xfId="19273"/>
    <cellStyle name="Normal 3 5 2 2 2 2 2 2 5" xfId="19274"/>
    <cellStyle name="Normal 5 2 2 2 2 2 5" xfId="19275"/>
    <cellStyle name="Percent 3 2 2 2 2 2 5" xfId="19276"/>
    <cellStyle name="Note 2 2 2 2 2 2 5" xfId="19277"/>
    <cellStyle name="Normal 3 6 2 2 2 2 2 5" xfId="19278"/>
    <cellStyle name="Comma 2 3 2 2 2 3 6" xfId="19279"/>
    <cellStyle name="Comma 3 2 2 2 2 3 6" xfId="19280"/>
    <cellStyle name="Percent 4 2 2 2 2 2 5" xfId="19281"/>
    <cellStyle name="Normal 3 7 2 2 2 2 2 5" xfId="19282"/>
    <cellStyle name="Note 3 2 2 2 2 2 5" xfId="19283"/>
    <cellStyle name="20% - Accent1 2 2 2 2 2 2 5" xfId="19284"/>
    <cellStyle name="40% - Accent1 2 2 2 2 2 2 5" xfId="19285"/>
    <cellStyle name="60% - Accent1 2 2 2 2 2 2 5" xfId="19286"/>
    <cellStyle name="20% - Accent2 2 2 2 2 2 2 5" xfId="19287"/>
    <cellStyle name="40% - Accent2 2 2 2 2 2 2 5" xfId="19288"/>
    <cellStyle name="60% - Accent2 2 2 2 2 2 2 5" xfId="19289"/>
    <cellStyle name="20% - Accent3 2 2 2 2 2 2 5" xfId="19290"/>
    <cellStyle name="40% - Accent3 2 2 2 2 2 2 5" xfId="19291"/>
    <cellStyle name="60% - Accent3 2 2 2 2 2 2 5" xfId="19292"/>
    <cellStyle name="20% - Accent4 2 2 2 2 2 2 5" xfId="19293"/>
    <cellStyle name="40% - Accent4 2 2 2 2 2 2 5" xfId="19294"/>
    <cellStyle name="60% - Accent4 2 2 2 2 2 2 5" xfId="19295"/>
    <cellStyle name="20% - Accent5 2 2 2 2 2 2 5" xfId="19296"/>
    <cellStyle name="40% - Accent5 2 2 2 2 2 2 5" xfId="19297"/>
    <cellStyle name="60% - Accent5 2 2 2 2 2 2 5" xfId="19298"/>
    <cellStyle name="20% - Accent6 2 2 2 2 2 2 5" xfId="19299"/>
    <cellStyle name="40% - Accent6 2 2 2 2 2 2 5" xfId="19300"/>
    <cellStyle name="60% - Accent6 2 2 2 2 2 2 5" xfId="19301"/>
    <cellStyle name="Comma 2 2 2 2 2 2 3 6" xfId="19302"/>
    <cellStyle name="Comma 4 2 2 2 2 3 6" xfId="19303"/>
    <cellStyle name="Normal 3 8 2 2 2 2 2 5" xfId="19304"/>
    <cellStyle name="Normal 3 10 2 2 2 5" xfId="19305"/>
    <cellStyle name="Normal 3 11 2 2 2 5" xfId="19306"/>
    <cellStyle name="Normal 3 13 2 5" xfId="19307"/>
    <cellStyle name="Normal 3 2 7 2 5" xfId="19308"/>
    <cellStyle name="Normal 3 3 7 2 5" xfId="19309"/>
    <cellStyle name="Normal 3 4 7 2 5" xfId="19310"/>
    <cellStyle name="Normal 3 5 7 2 5" xfId="19311"/>
    <cellStyle name="20% - Accent1 7 2 5" xfId="19312"/>
    <cellStyle name="40% - Accent1 7 2 5" xfId="19313"/>
    <cellStyle name="60% - Accent1 7 2 5" xfId="19314"/>
    <cellStyle name="20% - Accent2 7 2 5" xfId="19315"/>
    <cellStyle name="40% - Accent2 7 2 5" xfId="19316"/>
    <cellStyle name="60% - Accent2 7 2 5" xfId="19317"/>
    <cellStyle name="20% - Accent3 7 2 5" xfId="19318"/>
    <cellStyle name="40% - Accent3 7 2 5" xfId="19319"/>
    <cellStyle name="60% - Accent3 7 2 5" xfId="19320"/>
    <cellStyle name="20% - Accent4 7 2 5" xfId="19321"/>
    <cellStyle name="40% - Accent4 7 2 5" xfId="19322"/>
    <cellStyle name="60% - Accent4 7 2 5" xfId="19323"/>
    <cellStyle name="20% - Accent5 7 2 5" xfId="19324"/>
    <cellStyle name="40% - Accent5 7 2 5" xfId="19325"/>
    <cellStyle name="60% - Accent5 7 2 5" xfId="19326"/>
    <cellStyle name="20% - Accent6 7 2 5" xfId="19327"/>
    <cellStyle name="40% - Accent6 7 2 5" xfId="19328"/>
    <cellStyle name="60% - Accent6 7 2 5" xfId="19329"/>
    <cellStyle name="Normal 3 2 2 6 2 5" xfId="19330"/>
    <cellStyle name="Normal 3 3 2 6 2 5" xfId="19331"/>
    <cellStyle name="Normal 3 4 2 6 2 5" xfId="19332"/>
    <cellStyle name="Normal 3 5 2 6 2 5" xfId="19333"/>
    <cellStyle name="Normal 5 6 2 5" xfId="19334"/>
    <cellStyle name="Percent 3 6 2 5" xfId="19335"/>
    <cellStyle name="Note 2 6 2 5" xfId="19336"/>
    <cellStyle name="Normal 3 6 6 2 5" xfId="19337"/>
    <cellStyle name="Comma 2 8 3 6" xfId="19338"/>
    <cellStyle name="Comma 3 8 3 6" xfId="19339"/>
    <cellStyle name="Percent 4 6 2 5" xfId="19340"/>
    <cellStyle name="Normal 3 7 6 2 5" xfId="19341"/>
    <cellStyle name="Note 3 6 2 5" xfId="19342"/>
    <cellStyle name="20% - Accent1 2 6 2 5" xfId="19343"/>
    <cellStyle name="40% - Accent1 2 6 2 5" xfId="19344"/>
    <cellStyle name="60% - Accent1 2 6 2 5" xfId="19345"/>
    <cellStyle name="20% - Accent2 2 6 2 5" xfId="19346"/>
    <cellStyle name="40% - Accent2 2 6 2 5" xfId="19347"/>
    <cellStyle name="60% - Accent2 2 6 2 5" xfId="19348"/>
    <cellStyle name="20% - Accent3 2 6 2 5" xfId="19349"/>
    <cellStyle name="40% - Accent3 2 6 2 5" xfId="19350"/>
    <cellStyle name="60% - Accent3 2 6 2 5" xfId="19351"/>
    <cellStyle name="20% - Accent4 2 6 2 5" xfId="19352"/>
    <cellStyle name="40% - Accent4 2 6 2 5" xfId="19353"/>
    <cellStyle name="60% - Accent4 2 6 2 5" xfId="19354"/>
    <cellStyle name="20% - Accent5 2 6 2 5" xfId="19355"/>
    <cellStyle name="40% - Accent5 2 6 2 5" xfId="19356"/>
    <cellStyle name="60% - Accent5 2 6 2 5" xfId="19357"/>
    <cellStyle name="20% - Accent6 2 6 2 5" xfId="19358"/>
    <cellStyle name="40% - Accent6 2 6 2 5" xfId="19359"/>
    <cellStyle name="60% - Accent6 2 6 2 5" xfId="19360"/>
    <cellStyle name="Comma 2 2 7 3 6" xfId="19361"/>
    <cellStyle name="Comma 4 7 3 6" xfId="19362"/>
    <cellStyle name="Normal 3 8 6 2 5" xfId="19363"/>
    <cellStyle name="Normal 7 5 2 5" xfId="19364"/>
    <cellStyle name="Comma 5 5 3 6" xfId="19365"/>
    <cellStyle name="20% - Accent1 3 5 2 5" xfId="19366"/>
    <cellStyle name="40% - Accent1 3 5 2 5" xfId="19367"/>
    <cellStyle name="60% - Accent1 3 5 2 5" xfId="19368"/>
    <cellStyle name="20% - Accent2 3 5 2 5" xfId="19369"/>
    <cellStyle name="40% - Accent2 3 5 2 5" xfId="19370"/>
    <cellStyle name="60% - Accent2 3 5 2 5" xfId="19371"/>
    <cellStyle name="20% - Accent3 3 5 2 5" xfId="19372"/>
    <cellStyle name="40% - Accent3 3 5 2 5" xfId="19373"/>
    <cellStyle name="60% - Accent3 3 5 2 5" xfId="19374"/>
    <cellStyle name="20% - Accent4 3 5 2 5" xfId="19375"/>
    <cellStyle name="40% - Accent4 3 5 2 5" xfId="19376"/>
    <cellStyle name="60% - Accent4 3 5 2 5" xfId="19377"/>
    <cellStyle name="20% - Accent5 3 5 2 5" xfId="19378"/>
    <cellStyle name="40% - Accent5 3 5 2 5" xfId="19379"/>
    <cellStyle name="60% - Accent5 3 5 2 5" xfId="19380"/>
    <cellStyle name="20% - Accent6 3 5 2 5" xfId="19381"/>
    <cellStyle name="40% - Accent6 3 5 2 5" xfId="19382"/>
    <cellStyle name="60% - Accent6 3 5 2 5" xfId="19383"/>
    <cellStyle name="Normal 3 2 3 5 2 5" xfId="19384"/>
    <cellStyle name="Normal 3 3 3 5 2 5" xfId="19385"/>
    <cellStyle name="Normal 3 4 3 5 2 5" xfId="19386"/>
    <cellStyle name="Normal 3 5 3 5 2 5" xfId="19387"/>
    <cellStyle name="Normal 3 2 2 2 5 2 5" xfId="19388"/>
    <cellStyle name="Normal 3 3 2 2 5 2 5" xfId="19389"/>
    <cellStyle name="Normal 3 4 2 2 5 2 5" xfId="19390"/>
    <cellStyle name="Normal 3 5 2 2 5 2 5" xfId="19391"/>
    <cellStyle name="Normal 5 2 5 2 5" xfId="19392"/>
    <cellStyle name="Percent 3 2 5 2 5" xfId="19393"/>
    <cellStyle name="Note 2 2 5 2 5" xfId="19394"/>
    <cellStyle name="Normal 3 6 2 5 2 5" xfId="19395"/>
    <cellStyle name="Comma 2 3 5 3 6" xfId="19396"/>
    <cellStyle name="Comma 3 2 5 3 6" xfId="19397"/>
    <cellStyle name="Percent 4 2 5 2 5" xfId="19398"/>
    <cellStyle name="Normal 3 7 2 5 2 5" xfId="19399"/>
    <cellStyle name="Note 3 2 5 2 5" xfId="19400"/>
    <cellStyle name="20% - Accent1 2 2 5 2 5" xfId="19401"/>
    <cellStyle name="40% - Accent1 2 2 5 2 5" xfId="19402"/>
    <cellStyle name="60% - Accent1 2 2 5 2 5" xfId="19403"/>
    <cellStyle name="20% - Accent2 2 2 5 2 5" xfId="19404"/>
    <cellStyle name="40% - Accent2 2 2 5 2 5" xfId="19405"/>
    <cellStyle name="60% - Accent2 2 2 5 2 5" xfId="19406"/>
    <cellStyle name="20% - Accent3 2 2 5 2 5" xfId="19407"/>
    <cellStyle name="40% - Accent3 2 2 5 2 5" xfId="19408"/>
    <cellStyle name="60% - Accent3 2 2 5 2 5" xfId="19409"/>
    <cellStyle name="20% - Accent4 2 2 5 2 5" xfId="19410"/>
    <cellStyle name="40% - Accent4 2 2 5 2 5" xfId="19411"/>
    <cellStyle name="60% - Accent4 2 2 5 2 5" xfId="19412"/>
    <cellStyle name="20% - Accent5 2 2 5 2 5" xfId="19413"/>
    <cellStyle name="40% - Accent5 2 2 5 2 5" xfId="19414"/>
    <cellStyle name="60% - Accent5 2 2 5 2 5" xfId="19415"/>
    <cellStyle name="20% - Accent6 2 2 5 2 5" xfId="19416"/>
    <cellStyle name="40% - Accent6 2 2 5 2 5" xfId="19417"/>
    <cellStyle name="60% - Accent6 2 2 5 2 5" xfId="19418"/>
    <cellStyle name="Comma 2 2 2 5 3 6" xfId="19419"/>
    <cellStyle name="Comma 4 2 5 3 6" xfId="19420"/>
    <cellStyle name="Normal 3 8 2 5 2 5" xfId="19421"/>
    <cellStyle name="Normal 8 4 2 5" xfId="19422"/>
    <cellStyle name="Comma 6 4 3 6" xfId="19423"/>
    <cellStyle name="20% - Accent1 4 4 2 5" xfId="19424"/>
    <cellStyle name="40% - Accent1 4 4 2 5" xfId="19425"/>
    <cellStyle name="60% - Accent1 4 4 2 5" xfId="19426"/>
    <cellStyle name="20% - Accent2 4 4 2 5" xfId="19427"/>
    <cellStyle name="40% - Accent2 4 4 2 5" xfId="19428"/>
    <cellStyle name="60% - Accent2 4 4 2 5" xfId="19429"/>
    <cellStyle name="20% - Accent3 4 4 2 5" xfId="19430"/>
    <cellStyle name="40% - Accent3 4 4 2 5" xfId="19431"/>
    <cellStyle name="60% - Accent3 4 4 2 5" xfId="19432"/>
    <cellStyle name="20% - Accent4 4 4 2 5" xfId="19433"/>
    <cellStyle name="40% - Accent4 4 4 2 5" xfId="19434"/>
    <cellStyle name="60% - Accent4 4 4 2 5" xfId="19435"/>
    <cellStyle name="20% - Accent5 4 4 2 5" xfId="19436"/>
    <cellStyle name="40% - Accent5 4 4 2 5" xfId="19437"/>
    <cellStyle name="60% - Accent5 4 4 2 5" xfId="19438"/>
    <cellStyle name="20% - Accent6 4 4 2 5" xfId="19439"/>
    <cellStyle name="40% - Accent6 4 4 2 5" xfId="19440"/>
    <cellStyle name="60% - Accent6 4 4 2 5" xfId="19441"/>
    <cellStyle name="Normal 3 2 4 4 2 5" xfId="19442"/>
    <cellStyle name="Normal 3 3 4 4 2 5" xfId="19443"/>
    <cellStyle name="Normal 3 4 4 4 2 5" xfId="19444"/>
    <cellStyle name="Normal 3 5 4 4 2 5" xfId="19445"/>
    <cellStyle name="Normal 3 2 2 3 4 2 5" xfId="19446"/>
    <cellStyle name="Normal 3 3 2 3 4 2 5" xfId="19447"/>
    <cellStyle name="Normal 3 4 2 3 4 2 5" xfId="19448"/>
    <cellStyle name="Normal 3 5 2 3 4 2 5" xfId="19449"/>
    <cellStyle name="Normal 5 3 4 2 5" xfId="19450"/>
    <cellStyle name="Percent 3 3 4 2 5" xfId="19451"/>
    <cellStyle name="Note 2 3 4 2 5" xfId="19452"/>
    <cellStyle name="Normal 3 6 3 4 2 5" xfId="19453"/>
    <cellStyle name="Comma 2 5 4 3 6" xfId="19454"/>
    <cellStyle name="Comma 3 4 4 3 6" xfId="19455"/>
    <cellStyle name="Percent 4 3 4 2 5" xfId="19456"/>
    <cellStyle name="Normal 3 7 3 4 2 5" xfId="19457"/>
    <cellStyle name="Note 3 3 4 2 5" xfId="19458"/>
    <cellStyle name="20% - Accent1 2 3 4 2 5" xfId="19459"/>
    <cellStyle name="40% - Accent1 2 3 4 2 5" xfId="19460"/>
    <cellStyle name="60% - Accent1 2 3 4 2 5" xfId="19461"/>
    <cellStyle name="20% - Accent2 2 3 4 2 5" xfId="19462"/>
    <cellStyle name="40% - Accent2 2 3 4 2 5" xfId="19463"/>
    <cellStyle name="60% - Accent2 2 3 4 2 5" xfId="19464"/>
    <cellStyle name="20% - Accent3 2 3 4 2 5" xfId="19465"/>
    <cellStyle name="40% - Accent3 2 3 4 2 5" xfId="19466"/>
    <cellStyle name="60% - Accent3 2 3 4 2 5" xfId="19467"/>
    <cellStyle name="20% - Accent4 2 3 4 2 5" xfId="19468"/>
    <cellStyle name="40% - Accent4 2 3 4 2 5" xfId="19469"/>
    <cellStyle name="60% - Accent4 2 3 4 2 5" xfId="19470"/>
    <cellStyle name="20% - Accent5 2 3 4 2 5" xfId="19471"/>
    <cellStyle name="40% - Accent5 2 3 4 2 5" xfId="19472"/>
    <cellStyle name="60% - Accent5 2 3 4 2 5" xfId="19473"/>
    <cellStyle name="20% - Accent6 2 3 4 2 5" xfId="19474"/>
    <cellStyle name="40% - Accent6 2 3 4 2 5" xfId="19475"/>
    <cellStyle name="60% - Accent6 2 3 4 2 5" xfId="19476"/>
    <cellStyle name="Comma 2 2 4 4 3 6" xfId="19477"/>
    <cellStyle name="Comma 4 4 4 3 6" xfId="19478"/>
    <cellStyle name="Normal 3 8 3 4 2 5" xfId="19479"/>
    <cellStyle name="Comma 2 4 4 3 6" xfId="19480"/>
    <cellStyle name="Comma 3 3 4 3 6" xfId="19481"/>
    <cellStyle name="Comma 2 2 3 4 3 6" xfId="19482"/>
    <cellStyle name="Comma 4 3 4 3 6" xfId="19483"/>
    <cellStyle name="Normal 7 2 4 2 5" xfId="19484"/>
    <cellStyle name="Comma 5 2 4 3 6" xfId="19485"/>
    <cellStyle name="20% - Accent1 3 2 4 2 5" xfId="19486"/>
    <cellStyle name="40% - Accent1 3 2 4 2 5" xfId="19487"/>
    <cellStyle name="60% - Accent1 3 2 4 2 5" xfId="19488"/>
    <cellStyle name="20% - Accent2 3 2 4 2 5" xfId="19489"/>
    <cellStyle name="40% - Accent2 3 2 4 2 5" xfId="19490"/>
    <cellStyle name="60% - Accent2 3 2 4 2 5" xfId="19491"/>
    <cellStyle name="20% - Accent3 3 2 4 2 5" xfId="19492"/>
    <cellStyle name="40% - Accent3 3 2 4 2 5" xfId="19493"/>
    <cellStyle name="60% - Accent3 3 2 4 2 5" xfId="19494"/>
    <cellStyle name="20% - Accent4 3 2 4 2 5" xfId="19495"/>
    <cellStyle name="40% - Accent4 3 2 4 2 5" xfId="19496"/>
    <cellStyle name="60% - Accent4 3 2 4 2 5" xfId="19497"/>
    <cellStyle name="20% - Accent5 3 2 4 2 5" xfId="19498"/>
    <cellStyle name="40% - Accent5 3 2 4 2 5" xfId="19499"/>
    <cellStyle name="60% - Accent5 3 2 4 2 5" xfId="19500"/>
    <cellStyle name="20% - Accent6 3 2 4 2 5" xfId="19501"/>
    <cellStyle name="40% - Accent6 3 2 4 2 5" xfId="19502"/>
    <cellStyle name="60% - Accent6 3 2 4 2 5" xfId="19503"/>
    <cellStyle name="Normal 3 2 3 2 4 2 5" xfId="19504"/>
    <cellStyle name="Normal 3 3 3 2 4 2 5" xfId="19505"/>
    <cellStyle name="Normal 3 4 3 2 4 2 5" xfId="19506"/>
    <cellStyle name="Normal 3 5 3 2 4 2 5" xfId="19507"/>
    <cellStyle name="Normal 3 2 2 2 2 4 2 5" xfId="19508"/>
    <cellStyle name="Normal 3 3 2 2 2 4 2 5" xfId="19509"/>
    <cellStyle name="Normal 3 4 2 2 2 4 2 5" xfId="19510"/>
    <cellStyle name="Normal 3 5 2 2 2 4 2 5" xfId="19511"/>
    <cellStyle name="Normal 5 2 2 4 2 5" xfId="19512"/>
    <cellStyle name="Percent 3 2 2 4 2 5" xfId="19513"/>
    <cellStyle name="Note 2 2 2 4 2 5" xfId="19514"/>
    <cellStyle name="Normal 3 6 2 2 4 2 5" xfId="19515"/>
    <cellStyle name="Comma 2 3 2 4 3 6" xfId="19516"/>
    <cellStyle name="Comma 3 2 2 4 3 6" xfId="19517"/>
    <cellStyle name="Percent 4 2 2 4 2 5" xfId="19518"/>
    <cellStyle name="Normal 3 7 2 2 4 2 5" xfId="19519"/>
    <cellStyle name="Note 3 2 2 4 2 5" xfId="19520"/>
    <cellStyle name="20% - Accent1 2 2 2 4 2 5" xfId="19521"/>
    <cellStyle name="40% - Accent1 2 2 2 4 2 5" xfId="19522"/>
    <cellStyle name="60% - Accent1 2 2 2 4 2 5" xfId="19523"/>
    <cellStyle name="20% - Accent2 2 2 2 4 2 5" xfId="19524"/>
    <cellStyle name="40% - Accent2 2 2 2 4 2 5" xfId="19525"/>
    <cellStyle name="60% - Accent2 2 2 2 4 2 5" xfId="19526"/>
    <cellStyle name="20% - Accent3 2 2 2 4 2 5" xfId="19527"/>
    <cellStyle name="40% - Accent3 2 2 2 4 2 5" xfId="19528"/>
    <cellStyle name="60% - Accent3 2 2 2 4 2 5" xfId="19529"/>
    <cellStyle name="20% - Accent4 2 2 2 4 2 5" xfId="19530"/>
    <cellStyle name="40% - Accent4 2 2 2 4 2 5" xfId="19531"/>
    <cellStyle name="60% - Accent4 2 2 2 4 2 5" xfId="19532"/>
    <cellStyle name="20% - Accent5 2 2 2 4 2 5" xfId="19533"/>
    <cellStyle name="40% - Accent5 2 2 2 4 2 5" xfId="19534"/>
    <cellStyle name="60% - Accent5 2 2 2 4 2 5" xfId="19535"/>
    <cellStyle name="20% - Accent6 2 2 2 4 2 5" xfId="19536"/>
    <cellStyle name="40% - Accent6 2 2 2 4 2 5" xfId="19537"/>
    <cellStyle name="60% - Accent6 2 2 2 4 2 5" xfId="19538"/>
    <cellStyle name="Comma 2 2 2 2 4 3 6" xfId="19539"/>
    <cellStyle name="Comma 4 2 2 4 3 6" xfId="19540"/>
    <cellStyle name="Normal 3 8 2 2 4 2 5" xfId="19541"/>
    <cellStyle name="Normal 3 10 4 2 5" xfId="19542"/>
    <cellStyle name="Normal 3 11 4 2 5" xfId="19543"/>
    <cellStyle name="Normal 12 2 5" xfId="19544"/>
    <cellStyle name="Percent 8 2 5" xfId="19545"/>
    <cellStyle name="Note 4 2 5" xfId="19546"/>
    <cellStyle name="20% - Accent1 8 2 5" xfId="19547"/>
    <cellStyle name="40% - Accent1 8 2 5" xfId="19548"/>
    <cellStyle name="60% - Accent1 8 2 5" xfId="19549"/>
    <cellStyle name="20% - Accent2 8 2 5" xfId="19550"/>
    <cellStyle name="40% - Accent2 8 2 5" xfId="19551"/>
    <cellStyle name="60% - Accent2 8 2 5" xfId="19552"/>
    <cellStyle name="20% - Accent3 8 2 5" xfId="19553"/>
    <cellStyle name="40% - Accent3 8 2 5" xfId="19554"/>
    <cellStyle name="60% - Accent3 8 2 5" xfId="19555"/>
    <cellStyle name="20% - Accent4 8 2 5" xfId="19556"/>
    <cellStyle name="40% - Accent4 8 2 5" xfId="19557"/>
    <cellStyle name="60% - Accent4 8 2 5" xfId="19558"/>
    <cellStyle name="20% - Accent5 8 2 5" xfId="19559"/>
    <cellStyle name="40% - Accent5 8 2 5" xfId="19560"/>
    <cellStyle name="60% - Accent5 8 2 5" xfId="19561"/>
    <cellStyle name="20% - Accent6 8 2 5" xfId="19562"/>
    <cellStyle name="40% - Accent6 8 2 5" xfId="19563"/>
    <cellStyle name="60% - Accent6 8 2 5" xfId="19564"/>
    <cellStyle name="Comma 2 9 3 6" xfId="19565"/>
    <cellStyle name="Comma 7 3 6" xfId="19566"/>
    <cellStyle name="Normal 13 4 5" xfId="19567"/>
    <cellStyle name="Comma 8 2 6" xfId="19568"/>
    <cellStyle name="20% - Accent1 9 2 5" xfId="19569"/>
    <cellStyle name="40% - Accent1 9 2 5" xfId="19570"/>
    <cellStyle name="60% - Accent1 9 2 5" xfId="19571"/>
    <cellStyle name="20% - Accent2 9 2 5" xfId="19572"/>
    <cellStyle name="40% - Accent2 9 2 5" xfId="19573"/>
    <cellStyle name="60% - Accent2 9 2 5" xfId="19574"/>
    <cellStyle name="20% - Accent3 9 2 5" xfId="19575"/>
    <cellStyle name="40% - Accent3 9 2 5" xfId="19576"/>
    <cellStyle name="60% - Accent3 9 2 5" xfId="19577"/>
    <cellStyle name="20% - Accent4 9 2 5" xfId="19578"/>
    <cellStyle name="40% - Accent4 9 2 5" xfId="19579"/>
    <cellStyle name="60% - Accent4 9 2 5" xfId="19580"/>
    <cellStyle name="20% - Accent5 9 2 5" xfId="19581"/>
    <cellStyle name="40% - Accent5 9 2 5" xfId="19582"/>
    <cellStyle name="60% - Accent5 9 2 5" xfId="19583"/>
    <cellStyle name="20% - Accent6 9 2 5" xfId="19584"/>
    <cellStyle name="40% - Accent6 9 2 5" xfId="19585"/>
    <cellStyle name="60% - Accent6 9 2 5" xfId="19586"/>
    <cellStyle name="Normal 3 2 8 2 5" xfId="19587"/>
    <cellStyle name="Normal 3 3 8 2 5" xfId="19588"/>
    <cellStyle name="Normal 3 4 8 2 5" xfId="19589"/>
    <cellStyle name="Normal 3 5 8 2 5" xfId="19590"/>
    <cellStyle name="Normal 3 2 2 7 2 5" xfId="19591"/>
    <cellStyle name="Normal 3 3 2 7 2 5" xfId="19592"/>
    <cellStyle name="Normal 3 4 2 7 2 5" xfId="19593"/>
    <cellStyle name="Normal 3 5 2 7 2 5" xfId="19594"/>
    <cellStyle name="Normal 5 7 2 5" xfId="19595"/>
    <cellStyle name="Percent 3 7 2 5" xfId="19596"/>
    <cellStyle name="Note 2 7 2 5" xfId="19597"/>
    <cellStyle name="Normal 3 6 7 2 5" xfId="19598"/>
    <cellStyle name="Comma 2 10 2 6" xfId="19599"/>
    <cellStyle name="Comma 3 9 2 6" xfId="19600"/>
    <cellStyle name="Percent 4 7 2 5" xfId="19601"/>
    <cellStyle name="Normal 3 7 7 2 5" xfId="19602"/>
    <cellStyle name="Note 3 7 2 5" xfId="19603"/>
    <cellStyle name="20% - Accent1 2 7 2 5" xfId="19604"/>
    <cellStyle name="40% - Accent1 2 7 2 5" xfId="19605"/>
    <cellStyle name="60% - Accent1 2 7 2 5" xfId="19606"/>
    <cellStyle name="20% - Accent2 2 7 2 5" xfId="19607"/>
    <cellStyle name="40% - Accent2 2 7 2 5" xfId="19608"/>
    <cellStyle name="60% - Accent2 2 7 2 5" xfId="19609"/>
    <cellStyle name="20% - Accent3 2 7 2 5" xfId="19610"/>
    <cellStyle name="40% - Accent3 2 7 2 5" xfId="19611"/>
    <cellStyle name="60% - Accent3 2 7 2 5" xfId="19612"/>
    <cellStyle name="20% - Accent4 2 7 2 5" xfId="19613"/>
    <cellStyle name="40% - Accent4 2 7 2 5" xfId="19614"/>
    <cellStyle name="60% - Accent4 2 7 2 5" xfId="19615"/>
    <cellStyle name="20% - Accent5 2 7 2 5" xfId="19616"/>
    <cellStyle name="40% - Accent5 2 7 2 5" xfId="19617"/>
    <cellStyle name="60% - Accent5 2 7 2 5" xfId="19618"/>
    <cellStyle name="20% - Accent6 2 7 2 5" xfId="19619"/>
    <cellStyle name="40% - Accent6 2 7 2 5" xfId="19620"/>
    <cellStyle name="60% - Accent6 2 7 2 5" xfId="19621"/>
    <cellStyle name="Comma 2 2 8 2 6" xfId="19622"/>
    <cellStyle name="Comma 4 8 2 6" xfId="19623"/>
    <cellStyle name="Normal 3 8 7 2 5" xfId="19624"/>
    <cellStyle name="Comma 2 4 5 2 6" xfId="19625"/>
    <cellStyle name="Comma 3 3 5 2 6" xfId="19626"/>
    <cellStyle name="Comma 2 2 3 5 2 6" xfId="19627"/>
    <cellStyle name="Comma 4 3 5 2 6" xfId="19628"/>
    <cellStyle name="Normal 7 6 2 5" xfId="19629"/>
    <cellStyle name="Comma 5 6 2 6" xfId="19630"/>
    <cellStyle name="20% - Accent1 3 6 2 5" xfId="19631"/>
    <cellStyle name="40% - Accent1 3 6 2 5" xfId="19632"/>
    <cellStyle name="60% - Accent1 3 6 2 5" xfId="19633"/>
    <cellStyle name="20% - Accent2 3 6 2 5" xfId="19634"/>
    <cellStyle name="40% - Accent2 3 6 2 5" xfId="19635"/>
    <cellStyle name="60% - Accent2 3 6 2 5" xfId="19636"/>
    <cellStyle name="20% - Accent3 3 6 2 5" xfId="19637"/>
    <cellStyle name="40% - Accent3 3 6 2 5" xfId="19638"/>
    <cellStyle name="60% - Accent3 3 6 2 5" xfId="19639"/>
    <cellStyle name="20% - Accent4 3 6 2 5" xfId="19640"/>
    <cellStyle name="40% - Accent4 3 6 2 5" xfId="19641"/>
    <cellStyle name="60% - Accent4 3 6 2 5" xfId="19642"/>
    <cellStyle name="20% - Accent5 3 6 2 5" xfId="19643"/>
    <cellStyle name="40% - Accent5 3 6 2 5" xfId="19644"/>
    <cellStyle name="60% - Accent5 3 6 2 5" xfId="19645"/>
    <cellStyle name="20% - Accent6 3 6 2 5" xfId="19646"/>
    <cellStyle name="40% - Accent6 3 6 2 5" xfId="19647"/>
    <cellStyle name="60% - Accent6 3 6 2 5" xfId="19648"/>
    <cellStyle name="Normal 3 2 3 6 2 5" xfId="19649"/>
    <cellStyle name="Normal 3 3 3 6 2 5" xfId="19650"/>
    <cellStyle name="Normal 3 4 3 6 2 5" xfId="19651"/>
    <cellStyle name="Normal 3 5 3 6 2 5" xfId="19652"/>
    <cellStyle name="Normal 3 2 2 2 6 2 5" xfId="19653"/>
    <cellStyle name="Normal 3 3 2 2 6 2 5" xfId="19654"/>
    <cellStyle name="Normal 3 4 2 2 6 2 5" xfId="19655"/>
    <cellStyle name="Normal 3 5 2 2 6 2 5" xfId="19656"/>
    <cellStyle name="Normal 5 2 6 2 5" xfId="19657"/>
    <cellStyle name="Percent 3 2 6 2 5" xfId="19658"/>
    <cellStyle name="Note 2 2 6 2 5" xfId="19659"/>
    <cellStyle name="Normal 3 6 2 6 2 5" xfId="19660"/>
    <cellStyle name="Comma 2 3 6 2 6" xfId="19661"/>
    <cellStyle name="Comma 3 2 6 2 6" xfId="19662"/>
    <cellStyle name="Percent 4 2 6 2 5" xfId="19663"/>
    <cellStyle name="Normal 3 7 2 6 2 5" xfId="19664"/>
    <cellStyle name="Note 3 2 6 2 5" xfId="19665"/>
    <cellStyle name="20% - Accent1 2 2 6 2 5" xfId="19666"/>
    <cellStyle name="40% - Accent1 2 2 6 2 5" xfId="19667"/>
    <cellStyle name="60% - Accent1 2 2 6 2 5" xfId="19668"/>
    <cellStyle name="20% - Accent2 2 2 6 2 5" xfId="19669"/>
    <cellStyle name="40% - Accent2 2 2 6 2 5" xfId="19670"/>
    <cellStyle name="60% - Accent2 2 2 6 2 5" xfId="19671"/>
    <cellStyle name="20% - Accent3 2 2 6 2 5" xfId="19672"/>
    <cellStyle name="40% - Accent3 2 2 6 2 5" xfId="19673"/>
    <cellStyle name="60% - Accent3 2 2 6 2 5" xfId="19674"/>
    <cellStyle name="20% - Accent4 2 2 6 2 5" xfId="19675"/>
    <cellStyle name="40% - Accent4 2 2 6 2 5" xfId="19676"/>
    <cellStyle name="60% - Accent4 2 2 6 2 5" xfId="19677"/>
    <cellStyle name="20% - Accent5 2 2 6 2 5" xfId="19678"/>
    <cellStyle name="40% - Accent5 2 2 6 2 5" xfId="19679"/>
    <cellStyle name="60% - Accent5 2 2 6 2 5" xfId="19680"/>
    <cellStyle name="20% - Accent6 2 2 6 2 5" xfId="19681"/>
    <cellStyle name="40% - Accent6 2 2 6 2 5" xfId="19682"/>
    <cellStyle name="60% - Accent6 2 2 6 2 5" xfId="19683"/>
    <cellStyle name="Comma 2 2 2 6 2 6" xfId="19684"/>
    <cellStyle name="Comma 4 2 6 2 6" xfId="19685"/>
    <cellStyle name="Normal 3 8 2 6 2 5" xfId="19686"/>
    <cellStyle name="Comma 2 11 6" xfId="19687"/>
    <cellStyle name="Comma 3 10 6" xfId="19688"/>
    <cellStyle name="Comma 2 2 9 6" xfId="19689"/>
    <cellStyle name="Comma 4 9 6" xfId="19690"/>
    <cellStyle name="Comma 5 7 6" xfId="19691"/>
    <cellStyle name="Comma 2 3 7 6" xfId="19692"/>
    <cellStyle name="Comma 3 2 7 6" xfId="19693"/>
    <cellStyle name="Comma 2 2 2 7 6" xfId="19694"/>
    <cellStyle name="Comma 4 2 7 6" xfId="19695"/>
    <cellStyle name="Comma 6 5 6" xfId="19696"/>
    <cellStyle name="Comma 2 5 5 6" xfId="19697"/>
    <cellStyle name="Comma 3 4 5 6" xfId="19698"/>
    <cellStyle name="Comma 2 2 4 5 6" xfId="19699"/>
    <cellStyle name="Comma 4 4 5 6" xfId="19700"/>
    <cellStyle name="Comma 2 4 6 6" xfId="19701"/>
    <cellStyle name="Comma 3 3 6 6" xfId="19702"/>
    <cellStyle name="Comma 2 2 3 6 6" xfId="19703"/>
    <cellStyle name="Comma 4 3 6 6" xfId="19704"/>
    <cellStyle name="Comma 5 2 5 6" xfId="19705"/>
    <cellStyle name="Comma 2 3 2 5 6" xfId="19706"/>
    <cellStyle name="Comma 3 2 2 5 6" xfId="19707"/>
    <cellStyle name="Comma 2 2 2 2 5 6" xfId="19708"/>
    <cellStyle name="Comma 4 2 2 5 6" xfId="19709"/>
    <cellStyle name="Comma 2 6 3 6" xfId="19710"/>
    <cellStyle name="Comma 3 5 3 6" xfId="19711"/>
    <cellStyle name="Comma 2 2 5 3 6" xfId="19712"/>
    <cellStyle name="Comma 4 5 3 6" xfId="19713"/>
    <cellStyle name="Comma 5 3 3 6" xfId="19714"/>
    <cellStyle name="Comma 2 3 3 3 6" xfId="19715"/>
    <cellStyle name="Comma 3 2 3 3 6" xfId="19716"/>
    <cellStyle name="Comma 2 2 2 3 3 6" xfId="19717"/>
    <cellStyle name="Comma 4 2 3 3 6" xfId="19718"/>
    <cellStyle name="Comma 6 2 3 6" xfId="19719"/>
    <cellStyle name="Comma 2 5 2 3 6" xfId="19720"/>
    <cellStyle name="Comma 3 4 2 3 6" xfId="19721"/>
    <cellStyle name="Comma 2 2 4 2 3 6" xfId="19722"/>
    <cellStyle name="Comma 4 4 2 3 6" xfId="19723"/>
    <cellStyle name="Comma 2 4 2 3 6" xfId="19724"/>
    <cellStyle name="Comma 3 3 2 3 6" xfId="19725"/>
    <cellStyle name="Comma 2 2 3 2 3 6" xfId="19726"/>
    <cellStyle name="Comma 4 3 2 3 6" xfId="19727"/>
    <cellStyle name="Comma 5 2 2 3 6" xfId="19728"/>
    <cellStyle name="Comma 2 3 2 2 3 6" xfId="19729"/>
    <cellStyle name="Comma 3 2 2 2 3 6" xfId="19730"/>
    <cellStyle name="Comma 2 2 2 2 2 3 6" xfId="19731"/>
    <cellStyle name="Comma 4 2 2 2 3 6" xfId="19732"/>
    <cellStyle name="Comma 2 7 2 6" xfId="19733"/>
    <cellStyle name="Comma 3 7 2 6" xfId="19734"/>
    <cellStyle name="Comma 2 2 6 2 6" xfId="19735"/>
    <cellStyle name="Comma 4 6 2 6" xfId="19736"/>
    <cellStyle name="Comma 5 4 2 6" xfId="19737"/>
    <cellStyle name="Comma 2 3 4 2 6" xfId="19738"/>
    <cellStyle name="Comma 3 2 4 2 6" xfId="19739"/>
    <cellStyle name="Comma 2 2 2 4 2 6" xfId="19740"/>
    <cellStyle name="Comma 4 2 4 2 6" xfId="19741"/>
    <cellStyle name="Comma 6 3 2 6" xfId="19742"/>
    <cellStyle name="Comma 2 5 3 2 6" xfId="19743"/>
    <cellStyle name="Comma 3 4 3 2 6" xfId="19744"/>
    <cellStyle name="Comma 2 2 4 3 2 6" xfId="19745"/>
    <cellStyle name="Comma 4 4 3 2 6" xfId="19746"/>
    <cellStyle name="Comma 2 4 3 2 6" xfId="19747"/>
    <cellStyle name="Comma 3 3 3 2 6" xfId="19748"/>
    <cellStyle name="Comma 2 2 3 3 2 6" xfId="19749"/>
    <cellStyle name="Comma 4 3 3 2 6" xfId="19750"/>
    <cellStyle name="Comma 5 2 3 2 6" xfId="19751"/>
    <cellStyle name="Comma 2 3 2 3 2 6" xfId="19752"/>
    <cellStyle name="Comma 3 2 2 3 2 6" xfId="19753"/>
    <cellStyle name="Comma 2 2 2 2 3 2 6" xfId="19754"/>
    <cellStyle name="Comma 4 2 2 3 2 6" xfId="19755"/>
    <cellStyle name="Comma 3 6 2 6" xfId="19756"/>
    <cellStyle name="Comma 2 6 2 2 6" xfId="19757"/>
    <cellStyle name="Comma 3 5 2 2 6" xfId="19758"/>
    <cellStyle name="Comma 2 2 5 2 2 6" xfId="19759"/>
    <cellStyle name="Comma 4 5 2 2 6" xfId="19760"/>
    <cellStyle name="Comma 5 3 2 2 6" xfId="19761"/>
    <cellStyle name="Comma 2 3 3 2 2 6" xfId="19762"/>
    <cellStyle name="Comma 3 2 3 2 2 6" xfId="19763"/>
    <cellStyle name="Comma 2 2 2 3 2 2 6" xfId="19764"/>
    <cellStyle name="Comma 4 2 3 2 2 6" xfId="19765"/>
    <cellStyle name="Comma 6 2 2 2 6" xfId="19766"/>
    <cellStyle name="Comma 2 5 2 2 2 6" xfId="19767"/>
    <cellStyle name="Comma 3 4 2 2 2 6" xfId="19768"/>
    <cellStyle name="Comma 2 2 4 2 2 2 6" xfId="19769"/>
    <cellStyle name="Comma 4 4 2 2 2 6" xfId="19770"/>
    <cellStyle name="Comma 2 4 2 2 2 6" xfId="19771"/>
    <cellStyle name="Comma 3 3 2 2 2 6" xfId="19772"/>
    <cellStyle name="Comma 2 2 3 2 2 2 6" xfId="19773"/>
    <cellStyle name="Comma 4 3 2 2 2 6" xfId="19774"/>
    <cellStyle name="Comma 5 2 2 2 2 6" xfId="19775"/>
    <cellStyle name="Comma 2 3 2 2 2 2 6" xfId="19776"/>
    <cellStyle name="Comma 3 2 2 2 2 2 6" xfId="19777"/>
    <cellStyle name="Comma 2 2 2 2 2 2 2 6" xfId="19778"/>
    <cellStyle name="Comma 4 2 2 2 2 2 6" xfId="19779"/>
    <cellStyle name="Comma 2 8 2 6" xfId="19780"/>
    <cellStyle name="Comma 3 8 2 6" xfId="19781"/>
    <cellStyle name="Comma 2 2 7 2 6" xfId="19782"/>
    <cellStyle name="Comma 4 7 2 6" xfId="19783"/>
    <cellStyle name="Comma 5 5 2 6" xfId="19784"/>
    <cellStyle name="Comma 2 3 5 2 6" xfId="19785"/>
    <cellStyle name="Comma 3 2 5 2 6" xfId="19786"/>
    <cellStyle name="Comma 2 2 2 5 2 6" xfId="19787"/>
    <cellStyle name="Comma 4 2 5 2 6" xfId="19788"/>
    <cellStyle name="Comma 6 4 2 6" xfId="19789"/>
    <cellStyle name="Comma 2 5 4 2 6" xfId="19790"/>
    <cellStyle name="Comma 3 4 4 2 6" xfId="19791"/>
    <cellStyle name="Comma 2 2 4 4 2 6" xfId="19792"/>
    <cellStyle name="Comma 4 4 4 2 6" xfId="19793"/>
    <cellStyle name="Comma 2 4 4 2 6" xfId="19794"/>
    <cellStyle name="Comma 3 3 4 2 6" xfId="19795"/>
    <cellStyle name="Comma 2 2 3 4 2 6" xfId="19796"/>
    <cellStyle name="Comma 4 3 4 2 6" xfId="19797"/>
    <cellStyle name="Comma 5 2 4 2 6" xfId="19798"/>
    <cellStyle name="Comma 2 3 2 4 2 6" xfId="19799"/>
    <cellStyle name="Comma 3 2 2 4 2 6" xfId="19800"/>
    <cellStyle name="Comma 2 2 2 2 4 2 6" xfId="19801"/>
    <cellStyle name="Comma 4 2 2 4 2 6" xfId="19802"/>
    <cellStyle name="Comma 2 9 2 6" xfId="19803"/>
    <cellStyle name="Comma 7 2 6" xfId="19804"/>
    <cellStyle name="Normal 13 2 5" xfId="19805"/>
    <cellStyle name="Normal 6 3 5" xfId="19806"/>
    <cellStyle name="Percent 5 3 5" xfId="19807"/>
    <cellStyle name="Normal 15 3" xfId="19808"/>
    <cellStyle name="20% - Accent1 11 3" xfId="19809"/>
    <cellStyle name="40% - Accent1 11 3" xfId="19810"/>
    <cellStyle name="60% - Accent1 11 3" xfId="19811"/>
    <cellStyle name="20% - Accent2 11 3" xfId="19812"/>
    <cellStyle name="40% - Accent2 11 3" xfId="19813"/>
    <cellStyle name="60% - Accent2 11 3" xfId="19814"/>
    <cellStyle name="20% - Accent3 11 3" xfId="19815"/>
    <cellStyle name="40% - Accent3 11 3" xfId="19816"/>
    <cellStyle name="60% - Accent3 11 3" xfId="19817"/>
    <cellStyle name="20% - Accent4 11 3" xfId="19818"/>
    <cellStyle name="40% - Accent4 11 3" xfId="19819"/>
    <cellStyle name="60% - Accent4 11 3" xfId="19820"/>
    <cellStyle name="20% - Accent5 11 3" xfId="19821"/>
    <cellStyle name="40% - Accent5 11 3" xfId="19822"/>
    <cellStyle name="60% - Accent5 11 3" xfId="19823"/>
    <cellStyle name="20% - Accent6 11 3" xfId="19824"/>
    <cellStyle name="40% - Accent6 11 3" xfId="19825"/>
    <cellStyle name="60% - Accent6 11 3" xfId="19826"/>
    <cellStyle name="Normal 3 2 10 3" xfId="19827"/>
    <cellStyle name="Normal 3 3 10 3" xfId="19828"/>
    <cellStyle name="Normal 3 4 10 3" xfId="19829"/>
    <cellStyle name="Normal 3 5 10 3" xfId="19830"/>
    <cellStyle name="Normal 3 2 2 9 3" xfId="19831"/>
    <cellStyle name="Normal 3 3 2 9 3" xfId="19832"/>
    <cellStyle name="Normal 3 4 2 9 3" xfId="19833"/>
    <cellStyle name="Normal 3 5 2 9 3" xfId="19834"/>
    <cellStyle name="Normal 5 9 3" xfId="19835"/>
    <cellStyle name="Percent 3 9 3" xfId="19836"/>
    <cellStyle name="Note 2 9 3" xfId="19837"/>
    <cellStyle name="Normal 3 6 9 3" xfId="19838"/>
    <cellStyle name="Comma 2 13 3" xfId="19839"/>
    <cellStyle name="Comma 3 12 3" xfId="19840"/>
    <cellStyle name="Percent 4 9 3" xfId="19841"/>
    <cellStyle name="Normal 3 7 9 3" xfId="19842"/>
    <cellStyle name="Note 3 9 3" xfId="19843"/>
    <cellStyle name="20% - Accent1 2 9 3" xfId="19844"/>
    <cellStyle name="40% - Accent1 2 9 3" xfId="19845"/>
    <cellStyle name="60% - Accent1 2 9 3" xfId="19846"/>
    <cellStyle name="20% - Accent2 2 9 3" xfId="19847"/>
    <cellStyle name="40% - Accent2 2 9 3" xfId="19848"/>
    <cellStyle name="60% - Accent2 2 9 3" xfId="19849"/>
    <cellStyle name="20% - Accent3 2 9 3" xfId="19850"/>
    <cellStyle name="40% - Accent3 2 9 3" xfId="19851"/>
    <cellStyle name="60% - Accent3 2 9 3" xfId="19852"/>
    <cellStyle name="20% - Accent4 2 9 3" xfId="19853"/>
    <cellStyle name="40% - Accent4 2 9 3" xfId="19854"/>
    <cellStyle name="60% - Accent4 2 9 3" xfId="19855"/>
    <cellStyle name="20% - Accent5 2 9 3" xfId="19856"/>
    <cellStyle name="40% - Accent5 2 9 3" xfId="19857"/>
    <cellStyle name="60% - Accent5 2 9 3" xfId="19858"/>
    <cellStyle name="20% - Accent6 2 9 3" xfId="19859"/>
    <cellStyle name="40% - Accent6 2 9 3" xfId="19860"/>
    <cellStyle name="60% - Accent6 2 9 3" xfId="19861"/>
    <cellStyle name="Comma 2 2 11 3" xfId="19862"/>
    <cellStyle name="Comma 4 11 3" xfId="19863"/>
    <cellStyle name="Normal 3 8 9 3" xfId="19864"/>
    <cellStyle name="Normal 7 8 3" xfId="19865"/>
    <cellStyle name="Comma 5 9 3" xfId="19866"/>
    <cellStyle name="20% - Accent1 3 8 3" xfId="19867"/>
    <cellStyle name="40% - Accent1 3 8 3" xfId="19868"/>
    <cellStyle name="60% - Accent1 3 8 3" xfId="19869"/>
    <cellStyle name="20% - Accent2 3 8 3" xfId="19870"/>
    <cellStyle name="40% - Accent2 3 8 3" xfId="19871"/>
    <cellStyle name="60% - Accent2 3 8 3" xfId="19872"/>
    <cellStyle name="20% - Accent3 3 8 3" xfId="19873"/>
    <cellStyle name="40% - Accent3 3 8 3" xfId="19874"/>
    <cellStyle name="60% - Accent3 3 8 3" xfId="19875"/>
    <cellStyle name="20% - Accent4 3 8 3" xfId="19876"/>
    <cellStyle name="40% - Accent4 3 8 3" xfId="19877"/>
    <cellStyle name="60% - Accent4 3 8 3" xfId="19878"/>
    <cellStyle name="20% - Accent5 3 8 3" xfId="19879"/>
    <cellStyle name="40% - Accent5 3 8 3" xfId="19880"/>
    <cellStyle name="60% - Accent5 3 8 3" xfId="19881"/>
    <cellStyle name="20% - Accent6 3 8 3" xfId="19882"/>
    <cellStyle name="40% - Accent6 3 8 3" xfId="19883"/>
    <cellStyle name="60% - Accent6 3 8 3" xfId="19884"/>
    <cellStyle name="Normal 3 2 3 8 3" xfId="19885"/>
    <cellStyle name="Normal 3 3 3 8 3" xfId="19886"/>
    <cellStyle name="Normal 3 4 3 8 3" xfId="19887"/>
    <cellStyle name="Normal 3 5 3 8 3" xfId="19888"/>
    <cellStyle name="Normal 3 2 2 2 8 3" xfId="19889"/>
    <cellStyle name="Normal 3 3 2 2 8 3" xfId="19890"/>
    <cellStyle name="Normal 3 4 2 2 8 3" xfId="19891"/>
    <cellStyle name="Normal 3 5 2 2 8 3" xfId="19892"/>
    <cellStyle name="Normal 5 2 8 3" xfId="19893"/>
    <cellStyle name="Percent 3 2 8 3" xfId="19894"/>
    <cellStyle name="Note 2 2 8 3" xfId="19895"/>
    <cellStyle name="Normal 3 6 2 8 3" xfId="19896"/>
    <cellStyle name="Comma 2 3 9 3" xfId="19897"/>
    <cellStyle name="Comma 3 2 9 3" xfId="19898"/>
    <cellStyle name="Percent 4 2 8 3" xfId="19899"/>
    <cellStyle name="Normal 3 7 2 8 3" xfId="19900"/>
    <cellStyle name="Note 3 2 8 3" xfId="19901"/>
    <cellStyle name="20% - Accent1 2 2 8 3" xfId="19902"/>
    <cellStyle name="40% - Accent1 2 2 8 3" xfId="19903"/>
    <cellStyle name="60% - Accent1 2 2 8 3" xfId="19904"/>
    <cellStyle name="20% - Accent2 2 2 8 3" xfId="19905"/>
    <cellStyle name="40% - Accent2 2 2 8 3" xfId="19906"/>
    <cellStyle name="60% - Accent2 2 2 8 3" xfId="19907"/>
    <cellStyle name="20% - Accent3 2 2 8 3" xfId="19908"/>
    <cellStyle name="40% - Accent3 2 2 8 3" xfId="19909"/>
    <cellStyle name="60% - Accent3 2 2 8 3" xfId="19910"/>
    <cellStyle name="20% - Accent4 2 2 8 3" xfId="19911"/>
    <cellStyle name="40% - Accent4 2 2 8 3" xfId="19912"/>
    <cellStyle name="60% - Accent4 2 2 8 3" xfId="19913"/>
    <cellStyle name="20% - Accent5 2 2 8 3" xfId="19914"/>
    <cellStyle name="40% - Accent5 2 2 8 3" xfId="19915"/>
    <cellStyle name="60% - Accent5 2 2 8 3" xfId="19916"/>
    <cellStyle name="20% - Accent6 2 2 8 3" xfId="19917"/>
    <cellStyle name="40% - Accent6 2 2 8 3" xfId="19918"/>
    <cellStyle name="60% - Accent6 2 2 8 3" xfId="19919"/>
    <cellStyle name="Comma 2 2 2 9 3" xfId="19920"/>
    <cellStyle name="Comma 4 2 9 3" xfId="19921"/>
    <cellStyle name="Normal 3 8 2 8 3" xfId="19922"/>
    <cellStyle name="Normal 8 6 3" xfId="19923"/>
    <cellStyle name="Comma 6 7 3" xfId="19924"/>
    <cellStyle name="20% - Accent1 4 6 3" xfId="19925"/>
    <cellStyle name="40% - Accent1 4 6 3" xfId="19926"/>
    <cellStyle name="60% - Accent1 4 6 3" xfId="19927"/>
    <cellStyle name="20% - Accent2 4 6 3" xfId="19928"/>
    <cellStyle name="40% - Accent2 4 6 3" xfId="19929"/>
    <cellStyle name="60% - Accent2 4 6 3" xfId="19930"/>
    <cellStyle name="20% - Accent3 4 6 3" xfId="19931"/>
    <cellStyle name="40% - Accent3 4 6 3" xfId="19932"/>
    <cellStyle name="60% - Accent3 4 6 3" xfId="19933"/>
    <cellStyle name="20% - Accent4 4 6 3" xfId="19934"/>
    <cellStyle name="40% - Accent4 4 6 3" xfId="19935"/>
    <cellStyle name="60% - Accent4 4 6 3" xfId="19936"/>
    <cellStyle name="20% - Accent5 4 6 3" xfId="19937"/>
    <cellStyle name="40% - Accent5 4 6 3" xfId="19938"/>
    <cellStyle name="60% - Accent5 4 6 3" xfId="19939"/>
    <cellStyle name="20% - Accent6 4 6 3" xfId="19940"/>
    <cellStyle name="40% - Accent6 4 6 3" xfId="19941"/>
    <cellStyle name="60% - Accent6 4 6 3" xfId="19942"/>
    <cellStyle name="Normal 3 2 4 6 3" xfId="19943"/>
    <cellStyle name="Normal 3 3 4 6 3" xfId="19944"/>
    <cellStyle name="Normal 3 4 4 6 3" xfId="19945"/>
    <cellStyle name="Normal 3 5 4 6 3" xfId="19946"/>
    <cellStyle name="Normal 3 2 2 3 6 3" xfId="19947"/>
    <cellStyle name="Normal 3 3 2 3 6 3" xfId="19948"/>
    <cellStyle name="Normal 3 4 2 3 6 3" xfId="19949"/>
    <cellStyle name="Normal 3 5 2 3 6 3" xfId="19950"/>
    <cellStyle name="Normal 5 3 6 3" xfId="19951"/>
    <cellStyle name="Percent 3 3 6 3" xfId="19952"/>
    <cellStyle name="Note 2 3 6 3" xfId="19953"/>
    <cellStyle name="Normal 3 6 3 6 3" xfId="19954"/>
    <cellStyle name="Comma 2 5 7 3" xfId="19955"/>
    <cellStyle name="Comma 3 4 7 3" xfId="19956"/>
    <cellStyle name="Percent 4 3 6 3" xfId="19957"/>
    <cellStyle name="Normal 3 7 3 6 3" xfId="19958"/>
    <cellStyle name="Note 3 3 6 3" xfId="19959"/>
    <cellStyle name="20% - Accent1 2 3 6 3" xfId="19960"/>
    <cellStyle name="40% - Accent1 2 3 6 3" xfId="19961"/>
    <cellStyle name="60% - Accent1 2 3 6 3" xfId="19962"/>
    <cellStyle name="20% - Accent2 2 3 6 3" xfId="19963"/>
    <cellStyle name="40% - Accent2 2 3 6 3" xfId="19964"/>
    <cellStyle name="60% - Accent2 2 3 6 3" xfId="19965"/>
    <cellStyle name="20% - Accent3 2 3 6 3" xfId="19966"/>
    <cellStyle name="40% - Accent3 2 3 6 3" xfId="19967"/>
    <cellStyle name="60% - Accent3 2 3 6 3" xfId="19968"/>
    <cellStyle name="20% - Accent4 2 3 6 3" xfId="19969"/>
    <cellStyle name="40% - Accent4 2 3 6 3" xfId="19970"/>
    <cellStyle name="60% - Accent4 2 3 6 3" xfId="19971"/>
    <cellStyle name="20% - Accent5 2 3 6 3" xfId="19972"/>
    <cellStyle name="40% - Accent5 2 3 6 3" xfId="19973"/>
    <cellStyle name="60% - Accent5 2 3 6 3" xfId="19974"/>
    <cellStyle name="20% - Accent6 2 3 6 3" xfId="19975"/>
    <cellStyle name="40% - Accent6 2 3 6 3" xfId="19976"/>
    <cellStyle name="60% - Accent6 2 3 6 3" xfId="19977"/>
    <cellStyle name="Comma 2 2 4 7 3" xfId="19978"/>
    <cellStyle name="Comma 4 4 7 3" xfId="19979"/>
    <cellStyle name="Normal 3 8 3 6 3" xfId="19980"/>
    <cellStyle name="Comma 2 4 8 3" xfId="19981"/>
    <cellStyle name="Comma 3 3 8 3" xfId="19982"/>
    <cellStyle name="Comma 2 2 3 8 3" xfId="19983"/>
    <cellStyle name="Comma 4 3 8 3" xfId="19984"/>
    <cellStyle name="Normal 7 2 6 3" xfId="19985"/>
    <cellStyle name="Comma 5 2 7 3" xfId="19986"/>
    <cellStyle name="20% - Accent1 3 2 6 3" xfId="19987"/>
    <cellStyle name="40% - Accent1 3 2 6 3" xfId="19988"/>
    <cellStyle name="60% - Accent1 3 2 6 3" xfId="19989"/>
    <cellStyle name="20% - Accent2 3 2 6 3" xfId="19990"/>
    <cellStyle name="40% - Accent2 3 2 6 3" xfId="19991"/>
    <cellStyle name="60% - Accent2 3 2 6 3" xfId="19992"/>
    <cellStyle name="20% - Accent3 3 2 6 3" xfId="19993"/>
    <cellStyle name="40% - Accent3 3 2 6 3" xfId="19994"/>
    <cellStyle name="60% - Accent3 3 2 6 3" xfId="19995"/>
    <cellStyle name="20% - Accent4 3 2 6 3" xfId="19996"/>
    <cellStyle name="40% - Accent4 3 2 6 3" xfId="19997"/>
    <cellStyle name="60% - Accent4 3 2 6 3" xfId="19998"/>
    <cellStyle name="20% - Accent5 3 2 6 3" xfId="19999"/>
    <cellStyle name="40% - Accent5 3 2 6 3" xfId="20000"/>
    <cellStyle name="60% - Accent5 3 2 6 3" xfId="20001"/>
    <cellStyle name="20% - Accent6 3 2 6 3" xfId="20002"/>
    <cellStyle name="40% - Accent6 3 2 6 3" xfId="20003"/>
    <cellStyle name="60% - Accent6 3 2 6 3" xfId="20004"/>
    <cellStyle name="Normal 3 2 3 2 6 3" xfId="20005"/>
    <cellStyle name="Normal 3 3 3 2 6 3" xfId="20006"/>
    <cellStyle name="Normal 3 4 3 2 6 3" xfId="20007"/>
    <cellStyle name="Normal 3 5 3 2 6 3" xfId="20008"/>
    <cellStyle name="Normal 3 2 2 2 2 6 3" xfId="20009"/>
    <cellStyle name="Normal 3 3 2 2 2 6 3" xfId="20010"/>
    <cellStyle name="Normal 3 4 2 2 2 6 3" xfId="20011"/>
    <cellStyle name="Normal 3 5 2 2 2 6 3" xfId="20012"/>
    <cellStyle name="Normal 5 2 2 6 3" xfId="20013"/>
    <cellStyle name="Percent 3 2 2 6 3" xfId="20014"/>
    <cellStyle name="Note 2 2 2 6 3" xfId="20015"/>
    <cellStyle name="Normal 3 6 2 2 6 3" xfId="20016"/>
    <cellStyle name="Comma 2 3 2 7 3" xfId="20017"/>
    <cellStyle name="Comma 3 2 2 7 3" xfId="20018"/>
    <cellStyle name="Percent 4 2 2 6 3" xfId="20019"/>
    <cellStyle name="Normal 3 7 2 2 6 3" xfId="20020"/>
    <cellStyle name="Note 3 2 2 6 3" xfId="20021"/>
    <cellStyle name="20% - Accent1 2 2 2 6 3" xfId="20022"/>
    <cellStyle name="40% - Accent1 2 2 2 6 3" xfId="20023"/>
    <cellStyle name="60% - Accent1 2 2 2 6 3" xfId="20024"/>
    <cellStyle name="20% - Accent2 2 2 2 6 3" xfId="20025"/>
    <cellStyle name="40% - Accent2 2 2 2 6 3" xfId="20026"/>
    <cellStyle name="60% - Accent2 2 2 2 6 3" xfId="20027"/>
    <cellStyle name="20% - Accent3 2 2 2 6 3" xfId="20028"/>
    <cellStyle name="40% - Accent3 2 2 2 6 3" xfId="20029"/>
    <cellStyle name="60% - Accent3 2 2 2 6 3" xfId="20030"/>
    <cellStyle name="20% - Accent4 2 2 2 6 3" xfId="20031"/>
    <cellStyle name="40% - Accent4 2 2 2 6 3" xfId="20032"/>
    <cellStyle name="60% - Accent4 2 2 2 6 3" xfId="20033"/>
    <cellStyle name="20% - Accent5 2 2 2 6 3" xfId="20034"/>
    <cellStyle name="40% - Accent5 2 2 2 6 3" xfId="20035"/>
    <cellStyle name="60% - Accent5 2 2 2 6 3" xfId="20036"/>
    <cellStyle name="20% - Accent6 2 2 2 6 3" xfId="20037"/>
    <cellStyle name="40% - Accent6 2 2 2 6 3" xfId="20038"/>
    <cellStyle name="60% - Accent6 2 2 2 6 3" xfId="20039"/>
    <cellStyle name="Comma 2 2 2 2 7 3" xfId="20040"/>
    <cellStyle name="Comma 4 2 2 7 3" xfId="20041"/>
    <cellStyle name="Normal 3 8 2 2 6 3" xfId="20042"/>
    <cellStyle name="Normal 3 10 6 3" xfId="20043"/>
    <cellStyle name="Normal 3 11 6 3" xfId="20044"/>
    <cellStyle name="Normal 3 12 4 3" xfId="20045"/>
    <cellStyle name="Normal 3 2 5 4 3" xfId="20046"/>
    <cellStyle name="Normal 3 3 5 4 3" xfId="20047"/>
    <cellStyle name="Normal 3 4 5 4 3" xfId="20048"/>
    <cellStyle name="Normal 3 5 5 4 3" xfId="20049"/>
    <cellStyle name="20% - Accent1 5 4 3" xfId="20050"/>
    <cellStyle name="40% - Accent1 5 4 3" xfId="20051"/>
    <cellStyle name="60% - Accent1 5 4 3" xfId="20052"/>
    <cellStyle name="20% - Accent2 5 4 3" xfId="20053"/>
    <cellStyle name="40% - Accent2 5 4 3" xfId="20054"/>
    <cellStyle name="60% - Accent2 5 4 3" xfId="20055"/>
    <cellStyle name="20% - Accent3 5 4 3" xfId="20056"/>
    <cellStyle name="40% - Accent3 5 4 3" xfId="20057"/>
    <cellStyle name="60% - Accent3 5 4 3" xfId="20058"/>
    <cellStyle name="20% - Accent4 5 4 3" xfId="20059"/>
    <cellStyle name="40% - Accent4 5 4 3" xfId="20060"/>
    <cellStyle name="60% - Accent4 5 4 3" xfId="20061"/>
    <cellStyle name="20% - Accent5 5 4 3" xfId="20062"/>
    <cellStyle name="40% - Accent5 5 4 3" xfId="20063"/>
    <cellStyle name="60% - Accent5 5 4 3" xfId="20064"/>
    <cellStyle name="20% - Accent6 5 4 3" xfId="20065"/>
    <cellStyle name="40% - Accent6 5 4 3" xfId="20066"/>
    <cellStyle name="60% - Accent6 5 4 3" xfId="20067"/>
    <cellStyle name="Normal 3 2 2 4 4 3" xfId="20068"/>
    <cellStyle name="Normal 3 3 2 4 4 3" xfId="20069"/>
    <cellStyle name="Normal 3 4 2 4 4 3" xfId="20070"/>
    <cellStyle name="Normal 3 5 2 4 4 3" xfId="20071"/>
    <cellStyle name="Normal 5 4 4 3" xfId="20072"/>
    <cellStyle name="Percent 3 4 4 3" xfId="20073"/>
    <cellStyle name="Note 2 4 4 3" xfId="20074"/>
    <cellStyle name="Normal 3 6 4 4 3" xfId="20075"/>
    <cellStyle name="Comma 2 6 5 3" xfId="20076"/>
    <cellStyle name="Comma 3 5 5 3" xfId="20077"/>
    <cellStyle name="Percent 4 4 4 3" xfId="20078"/>
    <cellStyle name="Normal 3 7 4 4 3" xfId="20079"/>
    <cellStyle name="Note 3 4 4 3" xfId="20080"/>
    <cellStyle name="20% - Accent1 2 4 4 3" xfId="20081"/>
    <cellStyle name="40% - Accent1 2 4 4 3" xfId="20082"/>
    <cellStyle name="60% - Accent1 2 4 4 3" xfId="20083"/>
    <cellStyle name="20% - Accent2 2 4 4 3" xfId="20084"/>
    <cellStyle name="40% - Accent2 2 4 4 3" xfId="20085"/>
    <cellStyle name="60% - Accent2 2 4 4 3" xfId="20086"/>
    <cellStyle name="20% - Accent3 2 4 4 3" xfId="20087"/>
    <cellStyle name="40% - Accent3 2 4 4 3" xfId="20088"/>
    <cellStyle name="60% - Accent3 2 4 4 3" xfId="20089"/>
    <cellStyle name="20% - Accent4 2 4 4 3" xfId="20090"/>
    <cellStyle name="40% - Accent4 2 4 4 3" xfId="20091"/>
    <cellStyle name="60% - Accent4 2 4 4 3" xfId="20092"/>
    <cellStyle name="20% - Accent5 2 4 4 3" xfId="20093"/>
    <cellStyle name="40% - Accent5 2 4 4 3" xfId="20094"/>
    <cellStyle name="60% - Accent5 2 4 4 3" xfId="20095"/>
    <cellStyle name="20% - Accent6 2 4 4 3" xfId="20096"/>
    <cellStyle name="40% - Accent6 2 4 4 3" xfId="20097"/>
    <cellStyle name="60% - Accent6 2 4 4 3" xfId="20098"/>
    <cellStyle name="Comma 2 2 5 5 3" xfId="20099"/>
    <cellStyle name="Comma 4 5 5 3" xfId="20100"/>
    <cellStyle name="Normal 3 8 4 4 3" xfId="20101"/>
    <cellStyle name="Normal 7 3 4 3" xfId="20102"/>
    <cellStyle name="Comma 5 3 5 3" xfId="20103"/>
    <cellStyle name="20% - Accent1 3 3 4 3" xfId="20104"/>
    <cellStyle name="40% - Accent1 3 3 4 3" xfId="20105"/>
    <cellStyle name="60% - Accent1 3 3 4 3" xfId="20106"/>
    <cellStyle name="20% - Accent2 3 3 4 3" xfId="20107"/>
    <cellStyle name="40% - Accent2 3 3 4 3" xfId="20108"/>
    <cellStyle name="60% - Accent2 3 3 4 3" xfId="20109"/>
    <cellStyle name="20% - Accent3 3 3 4 3" xfId="20110"/>
    <cellStyle name="40% - Accent3 3 3 4 3" xfId="20111"/>
    <cellStyle name="60% - Accent3 3 3 4 3" xfId="20112"/>
    <cellStyle name="20% - Accent4 3 3 4 3" xfId="20113"/>
    <cellStyle name="40% - Accent4 3 3 4 3" xfId="20114"/>
    <cellStyle name="60% - Accent4 3 3 4 3" xfId="20115"/>
    <cellStyle name="20% - Accent5 3 3 4 3" xfId="20116"/>
    <cellStyle name="40% - Accent5 3 3 4 3" xfId="20117"/>
    <cellStyle name="60% - Accent5 3 3 4 3" xfId="20118"/>
    <cellStyle name="20% - Accent6 3 3 4 3" xfId="20119"/>
    <cellStyle name="40% - Accent6 3 3 4 3" xfId="20120"/>
    <cellStyle name="60% - Accent6 3 3 4 3" xfId="20121"/>
    <cellStyle name="Normal 3 2 3 3 4 3" xfId="20122"/>
    <cellStyle name="Normal 3 3 3 3 4 3" xfId="20123"/>
    <cellStyle name="Normal 3 4 3 3 4 3" xfId="20124"/>
    <cellStyle name="Normal 3 5 3 3 4 3" xfId="20125"/>
    <cellStyle name="Normal 3 2 2 2 3 4 3" xfId="20126"/>
    <cellStyle name="Normal 3 3 2 2 3 4 3" xfId="20127"/>
    <cellStyle name="Normal 3 4 2 2 3 4 3" xfId="20128"/>
    <cellStyle name="Normal 3 5 2 2 3 4 3" xfId="20129"/>
    <cellStyle name="Normal 5 2 3 4 3" xfId="20130"/>
    <cellStyle name="Percent 3 2 3 4 3" xfId="20131"/>
    <cellStyle name="Note 2 2 3 4 3" xfId="20132"/>
    <cellStyle name="Normal 3 6 2 3 4 3" xfId="20133"/>
    <cellStyle name="Comma 2 3 3 5 3" xfId="20134"/>
    <cellStyle name="Comma 3 2 3 5 3" xfId="20135"/>
    <cellStyle name="Percent 4 2 3 4 3" xfId="20136"/>
    <cellStyle name="Normal 3 7 2 3 4 3" xfId="20137"/>
    <cellStyle name="Note 3 2 3 4 3" xfId="20138"/>
    <cellStyle name="20% - Accent1 2 2 3 4 3" xfId="20139"/>
    <cellStyle name="40% - Accent1 2 2 3 4 3" xfId="20140"/>
    <cellStyle name="60% - Accent1 2 2 3 4 3" xfId="20141"/>
    <cellStyle name="20% - Accent2 2 2 3 4 3" xfId="20142"/>
    <cellStyle name="40% - Accent2 2 2 3 4 3" xfId="20143"/>
    <cellStyle name="60% - Accent2 2 2 3 4 3" xfId="20144"/>
    <cellStyle name="20% - Accent3 2 2 3 4 3" xfId="20145"/>
    <cellStyle name="40% - Accent3 2 2 3 4 3" xfId="20146"/>
    <cellStyle name="60% - Accent3 2 2 3 4 3" xfId="20147"/>
    <cellStyle name="20% - Accent4 2 2 3 4 3" xfId="20148"/>
    <cellStyle name="40% - Accent4 2 2 3 4 3" xfId="20149"/>
    <cellStyle name="60% - Accent4 2 2 3 4 3" xfId="20150"/>
    <cellStyle name="20% - Accent5 2 2 3 4 3" xfId="20151"/>
    <cellStyle name="40% - Accent5 2 2 3 4 3" xfId="20152"/>
    <cellStyle name="60% - Accent5 2 2 3 4 3" xfId="20153"/>
    <cellStyle name="20% - Accent6 2 2 3 4 3" xfId="20154"/>
    <cellStyle name="40% - Accent6 2 2 3 4 3" xfId="20155"/>
    <cellStyle name="60% - Accent6 2 2 3 4 3" xfId="20156"/>
    <cellStyle name="Comma 2 2 2 3 5 3" xfId="20157"/>
    <cellStyle name="Comma 4 2 3 5 3" xfId="20158"/>
    <cellStyle name="Normal 3 8 2 3 4 3" xfId="20159"/>
    <cellStyle name="Normal 8 2 4 3" xfId="20160"/>
    <cellStyle name="Comma 6 2 5 3" xfId="20161"/>
    <cellStyle name="20% - Accent1 4 2 4 3" xfId="20162"/>
    <cellStyle name="40% - Accent1 4 2 4 3" xfId="20163"/>
    <cellStyle name="60% - Accent1 4 2 4 3" xfId="20164"/>
    <cellStyle name="20% - Accent2 4 2 4 3" xfId="20165"/>
    <cellStyle name="40% - Accent2 4 2 4 3" xfId="20166"/>
    <cellStyle name="60% - Accent2 4 2 4 3" xfId="20167"/>
    <cellStyle name="20% - Accent3 4 2 4 3" xfId="20168"/>
    <cellStyle name="40% - Accent3 4 2 4 3" xfId="20169"/>
    <cellStyle name="60% - Accent3 4 2 4 3" xfId="20170"/>
    <cellStyle name="20% - Accent4 4 2 4 3" xfId="20171"/>
    <cellStyle name="40% - Accent4 4 2 4 3" xfId="20172"/>
    <cellStyle name="60% - Accent4 4 2 4 3" xfId="20173"/>
    <cellStyle name="20% - Accent5 4 2 4 3" xfId="20174"/>
    <cellStyle name="40% - Accent5 4 2 4 3" xfId="20175"/>
    <cellStyle name="60% - Accent5 4 2 4 3" xfId="20176"/>
    <cellStyle name="20% - Accent6 4 2 4 3" xfId="20177"/>
    <cellStyle name="40% - Accent6 4 2 4 3" xfId="20178"/>
    <cellStyle name="60% - Accent6 4 2 4 3" xfId="20179"/>
    <cellStyle name="Normal 3 2 4 2 4 3" xfId="20180"/>
    <cellStyle name="Normal 3 3 4 2 4 3" xfId="20181"/>
    <cellStyle name="Normal 3 4 4 2 4 3" xfId="20182"/>
    <cellStyle name="Normal 3 5 4 2 4 3" xfId="20183"/>
    <cellStyle name="Normal 3 2 2 3 2 4 3" xfId="20184"/>
    <cellStyle name="Normal 3 3 2 3 2 4 3" xfId="20185"/>
    <cellStyle name="Normal 3 4 2 3 2 4 3" xfId="20186"/>
    <cellStyle name="Normal 3 5 2 3 2 4 3" xfId="20187"/>
    <cellStyle name="Normal 5 3 2 4 3" xfId="20188"/>
    <cellStyle name="Percent 3 3 2 4 3" xfId="20189"/>
    <cellStyle name="Note 2 3 2 4 3" xfId="20190"/>
    <cellStyle name="Normal 3 6 3 2 4 3" xfId="20191"/>
    <cellStyle name="Comma 2 5 2 5 3" xfId="20192"/>
    <cellStyle name="Comma 3 4 2 5 3" xfId="20193"/>
    <cellStyle name="Percent 4 3 2 4 3" xfId="20194"/>
    <cellStyle name="Normal 3 7 3 2 4 3" xfId="20195"/>
    <cellStyle name="Note 3 3 2 4 3" xfId="20196"/>
    <cellStyle name="20% - Accent1 2 3 2 4 3" xfId="20197"/>
    <cellStyle name="40% - Accent1 2 3 2 4 3" xfId="20198"/>
    <cellStyle name="60% - Accent1 2 3 2 4 3" xfId="20199"/>
    <cellStyle name="20% - Accent2 2 3 2 4 3" xfId="20200"/>
    <cellStyle name="40% - Accent2 2 3 2 4 3" xfId="20201"/>
    <cellStyle name="60% - Accent2 2 3 2 4 3" xfId="20202"/>
    <cellStyle name="20% - Accent3 2 3 2 4 3" xfId="20203"/>
    <cellStyle name="40% - Accent3 2 3 2 4 3" xfId="20204"/>
    <cellStyle name="60% - Accent3 2 3 2 4 3" xfId="20205"/>
    <cellStyle name="20% - Accent4 2 3 2 4 3" xfId="20206"/>
    <cellStyle name="40% - Accent4 2 3 2 4 3" xfId="20207"/>
    <cellStyle name="60% - Accent4 2 3 2 4 3" xfId="20208"/>
    <cellStyle name="20% - Accent5 2 3 2 4 3" xfId="20209"/>
    <cellStyle name="40% - Accent5 2 3 2 4 3" xfId="20210"/>
    <cellStyle name="60% - Accent5 2 3 2 4 3" xfId="20211"/>
    <cellStyle name="20% - Accent6 2 3 2 4 3" xfId="20212"/>
    <cellStyle name="40% - Accent6 2 3 2 4 3" xfId="20213"/>
    <cellStyle name="60% - Accent6 2 3 2 4 3" xfId="20214"/>
    <cellStyle name="Comma 2 2 4 2 5 3" xfId="20215"/>
    <cellStyle name="Comma 4 4 2 5 3" xfId="20216"/>
    <cellStyle name="Normal 3 8 3 2 4 3" xfId="20217"/>
    <cellStyle name="Comma 2 4 2 5 3" xfId="20218"/>
    <cellStyle name="Comma 3 3 2 5 3" xfId="20219"/>
    <cellStyle name="Comma 2 2 3 2 5 3" xfId="20220"/>
    <cellStyle name="Comma 4 3 2 5 3" xfId="20221"/>
    <cellStyle name="Normal 7 2 2 4 3" xfId="20222"/>
    <cellStyle name="Comma 5 2 2 5 3" xfId="20223"/>
    <cellStyle name="20% - Accent1 3 2 2 4 3" xfId="20224"/>
    <cellStyle name="40% - Accent1 3 2 2 4 3" xfId="20225"/>
    <cellStyle name="60% - Accent1 3 2 2 4 3" xfId="20226"/>
    <cellStyle name="20% - Accent2 3 2 2 4 3" xfId="20227"/>
    <cellStyle name="40% - Accent2 3 2 2 4 3" xfId="20228"/>
    <cellStyle name="60% - Accent2 3 2 2 4 3" xfId="20229"/>
    <cellStyle name="20% - Accent3 3 2 2 4 3" xfId="20230"/>
    <cellStyle name="40% - Accent3 3 2 2 4 3" xfId="20231"/>
    <cellStyle name="60% - Accent3 3 2 2 4 3" xfId="20232"/>
    <cellStyle name="20% - Accent4 3 2 2 4 3" xfId="20233"/>
    <cellStyle name="40% - Accent4 3 2 2 4 3" xfId="20234"/>
    <cellStyle name="60% - Accent4 3 2 2 4 3" xfId="20235"/>
    <cellStyle name="20% - Accent5 3 2 2 4 3" xfId="20236"/>
    <cellStyle name="40% - Accent5 3 2 2 4 3" xfId="20237"/>
    <cellStyle name="60% - Accent5 3 2 2 4 3" xfId="20238"/>
    <cellStyle name="20% - Accent6 3 2 2 4 3" xfId="20239"/>
    <cellStyle name="40% - Accent6 3 2 2 4 3" xfId="20240"/>
    <cellStyle name="60% - Accent6 3 2 2 4 3" xfId="20241"/>
    <cellStyle name="Normal 3 2 3 2 2 4 3" xfId="20242"/>
    <cellStyle name="Normal 3 3 3 2 2 4 3" xfId="20243"/>
    <cellStyle name="Normal 3 4 3 2 2 4 3" xfId="20244"/>
    <cellStyle name="Normal 3 5 3 2 2 4 3" xfId="20245"/>
    <cellStyle name="Normal 3 2 2 2 2 2 4 3" xfId="20246"/>
    <cellStyle name="Normal 3 3 2 2 2 2 4 3" xfId="20247"/>
    <cellStyle name="Normal 3 4 2 2 2 2 4 3" xfId="20248"/>
    <cellStyle name="Normal 3 5 2 2 2 2 4 3" xfId="20249"/>
    <cellStyle name="Normal 5 2 2 2 4 3" xfId="20250"/>
    <cellStyle name="Percent 3 2 2 2 4 3" xfId="20251"/>
    <cellStyle name="Note 2 2 2 2 4 3" xfId="20252"/>
    <cellStyle name="Normal 3 6 2 2 2 4 3" xfId="20253"/>
    <cellStyle name="Comma 2 3 2 2 5 3" xfId="20254"/>
    <cellStyle name="Comma 3 2 2 2 5 3" xfId="20255"/>
    <cellStyle name="Percent 4 2 2 2 4 3" xfId="20256"/>
    <cellStyle name="Normal 3 7 2 2 2 4 3" xfId="20257"/>
    <cellStyle name="Note 3 2 2 2 4 3" xfId="20258"/>
    <cellStyle name="20% - Accent1 2 2 2 2 4 3" xfId="20259"/>
    <cellStyle name="40% - Accent1 2 2 2 2 4 3" xfId="20260"/>
    <cellStyle name="60% - Accent1 2 2 2 2 4 3" xfId="20261"/>
    <cellStyle name="20% - Accent2 2 2 2 2 4 3" xfId="20262"/>
    <cellStyle name="40% - Accent2 2 2 2 2 4 3" xfId="20263"/>
    <cellStyle name="60% - Accent2 2 2 2 2 4 3" xfId="20264"/>
    <cellStyle name="20% - Accent3 2 2 2 2 4 3" xfId="20265"/>
    <cellStyle name="40% - Accent3 2 2 2 2 4 3" xfId="20266"/>
    <cellStyle name="60% - Accent3 2 2 2 2 4 3" xfId="20267"/>
    <cellStyle name="20% - Accent4 2 2 2 2 4 3" xfId="20268"/>
    <cellStyle name="40% - Accent4 2 2 2 2 4 3" xfId="20269"/>
    <cellStyle name="60% - Accent4 2 2 2 2 4 3" xfId="20270"/>
    <cellStyle name="20% - Accent5 2 2 2 2 4 3" xfId="20271"/>
    <cellStyle name="40% - Accent5 2 2 2 2 4 3" xfId="20272"/>
    <cellStyle name="60% - Accent5 2 2 2 2 4 3" xfId="20273"/>
    <cellStyle name="20% - Accent6 2 2 2 2 4 3" xfId="20274"/>
    <cellStyle name="40% - Accent6 2 2 2 2 4 3" xfId="20275"/>
    <cellStyle name="60% - Accent6 2 2 2 2 4 3" xfId="20276"/>
    <cellStyle name="Comma 2 2 2 2 2 5 3" xfId="20277"/>
    <cellStyle name="Comma 4 2 2 2 5 3" xfId="20278"/>
    <cellStyle name="Normal 3 8 2 2 2 4 3" xfId="20279"/>
    <cellStyle name="Normal 3 10 2 4 3" xfId="20280"/>
    <cellStyle name="Normal 3 11 2 4 3" xfId="20281"/>
    <cellStyle name="Normal 3 2 6 3 3" xfId="20282"/>
    <cellStyle name="Normal 3 3 6 3 3" xfId="20283"/>
    <cellStyle name="Normal 3 4 6 3 3" xfId="20284"/>
    <cellStyle name="Normal 3 5 6 3 3" xfId="20285"/>
    <cellStyle name="20% - Accent1 6 3 3" xfId="20286"/>
    <cellStyle name="40% - Accent1 6 3 3" xfId="20287"/>
    <cellStyle name="60% - Accent1 6 3 3" xfId="20288"/>
    <cellStyle name="20% - Accent2 6 3 3" xfId="20289"/>
    <cellStyle name="40% - Accent2 6 3 3" xfId="20290"/>
    <cellStyle name="60% - Accent2 6 3 3" xfId="20291"/>
    <cellStyle name="20% - Accent3 6 3 3" xfId="20292"/>
    <cellStyle name="40% - Accent3 6 3 3" xfId="20293"/>
    <cellStyle name="60% - Accent3 6 3 3" xfId="20294"/>
    <cellStyle name="20% - Accent4 6 3 3" xfId="20295"/>
    <cellStyle name="40% - Accent4 6 3 3" xfId="20296"/>
    <cellStyle name="60% - Accent4 6 3 3" xfId="20297"/>
    <cellStyle name="20% - Accent5 6 3 3" xfId="20298"/>
    <cellStyle name="40% - Accent5 6 3 3" xfId="20299"/>
    <cellStyle name="60% - Accent5 6 3 3" xfId="20300"/>
    <cellStyle name="20% - Accent6 6 3 3" xfId="20301"/>
    <cellStyle name="40% - Accent6 6 3 3" xfId="20302"/>
    <cellStyle name="60% - Accent6 6 3 3" xfId="20303"/>
    <cellStyle name="Normal 3 2 2 5 3 3" xfId="20304"/>
    <cellStyle name="Normal 3 3 2 5 3 3" xfId="20305"/>
    <cellStyle name="Normal 3 4 2 5 3 3" xfId="20306"/>
    <cellStyle name="Normal 3 5 2 5 3 3" xfId="20307"/>
    <cellStyle name="Normal 5 5 3 3" xfId="20308"/>
    <cellStyle name="Percent 3 5 3 3" xfId="20309"/>
    <cellStyle name="Note 2 5 3 3" xfId="20310"/>
    <cellStyle name="Normal 3 6 5 3 3" xfId="20311"/>
    <cellStyle name="Comma 2 7 4 3" xfId="20312"/>
    <cellStyle name="Comma 3 7 4 3" xfId="20313"/>
    <cellStyle name="Percent 4 5 3 3" xfId="20314"/>
    <cellStyle name="Normal 3 7 5 3 3" xfId="20315"/>
    <cellStyle name="Note 3 5 3 3" xfId="20316"/>
    <cellStyle name="20% - Accent1 2 5 3 3" xfId="20317"/>
    <cellStyle name="40% - Accent1 2 5 3 3" xfId="20318"/>
    <cellStyle name="60% - Accent1 2 5 3 3" xfId="20319"/>
    <cellStyle name="20% - Accent2 2 5 3 3" xfId="20320"/>
    <cellStyle name="40% - Accent2 2 5 3 3" xfId="20321"/>
    <cellStyle name="60% - Accent2 2 5 3 3" xfId="20322"/>
    <cellStyle name="20% - Accent3 2 5 3 3" xfId="20323"/>
    <cellStyle name="40% - Accent3 2 5 3 3" xfId="20324"/>
    <cellStyle name="60% - Accent3 2 5 3 3" xfId="20325"/>
    <cellStyle name="20% - Accent4 2 5 3 3" xfId="20326"/>
    <cellStyle name="40% - Accent4 2 5 3 3" xfId="20327"/>
    <cellStyle name="60% - Accent4 2 5 3 3" xfId="20328"/>
    <cellStyle name="20% - Accent5 2 5 3 3" xfId="20329"/>
    <cellStyle name="40% - Accent5 2 5 3 3" xfId="20330"/>
    <cellStyle name="60% - Accent5 2 5 3 3" xfId="20331"/>
    <cellStyle name="20% - Accent6 2 5 3 3" xfId="20332"/>
    <cellStyle name="40% - Accent6 2 5 3 3" xfId="20333"/>
    <cellStyle name="60% - Accent6 2 5 3 3" xfId="20334"/>
    <cellStyle name="Comma 2 2 6 4 3" xfId="20335"/>
    <cellStyle name="Comma 4 6 4 3" xfId="20336"/>
    <cellStyle name="Normal 3 8 5 3 3" xfId="20337"/>
    <cellStyle name="Normal 7 4 3 3" xfId="20338"/>
    <cellStyle name="Comma 5 4 4 3" xfId="20339"/>
    <cellStyle name="20% - Accent1 3 4 3 3" xfId="20340"/>
    <cellStyle name="40% - Accent1 3 4 3 3" xfId="20341"/>
    <cellStyle name="60% - Accent1 3 4 3 3" xfId="20342"/>
    <cellStyle name="20% - Accent2 3 4 3 3" xfId="20343"/>
    <cellStyle name="40% - Accent2 3 4 3 3" xfId="20344"/>
    <cellStyle name="60% - Accent2 3 4 3 3" xfId="20345"/>
    <cellStyle name="20% - Accent3 3 4 3 3" xfId="20346"/>
    <cellStyle name="40% - Accent3 3 4 3 3" xfId="20347"/>
    <cellStyle name="60% - Accent3 3 4 3 3" xfId="20348"/>
    <cellStyle name="20% - Accent4 3 4 3 3" xfId="20349"/>
    <cellStyle name="40% - Accent4 3 4 3 3" xfId="20350"/>
    <cellStyle name="60% - Accent4 3 4 3 3" xfId="20351"/>
    <cellStyle name="20% - Accent5 3 4 3 3" xfId="20352"/>
    <cellStyle name="40% - Accent5 3 4 3 3" xfId="20353"/>
    <cellStyle name="60% - Accent5 3 4 3 3" xfId="20354"/>
    <cellStyle name="20% - Accent6 3 4 3 3" xfId="20355"/>
    <cellStyle name="40% - Accent6 3 4 3 3" xfId="20356"/>
    <cellStyle name="60% - Accent6 3 4 3 3" xfId="20357"/>
    <cellStyle name="Normal 3 2 3 4 3 3" xfId="20358"/>
    <cellStyle name="Normal 3 3 3 4 3 3" xfId="20359"/>
    <cellStyle name="Normal 3 4 3 4 3 3" xfId="20360"/>
    <cellStyle name="Normal 3 5 3 4 3 3" xfId="20361"/>
    <cellStyle name="Normal 3 2 2 2 4 3 3" xfId="20362"/>
    <cellStyle name="Normal 3 3 2 2 4 3 3" xfId="20363"/>
    <cellStyle name="Normal 3 4 2 2 4 3 3" xfId="20364"/>
    <cellStyle name="Normal 3 5 2 2 4 3 3" xfId="20365"/>
    <cellStyle name="Normal 5 2 4 3 3" xfId="20366"/>
    <cellStyle name="Percent 3 2 4 3 3" xfId="20367"/>
    <cellStyle name="Note 2 2 4 3 3" xfId="20368"/>
    <cellStyle name="Normal 3 6 2 4 3 3" xfId="20369"/>
    <cellStyle name="Comma 2 3 4 4 3" xfId="20370"/>
    <cellStyle name="Comma 3 2 4 4 3" xfId="20371"/>
    <cellStyle name="Percent 4 2 4 3 3" xfId="20372"/>
    <cellStyle name="Normal 3 7 2 4 3 3" xfId="20373"/>
    <cellStyle name="Note 3 2 4 3 3" xfId="20374"/>
    <cellStyle name="20% - Accent1 2 2 4 3 3" xfId="20375"/>
    <cellStyle name="40% - Accent1 2 2 4 3 3" xfId="20376"/>
    <cellStyle name="60% - Accent1 2 2 4 3 3" xfId="20377"/>
    <cellStyle name="20% - Accent2 2 2 4 3 3" xfId="20378"/>
    <cellStyle name="40% - Accent2 2 2 4 3 3" xfId="20379"/>
    <cellStyle name="60% - Accent2 2 2 4 3 3" xfId="20380"/>
    <cellStyle name="20% - Accent3 2 2 4 3 3" xfId="20381"/>
    <cellStyle name="40% - Accent3 2 2 4 3 3" xfId="20382"/>
    <cellStyle name="60% - Accent3 2 2 4 3 3" xfId="20383"/>
    <cellStyle name="20% - Accent4 2 2 4 3 3" xfId="20384"/>
    <cellStyle name="40% - Accent4 2 2 4 3 3" xfId="20385"/>
    <cellStyle name="60% - Accent4 2 2 4 3 3" xfId="20386"/>
    <cellStyle name="20% - Accent5 2 2 4 3 3" xfId="20387"/>
    <cellStyle name="40% - Accent5 2 2 4 3 3" xfId="20388"/>
    <cellStyle name="60% - Accent5 2 2 4 3 3" xfId="20389"/>
    <cellStyle name="20% - Accent6 2 2 4 3 3" xfId="20390"/>
    <cellStyle name="40% - Accent6 2 2 4 3 3" xfId="20391"/>
    <cellStyle name="60% - Accent6 2 2 4 3 3" xfId="20392"/>
    <cellStyle name="Comma 2 2 2 4 4 3" xfId="20393"/>
    <cellStyle name="Comma 4 2 4 4 3" xfId="20394"/>
    <cellStyle name="Normal 3 8 2 4 3 3" xfId="20395"/>
    <cellStyle name="Normal 8 3 3 3" xfId="20396"/>
    <cellStyle name="Comma 6 3 4 3" xfId="20397"/>
    <cellStyle name="20% - Accent1 4 3 3 3" xfId="20398"/>
    <cellStyle name="40% - Accent1 4 3 3 3" xfId="20399"/>
    <cellStyle name="60% - Accent1 4 3 3 3" xfId="20400"/>
    <cellStyle name="20% - Accent2 4 3 3 3" xfId="20401"/>
    <cellStyle name="40% - Accent2 4 3 3 3" xfId="20402"/>
    <cellStyle name="60% - Accent2 4 3 3 3" xfId="20403"/>
    <cellStyle name="20% - Accent3 4 3 3 3" xfId="20404"/>
    <cellStyle name="40% - Accent3 4 3 3 3" xfId="20405"/>
    <cellStyle name="60% - Accent3 4 3 3 3" xfId="20406"/>
    <cellStyle name="20% - Accent4 4 3 3 3" xfId="20407"/>
    <cellStyle name="40% - Accent4 4 3 3 3" xfId="20408"/>
    <cellStyle name="60% - Accent4 4 3 3 3" xfId="20409"/>
    <cellStyle name="20% - Accent5 4 3 3 3" xfId="20410"/>
    <cellStyle name="40% - Accent5 4 3 3 3" xfId="20411"/>
    <cellStyle name="60% - Accent5 4 3 3 3" xfId="20412"/>
    <cellStyle name="20% - Accent6 4 3 3 3" xfId="20413"/>
    <cellStyle name="40% - Accent6 4 3 3 3" xfId="20414"/>
    <cellStyle name="60% - Accent6 4 3 3 3" xfId="20415"/>
    <cellStyle name="Normal 3 2 4 3 3 3" xfId="20416"/>
    <cellStyle name="Normal 3 3 4 3 3 3" xfId="20417"/>
    <cellStyle name="Normal 3 4 4 3 3 3" xfId="20418"/>
    <cellStyle name="Normal 3 5 4 3 3 3" xfId="20419"/>
    <cellStyle name="Normal 3 2 2 3 3 3 3" xfId="20420"/>
    <cellStyle name="Normal 3 3 2 3 3 3 3" xfId="20421"/>
    <cellStyle name="Normal 3 4 2 3 3 3 3" xfId="20422"/>
    <cellStyle name="Normal 3 5 2 3 3 3 3" xfId="20423"/>
    <cellStyle name="Normal 5 3 3 3 3" xfId="20424"/>
    <cellStyle name="Percent 3 3 3 3 3" xfId="20425"/>
    <cellStyle name="Note 2 3 3 3 3" xfId="20426"/>
    <cellStyle name="Normal 3 6 3 3 3 3" xfId="20427"/>
    <cellStyle name="Comma 2 5 3 4 3" xfId="20428"/>
    <cellStyle name="Comma 3 4 3 4 3" xfId="20429"/>
    <cellStyle name="Percent 4 3 3 3 3" xfId="20430"/>
    <cellStyle name="Normal 3 7 3 3 3 3" xfId="20431"/>
    <cellStyle name="Note 3 3 3 3 3" xfId="20432"/>
    <cellStyle name="20% - Accent1 2 3 3 3 3" xfId="20433"/>
    <cellStyle name="40% - Accent1 2 3 3 3 3" xfId="20434"/>
    <cellStyle name="60% - Accent1 2 3 3 3 3" xfId="20435"/>
    <cellStyle name="20% - Accent2 2 3 3 3 3" xfId="20436"/>
    <cellStyle name="40% - Accent2 2 3 3 3 3" xfId="20437"/>
    <cellStyle name="60% - Accent2 2 3 3 3 3" xfId="20438"/>
    <cellStyle name="20% - Accent3 2 3 3 3 3" xfId="20439"/>
    <cellStyle name="40% - Accent3 2 3 3 3 3" xfId="20440"/>
    <cellStyle name="60% - Accent3 2 3 3 3 3" xfId="20441"/>
    <cellStyle name="20% - Accent4 2 3 3 3 3" xfId="20442"/>
    <cellStyle name="40% - Accent4 2 3 3 3 3" xfId="20443"/>
    <cellStyle name="60% - Accent4 2 3 3 3 3" xfId="20444"/>
    <cellStyle name="20% - Accent5 2 3 3 3 3" xfId="20445"/>
    <cellStyle name="40% - Accent5 2 3 3 3 3" xfId="20446"/>
    <cellStyle name="60% - Accent5 2 3 3 3 3" xfId="20447"/>
    <cellStyle name="20% - Accent6 2 3 3 3 3" xfId="20448"/>
    <cellStyle name="40% - Accent6 2 3 3 3 3" xfId="20449"/>
    <cellStyle name="60% - Accent6 2 3 3 3 3" xfId="20450"/>
    <cellStyle name="Comma 2 2 4 3 4 3" xfId="20451"/>
    <cellStyle name="Comma 4 4 3 4 3" xfId="20452"/>
    <cellStyle name="Normal 3 8 3 3 3 3" xfId="20453"/>
    <cellStyle name="Comma 2 4 3 4 3" xfId="20454"/>
    <cellStyle name="Comma 3 3 3 4 3" xfId="20455"/>
    <cellStyle name="Comma 2 2 3 3 4 3" xfId="20456"/>
    <cellStyle name="Comma 4 3 3 4 3" xfId="20457"/>
    <cellStyle name="Normal 7 2 3 3 3" xfId="20458"/>
    <cellStyle name="Comma 5 2 3 4 3" xfId="20459"/>
    <cellStyle name="20% - Accent1 3 2 3 3 3" xfId="20460"/>
    <cellStyle name="40% - Accent1 3 2 3 3 3" xfId="20461"/>
    <cellStyle name="60% - Accent1 3 2 3 3 3" xfId="20462"/>
    <cellStyle name="20% - Accent2 3 2 3 3 3" xfId="20463"/>
    <cellStyle name="40% - Accent2 3 2 3 3 3" xfId="20464"/>
    <cellStyle name="60% - Accent2 3 2 3 3 3" xfId="20465"/>
    <cellStyle name="20% - Accent3 3 2 3 3 3" xfId="20466"/>
    <cellStyle name="40% - Accent3 3 2 3 3 3" xfId="20467"/>
    <cellStyle name="60% - Accent3 3 2 3 3 3" xfId="20468"/>
    <cellStyle name="20% - Accent4 3 2 3 3 3" xfId="20469"/>
    <cellStyle name="40% - Accent4 3 2 3 3 3" xfId="20470"/>
    <cellStyle name="60% - Accent4 3 2 3 3 3" xfId="20471"/>
    <cellStyle name="20% - Accent5 3 2 3 3 3" xfId="20472"/>
    <cellStyle name="40% - Accent5 3 2 3 3 3" xfId="20473"/>
    <cellStyle name="60% - Accent5 3 2 3 3 3" xfId="20474"/>
    <cellStyle name="20% - Accent6 3 2 3 3 3" xfId="20475"/>
    <cellStyle name="40% - Accent6 3 2 3 3 3" xfId="20476"/>
    <cellStyle name="60% - Accent6 3 2 3 3 3" xfId="20477"/>
    <cellStyle name="Normal 3 2 3 2 3 3 3" xfId="20478"/>
    <cellStyle name="Normal 3 3 3 2 3 3 3" xfId="20479"/>
    <cellStyle name="Normal 3 4 3 2 3 3 3" xfId="20480"/>
    <cellStyle name="Normal 3 5 3 2 3 3 3" xfId="20481"/>
    <cellStyle name="Normal 3 2 2 2 2 3 3 3" xfId="20482"/>
    <cellStyle name="Normal 3 3 2 2 2 3 3 3" xfId="20483"/>
    <cellStyle name="Normal 3 4 2 2 2 3 3 3" xfId="20484"/>
    <cellStyle name="Normal 3 5 2 2 2 3 3 3" xfId="20485"/>
    <cellStyle name="Normal 5 2 2 3 3 3" xfId="20486"/>
    <cellStyle name="Percent 3 2 2 3 3 3" xfId="20487"/>
    <cellStyle name="Note 2 2 2 3 3 3" xfId="20488"/>
    <cellStyle name="Normal 3 6 2 2 3 3 3" xfId="20489"/>
    <cellStyle name="Comma 2 3 2 3 4 3" xfId="20490"/>
    <cellStyle name="Comma 3 2 2 3 4 3" xfId="20491"/>
    <cellStyle name="Percent 4 2 2 3 3 3" xfId="20492"/>
    <cellStyle name="Normal 3 7 2 2 3 3 3" xfId="20493"/>
    <cellStyle name="Note 3 2 2 3 3 3" xfId="20494"/>
    <cellStyle name="20% - Accent1 2 2 2 3 3 3" xfId="20495"/>
    <cellStyle name="40% - Accent1 2 2 2 3 3 3" xfId="20496"/>
    <cellStyle name="60% - Accent1 2 2 2 3 3 3" xfId="20497"/>
    <cellStyle name="20% - Accent2 2 2 2 3 3 3" xfId="20498"/>
    <cellStyle name="40% - Accent2 2 2 2 3 3 3" xfId="20499"/>
    <cellStyle name="60% - Accent2 2 2 2 3 3 3" xfId="20500"/>
    <cellStyle name="20% - Accent3 2 2 2 3 3 3" xfId="20501"/>
    <cellStyle name="40% - Accent3 2 2 2 3 3 3" xfId="20502"/>
    <cellStyle name="60% - Accent3 2 2 2 3 3 3" xfId="20503"/>
    <cellStyle name="20% - Accent4 2 2 2 3 3 3" xfId="20504"/>
    <cellStyle name="40% - Accent4 2 2 2 3 3 3" xfId="20505"/>
    <cellStyle name="60% - Accent4 2 2 2 3 3 3" xfId="20506"/>
    <cellStyle name="20% - Accent5 2 2 2 3 3 3" xfId="20507"/>
    <cellStyle name="40% - Accent5 2 2 2 3 3 3" xfId="20508"/>
    <cellStyle name="60% - Accent5 2 2 2 3 3 3" xfId="20509"/>
    <cellStyle name="20% - Accent6 2 2 2 3 3 3" xfId="20510"/>
    <cellStyle name="40% - Accent6 2 2 2 3 3 3" xfId="20511"/>
    <cellStyle name="60% - Accent6 2 2 2 3 3 3" xfId="20512"/>
    <cellStyle name="Comma 2 2 2 2 3 4 3" xfId="20513"/>
    <cellStyle name="Comma 4 2 2 3 4 3" xfId="20514"/>
    <cellStyle name="Normal 3 8 2 2 3 3 3" xfId="20515"/>
    <cellStyle name="Normal 3 10 3 3 3" xfId="20516"/>
    <cellStyle name="Normal 3 11 3 3 3" xfId="20517"/>
    <cellStyle name="Normal 5 4 2 3 3" xfId="20518"/>
    <cellStyle name="Normal 7 3 2 3 3" xfId="20519"/>
    <cellStyle name="Normal 3 2 2 2 3 2 3 3" xfId="20520"/>
    <cellStyle name="Normal 8 2 2 3 3" xfId="20521"/>
    <cellStyle name="Normal 3 2 2 2 2 2 2 3 3" xfId="20522"/>
    <cellStyle name="Comma 3 6 4 3" xfId="20523"/>
    <cellStyle name="Normal 3 6 4 2 3 3" xfId="20524"/>
    <cellStyle name="Normal 3 12 2 3 3" xfId="20525"/>
    <cellStyle name="Normal 3 2 5 2 3 3" xfId="20526"/>
    <cellStyle name="Normal 3 3 5 2 3 3" xfId="20527"/>
    <cellStyle name="Normal 3 4 5 2 3 3" xfId="20528"/>
    <cellStyle name="Normal 3 5 5 2 3 3" xfId="20529"/>
    <cellStyle name="20% - Accent1 5 2 3 3" xfId="20530"/>
    <cellStyle name="40% - Accent1 5 2 3 3" xfId="20531"/>
    <cellStyle name="60% - Accent1 5 2 3 3" xfId="20532"/>
    <cellStyle name="20% - Accent2 5 2 3 3" xfId="20533"/>
    <cellStyle name="40% - Accent2 5 2 3 3" xfId="20534"/>
    <cellStyle name="60% - Accent2 5 2 3 3" xfId="20535"/>
    <cellStyle name="20% - Accent3 5 2 3 3" xfId="20536"/>
    <cellStyle name="40% - Accent3 5 2 3 3" xfId="20537"/>
    <cellStyle name="60% - Accent3 5 2 3 3" xfId="20538"/>
    <cellStyle name="20% - Accent4 5 2 3 3" xfId="20539"/>
    <cellStyle name="40% - Accent4 5 2 3 3" xfId="20540"/>
    <cellStyle name="60% - Accent4 5 2 3 3" xfId="20541"/>
    <cellStyle name="20% - Accent5 5 2 3 3" xfId="20542"/>
    <cellStyle name="40% - Accent5 5 2 3 3" xfId="20543"/>
    <cellStyle name="60% - Accent5 5 2 3 3" xfId="20544"/>
    <cellStyle name="20% - Accent6 5 2 3 3" xfId="20545"/>
    <cellStyle name="40% - Accent6 5 2 3 3" xfId="20546"/>
    <cellStyle name="60% - Accent6 5 2 3 3" xfId="20547"/>
    <cellStyle name="Normal 3 2 2 4 2 3 3" xfId="20548"/>
    <cellStyle name="Normal 3 3 2 4 2 3 3" xfId="20549"/>
    <cellStyle name="Normal 3 4 2 4 2 3 3" xfId="20550"/>
    <cellStyle name="Normal 3 5 2 4 2 3 3" xfId="20551"/>
    <cellStyle name="Percent 3 4 2 3 3" xfId="20552"/>
    <cellStyle name="Note 2 4 2 3 3" xfId="20553"/>
    <cellStyle name="Comma 2 6 2 4 3" xfId="20554"/>
    <cellStyle name="Comma 3 5 2 4 3" xfId="20555"/>
    <cellStyle name="Percent 4 4 2 3 3" xfId="20556"/>
    <cellStyle name="Normal 3 7 4 2 3 3" xfId="20557"/>
    <cellStyle name="Note 3 4 2 3 3" xfId="20558"/>
    <cellStyle name="20% - Accent1 2 4 2 3 3" xfId="20559"/>
    <cellStyle name="40% - Accent1 2 4 2 3 3" xfId="20560"/>
    <cellStyle name="60% - Accent1 2 4 2 3 3" xfId="20561"/>
    <cellStyle name="20% - Accent2 2 4 2 3 3" xfId="20562"/>
    <cellStyle name="40% - Accent2 2 4 2 3 3" xfId="20563"/>
    <cellStyle name="60% - Accent2 2 4 2 3 3" xfId="20564"/>
    <cellStyle name="20% - Accent3 2 4 2 3 3" xfId="20565"/>
    <cellStyle name="40% - Accent3 2 4 2 3 3" xfId="20566"/>
    <cellStyle name="60% - Accent3 2 4 2 3 3" xfId="20567"/>
    <cellStyle name="20% - Accent4 2 4 2 3 3" xfId="20568"/>
    <cellStyle name="40% - Accent4 2 4 2 3 3" xfId="20569"/>
    <cellStyle name="60% - Accent4 2 4 2 3 3" xfId="20570"/>
    <cellStyle name="20% - Accent5 2 4 2 3 3" xfId="20571"/>
    <cellStyle name="40% - Accent5 2 4 2 3 3" xfId="20572"/>
    <cellStyle name="60% - Accent5 2 4 2 3 3" xfId="20573"/>
    <cellStyle name="20% - Accent6 2 4 2 3 3" xfId="20574"/>
    <cellStyle name="40% - Accent6 2 4 2 3 3" xfId="20575"/>
    <cellStyle name="60% - Accent6 2 4 2 3 3" xfId="20576"/>
    <cellStyle name="Comma 2 2 5 2 4 3" xfId="20577"/>
    <cellStyle name="Comma 4 5 2 4 3" xfId="20578"/>
    <cellStyle name="Normal 3 8 4 2 3 3" xfId="20579"/>
    <cellStyle name="Comma 5 3 2 4 3" xfId="20580"/>
    <cellStyle name="20% - Accent1 3 3 2 3 3" xfId="20581"/>
    <cellStyle name="40% - Accent1 3 3 2 3 3" xfId="20582"/>
    <cellStyle name="60% - Accent1 3 3 2 3 3" xfId="20583"/>
    <cellStyle name="20% - Accent2 3 3 2 3 3" xfId="20584"/>
    <cellStyle name="40% - Accent2 3 3 2 3 3" xfId="20585"/>
    <cellStyle name="60% - Accent2 3 3 2 3 3" xfId="20586"/>
    <cellStyle name="20% - Accent3 3 3 2 3 3" xfId="20587"/>
    <cellStyle name="40% - Accent3 3 3 2 3 3" xfId="20588"/>
    <cellStyle name="60% - Accent3 3 3 2 3 3" xfId="20589"/>
    <cellStyle name="20% - Accent4 3 3 2 3 3" xfId="20590"/>
    <cellStyle name="40% - Accent4 3 3 2 3 3" xfId="20591"/>
    <cellStyle name="60% - Accent4 3 3 2 3 3" xfId="20592"/>
    <cellStyle name="20% - Accent5 3 3 2 3 3" xfId="20593"/>
    <cellStyle name="40% - Accent5 3 3 2 3 3" xfId="20594"/>
    <cellStyle name="60% - Accent5 3 3 2 3 3" xfId="20595"/>
    <cellStyle name="20% - Accent6 3 3 2 3 3" xfId="20596"/>
    <cellStyle name="40% - Accent6 3 3 2 3 3" xfId="20597"/>
    <cellStyle name="60% - Accent6 3 3 2 3 3" xfId="20598"/>
    <cellStyle name="Normal 3 2 3 3 2 3 3" xfId="20599"/>
    <cellStyle name="Normal 3 3 3 3 2 3 3" xfId="20600"/>
    <cellStyle name="Normal 3 4 3 3 2 3 3" xfId="20601"/>
    <cellStyle name="Normal 3 5 3 3 2 3 3" xfId="20602"/>
    <cellStyle name="Normal 3 3 2 2 3 2 3 3" xfId="20603"/>
    <cellStyle name="Normal 3 4 2 2 3 2 3 3" xfId="20604"/>
    <cellStyle name="Normal 3 5 2 2 3 2 3 3" xfId="20605"/>
    <cellStyle name="Normal 5 2 3 2 3 3" xfId="20606"/>
    <cellStyle name="Percent 3 2 3 2 3 3" xfId="20607"/>
    <cellStyle name="Note 2 2 3 2 3 3" xfId="20608"/>
    <cellStyle name="Normal 3 6 2 3 2 3 3" xfId="20609"/>
    <cellStyle name="Comma 2 3 3 2 4 3" xfId="20610"/>
    <cellStyle name="Comma 3 2 3 2 4 3" xfId="20611"/>
    <cellStyle name="Percent 4 2 3 2 3 3" xfId="20612"/>
    <cellStyle name="Normal 3 7 2 3 2 3 3" xfId="20613"/>
    <cellStyle name="Note 3 2 3 2 3 3" xfId="20614"/>
    <cellStyle name="20% - Accent1 2 2 3 2 3 3" xfId="20615"/>
    <cellStyle name="40% - Accent1 2 2 3 2 3 3" xfId="20616"/>
    <cellStyle name="60% - Accent1 2 2 3 2 3 3" xfId="20617"/>
    <cellStyle name="20% - Accent2 2 2 3 2 3 3" xfId="20618"/>
    <cellStyle name="40% - Accent2 2 2 3 2 3 3" xfId="20619"/>
    <cellStyle name="60% - Accent2 2 2 3 2 3 3" xfId="20620"/>
    <cellStyle name="20% - Accent3 2 2 3 2 3 3" xfId="20621"/>
    <cellStyle name="40% - Accent3 2 2 3 2 3 3" xfId="20622"/>
    <cellStyle name="60% - Accent3 2 2 3 2 3 3" xfId="20623"/>
    <cellStyle name="20% - Accent4 2 2 3 2 3 3" xfId="20624"/>
    <cellStyle name="40% - Accent4 2 2 3 2 3 3" xfId="20625"/>
    <cellStyle name="60% - Accent4 2 2 3 2 3 3" xfId="20626"/>
    <cellStyle name="20% - Accent5 2 2 3 2 3 3" xfId="20627"/>
    <cellStyle name="40% - Accent5 2 2 3 2 3 3" xfId="20628"/>
    <cellStyle name="60% - Accent5 2 2 3 2 3 3" xfId="20629"/>
    <cellStyle name="20% - Accent6 2 2 3 2 3 3" xfId="20630"/>
    <cellStyle name="40% - Accent6 2 2 3 2 3 3" xfId="20631"/>
    <cellStyle name="60% - Accent6 2 2 3 2 3 3" xfId="20632"/>
    <cellStyle name="Comma 2 2 2 3 2 4 3" xfId="20633"/>
    <cellStyle name="Comma 4 2 3 2 4 3" xfId="20634"/>
    <cellStyle name="Normal 3 8 2 3 2 3 3" xfId="20635"/>
    <cellStyle name="Comma 6 2 2 4 3" xfId="20636"/>
    <cellStyle name="20% - Accent1 4 2 2 3 3" xfId="20637"/>
    <cellStyle name="40% - Accent1 4 2 2 3 3" xfId="20638"/>
    <cellStyle name="60% - Accent1 4 2 2 3 3" xfId="20639"/>
    <cellStyle name="20% - Accent2 4 2 2 3 3" xfId="20640"/>
    <cellStyle name="40% - Accent2 4 2 2 3 3" xfId="20641"/>
    <cellStyle name="60% - Accent2 4 2 2 3 3" xfId="20642"/>
    <cellStyle name="20% - Accent3 4 2 2 3 3" xfId="20643"/>
    <cellStyle name="40% - Accent3 4 2 2 3 3" xfId="20644"/>
    <cellStyle name="60% - Accent3 4 2 2 3 3" xfId="20645"/>
    <cellStyle name="20% - Accent4 4 2 2 3 3" xfId="20646"/>
    <cellStyle name="40% - Accent4 4 2 2 3 3" xfId="20647"/>
    <cellStyle name="60% - Accent4 4 2 2 3 3" xfId="20648"/>
    <cellStyle name="20% - Accent5 4 2 2 3 3" xfId="20649"/>
    <cellStyle name="40% - Accent5 4 2 2 3 3" xfId="20650"/>
    <cellStyle name="60% - Accent5 4 2 2 3 3" xfId="20651"/>
    <cellStyle name="20% - Accent6 4 2 2 3 3" xfId="20652"/>
    <cellStyle name="40% - Accent6 4 2 2 3 3" xfId="20653"/>
    <cellStyle name="60% - Accent6 4 2 2 3 3" xfId="20654"/>
    <cellStyle name="Normal 3 2 4 2 2 3 3" xfId="20655"/>
    <cellStyle name="Normal 3 3 4 2 2 3 3" xfId="20656"/>
    <cellStyle name="Normal 3 4 4 2 2 3 3" xfId="20657"/>
    <cellStyle name="Normal 3 5 4 2 2 3 3" xfId="20658"/>
    <cellStyle name="Normal 3 2 2 3 2 2 3 3" xfId="20659"/>
    <cellStyle name="Normal 3 3 2 3 2 2 3 3" xfId="20660"/>
    <cellStyle name="Normal 3 4 2 3 2 2 3 3" xfId="20661"/>
    <cellStyle name="Normal 3 5 2 3 2 2 3 3" xfId="20662"/>
    <cellStyle name="Normal 5 3 2 2 3 3" xfId="20663"/>
    <cellStyle name="Percent 3 3 2 2 3 3" xfId="20664"/>
    <cellStyle name="Note 2 3 2 2 3 3" xfId="20665"/>
    <cellStyle name="Normal 3 6 3 2 2 3 3" xfId="20666"/>
    <cellStyle name="Comma 2 5 2 2 4 3" xfId="20667"/>
    <cellStyle name="Comma 3 4 2 2 4 3" xfId="20668"/>
    <cellStyle name="Percent 4 3 2 2 3 3" xfId="20669"/>
    <cellStyle name="Normal 3 7 3 2 2 3 3" xfId="20670"/>
    <cellStyle name="Note 3 3 2 2 3 3" xfId="20671"/>
    <cellStyle name="20% - Accent1 2 3 2 2 3 3" xfId="20672"/>
    <cellStyle name="40% - Accent1 2 3 2 2 3 3" xfId="20673"/>
    <cellStyle name="60% - Accent1 2 3 2 2 3 3" xfId="20674"/>
    <cellStyle name="20% - Accent2 2 3 2 2 3 3" xfId="20675"/>
    <cellStyle name="40% - Accent2 2 3 2 2 3 3" xfId="20676"/>
    <cellStyle name="60% - Accent2 2 3 2 2 3 3" xfId="20677"/>
    <cellStyle name="20% - Accent3 2 3 2 2 3 3" xfId="20678"/>
    <cellStyle name="40% - Accent3 2 3 2 2 3 3" xfId="20679"/>
    <cellStyle name="60% - Accent3 2 3 2 2 3 3" xfId="20680"/>
    <cellStyle name="20% - Accent4 2 3 2 2 3 3" xfId="20681"/>
    <cellStyle name="40% - Accent4 2 3 2 2 3 3" xfId="20682"/>
    <cellStyle name="60% - Accent4 2 3 2 2 3 3" xfId="20683"/>
    <cellStyle name="20% - Accent5 2 3 2 2 3 3" xfId="20684"/>
    <cellStyle name="40% - Accent5 2 3 2 2 3 3" xfId="20685"/>
    <cellStyle name="60% - Accent5 2 3 2 2 3 3" xfId="20686"/>
    <cellStyle name="20% - Accent6 2 3 2 2 3 3" xfId="20687"/>
    <cellStyle name="40% - Accent6 2 3 2 2 3 3" xfId="20688"/>
    <cellStyle name="60% - Accent6 2 3 2 2 3 3" xfId="20689"/>
    <cellStyle name="Comma 2 2 4 2 2 4 3" xfId="20690"/>
    <cellStyle name="Comma 4 4 2 2 4 3" xfId="20691"/>
    <cellStyle name="Normal 3 8 3 2 2 3 3" xfId="20692"/>
    <cellStyle name="Comma 2 4 2 2 4 3" xfId="20693"/>
    <cellStyle name="Comma 3 3 2 2 4 3" xfId="20694"/>
    <cellStyle name="Comma 2 2 3 2 2 4 3" xfId="20695"/>
    <cellStyle name="Comma 4 3 2 2 4 3" xfId="20696"/>
    <cellStyle name="Normal 7 2 2 2 3 3" xfId="20697"/>
    <cellStyle name="Comma 5 2 2 2 4 3" xfId="20698"/>
    <cellStyle name="20% - Accent1 3 2 2 2 3 3" xfId="20699"/>
    <cellStyle name="40% - Accent1 3 2 2 2 3 3" xfId="20700"/>
    <cellStyle name="60% - Accent1 3 2 2 2 3 3" xfId="20701"/>
    <cellStyle name="20% - Accent2 3 2 2 2 3 3" xfId="20702"/>
    <cellStyle name="40% - Accent2 3 2 2 2 3 3" xfId="20703"/>
    <cellStyle name="60% - Accent2 3 2 2 2 3 3" xfId="20704"/>
    <cellStyle name="20% - Accent3 3 2 2 2 3 3" xfId="20705"/>
    <cellStyle name="40% - Accent3 3 2 2 2 3 3" xfId="20706"/>
    <cellStyle name="60% - Accent3 3 2 2 2 3 3" xfId="20707"/>
    <cellStyle name="20% - Accent4 3 2 2 2 3 3" xfId="20708"/>
    <cellStyle name="40% - Accent4 3 2 2 2 3 3" xfId="20709"/>
    <cellStyle name="60% - Accent4 3 2 2 2 3 3" xfId="20710"/>
    <cellStyle name="20% - Accent5 3 2 2 2 3 3" xfId="20711"/>
    <cellStyle name="40% - Accent5 3 2 2 2 3 3" xfId="20712"/>
    <cellStyle name="60% - Accent5 3 2 2 2 3 3" xfId="20713"/>
    <cellStyle name="20% - Accent6 3 2 2 2 3 3" xfId="20714"/>
    <cellStyle name="40% - Accent6 3 2 2 2 3 3" xfId="20715"/>
    <cellStyle name="60% - Accent6 3 2 2 2 3 3" xfId="20716"/>
    <cellStyle name="Normal 3 2 3 2 2 2 3 3" xfId="20717"/>
    <cellStyle name="Normal 3 3 3 2 2 2 3 3" xfId="20718"/>
    <cellStyle name="Normal 3 4 3 2 2 2 3 3" xfId="20719"/>
    <cellStyle name="Normal 3 5 3 2 2 2 3 3" xfId="20720"/>
    <cellStyle name="Normal 3 3 2 2 2 2 2 3 3" xfId="20721"/>
    <cellStyle name="Normal 3 4 2 2 2 2 2 3 3" xfId="20722"/>
    <cellStyle name="Normal 3 5 2 2 2 2 2 3 3" xfId="20723"/>
    <cellStyle name="Normal 5 2 2 2 2 3 3" xfId="20724"/>
    <cellStyle name="Percent 3 2 2 2 2 3 3" xfId="20725"/>
    <cellStyle name="Note 2 2 2 2 2 3 3" xfId="20726"/>
    <cellStyle name="Normal 3 6 2 2 2 2 3 3" xfId="20727"/>
    <cellStyle name="Comma 2 3 2 2 2 4 3" xfId="20728"/>
    <cellStyle name="Comma 3 2 2 2 2 4 3" xfId="20729"/>
    <cellStyle name="Percent 4 2 2 2 2 3 3" xfId="20730"/>
    <cellStyle name="Normal 3 7 2 2 2 2 3 3" xfId="20731"/>
    <cellStyle name="Note 3 2 2 2 2 3 3" xfId="20732"/>
    <cellStyle name="20% - Accent1 2 2 2 2 2 3 3" xfId="20733"/>
    <cellStyle name="40% - Accent1 2 2 2 2 2 3 3" xfId="20734"/>
    <cellStyle name="60% - Accent1 2 2 2 2 2 3 3" xfId="20735"/>
    <cellStyle name="20% - Accent2 2 2 2 2 2 3 3" xfId="20736"/>
    <cellStyle name="40% - Accent2 2 2 2 2 2 3 3" xfId="20737"/>
    <cellStyle name="60% - Accent2 2 2 2 2 2 3 3" xfId="20738"/>
    <cellStyle name="20% - Accent3 2 2 2 2 2 3 3" xfId="20739"/>
    <cellStyle name="40% - Accent3 2 2 2 2 2 3 3" xfId="20740"/>
    <cellStyle name="60% - Accent3 2 2 2 2 2 3 3" xfId="20741"/>
    <cellStyle name="20% - Accent4 2 2 2 2 2 3 3" xfId="20742"/>
    <cellStyle name="40% - Accent4 2 2 2 2 2 3 3" xfId="20743"/>
    <cellStyle name="60% - Accent4 2 2 2 2 2 3 3" xfId="20744"/>
    <cellStyle name="20% - Accent5 2 2 2 2 2 3 3" xfId="20745"/>
    <cellStyle name="40% - Accent5 2 2 2 2 2 3 3" xfId="20746"/>
    <cellStyle name="60% - Accent5 2 2 2 2 2 3 3" xfId="20747"/>
    <cellStyle name="20% - Accent6 2 2 2 2 2 3 3" xfId="20748"/>
    <cellStyle name="40% - Accent6 2 2 2 2 2 3 3" xfId="20749"/>
    <cellStyle name="60% - Accent6 2 2 2 2 2 3 3" xfId="20750"/>
    <cellStyle name="Comma 2 2 2 2 2 2 4 3" xfId="20751"/>
    <cellStyle name="Comma 4 2 2 2 2 4 3" xfId="20752"/>
    <cellStyle name="Normal 3 8 2 2 2 2 3 3" xfId="20753"/>
    <cellStyle name="Normal 3 10 2 2 3 3" xfId="20754"/>
    <cellStyle name="Normal 3 11 2 2 3 3" xfId="20755"/>
    <cellStyle name="Normal 3 13 3 3" xfId="20756"/>
    <cellStyle name="Normal 3 2 7 3 3" xfId="20757"/>
    <cellStyle name="Normal 3 3 7 3 3" xfId="20758"/>
    <cellStyle name="Normal 3 4 7 3 3" xfId="20759"/>
    <cellStyle name="Normal 3 5 7 3 3" xfId="20760"/>
    <cellStyle name="20% - Accent1 7 3 3" xfId="20761"/>
    <cellStyle name="40% - Accent1 7 3 3" xfId="20762"/>
    <cellStyle name="60% - Accent1 7 3 3" xfId="20763"/>
    <cellStyle name="20% - Accent2 7 3 3" xfId="20764"/>
    <cellStyle name="40% - Accent2 7 3 3" xfId="20765"/>
    <cellStyle name="60% - Accent2 7 3 3" xfId="20766"/>
    <cellStyle name="20% - Accent3 7 3 3" xfId="20767"/>
    <cellStyle name="40% - Accent3 7 3 3" xfId="20768"/>
    <cellStyle name="60% - Accent3 7 3 3" xfId="20769"/>
    <cellStyle name="20% - Accent4 7 3 3" xfId="20770"/>
    <cellStyle name="40% - Accent4 7 3 3" xfId="20771"/>
    <cellStyle name="60% - Accent4 7 3 3" xfId="20772"/>
    <cellStyle name="20% - Accent5 7 3 3" xfId="20773"/>
    <cellStyle name="40% - Accent5 7 3 3" xfId="20774"/>
    <cellStyle name="60% - Accent5 7 3 3" xfId="20775"/>
    <cellStyle name="20% - Accent6 7 3 3" xfId="20776"/>
    <cellStyle name="40% - Accent6 7 3 3" xfId="20777"/>
    <cellStyle name="60% - Accent6 7 3 3" xfId="20778"/>
    <cellStyle name="Normal 3 2 2 6 3 3" xfId="20779"/>
    <cellStyle name="Normal 3 3 2 6 3 3" xfId="20780"/>
    <cellStyle name="Normal 3 4 2 6 3 3" xfId="20781"/>
    <cellStyle name="Normal 3 5 2 6 3 3" xfId="20782"/>
    <cellStyle name="Normal 5 6 3 3" xfId="20783"/>
    <cellStyle name="Percent 3 6 3 3" xfId="20784"/>
    <cellStyle name="Note 2 6 3 3" xfId="20785"/>
    <cellStyle name="Normal 3 6 6 3 3" xfId="20786"/>
    <cellStyle name="Comma 2 8 4 3" xfId="20787"/>
    <cellStyle name="Comma 3 8 4 3" xfId="20788"/>
    <cellStyle name="Percent 4 6 3 3" xfId="20789"/>
    <cellStyle name="Normal 3 7 6 3 3" xfId="20790"/>
    <cellStyle name="Note 3 6 3 3" xfId="20791"/>
    <cellStyle name="20% - Accent1 2 6 3 3" xfId="20792"/>
    <cellStyle name="40% - Accent1 2 6 3 3" xfId="20793"/>
    <cellStyle name="60% - Accent1 2 6 3 3" xfId="20794"/>
    <cellStyle name="20% - Accent2 2 6 3 3" xfId="20795"/>
    <cellStyle name="40% - Accent2 2 6 3 3" xfId="20796"/>
    <cellStyle name="60% - Accent2 2 6 3 3" xfId="20797"/>
    <cellStyle name="20% - Accent3 2 6 3 3" xfId="20798"/>
    <cellStyle name="40% - Accent3 2 6 3 3" xfId="20799"/>
    <cellStyle name="60% - Accent3 2 6 3 3" xfId="20800"/>
    <cellStyle name="20% - Accent4 2 6 3 3" xfId="20801"/>
    <cellStyle name="40% - Accent4 2 6 3 3" xfId="20802"/>
    <cellStyle name="60% - Accent4 2 6 3 3" xfId="20803"/>
    <cellStyle name="20% - Accent5 2 6 3 3" xfId="20804"/>
    <cellStyle name="40% - Accent5 2 6 3 3" xfId="20805"/>
    <cellStyle name="60% - Accent5 2 6 3 3" xfId="20806"/>
    <cellStyle name="20% - Accent6 2 6 3 3" xfId="20807"/>
    <cellStyle name="40% - Accent6 2 6 3 3" xfId="20808"/>
    <cellStyle name="60% - Accent6 2 6 3 3" xfId="20809"/>
    <cellStyle name="Comma 2 2 7 4 3" xfId="20810"/>
    <cellStyle name="Comma 4 7 4 3" xfId="20811"/>
    <cellStyle name="Normal 3 8 6 3 3" xfId="20812"/>
    <cellStyle name="Normal 7 5 3 3" xfId="20813"/>
    <cellStyle name="Comma 5 5 4 3" xfId="20814"/>
    <cellStyle name="20% - Accent1 3 5 3 3" xfId="20815"/>
    <cellStyle name="40% - Accent1 3 5 3 3" xfId="20816"/>
    <cellStyle name="60% - Accent1 3 5 3 3" xfId="20817"/>
    <cellStyle name="20% - Accent2 3 5 3 3" xfId="20818"/>
    <cellStyle name="40% - Accent2 3 5 3 3" xfId="20819"/>
    <cellStyle name="60% - Accent2 3 5 3 3" xfId="20820"/>
    <cellStyle name="20% - Accent3 3 5 3 3" xfId="20821"/>
    <cellStyle name="40% - Accent3 3 5 3 3" xfId="20822"/>
    <cellStyle name="60% - Accent3 3 5 3 3" xfId="20823"/>
    <cellStyle name="20% - Accent4 3 5 3 3" xfId="20824"/>
    <cellStyle name="40% - Accent4 3 5 3 3" xfId="20825"/>
    <cellStyle name="60% - Accent4 3 5 3 3" xfId="20826"/>
    <cellStyle name="20% - Accent5 3 5 3 3" xfId="20827"/>
    <cellStyle name="40% - Accent5 3 5 3 3" xfId="20828"/>
    <cellStyle name="60% - Accent5 3 5 3 3" xfId="20829"/>
    <cellStyle name="20% - Accent6 3 5 3 3" xfId="20830"/>
    <cellStyle name="40% - Accent6 3 5 3 3" xfId="20831"/>
    <cellStyle name="60% - Accent6 3 5 3 3" xfId="20832"/>
    <cellStyle name="Normal 3 2 3 5 3 3" xfId="20833"/>
    <cellStyle name="Normal 3 3 3 5 3 3" xfId="20834"/>
    <cellStyle name="Normal 3 4 3 5 3 3" xfId="20835"/>
    <cellStyle name="Normal 3 5 3 5 3 3" xfId="20836"/>
    <cellStyle name="Normal 3 2 2 2 5 3 3" xfId="20837"/>
    <cellStyle name="Normal 3 3 2 2 5 3 3" xfId="20838"/>
    <cellStyle name="Normal 3 4 2 2 5 3 3" xfId="20839"/>
    <cellStyle name="Normal 3 5 2 2 5 3 3" xfId="20840"/>
    <cellStyle name="Normal 5 2 5 3 3" xfId="20841"/>
    <cellStyle name="Percent 3 2 5 3 3" xfId="20842"/>
    <cellStyle name="Note 2 2 5 3 3" xfId="20843"/>
    <cellStyle name="Normal 3 6 2 5 3 3" xfId="20844"/>
    <cellStyle name="Comma 2 3 5 4 3" xfId="20845"/>
    <cellStyle name="Comma 3 2 5 4 3" xfId="20846"/>
    <cellStyle name="Percent 4 2 5 3 3" xfId="20847"/>
    <cellStyle name="Normal 3 7 2 5 3 3" xfId="20848"/>
    <cellStyle name="Note 3 2 5 3 3" xfId="20849"/>
    <cellStyle name="20% - Accent1 2 2 5 3 3" xfId="20850"/>
    <cellStyle name="40% - Accent1 2 2 5 3 3" xfId="20851"/>
    <cellStyle name="60% - Accent1 2 2 5 3 3" xfId="20852"/>
    <cellStyle name="20% - Accent2 2 2 5 3 3" xfId="20853"/>
    <cellStyle name="40% - Accent2 2 2 5 3 3" xfId="20854"/>
    <cellStyle name="60% - Accent2 2 2 5 3 3" xfId="20855"/>
    <cellStyle name="20% - Accent3 2 2 5 3 3" xfId="20856"/>
    <cellStyle name="40% - Accent3 2 2 5 3 3" xfId="20857"/>
    <cellStyle name="60% - Accent3 2 2 5 3 3" xfId="20858"/>
    <cellStyle name="20% - Accent4 2 2 5 3 3" xfId="20859"/>
    <cellStyle name="40% - Accent4 2 2 5 3 3" xfId="20860"/>
    <cellStyle name="60% - Accent4 2 2 5 3 3" xfId="20861"/>
    <cellStyle name="20% - Accent5 2 2 5 3 3" xfId="20862"/>
    <cellStyle name="40% - Accent5 2 2 5 3 3" xfId="20863"/>
    <cellStyle name="60% - Accent5 2 2 5 3 3" xfId="20864"/>
    <cellStyle name="20% - Accent6 2 2 5 3 3" xfId="20865"/>
    <cellStyle name="40% - Accent6 2 2 5 3 3" xfId="20866"/>
    <cellStyle name="60% - Accent6 2 2 5 3 3" xfId="20867"/>
    <cellStyle name="Comma 2 2 2 5 4 3" xfId="20868"/>
    <cellStyle name="Comma 4 2 5 4 3" xfId="20869"/>
    <cellStyle name="Normal 3 8 2 5 3 3" xfId="20870"/>
    <cellStyle name="Normal 8 4 3 3" xfId="20871"/>
    <cellStyle name="Comma 6 4 4 3" xfId="20872"/>
    <cellStyle name="20% - Accent1 4 4 3 3" xfId="20873"/>
    <cellStyle name="40% - Accent1 4 4 3 3" xfId="20874"/>
    <cellStyle name="60% - Accent1 4 4 3 3" xfId="20875"/>
    <cellStyle name="20% - Accent2 4 4 3 3" xfId="20876"/>
    <cellStyle name="40% - Accent2 4 4 3 3" xfId="20877"/>
    <cellStyle name="60% - Accent2 4 4 3 3" xfId="20878"/>
    <cellStyle name="20% - Accent3 4 4 3 3" xfId="20879"/>
    <cellStyle name="40% - Accent3 4 4 3 3" xfId="20880"/>
    <cellStyle name="60% - Accent3 4 4 3 3" xfId="20881"/>
    <cellStyle name="20% - Accent4 4 4 3 3" xfId="20882"/>
    <cellStyle name="40% - Accent4 4 4 3 3" xfId="20883"/>
    <cellStyle name="60% - Accent4 4 4 3 3" xfId="20884"/>
    <cellStyle name="20% - Accent5 4 4 3 3" xfId="20885"/>
    <cellStyle name="40% - Accent5 4 4 3 3" xfId="20886"/>
    <cellStyle name="60% - Accent5 4 4 3 3" xfId="20887"/>
    <cellStyle name="20% - Accent6 4 4 3 3" xfId="20888"/>
    <cellStyle name="40% - Accent6 4 4 3 3" xfId="20889"/>
    <cellStyle name="60% - Accent6 4 4 3 3" xfId="20890"/>
    <cellStyle name="Normal 3 2 4 4 3 3" xfId="20891"/>
    <cellStyle name="Normal 3 3 4 4 3 3" xfId="20892"/>
    <cellStyle name="Normal 3 4 4 4 3 3" xfId="20893"/>
    <cellStyle name="Normal 3 5 4 4 3 3" xfId="20894"/>
    <cellStyle name="Normal 3 2 2 3 4 3 3" xfId="20895"/>
    <cellStyle name="Normal 3 3 2 3 4 3 3" xfId="20896"/>
    <cellStyle name="Normal 3 4 2 3 4 3 3" xfId="20897"/>
    <cellStyle name="Normal 3 5 2 3 4 3 3" xfId="20898"/>
    <cellStyle name="Normal 5 3 4 3 3" xfId="20899"/>
    <cellStyle name="Percent 3 3 4 3 3" xfId="20900"/>
    <cellStyle name="Note 2 3 4 3 3" xfId="20901"/>
    <cellStyle name="Normal 3 6 3 4 3 3" xfId="20902"/>
    <cellStyle name="Comma 2 5 4 4 3" xfId="20903"/>
    <cellStyle name="Comma 3 4 4 4 3" xfId="20904"/>
    <cellStyle name="Percent 4 3 4 3 3" xfId="20905"/>
    <cellStyle name="Normal 3 7 3 4 3 3" xfId="20906"/>
    <cellStyle name="Note 3 3 4 3 3" xfId="20907"/>
    <cellStyle name="20% - Accent1 2 3 4 3 3" xfId="20908"/>
    <cellStyle name="40% - Accent1 2 3 4 3 3" xfId="20909"/>
    <cellStyle name="60% - Accent1 2 3 4 3 3" xfId="20910"/>
    <cellStyle name="20% - Accent2 2 3 4 3 3" xfId="20911"/>
    <cellStyle name="40% - Accent2 2 3 4 3 3" xfId="20912"/>
    <cellStyle name="60% - Accent2 2 3 4 3 3" xfId="20913"/>
    <cellStyle name="20% - Accent3 2 3 4 3 3" xfId="20914"/>
    <cellStyle name="40% - Accent3 2 3 4 3 3" xfId="20915"/>
    <cellStyle name="60% - Accent3 2 3 4 3 3" xfId="20916"/>
    <cellStyle name="20% - Accent4 2 3 4 3 3" xfId="20917"/>
    <cellStyle name="40% - Accent4 2 3 4 3 3" xfId="20918"/>
    <cellStyle name="60% - Accent4 2 3 4 3 3" xfId="20919"/>
    <cellStyle name="20% - Accent5 2 3 4 3 3" xfId="20920"/>
    <cellStyle name="40% - Accent5 2 3 4 3 3" xfId="20921"/>
    <cellStyle name="60% - Accent5 2 3 4 3 3" xfId="20922"/>
    <cellStyle name="20% - Accent6 2 3 4 3 3" xfId="20923"/>
    <cellStyle name="40% - Accent6 2 3 4 3 3" xfId="20924"/>
    <cellStyle name="60% - Accent6 2 3 4 3 3" xfId="20925"/>
    <cellStyle name="Comma 2 2 4 4 4 3" xfId="20926"/>
    <cellStyle name="Comma 4 4 4 4 3" xfId="20927"/>
    <cellStyle name="Normal 3 8 3 4 3 3" xfId="20928"/>
    <cellStyle name="Comma 2 4 4 4 3" xfId="20929"/>
    <cellStyle name="Comma 3 3 4 4 3" xfId="20930"/>
    <cellStyle name="Comma 2 2 3 4 4 3" xfId="20931"/>
    <cellStyle name="Comma 4 3 4 4 3" xfId="20932"/>
    <cellStyle name="Normal 7 2 4 3 3" xfId="20933"/>
    <cellStyle name="Comma 5 2 4 4 3" xfId="20934"/>
    <cellStyle name="20% - Accent1 3 2 4 3 3" xfId="20935"/>
    <cellStyle name="40% - Accent1 3 2 4 3 3" xfId="20936"/>
    <cellStyle name="60% - Accent1 3 2 4 3 3" xfId="20937"/>
    <cellStyle name="20% - Accent2 3 2 4 3 3" xfId="20938"/>
    <cellStyle name="40% - Accent2 3 2 4 3 3" xfId="20939"/>
    <cellStyle name="60% - Accent2 3 2 4 3 3" xfId="20940"/>
    <cellStyle name="20% - Accent3 3 2 4 3 3" xfId="20941"/>
    <cellStyle name="40% - Accent3 3 2 4 3 3" xfId="20942"/>
    <cellStyle name="60% - Accent3 3 2 4 3 3" xfId="20943"/>
    <cellStyle name="20% - Accent4 3 2 4 3 3" xfId="20944"/>
    <cellStyle name="40% - Accent4 3 2 4 3 3" xfId="20945"/>
    <cellStyle name="60% - Accent4 3 2 4 3 3" xfId="20946"/>
    <cellStyle name="20% - Accent5 3 2 4 3 3" xfId="20947"/>
    <cellStyle name="40% - Accent5 3 2 4 3 3" xfId="20948"/>
    <cellStyle name="60% - Accent5 3 2 4 3 3" xfId="20949"/>
    <cellStyle name="20% - Accent6 3 2 4 3 3" xfId="20950"/>
    <cellStyle name="40% - Accent6 3 2 4 3 3" xfId="20951"/>
    <cellStyle name="60% - Accent6 3 2 4 3 3" xfId="20952"/>
    <cellStyle name="Normal 3 2 3 2 4 3 3" xfId="20953"/>
    <cellStyle name="Normal 3 3 3 2 4 3 3" xfId="20954"/>
    <cellStyle name="Normal 3 4 3 2 4 3 3" xfId="20955"/>
    <cellStyle name="Normal 3 5 3 2 4 3 3" xfId="20956"/>
    <cellStyle name="Normal 3 2 2 2 2 4 3 3" xfId="20957"/>
    <cellStyle name="Normal 3 3 2 2 2 4 3 3" xfId="20958"/>
    <cellStyle name="Normal 3 4 2 2 2 4 3 3" xfId="20959"/>
    <cellStyle name="Normal 3 5 2 2 2 4 3 3" xfId="20960"/>
    <cellStyle name="Normal 5 2 2 4 3 3" xfId="20961"/>
    <cellStyle name="Percent 3 2 2 4 3 3" xfId="20962"/>
    <cellStyle name="Note 2 2 2 4 3 3" xfId="20963"/>
    <cellStyle name="Normal 3 6 2 2 4 3 3" xfId="20964"/>
    <cellStyle name="Comma 2 3 2 4 4 3" xfId="20965"/>
    <cellStyle name="Comma 3 2 2 4 4 3" xfId="20966"/>
    <cellStyle name="Percent 4 2 2 4 3 3" xfId="20967"/>
    <cellStyle name="Normal 3 7 2 2 4 3 3" xfId="20968"/>
    <cellStyle name="Note 3 2 2 4 3 3" xfId="20969"/>
    <cellStyle name="20% - Accent1 2 2 2 4 3 3" xfId="20970"/>
    <cellStyle name="40% - Accent1 2 2 2 4 3 3" xfId="20971"/>
    <cellStyle name="60% - Accent1 2 2 2 4 3 3" xfId="20972"/>
    <cellStyle name="20% - Accent2 2 2 2 4 3 3" xfId="20973"/>
    <cellStyle name="40% - Accent2 2 2 2 4 3 3" xfId="20974"/>
    <cellStyle name="60% - Accent2 2 2 2 4 3 3" xfId="20975"/>
    <cellStyle name="20% - Accent3 2 2 2 4 3 3" xfId="20976"/>
    <cellStyle name="40% - Accent3 2 2 2 4 3 3" xfId="20977"/>
    <cellStyle name="60% - Accent3 2 2 2 4 3 3" xfId="20978"/>
    <cellStyle name="20% - Accent4 2 2 2 4 3 3" xfId="20979"/>
    <cellStyle name="40% - Accent4 2 2 2 4 3 3" xfId="20980"/>
    <cellStyle name="60% - Accent4 2 2 2 4 3 3" xfId="20981"/>
    <cellStyle name="20% - Accent5 2 2 2 4 3 3" xfId="20982"/>
    <cellStyle name="40% - Accent5 2 2 2 4 3 3" xfId="20983"/>
    <cellStyle name="60% - Accent5 2 2 2 4 3 3" xfId="20984"/>
    <cellStyle name="20% - Accent6 2 2 2 4 3 3" xfId="20985"/>
    <cellStyle name="40% - Accent6 2 2 2 4 3 3" xfId="20986"/>
    <cellStyle name="60% - Accent6 2 2 2 4 3 3" xfId="20987"/>
    <cellStyle name="Comma 2 2 2 2 4 4 3" xfId="20988"/>
    <cellStyle name="Comma 4 2 2 4 4 3" xfId="20989"/>
    <cellStyle name="Normal 3 8 2 2 4 3 3" xfId="20990"/>
    <cellStyle name="Normal 3 10 4 3 3" xfId="20991"/>
    <cellStyle name="Normal 3 11 4 3 3" xfId="20992"/>
    <cellStyle name="Normal 12 3 3" xfId="20993"/>
    <cellStyle name="Percent 8 3 3" xfId="20994"/>
    <cellStyle name="Note 4 3 3" xfId="20995"/>
    <cellStyle name="20% - Accent1 8 3 3" xfId="20996"/>
    <cellStyle name="40% - Accent1 8 3 3" xfId="20997"/>
    <cellStyle name="60% - Accent1 8 3 3" xfId="20998"/>
    <cellStyle name="20% - Accent2 8 3 3" xfId="20999"/>
    <cellStyle name="40% - Accent2 8 3 3" xfId="21000"/>
    <cellStyle name="60% - Accent2 8 3 3" xfId="21001"/>
    <cellStyle name="20% - Accent3 8 3 3" xfId="21002"/>
    <cellStyle name="40% - Accent3 8 3 3" xfId="21003"/>
    <cellStyle name="60% - Accent3 8 3 3" xfId="21004"/>
    <cellStyle name="20% - Accent4 8 3 3" xfId="21005"/>
    <cellStyle name="40% - Accent4 8 3 3" xfId="21006"/>
    <cellStyle name="60% - Accent4 8 3 3" xfId="21007"/>
    <cellStyle name="20% - Accent5 8 3 3" xfId="21008"/>
    <cellStyle name="40% - Accent5 8 3 3" xfId="21009"/>
    <cellStyle name="60% - Accent5 8 3 3" xfId="21010"/>
    <cellStyle name="20% - Accent6 8 3 3" xfId="21011"/>
    <cellStyle name="40% - Accent6 8 3 3" xfId="21012"/>
    <cellStyle name="60% - Accent6 8 3 3" xfId="21013"/>
    <cellStyle name="Comma 2 9 4 3" xfId="21014"/>
    <cellStyle name="Comma 7 4 3" xfId="21015"/>
    <cellStyle name="Normal 13 5 3" xfId="21016"/>
    <cellStyle name="Comma 8 3 3" xfId="21017"/>
    <cellStyle name="20% - Accent1 9 3 3" xfId="21018"/>
    <cellStyle name="40% - Accent1 9 3 3" xfId="21019"/>
    <cellStyle name="60% - Accent1 9 3 3" xfId="21020"/>
    <cellStyle name="20% - Accent2 9 3 3" xfId="21021"/>
    <cellStyle name="40% - Accent2 9 3 3" xfId="21022"/>
    <cellStyle name="60% - Accent2 9 3 3" xfId="21023"/>
    <cellStyle name="20% - Accent3 9 3 3" xfId="21024"/>
    <cellStyle name="40% - Accent3 9 3 3" xfId="21025"/>
    <cellStyle name="60% - Accent3 9 3 3" xfId="21026"/>
    <cellStyle name="20% - Accent4 9 3 3" xfId="21027"/>
    <cellStyle name="40% - Accent4 9 3 3" xfId="21028"/>
    <cellStyle name="60% - Accent4 9 3 3" xfId="21029"/>
    <cellStyle name="20% - Accent5 9 3 3" xfId="21030"/>
    <cellStyle name="40% - Accent5 9 3 3" xfId="21031"/>
    <cellStyle name="60% - Accent5 9 3 3" xfId="21032"/>
    <cellStyle name="20% - Accent6 9 3 3" xfId="21033"/>
    <cellStyle name="40% - Accent6 9 3 3" xfId="21034"/>
    <cellStyle name="60% - Accent6 9 3 3" xfId="21035"/>
    <cellStyle name="Normal 3 2 8 3 3" xfId="21036"/>
    <cellStyle name="Normal 3 3 8 3 3" xfId="21037"/>
    <cellStyle name="Normal 3 4 8 3 3" xfId="21038"/>
    <cellStyle name="Normal 3 5 8 3 3" xfId="21039"/>
    <cellStyle name="Normal 3 2 2 7 3 3" xfId="21040"/>
    <cellStyle name="Normal 3 3 2 7 3 3" xfId="21041"/>
    <cellStyle name="Normal 3 4 2 7 3 3" xfId="21042"/>
    <cellStyle name="Normal 3 5 2 7 3 3" xfId="21043"/>
    <cellStyle name="Normal 5 7 3 3" xfId="21044"/>
    <cellStyle name="Percent 3 7 3 3" xfId="21045"/>
    <cellStyle name="Note 2 7 3 3" xfId="21046"/>
    <cellStyle name="Normal 3 6 7 3 3" xfId="21047"/>
    <cellStyle name="Comma 2 10 3 3" xfId="21048"/>
    <cellStyle name="Comma 3 9 3 3" xfId="21049"/>
    <cellStyle name="Percent 4 7 3 3" xfId="21050"/>
    <cellStyle name="Normal 3 7 7 3 3" xfId="21051"/>
    <cellStyle name="Note 3 7 3 3" xfId="21052"/>
    <cellStyle name="20% - Accent1 2 7 3 3" xfId="21053"/>
    <cellStyle name="40% - Accent1 2 7 3 3" xfId="21054"/>
    <cellStyle name="60% - Accent1 2 7 3 3" xfId="21055"/>
    <cellStyle name="20% - Accent2 2 7 3 3" xfId="21056"/>
    <cellStyle name="40% - Accent2 2 7 3 3" xfId="21057"/>
    <cellStyle name="60% - Accent2 2 7 3 3" xfId="21058"/>
    <cellStyle name="20% - Accent3 2 7 3 3" xfId="21059"/>
    <cellStyle name="40% - Accent3 2 7 3 3" xfId="21060"/>
    <cellStyle name="60% - Accent3 2 7 3 3" xfId="21061"/>
    <cellStyle name="20% - Accent4 2 7 3 3" xfId="21062"/>
    <cellStyle name="40% - Accent4 2 7 3 3" xfId="21063"/>
    <cellStyle name="60% - Accent4 2 7 3 3" xfId="21064"/>
    <cellStyle name="20% - Accent5 2 7 3 3" xfId="21065"/>
    <cellStyle name="40% - Accent5 2 7 3 3" xfId="21066"/>
    <cellStyle name="60% - Accent5 2 7 3 3" xfId="21067"/>
    <cellStyle name="20% - Accent6 2 7 3 3" xfId="21068"/>
    <cellStyle name="40% - Accent6 2 7 3 3" xfId="21069"/>
    <cellStyle name="60% - Accent6 2 7 3 3" xfId="21070"/>
    <cellStyle name="Comma 2 2 8 3 3" xfId="21071"/>
    <cellStyle name="Comma 4 8 3 3" xfId="21072"/>
    <cellStyle name="Normal 3 8 7 3 3" xfId="21073"/>
    <cellStyle name="Comma 2 4 5 3 3" xfId="21074"/>
    <cellStyle name="Comma 3 3 5 3 3" xfId="21075"/>
    <cellStyle name="Comma 2 2 3 5 3 3" xfId="21076"/>
    <cellStyle name="Comma 4 3 5 3 3" xfId="21077"/>
    <cellStyle name="Normal 7 6 3 3" xfId="21078"/>
    <cellStyle name="Comma 5 6 3 3" xfId="21079"/>
    <cellStyle name="20% - Accent1 3 6 3 3" xfId="21080"/>
    <cellStyle name="40% - Accent1 3 6 3 3" xfId="21081"/>
    <cellStyle name="60% - Accent1 3 6 3 3" xfId="21082"/>
    <cellStyle name="20% - Accent2 3 6 3 3" xfId="21083"/>
    <cellStyle name="40% - Accent2 3 6 3 3" xfId="21084"/>
    <cellStyle name="60% - Accent2 3 6 3 3" xfId="21085"/>
    <cellStyle name="20% - Accent3 3 6 3 3" xfId="21086"/>
    <cellStyle name="40% - Accent3 3 6 3 3" xfId="21087"/>
    <cellStyle name="60% - Accent3 3 6 3 3" xfId="21088"/>
    <cellStyle name="20% - Accent4 3 6 3 3" xfId="21089"/>
    <cellStyle name="40% - Accent4 3 6 3 3" xfId="21090"/>
    <cellStyle name="60% - Accent4 3 6 3 3" xfId="21091"/>
    <cellStyle name="20% - Accent5 3 6 3 3" xfId="21092"/>
    <cellStyle name="40% - Accent5 3 6 3 3" xfId="21093"/>
    <cellStyle name="60% - Accent5 3 6 3 3" xfId="21094"/>
    <cellStyle name="20% - Accent6 3 6 3 3" xfId="21095"/>
    <cellStyle name="40% - Accent6 3 6 3 3" xfId="21096"/>
    <cellStyle name="60% - Accent6 3 6 3 3" xfId="21097"/>
    <cellStyle name="Normal 3 2 3 6 3 3" xfId="21098"/>
    <cellStyle name="Normal 3 3 3 6 3 3" xfId="21099"/>
    <cellStyle name="Normal 3 4 3 6 3 3" xfId="21100"/>
    <cellStyle name="Normal 3 5 3 6 3 3" xfId="21101"/>
    <cellStyle name="Normal 3 2 2 2 6 3 3" xfId="21102"/>
    <cellStyle name="Normal 3 3 2 2 6 3 3" xfId="21103"/>
    <cellStyle name="Normal 3 4 2 2 6 3 3" xfId="21104"/>
    <cellStyle name="Normal 3 5 2 2 6 3 3" xfId="21105"/>
    <cellStyle name="Normal 5 2 6 3 3" xfId="21106"/>
    <cellStyle name="Percent 3 2 6 3 3" xfId="21107"/>
    <cellStyle name="Note 2 2 6 3 3" xfId="21108"/>
    <cellStyle name="Normal 3 6 2 6 3 3" xfId="21109"/>
    <cellStyle name="Comma 2 3 6 3 3" xfId="21110"/>
    <cellStyle name="Comma 3 2 6 3 3" xfId="21111"/>
    <cellStyle name="Percent 4 2 6 3 3" xfId="21112"/>
    <cellStyle name="Normal 3 7 2 6 3 3" xfId="21113"/>
    <cellStyle name="Note 3 2 6 3 3" xfId="21114"/>
    <cellStyle name="20% - Accent1 2 2 6 3 3" xfId="21115"/>
    <cellStyle name="40% - Accent1 2 2 6 3 3" xfId="21116"/>
    <cellStyle name="60% - Accent1 2 2 6 3 3" xfId="21117"/>
    <cellStyle name="20% - Accent2 2 2 6 3 3" xfId="21118"/>
    <cellStyle name="40% - Accent2 2 2 6 3 3" xfId="21119"/>
    <cellStyle name="60% - Accent2 2 2 6 3 3" xfId="21120"/>
    <cellStyle name="20% - Accent3 2 2 6 3 3" xfId="21121"/>
    <cellStyle name="40% - Accent3 2 2 6 3 3" xfId="21122"/>
    <cellStyle name="60% - Accent3 2 2 6 3 3" xfId="21123"/>
    <cellStyle name="20% - Accent4 2 2 6 3 3" xfId="21124"/>
    <cellStyle name="40% - Accent4 2 2 6 3 3" xfId="21125"/>
    <cellStyle name="60% - Accent4 2 2 6 3 3" xfId="21126"/>
    <cellStyle name="20% - Accent5 2 2 6 3 3" xfId="21127"/>
    <cellStyle name="40% - Accent5 2 2 6 3 3" xfId="21128"/>
    <cellStyle name="60% - Accent5 2 2 6 3 3" xfId="21129"/>
    <cellStyle name="20% - Accent6 2 2 6 3 3" xfId="21130"/>
    <cellStyle name="40% - Accent6 2 2 6 3 3" xfId="21131"/>
    <cellStyle name="60% - Accent6 2 2 6 3 3" xfId="21132"/>
    <cellStyle name="Comma 2 2 2 6 3 3" xfId="21133"/>
    <cellStyle name="Comma 4 2 6 3 3" xfId="21134"/>
    <cellStyle name="Normal 3 8 2 6 3 3" xfId="21135"/>
    <cellStyle name="20% - Accent1 10 2 3" xfId="21136"/>
    <cellStyle name="40% - Accent1 10 2 3" xfId="21137"/>
    <cellStyle name="60% - Accent1 10 2 3" xfId="21138"/>
    <cellStyle name="20% - Accent2 10 2 3" xfId="21139"/>
    <cellStyle name="40% - Accent2 10 2 3" xfId="21140"/>
    <cellStyle name="60% - Accent2 10 2 3" xfId="21141"/>
    <cellStyle name="20% - Accent3 10 2 3" xfId="21142"/>
    <cellStyle name="40% - Accent3 10 2 3" xfId="21143"/>
    <cellStyle name="60% - Accent3 10 2 3" xfId="21144"/>
    <cellStyle name="20% - Accent4 10 2 3" xfId="21145"/>
    <cellStyle name="40% - Accent4 10 2 3" xfId="21146"/>
    <cellStyle name="60% - Accent4 10 2 3" xfId="21147"/>
    <cellStyle name="20% - Accent5 10 2 3" xfId="21148"/>
    <cellStyle name="40% - Accent5 10 2 3" xfId="21149"/>
    <cellStyle name="60% - Accent5 10 2 3" xfId="21150"/>
    <cellStyle name="20% - Accent6 10 2 3" xfId="21151"/>
    <cellStyle name="40% - Accent6 10 2 3" xfId="21152"/>
    <cellStyle name="60% - Accent6 10 2 3" xfId="21153"/>
    <cellStyle name="Normal 3 2 9 2 3" xfId="21154"/>
    <cellStyle name="Normal 3 3 9 2 3" xfId="21155"/>
    <cellStyle name="Normal 3 4 9 2 3" xfId="21156"/>
    <cellStyle name="Normal 3 5 9 2 3" xfId="21157"/>
    <cellStyle name="Normal 3 2 2 8 2 3" xfId="21158"/>
    <cellStyle name="Normal 3 3 2 8 2 3" xfId="21159"/>
    <cellStyle name="Normal 3 4 2 8 2 3" xfId="21160"/>
    <cellStyle name="Normal 3 5 2 8 2 3" xfId="21161"/>
    <cellStyle name="Normal 5 8 2 3" xfId="21162"/>
    <cellStyle name="Percent 3 8 2 3" xfId="21163"/>
    <cellStyle name="Note 2 8 2 3" xfId="21164"/>
    <cellStyle name="Normal 3 6 8 2 3" xfId="21165"/>
    <cellStyle name="Comma 2 12 2 3" xfId="21166"/>
    <cellStyle name="Comma 3 11 2 3" xfId="21167"/>
    <cellStyle name="Percent 4 8 2 3" xfId="21168"/>
    <cellStyle name="Normal 3 7 8 2 3" xfId="21169"/>
    <cellStyle name="Note 3 8 2 3" xfId="21170"/>
    <cellStyle name="20% - Accent1 2 8 2 3" xfId="21171"/>
    <cellStyle name="40% - Accent1 2 8 2 3" xfId="21172"/>
    <cellStyle name="60% - Accent1 2 8 2 3" xfId="21173"/>
    <cellStyle name="20% - Accent2 2 8 2 3" xfId="21174"/>
    <cellStyle name="40% - Accent2 2 8 2 3" xfId="21175"/>
    <cellStyle name="60% - Accent2 2 8 2 3" xfId="21176"/>
    <cellStyle name="20% - Accent3 2 8 2 3" xfId="21177"/>
    <cellStyle name="40% - Accent3 2 8 2 3" xfId="21178"/>
    <cellStyle name="60% - Accent3 2 8 2 3" xfId="21179"/>
    <cellStyle name="20% - Accent4 2 8 2 3" xfId="21180"/>
    <cellStyle name="40% - Accent4 2 8 2 3" xfId="21181"/>
    <cellStyle name="60% - Accent4 2 8 2 3" xfId="21182"/>
    <cellStyle name="20% - Accent5 2 8 2 3" xfId="21183"/>
    <cellStyle name="40% - Accent5 2 8 2 3" xfId="21184"/>
    <cellStyle name="60% - Accent5 2 8 2 3" xfId="21185"/>
    <cellStyle name="20% - Accent6 2 8 2 3" xfId="21186"/>
    <cellStyle name="40% - Accent6 2 8 2 3" xfId="21187"/>
    <cellStyle name="60% - Accent6 2 8 2 3" xfId="21188"/>
    <cellStyle name="Comma 2 2 10 2 3" xfId="21189"/>
    <cellStyle name="Comma 4 10 2 3" xfId="21190"/>
    <cellStyle name="Normal 3 8 8 2 3" xfId="21191"/>
    <cellStyle name="Normal 7 7 2 3" xfId="21192"/>
    <cellStyle name="Comma 5 8 2 3" xfId="21193"/>
    <cellStyle name="20% - Accent1 3 7 2 3" xfId="21194"/>
    <cellStyle name="40% - Accent1 3 7 2 3" xfId="21195"/>
    <cellStyle name="60% - Accent1 3 7 2 3" xfId="21196"/>
    <cellStyle name="20% - Accent2 3 7 2 3" xfId="21197"/>
    <cellStyle name="40% - Accent2 3 7 2 3" xfId="21198"/>
    <cellStyle name="60% - Accent2 3 7 2 3" xfId="21199"/>
    <cellStyle name="20% - Accent3 3 7 2 3" xfId="21200"/>
    <cellStyle name="40% - Accent3 3 7 2 3" xfId="21201"/>
    <cellStyle name="60% - Accent3 3 7 2 3" xfId="21202"/>
    <cellStyle name="20% - Accent4 3 7 2 3" xfId="21203"/>
    <cellStyle name="40% - Accent4 3 7 2 3" xfId="21204"/>
    <cellStyle name="60% - Accent4 3 7 2 3" xfId="21205"/>
    <cellStyle name="20% - Accent5 3 7 2 3" xfId="21206"/>
    <cellStyle name="40% - Accent5 3 7 2 3" xfId="21207"/>
    <cellStyle name="60% - Accent5 3 7 2 3" xfId="21208"/>
    <cellStyle name="20% - Accent6 3 7 2 3" xfId="21209"/>
    <cellStyle name="40% - Accent6 3 7 2 3" xfId="21210"/>
    <cellStyle name="60% - Accent6 3 7 2 3" xfId="21211"/>
    <cellStyle name="Normal 3 2 3 7 2 3" xfId="21212"/>
    <cellStyle name="Normal 3 3 3 7 2 3" xfId="21213"/>
    <cellStyle name="Normal 3 4 3 7 2 3" xfId="21214"/>
    <cellStyle name="Normal 3 5 3 7 2 3" xfId="21215"/>
    <cellStyle name="Normal 3 2 2 2 7 2 3" xfId="21216"/>
    <cellStyle name="Normal 3 3 2 2 7 2 3" xfId="21217"/>
    <cellStyle name="Normal 3 4 2 2 7 2 3" xfId="21218"/>
    <cellStyle name="Normal 3 5 2 2 7 2 3" xfId="21219"/>
    <cellStyle name="Normal 5 2 7 2 3" xfId="21220"/>
    <cellStyle name="Percent 3 2 7 2 3" xfId="21221"/>
    <cellStyle name="Note 2 2 7 2 3" xfId="21222"/>
    <cellStyle name="Normal 3 6 2 7 2 3" xfId="21223"/>
    <cellStyle name="Comma 2 3 8 2 3" xfId="21224"/>
    <cellStyle name="Comma 3 2 8 2 3" xfId="21225"/>
    <cellStyle name="Percent 4 2 7 2 3" xfId="21226"/>
    <cellStyle name="Normal 3 7 2 7 2 3" xfId="21227"/>
    <cellStyle name="Note 3 2 7 2 3" xfId="21228"/>
    <cellStyle name="20% - Accent1 2 2 7 2 3" xfId="21229"/>
    <cellStyle name="40% - Accent1 2 2 7 2 3" xfId="21230"/>
    <cellStyle name="60% - Accent1 2 2 7 2 3" xfId="21231"/>
    <cellStyle name="20% - Accent2 2 2 7 2 3" xfId="21232"/>
    <cellStyle name="40% - Accent2 2 2 7 2 3" xfId="21233"/>
    <cellStyle name="60% - Accent2 2 2 7 2 3" xfId="21234"/>
    <cellStyle name="20% - Accent3 2 2 7 2 3" xfId="21235"/>
    <cellStyle name="40% - Accent3 2 2 7 2 3" xfId="21236"/>
    <cellStyle name="60% - Accent3 2 2 7 2 3" xfId="21237"/>
    <cellStyle name="20% - Accent4 2 2 7 2 3" xfId="21238"/>
    <cellStyle name="40% - Accent4 2 2 7 2 3" xfId="21239"/>
    <cellStyle name="60% - Accent4 2 2 7 2 3" xfId="21240"/>
    <cellStyle name="20% - Accent5 2 2 7 2 3" xfId="21241"/>
    <cellStyle name="40% - Accent5 2 2 7 2 3" xfId="21242"/>
    <cellStyle name="60% - Accent5 2 2 7 2 3" xfId="21243"/>
    <cellStyle name="20% - Accent6 2 2 7 2 3" xfId="21244"/>
    <cellStyle name="40% - Accent6 2 2 7 2 3" xfId="21245"/>
    <cellStyle name="60% - Accent6 2 2 7 2 3" xfId="21246"/>
    <cellStyle name="Comma 2 2 2 8 2 3" xfId="21247"/>
    <cellStyle name="Comma 4 2 8 2 3" xfId="21248"/>
    <cellStyle name="Normal 3 8 2 7 2 3" xfId="21249"/>
    <cellStyle name="Normal 8 5 2 3" xfId="21250"/>
    <cellStyle name="Comma 6 6 2 3" xfId="21251"/>
    <cellStyle name="20% - Accent1 4 5 2 3" xfId="21252"/>
    <cellStyle name="40% - Accent1 4 5 2 3" xfId="21253"/>
    <cellStyle name="60% - Accent1 4 5 2 3" xfId="21254"/>
    <cellStyle name="20% - Accent2 4 5 2 3" xfId="21255"/>
    <cellStyle name="40% - Accent2 4 5 2 3" xfId="21256"/>
    <cellStyle name="60% - Accent2 4 5 2 3" xfId="21257"/>
    <cellStyle name="20% - Accent3 4 5 2 3" xfId="21258"/>
    <cellStyle name="40% - Accent3 4 5 2 3" xfId="21259"/>
    <cellStyle name="60% - Accent3 4 5 2 3" xfId="21260"/>
    <cellStyle name="20% - Accent4 4 5 2 3" xfId="21261"/>
    <cellStyle name="40% - Accent4 4 5 2 3" xfId="21262"/>
    <cellStyle name="60% - Accent4 4 5 2 3" xfId="21263"/>
    <cellStyle name="20% - Accent5 4 5 2 3" xfId="21264"/>
    <cellStyle name="40% - Accent5 4 5 2 3" xfId="21265"/>
    <cellStyle name="60% - Accent5 4 5 2 3" xfId="21266"/>
    <cellStyle name="20% - Accent6 4 5 2 3" xfId="21267"/>
    <cellStyle name="40% - Accent6 4 5 2 3" xfId="21268"/>
    <cellStyle name="60% - Accent6 4 5 2 3" xfId="21269"/>
    <cellStyle name="Normal 3 2 4 5 2 3" xfId="21270"/>
    <cellStyle name="Normal 3 3 4 5 2 3" xfId="21271"/>
    <cellStyle name="Normal 3 4 4 5 2 3" xfId="21272"/>
    <cellStyle name="Normal 3 5 4 5 2 3" xfId="21273"/>
    <cellStyle name="Normal 3 2 2 3 5 2 3" xfId="21274"/>
    <cellStyle name="Normal 3 3 2 3 5 2 3" xfId="21275"/>
    <cellStyle name="Normal 3 4 2 3 5 2 3" xfId="21276"/>
    <cellStyle name="Normal 3 5 2 3 5 2 3" xfId="21277"/>
    <cellStyle name="Normal 5 3 5 2 3" xfId="21278"/>
    <cellStyle name="Percent 3 3 5 2 3" xfId="21279"/>
    <cellStyle name="Note 2 3 5 2 3" xfId="21280"/>
    <cellStyle name="Normal 3 6 3 5 2 3" xfId="21281"/>
    <cellStyle name="Comma 2 5 6 2 3" xfId="21282"/>
    <cellStyle name="Comma 3 4 6 2 3" xfId="21283"/>
    <cellStyle name="Percent 4 3 5 2 3" xfId="21284"/>
    <cellStyle name="Normal 3 7 3 5 2 3" xfId="21285"/>
    <cellStyle name="Note 3 3 5 2 3" xfId="21286"/>
    <cellStyle name="20% - Accent1 2 3 5 2 3" xfId="21287"/>
    <cellStyle name="40% - Accent1 2 3 5 2 3" xfId="21288"/>
    <cellStyle name="60% - Accent1 2 3 5 2 3" xfId="21289"/>
    <cellStyle name="20% - Accent2 2 3 5 2 3" xfId="21290"/>
    <cellStyle name="40% - Accent2 2 3 5 2 3" xfId="21291"/>
    <cellStyle name="60% - Accent2 2 3 5 2 3" xfId="21292"/>
    <cellStyle name="20% - Accent3 2 3 5 2 3" xfId="21293"/>
    <cellStyle name="40% - Accent3 2 3 5 2 3" xfId="21294"/>
    <cellStyle name="60% - Accent3 2 3 5 2 3" xfId="21295"/>
    <cellStyle name="20% - Accent4 2 3 5 2 3" xfId="21296"/>
    <cellStyle name="40% - Accent4 2 3 5 2 3" xfId="21297"/>
    <cellStyle name="60% - Accent4 2 3 5 2 3" xfId="21298"/>
    <cellStyle name="20% - Accent5 2 3 5 2 3" xfId="21299"/>
    <cellStyle name="40% - Accent5 2 3 5 2 3" xfId="21300"/>
    <cellStyle name="60% - Accent5 2 3 5 2 3" xfId="21301"/>
    <cellStyle name="20% - Accent6 2 3 5 2 3" xfId="21302"/>
    <cellStyle name="40% - Accent6 2 3 5 2 3" xfId="21303"/>
    <cellStyle name="60% - Accent6 2 3 5 2 3" xfId="21304"/>
    <cellStyle name="Comma 2 2 4 6 2 3" xfId="21305"/>
    <cellStyle name="Comma 4 4 6 2 3" xfId="21306"/>
    <cellStyle name="Normal 3 8 3 5 2 3" xfId="21307"/>
    <cellStyle name="Comma 2 4 7 2 3" xfId="21308"/>
    <cellStyle name="Comma 3 3 7 2 3" xfId="21309"/>
    <cellStyle name="Comma 2 2 3 7 2 3" xfId="21310"/>
    <cellStyle name="Comma 4 3 7 2 3" xfId="21311"/>
    <cellStyle name="Normal 7 2 5 2 3" xfId="21312"/>
    <cellStyle name="Comma 5 2 6 2 3" xfId="21313"/>
    <cellStyle name="20% - Accent1 3 2 5 2 3" xfId="21314"/>
    <cellStyle name="40% - Accent1 3 2 5 2 3" xfId="21315"/>
    <cellStyle name="60% - Accent1 3 2 5 2 3" xfId="21316"/>
    <cellStyle name="20% - Accent2 3 2 5 2 3" xfId="21317"/>
    <cellStyle name="40% - Accent2 3 2 5 2 3" xfId="21318"/>
    <cellStyle name="60% - Accent2 3 2 5 2 3" xfId="21319"/>
    <cellStyle name="20% - Accent3 3 2 5 2 3" xfId="21320"/>
    <cellStyle name="40% - Accent3 3 2 5 2 3" xfId="21321"/>
    <cellStyle name="60% - Accent3 3 2 5 2 3" xfId="21322"/>
    <cellStyle name="20% - Accent4 3 2 5 2 3" xfId="21323"/>
    <cellStyle name="40% - Accent4 3 2 5 2 3" xfId="21324"/>
    <cellStyle name="60% - Accent4 3 2 5 2 3" xfId="21325"/>
    <cellStyle name="20% - Accent5 3 2 5 2 3" xfId="21326"/>
    <cellStyle name="40% - Accent5 3 2 5 2 3" xfId="21327"/>
    <cellStyle name="60% - Accent5 3 2 5 2 3" xfId="21328"/>
    <cellStyle name="20% - Accent6 3 2 5 2 3" xfId="21329"/>
    <cellStyle name="40% - Accent6 3 2 5 2 3" xfId="21330"/>
    <cellStyle name="60% - Accent6 3 2 5 2 3" xfId="21331"/>
    <cellStyle name="Normal 3 2 3 2 5 2 3" xfId="21332"/>
    <cellStyle name="Normal 3 3 3 2 5 2 3" xfId="21333"/>
    <cellStyle name="Normal 3 4 3 2 5 2 3" xfId="21334"/>
    <cellStyle name="Normal 3 5 3 2 5 2 3" xfId="21335"/>
    <cellStyle name="Normal 3 2 2 2 2 5 2 3" xfId="21336"/>
    <cellStyle name="Normal 3 3 2 2 2 5 2 3" xfId="21337"/>
    <cellStyle name="Normal 3 4 2 2 2 5 2 3" xfId="21338"/>
    <cellStyle name="Normal 3 5 2 2 2 5 2 3" xfId="21339"/>
    <cellStyle name="Normal 5 2 2 5 2 3" xfId="21340"/>
    <cellStyle name="Percent 3 2 2 5 2 3" xfId="21341"/>
    <cellStyle name="Note 2 2 2 5 2 3" xfId="21342"/>
    <cellStyle name="Normal 3 6 2 2 5 2 3" xfId="21343"/>
    <cellStyle name="Comma 2 3 2 6 2 3" xfId="21344"/>
    <cellStyle name="Comma 3 2 2 6 2 3" xfId="21345"/>
    <cellStyle name="Percent 4 2 2 5 2 3" xfId="21346"/>
    <cellStyle name="Normal 3 7 2 2 5 2 3" xfId="21347"/>
    <cellStyle name="Note 3 2 2 5 2 3" xfId="21348"/>
    <cellStyle name="20% - Accent1 2 2 2 5 2 3" xfId="21349"/>
    <cellStyle name="40% - Accent1 2 2 2 5 2 3" xfId="21350"/>
    <cellStyle name="60% - Accent1 2 2 2 5 2 3" xfId="21351"/>
    <cellStyle name="20% - Accent2 2 2 2 5 2 3" xfId="21352"/>
    <cellStyle name="40% - Accent2 2 2 2 5 2 3" xfId="21353"/>
    <cellStyle name="60% - Accent2 2 2 2 5 2 3" xfId="21354"/>
    <cellStyle name="20% - Accent3 2 2 2 5 2 3" xfId="21355"/>
    <cellStyle name="40% - Accent3 2 2 2 5 2 3" xfId="21356"/>
    <cellStyle name="60% - Accent3 2 2 2 5 2 3" xfId="21357"/>
    <cellStyle name="20% - Accent4 2 2 2 5 2 3" xfId="21358"/>
    <cellStyle name="40% - Accent4 2 2 2 5 2 3" xfId="21359"/>
    <cellStyle name="60% - Accent4 2 2 2 5 2 3" xfId="21360"/>
    <cellStyle name="20% - Accent5 2 2 2 5 2 3" xfId="21361"/>
    <cellStyle name="40% - Accent5 2 2 2 5 2 3" xfId="21362"/>
    <cellStyle name="60% - Accent5 2 2 2 5 2 3" xfId="21363"/>
    <cellStyle name="20% - Accent6 2 2 2 5 2 3" xfId="21364"/>
    <cellStyle name="40% - Accent6 2 2 2 5 2 3" xfId="21365"/>
    <cellStyle name="60% - Accent6 2 2 2 5 2 3" xfId="21366"/>
    <cellStyle name="Comma 2 2 2 2 6 2 3" xfId="21367"/>
    <cellStyle name="Comma 4 2 2 6 2 3" xfId="21368"/>
    <cellStyle name="Normal 3 8 2 2 5 2 3" xfId="21369"/>
    <cellStyle name="Normal 3 10 5 2 3" xfId="21370"/>
    <cellStyle name="Normal 3 11 5 2 3" xfId="21371"/>
    <cellStyle name="Normal 3 12 3 2 3" xfId="21372"/>
    <cellStyle name="Normal 3 2 5 3 2 3" xfId="21373"/>
    <cellStyle name="Normal 3 3 5 3 2 3" xfId="21374"/>
    <cellStyle name="Normal 3 4 5 3 2 3" xfId="21375"/>
    <cellStyle name="Normal 3 5 5 3 2 3" xfId="21376"/>
    <cellStyle name="20% - Accent1 5 3 2 3" xfId="21377"/>
    <cellStyle name="40% - Accent1 5 3 2 3" xfId="21378"/>
    <cellStyle name="60% - Accent1 5 3 2 3" xfId="21379"/>
    <cellStyle name="20% - Accent2 5 3 2 3" xfId="21380"/>
    <cellStyle name="40% - Accent2 5 3 2 3" xfId="21381"/>
    <cellStyle name="60% - Accent2 5 3 2 3" xfId="21382"/>
    <cellStyle name="20% - Accent3 5 3 2 3" xfId="21383"/>
    <cellStyle name="40% - Accent3 5 3 2 3" xfId="21384"/>
    <cellStyle name="60% - Accent3 5 3 2 3" xfId="21385"/>
    <cellStyle name="20% - Accent4 5 3 2 3" xfId="21386"/>
    <cellStyle name="40% - Accent4 5 3 2 3" xfId="21387"/>
    <cellStyle name="60% - Accent4 5 3 2 3" xfId="21388"/>
    <cellStyle name="20% - Accent5 5 3 2 3" xfId="21389"/>
    <cellStyle name="40% - Accent5 5 3 2 3" xfId="21390"/>
    <cellStyle name="60% - Accent5 5 3 2 3" xfId="21391"/>
    <cellStyle name="20% - Accent6 5 3 2 3" xfId="21392"/>
    <cellStyle name="40% - Accent6 5 3 2 3" xfId="21393"/>
    <cellStyle name="60% - Accent6 5 3 2 3" xfId="21394"/>
    <cellStyle name="Normal 3 2 2 4 3 2 3" xfId="21395"/>
    <cellStyle name="Normal 3 3 2 4 3 2 3" xfId="21396"/>
    <cellStyle name="Normal 3 4 2 4 3 2 3" xfId="21397"/>
    <cellStyle name="Normal 3 5 2 4 3 2 3" xfId="21398"/>
    <cellStyle name="Normal 5 4 3 2 3" xfId="21399"/>
    <cellStyle name="Percent 3 4 3 2 3" xfId="21400"/>
    <cellStyle name="Note 2 4 3 2 3" xfId="21401"/>
    <cellStyle name="Normal 3 6 4 3 2 3" xfId="21402"/>
    <cellStyle name="Comma 2 6 4 2 3" xfId="21403"/>
    <cellStyle name="Comma 3 5 4 2 3" xfId="21404"/>
    <cellStyle name="Percent 4 4 3 2 3" xfId="21405"/>
    <cellStyle name="Normal 3 7 4 3 2 3" xfId="21406"/>
    <cellStyle name="Note 3 4 3 2 3" xfId="21407"/>
    <cellStyle name="20% - Accent1 2 4 3 2 3" xfId="21408"/>
    <cellStyle name="40% - Accent1 2 4 3 2 3" xfId="21409"/>
    <cellStyle name="60% - Accent1 2 4 3 2 3" xfId="21410"/>
    <cellStyle name="20% - Accent2 2 4 3 2 3" xfId="21411"/>
    <cellStyle name="40% - Accent2 2 4 3 2 3" xfId="21412"/>
    <cellStyle name="60% - Accent2 2 4 3 2 3" xfId="21413"/>
    <cellStyle name="20% - Accent3 2 4 3 2 3" xfId="21414"/>
    <cellStyle name="40% - Accent3 2 4 3 2 3" xfId="21415"/>
    <cellStyle name="60% - Accent3 2 4 3 2 3" xfId="21416"/>
    <cellStyle name="20% - Accent4 2 4 3 2 3" xfId="21417"/>
    <cellStyle name="40% - Accent4 2 4 3 2 3" xfId="21418"/>
    <cellStyle name="60% - Accent4 2 4 3 2 3" xfId="21419"/>
    <cellStyle name="20% - Accent5 2 4 3 2 3" xfId="21420"/>
    <cellStyle name="40% - Accent5 2 4 3 2 3" xfId="21421"/>
    <cellStyle name="60% - Accent5 2 4 3 2 3" xfId="21422"/>
    <cellStyle name="20% - Accent6 2 4 3 2 3" xfId="21423"/>
    <cellStyle name="40% - Accent6 2 4 3 2 3" xfId="21424"/>
    <cellStyle name="60% - Accent6 2 4 3 2 3" xfId="21425"/>
    <cellStyle name="Comma 2 2 5 4 2 3" xfId="21426"/>
    <cellStyle name="Comma 4 5 4 2 3" xfId="21427"/>
    <cellStyle name="Normal 3 8 4 3 2 3" xfId="21428"/>
    <cellStyle name="Normal 7 3 3 2 3" xfId="21429"/>
    <cellStyle name="Comma 5 3 4 2 3" xfId="21430"/>
    <cellStyle name="20% - Accent1 3 3 3 2 3" xfId="21431"/>
    <cellStyle name="40% - Accent1 3 3 3 2 3" xfId="21432"/>
    <cellStyle name="60% - Accent1 3 3 3 2 3" xfId="21433"/>
    <cellStyle name="20% - Accent2 3 3 3 2 3" xfId="21434"/>
    <cellStyle name="40% - Accent2 3 3 3 2 3" xfId="21435"/>
    <cellStyle name="60% - Accent2 3 3 3 2 3" xfId="21436"/>
    <cellStyle name="20% - Accent3 3 3 3 2 3" xfId="21437"/>
    <cellStyle name="40% - Accent3 3 3 3 2 3" xfId="21438"/>
    <cellStyle name="60% - Accent3 3 3 3 2 3" xfId="21439"/>
    <cellStyle name="20% - Accent4 3 3 3 2 3" xfId="21440"/>
    <cellStyle name="40% - Accent4 3 3 3 2 3" xfId="21441"/>
    <cellStyle name="60% - Accent4 3 3 3 2 3" xfId="21442"/>
    <cellStyle name="20% - Accent5 3 3 3 2 3" xfId="21443"/>
    <cellStyle name="40% - Accent5 3 3 3 2 3" xfId="21444"/>
    <cellStyle name="60% - Accent5 3 3 3 2 3" xfId="21445"/>
    <cellStyle name="20% - Accent6 3 3 3 2 3" xfId="21446"/>
    <cellStyle name="40% - Accent6 3 3 3 2 3" xfId="21447"/>
    <cellStyle name="60% - Accent6 3 3 3 2 3" xfId="21448"/>
    <cellStyle name="Normal 3 2 3 3 3 2 3" xfId="21449"/>
    <cellStyle name="Normal 3 3 3 3 3 2 3" xfId="21450"/>
    <cellStyle name="Normal 3 4 3 3 3 2 3" xfId="21451"/>
    <cellStyle name="Normal 3 5 3 3 3 2 3" xfId="21452"/>
    <cellStyle name="Normal 3 2 2 2 3 3 2 3" xfId="21453"/>
    <cellStyle name="Normal 3 3 2 2 3 3 2 3" xfId="21454"/>
    <cellStyle name="Normal 3 4 2 2 3 3 2 3" xfId="21455"/>
    <cellStyle name="Normal 3 5 2 2 3 3 2 3" xfId="21456"/>
    <cellStyle name="Normal 5 2 3 3 2 3" xfId="21457"/>
    <cellStyle name="Percent 3 2 3 3 2 3" xfId="21458"/>
    <cellStyle name="Note 2 2 3 3 2 3" xfId="21459"/>
    <cellStyle name="Normal 3 6 2 3 3 2 3" xfId="21460"/>
    <cellStyle name="Comma 2 3 3 4 2 3" xfId="21461"/>
    <cellStyle name="Comma 3 2 3 4 2 3" xfId="21462"/>
    <cellStyle name="Percent 4 2 3 3 2 3" xfId="21463"/>
    <cellStyle name="Normal 3 7 2 3 3 2 3" xfId="21464"/>
    <cellStyle name="Note 3 2 3 3 2 3" xfId="21465"/>
    <cellStyle name="20% - Accent1 2 2 3 3 2 3" xfId="21466"/>
    <cellStyle name="40% - Accent1 2 2 3 3 2 3" xfId="21467"/>
    <cellStyle name="60% - Accent1 2 2 3 3 2 3" xfId="21468"/>
    <cellStyle name="20% - Accent2 2 2 3 3 2 3" xfId="21469"/>
    <cellStyle name="40% - Accent2 2 2 3 3 2 3" xfId="21470"/>
    <cellStyle name="60% - Accent2 2 2 3 3 2 3" xfId="21471"/>
    <cellStyle name="20% - Accent3 2 2 3 3 2 3" xfId="21472"/>
    <cellStyle name="40% - Accent3 2 2 3 3 2 3" xfId="21473"/>
    <cellStyle name="60% - Accent3 2 2 3 3 2 3" xfId="21474"/>
    <cellStyle name="20% - Accent4 2 2 3 3 2 3" xfId="21475"/>
    <cellStyle name="40% - Accent4 2 2 3 3 2 3" xfId="21476"/>
    <cellStyle name="60% - Accent4 2 2 3 3 2 3" xfId="21477"/>
    <cellStyle name="20% - Accent5 2 2 3 3 2 3" xfId="21478"/>
    <cellStyle name="40% - Accent5 2 2 3 3 2 3" xfId="21479"/>
    <cellStyle name="60% - Accent5 2 2 3 3 2 3" xfId="21480"/>
    <cellStyle name="20% - Accent6 2 2 3 3 2 3" xfId="21481"/>
    <cellStyle name="40% - Accent6 2 2 3 3 2 3" xfId="21482"/>
    <cellStyle name="60% - Accent6 2 2 3 3 2 3" xfId="21483"/>
    <cellStyle name="Comma 2 2 2 3 4 2 3" xfId="21484"/>
    <cellStyle name="Comma 4 2 3 4 2 3" xfId="21485"/>
    <cellStyle name="Normal 3 8 2 3 3 2 3" xfId="21486"/>
    <cellStyle name="Normal 8 2 3 2 3" xfId="21487"/>
    <cellStyle name="Comma 6 2 4 2 3" xfId="21488"/>
    <cellStyle name="20% - Accent1 4 2 3 2 3" xfId="21489"/>
    <cellStyle name="40% - Accent1 4 2 3 2 3" xfId="21490"/>
    <cellStyle name="60% - Accent1 4 2 3 2 3" xfId="21491"/>
    <cellStyle name="20% - Accent2 4 2 3 2 3" xfId="21492"/>
    <cellStyle name="40% - Accent2 4 2 3 2 3" xfId="21493"/>
    <cellStyle name="60% - Accent2 4 2 3 2 3" xfId="21494"/>
    <cellStyle name="20% - Accent3 4 2 3 2 3" xfId="21495"/>
    <cellStyle name="40% - Accent3 4 2 3 2 3" xfId="21496"/>
    <cellStyle name="60% - Accent3 4 2 3 2 3" xfId="21497"/>
    <cellStyle name="20% - Accent4 4 2 3 2 3" xfId="21498"/>
    <cellStyle name="40% - Accent4 4 2 3 2 3" xfId="21499"/>
    <cellStyle name="60% - Accent4 4 2 3 2 3" xfId="21500"/>
    <cellStyle name="20% - Accent5 4 2 3 2 3" xfId="21501"/>
    <cellStyle name="40% - Accent5 4 2 3 2 3" xfId="21502"/>
    <cellStyle name="60% - Accent5 4 2 3 2 3" xfId="21503"/>
    <cellStyle name="20% - Accent6 4 2 3 2 3" xfId="21504"/>
    <cellStyle name="40% - Accent6 4 2 3 2 3" xfId="21505"/>
    <cellStyle name="60% - Accent6 4 2 3 2 3" xfId="21506"/>
    <cellStyle name="Normal 3 2 4 2 3 2 3" xfId="21507"/>
    <cellStyle name="Normal 3 3 4 2 3 2 3" xfId="21508"/>
    <cellStyle name="Normal 3 4 4 2 3 2 3" xfId="21509"/>
    <cellStyle name="Normal 3 5 4 2 3 2 3" xfId="21510"/>
    <cellStyle name="Normal 3 2 2 3 2 3 2 3" xfId="21511"/>
    <cellStyle name="Normal 3 3 2 3 2 3 2 3" xfId="21512"/>
    <cellStyle name="Normal 3 4 2 3 2 3 2 3" xfId="21513"/>
    <cellStyle name="Normal 3 5 2 3 2 3 2 3" xfId="21514"/>
    <cellStyle name="Normal 5 3 2 3 2 3" xfId="21515"/>
    <cellStyle name="Percent 3 3 2 3 2 3" xfId="21516"/>
    <cellStyle name="Note 2 3 2 3 2 3" xfId="21517"/>
    <cellStyle name="Normal 3 6 3 2 3 2 3" xfId="21518"/>
    <cellStyle name="Comma 2 5 2 4 2 3" xfId="21519"/>
    <cellStyle name="Comma 3 4 2 4 2 3" xfId="21520"/>
    <cellStyle name="Percent 4 3 2 3 2 3" xfId="21521"/>
    <cellStyle name="Normal 3 7 3 2 3 2 3" xfId="21522"/>
    <cellStyle name="Note 3 3 2 3 2 3" xfId="21523"/>
    <cellStyle name="20% - Accent1 2 3 2 3 2 3" xfId="21524"/>
    <cellStyle name="40% - Accent1 2 3 2 3 2 3" xfId="21525"/>
    <cellStyle name="60% - Accent1 2 3 2 3 2 3" xfId="21526"/>
    <cellStyle name="20% - Accent2 2 3 2 3 2 3" xfId="21527"/>
    <cellStyle name="40% - Accent2 2 3 2 3 2 3" xfId="21528"/>
    <cellStyle name="60% - Accent2 2 3 2 3 2 3" xfId="21529"/>
    <cellStyle name="20% - Accent3 2 3 2 3 2 3" xfId="21530"/>
    <cellStyle name="40% - Accent3 2 3 2 3 2 3" xfId="21531"/>
    <cellStyle name="60% - Accent3 2 3 2 3 2 3" xfId="21532"/>
    <cellStyle name="20% - Accent4 2 3 2 3 2 3" xfId="21533"/>
    <cellStyle name="40% - Accent4 2 3 2 3 2 3" xfId="21534"/>
    <cellStyle name="60% - Accent4 2 3 2 3 2 3" xfId="21535"/>
    <cellStyle name="20% - Accent5 2 3 2 3 2 3" xfId="21536"/>
    <cellStyle name="40% - Accent5 2 3 2 3 2 3" xfId="21537"/>
    <cellStyle name="60% - Accent5 2 3 2 3 2 3" xfId="21538"/>
    <cellStyle name="20% - Accent6 2 3 2 3 2 3" xfId="21539"/>
    <cellStyle name="40% - Accent6 2 3 2 3 2 3" xfId="21540"/>
    <cellStyle name="60% - Accent6 2 3 2 3 2 3" xfId="21541"/>
    <cellStyle name="Comma 2 2 4 2 4 2 3" xfId="21542"/>
    <cellStyle name="Comma 4 4 2 4 2 3" xfId="21543"/>
    <cellStyle name="Normal 3 8 3 2 3 2 3" xfId="21544"/>
    <cellStyle name="Comma 2 4 2 4 2 3" xfId="21545"/>
    <cellStyle name="Comma 3 3 2 4 2 3" xfId="21546"/>
    <cellStyle name="Comma 2 2 3 2 4 2 3" xfId="21547"/>
    <cellStyle name="Comma 4 3 2 4 2 3" xfId="21548"/>
    <cellStyle name="Normal 7 2 2 3 2 3" xfId="21549"/>
    <cellStyle name="Comma 5 2 2 4 2 3" xfId="21550"/>
    <cellStyle name="20% - Accent1 3 2 2 3 2 3" xfId="21551"/>
    <cellStyle name="40% - Accent1 3 2 2 3 2 3" xfId="21552"/>
    <cellStyle name="60% - Accent1 3 2 2 3 2 3" xfId="21553"/>
    <cellStyle name="20% - Accent2 3 2 2 3 2 3" xfId="21554"/>
    <cellStyle name="40% - Accent2 3 2 2 3 2 3" xfId="21555"/>
    <cellStyle name="60% - Accent2 3 2 2 3 2 3" xfId="21556"/>
    <cellStyle name="20% - Accent3 3 2 2 3 2 3" xfId="21557"/>
    <cellStyle name="40% - Accent3 3 2 2 3 2 3" xfId="21558"/>
    <cellStyle name="60% - Accent3 3 2 2 3 2 3" xfId="21559"/>
    <cellStyle name="20% - Accent4 3 2 2 3 2 3" xfId="21560"/>
    <cellStyle name="40% - Accent4 3 2 2 3 2 3" xfId="21561"/>
    <cellStyle name="60% - Accent4 3 2 2 3 2 3" xfId="21562"/>
    <cellStyle name="20% - Accent5 3 2 2 3 2 3" xfId="21563"/>
    <cellStyle name="40% - Accent5 3 2 2 3 2 3" xfId="21564"/>
    <cellStyle name="60% - Accent5 3 2 2 3 2 3" xfId="21565"/>
    <cellStyle name="20% - Accent6 3 2 2 3 2 3" xfId="21566"/>
    <cellStyle name="40% - Accent6 3 2 2 3 2 3" xfId="21567"/>
    <cellStyle name="60% - Accent6 3 2 2 3 2 3" xfId="21568"/>
    <cellStyle name="Normal 3 2 3 2 2 3 2 3" xfId="21569"/>
    <cellStyle name="Normal 3 3 3 2 2 3 2 3" xfId="21570"/>
    <cellStyle name="Normal 3 4 3 2 2 3 2 3" xfId="21571"/>
    <cellStyle name="Normal 3 5 3 2 2 3 2 3" xfId="21572"/>
    <cellStyle name="Normal 3 2 2 2 2 2 3 2 3" xfId="21573"/>
    <cellStyle name="Normal 3 3 2 2 2 2 3 2 3" xfId="21574"/>
    <cellStyle name="Normal 3 4 2 2 2 2 3 2 3" xfId="21575"/>
    <cellStyle name="Normal 3 5 2 2 2 2 3 2 3" xfId="21576"/>
    <cellStyle name="Normal 5 2 2 2 3 2 3" xfId="21577"/>
    <cellStyle name="Percent 3 2 2 2 3 2 3" xfId="21578"/>
    <cellStyle name="Note 2 2 2 2 3 2 3" xfId="21579"/>
    <cellStyle name="Normal 3 6 2 2 2 3 2 3" xfId="21580"/>
    <cellStyle name="Comma 2 3 2 2 4 2 3" xfId="21581"/>
    <cellStyle name="Comma 3 2 2 2 4 2 3" xfId="21582"/>
    <cellStyle name="Percent 4 2 2 2 3 2 3" xfId="21583"/>
    <cellStyle name="Normal 3 7 2 2 2 3 2 3" xfId="21584"/>
    <cellStyle name="Note 3 2 2 2 3 2 3" xfId="21585"/>
    <cellStyle name="20% - Accent1 2 2 2 2 3 2 3" xfId="21586"/>
    <cellStyle name="40% - Accent1 2 2 2 2 3 2 3" xfId="21587"/>
    <cellStyle name="60% - Accent1 2 2 2 2 3 2 3" xfId="21588"/>
    <cellStyle name="20% - Accent2 2 2 2 2 3 2 3" xfId="21589"/>
    <cellStyle name="40% - Accent2 2 2 2 2 3 2 3" xfId="21590"/>
    <cellStyle name="60% - Accent2 2 2 2 2 3 2 3" xfId="21591"/>
    <cellStyle name="20% - Accent3 2 2 2 2 3 2 3" xfId="21592"/>
    <cellStyle name="40% - Accent3 2 2 2 2 3 2 3" xfId="21593"/>
    <cellStyle name="60% - Accent3 2 2 2 2 3 2 3" xfId="21594"/>
    <cellStyle name="20% - Accent4 2 2 2 2 3 2 3" xfId="21595"/>
    <cellStyle name="40% - Accent4 2 2 2 2 3 2 3" xfId="21596"/>
    <cellStyle name="60% - Accent4 2 2 2 2 3 2 3" xfId="21597"/>
    <cellStyle name="20% - Accent5 2 2 2 2 3 2 3" xfId="21598"/>
    <cellStyle name="40% - Accent5 2 2 2 2 3 2 3" xfId="21599"/>
    <cellStyle name="60% - Accent5 2 2 2 2 3 2 3" xfId="21600"/>
    <cellStyle name="20% - Accent6 2 2 2 2 3 2 3" xfId="21601"/>
    <cellStyle name="40% - Accent6 2 2 2 2 3 2 3" xfId="21602"/>
    <cellStyle name="60% - Accent6 2 2 2 2 3 2 3" xfId="21603"/>
    <cellStyle name="Comma 2 2 2 2 2 4 2 3" xfId="21604"/>
    <cellStyle name="Comma 4 2 2 2 4 2 3" xfId="21605"/>
    <cellStyle name="Normal 3 8 2 2 2 3 2 3" xfId="21606"/>
    <cellStyle name="Normal 3 10 2 3 2 3" xfId="21607"/>
    <cellStyle name="Normal 3 11 2 3 2 3" xfId="21608"/>
    <cellStyle name="Normal 3 2 6 2 2 3" xfId="21609"/>
    <cellStyle name="Normal 3 3 6 2 2 3" xfId="21610"/>
    <cellStyle name="Normal 3 4 6 2 2 3" xfId="21611"/>
    <cellStyle name="Normal 3 5 6 2 2 3" xfId="21612"/>
    <cellStyle name="20% - Accent1 6 2 2 3" xfId="21613"/>
    <cellStyle name="40% - Accent1 6 2 2 3" xfId="21614"/>
    <cellStyle name="60% - Accent1 6 2 2 3" xfId="21615"/>
    <cellStyle name="20% - Accent2 6 2 2 3" xfId="21616"/>
    <cellStyle name="40% - Accent2 6 2 2 3" xfId="21617"/>
    <cellStyle name="60% - Accent2 6 2 2 3" xfId="21618"/>
    <cellStyle name="20% - Accent3 6 2 2 3" xfId="21619"/>
    <cellStyle name="40% - Accent3 6 2 2 3" xfId="21620"/>
    <cellStyle name="60% - Accent3 6 2 2 3" xfId="21621"/>
    <cellStyle name="20% - Accent4 6 2 2 3" xfId="21622"/>
    <cellStyle name="40% - Accent4 6 2 2 3" xfId="21623"/>
    <cellStyle name="60% - Accent4 6 2 2 3" xfId="21624"/>
    <cellStyle name="20% - Accent5 6 2 2 3" xfId="21625"/>
    <cellStyle name="40% - Accent5 6 2 2 3" xfId="21626"/>
    <cellStyle name="60% - Accent5 6 2 2 3" xfId="21627"/>
    <cellStyle name="20% - Accent6 6 2 2 3" xfId="21628"/>
    <cellStyle name="40% - Accent6 6 2 2 3" xfId="21629"/>
    <cellStyle name="60% - Accent6 6 2 2 3" xfId="21630"/>
    <cellStyle name="Normal 3 2 2 5 2 2 3" xfId="21631"/>
    <cellStyle name="Normal 3 3 2 5 2 2 3" xfId="21632"/>
    <cellStyle name="Normal 3 4 2 5 2 2 3" xfId="21633"/>
    <cellStyle name="Normal 3 5 2 5 2 2 3" xfId="21634"/>
    <cellStyle name="Normal 5 5 2 2 3" xfId="21635"/>
    <cellStyle name="Percent 3 5 2 2 3" xfId="21636"/>
    <cellStyle name="Note 2 5 2 2 3" xfId="21637"/>
    <cellStyle name="Normal 3 6 5 2 2 3" xfId="21638"/>
    <cellStyle name="Comma 2 7 3 2 3" xfId="21639"/>
    <cellStyle name="Comma 3 7 3 2 3" xfId="21640"/>
    <cellStyle name="Percent 4 5 2 2 3" xfId="21641"/>
    <cellStyle name="Normal 3 7 5 2 2 3" xfId="21642"/>
    <cellStyle name="Note 3 5 2 2 3" xfId="21643"/>
    <cellStyle name="20% - Accent1 2 5 2 2 3" xfId="21644"/>
    <cellStyle name="40% - Accent1 2 5 2 2 3" xfId="21645"/>
    <cellStyle name="60% - Accent1 2 5 2 2 3" xfId="21646"/>
    <cellStyle name="20% - Accent2 2 5 2 2 3" xfId="21647"/>
    <cellStyle name="40% - Accent2 2 5 2 2 3" xfId="21648"/>
    <cellStyle name="60% - Accent2 2 5 2 2 3" xfId="21649"/>
    <cellStyle name="20% - Accent3 2 5 2 2 3" xfId="21650"/>
    <cellStyle name="40% - Accent3 2 5 2 2 3" xfId="21651"/>
    <cellStyle name="60% - Accent3 2 5 2 2 3" xfId="21652"/>
    <cellStyle name="20% - Accent4 2 5 2 2 3" xfId="21653"/>
    <cellStyle name="40% - Accent4 2 5 2 2 3" xfId="21654"/>
    <cellStyle name="60% - Accent4 2 5 2 2 3" xfId="21655"/>
    <cellStyle name="20% - Accent5 2 5 2 2 3" xfId="21656"/>
    <cellStyle name="40% - Accent5 2 5 2 2 3" xfId="21657"/>
    <cellStyle name="60% - Accent5 2 5 2 2 3" xfId="21658"/>
    <cellStyle name="20% - Accent6 2 5 2 2 3" xfId="21659"/>
    <cellStyle name="40% - Accent6 2 5 2 2 3" xfId="21660"/>
    <cellStyle name="60% - Accent6 2 5 2 2 3" xfId="21661"/>
    <cellStyle name="Comma 2 2 6 3 2 3" xfId="21662"/>
    <cellStyle name="Comma 4 6 3 2 3" xfId="21663"/>
    <cellStyle name="Normal 3 8 5 2 2 3" xfId="21664"/>
    <cellStyle name="Normal 7 4 2 2 3" xfId="21665"/>
    <cellStyle name="Comma 5 4 3 2 3" xfId="21666"/>
    <cellStyle name="20% - Accent1 3 4 2 2 3" xfId="21667"/>
    <cellStyle name="40% - Accent1 3 4 2 2 3" xfId="21668"/>
    <cellStyle name="60% - Accent1 3 4 2 2 3" xfId="21669"/>
    <cellStyle name="20% - Accent2 3 4 2 2 3" xfId="21670"/>
    <cellStyle name="40% - Accent2 3 4 2 2 3" xfId="21671"/>
    <cellStyle name="60% - Accent2 3 4 2 2 3" xfId="21672"/>
    <cellStyle name="20% - Accent3 3 4 2 2 3" xfId="21673"/>
    <cellStyle name="40% - Accent3 3 4 2 2 3" xfId="21674"/>
    <cellStyle name="60% - Accent3 3 4 2 2 3" xfId="21675"/>
    <cellStyle name="20% - Accent4 3 4 2 2 3" xfId="21676"/>
    <cellStyle name="40% - Accent4 3 4 2 2 3" xfId="21677"/>
    <cellStyle name="60% - Accent4 3 4 2 2 3" xfId="21678"/>
    <cellStyle name="20% - Accent5 3 4 2 2 3" xfId="21679"/>
    <cellStyle name="40% - Accent5 3 4 2 2 3" xfId="21680"/>
    <cellStyle name="60% - Accent5 3 4 2 2 3" xfId="21681"/>
    <cellStyle name="20% - Accent6 3 4 2 2 3" xfId="21682"/>
    <cellStyle name="40% - Accent6 3 4 2 2 3" xfId="21683"/>
    <cellStyle name="60% - Accent6 3 4 2 2 3" xfId="21684"/>
    <cellStyle name="Normal 3 2 3 4 2 2 3" xfId="21685"/>
    <cellStyle name="Normal 3 3 3 4 2 2 3" xfId="21686"/>
    <cellStyle name="Normal 3 4 3 4 2 2 3" xfId="21687"/>
    <cellStyle name="Normal 3 5 3 4 2 2 3" xfId="21688"/>
    <cellStyle name="Normal 3 2 2 2 4 2 2 3" xfId="21689"/>
    <cellStyle name="Normal 3 3 2 2 4 2 2 3" xfId="21690"/>
    <cellStyle name="Normal 3 4 2 2 4 2 2 3" xfId="21691"/>
    <cellStyle name="Normal 3 5 2 2 4 2 2 3" xfId="21692"/>
    <cellStyle name="Normal 5 2 4 2 2 3" xfId="21693"/>
    <cellStyle name="Percent 3 2 4 2 2 3" xfId="21694"/>
    <cellStyle name="Note 2 2 4 2 2 3" xfId="21695"/>
    <cellStyle name="Normal 3 6 2 4 2 2 3" xfId="21696"/>
    <cellStyle name="Comma 2 3 4 3 2 3" xfId="21697"/>
    <cellStyle name="Comma 3 2 4 3 2 3" xfId="21698"/>
    <cellStyle name="Percent 4 2 4 2 2 3" xfId="21699"/>
    <cellStyle name="Normal 3 7 2 4 2 2 3" xfId="21700"/>
    <cellStyle name="Note 3 2 4 2 2 3" xfId="21701"/>
    <cellStyle name="20% - Accent1 2 2 4 2 2 3" xfId="21702"/>
    <cellStyle name="40% - Accent1 2 2 4 2 2 3" xfId="21703"/>
    <cellStyle name="60% - Accent1 2 2 4 2 2 3" xfId="21704"/>
    <cellStyle name="20% - Accent2 2 2 4 2 2 3" xfId="21705"/>
    <cellStyle name="40% - Accent2 2 2 4 2 2 3" xfId="21706"/>
    <cellStyle name="60% - Accent2 2 2 4 2 2 3" xfId="21707"/>
    <cellStyle name="20% - Accent3 2 2 4 2 2 3" xfId="21708"/>
    <cellStyle name="40% - Accent3 2 2 4 2 2 3" xfId="21709"/>
    <cellStyle name="60% - Accent3 2 2 4 2 2 3" xfId="21710"/>
    <cellStyle name="20% - Accent4 2 2 4 2 2 3" xfId="21711"/>
    <cellStyle name="40% - Accent4 2 2 4 2 2 3" xfId="21712"/>
    <cellStyle name="60% - Accent4 2 2 4 2 2 3" xfId="21713"/>
    <cellStyle name="20% - Accent5 2 2 4 2 2 3" xfId="21714"/>
    <cellStyle name="40% - Accent5 2 2 4 2 2 3" xfId="21715"/>
    <cellStyle name="60% - Accent5 2 2 4 2 2 3" xfId="21716"/>
    <cellStyle name="20% - Accent6 2 2 4 2 2 3" xfId="21717"/>
    <cellStyle name="40% - Accent6 2 2 4 2 2 3" xfId="21718"/>
    <cellStyle name="60% - Accent6 2 2 4 2 2 3" xfId="21719"/>
    <cellStyle name="Comma 2 2 2 4 3 2 3" xfId="21720"/>
    <cellStyle name="Comma 4 2 4 3 2 3" xfId="21721"/>
    <cellStyle name="Normal 3 8 2 4 2 2 3" xfId="21722"/>
    <cellStyle name="Normal 8 3 2 2 3" xfId="21723"/>
    <cellStyle name="Comma 6 3 3 2 3" xfId="21724"/>
    <cellStyle name="20% - Accent1 4 3 2 2 3" xfId="21725"/>
    <cellStyle name="40% - Accent1 4 3 2 2 3" xfId="21726"/>
    <cellStyle name="60% - Accent1 4 3 2 2 3" xfId="21727"/>
    <cellStyle name="20% - Accent2 4 3 2 2 3" xfId="21728"/>
    <cellStyle name="40% - Accent2 4 3 2 2 3" xfId="21729"/>
    <cellStyle name="60% - Accent2 4 3 2 2 3" xfId="21730"/>
    <cellStyle name="20% - Accent3 4 3 2 2 3" xfId="21731"/>
    <cellStyle name="40% - Accent3 4 3 2 2 3" xfId="21732"/>
    <cellStyle name="60% - Accent3 4 3 2 2 3" xfId="21733"/>
    <cellStyle name="20% - Accent4 4 3 2 2 3" xfId="21734"/>
    <cellStyle name="40% - Accent4 4 3 2 2 3" xfId="21735"/>
    <cellStyle name="60% - Accent4 4 3 2 2 3" xfId="21736"/>
    <cellStyle name="20% - Accent5 4 3 2 2 3" xfId="21737"/>
    <cellStyle name="40% - Accent5 4 3 2 2 3" xfId="21738"/>
    <cellStyle name="60% - Accent5 4 3 2 2 3" xfId="21739"/>
    <cellStyle name="20% - Accent6 4 3 2 2 3" xfId="21740"/>
    <cellStyle name="40% - Accent6 4 3 2 2 3" xfId="21741"/>
    <cellStyle name="60% - Accent6 4 3 2 2 3" xfId="21742"/>
    <cellStyle name="Normal 3 2 4 3 2 2 3" xfId="21743"/>
    <cellStyle name="Normal 3 3 4 3 2 2 3" xfId="21744"/>
    <cellStyle name="Normal 3 4 4 3 2 2 3" xfId="21745"/>
    <cellStyle name="Normal 3 5 4 3 2 2 3" xfId="21746"/>
    <cellStyle name="Normal 3 2 2 3 3 2 2 3" xfId="21747"/>
    <cellStyle name="Normal 3 3 2 3 3 2 2 3" xfId="21748"/>
    <cellStyle name="Normal 3 4 2 3 3 2 2 3" xfId="21749"/>
    <cellStyle name="Normal 3 5 2 3 3 2 2 3" xfId="21750"/>
    <cellStyle name="Normal 5 3 3 2 2 3" xfId="21751"/>
    <cellStyle name="Percent 3 3 3 2 2 3" xfId="21752"/>
    <cellStyle name="Note 2 3 3 2 2 3" xfId="21753"/>
    <cellStyle name="Normal 3 6 3 3 2 2 3" xfId="21754"/>
    <cellStyle name="Comma 2 5 3 3 2 3" xfId="21755"/>
    <cellStyle name="Comma 3 4 3 3 2 3" xfId="21756"/>
    <cellStyle name="Percent 4 3 3 2 2 3" xfId="21757"/>
    <cellStyle name="Normal 3 7 3 3 2 2 3" xfId="21758"/>
    <cellStyle name="Note 3 3 3 2 2 3" xfId="21759"/>
    <cellStyle name="20% - Accent1 2 3 3 2 2 3" xfId="21760"/>
    <cellStyle name="40% - Accent1 2 3 3 2 2 3" xfId="21761"/>
    <cellStyle name="60% - Accent1 2 3 3 2 2 3" xfId="21762"/>
    <cellStyle name="20% - Accent2 2 3 3 2 2 3" xfId="21763"/>
    <cellStyle name="40% - Accent2 2 3 3 2 2 3" xfId="21764"/>
    <cellStyle name="60% - Accent2 2 3 3 2 2 3" xfId="21765"/>
    <cellStyle name="20% - Accent3 2 3 3 2 2 3" xfId="21766"/>
    <cellStyle name="40% - Accent3 2 3 3 2 2 3" xfId="21767"/>
    <cellStyle name="60% - Accent3 2 3 3 2 2 3" xfId="21768"/>
    <cellStyle name="20% - Accent4 2 3 3 2 2 3" xfId="21769"/>
    <cellStyle name="40% - Accent4 2 3 3 2 2 3" xfId="21770"/>
    <cellStyle name="60% - Accent4 2 3 3 2 2 3" xfId="21771"/>
    <cellStyle name="20% - Accent5 2 3 3 2 2 3" xfId="21772"/>
    <cellStyle name="40% - Accent5 2 3 3 2 2 3" xfId="21773"/>
    <cellStyle name="60% - Accent5 2 3 3 2 2 3" xfId="21774"/>
    <cellStyle name="20% - Accent6 2 3 3 2 2 3" xfId="21775"/>
    <cellStyle name="40% - Accent6 2 3 3 2 2 3" xfId="21776"/>
    <cellStyle name="60% - Accent6 2 3 3 2 2 3" xfId="21777"/>
    <cellStyle name="Comma 2 2 4 3 3 2 3" xfId="21778"/>
    <cellStyle name="Comma 4 4 3 3 2 3" xfId="21779"/>
    <cellStyle name="Normal 3 8 3 3 2 2 3" xfId="21780"/>
    <cellStyle name="Comma 2 4 3 3 2 3" xfId="21781"/>
    <cellStyle name="Comma 3 3 3 3 2 3" xfId="21782"/>
    <cellStyle name="Comma 2 2 3 3 3 2 3" xfId="21783"/>
    <cellStyle name="Comma 4 3 3 3 2 3" xfId="21784"/>
    <cellStyle name="Normal 7 2 3 2 2 3" xfId="21785"/>
    <cellStyle name="Comma 5 2 3 3 2 3" xfId="21786"/>
    <cellStyle name="20% - Accent1 3 2 3 2 2 3" xfId="21787"/>
    <cellStyle name="40% - Accent1 3 2 3 2 2 3" xfId="21788"/>
    <cellStyle name="60% - Accent1 3 2 3 2 2 3" xfId="21789"/>
    <cellStyle name="20% - Accent2 3 2 3 2 2 3" xfId="21790"/>
    <cellStyle name="40% - Accent2 3 2 3 2 2 3" xfId="21791"/>
    <cellStyle name="60% - Accent2 3 2 3 2 2 3" xfId="21792"/>
    <cellStyle name="20% - Accent3 3 2 3 2 2 3" xfId="21793"/>
    <cellStyle name="40% - Accent3 3 2 3 2 2 3" xfId="21794"/>
    <cellStyle name="60% - Accent3 3 2 3 2 2 3" xfId="21795"/>
    <cellStyle name="20% - Accent4 3 2 3 2 2 3" xfId="21796"/>
    <cellStyle name="40% - Accent4 3 2 3 2 2 3" xfId="21797"/>
    <cellStyle name="60% - Accent4 3 2 3 2 2 3" xfId="21798"/>
    <cellStyle name="20% - Accent5 3 2 3 2 2 3" xfId="21799"/>
    <cellStyle name="40% - Accent5 3 2 3 2 2 3" xfId="21800"/>
    <cellStyle name="60% - Accent5 3 2 3 2 2 3" xfId="21801"/>
    <cellStyle name="20% - Accent6 3 2 3 2 2 3" xfId="21802"/>
    <cellStyle name="40% - Accent6 3 2 3 2 2 3" xfId="21803"/>
    <cellStyle name="60% - Accent6 3 2 3 2 2 3" xfId="21804"/>
    <cellStyle name="Normal 3 2 3 2 3 2 2 3" xfId="21805"/>
    <cellStyle name="Normal 3 3 3 2 3 2 2 3" xfId="21806"/>
    <cellStyle name="Normal 3 4 3 2 3 2 2 3" xfId="21807"/>
    <cellStyle name="Normal 3 5 3 2 3 2 2 3" xfId="21808"/>
    <cellStyle name="Normal 3 2 2 2 2 3 2 2 3" xfId="21809"/>
    <cellStyle name="Normal 3 3 2 2 2 3 2 2 3" xfId="21810"/>
    <cellStyle name="Normal 3 4 2 2 2 3 2 2 3" xfId="21811"/>
    <cellStyle name="Normal 3 5 2 2 2 3 2 2 3" xfId="21812"/>
    <cellStyle name="Normal 5 2 2 3 2 2 3" xfId="21813"/>
    <cellStyle name="Percent 3 2 2 3 2 2 3" xfId="21814"/>
    <cellStyle name="Note 2 2 2 3 2 2 3" xfId="21815"/>
    <cellStyle name="Normal 3 6 2 2 3 2 2 3" xfId="21816"/>
    <cellStyle name="Comma 2 3 2 3 3 2 3" xfId="21817"/>
    <cellStyle name="Comma 3 2 2 3 3 2 3" xfId="21818"/>
    <cellStyle name="Percent 4 2 2 3 2 2 3" xfId="21819"/>
    <cellStyle name="Normal 3 7 2 2 3 2 2 3" xfId="21820"/>
    <cellStyle name="Note 3 2 2 3 2 2 3" xfId="21821"/>
    <cellStyle name="20% - Accent1 2 2 2 3 2 2 3" xfId="21822"/>
    <cellStyle name="40% - Accent1 2 2 2 3 2 2 3" xfId="21823"/>
    <cellStyle name="60% - Accent1 2 2 2 3 2 2 3" xfId="21824"/>
    <cellStyle name="20% - Accent2 2 2 2 3 2 2 3" xfId="21825"/>
    <cellStyle name="40% - Accent2 2 2 2 3 2 2 3" xfId="21826"/>
    <cellStyle name="60% - Accent2 2 2 2 3 2 2 3" xfId="21827"/>
    <cellStyle name="20% - Accent3 2 2 2 3 2 2 3" xfId="21828"/>
    <cellStyle name="40% - Accent3 2 2 2 3 2 2 3" xfId="21829"/>
    <cellStyle name="60% - Accent3 2 2 2 3 2 2 3" xfId="21830"/>
    <cellStyle name="20% - Accent4 2 2 2 3 2 2 3" xfId="21831"/>
    <cellStyle name="40% - Accent4 2 2 2 3 2 2 3" xfId="21832"/>
    <cellStyle name="60% - Accent4 2 2 2 3 2 2 3" xfId="21833"/>
    <cellStyle name="20% - Accent5 2 2 2 3 2 2 3" xfId="21834"/>
    <cellStyle name="40% - Accent5 2 2 2 3 2 2 3" xfId="21835"/>
    <cellStyle name="60% - Accent5 2 2 2 3 2 2 3" xfId="21836"/>
    <cellStyle name="20% - Accent6 2 2 2 3 2 2 3" xfId="21837"/>
    <cellStyle name="40% - Accent6 2 2 2 3 2 2 3" xfId="21838"/>
    <cellStyle name="60% - Accent6 2 2 2 3 2 2 3" xfId="21839"/>
    <cellStyle name="Comma 2 2 2 2 3 3 2 3" xfId="21840"/>
    <cellStyle name="Comma 4 2 2 3 3 2 3" xfId="21841"/>
    <cellStyle name="Normal 3 8 2 2 3 2 2 3" xfId="21842"/>
    <cellStyle name="Normal 3 10 3 2 2 3" xfId="21843"/>
    <cellStyle name="Normal 3 11 3 2 2 3" xfId="21844"/>
    <cellStyle name="Normal 5 4 2 2 2 3" xfId="21845"/>
    <cellStyle name="Normal 7 3 2 2 2 3" xfId="21846"/>
    <cellStyle name="Normal 3 2 2 2 3 2 2 2 3" xfId="21847"/>
    <cellStyle name="Normal 8 2 2 2 2 3" xfId="21848"/>
    <cellStyle name="Normal 3 2 2 2 2 2 2 2 2 3" xfId="21849"/>
    <cellStyle name="Comma 3 6 3 2 3" xfId="21850"/>
    <cellStyle name="Normal 3 6 4 2 2 2 3" xfId="21851"/>
    <cellStyle name="Normal 3 12 2 2 2 3" xfId="21852"/>
    <cellStyle name="Normal 3 2 5 2 2 2 3" xfId="21853"/>
    <cellStyle name="Normal 3 3 5 2 2 2 3" xfId="21854"/>
    <cellStyle name="Normal 3 4 5 2 2 2 3" xfId="21855"/>
    <cellStyle name="Normal 3 5 5 2 2 2 3" xfId="21856"/>
    <cellStyle name="20% - Accent1 5 2 2 2 3" xfId="21857"/>
    <cellStyle name="40% - Accent1 5 2 2 2 3" xfId="21858"/>
    <cellStyle name="60% - Accent1 5 2 2 2 3" xfId="21859"/>
    <cellStyle name="20% - Accent2 5 2 2 2 3" xfId="21860"/>
    <cellStyle name="40% - Accent2 5 2 2 2 3" xfId="21861"/>
    <cellStyle name="60% - Accent2 5 2 2 2 3" xfId="21862"/>
    <cellStyle name="20% - Accent3 5 2 2 2 3" xfId="21863"/>
    <cellStyle name="40% - Accent3 5 2 2 2 3" xfId="21864"/>
    <cellStyle name="60% - Accent3 5 2 2 2 3" xfId="21865"/>
    <cellStyle name="20% - Accent4 5 2 2 2 3" xfId="21866"/>
    <cellStyle name="40% - Accent4 5 2 2 2 3" xfId="21867"/>
    <cellStyle name="60% - Accent4 5 2 2 2 3" xfId="21868"/>
    <cellStyle name="20% - Accent5 5 2 2 2 3" xfId="21869"/>
    <cellStyle name="40% - Accent5 5 2 2 2 3" xfId="21870"/>
    <cellStyle name="60% - Accent5 5 2 2 2 3" xfId="21871"/>
    <cellStyle name="20% - Accent6 5 2 2 2 3" xfId="21872"/>
    <cellStyle name="40% - Accent6 5 2 2 2 3" xfId="21873"/>
    <cellStyle name="60% - Accent6 5 2 2 2 3" xfId="21874"/>
    <cellStyle name="Normal 3 2 2 4 2 2 2 3" xfId="21875"/>
    <cellStyle name="Normal 3 3 2 4 2 2 2 3" xfId="21876"/>
    <cellStyle name="Normal 3 4 2 4 2 2 2 3" xfId="21877"/>
    <cellStyle name="Normal 3 5 2 4 2 2 2 3" xfId="21878"/>
    <cellStyle name="Percent 3 4 2 2 2 3" xfId="21879"/>
    <cellStyle name="Note 2 4 2 2 2 3" xfId="21880"/>
    <cellStyle name="Comma 2 6 2 3 2 3" xfId="21881"/>
    <cellStyle name="Comma 3 5 2 3 2 3" xfId="21882"/>
    <cellStyle name="Percent 4 4 2 2 2 3" xfId="21883"/>
    <cellStyle name="Normal 3 7 4 2 2 2 3" xfId="21884"/>
    <cellStyle name="Note 3 4 2 2 2 3" xfId="21885"/>
    <cellStyle name="20% - Accent1 2 4 2 2 2 3" xfId="21886"/>
    <cellStyle name="40% - Accent1 2 4 2 2 2 3" xfId="21887"/>
    <cellStyle name="60% - Accent1 2 4 2 2 2 3" xfId="21888"/>
    <cellStyle name="20% - Accent2 2 4 2 2 2 3" xfId="21889"/>
    <cellStyle name="40% - Accent2 2 4 2 2 2 3" xfId="21890"/>
    <cellStyle name="60% - Accent2 2 4 2 2 2 3" xfId="21891"/>
    <cellStyle name="20% - Accent3 2 4 2 2 2 3" xfId="21892"/>
    <cellStyle name="40% - Accent3 2 4 2 2 2 3" xfId="21893"/>
    <cellStyle name="60% - Accent3 2 4 2 2 2 3" xfId="21894"/>
    <cellStyle name="20% - Accent4 2 4 2 2 2 3" xfId="21895"/>
    <cellStyle name="40% - Accent4 2 4 2 2 2 3" xfId="21896"/>
    <cellStyle name="60% - Accent4 2 4 2 2 2 3" xfId="21897"/>
    <cellStyle name="20% - Accent5 2 4 2 2 2 3" xfId="21898"/>
    <cellStyle name="40% - Accent5 2 4 2 2 2 3" xfId="21899"/>
    <cellStyle name="60% - Accent5 2 4 2 2 2 3" xfId="21900"/>
    <cellStyle name="20% - Accent6 2 4 2 2 2 3" xfId="21901"/>
    <cellStyle name="40% - Accent6 2 4 2 2 2 3" xfId="21902"/>
    <cellStyle name="60% - Accent6 2 4 2 2 2 3" xfId="21903"/>
    <cellStyle name="Comma 2 2 5 2 3 2 3" xfId="21904"/>
    <cellStyle name="Comma 4 5 2 3 2 3" xfId="21905"/>
    <cellStyle name="Normal 3 8 4 2 2 2 3" xfId="21906"/>
    <cellStyle name="Comma 5 3 2 3 2 3" xfId="21907"/>
    <cellStyle name="20% - Accent1 3 3 2 2 2 3" xfId="21908"/>
    <cellStyle name="40% - Accent1 3 3 2 2 2 3" xfId="21909"/>
    <cellStyle name="60% - Accent1 3 3 2 2 2 3" xfId="21910"/>
    <cellStyle name="20% - Accent2 3 3 2 2 2 3" xfId="21911"/>
    <cellStyle name="40% - Accent2 3 3 2 2 2 3" xfId="21912"/>
    <cellStyle name="60% - Accent2 3 3 2 2 2 3" xfId="21913"/>
    <cellStyle name="20% - Accent3 3 3 2 2 2 3" xfId="21914"/>
    <cellStyle name="40% - Accent3 3 3 2 2 2 3" xfId="21915"/>
    <cellStyle name="60% - Accent3 3 3 2 2 2 3" xfId="21916"/>
    <cellStyle name="20% - Accent4 3 3 2 2 2 3" xfId="21917"/>
    <cellStyle name="40% - Accent4 3 3 2 2 2 3" xfId="21918"/>
    <cellStyle name="60% - Accent4 3 3 2 2 2 3" xfId="21919"/>
    <cellStyle name="20% - Accent5 3 3 2 2 2 3" xfId="21920"/>
    <cellStyle name="40% - Accent5 3 3 2 2 2 3" xfId="21921"/>
    <cellStyle name="60% - Accent5 3 3 2 2 2 3" xfId="21922"/>
    <cellStyle name="20% - Accent6 3 3 2 2 2 3" xfId="21923"/>
    <cellStyle name="40% - Accent6 3 3 2 2 2 3" xfId="21924"/>
    <cellStyle name="60% - Accent6 3 3 2 2 2 3" xfId="21925"/>
    <cellStyle name="Normal 3 2 3 3 2 2 2 3" xfId="21926"/>
    <cellStyle name="Normal 3 3 3 3 2 2 2 3" xfId="21927"/>
    <cellStyle name="Normal 3 4 3 3 2 2 2 3" xfId="21928"/>
    <cellStyle name="Normal 3 5 3 3 2 2 2 3" xfId="21929"/>
    <cellStyle name="Normal 3 3 2 2 3 2 2 2 3" xfId="21930"/>
    <cellStyle name="Normal 3 4 2 2 3 2 2 2 3" xfId="21931"/>
    <cellStyle name="Normal 3 5 2 2 3 2 2 2 3" xfId="21932"/>
    <cellStyle name="Normal 5 2 3 2 2 2 3" xfId="21933"/>
    <cellStyle name="Percent 3 2 3 2 2 2 3" xfId="21934"/>
    <cellStyle name="Note 2 2 3 2 2 2 3" xfId="21935"/>
    <cellStyle name="Normal 3 6 2 3 2 2 2 3" xfId="21936"/>
    <cellStyle name="Comma 2 3 3 2 3 2 3" xfId="21937"/>
    <cellStyle name="Comma 3 2 3 2 3 2 3" xfId="21938"/>
    <cellStyle name="Percent 4 2 3 2 2 2 3" xfId="21939"/>
    <cellStyle name="Normal 3 7 2 3 2 2 2 3" xfId="21940"/>
    <cellStyle name="Note 3 2 3 2 2 2 3" xfId="21941"/>
    <cellStyle name="20% - Accent1 2 2 3 2 2 2 3" xfId="21942"/>
    <cellStyle name="40% - Accent1 2 2 3 2 2 2 3" xfId="21943"/>
    <cellStyle name="60% - Accent1 2 2 3 2 2 2 3" xfId="21944"/>
    <cellStyle name="20% - Accent2 2 2 3 2 2 2 3" xfId="21945"/>
    <cellStyle name="40% - Accent2 2 2 3 2 2 2 3" xfId="21946"/>
    <cellStyle name="60% - Accent2 2 2 3 2 2 2 3" xfId="21947"/>
    <cellStyle name="20% - Accent3 2 2 3 2 2 2 3" xfId="21948"/>
    <cellStyle name="40% - Accent3 2 2 3 2 2 2 3" xfId="21949"/>
    <cellStyle name="60% - Accent3 2 2 3 2 2 2 3" xfId="21950"/>
    <cellStyle name="20% - Accent4 2 2 3 2 2 2 3" xfId="21951"/>
    <cellStyle name="40% - Accent4 2 2 3 2 2 2 3" xfId="21952"/>
    <cellStyle name="60% - Accent4 2 2 3 2 2 2 3" xfId="21953"/>
    <cellStyle name="20% - Accent5 2 2 3 2 2 2 3" xfId="21954"/>
    <cellStyle name="40% - Accent5 2 2 3 2 2 2 3" xfId="21955"/>
    <cellStyle name="60% - Accent5 2 2 3 2 2 2 3" xfId="21956"/>
    <cellStyle name="20% - Accent6 2 2 3 2 2 2 3" xfId="21957"/>
    <cellStyle name="40% - Accent6 2 2 3 2 2 2 3" xfId="21958"/>
    <cellStyle name="60% - Accent6 2 2 3 2 2 2 3" xfId="21959"/>
    <cellStyle name="Comma 2 2 2 3 2 3 2 3" xfId="21960"/>
    <cellStyle name="Comma 4 2 3 2 3 2 3" xfId="21961"/>
    <cellStyle name="Normal 3 8 2 3 2 2 2 3" xfId="21962"/>
    <cellStyle name="Comma 6 2 2 3 2 3" xfId="21963"/>
    <cellStyle name="20% - Accent1 4 2 2 2 2 3" xfId="21964"/>
    <cellStyle name="40% - Accent1 4 2 2 2 2 3" xfId="21965"/>
    <cellStyle name="60% - Accent1 4 2 2 2 2 3" xfId="21966"/>
    <cellStyle name="20% - Accent2 4 2 2 2 2 3" xfId="21967"/>
    <cellStyle name="40% - Accent2 4 2 2 2 2 3" xfId="21968"/>
    <cellStyle name="60% - Accent2 4 2 2 2 2 3" xfId="21969"/>
    <cellStyle name="20% - Accent3 4 2 2 2 2 3" xfId="21970"/>
    <cellStyle name="40% - Accent3 4 2 2 2 2 3" xfId="21971"/>
    <cellStyle name="60% - Accent3 4 2 2 2 2 3" xfId="21972"/>
    <cellStyle name="20% - Accent4 4 2 2 2 2 3" xfId="21973"/>
    <cellStyle name="40% - Accent4 4 2 2 2 2 3" xfId="21974"/>
    <cellStyle name="60% - Accent4 4 2 2 2 2 3" xfId="21975"/>
    <cellStyle name="20% - Accent5 4 2 2 2 2 3" xfId="21976"/>
    <cellStyle name="40% - Accent5 4 2 2 2 2 3" xfId="21977"/>
    <cellStyle name="60% - Accent5 4 2 2 2 2 3" xfId="21978"/>
    <cellStyle name="20% - Accent6 4 2 2 2 2 3" xfId="21979"/>
    <cellStyle name="40% - Accent6 4 2 2 2 2 3" xfId="21980"/>
    <cellStyle name="60% - Accent6 4 2 2 2 2 3" xfId="21981"/>
    <cellStyle name="Normal 3 2 4 2 2 2 2 3" xfId="21982"/>
    <cellStyle name="Normal 3 3 4 2 2 2 2 3" xfId="21983"/>
    <cellStyle name="Normal 3 4 4 2 2 2 2 3" xfId="21984"/>
    <cellStyle name="Normal 3 5 4 2 2 2 2 3" xfId="21985"/>
    <cellStyle name="Normal 3 2 2 3 2 2 2 2 3" xfId="21986"/>
    <cellStyle name="Normal 3 3 2 3 2 2 2 2 3" xfId="21987"/>
    <cellStyle name="Normal 3 4 2 3 2 2 2 2 3" xfId="21988"/>
    <cellStyle name="Normal 3 5 2 3 2 2 2 2 3" xfId="21989"/>
    <cellStyle name="Normal 5 3 2 2 2 2 3" xfId="21990"/>
    <cellStyle name="Percent 3 3 2 2 2 2 3" xfId="21991"/>
    <cellStyle name="Note 2 3 2 2 2 2 3" xfId="21992"/>
    <cellStyle name="Normal 3 6 3 2 2 2 2 3" xfId="21993"/>
    <cellStyle name="Comma 2 5 2 2 3 2 3" xfId="21994"/>
    <cellStyle name="Comma 3 4 2 2 3 2 3" xfId="21995"/>
    <cellStyle name="Percent 4 3 2 2 2 2 3" xfId="21996"/>
    <cellStyle name="Normal 3 7 3 2 2 2 2 3" xfId="21997"/>
    <cellStyle name="Note 3 3 2 2 2 2 3" xfId="21998"/>
    <cellStyle name="20% - Accent1 2 3 2 2 2 2 3" xfId="21999"/>
    <cellStyle name="40% - Accent1 2 3 2 2 2 2 3" xfId="22000"/>
    <cellStyle name="60% - Accent1 2 3 2 2 2 2 3" xfId="22001"/>
    <cellStyle name="20% - Accent2 2 3 2 2 2 2 3" xfId="22002"/>
    <cellStyle name="40% - Accent2 2 3 2 2 2 2 3" xfId="22003"/>
    <cellStyle name="60% - Accent2 2 3 2 2 2 2 3" xfId="22004"/>
    <cellStyle name="20% - Accent3 2 3 2 2 2 2 3" xfId="22005"/>
    <cellStyle name="40% - Accent3 2 3 2 2 2 2 3" xfId="22006"/>
    <cellStyle name="60% - Accent3 2 3 2 2 2 2 3" xfId="22007"/>
    <cellStyle name="20% - Accent4 2 3 2 2 2 2 3" xfId="22008"/>
    <cellStyle name="40% - Accent4 2 3 2 2 2 2 3" xfId="22009"/>
    <cellStyle name="60% - Accent4 2 3 2 2 2 2 3" xfId="22010"/>
    <cellStyle name="20% - Accent5 2 3 2 2 2 2 3" xfId="22011"/>
    <cellStyle name="40% - Accent5 2 3 2 2 2 2 3" xfId="22012"/>
    <cellStyle name="60% - Accent5 2 3 2 2 2 2 3" xfId="22013"/>
    <cellStyle name="20% - Accent6 2 3 2 2 2 2 3" xfId="22014"/>
    <cellStyle name="40% - Accent6 2 3 2 2 2 2 3" xfId="22015"/>
    <cellStyle name="60% - Accent6 2 3 2 2 2 2 3" xfId="22016"/>
    <cellStyle name="Comma 2 2 4 2 2 3 2 3" xfId="22017"/>
    <cellStyle name="Comma 4 4 2 2 3 2 3" xfId="22018"/>
    <cellStyle name="Normal 3 8 3 2 2 2 2 3" xfId="22019"/>
    <cellStyle name="Comma 2 4 2 2 3 2 3" xfId="22020"/>
    <cellStyle name="Comma 3 3 2 2 3 2 3" xfId="22021"/>
    <cellStyle name="Comma 2 2 3 2 2 3 2 3" xfId="22022"/>
    <cellStyle name="Comma 4 3 2 2 3 2 3" xfId="22023"/>
    <cellStyle name="Normal 7 2 2 2 2 2 3" xfId="22024"/>
    <cellStyle name="Comma 5 2 2 2 3 2 3" xfId="22025"/>
    <cellStyle name="20% - Accent1 3 2 2 2 2 2 3" xfId="22026"/>
    <cellStyle name="40% - Accent1 3 2 2 2 2 2 3" xfId="22027"/>
    <cellStyle name="60% - Accent1 3 2 2 2 2 2 3" xfId="22028"/>
    <cellStyle name="20% - Accent2 3 2 2 2 2 2 3" xfId="22029"/>
    <cellStyle name="40% - Accent2 3 2 2 2 2 2 3" xfId="22030"/>
    <cellStyle name="60% - Accent2 3 2 2 2 2 2 3" xfId="22031"/>
    <cellStyle name="20% - Accent3 3 2 2 2 2 2 3" xfId="22032"/>
    <cellStyle name="40% - Accent3 3 2 2 2 2 2 3" xfId="22033"/>
    <cellStyle name="60% - Accent3 3 2 2 2 2 2 3" xfId="22034"/>
    <cellStyle name="20% - Accent4 3 2 2 2 2 2 3" xfId="22035"/>
    <cellStyle name="40% - Accent4 3 2 2 2 2 2 3" xfId="22036"/>
    <cellStyle name="60% - Accent4 3 2 2 2 2 2 3" xfId="22037"/>
    <cellStyle name="20% - Accent5 3 2 2 2 2 2 3" xfId="22038"/>
    <cellStyle name="40% - Accent5 3 2 2 2 2 2 3" xfId="22039"/>
    <cellStyle name="60% - Accent5 3 2 2 2 2 2 3" xfId="22040"/>
    <cellStyle name="20% - Accent6 3 2 2 2 2 2 3" xfId="22041"/>
    <cellStyle name="40% - Accent6 3 2 2 2 2 2 3" xfId="22042"/>
    <cellStyle name="60% - Accent6 3 2 2 2 2 2 3" xfId="22043"/>
    <cellStyle name="Normal 3 2 3 2 2 2 2 2 3" xfId="22044"/>
    <cellStyle name="Normal 3 3 3 2 2 2 2 2 3" xfId="22045"/>
    <cellStyle name="Normal 3 4 3 2 2 2 2 2 3" xfId="22046"/>
    <cellStyle name="Normal 3 5 3 2 2 2 2 2 3" xfId="22047"/>
    <cellStyle name="Normal 3 3 2 2 2 2 2 2 2 3" xfId="22048"/>
    <cellStyle name="Normal 3 4 2 2 2 2 2 2 2 3" xfId="22049"/>
    <cellStyle name="Normal 3 5 2 2 2 2 2 2 2 3" xfId="22050"/>
    <cellStyle name="Normal 5 2 2 2 2 2 2 3" xfId="22051"/>
    <cellStyle name="Percent 3 2 2 2 2 2 2 3" xfId="22052"/>
    <cellStyle name="Note 2 2 2 2 2 2 2 3" xfId="22053"/>
    <cellStyle name="Normal 3 6 2 2 2 2 2 2 3" xfId="22054"/>
    <cellStyle name="Comma 2 3 2 2 2 3 2 3" xfId="22055"/>
    <cellStyle name="Comma 3 2 2 2 2 3 2 3" xfId="22056"/>
    <cellStyle name="Percent 4 2 2 2 2 2 2 3" xfId="22057"/>
    <cellStyle name="Normal 3 7 2 2 2 2 2 2 3" xfId="22058"/>
    <cellStyle name="Note 3 2 2 2 2 2 2 3" xfId="22059"/>
    <cellStyle name="20% - Accent1 2 2 2 2 2 2 2 3" xfId="22060"/>
    <cellStyle name="40% - Accent1 2 2 2 2 2 2 2 3" xfId="22061"/>
    <cellStyle name="60% - Accent1 2 2 2 2 2 2 2 3" xfId="22062"/>
    <cellStyle name="20% - Accent2 2 2 2 2 2 2 2 3" xfId="22063"/>
    <cellStyle name="40% - Accent2 2 2 2 2 2 2 2 3" xfId="22064"/>
    <cellStyle name="60% - Accent2 2 2 2 2 2 2 2 3" xfId="22065"/>
    <cellStyle name="20% - Accent3 2 2 2 2 2 2 2 3" xfId="22066"/>
    <cellStyle name="40% - Accent3 2 2 2 2 2 2 2 3" xfId="22067"/>
    <cellStyle name="60% - Accent3 2 2 2 2 2 2 2 3" xfId="22068"/>
    <cellStyle name="20% - Accent4 2 2 2 2 2 2 2 3" xfId="22069"/>
    <cellStyle name="40% - Accent4 2 2 2 2 2 2 2 3" xfId="22070"/>
    <cellStyle name="60% - Accent4 2 2 2 2 2 2 2 3" xfId="22071"/>
    <cellStyle name="20% - Accent5 2 2 2 2 2 2 2 3" xfId="22072"/>
    <cellStyle name="40% - Accent5 2 2 2 2 2 2 2 3" xfId="22073"/>
    <cellStyle name="60% - Accent5 2 2 2 2 2 2 2 3" xfId="22074"/>
    <cellStyle name="20% - Accent6 2 2 2 2 2 2 2 3" xfId="22075"/>
    <cellStyle name="40% - Accent6 2 2 2 2 2 2 2 3" xfId="22076"/>
    <cellStyle name="60% - Accent6 2 2 2 2 2 2 2 3" xfId="22077"/>
    <cellStyle name="Comma 2 2 2 2 2 2 3 2 3" xfId="22078"/>
    <cellStyle name="Comma 4 2 2 2 2 3 2 3" xfId="22079"/>
    <cellStyle name="Normal 3 8 2 2 2 2 2 2 3" xfId="22080"/>
    <cellStyle name="Normal 3 10 2 2 2 2 3" xfId="22081"/>
    <cellStyle name="Normal 3 11 2 2 2 2 3" xfId="22082"/>
    <cellStyle name="Normal 3 13 2 2 3" xfId="22083"/>
    <cellStyle name="Normal 3 2 7 2 2 3" xfId="22084"/>
    <cellStyle name="Normal 3 3 7 2 2 3" xfId="22085"/>
    <cellStyle name="Normal 3 4 7 2 2 3" xfId="22086"/>
    <cellStyle name="Normal 3 5 7 2 2 3" xfId="22087"/>
    <cellStyle name="20% - Accent1 7 2 2 3" xfId="22088"/>
    <cellStyle name="40% - Accent1 7 2 2 3" xfId="22089"/>
    <cellStyle name="60% - Accent1 7 2 2 3" xfId="22090"/>
    <cellStyle name="20% - Accent2 7 2 2 3" xfId="22091"/>
    <cellStyle name="40% - Accent2 7 2 2 3" xfId="22092"/>
    <cellStyle name="60% - Accent2 7 2 2 3" xfId="22093"/>
    <cellStyle name="20% - Accent3 7 2 2 3" xfId="22094"/>
    <cellStyle name="40% - Accent3 7 2 2 3" xfId="22095"/>
    <cellStyle name="60% - Accent3 7 2 2 3" xfId="22096"/>
    <cellStyle name="20% - Accent4 7 2 2 3" xfId="22097"/>
    <cellStyle name="40% - Accent4 7 2 2 3" xfId="22098"/>
    <cellStyle name="60% - Accent4 7 2 2 3" xfId="22099"/>
    <cellStyle name="20% - Accent5 7 2 2 3" xfId="22100"/>
    <cellStyle name="40% - Accent5 7 2 2 3" xfId="22101"/>
    <cellStyle name="60% - Accent5 7 2 2 3" xfId="22102"/>
    <cellStyle name="20% - Accent6 7 2 2 3" xfId="22103"/>
    <cellStyle name="40% - Accent6 7 2 2 3" xfId="22104"/>
    <cellStyle name="60% - Accent6 7 2 2 3" xfId="22105"/>
    <cellStyle name="Normal 3 2 2 6 2 2 3" xfId="22106"/>
    <cellStyle name="Normal 3 3 2 6 2 2 3" xfId="22107"/>
    <cellStyle name="Normal 3 4 2 6 2 2 3" xfId="22108"/>
    <cellStyle name="Normal 3 5 2 6 2 2 3" xfId="22109"/>
    <cellStyle name="Normal 5 6 2 2 3" xfId="22110"/>
    <cellStyle name="Percent 3 6 2 2 3" xfId="22111"/>
    <cellStyle name="Note 2 6 2 2 3" xfId="22112"/>
    <cellStyle name="Normal 3 6 6 2 2 3" xfId="22113"/>
    <cellStyle name="Comma 2 8 3 2 3" xfId="22114"/>
    <cellStyle name="Comma 3 8 3 2 3" xfId="22115"/>
    <cellStyle name="Percent 4 6 2 2 3" xfId="22116"/>
    <cellStyle name="Normal 3 7 6 2 2 3" xfId="22117"/>
    <cellStyle name="Note 3 6 2 2 3" xfId="22118"/>
    <cellStyle name="20% - Accent1 2 6 2 2 3" xfId="22119"/>
    <cellStyle name="40% - Accent1 2 6 2 2 3" xfId="22120"/>
    <cellStyle name="60% - Accent1 2 6 2 2 3" xfId="22121"/>
    <cellStyle name="20% - Accent2 2 6 2 2 3" xfId="22122"/>
    <cellStyle name="40% - Accent2 2 6 2 2 3" xfId="22123"/>
    <cellStyle name="60% - Accent2 2 6 2 2 3" xfId="22124"/>
    <cellStyle name="20% - Accent3 2 6 2 2 3" xfId="22125"/>
    <cellStyle name="40% - Accent3 2 6 2 2 3" xfId="22126"/>
    <cellStyle name="60% - Accent3 2 6 2 2 3" xfId="22127"/>
    <cellStyle name="20% - Accent4 2 6 2 2 3" xfId="22128"/>
    <cellStyle name="40% - Accent4 2 6 2 2 3" xfId="22129"/>
    <cellStyle name="60% - Accent4 2 6 2 2 3" xfId="22130"/>
    <cellStyle name="20% - Accent5 2 6 2 2 3" xfId="22131"/>
    <cellStyle name="40% - Accent5 2 6 2 2 3" xfId="22132"/>
    <cellStyle name="60% - Accent5 2 6 2 2 3" xfId="22133"/>
    <cellStyle name="20% - Accent6 2 6 2 2 3" xfId="22134"/>
    <cellStyle name="40% - Accent6 2 6 2 2 3" xfId="22135"/>
    <cellStyle name="60% - Accent6 2 6 2 2 3" xfId="22136"/>
    <cellStyle name="Comma 2 2 7 3 2 3" xfId="22137"/>
    <cellStyle name="Comma 4 7 3 2 3" xfId="22138"/>
    <cellStyle name="Normal 3 8 6 2 2 3" xfId="22139"/>
    <cellStyle name="Normal 7 5 2 2 3" xfId="22140"/>
    <cellStyle name="Comma 5 5 3 2 3" xfId="22141"/>
    <cellStyle name="20% - Accent1 3 5 2 2 3" xfId="22142"/>
    <cellStyle name="40% - Accent1 3 5 2 2 3" xfId="22143"/>
    <cellStyle name="60% - Accent1 3 5 2 2 3" xfId="22144"/>
    <cellStyle name="20% - Accent2 3 5 2 2 3" xfId="22145"/>
    <cellStyle name="40% - Accent2 3 5 2 2 3" xfId="22146"/>
    <cellStyle name="60% - Accent2 3 5 2 2 3" xfId="22147"/>
    <cellStyle name="20% - Accent3 3 5 2 2 3" xfId="22148"/>
    <cellStyle name="40% - Accent3 3 5 2 2 3" xfId="22149"/>
    <cellStyle name="60% - Accent3 3 5 2 2 3" xfId="22150"/>
    <cellStyle name="20% - Accent4 3 5 2 2 3" xfId="22151"/>
    <cellStyle name="40% - Accent4 3 5 2 2 3" xfId="22152"/>
    <cellStyle name="60% - Accent4 3 5 2 2 3" xfId="22153"/>
    <cellStyle name="20% - Accent5 3 5 2 2 3" xfId="22154"/>
    <cellStyle name="40% - Accent5 3 5 2 2 3" xfId="22155"/>
    <cellStyle name="60% - Accent5 3 5 2 2 3" xfId="22156"/>
    <cellStyle name="20% - Accent6 3 5 2 2 3" xfId="22157"/>
    <cellStyle name="40% - Accent6 3 5 2 2 3" xfId="22158"/>
    <cellStyle name="60% - Accent6 3 5 2 2 3" xfId="22159"/>
    <cellStyle name="Normal 3 2 3 5 2 2 3" xfId="22160"/>
    <cellStyle name="Normal 3 3 3 5 2 2 3" xfId="22161"/>
    <cellStyle name="Normal 3 4 3 5 2 2 3" xfId="22162"/>
    <cellStyle name="Normal 3 5 3 5 2 2 3" xfId="22163"/>
    <cellStyle name="Normal 3 2 2 2 5 2 2 3" xfId="22164"/>
    <cellStyle name="Normal 3 3 2 2 5 2 2 3" xfId="22165"/>
    <cellStyle name="Normal 3 4 2 2 5 2 2 3" xfId="22166"/>
    <cellStyle name="Normal 3 5 2 2 5 2 2 3" xfId="22167"/>
    <cellStyle name="Normal 5 2 5 2 2 3" xfId="22168"/>
    <cellStyle name="Percent 3 2 5 2 2 3" xfId="22169"/>
    <cellStyle name="Note 2 2 5 2 2 3" xfId="22170"/>
    <cellStyle name="Normal 3 6 2 5 2 2 3" xfId="22171"/>
    <cellStyle name="Comma 2 3 5 3 2 3" xfId="22172"/>
    <cellStyle name="Comma 3 2 5 3 2 3" xfId="22173"/>
    <cellStyle name="Percent 4 2 5 2 2 3" xfId="22174"/>
    <cellStyle name="Normal 3 7 2 5 2 2 3" xfId="22175"/>
    <cellStyle name="Note 3 2 5 2 2 3" xfId="22176"/>
    <cellStyle name="20% - Accent1 2 2 5 2 2 3" xfId="22177"/>
    <cellStyle name="40% - Accent1 2 2 5 2 2 3" xfId="22178"/>
    <cellStyle name="60% - Accent1 2 2 5 2 2 3" xfId="22179"/>
    <cellStyle name="20% - Accent2 2 2 5 2 2 3" xfId="22180"/>
    <cellStyle name="40% - Accent2 2 2 5 2 2 3" xfId="22181"/>
    <cellStyle name="60% - Accent2 2 2 5 2 2 3" xfId="22182"/>
    <cellStyle name="20% - Accent3 2 2 5 2 2 3" xfId="22183"/>
    <cellStyle name="40% - Accent3 2 2 5 2 2 3" xfId="22184"/>
    <cellStyle name="60% - Accent3 2 2 5 2 2 3" xfId="22185"/>
    <cellStyle name="20% - Accent4 2 2 5 2 2 3" xfId="22186"/>
    <cellStyle name="40% - Accent4 2 2 5 2 2 3" xfId="22187"/>
    <cellStyle name="60% - Accent4 2 2 5 2 2 3" xfId="22188"/>
    <cellStyle name="20% - Accent5 2 2 5 2 2 3" xfId="22189"/>
    <cellStyle name="40% - Accent5 2 2 5 2 2 3" xfId="22190"/>
    <cellStyle name="60% - Accent5 2 2 5 2 2 3" xfId="22191"/>
    <cellStyle name="20% - Accent6 2 2 5 2 2 3" xfId="22192"/>
    <cellStyle name="40% - Accent6 2 2 5 2 2 3" xfId="22193"/>
    <cellStyle name="60% - Accent6 2 2 5 2 2 3" xfId="22194"/>
    <cellStyle name="Comma 2 2 2 5 3 2 3" xfId="22195"/>
    <cellStyle name="Comma 4 2 5 3 2 3" xfId="22196"/>
    <cellStyle name="Normal 3 8 2 5 2 2 3" xfId="22197"/>
    <cellStyle name="Normal 8 4 2 2 3" xfId="22198"/>
    <cellStyle name="Comma 6 4 3 2 3" xfId="22199"/>
    <cellStyle name="20% - Accent1 4 4 2 2 3" xfId="22200"/>
    <cellStyle name="40% - Accent1 4 4 2 2 3" xfId="22201"/>
    <cellStyle name="60% - Accent1 4 4 2 2 3" xfId="22202"/>
    <cellStyle name="20% - Accent2 4 4 2 2 3" xfId="22203"/>
    <cellStyle name="40% - Accent2 4 4 2 2 3" xfId="22204"/>
    <cellStyle name="60% - Accent2 4 4 2 2 3" xfId="22205"/>
    <cellStyle name="20% - Accent3 4 4 2 2 3" xfId="22206"/>
    <cellStyle name="40% - Accent3 4 4 2 2 3" xfId="22207"/>
    <cellStyle name="60% - Accent3 4 4 2 2 3" xfId="22208"/>
    <cellStyle name="20% - Accent4 4 4 2 2 3" xfId="22209"/>
    <cellStyle name="40% - Accent4 4 4 2 2 3" xfId="22210"/>
    <cellStyle name="60% - Accent4 4 4 2 2 3" xfId="22211"/>
    <cellStyle name="20% - Accent5 4 4 2 2 3" xfId="22212"/>
    <cellStyle name="40% - Accent5 4 4 2 2 3" xfId="22213"/>
    <cellStyle name="60% - Accent5 4 4 2 2 3" xfId="22214"/>
    <cellStyle name="20% - Accent6 4 4 2 2 3" xfId="22215"/>
    <cellStyle name="40% - Accent6 4 4 2 2 3" xfId="22216"/>
    <cellStyle name="60% - Accent6 4 4 2 2 3" xfId="22217"/>
    <cellStyle name="Normal 3 2 4 4 2 2 3" xfId="22218"/>
    <cellStyle name="Normal 3 3 4 4 2 2 3" xfId="22219"/>
    <cellStyle name="Normal 3 4 4 4 2 2 3" xfId="22220"/>
    <cellStyle name="Normal 3 5 4 4 2 2 3" xfId="22221"/>
    <cellStyle name="Normal 3 2 2 3 4 2 2 3" xfId="22222"/>
    <cellStyle name="Normal 3 3 2 3 4 2 2 3" xfId="22223"/>
    <cellStyle name="Normal 3 4 2 3 4 2 2 3" xfId="22224"/>
    <cellStyle name="Normal 3 5 2 3 4 2 2 3" xfId="22225"/>
    <cellStyle name="Normal 5 3 4 2 2 3" xfId="22226"/>
    <cellStyle name="Percent 3 3 4 2 2 3" xfId="22227"/>
    <cellStyle name="Note 2 3 4 2 2 3" xfId="22228"/>
    <cellStyle name="Normal 3 6 3 4 2 2 3" xfId="22229"/>
    <cellStyle name="Comma 2 5 4 3 2 3" xfId="22230"/>
    <cellStyle name="Comma 3 4 4 3 2 3" xfId="22231"/>
    <cellStyle name="Percent 4 3 4 2 2 3" xfId="22232"/>
    <cellStyle name="Normal 3 7 3 4 2 2 3" xfId="22233"/>
    <cellStyle name="Note 3 3 4 2 2 3" xfId="22234"/>
    <cellStyle name="20% - Accent1 2 3 4 2 2 3" xfId="22235"/>
    <cellStyle name="40% - Accent1 2 3 4 2 2 3" xfId="22236"/>
    <cellStyle name="60% - Accent1 2 3 4 2 2 3" xfId="22237"/>
    <cellStyle name="20% - Accent2 2 3 4 2 2 3" xfId="22238"/>
    <cellStyle name="40% - Accent2 2 3 4 2 2 3" xfId="22239"/>
    <cellStyle name="60% - Accent2 2 3 4 2 2 3" xfId="22240"/>
    <cellStyle name="20% - Accent3 2 3 4 2 2 3" xfId="22241"/>
    <cellStyle name="40% - Accent3 2 3 4 2 2 3" xfId="22242"/>
    <cellStyle name="60% - Accent3 2 3 4 2 2 3" xfId="22243"/>
    <cellStyle name="20% - Accent4 2 3 4 2 2 3" xfId="22244"/>
    <cellStyle name="40% - Accent4 2 3 4 2 2 3" xfId="22245"/>
    <cellStyle name="60% - Accent4 2 3 4 2 2 3" xfId="22246"/>
    <cellStyle name="20% - Accent5 2 3 4 2 2 3" xfId="22247"/>
    <cellStyle name="40% - Accent5 2 3 4 2 2 3" xfId="22248"/>
    <cellStyle name="60% - Accent5 2 3 4 2 2 3" xfId="22249"/>
    <cellStyle name="20% - Accent6 2 3 4 2 2 3" xfId="22250"/>
    <cellStyle name="40% - Accent6 2 3 4 2 2 3" xfId="22251"/>
    <cellStyle name="60% - Accent6 2 3 4 2 2 3" xfId="22252"/>
    <cellStyle name="Comma 2 2 4 4 3 2 3" xfId="22253"/>
    <cellStyle name="Comma 4 4 4 3 2 3" xfId="22254"/>
    <cellStyle name="Normal 3 8 3 4 2 2 3" xfId="22255"/>
    <cellStyle name="Comma 2 4 4 3 2 3" xfId="22256"/>
    <cellStyle name="Comma 3 3 4 3 2 3" xfId="22257"/>
    <cellStyle name="Comma 2 2 3 4 3 2 3" xfId="22258"/>
    <cellStyle name="Comma 4 3 4 3 2 3" xfId="22259"/>
    <cellStyle name="Normal 7 2 4 2 2 3" xfId="22260"/>
    <cellStyle name="Comma 5 2 4 3 2 3" xfId="22261"/>
    <cellStyle name="20% - Accent1 3 2 4 2 2 3" xfId="22262"/>
    <cellStyle name="40% - Accent1 3 2 4 2 2 3" xfId="22263"/>
    <cellStyle name="60% - Accent1 3 2 4 2 2 3" xfId="22264"/>
    <cellStyle name="20% - Accent2 3 2 4 2 2 3" xfId="22265"/>
    <cellStyle name="40% - Accent2 3 2 4 2 2 3" xfId="22266"/>
    <cellStyle name="60% - Accent2 3 2 4 2 2 3" xfId="22267"/>
    <cellStyle name="20% - Accent3 3 2 4 2 2 3" xfId="22268"/>
    <cellStyle name="40% - Accent3 3 2 4 2 2 3" xfId="22269"/>
    <cellStyle name="60% - Accent3 3 2 4 2 2 3" xfId="22270"/>
    <cellStyle name="20% - Accent4 3 2 4 2 2 3" xfId="22271"/>
    <cellStyle name="40% - Accent4 3 2 4 2 2 3" xfId="22272"/>
    <cellStyle name="60% - Accent4 3 2 4 2 2 3" xfId="22273"/>
    <cellStyle name="20% - Accent5 3 2 4 2 2 3" xfId="22274"/>
    <cellStyle name="40% - Accent5 3 2 4 2 2 3" xfId="22275"/>
    <cellStyle name="60% - Accent5 3 2 4 2 2 3" xfId="22276"/>
    <cellStyle name="20% - Accent6 3 2 4 2 2 3" xfId="22277"/>
    <cellStyle name="40% - Accent6 3 2 4 2 2 3" xfId="22278"/>
    <cellStyle name="60% - Accent6 3 2 4 2 2 3" xfId="22279"/>
    <cellStyle name="Normal 3 2 3 2 4 2 2 3" xfId="22280"/>
    <cellStyle name="Normal 3 3 3 2 4 2 2 3" xfId="22281"/>
    <cellStyle name="Normal 3 4 3 2 4 2 2 3" xfId="22282"/>
    <cellStyle name="Normal 3 5 3 2 4 2 2 3" xfId="22283"/>
    <cellStyle name="Normal 3 2 2 2 2 4 2 2 3" xfId="22284"/>
    <cellStyle name="Normal 3 3 2 2 2 4 2 2 3" xfId="22285"/>
    <cellStyle name="Normal 3 4 2 2 2 4 2 2 3" xfId="22286"/>
    <cellStyle name="Normal 3 5 2 2 2 4 2 2 3" xfId="22287"/>
    <cellStyle name="Normal 5 2 2 4 2 2 3" xfId="22288"/>
    <cellStyle name="Percent 3 2 2 4 2 2 3" xfId="22289"/>
    <cellStyle name="Note 2 2 2 4 2 2 3" xfId="22290"/>
    <cellStyle name="Normal 3 6 2 2 4 2 2 3" xfId="22291"/>
    <cellStyle name="Comma 2 3 2 4 3 2 3" xfId="22292"/>
    <cellStyle name="Comma 3 2 2 4 3 2 3" xfId="22293"/>
    <cellStyle name="Percent 4 2 2 4 2 2 3" xfId="22294"/>
    <cellStyle name="Normal 3 7 2 2 4 2 2 3" xfId="22295"/>
    <cellStyle name="Note 3 2 2 4 2 2 3" xfId="22296"/>
    <cellStyle name="20% - Accent1 2 2 2 4 2 2 3" xfId="22297"/>
    <cellStyle name="40% - Accent1 2 2 2 4 2 2 3" xfId="22298"/>
    <cellStyle name="60% - Accent1 2 2 2 4 2 2 3" xfId="22299"/>
    <cellStyle name="20% - Accent2 2 2 2 4 2 2 3" xfId="22300"/>
    <cellStyle name="40% - Accent2 2 2 2 4 2 2 3" xfId="22301"/>
    <cellStyle name="60% - Accent2 2 2 2 4 2 2 3" xfId="22302"/>
    <cellStyle name="20% - Accent3 2 2 2 4 2 2 3" xfId="22303"/>
    <cellStyle name="40% - Accent3 2 2 2 4 2 2 3" xfId="22304"/>
    <cellStyle name="60% - Accent3 2 2 2 4 2 2 3" xfId="22305"/>
    <cellStyle name="20% - Accent4 2 2 2 4 2 2 3" xfId="22306"/>
    <cellStyle name="40% - Accent4 2 2 2 4 2 2 3" xfId="22307"/>
    <cellStyle name="60% - Accent4 2 2 2 4 2 2 3" xfId="22308"/>
    <cellStyle name="20% - Accent5 2 2 2 4 2 2 3" xfId="22309"/>
    <cellStyle name="40% - Accent5 2 2 2 4 2 2 3" xfId="22310"/>
    <cellStyle name="60% - Accent5 2 2 2 4 2 2 3" xfId="22311"/>
    <cellStyle name="20% - Accent6 2 2 2 4 2 2 3" xfId="22312"/>
    <cellStyle name="40% - Accent6 2 2 2 4 2 2 3" xfId="22313"/>
    <cellStyle name="60% - Accent6 2 2 2 4 2 2 3" xfId="22314"/>
    <cellStyle name="Comma 2 2 2 2 4 3 2 3" xfId="22315"/>
    <cellStyle name="Comma 4 2 2 4 3 2 3" xfId="22316"/>
    <cellStyle name="Normal 3 8 2 2 4 2 2 3" xfId="22317"/>
    <cellStyle name="Normal 3 10 4 2 2 3" xfId="22318"/>
    <cellStyle name="Normal 3 11 4 2 2 3" xfId="22319"/>
    <cellStyle name="Normal 12 2 2 3" xfId="22320"/>
    <cellStyle name="Percent 8 2 2 3" xfId="22321"/>
    <cellStyle name="Note 4 2 2 3" xfId="22322"/>
    <cellStyle name="20% - Accent1 8 2 2 3" xfId="22323"/>
    <cellStyle name="40% - Accent1 8 2 2 3" xfId="22324"/>
    <cellStyle name="60% - Accent1 8 2 2 3" xfId="22325"/>
    <cellStyle name="20% - Accent2 8 2 2 3" xfId="22326"/>
    <cellStyle name="40% - Accent2 8 2 2 3" xfId="22327"/>
    <cellStyle name="60% - Accent2 8 2 2 3" xfId="22328"/>
    <cellStyle name="20% - Accent3 8 2 2 3" xfId="22329"/>
    <cellStyle name="40% - Accent3 8 2 2 3" xfId="22330"/>
    <cellStyle name="60% - Accent3 8 2 2 3" xfId="22331"/>
    <cellStyle name="20% - Accent4 8 2 2 3" xfId="22332"/>
    <cellStyle name="40% - Accent4 8 2 2 3" xfId="22333"/>
    <cellStyle name="60% - Accent4 8 2 2 3" xfId="22334"/>
    <cellStyle name="20% - Accent5 8 2 2 3" xfId="22335"/>
    <cellStyle name="40% - Accent5 8 2 2 3" xfId="22336"/>
    <cellStyle name="60% - Accent5 8 2 2 3" xfId="22337"/>
    <cellStyle name="20% - Accent6 8 2 2 3" xfId="22338"/>
    <cellStyle name="40% - Accent6 8 2 2 3" xfId="22339"/>
    <cellStyle name="60% - Accent6 8 2 2 3" xfId="22340"/>
    <cellStyle name="Comma 2 9 3 2 3" xfId="22341"/>
    <cellStyle name="Comma 7 3 2 3" xfId="22342"/>
    <cellStyle name="Normal 13 4 2 3" xfId="22343"/>
    <cellStyle name="Comma 8 2 2 3" xfId="22344"/>
    <cellStyle name="20% - Accent1 9 2 2 3" xfId="22345"/>
    <cellStyle name="40% - Accent1 9 2 2 3" xfId="22346"/>
    <cellStyle name="60% - Accent1 9 2 2 3" xfId="22347"/>
    <cellStyle name="20% - Accent2 9 2 2 3" xfId="22348"/>
    <cellStyle name="40% - Accent2 9 2 2 3" xfId="22349"/>
    <cellStyle name="60% - Accent2 9 2 2 3" xfId="22350"/>
    <cellStyle name="20% - Accent3 9 2 2 3" xfId="22351"/>
    <cellStyle name="40% - Accent3 9 2 2 3" xfId="22352"/>
    <cellStyle name="60% - Accent3 9 2 2 3" xfId="22353"/>
    <cellStyle name="20% - Accent4 9 2 2 3" xfId="22354"/>
    <cellStyle name="40% - Accent4 9 2 2 3" xfId="22355"/>
    <cellStyle name="60% - Accent4 9 2 2 3" xfId="22356"/>
    <cellStyle name="20% - Accent5 9 2 2 3" xfId="22357"/>
    <cellStyle name="40% - Accent5 9 2 2 3" xfId="22358"/>
    <cellStyle name="60% - Accent5 9 2 2 3" xfId="22359"/>
    <cellStyle name="20% - Accent6 9 2 2 3" xfId="22360"/>
    <cellStyle name="40% - Accent6 9 2 2 3" xfId="22361"/>
    <cellStyle name="60% - Accent6 9 2 2 3" xfId="22362"/>
    <cellStyle name="Normal 3 2 8 2 2 3" xfId="22363"/>
    <cellStyle name="Normal 3 3 8 2 2 3" xfId="22364"/>
    <cellStyle name="Normal 3 4 8 2 2 3" xfId="22365"/>
    <cellStyle name="Normal 3 5 8 2 2 3" xfId="22366"/>
    <cellStyle name="Normal 3 2 2 7 2 2 3" xfId="22367"/>
    <cellStyle name="Normal 3 3 2 7 2 2 3" xfId="22368"/>
    <cellStyle name="Normal 3 4 2 7 2 2 3" xfId="22369"/>
    <cellStyle name="Normal 3 5 2 7 2 2 3" xfId="22370"/>
    <cellStyle name="Normal 5 7 2 2 3" xfId="22371"/>
    <cellStyle name="Percent 3 7 2 2 3" xfId="22372"/>
    <cellStyle name="Note 2 7 2 2 3" xfId="22373"/>
    <cellStyle name="Normal 3 6 7 2 2 3" xfId="22374"/>
    <cellStyle name="Comma 2 10 2 2 3" xfId="22375"/>
    <cellStyle name="Comma 3 9 2 2 3" xfId="22376"/>
    <cellStyle name="Percent 4 7 2 2 3" xfId="22377"/>
    <cellStyle name="Normal 3 7 7 2 2 3" xfId="22378"/>
    <cellStyle name="Note 3 7 2 2 3" xfId="22379"/>
    <cellStyle name="20% - Accent1 2 7 2 2 3" xfId="22380"/>
    <cellStyle name="40% - Accent1 2 7 2 2 3" xfId="22381"/>
    <cellStyle name="60% - Accent1 2 7 2 2 3" xfId="22382"/>
    <cellStyle name="20% - Accent2 2 7 2 2 3" xfId="22383"/>
    <cellStyle name="40% - Accent2 2 7 2 2 3" xfId="22384"/>
    <cellStyle name="60% - Accent2 2 7 2 2 3" xfId="22385"/>
    <cellStyle name="20% - Accent3 2 7 2 2 3" xfId="22386"/>
    <cellStyle name="40% - Accent3 2 7 2 2 3" xfId="22387"/>
    <cellStyle name="60% - Accent3 2 7 2 2 3" xfId="22388"/>
    <cellStyle name="20% - Accent4 2 7 2 2 3" xfId="22389"/>
    <cellStyle name="40% - Accent4 2 7 2 2 3" xfId="22390"/>
    <cellStyle name="60% - Accent4 2 7 2 2 3" xfId="22391"/>
    <cellStyle name="20% - Accent5 2 7 2 2 3" xfId="22392"/>
    <cellStyle name="40% - Accent5 2 7 2 2 3" xfId="22393"/>
    <cellStyle name="60% - Accent5 2 7 2 2 3" xfId="22394"/>
    <cellStyle name="20% - Accent6 2 7 2 2 3" xfId="22395"/>
    <cellStyle name="40% - Accent6 2 7 2 2 3" xfId="22396"/>
    <cellStyle name="60% - Accent6 2 7 2 2 3" xfId="22397"/>
    <cellStyle name="Comma 2 2 8 2 2 3" xfId="22398"/>
    <cellStyle name="Comma 4 8 2 2 3" xfId="22399"/>
    <cellStyle name="Normal 3 8 7 2 2 3" xfId="22400"/>
    <cellStyle name="Comma 2 4 5 2 2 3" xfId="22401"/>
    <cellStyle name="Comma 3 3 5 2 2 3" xfId="22402"/>
    <cellStyle name="Comma 2 2 3 5 2 2 3" xfId="22403"/>
    <cellStyle name="Comma 4 3 5 2 2 3" xfId="22404"/>
    <cellStyle name="Normal 7 6 2 2 3" xfId="22405"/>
    <cellStyle name="Comma 5 6 2 2 3" xfId="22406"/>
    <cellStyle name="20% - Accent1 3 6 2 2 3" xfId="22407"/>
    <cellStyle name="40% - Accent1 3 6 2 2 3" xfId="22408"/>
    <cellStyle name="60% - Accent1 3 6 2 2 3" xfId="22409"/>
    <cellStyle name="20% - Accent2 3 6 2 2 3" xfId="22410"/>
    <cellStyle name="40% - Accent2 3 6 2 2 3" xfId="22411"/>
    <cellStyle name="60% - Accent2 3 6 2 2 3" xfId="22412"/>
    <cellStyle name="20% - Accent3 3 6 2 2 3" xfId="22413"/>
    <cellStyle name="40% - Accent3 3 6 2 2 3" xfId="22414"/>
    <cellStyle name="60% - Accent3 3 6 2 2 3" xfId="22415"/>
    <cellStyle name="20% - Accent4 3 6 2 2 3" xfId="22416"/>
    <cellStyle name="40% - Accent4 3 6 2 2 3" xfId="22417"/>
    <cellStyle name="60% - Accent4 3 6 2 2 3" xfId="22418"/>
    <cellStyle name="20% - Accent5 3 6 2 2 3" xfId="22419"/>
    <cellStyle name="40% - Accent5 3 6 2 2 3" xfId="22420"/>
    <cellStyle name="60% - Accent5 3 6 2 2 3" xfId="22421"/>
    <cellStyle name="20% - Accent6 3 6 2 2 3" xfId="22422"/>
    <cellStyle name="40% - Accent6 3 6 2 2 3" xfId="22423"/>
    <cellStyle name="60% - Accent6 3 6 2 2 3" xfId="22424"/>
    <cellStyle name="Normal 3 2 3 6 2 2 3" xfId="22425"/>
    <cellStyle name="Normal 3 3 3 6 2 2 3" xfId="22426"/>
    <cellStyle name="Normal 3 4 3 6 2 2 3" xfId="22427"/>
    <cellStyle name="Normal 3 5 3 6 2 2 3" xfId="22428"/>
    <cellStyle name="Normal 3 2 2 2 6 2 2 3" xfId="22429"/>
    <cellStyle name="Normal 3 3 2 2 6 2 2 3" xfId="22430"/>
    <cellStyle name="Normal 3 4 2 2 6 2 2 3" xfId="22431"/>
    <cellStyle name="Normal 3 5 2 2 6 2 2 3" xfId="22432"/>
    <cellStyle name="Normal 5 2 6 2 2 3" xfId="22433"/>
    <cellStyle name="Percent 3 2 6 2 2 3" xfId="22434"/>
    <cellStyle name="Note 2 2 6 2 2 3" xfId="22435"/>
    <cellStyle name="Normal 3 6 2 6 2 2 3" xfId="22436"/>
    <cellStyle name="Comma 2 3 6 2 2 3" xfId="22437"/>
    <cellStyle name="Comma 3 2 6 2 2 3" xfId="22438"/>
    <cellStyle name="Percent 4 2 6 2 2 3" xfId="22439"/>
    <cellStyle name="Normal 3 7 2 6 2 2 3" xfId="22440"/>
    <cellStyle name="Note 3 2 6 2 2 3" xfId="22441"/>
    <cellStyle name="20% - Accent1 2 2 6 2 2 3" xfId="22442"/>
    <cellStyle name="40% - Accent1 2 2 6 2 2 3" xfId="22443"/>
    <cellStyle name="60% - Accent1 2 2 6 2 2 3" xfId="22444"/>
    <cellStyle name="20% - Accent2 2 2 6 2 2 3" xfId="22445"/>
    <cellStyle name="40% - Accent2 2 2 6 2 2 3" xfId="22446"/>
    <cellStyle name="60% - Accent2 2 2 6 2 2 3" xfId="22447"/>
    <cellStyle name="20% - Accent3 2 2 6 2 2 3" xfId="22448"/>
    <cellStyle name="40% - Accent3 2 2 6 2 2 3" xfId="22449"/>
    <cellStyle name="60% - Accent3 2 2 6 2 2 3" xfId="22450"/>
    <cellStyle name="20% - Accent4 2 2 6 2 2 3" xfId="22451"/>
    <cellStyle name="40% - Accent4 2 2 6 2 2 3" xfId="22452"/>
    <cellStyle name="60% - Accent4 2 2 6 2 2 3" xfId="22453"/>
    <cellStyle name="20% - Accent5 2 2 6 2 2 3" xfId="22454"/>
    <cellStyle name="40% - Accent5 2 2 6 2 2 3" xfId="22455"/>
    <cellStyle name="60% - Accent5 2 2 6 2 2 3" xfId="22456"/>
    <cellStyle name="20% - Accent6 2 2 6 2 2 3" xfId="22457"/>
    <cellStyle name="40% - Accent6 2 2 6 2 2 3" xfId="22458"/>
    <cellStyle name="60% - Accent6 2 2 6 2 2 3" xfId="22459"/>
    <cellStyle name="Comma 2 2 2 6 2 2 3" xfId="22460"/>
    <cellStyle name="Comma 4 2 6 2 2 3" xfId="22461"/>
    <cellStyle name="Normal 3 8 2 6 2 2 3" xfId="22462"/>
    <cellStyle name="Comma 2 11 2 3" xfId="22463"/>
    <cellStyle name="Comma 3 10 2 3" xfId="22464"/>
    <cellStyle name="Comma 2 2 9 2 3" xfId="22465"/>
    <cellStyle name="Comma 4 9 2 3" xfId="22466"/>
    <cellStyle name="Comma 5 7 2 3" xfId="22467"/>
    <cellStyle name="Comma 2 3 7 2 3" xfId="22468"/>
    <cellStyle name="Comma 3 2 7 2 3" xfId="22469"/>
    <cellStyle name="Comma 2 2 2 7 2 3" xfId="22470"/>
    <cellStyle name="Comma 4 2 7 2 3" xfId="22471"/>
    <cellStyle name="Comma 6 5 2 3" xfId="22472"/>
    <cellStyle name="Comma 2 5 5 2 3" xfId="22473"/>
    <cellStyle name="Comma 3 4 5 2 3" xfId="22474"/>
    <cellStyle name="Comma 2 2 4 5 2 3" xfId="22475"/>
    <cellStyle name="Comma 4 4 5 2 3" xfId="22476"/>
    <cellStyle name="Comma 2 4 6 2 3" xfId="22477"/>
    <cellStyle name="Comma 3 3 6 2 3" xfId="22478"/>
    <cellStyle name="Comma 2 2 3 6 2 3" xfId="22479"/>
    <cellStyle name="Comma 4 3 6 2 3" xfId="22480"/>
    <cellStyle name="Comma 5 2 5 2 3" xfId="22481"/>
    <cellStyle name="Comma 2 3 2 5 2 3" xfId="22482"/>
    <cellStyle name="Comma 3 2 2 5 2 3" xfId="22483"/>
    <cellStyle name="Comma 2 2 2 2 5 2 3" xfId="22484"/>
    <cellStyle name="Comma 4 2 2 5 2 3" xfId="22485"/>
    <cellStyle name="Comma 2 6 3 2 3" xfId="22486"/>
    <cellStyle name="Comma 3 5 3 2 3" xfId="22487"/>
    <cellStyle name="Comma 2 2 5 3 2 3" xfId="22488"/>
    <cellStyle name="Comma 4 5 3 2 3" xfId="22489"/>
    <cellStyle name="Comma 5 3 3 2 3" xfId="22490"/>
    <cellStyle name="Comma 2 3 3 3 2 3" xfId="22491"/>
    <cellStyle name="Comma 3 2 3 3 2 3" xfId="22492"/>
    <cellStyle name="Comma 2 2 2 3 3 2 3" xfId="22493"/>
    <cellStyle name="Comma 4 2 3 3 2 3" xfId="22494"/>
    <cellStyle name="Comma 6 2 3 2 3" xfId="22495"/>
    <cellStyle name="Comma 2 5 2 3 2 3" xfId="22496"/>
    <cellStyle name="Comma 3 4 2 3 2 3" xfId="22497"/>
    <cellStyle name="Comma 2 2 4 2 3 2 3" xfId="22498"/>
    <cellStyle name="Comma 4 4 2 3 2 3" xfId="22499"/>
    <cellStyle name="Comma 2 4 2 3 2 3" xfId="22500"/>
    <cellStyle name="Comma 3 3 2 3 2 3" xfId="22501"/>
    <cellStyle name="Comma 2 2 3 2 3 2 3" xfId="22502"/>
    <cellStyle name="Comma 4 3 2 3 2 3" xfId="22503"/>
    <cellStyle name="Comma 5 2 2 3 2 3" xfId="22504"/>
    <cellStyle name="Comma 2 3 2 2 3 2 3" xfId="22505"/>
    <cellStyle name="Comma 3 2 2 2 3 2 3" xfId="22506"/>
    <cellStyle name="Comma 2 2 2 2 2 3 2 3" xfId="22507"/>
    <cellStyle name="Comma 4 2 2 2 3 2 3" xfId="22508"/>
    <cellStyle name="Comma 2 7 2 2 3" xfId="22509"/>
    <cellStyle name="Comma 3 7 2 2 3" xfId="22510"/>
    <cellStyle name="Comma 2 2 6 2 2 3" xfId="22511"/>
    <cellStyle name="Comma 4 6 2 2 3" xfId="22512"/>
    <cellStyle name="Comma 5 4 2 2 3" xfId="22513"/>
    <cellStyle name="Comma 2 3 4 2 2 3" xfId="22514"/>
    <cellStyle name="Comma 3 2 4 2 2 3" xfId="22515"/>
    <cellStyle name="Comma 2 2 2 4 2 2 3" xfId="22516"/>
    <cellStyle name="Comma 4 2 4 2 2 3" xfId="22517"/>
    <cellStyle name="Comma 6 3 2 2 3" xfId="22518"/>
    <cellStyle name="Comma 2 5 3 2 2 3" xfId="22519"/>
    <cellStyle name="Comma 3 4 3 2 2 3" xfId="22520"/>
    <cellStyle name="Comma 2 2 4 3 2 2 3" xfId="22521"/>
    <cellStyle name="Comma 4 4 3 2 2 3" xfId="22522"/>
    <cellStyle name="Comma 2 4 3 2 2 3" xfId="22523"/>
    <cellStyle name="Comma 3 3 3 2 2 3" xfId="22524"/>
    <cellStyle name="Comma 2 2 3 3 2 2 3" xfId="22525"/>
    <cellStyle name="Comma 4 3 3 2 2 3" xfId="22526"/>
    <cellStyle name="Comma 5 2 3 2 2 3" xfId="22527"/>
    <cellStyle name="Comma 2 3 2 3 2 2 3" xfId="22528"/>
    <cellStyle name="Comma 3 2 2 3 2 2 3" xfId="22529"/>
    <cellStyle name="Comma 2 2 2 2 3 2 2 3" xfId="22530"/>
    <cellStyle name="Comma 4 2 2 3 2 2 3" xfId="22531"/>
    <cellStyle name="Comma 3 6 2 2 3" xfId="22532"/>
    <cellStyle name="Comma 2 6 2 2 2 3" xfId="22533"/>
    <cellStyle name="Comma 3 5 2 2 2 3" xfId="22534"/>
    <cellStyle name="Comma 2 2 5 2 2 2 3" xfId="22535"/>
    <cellStyle name="Comma 4 5 2 2 2 3" xfId="22536"/>
    <cellStyle name="Comma 5 3 2 2 2 3" xfId="22537"/>
    <cellStyle name="Comma 2 3 3 2 2 2 3" xfId="22538"/>
    <cellStyle name="Comma 3 2 3 2 2 2 3" xfId="22539"/>
    <cellStyle name="Comma 2 2 2 3 2 2 2 3" xfId="22540"/>
    <cellStyle name="Comma 4 2 3 2 2 2 3" xfId="22541"/>
    <cellStyle name="Comma 6 2 2 2 2 3" xfId="22542"/>
    <cellStyle name="Comma 2 5 2 2 2 2 3" xfId="22543"/>
    <cellStyle name="Comma 3 4 2 2 2 2 3" xfId="22544"/>
    <cellStyle name="Comma 2 2 4 2 2 2 2 3" xfId="22545"/>
    <cellStyle name="Comma 4 4 2 2 2 2 3" xfId="22546"/>
    <cellStyle name="Comma 2 4 2 2 2 2 3" xfId="22547"/>
    <cellStyle name="Comma 3 3 2 2 2 2 3" xfId="22548"/>
    <cellStyle name="Comma 2 2 3 2 2 2 2 3" xfId="22549"/>
    <cellStyle name="Comma 4 3 2 2 2 2 3" xfId="22550"/>
    <cellStyle name="Comma 5 2 2 2 2 2 3" xfId="22551"/>
    <cellStyle name="Comma 2 3 2 2 2 2 2 3" xfId="22552"/>
    <cellStyle name="Comma 3 2 2 2 2 2 2 3" xfId="22553"/>
    <cellStyle name="Comma 2 2 2 2 2 2 2 2 3" xfId="22554"/>
    <cellStyle name="Comma 4 2 2 2 2 2 2 3" xfId="22555"/>
    <cellStyle name="Comma 2 8 2 2 3" xfId="22556"/>
    <cellStyle name="Comma 3 8 2 2 3" xfId="22557"/>
    <cellStyle name="Comma 2 2 7 2 2 3" xfId="22558"/>
    <cellStyle name="Comma 4 7 2 2 3" xfId="22559"/>
    <cellStyle name="Comma 5 5 2 2 3" xfId="22560"/>
    <cellStyle name="Comma 2 3 5 2 2 3" xfId="22561"/>
    <cellStyle name="Comma 3 2 5 2 2 3" xfId="22562"/>
    <cellStyle name="Comma 2 2 2 5 2 2 3" xfId="22563"/>
    <cellStyle name="Comma 4 2 5 2 2 3" xfId="22564"/>
    <cellStyle name="Comma 6 4 2 2 3" xfId="22565"/>
    <cellStyle name="Comma 2 5 4 2 2 3" xfId="22566"/>
    <cellStyle name="Comma 3 4 4 2 2 3" xfId="22567"/>
    <cellStyle name="Comma 2 2 4 4 2 2 3" xfId="22568"/>
    <cellStyle name="Comma 4 4 4 2 2 3" xfId="22569"/>
    <cellStyle name="Comma 2 4 4 2 2 3" xfId="22570"/>
    <cellStyle name="Comma 3 3 4 2 2 3" xfId="22571"/>
    <cellStyle name="Comma 2 2 3 4 2 2 3" xfId="22572"/>
    <cellStyle name="Comma 4 3 4 2 2 3" xfId="22573"/>
    <cellStyle name="Comma 5 2 4 2 2 3" xfId="22574"/>
    <cellStyle name="Comma 2 3 2 4 2 2 3" xfId="22575"/>
    <cellStyle name="Comma 3 2 2 4 2 2 3" xfId="22576"/>
    <cellStyle name="Comma 2 2 2 2 4 2 2 3" xfId="22577"/>
    <cellStyle name="Comma 4 2 2 4 2 2 3" xfId="22578"/>
    <cellStyle name="Comma 2 9 2 2 3" xfId="22579"/>
    <cellStyle name="Comma 7 2 2 3" xfId="22580"/>
    <cellStyle name="Normal 13 2 2 3" xfId="22581"/>
    <cellStyle name="Normal 6 3 2 3" xfId="22582"/>
    <cellStyle name="Percent 5 3 2 3" xfId="22583"/>
    <cellStyle name="Normal 16 3" xfId="22584"/>
    <cellStyle name="20% - Accent1 12 3" xfId="22585"/>
    <cellStyle name="40% - Accent1 12 3" xfId="22586"/>
    <cellStyle name="60% - Accent1 12 3" xfId="22587"/>
    <cellStyle name="20% - Accent2 12 3" xfId="22588"/>
    <cellStyle name="40% - Accent2 12 3" xfId="22589"/>
    <cellStyle name="60% - Accent2 12 3" xfId="22590"/>
    <cellStyle name="20% - Accent3 12 3" xfId="22591"/>
    <cellStyle name="40% - Accent3 12 3" xfId="22592"/>
    <cellStyle name="60% - Accent3 12 3" xfId="22593"/>
    <cellStyle name="20% - Accent4 12 3" xfId="22594"/>
    <cellStyle name="40% - Accent4 12 3" xfId="22595"/>
    <cellStyle name="60% - Accent4 12 3" xfId="22596"/>
    <cellStyle name="20% - Accent5 12 3" xfId="22597"/>
    <cellStyle name="40% - Accent5 12 3" xfId="22598"/>
    <cellStyle name="60% - Accent5 12 3" xfId="22599"/>
    <cellStyle name="20% - Accent6 12 3" xfId="22600"/>
    <cellStyle name="40% - Accent6 12 3" xfId="22601"/>
    <cellStyle name="60% - Accent6 12 3" xfId="22602"/>
    <cellStyle name="Normal 3 2 11 3" xfId="22603"/>
    <cellStyle name="Normal 3 3 11 3" xfId="22604"/>
    <cellStyle name="Normal 3 4 11 3" xfId="22605"/>
    <cellStyle name="Normal 3 5 11 3" xfId="22606"/>
    <cellStyle name="Normal 3 2 2 10 3" xfId="22607"/>
    <cellStyle name="Normal 3 3 2 10 3" xfId="22608"/>
    <cellStyle name="Normal 3 4 2 10 3" xfId="22609"/>
    <cellStyle name="Normal 3 5 2 10 3" xfId="22610"/>
    <cellStyle name="Normal 5 10 3" xfId="22611"/>
    <cellStyle name="Percent 3 10 3" xfId="22612"/>
    <cellStyle name="Note 2 10 3" xfId="22613"/>
    <cellStyle name="Normal 3 6 10 3" xfId="22614"/>
    <cellStyle name="Comma 2 14 3" xfId="22615"/>
    <cellStyle name="Comma 3 13 3" xfId="22616"/>
    <cellStyle name="Percent 4 10 3" xfId="22617"/>
    <cellStyle name="Normal 3 7 10 3" xfId="22618"/>
    <cellStyle name="Note 3 10 3" xfId="22619"/>
    <cellStyle name="20% - Accent1 2 10 3" xfId="22620"/>
    <cellStyle name="40% - Accent1 2 10 3" xfId="22621"/>
    <cellStyle name="60% - Accent1 2 10 3" xfId="22622"/>
    <cellStyle name="20% - Accent2 2 10 3" xfId="22623"/>
    <cellStyle name="40% - Accent2 2 10 3" xfId="22624"/>
    <cellStyle name="60% - Accent2 2 10 3" xfId="22625"/>
    <cellStyle name="20% - Accent3 2 10 3" xfId="22626"/>
    <cellStyle name="40% - Accent3 2 10 3" xfId="22627"/>
    <cellStyle name="60% - Accent3 2 10 3" xfId="22628"/>
    <cellStyle name="20% - Accent4 2 10 3" xfId="22629"/>
    <cellStyle name="40% - Accent4 2 10 3" xfId="22630"/>
    <cellStyle name="60% - Accent4 2 10 3" xfId="22631"/>
    <cellStyle name="20% - Accent5 2 10 3" xfId="22632"/>
    <cellStyle name="40% - Accent5 2 10 3" xfId="22633"/>
    <cellStyle name="60% - Accent5 2 10 3" xfId="22634"/>
    <cellStyle name="20% - Accent6 2 10 3" xfId="22635"/>
    <cellStyle name="40% - Accent6 2 10 3" xfId="22636"/>
    <cellStyle name="60% - Accent6 2 10 3" xfId="22637"/>
    <cellStyle name="Comma 2 2 12 3" xfId="22638"/>
    <cellStyle name="Comma 4 12 3" xfId="22639"/>
    <cellStyle name="Normal 3 8 10 3" xfId="22640"/>
    <cellStyle name="Normal 7 9 3" xfId="22641"/>
    <cellStyle name="Comma 5 10 3" xfId="22642"/>
    <cellStyle name="20% - Accent1 3 9 3" xfId="22643"/>
    <cellStyle name="40% - Accent1 3 9 3" xfId="22644"/>
    <cellStyle name="60% - Accent1 3 9 3" xfId="22645"/>
    <cellStyle name="20% - Accent2 3 9 3" xfId="22646"/>
    <cellStyle name="40% - Accent2 3 9 3" xfId="22647"/>
    <cellStyle name="60% - Accent2 3 9 3" xfId="22648"/>
    <cellStyle name="20% - Accent3 3 9 3" xfId="22649"/>
    <cellStyle name="40% - Accent3 3 9 3" xfId="22650"/>
    <cellStyle name="60% - Accent3 3 9 3" xfId="22651"/>
    <cellStyle name="20% - Accent4 3 9 3" xfId="22652"/>
    <cellStyle name="40% - Accent4 3 9 3" xfId="22653"/>
    <cellStyle name="60% - Accent4 3 9 3" xfId="22654"/>
    <cellStyle name="20% - Accent5 3 9 3" xfId="22655"/>
    <cellStyle name="40% - Accent5 3 9 3" xfId="22656"/>
    <cellStyle name="60% - Accent5 3 9 3" xfId="22657"/>
    <cellStyle name="20% - Accent6 3 9 3" xfId="22658"/>
    <cellStyle name="40% - Accent6 3 9 3" xfId="22659"/>
    <cellStyle name="60% - Accent6 3 9 3" xfId="22660"/>
    <cellStyle name="Normal 3 2 3 9 3" xfId="22661"/>
    <cellStyle name="Normal 3 3 3 9 3" xfId="22662"/>
    <cellStyle name="Normal 3 4 3 9 3" xfId="22663"/>
    <cellStyle name="Normal 3 5 3 9 3" xfId="22664"/>
    <cellStyle name="Normal 3 2 2 2 9 3" xfId="22665"/>
    <cellStyle name="Normal 3 3 2 2 9 3" xfId="22666"/>
    <cellStyle name="Normal 3 4 2 2 9 3" xfId="22667"/>
    <cellStyle name="Normal 3 5 2 2 9 3" xfId="22668"/>
    <cellStyle name="Normal 5 2 9 3" xfId="22669"/>
    <cellStyle name="Percent 3 2 9 3" xfId="22670"/>
    <cellStyle name="Note 2 2 9 3" xfId="22671"/>
    <cellStyle name="Normal 3 6 2 9 3" xfId="22672"/>
    <cellStyle name="Comma 2 3 10 3" xfId="22673"/>
    <cellStyle name="Comma 3 2 10 3" xfId="22674"/>
    <cellStyle name="Percent 4 2 9 3" xfId="22675"/>
    <cellStyle name="Normal 3 7 2 9 3" xfId="22676"/>
    <cellStyle name="Note 3 2 9 3" xfId="22677"/>
    <cellStyle name="20% - Accent1 2 2 9 3" xfId="22678"/>
    <cellStyle name="40% - Accent1 2 2 9 3" xfId="22679"/>
    <cellStyle name="60% - Accent1 2 2 9 3" xfId="22680"/>
    <cellStyle name="20% - Accent2 2 2 9 3" xfId="22681"/>
    <cellStyle name="40% - Accent2 2 2 9 3" xfId="22682"/>
    <cellStyle name="60% - Accent2 2 2 9 3" xfId="22683"/>
    <cellStyle name="20% - Accent3 2 2 9 3" xfId="22684"/>
    <cellStyle name="40% - Accent3 2 2 9 3" xfId="22685"/>
    <cellStyle name="60% - Accent3 2 2 9 3" xfId="22686"/>
    <cellStyle name="20% - Accent4 2 2 9 3" xfId="22687"/>
    <cellStyle name="40% - Accent4 2 2 9 3" xfId="22688"/>
    <cellStyle name="60% - Accent4 2 2 9 3" xfId="22689"/>
    <cellStyle name="20% - Accent5 2 2 9 3" xfId="22690"/>
    <cellStyle name="40% - Accent5 2 2 9 3" xfId="22691"/>
    <cellStyle name="60% - Accent5 2 2 9 3" xfId="22692"/>
    <cellStyle name="20% - Accent6 2 2 9 3" xfId="22693"/>
    <cellStyle name="40% - Accent6 2 2 9 3" xfId="22694"/>
    <cellStyle name="60% - Accent6 2 2 9 3" xfId="22695"/>
    <cellStyle name="Comma 2 2 2 10 3" xfId="22696"/>
    <cellStyle name="Comma 4 2 10 3" xfId="22697"/>
    <cellStyle name="Normal 3 8 2 9 3" xfId="22698"/>
    <cellStyle name="Normal 8 7 3" xfId="22699"/>
    <cellStyle name="Comma 6 8 3" xfId="22700"/>
    <cellStyle name="20% - Accent1 4 7 3" xfId="22701"/>
    <cellStyle name="40% - Accent1 4 7 3" xfId="22702"/>
    <cellStyle name="60% - Accent1 4 7 3" xfId="22703"/>
    <cellStyle name="20% - Accent2 4 7 3" xfId="22704"/>
    <cellStyle name="40% - Accent2 4 7 3" xfId="22705"/>
    <cellStyle name="60% - Accent2 4 7 3" xfId="22706"/>
    <cellStyle name="20% - Accent3 4 7 3" xfId="22707"/>
    <cellStyle name="40% - Accent3 4 7 3" xfId="22708"/>
    <cellStyle name="60% - Accent3 4 7 3" xfId="22709"/>
    <cellStyle name="20% - Accent4 4 7 3" xfId="22710"/>
    <cellStyle name="40% - Accent4 4 7 3" xfId="22711"/>
    <cellStyle name="60% - Accent4 4 7 3" xfId="22712"/>
    <cellStyle name="20% - Accent5 4 7 3" xfId="22713"/>
    <cellStyle name="40% - Accent5 4 7 3" xfId="22714"/>
    <cellStyle name="60% - Accent5 4 7 3" xfId="22715"/>
    <cellStyle name="20% - Accent6 4 7 3" xfId="22716"/>
    <cellStyle name="40% - Accent6 4 7 3" xfId="22717"/>
    <cellStyle name="60% - Accent6 4 7 3" xfId="22718"/>
    <cellStyle name="Normal 3 2 4 7 3" xfId="22719"/>
    <cellStyle name="Normal 3 3 4 7 3" xfId="22720"/>
    <cellStyle name="Normal 3 4 4 7 3" xfId="22721"/>
    <cellStyle name="Normal 3 5 4 7 3" xfId="22722"/>
    <cellStyle name="Normal 3 2 2 3 7 3" xfId="22723"/>
    <cellStyle name="Normal 3 3 2 3 7 3" xfId="22724"/>
    <cellStyle name="Normal 3 4 2 3 7 3" xfId="22725"/>
    <cellStyle name="Normal 3 5 2 3 7 3" xfId="22726"/>
    <cellStyle name="Normal 5 3 7 3" xfId="22727"/>
    <cellStyle name="Percent 3 3 7 3" xfId="22728"/>
    <cellStyle name="Note 2 3 7 3" xfId="22729"/>
    <cellStyle name="Normal 3 6 3 7 3" xfId="22730"/>
    <cellStyle name="Comma 2 5 8 3" xfId="22731"/>
    <cellStyle name="Comma 3 4 8 3" xfId="22732"/>
    <cellStyle name="Percent 4 3 7 3" xfId="22733"/>
    <cellStyle name="Normal 3 7 3 7 3" xfId="22734"/>
    <cellStyle name="Note 3 3 7 3" xfId="22735"/>
    <cellStyle name="20% - Accent1 2 3 7 3" xfId="22736"/>
    <cellStyle name="40% - Accent1 2 3 7 3" xfId="22737"/>
    <cellStyle name="60% - Accent1 2 3 7 3" xfId="22738"/>
    <cellStyle name="20% - Accent2 2 3 7 3" xfId="22739"/>
    <cellStyle name="40% - Accent2 2 3 7 3" xfId="22740"/>
    <cellStyle name="60% - Accent2 2 3 7 3" xfId="22741"/>
    <cellStyle name="20% - Accent3 2 3 7 3" xfId="22742"/>
    <cellStyle name="40% - Accent3 2 3 7 3" xfId="22743"/>
    <cellStyle name="60% - Accent3 2 3 7 3" xfId="22744"/>
    <cellStyle name="20% - Accent4 2 3 7 3" xfId="22745"/>
    <cellStyle name="40% - Accent4 2 3 7 3" xfId="22746"/>
    <cellStyle name="60% - Accent4 2 3 7 3" xfId="22747"/>
    <cellStyle name="20% - Accent5 2 3 7 3" xfId="22748"/>
    <cellStyle name="40% - Accent5 2 3 7 3" xfId="22749"/>
    <cellStyle name="60% - Accent5 2 3 7 3" xfId="22750"/>
    <cellStyle name="20% - Accent6 2 3 7 3" xfId="22751"/>
    <cellStyle name="40% - Accent6 2 3 7 3" xfId="22752"/>
    <cellStyle name="60% - Accent6 2 3 7 3" xfId="22753"/>
    <cellStyle name="Comma 2 2 4 8 3" xfId="22754"/>
    <cellStyle name="Comma 4 4 8 3" xfId="22755"/>
    <cellStyle name="Normal 3 8 3 7 3" xfId="22756"/>
    <cellStyle name="Comma 2 4 9 3" xfId="22757"/>
    <cellStyle name="Comma 3 3 9 3" xfId="22758"/>
    <cellStyle name="Comma 2 2 3 9 3" xfId="22759"/>
    <cellStyle name="Comma 4 3 9 3" xfId="22760"/>
    <cellStyle name="Normal 7 2 7 3" xfId="22761"/>
    <cellStyle name="Comma 5 2 8 3" xfId="22762"/>
    <cellStyle name="20% - Accent1 3 2 7 3" xfId="22763"/>
    <cellStyle name="40% - Accent1 3 2 7 3" xfId="22764"/>
    <cellStyle name="60% - Accent1 3 2 7 3" xfId="22765"/>
    <cellStyle name="20% - Accent2 3 2 7 3" xfId="22766"/>
    <cellStyle name="40% - Accent2 3 2 7 3" xfId="22767"/>
    <cellStyle name="60% - Accent2 3 2 7 3" xfId="22768"/>
    <cellStyle name="20% - Accent3 3 2 7 3" xfId="22769"/>
    <cellStyle name="40% - Accent3 3 2 7 3" xfId="22770"/>
    <cellStyle name="60% - Accent3 3 2 7 3" xfId="22771"/>
    <cellStyle name="20% - Accent4 3 2 7 3" xfId="22772"/>
    <cellStyle name="40% - Accent4 3 2 7 3" xfId="22773"/>
    <cellStyle name="60% - Accent4 3 2 7 3" xfId="22774"/>
    <cellStyle name="20% - Accent5 3 2 7 3" xfId="22775"/>
    <cellStyle name="40% - Accent5 3 2 7 3" xfId="22776"/>
    <cellStyle name="60% - Accent5 3 2 7 3" xfId="22777"/>
    <cellStyle name="20% - Accent6 3 2 7 3" xfId="22778"/>
    <cellStyle name="40% - Accent6 3 2 7 3" xfId="22779"/>
    <cellStyle name="60% - Accent6 3 2 7 3" xfId="22780"/>
    <cellStyle name="Normal 3 2 3 2 7 3" xfId="22781"/>
    <cellStyle name="Normal 3 3 3 2 7 3" xfId="22782"/>
    <cellStyle name="Normal 3 4 3 2 7 3" xfId="22783"/>
    <cellStyle name="Normal 3 5 3 2 7 3" xfId="22784"/>
    <cellStyle name="Normal 3 2 2 2 2 7 3" xfId="22785"/>
    <cellStyle name="Normal 3 3 2 2 2 7 3" xfId="22786"/>
    <cellStyle name="Normal 3 4 2 2 2 7 3" xfId="22787"/>
    <cellStyle name="Normal 3 5 2 2 2 7 3" xfId="22788"/>
    <cellStyle name="Normal 5 2 2 7 3" xfId="22789"/>
    <cellStyle name="Percent 3 2 2 7 3" xfId="22790"/>
    <cellStyle name="Note 2 2 2 7 3" xfId="22791"/>
    <cellStyle name="Normal 3 6 2 2 7 3" xfId="22792"/>
    <cellStyle name="Comma 2 3 2 8 3" xfId="22793"/>
    <cellStyle name="Comma 3 2 2 8 3" xfId="22794"/>
    <cellStyle name="Percent 4 2 2 7 3" xfId="22795"/>
    <cellStyle name="Normal 3 7 2 2 7 3" xfId="22796"/>
    <cellStyle name="Note 3 2 2 7 3" xfId="22797"/>
    <cellStyle name="20% - Accent1 2 2 2 7 3" xfId="22798"/>
    <cellStyle name="40% - Accent1 2 2 2 7 3" xfId="22799"/>
    <cellStyle name="60% - Accent1 2 2 2 7 3" xfId="22800"/>
    <cellStyle name="20% - Accent2 2 2 2 7 3" xfId="22801"/>
    <cellStyle name="40% - Accent2 2 2 2 7 3" xfId="22802"/>
    <cellStyle name="60% - Accent2 2 2 2 7 3" xfId="22803"/>
    <cellStyle name="20% - Accent3 2 2 2 7 3" xfId="22804"/>
    <cellStyle name="40% - Accent3 2 2 2 7 3" xfId="22805"/>
    <cellStyle name="60% - Accent3 2 2 2 7 3" xfId="22806"/>
    <cellStyle name="20% - Accent4 2 2 2 7 3" xfId="22807"/>
    <cellStyle name="40% - Accent4 2 2 2 7 3" xfId="22808"/>
    <cellStyle name="60% - Accent4 2 2 2 7 3" xfId="22809"/>
    <cellStyle name="20% - Accent5 2 2 2 7 3" xfId="22810"/>
    <cellStyle name="40% - Accent5 2 2 2 7 3" xfId="22811"/>
    <cellStyle name="60% - Accent5 2 2 2 7 3" xfId="22812"/>
    <cellStyle name="20% - Accent6 2 2 2 7 3" xfId="22813"/>
    <cellStyle name="40% - Accent6 2 2 2 7 3" xfId="22814"/>
    <cellStyle name="60% - Accent6 2 2 2 7 3" xfId="22815"/>
    <cellStyle name="Comma 2 2 2 2 8 3" xfId="22816"/>
    <cellStyle name="Comma 4 2 2 8 3" xfId="22817"/>
    <cellStyle name="Normal 3 8 2 2 7 3" xfId="22818"/>
    <cellStyle name="Normal 3 10 7 3" xfId="22819"/>
    <cellStyle name="Normal 3 11 7 3" xfId="22820"/>
    <cellStyle name="Normal 3 12 5 3" xfId="22821"/>
    <cellStyle name="Normal 3 2 5 5 3" xfId="22822"/>
    <cellStyle name="Normal 3 3 5 5 3" xfId="22823"/>
    <cellStyle name="Normal 3 4 5 5 3" xfId="22824"/>
    <cellStyle name="Normal 3 5 5 5 3" xfId="22825"/>
    <cellStyle name="20% - Accent1 5 5 3" xfId="22826"/>
    <cellStyle name="40% - Accent1 5 5 3" xfId="22827"/>
    <cellStyle name="60% - Accent1 5 5 3" xfId="22828"/>
    <cellStyle name="20% - Accent2 5 5 3" xfId="22829"/>
    <cellStyle name="40% - Accent2 5 5 3" xfId="22830"/>
    <cellStyle name="60% - Accent2 5 5 3" xfId="22831"/>
    <cellStyle name="20% - Accent3 5 5 3" xfId="22832"/>
    <cellStyle name="40% - Accent3 5 5 3" xfId="22833"/>
    <cellStyle name="60% - Accent3 5 5 3" xfId="22834"/>
    <cellStyle name="20% - Accent4 5 5 3" xfId="22835"/>
    <cellStyle name="40% - Accent4 5 5 3" xfId="22836"/>
    <cellStyle name="60% - Accent4 5 5 3" xfId="22837"/>
    <cellStyle name="20% - Accent5 5 5 3" xfId="22838"/>
    <cellStyle name="40% - Accent5 5 5 3" xfId="22839"/>
    <cellStyle name="60% - Accent5 5 5 3" xfId="22840"/>
    <cellStyle name="20% - Accent6 5 5 3" xfId="22841"/>
    <cellStyle name="40% - Accent6 5 5 3" xfId="22842"/>
    <cellStyle name="60% - Accent6 5 5 3" xfId="22843"/>
    <cellStyle name="Normal 3 2 2 4 5 3" xfId="22844"/>
    <cellStyle name="Normal 3 3 2 4 5 3" xfId="22845"/>
    <cellStyle name="Normal 3 4 2 4 5 3" xfId="22846"/>
    <cellStyle name="Normal 3 5 2 4 5 3" xfId="22847"/>
    <cellStyle name="Normal 5 4 5 3" xfId="22848"/>
    <cellStyle name="Percent 3 4 5 3" xfId="22849"/>
    <cellStyle name="Note 2 4 5 3" xfId="22850"/>
    <cellStyle name="Normal 3 6 4 5 3" xfId="22851"/>
    <cellStyle name="Comma 2 6 6 3" xfId="22852"/>
    <cellStyle name="Comma 3 5 6 3" xfId="22853"/>
    <cellStyle name="Percent 4 4 5 3" xfId="22854"/>
    <cellStyle name="Normal 3 7 4 5 3" xfId="22855"/>
    <cellStyle name="Note 3 4 5 3" xfId="22856"/>
    <cellStyle name="20% - Accent1 2 4 5 3" xfId="22857"/>
    <cellStyle name="40% - Accent1 2 4 5 3" xfId="22858"/>
    <cellStyle name="60% - Accent1 2 4 5 3" xfId="22859"/>
    <cellStyle name="20% - Accent2 2 4 5 3" xfId="22860"/>
    <cellStyle name="40% - Accent2 2 4 5 3" xfId="22861"/>
    <cellStyle name="60% - Accent2 2 4 5 3" xfId="22862"/>
    <cellStyle name="20% - Accent3 2 4 5 3" xfId="22863"/>
    <cellStyle name="40% - Accent3 2 4 5 3" xfId="22864"/>
    <cellStyle name="60% - Accent3 2 4 5 3" xfId="22865"/>
    <cellStyle name="20% - Accent4 2 4 5 3" xfId="22866"/>
    <cellStyle name="40% - Accent4 2 4 5 3" xfId="22867"/>
    <cellStyle name="60% - Accent4 2 4 5 3" xfId="22868"/>
    <cellStyle name="20% - Accent5 2 4 5 3" xfId="22869"/>
    <cellStyle name="40% - Accent5 2 4 5 3" xfId="22870"/>
    <cellStyle name="60% - Accent5 2 4 5 3" xfId="22871"/>
    <cellStyle name="20% - Accent6 2 4 5 3" xfId="22872"/>
    <cellStyle name="40% - Accent6 2 4 5 3" xfId="22873"/>
    <cellStyle name="60% - Accent6 2 4 5 3" xfId="22874"/>
    <cellStyle name="Comma 2 2 5 6 3" xfId="22875"/>
    <cellStyle name="Comma 4 5 6 3" xfId="22876"/>
    <cellStyle name="Normal 3 8 4 5 3" xfId="22877"/>
    <cellStyle name="Normal 7 3 5 3" xfId="22878"/>
    <cellStyle name="Comma 5 3 6 3" xfId="22879"/>
    <cellStyle name="20% - Accent1 3 3 5 3" xfId="22880"/>
    <cellStyle name="40% - Accent1 3 3 5 3" xfId="22881"/>
    <cellStyle name="60% - Accent1 3 3 5 3" xfId="22882"/>
    <cellStyle name="20% - Accent2 3 3 5 3" xfId="22883"/>
    <cellStyle name="40% - Accent2 3 3 5 3" xfId="22884"/>
    <cellStyle name="60% - Accent2 3 3 5 3" xfId="22885"/>
    <cellStyle name="20% - Accent3 3 3 5 3" xfId="22886"/>
    <cellStyle name="40% - Accent3 3 3 5 3" xfId="22887"/>
    <cellStyle name="60% - Accent3 3 3 5 3" xfId="22888"/>
    <cellStyle name="20% - Accent4 3 3 5 3" xfId="22889"/>
    <cellStyle name="40% - Accent4 3 3 5 3" xfId="22890"/>
    <cellStyle name="60% - Accent4 3 3 5 3" xfId="22891"/>
    <cellStyle name="20% - Accent5 3 3 5 3" xfId="22892"/>
    <cellStyle name="40% - Accent5 3 3 5 3" xfId="22893"/>
    <cellStyle name="60% - Accent5 3 3 5 3" xfId="22894"/>
    <cellStyle name="20% - Accent6 3 3 5 3" xfId="22895"/>
    <cellStyle name="40% - Accent6 3 3 5 3" xfId="22896"/>
    <cellStyle name="60% - Accent6 3 3 5 3" xfId="22897"/>
    <cellStyle name="Normal 3 2 3 3 5 3" xfId="22898"/>
    <cellStyle name="Normal 3 3 3 3 5 3" xfId="22899"/>
    <cellStyle name="Normal 3 4 3 3 5 3" xfId="22900"/>
    <cellStyle name="Normal 3 5 3 3 5 3" xfId="22901"/>
    <cellStyle name="Normal 3 2 2 2 3 5 3" xfId="22902"/>
    <cellStyle name="Normal 3 3 2 2 3 5 3" xfId="22903"/>
    <cellStyle name="Normal 3 4 2 2 3 5 3" xfId="22904"/>
    <cellStyle name="Normal 3 5 2 2 3 5 3" xfId="22905"/>
    <cellStyle name="Normal 5 2 3 5 3" xfId="22906"/>
    <cellStyle name="Percent 3 2 3 5 3" xfId="22907"/>
    <cellStyle name="Note 2 2 3 5 3" xfId="22908"/>
    <cellStyle name="Normal 3 6 2 3 5 3" xfId="22909"/>
    <cellStyle name="Comma 2 3 3 6 3" xfId="22910"/>
    <cellStyle name="Comma 3 2 3 6 3" xfId="22911"/>
    <cellStyle name="Percent 4 2 3 5 3" xfId="22912"/>
    <cellStyle name="Normal 3 7 2 3 5 3" xfId="22913"/>
    <cellStyle name="Note 3 2 3 5 3" xfId="22914"/>
    <cellStyle name="20% - Accent1 2 2 3 5 3" xfId="22915"/>
    <cellStyle name="40% - Accent1 2 2 3 5 3" xfId="22916"/>
    <cellStyle name="60% - Accent1 2 2 3 5 3" xfId="22917"/>
    <cellStyle name="20% - Accent2 2 2 3 5 3" xfId="22918"/>
    <cellStyle name="40% - Accent2 2 2 3 5 3" xfId="22919"/>
    <cellStyle name="60% - Accent2 2 2 3 5 3" xfId="22920"/>
    <cellStyle name="20% - Accent3 2 2 3 5 3" xfId="22921"/>
    <cellStyle name="40% - Accent3 2 2 3 5 3" xfId="22922"/>
    <cellStyle name="60% - Accent3 2 2 3 5 3" xfId="22923"/>
    <cellStyle name="20% - Accent4 2 2 3 5 3" xfId="22924"/>
    <cellStyle name="40% - Accent4 2 2 3 5 3" xfId="22925"/>
    <cellStyle name="60% - Accent4 2 2 3 5 3" xfId="22926"/>
    <cellStyle name="20% - Accent5 2 2 3 5 3" xfId="22927"/>
    <cellStyle name="40% - Accent5 2 2 3 5 3" xfId="22928"/>
    <cellStyle name="60% - Accent5 2 2 3 5 3" xfId="22929"/>
    <cellStyle name="20% - Accent6 2 2 3 5 3" xfId="22930"/>
    <cellStyle name="40% - Accent6 2 2 3 5 3" xfId="22931"/>
    <cellStyle name="60% - Accent6 2 2 3 5 3" xfId="22932"/>
    <cellStyle name="Comma 2 2 2 3 6 3" xfId="22933"/>
    <cellStyle name="Comma 4 2 3 6 3" xfId="22934"/>
    <cellStyle name="Normal 3 8 2 3 5 3" xfId="22935"/>
    <cellStyle name="Normal 8 2 5 3" xfId="22936"/>
    <cellStyle name="Comma 6 2 6 3" xfId="22937"/>
    <cellStyle name="20% - Accent1 4 2 5 3" xfId="22938"/>
    <cellStyle name="40% - Accent1 4 2 5 3" xfId="22939"/>
    <cellStyle name="60% - Accent1 4 2 5 3" xfId="22940"/>
    <cellStyle name="20% - Accent2 4 2 5 3" xfId="22941"/>
    <cellStyle name="40% - Accent2 4 2 5 3" xfId="22942"/>
    <cellStyle name="60% - Accent2 4 2 5 3" xfId="22943"/>
    <cellStyle name="20% - Accent3 4 2 5 3" xfId="22944"/>
    <cellStyle name="40% - Accent3 4 2 5 3" xfId="22945"/>
    <cellStyle name="60% - Accent3 4 2 5 3" xfId="22946"/>
    <cellStyle name="20% - Accent4 4 2 5 3" xfId="22947"/>
    <cellStyle name="40% - Accent4 4 2 5 3" xfId="22948"/>
    <cellStyle name="60% - Accent4 4 2 5 3" xfId="22949"/>
    <cellStyle name="20% - Accent5 4 2 5 3" xfId="22950"/>
    <cellStyle name="40% - Accent5 4 2 5 3" xfId="22951"/>
    <cellStyle name="60% - Accent5 4 2 5 3" xfId="22952"/>
    <cellStyle name="20% - Accent6 4 2 5 3" xfId="22953"/>
    <cellStyle name="40% - Accent6 4 2 5 3" xfId="22954"/>
    <cellStyle name="60% - Accent6 4 2 5 3" xfId="22955"/>
    <cellStyle name="Normal 3 2 4 2 5 3" xfId="22956"/>
    <cellStyle name="Normal 3 3 4 2 5 3" xfId="22957"/>
    <cellStyle name="Normal 3 4 4 2 5 3" xfId="22958"/>
    <cellStyle name="Normal 3 5 4 2 5 3" xfId="22959"/>
    <cellStyle name="Normal 3 2 2 3 2 5 3" xfId="22960"/>
    <cellStyle name="Normal 3 3 2 3 2 5 3" xfId="22961"/>
    <cellStyle name="Normal 3 4 2 3 2 5 3" xfId="22962"/>
    <cellStyle name="Normal 3 5 2 3 2 5 3" xfId="22963"/>
    <cellStyle name="Normal 5 3 2 5 3" xfId="22964"/>
    <cellStyle name="Percent 3 3 2 5 3" xfId="22965"/>
    <cellStyle name="Note 2 3 2 5 3" xfId="22966"/>
    <cellStyle name="Normal 3 6 3 2 5 3" xfId="22967"/>
    <cellStyle name="Comma 2 5 2 6 3" xfId="22968"/>
    <cellStyle name="Comma 3 4 2 6 3" xfId="22969"/>
    <cellStyle name="Percent 4 3 2 5 3" xfId="22970"/>
    <cellStyle name="Normal 3 7 3 2 5 3" xfId="22971"/>
    <cellStyle name="Note 3 3 2 5 3" xfId="22972"/>
    <cellStyle name="20% - Accent1 2 3 2 5 3" xfId="22973"/>
    <cellStyle name="40% - Accent1 2 3 2 5 3" xfId="22974"/>
    <cellStyle name="60% - Accent1 2 3 2 5 3" xfId="22975"/>
    <cellStyle name="20% - Accent2 2 3 2 5 3" xfId="22976"/>
    <cellStyle name="40% - Accent2 2 3 2 5 3" xfId="22977"/>
    <cellStyle name="60% - Accent2 2 3 2 5 3" xfId="22978"/>
    <cellStyle name="20% - Accent3 2 3 2 5 3" xfId="22979"/>
    <cellStyle name="40% - Accent3 2 3 2 5 3" xfId="22980"/>
    <cellStyle name="60% - Accent3 2 3 2 5 3" xfId="22981"/>
    <cellStyle name="20% - Accent4 2 3 2 5 3" xfId="22982"/>
    <cellStyle name="40% - Accent4 2 3 2 5 3" xfId="22983"/>
    <cellStyle name="60% - Accent4 2 3 2 5 3" xfId="22984"/>
    <cellStyle name="20% - Accent5 2 3 2 5 3" xfId="22985"/>
    <cellStyle name="40% - Accent5 2 3 2 5 3" xfId="22986"/>
    <cellStyle name="60% - Accent5 2 3 2 5 3" xfId="22987"/>
    <cellStyle name="20% - Accent6 2 3 2 5 3" xfId="22988"/>
    <cellStyle name="40% - Accent6 2 3 2 5 3" xfId="22989"/>
    <cellStyle name="60% - Accent6 2 3 2 5 3" xfId="22990"/>
    <cellStyle name="Comma 2 2 4 2 6 3" xfId="22991"/>
    <cellStyle name="Comma 4 4 2 6 3" xfId="22992"/>
    <cellStyle name="Normal 3 8 3 2 5 3" xfId="22993"/>
    <cellStyle name="Comma 2 4 2 6 3" xfId="22994"/>
    <cellStyle name="Comma 3 3 2 6 3" xfId="22995"/>
    <cellStyle name="Comma 2 2 3 2 6 3" xfId="22996"/>
    <cellStyle name="Comma 4 3 2 6 3" xfId="22997"/>
    <cellStyle name="Normal 7 2 2 5 3" xfId="22998"/>
    <cellStyle name="Comma 5 2 2 6 3" xfId="22999"/>
    <cellStyle name="20% - Accent1 3 2 2 5 3" xfId="23000"/>
    <cellStyle name="40% - Accent1 3 2 2 5 3" xfId="23001"/>
    <cellStyle name="60% - Accent1 3 2 2 5 3" xfId="23002"/>
    <cellStyle name="20% - Accent2 3 2 2 5 3" xfId="23003"/>
    <cellStyle name="40% - Accent2 3 2 2 5 3" xfId="23004"/>
    <cellStyle name="60% - Accent2 3 2 2 5 3" xfId="23005"/>
    <cellStyle name="20% - Accent3 3 2 2 5 3" xfId="23006"/>
    <cellStyle name="40% - Accent3 3 2 2 5 3" xfId="23007"/>
    <cellStyle name="60% - Accent3 3 2 2 5 3" xfId="23008"/>
    <cellStyle name="20% - Accent4 3 2 2 5 3" xfId="23009"/>
    <cellStyle name="40% - Accent4 3 2 2 5 3" xfId="23010"/>
    <cellStyle name="60% - Accent4 3 2 2 5 3" xfId="23011"/>
    <cellStyle name="20% - Accent5 3 2 2 5 3" xfId="23012"/>
    <cellStyle name="40% - Accent5 3 2 2 5 3" xfId="23013"/>
    <cellStyle name="60% - Accent5 3 2 2 5 3" xfId="23014"/>
    <cellStyle name="20% - Accent6 3 2 2 5 3" xfId="23015"/>
    <cellStyle name="40% - Accent6 3 2 2 5 3" xfId="23016"/>
    <cellStyle name="60% - Accent6 3 2 2 5 3" xfId="23017"/>
    <cellStyle name="Normal 3 2 3 2 2 5 3" xfId="23018"/>
    <cellStyle name="Normal 3 3 3 2 2 5 3" xfId="23019"/>
    <cellStyle name="Normal 3 4 3 2 2 5 3" xfId="23020"/>
    <cellStyle name="Normal 3 5 3 2 2 5 3" xfId="23021"/>
    <cellStyle name="Normal 3 2 2 2 2 2 5 3" xfId="23022"/>
    <cellStyle name="Normal 3 3 2 2 2 2 5 3" xfId="23023"/>
    <cellStyle name="Normal 3 4 2 2 2 2 5 3" xfId="23024"/>
    <cellStyle name="Normal 3 5 2 2 2 2 5 3" xfId="23025"/>
    <cellStyle name="Normal 5 2 2 2 5 3" xfId="23026"/>
    <cellStyle name="Percent 3 2 2 2 5 3" xfId="23027"/>
    <cellStyle name="Note 2 2 2 2 5 3" xfId="23028"/>
    <cellStyle name="Normal 3 6 2 2 2 5 3" xfId="23029"/>
    <cellStyle name="Comma 2 3 2 2 6 3" xfId="23030"/>
    <cellStyle name="Comma 3 2 2 2 6 3" xfId="23031"/>
    <cellStyle name="Percent 4 2 2 2 5 3" xfId="23032"/>
    <cellStyle name="Normal 3 7 2 2 2 5 3" xfId="23033"/>
    <cellStyle name="Note 3 2 2 2 5 3" xfId="23034"/>
    <cellStyle name="20% - Accent1 2 2 2 2 5 3" xfId="23035"/>
    <cellStyle name="40% - Accent1 2 2 2 2 5 3" xfId="23036"/>
    <cellStyle name="60% - Accent1 2 2 2 2 5 3" xfId="23037"/>
    <cellStyle name="20% - Accent2 2 2 2 2 5 3" xfId="23038"/>
    <cellStyle name="40% - Accent2 2 2 2 2 5 3" xfId="23039"/>
    <cellStyle name="60% - Accent2 2 2 2 2 5 3" xfId="23040"/>
    <cellStyle name="20% - Accent3 2 2 2 2 5 3" xfId="23041"/>
    <cellStyle name="40% - Accent3 2 2 2 2 5 3" xfId="23042"/>
    <cellStyle name="60% - Accent3 2 2 2 2 5 3" xfId="23043"/>
    <cellStyle name="20% - Accent4 2 2 2 2 5 3" xfId="23044"/>
    <cellStyle name="40% - Accent4 2 2 2 2 5 3" xfId="23045"/>
    <cellStyle name="60% - Accent4 2 2 2 2 5 3" xfId="23046"/>
    <cellStyle name="20% - Accent5 2 2 2 2 5 3" xfId="23047"/>
    <cellStyle name="40% - Accent5 2 2 2 2 5 3" xfId="23048"/>
    <cellStyle name="60% - Accent5 2 2 2 2 5 3" xfId="23049"/>
    <cellStyle name="20% - Accent6 2 2 2 2 5 3" xfId="23050"/>
    <cellStyle name="40% - Accent6 2 2 2 2 5 3" xfId="23051"/>
    <cellStyle name="60% - Accent6 2 2 2 2 5 3" xfId="23052"/>
    <cellStyle name="Comma 2 2 2 2 2 6 3" xfId="23053"/>
    <cellStyle name="Comma 4 2 2 2 6 3" xfId="23054"/>
    <cellStyle name="Normal 3 8 2 2 2 5 3" xfId="23055"/>
    <cellStyle name="Normal 3 10 2 5 3" xfId="23056"/>
    <cellStyle name="Normal 3 11 2 5 3" xfId="23057"/>
    <cellStyle name="Normal 3 2 6 4 3" xfId="23058"/>
    <cellStyle name="Normal 3 3 6 4 3" xfId="23059"/>
    <cellStyle name="Normal 3 4 6 4 3" xfId="23060"/>
    <cellStyle name="Normal 3 5 6 4 3" xfId="23061"/>
    <cellStyle name="20% - Accent1 6 4 3" xfId="23062"/>
    <cellStyle name="40% - Accent1 6 4 3" xfId="23063"/>
    <cellStyle name="60% - Accent1 6 4 3" xfId="23064"/>
    <cellStyle name="20% - Accent2 6 4 3" xfId="23065"/>
    <cellStyle name="40% - Accent2 6 4 3" xfId="23066"/>
    <cellStyle name="60% - Accent2 6 4 3" xfId="23067"/>
    <cellStyle name="20% - Accent3 6 4 3" xfId="23068"/>
    <cellStyle name="40% - Accent3 6 4 3" xfId="23069"/>
    <cellStyle name="60% - Accent3 6 4 3" xfId="23070"/>
    <cellStyle name="20% - Accent4 6 4 3" xfId="23071"/>
    <cellStyle name="40% - Accent4 6 4 3" xfId="23072"/>
    <cellStyle name="60% - Accent4 6 4 3" xfId="23073"/>
    <cellStyle name="20% - Accent5 6 4 3" xfId="23074"/>
    <cellStyle name="40% - Accent5 6 4 3" xfId="23075"/>
    <cellStyle name="60% - Accent5 6 4 3" xfId="23076"/>
    <cellStyle name="20% - Accent6 6 4 3" xfId="23077"/>
    <cellStyle name="40% - Accent6 6 4 3" xfId="23078"/>
    <cellStyle name="60% - Accent6 6 4 3" xfId="23079"/>
    <cellStyle name="Normal 3 2 2 5 4 3" xfId="23080"/>
    <cellStyle name="Normal 3 3 2 5 4 3" xfId="23081"/>
    <cellStyle name="Normal 3 4 2 5 4 3" xfId="23082"/>
    <cellStyle name="Normal 3 5 2 5 4 3" xfId="23083"/>
    <cellStyle name="Normal 5 5 4 3" xfId="23084"/>
    <cellStyle name="Percent 3 5 4 3" xfId="23085"/>
    <cellStyle name="Note 2 5 4 3" xfId="23086"/>
    <cellStyle name="Normal 3 6 5 4 3" xfId="23087"/>
    <cellStyle name="Comma 2 7 5 3" xfId="23088"/>
    <cellStyle name="Comma 3 7 5 3" xfId="23089"/>
    <cellStyle name="Percent 4 5 4 3" xfId="23090"/>
    <cellStyle name="Normal 3 7 5 4 3" xfId="23091"/>
    <cellStyle name="Note 3 5 4 3" xfId="23092"/>
    <cellStyle name="20% - Accent1 2 5 4 3" xfId="23093"/>
    <cellStyle name="40% - Accent1 2 5 4 3" xfId="23094"/>
    <cellStyle name="60% - Accent1 2 5 4 3" xfId="23095"/>
    <cellStyle name="20% - Accent2 2 5 4 3" xfId="23096"/>
    <cellStyle name="40% - Accent2 2 5 4 3" xfId="23097"/>
    <cellStyle name="60% - Accent2 2 5 4 3" xfId="23098"/>
    <cellStyle name="20% - Accent3 2 5 4 3" xfId="23099"/>
    <cellStyle name="40% - Accent3 2 5 4 3" xfId="23100"/>
    <cellStyle name="60% - Accent3 2 5 4 3" xfId="23101"/>
    <cellStyle name="20% - Accent4 2 5 4 3" xfId="23102"/>
    <cellStyle name="40% - Accent4 2 5 4 3" xfId="23103"/>
    <cellStyle name="60% - Accent4 2 5 4 3" xfId="23104"/>
    <cellStyle name="20% - Accent5 2 5 4 3" xfId="23105"/>
    <cellStyle name="40% - Accent5 2 5 4 3" xfId="23106"/>
    <cellStyle name="60% - Accent5 2 5 4 3" xfId="23107"/>
    <cellStyle name="20% - Accent6 2 5 4 3" xfId="23108"/>
    <cellStyle name="40% - Accent6 2 5 4 3" xfId="23109"/>
    <cellStyle name="60% - Accent6 2 5 4 3" xfId="23110"/>
    <cellStyle name="Comma 2 2 6 5 3" xfId="23111"/>
    <cellStyle name="Comma 4 6 5 3" xfId="23112"/>
    <cellStyle name="Normal 3 8 5 4 3" xfId="23113"/>
    <cellStyle name="Normal 7 4 4 3" xfId="23114"/>
    <cellStyle name="Comma 5 4 5 3" xfId="23115"/>
    <cellStyle name="20% - Accent1 3 4 4 3" xfId="23116"/>
    <cellStyle name="40% - Accent1 3 4 4 3" xfId="23117"/>
    <cellStyle name="60% - Accent1 3 4 4 3" xfId="23118"/>
    <cellStyle name="20% - Accent2 3 4 4 3" xfId="23119"/>
    <cellStyle name="40% - Accent2 3 4 4 3" xfId="23120"/>
    <cellStyle name="60% - Accent2 3 4 4 3" xfId="23121"/>
    <cellStyle name="20% - Accent3 3 4 4 3" xfId="23122"/>
    <cellStyle name="40% - Accent3 3 4 4 3" xfId="23123"/>
    <cellStyle name="60% - Accent3 3 4 4 3" xfId="23124"/>
    <cellStyle name="20% - Accent4 3 4 4 3" xfId="23125"/>
    <cellStyle name="40% - Accent4 3 4 4 3" xfId="23126"/>
    <cellStyle name="60% - Accent4 3 4 4 3" xfId="23127"/>
    <cellStyle name="20% - Accent5 3 4 4 3" xfId="23128"/>
    <cellStyle name="40% - Accent5 3 4 4 3" xfId="23129"/>
    <cellStyle name="60% - Accent5 3 4 4 3" xfId="23130"/>
    <cellStyle name="20% - Accent6 3 4 4 3" xfId="23131"/>
    <cellStyle name="40% - Accent6 3 4 4 3" xfId="23132"/>
    <cellStyle name="60% - Accent6 3 4 4 3" xfId="23133"/>
    <cellStyle name="Normal 3 2 3 4 4 3" xfId="23134"/>
    <cellStyle name="Normal 3 3 3 4 4 3" xfId="23135"/>
    <cellStyle name="Normal 3 4 3 4 4 3" xfId="23136"/>
    <cellStyle name="Normal 3 5 3 4 4 3" xfId="23137"/>
    <cellStyle name="Normal 3 2 2 2 4 4 3" xfId="23138"/>
    <cellStyle name="Normal 3 3 2 2 4 4 3" xfId="23139"/>
    <cellStyle name="Normal 3 4 2 2 4 4 3" xfId="23140"/>
    <cellStyle name="Normal 3 5 2 2 4 4 3" xfId="23141"/>
    <cellStyle name="Normal 5 2 4 4 3" xfId="23142"/>
    <cellStyle name="Percent 3 2 4 4 3" xfId="23143"/>
    <cellStyle name="Note 2 2 4 4 3" xfId="23144"/>
    <cellStyle name="Normal 3 6 2 4 4 3" xfId="23145"/>
    <cellStyle name="Comma 2 3 4 5 3" xfId="23146"/>
    <cellStyle name="Comma 3 2 4 5 3" xfId="23147"/>
    <cellStyle name="Percent 4 2 4 4 3" xfId="23148"/>
    <cellStyle name="Normal 3 7 2 4 4 3" xfId="23149"/>
    <cellStyle name="Note 3 2 4 4 3" xfId="23150"/>
    <cellStyle name="20% - Accent1 2 2 4 4 3" xfId="23151"/>
    <cellStyle name="40% - Accent1 2 2 4 4 3" xfId="23152"/>
    <cellStyle name="60% - Accent1 2 2 4 4 3" xfId="23153"/>
    <cellStyle name="20% - Accent2 2 2 4 4 3" xfId="23154"/>
    <cellStyle name="40% - Accent2 2 2 4 4 3" xfId="23155"/>
    <cellStyle name="60% - Accent2 2 2 4 4 3" xfId="23156"/>
    <cellStyle name="20% - Accent3 2 2 4 4 3" xfId="23157"/>
    <cellStyle name="40% - Accent3 2 2 4 4 3" xfId="23158"/>
    <cellStyle name="60% - Accent3 2 2 4 4 3" xfId="23159"/>
    <cellStyle name="20% - Accent4 2 2 4 4 3" xfId="23160"/>
    <cellStyle name="40% - Accent4 2 2 4 4 3" xfId="23161"/>
    <cellStyle name="60% - Accent4 2 2 4 4 3" xfId="23162"/>
    <cellStyle name="20% - Accent5 2 2 4 4 3" xfId="23163"/>
    <cellStyle name="40% - Accent5 2 2 4 4 3" xfId="23164"/>
    <cellStyle name="60% - Accent5 2 2 4 4 3" xfId="23165"/>
    <cellStyle name="20% - Accent6 2 2 4 4 3" xfId="23166"/>
    <cellStyle name="40% - Accent6 2 2 4 4 3" xfId="23167"/>
    <cellStyle name="60% - Accent6 2 2 4 4 3" xfId="23168"/>
    <cellStyle name="Comma 2 2 2 4 5 3" xfId="23169"/>
    <cellStyle name="Comma 4 2 4 5 3" xfId="23170"/>
    <cellStyle name="Normal 3 8 2 4 4 3" xfId="23171"/>
    <cellStyle name="Normal 8 3 4 3" xfId="23172"/>
    <cellStyle name="Comma 6 3 5 3" xfId="23173"/>
    <cellStyle name="20% - Accent1 4 3 4 3" xfId="23174"/>
    <cellStyle name="40% - Accent1 4 3 4 3" xfId="23175"/>
    <cellStyle name="60% - Accent1 4 3 4 3" xfId="23176"/>
    <cellStyle name="20% - Accent2 4 3 4 3" xfId="23177"/>
    <cellStyle name="40% - Accent2 4 3 4 3" xfId="23178"/>
    <cellStyle name="60% - Accent2 4 3 4 3" xfId="23179"/>
    <cellStyle name="20% - Accent3 4 3 4 3" xfId="23180"/>
    <cellStyle name="40% - Accent3 4 3 4 3" xfId="23181"/>
    <cellStyle name="60% - Accent3 4 3 4 3" xfId="23182"/>
    <cellStyle name="20% - Accent4 4 3 4 3" xfId="23183"/>
    <cellStyle name="40% - Accent4 4 3 4 3" xfId="23184"/>
    <cellStyle name="60% - Accent4 4 3 4 3" xfId="23185"/>
    <cellStyle name="20% - Accent5 4 3 4 3" xfId="23186"/>
    <cellStyle name="40% - Accent5 4 3 4 3" xfId="23187"/>
    <cellStyle name="60% - Accent5 4 3 4 3" xfId="23188"/>
    <cellStyle name="20% - Accent6 4 3 4 3" xfId="23189"/>
    <cellStyle name="40% - Accent6 4 3 4 3" xfId="23190"/>
    <cellStyle name="60% - Accent6 4 3 4 3" xfId="23191"/>
    <cellStyle name="Normal 3 2 4 3 4 3" xfId="23192"/>
    <cellStyle name="Normal 3 3 4 3 4 3" xfId="23193"/>
    <cellStyle name="Normal 3 4 4 3 4 3" xfId="23194"/>
    <cellStyle name="Normal 3 5 4 3 4 3" xfId="23195"/>
    <cellStyle name="Normal 3 2 2 3 3 4 3" xfId="23196"/>
    <cellStyle name="Normal 3 3 2 3 3 4 3" xfId="23197"/>
    <cellStyle name="Normal 3 4 2 3 3 4 3" xfId="23198"/>
    <cellStyle name="Normal 3 5 2 3 3 4 3" xfId="23199"/>
    <cellStyle name="Normal 5 3 3 4 3" xfId="23200"/>
    <cellStyle name="Percent 3 3 3 4 3" xfId="23201"/>
    <cellStyle name="Note 2 3 3 4 3" xfId="23202"/>
    <cellStyle name="Normal 3 6 3 3 4 3" xfId="23203"/>
    <cellStyle name="Comma 2 5 3 5 3" xfId="23204"/>
    <cellStyle name="Comma 3 4 3 5 3" xfId="23205"/>
    <cellStyle name="Percent 4 3 3 4 3" xfId="23206"/>
    <cellStyle name="Normal 3 7 3 3 4 3" xfId="23207"/>
    <cellStyle name="Note 3 3 3 4 3" xfId="23208"/>
    <cellStyle name="20% - Accent1 2 3 3 4 3" xfId="23209"/>
    <cellStyle name="40% - Accent1 2 3 3 4 3" xfId="23210"/>
    <cellStyle name="60% - Accent1 2 3 3 4 3" xfId="23211"/>
    <cellStyle name="20% - Accent2 2 3 3 4 3" xfId="23212"/>
    <cellStyle name="40% - Accent2 2 3 3 4 3" xfId="23213"/>
    <cellStyle name="60% - Accent2 2 3 3 4 3" xfId="23214"/>
    <cellStyle name="20% - Accent3 2 3 3 4 3" xfId="23215"/>
    <cellStyle name="40% - Accent3 2 3 3 4 3" xfId="23216"/>
    <cellStyle name="60% - Accent3 2 3 3 4 3" xfId="23217"/>
    <cellStyle name="20% - Accent4 2 3 3 4 3" xfId="23218"/>
    <cellStyle name="40% - Accent4 2 3 3 4 3" xfId="23219"/>
    <cellStyle name="60% - Accent4 2 3 3 4 3" xfId="23220"/>
    <cellStyle name="20% - Accent5 2 3 3 4 3" xfId="23221"/>
    <cellStyle name="40% - Accent5 2 3 3 4 3" xfId="23222"/>
    <cellStyle name="60% - Accent5 2 3 3 4 3" xfId="23223"/>
    <cellStyle name="20% - Accent6 2 3 3 4 3" xfId="23224"/>
    <cellStyle name="40% - Accent6 2 3 3 4 3" xfId="23225"/>
    <cellStyle name="60% - Accent6 2 3 3 4 3" xfId="23226"/>
    <cellStyle name="Comma 2 2 4 3 5 3" xfId="23227"/>
    <cellStyle name="Comma 4 4 3 5 3" xfId="23228"/>
    <cellStyle name="Normal 3 8 3 3 4 3" xfId="23229"/>
    <cellStyle name="Comma 2 4 3 5 3" xfId="23230"/>
    <cellStyle name="Comma 3 3 3 5 3" xfId="23231"/>
    <cellStyle name="Comma 2 2 3 3 5 3" xfId="23232"/>
    <cellStyle name="Comma 4 3 3 5 3" xfId="23233"/>
    <cellStyle name="Normal 7 2 3 4 3" xfId="23234"/>
    <cellStyle name="Comma 5 2 3 5 3" xfId="23235"/>
    <cellStyle name="20% - Accent1 3 2 3 4 3" xfId="23236"/>
    <cellStyle name="40% - Accent1 3 2 3 4 3" xfId="23237"/>
    <cellStyle name="60% - Accent1 3 2 3 4 3" xfId="23238"/>
    <cellStyle name="20% - Accent2 3 2 3 4 3" xfId="23239"/>
    <cellStyle name="40% - Accent2 3 2 3 4 3" xfId="23240"/>
    <cellStyle name="60% - Accent2 3 2 3 4 3" xfId="23241"/>
    <cellStyle name="20% - Accent3 3 2 3 4 3" xfId="23242"/>
    <cellStyle name="40% - Accent3 3 2 3 4 3" xfId="23243"/>
    <cellStyle name="60% - Accent3 3 2 3 4 3" xfId="23244"/>
    <cellStyle name="20% - Accent4 3 2 3 4 3" xfId="23245"/>
    <cellStyle name="40% - Accent4 3 2 3 4 3" xfId="23246"/>
    <cellStyle name="60% - Accent4 3 2 3 4 3" xfId="23247"/>
    <cellStyle name="20% - Accent5 3 2 3 4 3" xfId="23248"/>
    <cellStyle name="40% - Accent5 3 2 3 4 3" xfId="23249"/>
    <cellStyle name="60% - Accent5 3 2 3 4 3" xfId="23250"/>
    <cellStyle name="20% - Accent6 3 2 3 4 3" xfId="23251"/>
    <cellStyle name="40% - Accent6 3 2 3 4 3" xfId="23252"/>
    <cellStyle name="60% - Accent6 3 2 3 4 3" xfId="23253"/>
    <cellStyle name="Normal 3 2 3 2 3 4 3" xfId="23254"/>
    <cellStyle name="Normal 3 3 3 2 3 4 3" xfId="23255"/>
    <cellStyle name="Normal 3 4 3 2 3 4 3" xfId="23256"/>
    <cellStyle name="Normal 3 5 3 2 3 4 3" xfId="23257"/>
    <cellStyle name="Normal 3 2 2 2 2 3 4 3" xfId="23258"/>
    <cellStyle name="Normal 3 3 2 2 2 3 4 3" xfId="23259"/>
    <cellStyle name="Normal 3 4 2 2 2 3 4 3" xfId="23260"/>
    <cellStyle name="Normal 3 5 2 2 2 3 4 3" xfId="23261"/>
    <cellStyle name="Normal 5 2 2 3 4 3" xfId="23262"/>
    <cellStyle name="Percent 3 2 2 3 4 3" xfId="23263"/>
    <cellStyle name="Note 2 2 2 3 4 3" xfId="23264"/>
    <cellStyle name="Normal 3 6 2 2 3 4 3" xfId="23265"/>
    <cellStyle name="Comma 2 3 2 3 5 3" xfId="23266"/>
    <cellStyle name="Comma 3 2 2 3 5 3" xfId="23267"/>
    <cellStyle name="Percent 4 2 2 3 4 3" xfId="23268"/>
    <cellStyle name="Normal 3 7 2 2 3 4 3" xfId="23269"/>
    <cellStyle name="Note 3 2 2 3 4 3" xfId="23270"/>
    <cellStyle name="20% - Accent1 2 2 2 3 4 3" xfId="23271"/>
    <cellStyle name="40% - Accent1 2 2 2 3 4 3" xfId="23272"/>
    <cellStyle name="60% - Accent1 2 2 2 3 4 3" xfId="23273"/>
    <cellStyle name="20% - Accent2 2 2 2 3 4 3" xfId="23274"/>
    <cellStyle name="40% - Accent2 2 2 2 3 4 3" xfId="23275"/>
    <cellStyle name="60% - Accent2 2 2 2 3 4 3" xfId="23276"/>
    <cellStyle name="20% - Accent3 2 2 2 3 4 3" xfId="23277"/>
    <cellStyle name="40% - Accent3 2 2 2 3 4 3" xfId="23278"/>
    <cellStyle name="60% - Accent3 2 2 2 3 4 3" xfId="23279"/>
    <cellStyle name="20% - Accent4 2 2 2 3 4 3" xfId="23280"/>
    <cellStyle name="40% - Accent4 2 2 2 3 4 3" xfId="23281"/>
    <cellStyle name="60% - Accent4 2 2 2 3 4 3" xfId="23282"/>
    <cellStyle name="20% - Accent5 2 2 2 3 4 3" xfId="23283"/>
    <cellStyle name="40% - Accent5 2 2 2 3 4 3" xfId="23284"/>
    <cellStyle name="60% - Accent5 2 2 2 3 4 3" xfId="23285"/>
    <cellStyle name="20% - Accent6 2 2 2 3 4 3" xfId="23286"/>
    <cellStyle name="40% - Accent6 2 2 2 3 4 3" xfId="23287"/>
    <cellStyle name="60% - Accent6 2 2 2 3 4 3" xfId="23288"/>
    <cellStyle name="Comma 2 2 2 2 3 5 3" xfId="23289"/>
    <cellStyle name="Comma 4 2 2 3 5 3" xfId="23290"/>
    <cellStyle name="Normal 3 8 2 2 3 4 3" xfId="23291"/>
    <cellStyle name="Normal 3 10 3 4 3" xfId="23292"/>
    <cellStyle name="Normal 3 11 3 4 3" xfId="23293"/>
    <cellStyle name="Normal 5 4 2 4 3" xfId="23294"/>
    <cellStyle name="Normal 7 3 2 4 3" xfId="23295"/>
    <cellStyle name="Normal 3 2 2 2 3 2 4 3" xfId="23296"/>
    <cellStyle name="Normal 8 2 2 4 3" xfId="23297"/>
    <cellStyle name="Normal 3 2 2 2 2 2 2 4 3" xfId="23298"/>
    <cellStyle name="Comma 3 6 5 3" xfId="23299"/>
    <cellStyle name="Normal 3 6 4 2 4 3" xfId="23300"/>
    <cellStyle name="Normal 3 12 2 4 3" xfId="23301"/>
    <cellStyle name="Normal 3 2 5 2 4 3" xfId="23302"/>
    <cellStyle name="Normal 3 3 5 2 4 3" xfId="23303"/>
    <cellStyle name="Normal 3 4 5 2 4 3" xfId="23304"/>
    <cellStyle name="Normal 3 5 5 2 4 3" xfId="23305"/>
    <cellStyle name="20% - Accent1 5 2 4 3" xfId="23306"/>
    <cellStyle name="40% - Accent1 5 2 4 3" xfId="23307"/>
    <cellStyle name="60% - Accent1 5 2 4 3" xfId="23308"/>
    <cellStyle name="20% - Accent2 5 2 4 3" xfId="23309"/>
    <cellStyle name="40% - Accent2 5 2 4 3" xfId="23310"/>
    <cellStyle name="60% - Accent2 5 2 4 3" xfId="23311"/>
    <cellStyle name="20% - Accent3 5 2 4 3" xfId="23312"/>
    <cellStyle name="40% - Accent3 5 2 4 3" xfId="23313"/>
    <cellStyle name="60% - Accent3 5 2 4 3" xfId="23314"/>
    <cellStyle name="20% - Accent4 5 2 4 3" xfId="23315"/>
    <cellStyle name="40% - Accent4 5 2 4 3" xfId="23316"/>
    <cellStyle name="60% - Accent4 5 2 4 3" xfId="23317"/>
    <cellStyle name="20% - Accent5 5 2 4 3" xfId="23318"/>
    <cellStyle name="40% - Accent5 5 2 4 3" xfId="23319"/>
    <cellStyle name="60% - Accent5 5 2 4 3" xfId="23320"/>
    <cellStyle name="20% - Accent6 5 2 4 3" xfId="23321"/>
    <cellStyle name="40% - Accent6 5 2 4 3" xfId="23322"/>
    <cellStyle name="60% - Accent6 5 2 4 3" xfId="23323"/>
    <cellStyle name="Normal 3 2 2 4 2 4 3" xfId="23324"/>
    <cellStyle name="Normal 3 3 2 4 2 4 3" xfId="23325"/>
    <cellStyle name="Normal 3 4 2 4 2 4 3" xfId="23326"/>
    <cellStyle name="Normal 3 5 2 4 2 4 3" xfId="23327"/>
    <cellStyle name="Percent 3 4 2 4 3" xfId="23328"/>
    <cellStyle name="Note 2 4 2 4 3" xfId="23329"/>
    <cellStyle name="Comma 2 6 2 5 3" xfId="23330"/>
    <cellStyle name="Comma 3 5 2 5 3" xfId="23331"/>
    <cellStyle name="Percent 4 4 2 4 3" xfId="23332"/>
    <cellStyle name="Normal 3 7 4 2 4 3" xfId="23333"/>
    <cellStyle name="Note 3 4 2 4 3" xfId="23334"/>
    <cellStyle name="20% - Accent1 2 4 2 4 3" xfId="23335"/>
    <cellStyle name="40% - Accent1 2 4 2 4 3" xfId="23336"/>
    <cellStyle name="60% - Accent1 2 4 2 4 3" xfId="23337"/>
    <cellStyle name="20% - Accent2 2 4 2 4 3" xfId="23338"/>
    <cellStyle name="40% - Accent2 2 4 2 4 3" xfId="23339"/>
    <cellStyle name="60% - Accent2 2 4 2 4 3" xfId="23340"/>
    <cellStyle name="20% - Accent3 2 4 2 4 3" xfId="23341"/>
    <cellStyle name="40% - Accent3 2 4 2 4 3" xfId="23342"/>
    <cellStyle name="60% - Accent3 2 4 2 4 3" xfId="23343"/>
    <cellStyle name="20% - Accent4 2 4 2 4 3" xfId="23344"/>
    <cellStyle name="40% - Accent4 2 4 2 4 3" xfId="23345"/>
    <cellStyle name="60% - Accent4 2 4 2 4 3" xfId="23346"/>
    <cellStyle name="20% - Accent5 2 4 2 4 3" xfId="23347"/>
    <cellStyle name="40% - Accent5 2 4 2 4 3" xfId="23348"/>
    <cellStyle name="60% - Accent5 2 4 2 4 3" xfId="23349"/>
    <cellStyle name="20% - Accent6 2 4 2 4 3" xfId="23350"/>
    <cellStyle name="40% - Accent6 2 4 2 4 3" xfId="23351"/>
    <cellStyle name="60% - Accent6 2 4 2 4 3" xfId="23352"/>
    <cellStyle name="Comma 2 2 5 2 5 3" xfId="23353"/>
    <cellStyle name="Comma 4 5 2 5 3" xfId="23354"/>
    <cellStyle name="Normal 3 8 4 2 4 3" xfId="23355"/>
    <cellStyle name="Comma 5 3 2 5 3" xfId="23356"/>
    <cellStyle name="20% - Accent1 3 3 2 4 3" xfId="23357"/>
    <cellStyle name="40% - Accent1 3 3 2 4 3" xfId="23358"/>
    <cellStyle name="60% - Accent1 3 3 2 4 3" xfId="23359"/>
    <cellStyle name="20% - Accent2 3 3 2 4 3" xfId="23360"/>
    <cellStyle name="40% - Accent2 3 3 2 4 3" xfId="23361"/>
    <cellStyle name="60% - Accent2 3 3 2 4 3" xfId="23362"/>
    <cellStyle name="20% - Accent3 3 3 2 4 3" xfId="23363"/>
    <cellStyle name="40% - Accent3 3 3 2 4 3" xfId="23364"/>
    <cellStyle name="60% - Accent3 3 3 2 4 3" xfId="23365"/>
    <cellStyle name="20% - Accent4 3 3 2 4 3" xfId="23366"/>
    <cellStyle name="40% - Accent4 3 3 2 4 3" xfId="23367"/>
    <cellStyle name="60% - Accent4 3 3 2 4 3" xfId="23368"/>
    <cellStyle name="20% - Accent5 3 3 2 4 3" xfId="23369"/>
    <cellStyle name="40% - Accent5 3 3 2 4 3" xfId="23370"/>
    <cellStyle name="60% - Accent5 3 3 2 4 3" xfId="23371"/>
    <cellStyle name="20% - Accent6 3 3 2 4 3" xfId="23372"/>
    <cellStyle name="40% - Accent6 3 3 2 4 3" xfId="23373"/>
    <cellStyle name="60% - Accent6 3 3 2 4 3" xfId="23374"/>
    <cellStyle name="Normal 3 2 3 3 2 4 3" xfId="23375"/>
    <cellStyle name="Normal 3 3 3 3 2 4 3" xfId="23376"/>
    <cellStyle name="Normal 3 4 3 3 2 4 3" xfId="23377"/>
    <cellStyle name="Normal 3 5 3 3 2 4 3" xfId="23378"/>
    <cellStyle name="Normal 3 3 2 2 3 2 4 3" xfId="23379"/>
    <cellStyle name="Normal 3 4 2 2 3 2 4 3" xfId="23380"/>
    <cellStyle name="Normal 3 5 2 2 3 2 4 3" xfId="23381"/>
    <cellStyle name="Normal 5 2 3 2 4 3" xfId="23382"/>
    <cellStyle name="Percent 3 2 3 2 4 3" xfId="23383"/>
    <cellStyle name="Note 2 2 3 2 4 3" xfId="23384"/>
    <cellStyle name="Normal 3 6 2 3 2 4 3" xfId="23385"/>
    <cellStyle name="Comma 2 3 3 2 5 3" xfId="23386"/>
    <cellStyle name="Comma 3 2 3 2 5 3" xfId="23387"/>
    <cellStyle name="Percent 4 2 3 2 4 3" xfId="23388"/>
    <cellStyle name="Normal 3 7 2 3 2 4 3" xfId="23389"/>
    <cellStyle name="Note 3 2 3 2 4 3" xfId="23390"/>
    <cellStyle name="20% - Accent1 2 2 3 2 4 3" xfId="23391"/>
    <cellStyle name="40% - Accent1 2 2 3 2 4 3" xfId="23392"/>
    <cellStyle name="60% - Accent1 2 2 3 2 4 3" xfId="23393"/>
    <cellStyle name="20% - Accent2 2 2 3 2 4 3" xfId="23394"/>
    <cellStyle name="40% - Accent2 2 2 3 2 4 3" xfId="23395"/>
    <cellStyle name="60% - Accent2 2 2 3 2 4 3" xfId="23396"/>
    <cellStyle name="20% - Accent3 2 2 3 2 4 3" xfId="23397"/>
    <cellStyle name="40% - Accent3 2 2 3 2 4 3" xfId="23398"/>
    <cellStyle name="60% - Accent3 2 2 3 2 4 3" xfId="23399"/>
    <cellStyle name="20% - Accent4 2 2 3 2 4 3" xfId="23400"/>
    <cellStyle name="40% - Accent4 2 2 3 2 4 3" xfId="23401"/>
    <cellStyle name="60% - Accent4 2 2 3 2 4 3" xfId="23402"/>
    <cellStyle name="20% - Accent5 2 2 3 2 4 3" xfId="23403"/>
    <cellStyle name="40% - Accent5 2 2 3 2 4 3" xfId="23404"/>
    <cellStyle name="60% - Accent5 2 2 3 2 4 3" xfId="23405"/>
    <cellStyle name="20% - Accent6 2 2 3 2 4 3" xfId="23406"/>
    <cellStyle name="40% - Accent6 2 2 3 2 4 3" xfId="23407"/>
    <cellStyle name="60% - Accent6 2 2 3 2 4 3" xfId="23408"/>
    <cellStyle name="Comma 2 2 2 3 2 5 3" xfId="23409"/>
    <cellStyle name="Comma 4 2 3 2 5 3" xfId="23410"/>
    <cellStyle name="Normal 3 8 2 3 2 4 3" xfId="23411"/>
    <cellStyle name="Comma 6 2 2 5 3" xfId="23412"/>
    <cellStyle name="20% - Accent1 4 2 2 4 3" xfId="23413"/>
    <cellStyle name="40% - Accent1 4 2 2 4 3" xfId="23414"/>
    <cellStyle name="60% - Accent1 4 2 2 4 3" xfId="23415"/>
    <cellStyle name="20% - Accent2 4 2 2 4 3" xfId="23416"/>
    <cellStyle name="40% - Accent2 4 2 2 4 3" xfId="23417"/>
    <cellStyle name="60% - Accent2 4 2 2 4 3" xfId="23418"/>
    <cellStyle name="20% - Accent3 4 2 2 4 3" xfId="23419"/>
    <cellStyle name="40% - Accent3 4 2 2 4 3" xfId="23420"/>
    <cellStyle name="60% - Accent3 4 2 2 4 3" xfId="23421"/>
    <cellStyle name="20% - Accent4 4 2 2 4 3" xfId="23422"/>
    <cellStyle name="40% - Accent4 4 2 2 4 3" xfId="23423"/>
    <cellStyle name="60% - Accent4 4 2 2 4 3" xfId="23424"/>
    <cellStyle name="20% - Accent5 4 2 2 4 3" xfId="23425"/>
    <cellStyle name="40% - Accent5 4 2 2 4 3" xfId="23426"/>
    <cellStyle name="60% - Accent5 4 2 2 4 3" xfId="23427"/>
    <cellStyle name="20% - Accent6 4 2 2 4 3" xfId="23428"/>
    <cellStyle name="40% - Accent6 4 2 2 4 3" xfId="23429"/>
    <cellStyle name="60% - Accent6 4 2 2 4 3" xfId="23430"/>
    <cellStyle name="Normal 3 2 4 2 2 4 3" xfId="23431"/>
    <cellStyle name="Normal 3 3 4 2 2 4 3" xfId="23432"/>
    <cellStyle name="Normal 3 4 4 2 2 4 3" xfId="23433"/>
    <cellStyle name="Normal 3 5 4 2 2 4 3" xfId="23434"/>
    <cellStyle name="Normal 3 2 2 3 2 2 4 3" xfId="23435"/>
    <cellStyle name="Normal 3 3 2 3 2 2 4 3" xfId="23436"/>
    <cellStyle name="Normal 3 4 2 3 2 2 4 3" xfId="23437"/>
    <cellStyle name="Normal 3 5 2 3 2 2 4 3" xfId="23438"/>
    <cellStyle name="Normal 5 3 2 2 4 3" xfId="23439"/>
    <cellStyle name="Percent 3 3 2 2 4 3" xfId="23440"/>
    <cellStyle name="Note 2 3 2 2 4 3" xfId="23441"/>
    <cellStyle name="Normal 3 6 3 2 2 4 3" xfId="23442"/>
    <cellStyle name="Comma 2 5 2 2 5 3" xfId="23443"/>
    <cellStyle name="Comma 3 4 2 2 5 3" xfId="23444"/>
    <cellStyle name="Percent 4 3 2 2 4 3" xfId="23445"/>
    <cellStyle name="Normal 3 7 3 2 2 4 3" xfId="23446"/>
    <cellStyle name="Note 3 3 2 2 4 3" xfId="23447"/>
    <cellStyle name="20% - Accent1 2 3 2 2 4 3" xfId="23448"/>
    <cellStyle name="40% - Accent1 2 3 2 2 4 3" xfId="23449"/>
    <cellStyle name="60% - Accent1 2 3 2 2 4 3" xfId="23450"/>
    <cellStyle name="20% - Accent2 2 3 2 2 4 3" xfId="23451"/>
    <cellStyle name="40% - Accent2 2 3 2 2 4 3" xfId="23452"/>
    <cellStyle name="60% - Accent2 2 3 2 2 4 3" xfId="23453"/>
    <cellStyle name="20% - Accent3 2 3 2 2 4 3" xfId="23454"/>
    <cellStyle name="40% - Accent3 2 3 2 2 4 3" xfId="23455"/>
    <cellStyle name="60% - Accent3 2 3 2 2 4 3" xfId="23456"/>
    <cellStyle name="20% - Accent4 2 3 2 2 4 3" xfId="23457"/>
    <cellStyle name="40% - Accent4 2 3 2 2 4 3" xfId="23458"/>
    <cellStyle name="60% - Accent4 2 3 2 2 4 3" xfId="23459"/>
    <cellStyle name="20% - Accent5 2 3 2 2 4 3" xfId="23460"/>
    <cellStyle name="40% - Accent5 2 3 2 2 4 3" xfId="23461"/>
    <cellStyle name="60% - Accent5 2 3 2 2 4 3" xfId="23462"/>
    <cellStyle name="20% - Accent6 2 3 2 2 4 3" xfId="23463"/>
    <cellStyle name="40% - Accent6 2 3 2 2 4 3" xfId="23464"/>
    <cellStyle name="60% - Accent6 2 3 2 2 4 3" xfId="23465"/>
    <cellStyle name="Comma 2 2 4 2 2 5 3" xfId="23466"/>
    <cellStyle name="Comma 4 4 2 2 5 3" xfId="23467"/>
    <cellStyle name="Normal 3 8 3 2 2 4 3" xfId="23468"/>
    <cellStyle name="Comma 2 4 2 2 5 3" xfId="23469"/>
    <cellStyle name="Comma 3 3 2 2 5 3" xfId="23470"/>
    <cellStyle name="Comma 2 2 3 2 2 5 3" xfId="23471"/>
    <cellStyle name="Comma 4 3 2 2 5 3" xfId="23472"/>
    <cellStyle name="Normal 7 2 2 2 4 3" xfId="23473"/>
    <cellStyle name="Comma 5 2 2 2 5 3" xfId="23474"/>
    <cellStyle name="20% - Accent1 3 2 2 2 4 3" xfId="23475"/>
    <cellStyle name="40% - Accent1 3 2 2 2 4 3" xfId="23476"/>
    <cellStyle name="60% - Accent1 3 2 2 2 4 3" xfId="23477"/>
    <cellStyle name="20% - Accent2 3 2 2 2 4 3" xfId="23478"/>
    <cellStyle name="40% - Accent2 3 2 2 2 4 3" xfId="23479"/>
    <cellStyle name="60% - Accent2 3 2 2 2 4 3" xfId="23480"/>
    <cellStyle name="20% - Accent3 3 2 2 2 4 3" xfId="23481"/>
    <cellStyle name="40% - Accent3 3 2 2 2 4 3" xfId="23482"/>
    <cellStyle name="60% - Accent3 3 2 2 2 4 3" xfId="23483"/>
    <cellStyle name="20% - Accent4 3 2 2 2 4 3" xfId="23484"/>
    <cellStyle name="40% - Accent4 3 2 2 2 4 3" xfId="23485"/>
    <cellStyle name="60% - Accent4 3 2 2 2 4 3" xfId="23486"/>
    <cellStyle name="20% - Accent5 3 2 2 2 4 3" xfId="23487"/>
    <cellStyle name="40% - Accent5 3 2 2 2 4 3" xfId="23488"/>
    <cellStyle name="60% - Accent5 3 2 2 2 4 3" xfId="23489"/>
    <cellStyle name="20% - Accent6 3 2 2 2 4 3" xfId="23490"/>
    <cellStyle name="40% - Accent6 3 2 2 2 4 3" xfId="23491"/>
    <cellStyle name="60% - Accent6 3 2 2 2 4 3" xfId="23492"/>
    <cellStyle name="Normal 3 2 3 2 2 2 4 3" xfId="23493"/>
    <cellStyle name="Normal 3 3 3 2 2 2 4 3" xfId="23494"/>
    <cellStyle name="Normal 3 4 3 2 2 2 4 3" xfId="23495"/>
    <cellStyle name="Normal 3 5 3 2 2 2 4 3" xfId="23496"/>
    <cellStyle name="Normal 3 3 2 2 2 2 2 4 3" xfId="23497"/>
    <cellStyle name="Normal 3 4 2 2 2 2 2 4 3" xfId="23498"/>
    <cellStyle name="Normal 3 5 2 2 2 2 2 4 3" xfId="23499"/>
    <cellStyle name="Normal 5 2 2 2 2 4 3" xfId="23500"/>
    <cellStyle name="Percent 3 2 2 2 2 4 3" xfId="23501"/>
    <cellStyle name="Note 2 2 2 2 2 4 3" xfId="23502"/>
    <cellStyle name="Normal 3 6 2 2 2 2 4 3" xfId="23503"/>
    <cellStyle name="Comma 2 3 2 2 2 5 3" xfId="23504"/>
    <cellStyle name="Comma 3 2 2 2 2 5 3" xfId="23505"/>
    <cellStyle name="Percent 4 2 2 2 2 4 3" xfId="23506"/>
    <cellStyle name="Normal 3 7 2 2 2 2 4 3" xfId="23507"/>
    <cellStyle name="Note 3 2 2 2 2 4 3" xfId="23508"/>
    <cellStyle name="20% - Accent1 2 2 2 2 2 4 3" xfId="23509"/>
    <cellStyle name="40% - Accent1 2 2 2 2 2 4 3" xfId="23510"/>
    <cellStyle name="60% - Accent1 2 2 2 2 2 4 3" xfId="23511"/>
    <cellStyle name="20% - Accent2 2 2 2 2 2 4 3" xfId="23512"/>
    <cellStyle name="40% - Accent2 2 2 2 2 2 4 3" xfId="23513"/>
    <cellStyle name="60% - Accent2 2 2 2 2 2 4 3" xfId="23514"/>
    <cellStyle name="20% - Accent3 2 2 2 2 2 4 3" xfId="23515"/>
    <cellStyle name="40% - Accent3 2 2 2 2 2 4 3" xfId="23516"/>
    <cellStyle name="60% - Accent3 2 2 2 2 2 4 3" xfId="23517"/>
    <cellStyle name="20% - Accent4 2 2 2 2 2 4 3" xfId="23518"/>
    <cellStyle name="40% - Accent4 2 2 2 2 2 4 3" xfId="23519"/>
    <cellStyle name="60% - Accent4 2 2 2 2 2 4 3" xfId="23520"/>
    <cellStyle name="20% - Accent5 2 2 2 2 2 4 3" xfId="23521"/>
    <cellStyle name="40% - Accent5 2 2 2 2 2 4 3" xfId="23522"/>
    <cellStyle name="60% - Accent5 2 2 2 2 2 4 3" xfId="23523"/>
    <cellStyle name="20% - Accent6 2 2 2 2 2 4 3" xfId="23524"/>
    <cellStyle name="40% - Accent6 2 2 2 2 2 4 3" xfId="23525"/>
    <cellStyle name="60% - Accent6 2 2 2 2 2 4 3" xfId="23526"/>
    <cellStyle name="Comma 2 2 2 2 2 2 5 3" xfId="23527"/>
    <cellStyle name="Comma 4 2 2 2 2 5 3" xfId="23528"/>
    <cellStyle name="Normal 3 8 2 2 2 2 4 3" xfId="23529"/>
    <cellStyle name="Normal 3 10 2 2 4 3" xfId="23530"/>
    <cellStyle name="Normal 3 11 2 2 4 3" xfId="23531"/>
    <cellStyle name="Normal 3 13 4 3" xfId="23532"/>
    <cellStyle name="Normal 3 2 7 4 3" xfId="23533"/>
    <cellStyle name="Normal 3 3 7 4 3" xfId="23534"/>
    <cellStyle name="Normal 3 4 7 4 3" xfId="23535"/>
    <cellStyle name="Normal 3 5 7 4 3" xfId="23536"/>
    <cellStyle name="20% - Accent1 7 4 3" xfId="23537"/>
    <cellStyle name="40% - Accent1 7 4 3" xfId="23538"/>
    <cellStyle name="60% - Accent1 7 4 3" xfId="23539"/>
    <cellStyle name="20% - Accent2 7 4 3" xfId="23540"/>
    <cellStyle name="40% - Accent2 7 4 3" xfId="23541"/>
    <cellStyle name="60% - Accent2 7 4 3" xfId="23542"/>
    <cellStyle name="20% - Accent3 7 4 3" xfId="23543"/>
    <cellStyle name="40% - Accent3 7 4 3" xfId="23544"/>
    <cellStyle name="60% - Accent3 7 4 3" xfId="23545"/>
    <cellStyle name="20% - Accent4 7 4 3" xfId="23546"/>
    <cellStyle name="40% - Accent4 7 4 3" xfId="23547"/>
    <cellStyle name="60% - Accent4 7 4 3" xfId="23548"/>
    <cellStyle name="20% - Accent5 7 4 3" xfId="23549"/>
    <cellStyle name="40% - Accent5 7 4 3" xfId="23550"/>
    <cellStyle name="60% - Accent5 7 4 3" xfId="23551"/>
    <cellStyle name="20% - Accent6 7 4 3" xfId="23552"/>
    <cellStyle name="40% - Accent6 7 4 3" xfId="23553"/>
    <cellStyle name="60% - Accent6 7 4 3" xfId="23554"/>
    <cellStyle name="Normal 3 2 2 6 4 3" xfId="23555"/>
    <cellStyle name="Normal 3 3 2 6 4 3" xfId="23556"/>
    <cellStyle name="Normal 3 4 2 6 4 3" xfId="23557"/>
    <cellStyle name="Normal 3 5 2 6 4 3" xfId="23558"/>
    <cellStyle name="Normal 5 6 4 3" xfId="23559"/>
    <cellStyle name="Percent 3 6 4 3" xfId="23560"/>
    <cellStyle name="Note 2 6 4 3" xfId="23561"/>
    <cellStyle name="Normal 3 6 6 4 3" xfId="23562"/>
    <cellStyle name="Comma 2 8 5 3" xfId="23563"/>
    <cellStyle name="Comma 3 8 5 3" xfId="23564"/>
    <cellStyle name="Percent 4 6 4 3" xfId="23565"/>
    <cellStyle name="Normal 3 7 6 4 3" xfId="23566"/>
    <cellStyle name="Note 3 6 4 3" xfId="23567"/>
    <cellStyle name="20% - Accent1 2 6 4 3" xfId="23568"/>
    <cellStyle name="40% - Accent1 2 6 4 3" xfId="23569"/>
    <cellStyle name="60% - Accent1 2 6 4 3" xfId="23570"/>
    <cellStyle name="20% - Accent2 2 6 4 3" xfId="23571"/>
    <cellStyle name="40% - Accent2 2 6 4 3" xfId="23572"/>
    <cellStyle name="60% - Accent2 2 6 4 3" xfId="23573"/>
    <cellStyle name="20% - Accent3 2 6 4 3" xfId="23574"/>
    <cellStyle name="40% - Accent3 2 6 4 3" xfId="23575"/>
    <cellStyle name="60% - Accent3 2 6 4 3" xfId="23576"/>
    <cellStyle name="20% - Accent4 2 6 4 3" xfId="23577"/>
    <cellStyle name="40% - Accent4 2 6 4 3" xfId="23578"/>
    <cellStyle name="60% - Accent4 2 6 4 3" xfId="23579"/>
    <cellStyle name="20% - Accent5 2 6 4 3" xfId="23580"/>
    <cellStyle name="40% - Accent5 2 6 4 3" xfId="23581"/>
    <cellStyle name="60% - Accent5 2 6 4 3" xfId="23582"/>
    <cellStyle name="20% - Accent6 2 6 4 3" xfId="23583"/>
    <cellStyle name="40% - Accent6 2 6 4 3" xfId="23584"/>
    <cellStyle name="60% - Accent6 2 6 4 3" xfId="23585"/>
    <cellStyle name="Comma 2 2 7 5 3" xfId="23586"/>
    <cellStyle name="Comma 4 7 5 3" xfId="23587"/>
    <cellStyle name="Normal 3 8 6 4 3" xfId="23588"/>
    <cellStyle name="Normal 7 5 4 3" xfId="23589"/>
    <cellStyle name="Comma 5 5 5 3" xfId="23590"/>
    <cellStyle name="20% - Accent1 3 5 4 3" xfId="23591"/>
    <cellStyle name="40% - Accent1 3 5 4 3" xfId="23592"/>
    <cellStyle name="60% - Accent1 3 5 4 3" xfId="23593"/>
    <cellStyle name="20% - Accent2 3 5 4 3" xfId="23594"/>
    <cellStyle name="40% - Accent2 3 5 4 3" xfId="23595"/>
    <cellStyle name="60% - Accent2 3 5 4 3" xfId="23596"/>
    <cellStyle name="20% - Accent3 3 5 4 3" xfId="23597"/>
    <cellStyle name="40% - Accent3 3 5 4 3" xfId="23598"/>
    <cellStyle name="60% - Accent3 3 5 4 3" xfId="23599"/>
    <cellStyle name="20% - Accent4 3 5 4 3" xfId="23600"/>
    <cellStyle name="40% - Accent4 3 5 4 3" xfId="23601"/>
    <cellStyle name="60% - Accent4 3 5 4 3" xfId="23602"/>
    <cellStyle name="20% - Accent5 3 5 4 3" xfId="23603"/>
    <cellStyle name="40% - Accent5 3 5 4 3" xfId="23604"/>
    <cellStyle name="60% - Accent5 3 5 4 3" xfId="23605"/>
    <cellStyle name="20% - Accent6 3 5 4 3" xfId="23606"/>
    <cellStyle name="40% - Accent6 3 5 4 3" xfId="23607"/>
    <cellStyle name="60% - Accent6 3 5 4 3" xfId="23608"/>
    <cellStyle name="Normal 3 2 3 5 4 3" xfId="23609"/>
    <cellStyle name="Normal 3 3 3 5 4 3" xfId="23610"/>
    <cellStyle name="Normal 3 4 3 5 4 3" xfId="23611"/>
    <cellStyle name="Normal 3 5 3 5 4 3" xfId="23612"/>
    <cellStyle name="Normal 3 2 2 2 5 4 3" xfId="23613"/>
    <cellStyle name="Normal 3 3 2 2 5 4 3" xfId="23614"/>
    <cellStyle name="Normal 3 4 2 2 5 4 3" xfId="23615"/>
    <cellStyle name="Normal 3 5 2 2 5 4 3" xfId="23616"/>
    <cellStyle name="Normal 5 2 5 4 3" xfId="23617"/>
    <cellStyle name="Percent 3 2 5 4 3" xfId="23618"/>
    <cellStyle name="Note 2 2 5 4 3" xfId="23619"/>
    <cellStyle name="Normal 3 6 2 5 4 3" xfId="23620"/>
    <cellStyle name="Comma 2 3 5 5 3" xfId="23621"/>
    <cellStyle name="Comma 3 2 5 5 3" xfId="23622"/>
    <cellStyle name="Percent 4 2 5 4 3" xfId="23623"/>
    <cellStyle name="Normal 3 7 2 5 4 3" xfId="23624"/>
    <cellStyle name="Note 3 2 5 4 3" xfId="23625"/>
    <cellStyle name="20% - Accent1 2 2 5 4 3" xfId="23626"/>
    <cellStyle name="40% - Accent1 2 2 5 4 3" xfId="23627"/>
    <cellStyle name="60% - Accent1 2 2 5 4 3" xfId="23628"/>
    <cellStyle name="20% - Accent2 2 2 5 4 3" xfId="23629"/>
    <cellStyle name="40% - Accent2 2 2 5 4 3" xfId="23630"/>
    <cellStyle name="60% - Accent2 2 2 5 4 3" xfId="23631"/>
    <cellStyle name="20% - Accent3 2 2 5 4 3" xfId="23632"/>
    <cellStyle name="40% - Accent3 2 2 5 4 3" xfId="23633"/>
    <cellStyle name="60% - Accent3 2 2 5 4 3" xfId="23634"/>
    <cellStyle name="20% - Accent4 2 2 5 4 3" xfId="23635"/>
    <cellStyle name="40% - Accent4 2 2 5 4 3" xfId="23636"/>
    <cellStyle name="60% - Accent4 2 2 5 4 3" xfId="23637"/>
    <cellStyle name="20% - Accent5 2 2 5 4 3" xfId="23638"/>
    <cellStyle name="40% - Accent5 2 2 5 4 3" xfId="23639"/>
    <cellStyle name="60% - Accent5 2 2 5 4 3" xfId="23640"/>
    <cellStyle name="20% - Accent6 2 2 5 4 3" xfId="23641"/>
    <cellStyle name="40% - Accent6 2 2 5 4 3" xfId="23642"/>
    <cellStyle name="60% - Accent6 2 2 5 4 3" xfId="23643"/>
    <cellStyle name="Comma 2 2 2 5 5 3" xfId="23644"/>
    <cellStyle name="Comma 4 2 5 5 3" xfId="23645"/>
    <cellStyle name="Normal 3 8 2 5 4 3" xfId="23646"/>
    <cellStyle name="Normal 8 4 4 3" xfId="23647"/>
    <cellStyle name="Comma 6 4 5 3" xfId="23648"/>
    <cellStyle name="20% - Accent1 4 4 4 3" xfId="23649"/>
    <cellStyle name="40% - Accent1 4 4 4 3" xfId="23650"/>
    <cellStyle name="60% - Accent1 4 4 4 3" xfId="23651"/>
    <cellStyle name="20% - Accent2 4 4 4 3" xfId="23652"/>
    <cellStyle name="40% - Accent2 4 4 4 3" xfId="23653"/>
    <cellStyle name="60% - Accent2 4 4 4 3" xfId="23654"/>
    <cellStyle name="20% - Accent3 4 4 4 3" xfId="23655"/>
    <cellStyle name="40% - Accent3 4 4 4 3" xfId="23656"/>
    <cellStyle name="60% - Accent3 4 4 4 3" xfId="23657"/>
    <cellStyle name="20% - Accent4 4 4 4 3" xfId="23658"/>
    <cellStyle name="40% - Accent4 4 4 4 3" xfId="23659"/>
    <cellStyle name="60% - Accent4 4 4 4 3" xfId="23660"/>
    <cellStyle name="20% - Accent5 4 4 4 3" xfId="23661"/>
    <cellStyle name="40% - Accent5 4 4 4 3" xfId="23662"/>
    <cellStyle name="60% - Accent5 4 4 4 3" xfId="23663"/>
    <cellStyle name="20% - Accent6 4 4 4 3" xfId="23664"/>
    <cellStyle name="40% - Accent6 4 4 4 3" xfId="23665"/>
    <cellStyle name="60% - Accent6 4 4 4 3" xfId="23666"/>
    <cellStyle name="Normal 3 2 4 4 4 3" xfId="23667"/>
    <cellStyle name="Normal 3 3 4 4 4 3" xfId="23668"/>
    <cellStyle name="Normal 3 4 4 4 4 3" xfId="23669"/>
    <cellStyle name="Normal 3 5 4 4 4 3" xfId="23670"/>
    <cellStyle name="Normal 3 2 2 3 4 4 3" xfId="23671"/>
    <cellStyle name="Normal 3 3 2 3 4 4 3" xfId="23672"/>
    <cellStyle name="Normal 3 4 2 3 4 4 3" xfId="23673"/>
    <cellStyle name="Normal 3 5 2 3 4 4 3" xfId="23674"/>
    <cellStyle name="Normal 5 3 4 4 3" xfId="23675"/>
    <cellStyle name="Percent 3 3 4 4 3" xfId="23676"/>
    <cellStyle name="Note 2 3 4 4 3" xfId="23677"/>
    <cellStyle name="Normal 3 6 3 4 4 3" xfId="23678"/>
    <cellStyle name="Comma 2 5 4 5 3" xfId="23679"/>
    <cellStyle name="Comma 3 4 4 5 3" xfId="23680"/>
    <cellStyle name="Percent 4 3 4 4 3" xfId="23681"/>
    <cellStyle name="Normal 3 7 3 4 4 3" xfId="23682"/>
    <cellStyle name="Note 3 3 4 4 3" xfId="23683"/>
    <cellStyle name="20% - Accent1 2 3 4 4 3" xfId="23684"/>
    <cellStyle name="40% - Accent1 2 3 4 4 3" xfId="23685"/>
    <cellStyle name="60% - Accent1 2 3 4 4 3" xfId="23686"/>
    <cellStyle name="20% - Accent2 2 3 4 4 3" xfId="23687"/>
    <cellStyle name="40% - Accent2 2 3 4 4 3" xfId="23688"/>
    <cellStyle name="60% - Accent2 2 3 4 4 3" xfId="23689"/>
    <cellStyle name="20% - Accent3 2 3 4 4 3" xfId="23690"/>
    <cellStyle name="40% - Accent3 2 3 4 4 3" xfId="23691"/>
    <cellStyle name="60% - Accent3 2 3 4 4 3" xfId="23692"/>
    <cellStyle name="20% - Accent4 2 3 4 4 3" xfId="23693"/>
    <cellStyle name="40% - Accent4 2 3 4 4 3" xfId="23694"/>
    <cellStyle name="60% - Accent4 2 3 4 4 3" xfId="23695"/>
    <cellStyle name="20% - Accent5 2 3 4 4 3" xfId="23696"/>
    <cellStyle name="40% - Accent5 2 3 4 4 3" xfId="23697"/>
    <cellStyle name="60% - Accent5 2 3 4 4 3" xfId="23698"/>
    <cellStyle name="20% - Accent6 2 3 4 4 3" xfId="23699"/>
    <cellStyle name="40% - Accent6 2 3 4 4 3" xfId="23700"/>
    <cellStyle name="60% - Accent6 2 3 4 4 3" xfId="23701"/>
    <cellStyle name="Comma 2 2 4 4 5 3" xfId="23702"/>
    <cellStyle name="Comma 4 4 4 5 3" xfId="23703"/>
    <cellStyle name="Normal 3 8 3 4 4 3" xfId="23704"/>
    <cellStyle name="Comma 2 4 4 5 3" xfId="23705"/>
    <cellStyle name="Comma 3 3 4 5 3" xfId="23706"/>
    <cellStyle name="Comma 2 2 3 4 5 3" xfId="23707"/>
    <cellStyle name="Comma 4 3 4 5 3" xfId="23708"/>
    <cellStyle name="Normal 7 2 4 4 3" xfId="23709"/>
    <cellStyle name="Comma 5 2 4 5 3" xfId="23710"/>
    <cellStyle name="20% - Accent1 3 2 4 4 3" xfId="23711"/>
    <cellStyle name="40% - Accent1 3 2 4 4 3" xfId="23712"/>
    <cellStyle name="60% - Accent1 3 2 4 4 3" xfId="23713"/>
    <cellStyle name="20% - Accent2 3 2 4 4 3" xfId="23714"/>
    <cellStyle name="40% - Accent2 3 2 4 4 3" xfId="23715"/>
    <cellStyle name="60% - Accent2 3 2 4 4 3" xfId="23716"/>
    <cellStyle name="20% - Accent3 3 2 4 4 3" xfId="23717"/>
    <cellStyle name="40% - Accent3 3 2 4 4 3" xfId="23718"/>
    <cellStyle name="60% - Accent3 3 2 4 4 3" xfId="23719"/>
    <cellStyle name="20% - Accent4 3 2 4 4 3" xfId="23720"/>
    <cellStyle name="40% - Accent4 3 2 4 4 3" xfId="23721"/>
    <cellStyle name="60% - Accent4 3 2 4 4 3" xfId="23722"/>
    <cellStyle name="20% - Accent5 3 2 4 4 3" xfId="23723"/>
    <cellStyle name="40% - Accent5 3 2 4 4 3" xfId="23724"/>
    <cellStyle name="60% - Accent5 3 2 4 4 3" xfId="23725"/>
    <cellStyle name="20% - Accent6 3 2 4 4 3" xfId="23726"/>
    <cellStyle name="40% - Accent6 3 2 4 4 3" xfId="23727"/>
    <cellStyle name="60% - Accent6 3 2 4 4 3" xfId="23728"/>
    <cellStyle name="Normal 3 2 3 2 4 4 3" xfId="23729"/>
    <cellStyle name="Normal 3 3 3 2 4 4 3" xfId="23730"/>
    <cellStyle name="Normal 3 4 3 2 4 4 3" xfId="23731"/>
    <cellStyle name="Normal 3 5 3 2 4 4 3" xfId="23732"/>
    <cellStyle name="Normal 3 2 2 2 2 4 4 3" xfId="23733"/>
    <cellStyle name="Normal 3 3 2 2 2 4 4 3" xfId="23734"/>
    <cellStyle name="Normal 3 4 2 2 2 4 4 3" xfId="23735"/>
    <cellStyle name="Normal 3 5 2 2 2 4 4 3" xfId="23736"/>
    <cellStyle name="Normal 5 2 2 4 4 3" xfId="23737"/>
    <cellStyle name="Percent 3 2 2 4 4 3" xfId="23738"/>
    <cellStyle name="Note 2 2 2 4 4 3" xfId="23739"/>
    <cellStyle name="Normal 3 6 2 2 4 4 3" xfId="23740"/>
    <cellStyle name="Comma 2 3 2 4 5 3" xfId="23741"/>
    <cellStyle name="Comma 3 2 2 4 5 3" xfId="23742"/>
    <cellStyle name="Percent 4 2 2 4 4 3" xfId="23743"/>
    <cellStyle name="Normal 3 7 2 2 4 4 3" xfId="23744"/>
    <cellStyle name="Note 3 2 2 4 4 3" xfId="23745"/>
    <cellStyle name="20% - Accent1 2 2 2 4 4 3" xfId="23746"/>
    <cellStyle name="40% - Accent1 2 2 2 4 4 3" xfId="23747"/>
    <cellStyle name="60% - Accent1 2 2 2 4 4 3" xfId="23748"/>
    <cellStyle name="20% - Accent2 2 2 2 4 4 3" xfId="23749"/>
    <cellStyle name="40% - Accent2 2 2 2 4 4 3" xfId="23750"/>
    <cellStyle name="60% - Accent2 2 2 2 4 4 3" xfId="23751"/>
    <cellStyle name="20% - Accent3 2 2 2 4 4 3" xfId="23752"/>
    <cellStyle name="40% - Accent3 2 2 2 4 4 3" xfId="23753"/>
    <cellStyle name="60% - Accent3 2 2 2 4 4 3" xfId="23754"/>
    <cellStyle name="20% - Accent4 2 2 2 4 4 3" xfId="23755"/>
    <cellStyle name="40% - Accent4 2 2 2 4 4 3" xfId="23756"/>
    <cellStyle name="60% - Accent4 2 2 2 4 4 3" xfId="23757"/>
    <cellStyle name="20% - Accent5 2 2 2 4 4 3" xfId="23758"/>
    <cellStyle name="40% - Accent5 2 2 2 4 4 3" xfId="23759"/>
    <cellStyle name="60% - Accent5 2 2 2 4 4 3" xfId="23760"/>
    <cellStyle name="20% - Accent6 2 2 2 4 4 3" xfId="23761"/>
    <cellStyle name="40% - Accent6 2 2 2 4 4 3" xfId="23762"/>
    <cellStyle name="60% - Accent6 2 2 2 4 4 3" xfId="23763"/>
    <cellStyle name="Comma 2 2 2 2 4 5 3" xfId="23764"/>
    <cellStyle name="Comma 4 2 2 4 5 3" xfId="23765"/>
    <cellStyle name="Normal 3 8 2 2 4 4 3" xfId="23766"/>
    <cellStyle name="Normal 3 10 4 4 3" xfId="23767"/>
    <cellStyle name="Normal 3 11 4 4 3" xfId="23768"/>
    <cellStyle name="Normal 12 4 3" xfId="23769"/>
    <cellStyle name="Percent 8 4 3" xfId="23770"/>
    <cellStyle name="Note 4 4 3" xfId="23771"/>
    <cellStyle name="20% - Accent1 8 4 3" xfId="23772"/>
    <cellStyle name="40% - Accent1 8 4 3" xfId="23773"/>
    <cellStyle name="60% - Accent1 8 4 3" xfId="23774"/>
    <cellStyle name="20% - Accent2 8 4 3" xfId="23775"/>
    <cellStyle name="40% - Accent2 8 4 3" xfId="23776"/>
    <cellStyle name="60% - Accent2 8 4 3" xfId="23777"/>
    <cellStyle name="20% - Accent3 8 4 3" xfId="23778"/>
    <cellStyle name="40% - Accent3 8 4 3" xfId="23779"/>
    <cellStyle name="60% - Accent3 8 4 3" xfId="23780"/>
    <cellStyle name="20% - Accent4 8 4 3" xfId="23781"/>
    <cellStyle name="40% - Accent4 8 4 3" xfId="23782"/>
    <cellStyle name="60% - Accent4 8 4 3" xfId="23783"/>
    <cellStyle name="20% - Accent5 8 4 3" xfId="23784"/>
    <cellStyle name="40% - Accent5 8 4 3" xfId="23785"/>
    <cellStyle name="60% - Accent5 8 4 3" xfId="23786"/>
    <cellStyle name="20% - Accent6 8 4 3" xfId="23787"/>
    <cellStyle name="40% - Accent6 8 4 3" xfId="23788"/>
    <cellStyle name="60% - Accent6 8 4 3" xfId="23789"/>
    <cellStyle name="Comma 2 9 5 3" xfId="23790"/>
    <cellStyle name="Comma 7 5 3" xfId="23791"/>
    <cellStyle name="Normal 13 6 3" xfId="23792"/>
    <cellStyle name="Comma 8 4 3" xfId="23793"/>
    <cellStyle name="20% - Accent1 9 4 3" xfId="23794"/>
    <cellStyle name="40% - Accent1 9 4 3" xfId="23795"/>
    <cellStyle name="60% - Accent1 9 4 3" xfId="23796"/>
    <cellStyle name="20% - Accent2 9 4 3" xfId="23797"/>
    <cellStyle name="40% - Accent2 9 4 3" xfId="23798"/>
    <cellStyle name="60% - Accent2 9 4 3" xfId="23799"/>
    <cellStyle name="20% - Accent3 9 4 3" xfId="23800"/>
    <cellStyle name="40% - Accent3 9 4 3" xfId="23801"/>
    <cellStyle name="60% - Accent3 9 4 3" xfId="23802"/>
    <cellStyle name="20% - Accent4 9 4 3" xfId="23803"/>
    <cellStyle name="40% - Accent4 9 4 3" xfId="23804"/>
    <cellStyle name="60% - Accent4 9 4 3" xfId="23805"/>
    <cellStyle name="20% - Accent5 9 4 3" xfId="23806"/>
    <cellStyle name="40% - Accent5 9 4 3" xfId="23807"/>
    <cellStyle name="60% - Accent5 9 4 3" xfId="23808"/>
    <cellStyle name="20% - Accent6 9 4 3" xfId="23809"/>
    <cellStyle name="40% - Accent6 9 4 3" xfId="23810"/>
    <cellStyle name="60% - Accent6 9 4 3" xfId="23811"/>
    <cellStyle name="Normal 3 2 8 4 3" xfId="23812"/>
    <cellStyle name="Normal 3 3 8 4 3" xfId="23813"/>
    <cellStyle name="Normal 3 4 8 4 3" xfId="23814"/>
    <cellStyle name="Normal 3 5 8 4 3" xfId="23815"/>
    <cellStyle name="Normal 3 2 2 7 4 3" xfId="23816"/>
    <cellStyle name="Normal 3 3 2 7 4 3" xfId="23817"/>
    <cellStyle name="Normal 3 4 2 7 4 3" xfId="23818"/>
    <cellStyle name="Normal 3 5 2 7 4 3" xfId="23819"/>
    <cellStyle name="Normal 5 7 4 3" xfId="23820"/>
    <cellStyle name="Percent 3 7 4 3" xfId="23821"/>
    <cellStyle name="Note 2 7 4 3" xfId="23822"/>
    <cellStyle name="Normal 3 6 7 4 3" xfId="23823"/>
    <cellStyle name="Comma 2 10 4 3" xfId="23824"/>
    <cellStyle name="Comma 3 9 4 3" xfId="23825"/>
    <cellStyle name="Percent 4 7 4 3" xfId="23826"/>
    <cellStyle name="Normal 3 7 7 4 3" xfId="23827"/>
    <cellStyle name="Note 3 7 4 3" xfId="23828"/>
    <cellStyle name="20% - Accent1 2 7 4 3" xfId="23829"/>
    <cellStyle name="40% - Accent1 2 7 4 3" xfId="23830"/>
    <cellStyle name="60% - Accent1 2 7 4 3" xfId="23831"/>
    <cellStyle name="20% - Accent2 2 7 4 3" xfId="23832"/>
    <cellStyle name="40% - Accent2 2 7 4 3" xfId="23833"/>
    <cellStyle name="60% - Accent2 2 7 4 3" xfId="23834"/>
    <cellStyle name="20% - Accent3 2 7 4 3" xfId="23835"/>
    <cellStyle name="40% - Accent3 2 7 4 3" xfId="23836"/>
    <cellStyle name="60% - Accent3 2 7 4 3" xfId="23837"/>
    <cellStyle name="20% - Accent4 2 7 4 3" xfId="23838"/>
    <cellStyle name="40% - Accent4 2 7 4 3" xfId="23839"/>
    <cellStyle name="60% - Accent4 2 7 4 3" xfId="23840"/>
    <cellStyle name="20% - Accent5 2 7 4 3" xfId="23841"/>
    <cellStyle name="40% - Accent5 2 7 4 3" xfId="23842"/>
    <cellStyle name="60% - Accent5 2 7 4 3" xfId="23843"/>
    <cellStyle name="20% - Accent6 2 7 4 3" xfId="23844"/>
    <cellStyle name="40% - Accent6 2 7 4 3" xfId="23845"/>
    <cellStyle name="60% - Accent6 2 7 4 3" xfId="23846"/>
    <cellStyle name="Comma 2 2 8 4 3" xfId="23847"/>
    <cellStyle name="Comma 4 8 4 3" xfId="23848"/>
    <cellStyle name="Normal 3 8 7 4 3" xfId="23849"/>
    <cellStyle name="Comma 2 4 5 4 3" xfId="23850"/>
    <cellStyle name="Comma 3 3 5 4 3" xfId="23851"/>
    <cellStyle name="Comma 2 2 3 5 4 3" xfId="23852"/>
    <cellStyle name="Comma 4 3 5 4 3" xfId="23853"/>
    <cellStyle name="Normal 7 6 4 3" xfId="23854"/>
    <cellStyle name="Comma 5 6 4 3" xfId="23855"/>
    <cellStyle name="20% - Accent1 3 6 4 3" xfId="23856"/>
    <cellStyle name="40% - Accent1 3 6 4 3" xfId="23857"/>
    <cellStyle name="60% - Accent1 3 6 4 3" xfId="23858"/>
    <cellStyle name="20% - Accent2 3 6 4 3" xfId="23859"/>
    <cellStyle name="40% - Accent2 3 6 4 3" xfId="23860"/>
    <cellStyle name="60% - Accent2 3 6 4 3" xfId="23861"/>
    <cellStyle name="20% - Accent3 3 6 4 3" xfId="23862"/>
    <cellStyle name="40% - Accent3 3 6 4 3" xfId="23863"/>
    <cellStyle name="60% - Accent3 3 6 4 3" xfId="23864"/>
    <cellStyle name="20% - Accent4 3 6 4 3" xfId="23865"/>
    <cellStyle name="40% - Accent4 3 6 4 3" xfId="23866"/>
    <cellStyle name="60% - Accent4 3 6 4 3" xfId="23867"/>
    <cellStyle name="20% - Accent5 3 6 4 3" xfId="23868"/>
    <cellStyle name="40% - Accent5 3 6 4 3" xfId="23869"/>
    <cellStyle name="60% - Accent5 3 6 4 3" xfId="23870"/>
    <cellStyle name="20% - Accent6 3 6 4 3" xfId="23871"/>
    <cellStyle name="40% - Accent6 3 6 4 3" xfId="23872"/>
    <cellStyle name="60% - Accent6 3 6 4 3" xfId="23873"/>
    <cellStyle name="Normal 3 2 3 6 4 3" xfId="23874"/>
    <cellStyle name="Normal 3 3 3 6 4 3" xfId="23875"/>
    <cellStyle name="Normal 3 4 3 6 4 3" xfId="23876"/>
    <cellStyle name="Normal 3 5 3 6 4 3" xfId="23877"/>
    <cellStyle name="Normal 3 2 2 2 6 4 3" xfId="23878"/>
    <cellStyle name="Normal 3 3 2 2 6 4 3" xfId="23879"/>
    <cellStyle name="Normal 3 4 2 2 6 4 3" xfId="23880"/>
    <cellStyle name="Normal 3 5 2 2 6 4 3" xfId="23881"/>
    <cellStyle name="Normal 5 2 6 4 3" xfId="23882"/>
    <cellStyle name="Percent 3 2 6 4 3" xfId="23883"/>
    <cellStyle name="Note 2 2 6 4 3" xfId="23884"/>
    <cellStyle name="Normal 3 6 2 6 4 3" xfId="23885"/>
    <cellStyle name="Comma 2 3 6 4 3" xfId="23886"/>
    <cellStyle name="Comma 3 2 6 4 3" xfId="23887"/>
    <cellStyle name="Percent 4 2 6 4 3" xfId="23888"/>
    <cellStyle name="Normal 3 7 2 6 4 3" xfId="23889"/>
    <cellStyle name="Note 3 2 6 4 3" xfId="23890"/>
    <cellStyle name="20% - Accent1 2 2 6 4 3" xfId="23891"/>
    <cellStyle name="40% - Accent1 2 2 6 4 3" xfId="23892"/>
    <cellStyle name="60% - Accent1 2 2 6 4 3" xfId="23893"/>
    <cellStyle name="20% - Accent2 2 2 6 4 3" xfId="23894"/>
    <cellStyle name="40% - Accent2 2 2 6 4 3" xfId="23895"/>
    <cellStyle name="60% - Accent2 2 2 6 4 3" xfId="23896"/>
    <cellStyle name="20% - Accent3 2 2 6 4 3" xfId="23897"/>
    <cellStyle name="40% - Accent3 2 2 6 4 3" xfId="23898"/>
    <cellStyle name="60% - Accent3 2 2 6 4 3" xfId="23899"/>
    <cellStyle name="20% - Accent4 2 2 6 4 3" xfId="23900"/>
    <cellStyle name="40% - Accent4 2 2 6 4 3" xfId="23901"/>
    <cellStyle name="60% - Accent4 2 2 6 4 3" xfId="23902"/>
    <cellStyle name="20% - Accent5 2 2 6 4 3" xfId="23903"/>
    <cellStyle name="40% - Accent5 2 2 6 4 3" xfId="23904"/>
    <cellStyle name="60% - Accent5 2 2 6 4 3" xfId="23905"/>
    <cellStyle name="20% - Accent6 2 2 6 4 3" xfId="23906"/>
    <cellStyle name="40% - Accent6 2 2 6 4 3" xfId="23907"/>
    <cellStyle name="60% - Accent6 2 2 6 4 3" xfId="23908"/>
    <cellStyle name="Comma 2 2 2 6 4 3" xfId="23909"/>
    <cellStyle name="Comma 4 2 6 4 3" xfId="23910"/>
    <cellStyle name="Normal 3 8 2 6 4 3" xfId="23911"/>
    <cellStyle name="20% - Accent1 10 3 3" xfId="23912"/>
    <cellStyle name="40% - Accent1 10 3 3" xfId="23913"/>
    <cellStyle name="60% - Accent1 10 3 3" xfId="23914"/>
    <cellStyle name="20% - Accent2 10 3 3" xfId="23915"/>
    <cellStyle name="40% - Accent2 10 3 3" xfId="23916"/>
    <cellStyle name="60% - Accent2 10 3 3" xfId="23917"/>
    <cellStyle name="20% - Accent3 10 3 3" xfId="23918"/>
    <cellStyle name="40% - Accent3 10 3 3" xfId="23919"/>
    <cellStyle name="60% - Accent3 10 3 3" xfId="23920"/>
    <cellStyle name="20% - Accent4 10 3 3" xfId="23921"/>
    <cellStyle name="40% - Accent4 10 3 3" xfId="23922"/>
    <cellStyle name="60% - Accent4 10 3 3" xfId="23923"/>
    <cellStyle name="20% - Accent5 10 3 3" xfId="23924"/>
    <cellStyle name="40% - Accent5 10 3 3" xfId="23925"/>
    <cellStyle name="60% - Accent5 10 3 3" xfId="23926"/>
    <cellStyle name="20% - Accent6 10 3 3" xfId="23927"/>
    <cellStyle name="40% - Accent6 10 3 3" xfId="23928"/>
    <cellStyle name="60% - Accent6 10 3 3" xfId="23929"/>
    <cellStyle name="Normal 3 2 9 3 3" xfId="23930"/>
    <cellStyle name="Normal 3 3 9 3 3" xfId="23931"/>
    <cellStyle name="Normal 3 4 9 3 3" xfId="23932"/>
    <cellStyle name="Normal 3 5 9 3 3" xfId="23933"/>
    <cellStyle name="Normal 3 2 2 8 3 3" xfId="23934"/>
    <cellStyle name="Normal 3 3 2 8 3 3" xfId="23935"/>
    <cellStyle name="Normal 3 4 2 8 3 3" xfId="23936"/>
    <cellStyle name="Normal 3 5 2 8 3 3" xfId="23937"/>
    <cellStyle name="Normal 5 8 3 3" xfId="23938"/>
    <cellStyle name="Percent 3 8 3 3" xfId="23939"/>
    <cellStyle name="Note 2 8 3 3" xfId="23940"/>
    <cellStyle name="Normal 3 6 8 3 3" xfId="23941"/>
    <cellStyle name="Comma 2 12 3 3" xfId="23942"/>
    <cellStyle name="Comma 3 11 3 3" xfId="23943"/>
    <cellStyle name="Percent 4 8 3 3" xfId="23944"/>
    <cellStyle name="Normal 3 7 8 3 3" xfId="23945"/>
    <cellStyle name="Note 3 8 3 3" xfId="23946"/>
    <cellStyle name="20% - Accent1 2 8 3 3" xfId="23947"/>
    <cellStyle name="40% - Accent1 2 8 3 3" xfId="23948"/>
    <cellStyle name="60% - Accent1 2 8 3 3" xfId="23949"/>
    <cellStyle name="20% - Accent2 2 8 3 3" xfId="23950"/>
    <cellStyle name="40% - Accent2 2 8 3 3" xfId="23951"/>
    <cellStyle name="60% - Accent2 2 8 3 3" xfId="23952"/>
    <cellStyle name="20% - Accent3 2 8 3 3" xfId="23953"/>
    <cellStyle name="40% - Accent3 2 8 3 3" xfId="23954"/>
    <cellStyle name="60% - Accent3 2 8 3 3" xfId="23955"/>
    <cellStyle name="20% - Accent4 2 8 3 3" xfId="23956"/>
    <cellStyle name="40% - Accent4 2 8 3 3" xfId="23957"/>
    <cellStyle name="60% - Accent4 2 8 3 3" xfId="23958"/>
    <cellStyle name="20% - Accent5 2 8 3 3" xfId="23959"/>
    <cellStyle name="40% - Accent5 2 8 3 3" xfId="23960"/>
    <cellStyle name="60% - Accent5 2 8 3 3" xfId="23961"/>
    <cellStyle name="20% - Accent6 2 8 3 3" xfId="23962"/>
    <cellStyle name="40% - Accent6 2 8 3 3" xfId="23963"/>
    <cellStyle name="60% - Accent6 2 8 3 3" xfId="23964"/>
    <cellStyle name="Comma 2 2 10 3 3" xfId="23965"/>
    <cellStyle name="Comma 4 10 3 3" xfId="23966"/>
    <cellStyle name="Normal 3 8 8 3 3" xfId="23967"/>
    <cellStyle name="Normal 7 7 3 3" xfId="23968"/>
    <cellStyle name="Comma 5 8 3 3" xfId="23969"/>
    <cellStyle name="20% - Accent1 3 7 3 3" xfId="23970"/>
    <cellStyle name="40% - Accent1 3 7 3 3" xfId="23971"/>
    <cellStyle name="60% - Accent1 3 7 3 3" xfId="23972"/>
    <cellStyle name="20% - Accent2 3 7 3 3" xfId="23973"/>
    <cellStyle name="40% - Accent2 3 7 3 3" xfId="23974"/>
    <cellStyle name="60% - Accent2 3 7 3 3" xfId="23975"/>
    <cellStyle name="20% - Accent3 3 7 3 3" xfId="23976"/>
    <cellStyle name="40% - Accent3 3 7 3 3" xfId="23977"/>
    <cellStyle name="60% - Accent3 3 7 3 3" xfId="23978"/>
    <cellStyle name="20% - Accent4 3 7 3 3" xfId="23979"/>
    <cellStyle name="40% - Accent4 3 7 3 3" xfId="23980"/>
    <cellStyle name="60% - Accent4 3 7 3 3" xfId="23981"/>
    <cellStyle name="20% - Accent5 3 7 3 3" xfId="23982"/>
    <cellStyle name="40% - Accent5 3 7 3 3" xfId="23983"/>
    <cellStyle name="60% - Accent5 3 7 3 3" xfId="23984"/>
    <cellStyle name="20% - Accent6 3 7 3 3" xfId="23985"/>
    <cellStyle name="40% - Accent6 3 7 3 3" xfId="23986"/>
    <cellStyle name="60% - Accent6 3 7 3 3" xfId="23987"/>
    <cellStyle name="Normal 3 2 3 7 3 3" xfId="23988"/>
    <cellStyle name="Normal 3 3 3 7 3 3" xfId="23989"/>
    <cellStyle name="Normal 3 4 3 7 3 3" xfId="23990"/>
    <cellStyle name="Normal 3 5 3 7 3 3" xfId="23991"/>
    <cellStyle name="Normal 3 2 2 2 7 3 3" xfId="23992"/>
    <cellStyle name="Normal 3 3 2 2 7 3 3" xfId="23993"/>
    <cellStyle name="Normal 3 4 2 2 7 3 3" xfId="23994"/>
    <cellStyle name="Normal 3 5 2 2 7 3 3" xfId="23995"/>
    <cellStyle name="Normal 5 2 7 3 3" xfId="23996"/>
    <cellStyle name="Percent 3 2 7 3 3" xfId="23997"/>
    <cellStyle name="Note 2 2 7 3 3" xfId="23998"/>
    <cellStyle name="Normal 3 6 2 7 3 3" xfId="23999"/>
    <cellStyle name="Comma 2 3 8 3 3" xfId="24000"/>
    <cellStyle name="Comma 3 2 8 3 3" xfId="24001"/>
    <cellStyle name="Percent 4 2 7 3 3" xfId="24002"/>
    <cellStyle name="Normal 3 7 2 7 3 3" xfId="24003"/>
    <cellStyle name="Note 3 2 7 3 3" xfId="24004"/>
    <cellStyle name="20% - Accent1 2 2 7 3 3" xfId="24005"/>
    <cellStyle name="40% - Accent1 2 2 7 3 3" xfId="24006"/>
    <cellStyle name="60% - Accent1 2 2 7 3 3" xfId="24007"/>
    <cellStyle name="20% - Accent2 2 2 7 3 3" xfId="24008"/>
    <cellStyle name="40% - Accent2 2 2 7 3 3" xfId="24009"/>
    <cellStyle name="60% - Accent2 2 2 7 3 3" xfId="24010"/>
    <cellStyle name="20% - Accent3 2 2 7 3 3" xfId="24011"/>
    <cellStyle name="40% - Accent3 2 2 7 3 3" xfId="24012"/>
    <cellStyle name="60% - Accent3 2 2 7 3 3" xfId="24013"/>
    <cellStyle name="20% - Accent4 2 2 7 3 3" xfId="24014"/>
    <cellStyle name="40% - Accent4 2 2 7 3 3" xfId="24015"/>
    <cellStyle name="60% - Accent4 2 2 7 3 3" xfId="24016"/>
    <cellStyle name="20% - Accent5 2 2 7 3 3" xfId="24017"/>
    <cellStyle name="40% - Accent5 2 2 7 3 3" xfId="24018"/>
    <cellStyle name="60% - Accent5 2 2 7 3 3" xfId="24019"/>
    <cellStyle name="20% - Accent6 2 2 7 3 3" xfId="24020"/>
    <cellStyle name="40% - Accent6 2 2 7 3 3" xfId="24021"/>
    <cellStyle name="60% - Accent6 2 2 7 3 3" xfId="24022"/>
    <cellStyle name="Comma 2 2 2 8 3 3" xfId="24023"/>
    <cellStyle name="Comma 4 2 8 3 3" xfId="24024"/>
    <cellStyle name="Normal 3 8 2 7 3 3" xfId="24025"/>
    <cellStyle name="Normal 8 5 3 3" xfId="24026"/>
    <cellStyle name="Comma 6 6 3 3" xfId="24027"/>
    <cellStyle name="20% - Accent1 4 5 3 3" xfId="24028"/>
    <cellStyle name="40% - Accent1 4 5 3 3" xfId="24029"/>
    <cellStyle name="60% - Accent1 4 5 3 3" xfId="24030"/>
    <cellStyle name="20% - Accent2 4 5 3 3" xfId="24031"/>
    <cellStyle name="40% - Accent2 4 5 3 3" xfId="24032"/>
    <cellStyle name="60% - Accent2 4 5 3 3" xfId="24033"/>
    <cellStyle name="20% - Accent3 4 5 3 3" xfId="24034"/>
    <cellStyle name="40% - Accent3 4 5 3 3" xfId="24035"/>
    <cellStyle name="60% - Accent3 4 5 3 3" xfId="24036"/>
    <cellStyle name="20% - Accent4 4 5 3 3" xfId="24037"/>
    <cellStyle name="40% - Accent4 4 5 3 3" xfId="24038"/>
    <cellStyle name="60% - Accent4 4 5 3 3" xfId="24039"/>
    <cellStyle name="20% - Accent5 4 5 3 3" xfId="24040"/>
    <cellStyle name="40% - Accent5 4 5 3 3" xfId="24041"/>
    <cellStyle name="60% - Accent5 4 5 3 3" xfId="24042"/>
    <cellStyle name="20% - Accent6 4 5 3 3" xfId="24043"/>
    <cellStyle name="40% - Accent6 4 5 3 3" xfId="24044"/>
    <cellStyle name="60% - Accent6 4 5 3 3" xfId="24045"/>
    <cellStyle name="Normal 3 2 4 5 3 3" xfId="24046"/>
    <cellStyle name="Normal 3 3 4 5 3 3" xfId="24047"/>
    <cellStyle name="Normal 3 4 4 5 3 3" xfId="24048"/>
    <cellStyle name="Normal 3 5 4 5 3 3" xfId="24049"/>
    <cellStyle name="Normal 3 2 2 3 5 3 3" xfId="24050"/>
    <cellStyle name="Normal 3 3 2 3 5 3 3" xfId="24051"/>
    <cellStyle name="Normal 3 4 2 3 5 3 3" xfId="24052"/>
    <cellStyle name="Normal 3 5 2 3 5 3 3" xfId="24053"/>
    <cellStyle name="Normal 5 3 5 3 3" xfId="24054"/>
    <cellStyle name="Percent 3 3 5 3 3" xfId="24055"/>
    <cellStyle name="Note 2 3 5 3 3" xfId="24056"/>
    <cellStyle name="Normal 3 6 3 5 3 3" xfId="24057"/>
    <cellStyle name="Comma 2 5 6 3 3" xfId="24058"/>
    <cellStyle name="Comma 3 4 6 3 3" xfId="24059"/>
    <cellStyle name="Percent 4 3 5 3 3" xfId="24060"/>
    <cellStyle name="Normal 3 7 3 5 3 3" xfId="24061"/>
    <cellStyle name="Note 3 3 5 3 3" xfId="24062"/>
    <cellStyle name="20% - Accent1 2 3 5 3 3" xfId="24063"/>
    <cellStyle name="40% - Accent1 2 3 5 3 3" xfId="24064"/>
    <cellStyle name="60% - Accent1 2 3 5 3 3" xfId="24065"/>
    <cellStyle name="20% - Accent2 2 3 5 3 3" xfId="24066"/>
    <cellStyle name="40% - Accent2 2 3 5 3 3" xfId="24067"/>
    <cellStyle name="60% - Accent2 2 3 5 3 3" xfId="24068"/>
    <cellStyle name="20% - Accent3 2 3 5 3 3" xfId="24069"/>
    <cellStyle name="40% - Accent3 2 3 5 3 3" xfId="24070"/>
    <cellStyle name="60% - Accent3 2 3 5 3 3" xfId="24071"/>
    <cellStyle name="20% - Accent4 2 3 5 3 3" xfId="24072"/>
    <cellStyle name="40% - Accent4 2 3 5 3 3" xfId="24073"/>
    <cellStyle name="60% - Accent4 2 3 5 3 3" xfId="24074"/>
    <cellStyle name="20% - Accent5 2 3 5 3 3" xfId="24075"/>
    <cellStyle name="40% - Accent5 2 3 5 3 3" xfId="24076"/>
    <cellStyle name="60% - Accent5 2 3 5 3 3" xfId="24077"/>
    <cellStyle name="20% - Accent6 2 3 5 3 3" xfId="24078"/>
    <cellStyle name="40% - Accent6 2 3 5 3 3" xfId="24079"/>
    <cellStyle name="60% - Accent6 2 3 5 3 3" xfId="24080"/>
    <cellStyle name="Comma 2 2 4 6 3 3" xfId="24081"/>
    <cellStyle name="Comma 4 4 6 3 3" xfId="24082"/>
    <cellStyle name="Normal 3 8 3 5 3 3" xfId="24083"/>
    <cellStyle name="Comma 2 4 7 3 3" xfId="24084"/>
    <cellStyle name="Comma 3 3 7 3 3" xfId="24085"/>
    <cellStyle name="Comma 2 2 3 7 3 3" xfId="24086"/>
    <cellStyle name="Comma 4 3 7 3 3" xfId="24087"/>
    <cellStyle name="Normal 7 2 5 3 3" xfId="24088"/>
    <cellStyle name="Comma 5 2 6 3 3" xfId="24089"/>
    <cellStyle name="20% - Accent1 3 2 5 3 3" xfId="24090"/>
    <cellStyle name="40% - Accent1 3 2 5 3 3" xfId="24091"/>
    <cellStyle name="60% - Accent1 3 2 5 3 3" xfId="24092"/>
    <cellStyle name="20% - Accent2 3 2 5 3 3" xfId="24093"/>
    <cellStyle name="40% - Accent2 3 2 5 3 3" xfId="24094"/>
    <cellStyle name="60% - Accent2 3 2 5 3 3" xfId="24095"/>
    <cellStyle name="20% - Accent3 3 2 5 3 3" xfId="24096"/>
    <cellStyle name="40% - Accent3 3 2 5 3 3" xfId="24097"/>
    <cellStyle name="60% - Accent3 3 2 5 3 3" xfId="24098"/>
    <cellStyle name="20% - Accent4 3 2 5 3 3" xfId="24099"/>
    <cellStyle name="40% - Accent4 3 2 5 3 3" xfId="24100"/>
    <cellStyle name="60% - Accent4 3 2 5 3 3" xfId="24101"/>
    <cellStyle name="20% - Accent5 3 2 5 3 3" xfId="24102"/>
    <cellStyle name="40% - Accent5 3 2 5 3 3" xfId="24103"/>
    <cellStyle name="60% - Accent5 3 2 5 3 3" xfId="24104"/>
    <cellStyle name="20% - Accent6 3 2 5 3 3" xfId="24105"/>
    <cellStyle name="40% - Accent6 3 2 5 3 3" xfId="24106"/>
    <cellStyle name="60% - Accent6 3 2 5 3 3" xfId="24107"/>
    <cellStyle name="Normal 3 2 3 2 5 3 3" xfId="24108"/>
    <cellStyle name="Normal 3 3 3 2 5 3 3" xfId="24109"/>
    <cellStyle name="Normal 3 4 3 2 5 3 3" xfId="24110"/>
    <cellStyle name="Normal 3 5 3 2 5 3 3" xfId="24111"/>
    <cellStyle name="Normal 3 2 2 2 2 5 3 3" xfId="24112"/>
    <cellStyle name="Normal 3 3 2 2 2 5 3 3" xfId="24113"/>
    <cellStyle name="Normal 3 4 2 2 2 5 3 3" xfId="24114"/>
    <cellStyle name="Normal 3 5 2 2 2 5 3 3" xfId="24115"/>
    <cellStyle name="Normal 5 2 2 5 3 3" xfId="24116"/>
    <cellStyle name="Percent 3 2 2 5 3 3" xfId="24117"/>
    <cellStyle name="Note 2 2 2 5 3 3" xfId="24118"/>
    <cellStyle name="Normal 3 6 2 2 5 3 3" xfId="24119"/>
    <cellStyle name="Comma 2 3 2 6 3 3" xfId="24120"/>
    <cellStyle name="Comma 3 2 2 6 3 3" xfId="24121"/>
    <cellStyle name="Percent 4 2 2 5 3 3" xfId="24122"/>
    <cellStyle name="Normal 3 7 2 2 5 3 3" xfId="24123"/>
    <cellStyle name="Note 3 2 2 5 3 3" xfId="24124"/>
    <cellStyle name="20% - Accent1 2 2 2 5 3 3" xfId="24125"/>
    <cellStyle name="40% - Accent1 2 2 2 5 3 3" xfId="24126"/>
    <cellStyle name="60% - Accent1 2 2 2 5 3 3" xfId="24127"/>
    <cellStyle name="20% - Accent2 2 2 2 5 3 3" xfId="24128"/>
    <cellStyle name="40% - Accent2 2 2 2 5 3 3" xfId="24129"/>
    <cellStyle name="60% - Accent2 2 2 2 5 3 3" xfId="24130"/>
    <cellStyle name="20% - Accent3 2 2 2 5 3 3" xfId="24131"/>
    <cellStyle name="40% - Accent3 2 2 2 5 3 3" xfId="24132"/>
    <cellStyle name="60% - Accent3 2 2 2 5 3 3" xfId="24133"/>
    <cellStyle name="20% - Accent4 2 2 2 5 3 3" xfId="24134"/>
    <cellStyle name="40% - Accent4 2 2 2 5 3 3" xfId="24135"/>
    <cellStyle name="60% - Accent4 2 2 2 5 3 3" xfId="24136"/>
    <cellStyle name="20% - Accent5 2 2 2 5 3 3" xfId="24137"/>
    <cellStyle name="40% - Accent5 2 2 2 5 3 3" xfId="24138"/>
    <cellStyle name="60% - Accent5 2 2 2 5 3 3" xfId="24139"/>
    <cellStyle name="20% - Accent6 2 2 2 5 3 3" xfId="24140"/>
    <cellStyle name="40% - Accent6 2 2 2 5 3 3" xfId="24141"/>
    <cellStyle name="60% - Accent6 2 2 2 5 3 3" xfId="24142"/>
    <cellStyle name="Comma 2 2 2 2 6 3 3" xfId="24143"/>
    <cellStyle name="Comma 4 2 2 6 3 3" xfId="24144"/>
    <cellStyle name="Normal 3 8 2 2 5 3 3" xfId="24145"/>
    <cellStyle name="Normal 3 10 5 3 3" xfId="24146"/>
    <cellStyle name="Normal 3 11 5 3 3" xfId="24147"/>
    <cellStyle name="Normal 3 12 3 3 3" xfId="24148"/>
    <cellStyle name="Normal 3 2 5 3 3 3" xfId="24149"/>
    <cellStyle name="Normal 3 3 5 3 3 3" xfId="24150"/>
    <cellStyle name="Normal 3 4 5 3 3 3" xfId="24151"/>
    <cellStyle name="Normal 3 5 5 3 3 3" xfId="24152"/>
    <cellStyle name="20% - Accent1 5 3 3 3" xfId="24153"/>
    <cellStyle name="40% - Accent1 5 3 3 3" xfId="24154"/>
    <cellStyle name="60% - Accent1 5 3 3 3" xfId="24155"/>
    <cellStyle name="20% - Accent2 5 3 3 3" xfId="24156"/>
    <cellStyle name="40% - Accent2 5 3 3 3" xfId="24157"/>
    <cellStyle name="60% - Accent2 5 3 3 3" xfId="24158"/>
    <cellStyle name="20% - Accent3 5 3 3 3" xfId="24159"/>
    <cellStyle name="40% - Accent3 5 3 3 3" xfId="24160"/>
    <cellStyle name="60% - Accent3 5 3 3 3" xfId="24161"/>
    <cellStyle name="20% - Accent4 5 3 3 3" xfId="24162"/>
    <cellStyle name="40% - Accent4 5 3 3 3" xfId="24163"/>
    <cellStyle name="60% - Accent4 5 3 3 3" xfId="24164"/>
    <cellStyle name="20% - Accent5 5 3 3 3" xfId="24165"/>
    <cellStyle name="40% - Accent5 5 3 3 3" xfId="24166"/>
    <cellStyle name="60% - Accent5 5 3 3 3" xfId="24167"/>
    <cellStyle name="20% - Accent6 5 3 3 3" xfId="24168"/>
    <cellStyle name="40% - Accent6 5 3 3 3" xfId="24169"/>
    <cellStyle name="60% - Accent6 5 3 3 3" xfId="24170"/>
    <cellStyle name="Normal 3 2 2 4 3 3 3" xfId="24171"/>
    <cellStyle name="Normal 3 3 2 4 3 3 3" xfId="24172"/>
    <cellStyle name="Normal 3 4 2 4 3 3 3" xfId="24173"/>
    <cellStyle name="Normal 3 5 2 4 3 3 3" xfId="24174"/>
    <cellStyle name="Normal 5 4 3 3 3" xfId="24175"/>
    <cellStyle name="Percent 3 4 3 3 3" xfId="24176"/>
    <cellStyle name="Note 2 4 3 3 3" xfId="24177"/>
    <cellStyle name="Normal 3 6 4 3 3 3" xfId="24178"/>
    <cellStyle name="Comma 2 6 4 3 3" xfId="24179"/>
    <cellStyle name="Comma 3 5 4 3 3" xfId="24180"/>
    <cellStyle name="Percent 4 4 3 3 3" xfId="24181"/>
    <cellStyle name="Normal 3 7 4 3 3 3" xfId="24182"/>
    <cellStyle name="Note 3 4 3 3 3" xfId="24183"/>
    <cellStyle name="20% - Accent1 2 4 3 3 3" xfId="24184"/>
    <cellStyle name="40% - Accent1 2 4 3 3 3" xfId="24185"/>
    <cellStyle name="60% - Accent1 2 4 3 3 3" xfId="24186"/>
    <cellStyle name="20% - Accent2 2 4 3 3 3" xfId="24187"/>
    <cellStyle name="40% - Accent2 2 4 3 3 3" xfId="24188"/>
    <cellStyle name="60% - Accent2 2 4 3 3 3" xfId="24189"/>
    <cellStyle name="20% - Accent3 2 4 3 3 3" xfId="24190"/>
    <cellStyle name="40% - Accent3 2 4 3 3 3" xfId="24191"/>
    <cellStyle name="60% - Accent3 2 4 3 3 3" xfId="24192"/>
    <cellStyle name="20% - Accent4 2 4 3 3 3" xfId="24193"/>
    <cellStyle name="40% - Accent4 2 4 3 3 3" xfId="24194"/>
    <cellStyle name="60% - Accent4 2 4 3 3 3" xfId="24195"/>
    <cellStyle name="20% - Accent5 2 4 3 3 3" xfId="24196"/>
    <cellStyle name="40% - Accent5 2 4 3 3 3" xfId="24197"/>
    <cellStyle name="60% - Accent5 2 4 3 3 3" xfId="24198"/>
    <cellStyle name="20% - Accent6 2 4 3 3 3" xfId="24199"/>
    <cellStyle name="40% - Accent6 2 4 3 3 3" xfId="24200"/>
    <cellStyle name="60% - Accent6 2 4 3 3 3" xfId="24201"/>
    <cellStyle name="Comma 2 2 5 4 3 3" xfId="24202"/>
    <cellStyle name="Comma 4 5 4 3 3" xfId="24203"/>
    <cellStyle name="Normal 3 8 4 3 3 3" xfId="24204"/>
    <cellStyle name="Normal 7 3 3 3 3" xfId="24205"/>
    <cellStyle name="Comma 5 3 4 3 3" xfId="24206"/>
    <cellStyle name="20% - Accent1 3 3 3 3 3" xfId="24207"/>
    <cellStyle name="40% - Accent1 3 3 3 3 3" xfId="24208"/>
    <cellStyle name="60% - Accent1 3 3 3 3 3" xfId="24209"/>
    <cellStyle name="20% - Accent2 3 3 3 3 3" xfId="24210"/>
    <cellStyle name="40% - Accent2 3 3 3 3 3" xfId="24211"/>
    <cellStyle name="60% - Accent2 3 3 3 3 3" xfId="24212"/>
    <cellStyle name="20% - Accent3 3 3 3 3 3" xfId="24213"/>
    <cellStyle name="40% - Accent3 3 3 3 3 3" xfId="24214"/>
    <cellStyle name="60% - Accent3 3 3 3 3 3" xfId="24215"/>
    <cellStyle name="20% - Accent4 3 3 3 3 3" xfId="24216"/>
    <cellStyle name="40% - Accent4 3 3 3 3 3" xfId="24217"/>
    <cellStyle name="60% - Accent4 3 3 3 3 3" xfId="24218"/>
    <cellStyle name="20% - Accent5 3 3 3 3 3" xfId="24219"/>
    <cellStyle name="40% - Accent5 3 3 3 3 3" xfId="24220"/>
    <cellStyle name="60% - Accent5 3 3 3 3 3" xfId="24221"/>
    <cellStyle name="20% - Accent6 3 3 3 3 3" xfId="24222"/>
    <cellStyle name="40% - Accent6 3 3 3 3 3" xfId="24223"/>
    <cellStyle name="60% - Accent6 3 3 3 3 3" xfId="24224"/>
    <cellStyle name="Normal 3 2 3 3 3 3 3" xfId="24225"/>
    <cellStyle name="Normal 3 3 3 3 3 3 3" xfId="24226"/>
    <cellStyle name="Normal 3 4 3 3 3 3 3" xfId="24227"/>
    <cellStyle name="Normal 3 5 3 3 3 3 3" xfId="24228"/>
    <cellStyle name="Normal 3 2 2 2 3 3 3 3" xfId="24229"/>
    <cellStyle name="Normal 3 3 2 2 3 3 3 3" xfId="24230"/>
    <cellStyle name="Normal 3 4 2 2 3 3 3 3" xfId="24231"/>
    <cellStyle name="Normal 3 5 2 2 3 3 3 3" xfId="24232"/>
    <cellStyle name="Normal 5 2 3 3 3 3" xfId="24233"/>
    <cellStyle name="Percent 3 2 3 3 3 3" xfId="24234"/>
    <cellStyle name="Note 2 2 3 3 3 3" xfId="24235"/>
    <cellStyle name="Normal 3 6 2 3 3 3 3" xfId="24236"/>
    <cellStyle name="Comma 2 3 3 4 3 3" xfId="24237"/>
    <cellStyle name="Comma 3 2 3 4 3 3" xfId="24238"/>
    <cellStyle name="Percent 4 2 3 3 3 3" xfId="24239"/>
    <cellStyle name="Normal 3 7 2 3 3 3 3" xfId="24240"/>
    <cellStyle name="Note 3 2 3 3 3 3" xfId="24241"/>
    <cellStyle name="20% - Accent1 2 2 3 3 3 3" xfId="24242"/>
    <cellStyle name="40% - Accent1 2 2 3 3 3 3" xfId="24243"/>
    <cellStyle name="60% - Accent1 2 2 3 3 3 3" xfId="24244"/>
    <cellStyle name="20% - Accent2 2 2 3 3 3 3" xfId="24245"/>
    <cellStyle name="40% - Accent2 2 2 3 3 3 3" xfId="24246"/>
    <cellStyle name="60% - Accent2 2 2 3 3 3 3" xfId="24247"/>
    <cellStyle name="20% - Accent3 2 2 3 3 3 3" xfId="24248"/>
    <cellStyle name="40% - Accent3 2 2 3 3 3 3" xfId="24249"/>
    <cellStyle name="60% - Accent3 2 2 3 3 3 3" xfId="24250"/>
    <cellStyle name="20% - Accent4 2 2 3 3 3 3" xfId="24251"/>
    <cellStyle name="40% - Accent4 2 2 3 3 3 3" xfId="24252"/>
    <cellStyle name="60% - Accent4 2 2 3 3 3 3" xfId="24253"/>
    <cellStyle name="20% - Accent5 2 2 3 3 3 3" xfId="24254"/>
    <cellStyle name="40% - Accent5 2 2 3 3 3 3" xfId="24255"/>
    <cellStyle name="60% - Accent5 2 2 3 3 3 3" xfId="24256"/>
    <cellStyle name="20% - Accent6 2 2 3 3 3 3" xfId="24257"/>
    <cellStyle name="40% - Accent6 2 2 3 3 3 3" xfId="24258"/>
    <cellStyle name="60% - Accent6 2 2 3 3 3 3" xfId="24259"/>
    <cellStyle name="Comma 2 2 2 3 4 3 3" xfId="24260"/>
    <cellStyle name="Comma 4 2 3 4 3 3" xfId="24261"/>
    <cellStyle name="Normal 3 8 2 3 3 3 3" xfId="24262"/>
    <cellStyle name="Normal 8 2 3 3 3" xfId="24263"/>
    <cellStyle name="Comma 6 2 4 3 3" xfId="24264"/>
    <cellStyle name="20% - Accent1 4 2 3 3 3" xfId="24265"/>
    <cellStyle name="40% - Accent1 4 2 3 3 3" xfId="24266"/>
    <cellStyle name="60% - Accent1 4 2 3 3 3" xfId="24267"/>
    <cellStyle name="20% - Accent2 4 2 3 3 3" xfId="24268"/>
    <cellStyle name="40% - Accent2 4 2 3 3 3" xfId="24269"/>
    <cellStyle name="60% - Accent2 4 2 3 3 3" xfId="24270"/>
    <cellStyle name="20% - Accent3 4 2 3 3 3" xfId="24271"/>
    <cellStyle name="40% - Accent3 4 2 3 3 3" xfId="24272"/>
    <cellStyle name="60% - Accent3 4 2 3 3 3" xfId="24273"/>
    <cellStyle name="20% - Accent4 4 2 3 3 3" xfId="24274"/>
    <cellStyle name="40% - Accent4 4 2 3 3 3" xfId="24275"/>
    <cellStyle name="60% - Accent4 4 2 3 3 3" xfId="24276"/>
    <cellStyle name="20% - Accent5 4 2 3 3 3" xfId="24277"/>
    <cellStyle name="40% - Accent5 4 2 3 3 3" xfId="24278"/>
    <cellStyle name="60% - Accent5 4 2 3 3 3" xfId="24279"/>
    <cellStyle name="20% - Accent6 4 2 3 3 3" xfId="24280"/>
    <cellStyle name="40% - Accent6 4 2 3 3 3" xfId="24281"/>
    <cellStyle name="60% - Accent6 4 2 3 3 3" xfId="24282"/>
    <cellStyle name="Normal 3 2 4 2 3 3 3" xfId="24283"/>
    <cellStyle name="Normal 3 3 4 2 3 3 3" xfId="24284"/>
    <cellStyle name="Normal 3 4 4 2 3 3 3" xfId="24285"/>
    <cellStyle name="Normal 3 5 4 2 3 3 3" xfId="24286"/>
    <cellStyle name="Normal 3 2 2 3 2 3 3 3" xfId="24287"/>
    <cellStyle name="Normal 3 3 2 3 2 3 3 3" xfId="24288"/>
    <cellStyle name="Normal 3 4 2 3 2 3 3 3" xfId="24289"/>
    <cellStyle name="Normal 3 5 2 3 2 3 3 3" xfId="24290"/>
    <cellStyle name="Normal 5 3 2 3 3 3" xfId="24291"/>
    <cellStyle name="Percent 3 3 2 3 3 3" xfId="24292"/>
    <cellStyle name="Note 2 3 2 3 3 3" xfId="24293"/>
    <cellStyle name="Normal 3 6 3 2 3 3 3" xfId="24294"/>
    <cellStyle name="Comma 2 5 2 4 3 3" xfId="24295"/>
    <cellStyle name="Comma 3 4 2 4 3 3" xfId="24296"/>
    <cellStyle name="Percent 4 3 2 3 3 3" xfId="24297"/>
    <cellStyle name="Normal 3 7 3 2 3 3 3" xfId="24298"/>
    <cellStyle name="Note 3 3 2 3 3 3" xfId="24299"/>
    <cellStyle name="20% - Accent1 2 3 2 3 3 3" xfId="24300"/>
    <cellStyle name="40% - Accent1 2 3 2 3 3 3" xfId="24301"/>
    <cellStyle name="60% - Accent1 2 3 2 3 3 3" xfId="24302"/>
    <cellStyle name="20% - Accent2 2 3 2 3 3 3" xfId="24303"/>
    <cellStyle name="40% - Accent2 2 3 2 3 3 3" xfId="24304"/>
    <cellStyle name="60% - Accent2 2 3 2 3 3 3" xfId="24305"/>
    <cellStyle name="20% - Accent3 2 3 2 3 3 3" xfId="24306"/>
    <cellStyle name="40% - Accent3 2 3 2 3 3 3" xfId="24307"/>
    <cellStyle name="60% - Accent3 2 3 2 3 3 3" xfId="24308"/>
    <cellStyle name="20% - Accent4 2 3 2 3 3 3" xfId="24309"/>
    <cellStyle name="40% - Accent4 2 3 2 3 3 3" xfId="24310"/>
    <cellStyle name="60% - Accent4 2 3 2 3 3 3" xfId="24311"/>
    <cellStyle name="20% - Accent5 2 3 2 3 3 3" xfId="24312"/>
    <cellStyle name="40% - Accent5 2 3 2 3 3 3" xfId="24313"/>
    <cellStyle name="60% - Accent5 2 3 2 3 3 3" xfId="24314"/>
    <cellStyle name="20% - Accent6 2 3 2 3 3 3" xfId="24315"/>
    <cellStyle name="40% - Accent6 2 3 2 3 3 3" xfId="24316"/>
    <cellStyle name="60% - Accent6 2 3 2 3 3 3" xfId="24317"/>
    <cellStyle name="Comma 2 2 4 2 4 3 3" xfId="24318"/>
    <cellStyle name="Comma 4 4 2 4 3 3" xfId="24319"/>
    <cellStyle name="Normal 3 8 3 2 3 3 3" xfId="24320"/>
    <cellStyle name="Comma 2 4 2 4 3 3" xfId="24321"/>
    <cellStyle name="Comma 3 3 2 4 3 3" xfId="24322"/>
    <cellStyle name="Comma 2 2 3 2 4 3 3" xfId="24323"/>
    <cellStyle name="Comma 4 3 2 4 3 3" xfId="24324"/>
    <cellStyle name="Normal 7 2 2 3 3 3" xfId="24325"/>
    <cellStyle name="Comma 5 2 2 4 3 3" xfId="24326"/>
    <cellStyle name="20% - Accent1 3 2 2 3 3 3" xfId="24327"/>
    <cellStyle name="40% - Accent1 3 2 2 3 3 3" xfId="24328"/>
    <cellStyle name="60% - Accent1 3 2 2 3 3 3" xfId="24329"/>
    <cellStyle name="20% - Accent2 3 2 2 3 3 3" xfId="24330"/>
    <cellStyle name="40% - Accent2 3 2 2 3 3 3" xfId="24331"/>
    <cellStyle name="60% - Accent2 3 2 2 3 3 3" xfId="24332"/>
    <cellStyle name="20% - Accent3 3 2 2 3 3 3" xfId="24333"/>
    <cellStyle name="40% - Accent3 3 2 2 3 3 3" xfId="24334"/>
    <cellStyle name="60% - Accent3 3 2 2 3 3 3" xfId="24335"/>
    <cellStyle name="20% - Accent4 3 2 2 3 3 3" xfId="24336"/>
    <cellStyle name="40% - Accent4 3 2 2 3 3 3" xfId="24337"/>
    <cellStyle name="60% - Accent4 3 2 2 3 3 3" xfId="24338"/>
    <cellStyle name="20% - Accent5 3 2 2 3 3 3" xfId="24339"/>
    <cellStyle name="40% - Accent5 3 2 2 3 3 3" xfId="24340"/>
    <cellStyle name="60% - Accent5 3 2 2 3 3 3" xfId="24341"/>
    <cellStyle name="20% - Accent6 3 2 2 3 3 3" xfId="24342"/>
    <cellStyle name="40% - Accent6 3 2 2 3 3 3" xfId="24343"/>
    <cellStyle name="60% - Accent6 3 2 2 3 3 3" xfId="24344"/>
    <cellStyle name="Normal 3 2 3 2 2 3 3 3" xfId="24345"/>
    <cellStyle name="Normal 3 3 3 2 2 3 3 3" xfId="24346"/>
    <cellStyle name="Normal 3 4 3 2 2 3 3 3" xfId="24347"/>
    <cellStyle name="Normal 3 5 3 2 2 3 3 3" xfId="24348"/>
    <cellStyle name="Normal 3 2 2 2 2 2 3 3 3" xfId="24349"/>
    <cellStyle name="Normal 3 3 2 2 2 2 3 3 3" xfId="24350"/>
    <cellStyle name="Normal 3 4 2 2 2 2 3 3 3" xfId="24351"/>
    <cellStyle name="Normal 3 5 2 2 2 2 3 3 3" xfId="24352"/>
    <cellStyle name="Normal 5 2 2 2 3 3 3" xfId="24353"/>
    <cellStyle name="Percent 3 2 2 2 3 3 3" xfId="24354"/>
    <cellStyle name="Note 2 2 2 2 3 3 3" xfId="24355"/>
    <cellStyle name="Normal 3 6 2 2 2 3 3 3" xfId="24356"/>
    <cellStyle name="Comma 2 3 2 2 4 3 3" xfId="24357"/>
    <cellStyle name="Comma 3 2 2 2 4 3 3" xfId="24358"/>
    <cellStyle name="Percent 4 2 2 2 3 3 3" xfId="24359"/>
    <cellStyle name="Normal 3 7 2 2 2 3 3 3" xfId="24360"/>
    <cellStyle name="Note 3 2 2 2 3 3 3" xfId="24361"/>
    <cellStyle name="20% - Accent1 2 2 2 2 3 3 3" xfId="24362"/>
    <cellStyle name="40% - Accent1 2 2 2 2 3 3 3" xfId="24363"/>
    <cellStyle name="60% - Accent1 2 2 2 2 3 3 3" xfId="24364"/>
    <cellStyle name="20% - Accent2 2 2 2 2 3 3 3" xfId="24365"/>
    <cellStyle name="40% - Accent2 2 2 2 2 3 3 3" xfId="24366"/>
    <cellStyle name="60% - Accent2 2 2 2 2 3 3 3" xfId="24367"/>
    <cellStyle name="20% - Accent3 2 2 2 2 3 3 3" xfId="24368"/>
    <cellStyle name="40% - Accent3 2 2 2 2 3 3 3" xfId="24369"/>
    <cellStyle name="60% - Accent3 2 2 2 2 3 3 3" xfId="24370"/>
    <cellStyle name="20% - Accent4 2 2 2 2 3 3 3" xfId="24371"/>
    <cellStyle name="40% - Accent4 2 2 2 2 3 3 3" xfId="24372"/>
    <cellStyle name="60% - Accent4 2 2 2 2 3 3 3" xfId="24373"/>
    <cellStyle name="20% - Accent5 2 2 2 2 3 3 3" xfId="24374"/>
    <cellStyle name="40% - Accent5 2 2 2 2 3 3 3" xfId="24375"/>
    <cellStyle name="60% - Accent5 2 2 2 2 3 3 3" xfId="24376"/>
    <cellStyle name="20% - Accent6 2 2 2 2 3 3 3" xfId="24377"/>
    <cellStyle name="40% - Accent6 2 2 2 2 3 3 3" xfId="24378"/>
    <cellStyle name="60% - Accent6 2 2 2 2 3 3 3" xfId="24379"/>
    <cellStyle name="Comma 2 2 2 2 2 4 3 3" xfId="24380"/>
    <cellStyle name="Comma 4 2 2 2 4 3 3" xfId="24381"/>
    <cellStyle name="Normal 3 8 2 2 2 3 3 3" xfId="24382"/>
    <cellStyle name="Normal 3 10 2 3 3 3" xfId="24383"/>
    <cellStyle name="Normal 3 11 2 3 3 3" xfId="24384"/>
    <cellStyle name="Normal 3 2 6 2 3 3" xfId="24385"/>
    <cellStyle name="Normal 3 3 6 2 3 3" xfId="24386"/>
    <cellStyle name="Normal 3 4 6 2 3 3" xfId="24387"/>
    <cellStyle name="Normal 3 5 6 2 3 3" xfId="24388"/>
    <cellStyle name="20% - Accent1 6 2 3 3" xfId="24389"/>
    <cellStyle name="40% - Accent1 6 2 3 3" xfId="24390"/>
    <cellStyle name="60% - Accent1 6 2 3 3" xfId="24391"/>
    <cellStyle name="20% - Accent2 6 2 3 3" xfId="24392"/>
    <cellStyle name="40% - Accent2 6 2 3 3" xfId="24393"/>
    <cellStyle name="60% - Accent2 6 2 3 3" xfId="24394"/>
    <cellStyle name="20% - Accent3 6 2 3 3" xfId="24395"/>
    <cellStyle name="40% - Accent3 6 2 3 3" xfId="24396"/>
    <cellStyle name="60% - Accent3 6 2 3 3" xfId="24397"/>
    <cellStyle name="20% - Accent4 6 2 3 3" xfId="24398"/>
    <cellStyle name="40% - Accent4 6 2 3 3" xfId="24399"/>
    <cellStyle name="60% - Accent4 6 2 3 3" xfId="24400"/>
    <cellStyle name="20% - Accent5 6 2 3 3" xfId="24401"/>
    <cellStyle name="40% - Accent5 6 2 3 3" xfId="24402"/>
    <cellStyle name="60% - Accent5 6 2 3 3" xfId="24403"/>
    <cellStyle name="20% - Accent6 6 2 3 3" xfId="24404"/>
    <cellStyle name="40% - Accent6 6 2 3 3" xfId="24405"/>
    <cellStyle name="60% - Accent6 6 2 3 3" xfId="24406"/>
    <cellStyle name="Normal 3 2 2 5 2 3 3" xfId="24407"/>
    <cellStyle name="Normal 3 3 2 5 2 3 3" xfId="24408"/>
    <cellStyle name="Normal 3 4 2 5 2 3 3" xfId="24409"/>
    <cellStyle name="Normal 3 5 2 5 2 3 3" xfId="24410"/>
    <cellStyle name="Normal 5 5 2 3 3" xfId="24411"/>
    <cellStyle name="Percent 3 5 2 3 3" xfId="24412"/>
    <cellStyle name="Note 2 5 2 3 3" xfId="24413"/>
    <cellStyle name="Normal 3 6 5 2 3 3" xfId="24414"/>
    <cellStyle name="Comma 2 7 3 3 3" xfId="24415"/>
    <cellStyle name="Comma 3 7 3 3 3" xfId="24416"/>
    <cellStyle name="Percent 4 5 2 3 3" xfId="24417"/>
    <cellStyle name="Normal 3 7 5 2 3 3" xfId="24418"/>
    <cellStyle name="Note 3 5 2 3 3" xfId="24419"/>
    <cellStyle name="20% - Accent1 2 5 2 3 3" xfId="24420"/>
    <cellStyle name="40% - Accent1 2 5 2 3 3" xfId="24421"/>
    <cellStyle name="60% - Accent1 2 5 2 3 3" xfId="24422"/>
    <cellStyle name="20% - Accent2 2 5 2 3 3" xfId="24423"/>
    <cellStyle name="40% - Accent2 2 5 2 3 3" xfId="24424"/>
    <cellStyle name="60% - Accent2 2 5 2 3 3" xfId="24425"/>
    <cellStyle name="20% - Accent3 2 5 2 3 3" xfId="24426"/>
    <cellStyle name="40% - Accent3 2 5 2 3 3" xfId="24427"/>
    <cellStyle name="60% - Accent3 2 5 2 3 3" xfId="24428"/>
    <cellStyle name="20% - Accent4 2 5 2 3 3" xfId="24429"/>
    <cellStyle name="40% - Accent4 2 5 2 3 3" xfId="24430"/>
    <cellStyle name="60% - Accent4 2 5 2 3 3" xfId="24431"/>
    <cellStyle name="20% - Accent5 2 5 2 3 3" xfId="24432"/>
    <cellStyle name="40% - Accent5 2 5 2 3 3" xfId="24433"/>
    <cellStyle name="60% - Accent5 2 5 2 3 3" xfId="24434"/>
    <cellStyle name="20% - Accent6 2 5 2 3 3" xfId="24435"/>
    <cellStyle name="40% - Accent6 2 5 2 3 3" xfId="24436"/>
    <cellStyle name="60% - Accent6 2 5 2 3 3" xfId="24437"/>
    <cellStyle name="Comma 2 2 6 3 3 3" xfId="24438"/>
    <cellStyle name="Comma 4 6 3 3 3" xfId="24439"/>
    <cellStyle name="Normal 3 8 5 2 3 3" xfId="24440"/>
    <cellStyle name="Normal 7 4 2 3 3" xfId="24441"/>
    <cellStyle name="Comma 5 4 3 3 3" xfId="24442"/>
    <cellStyle name="20% - Accent1 3 4 2 3 3" xfId="24443"/>
    <cellStyle name="40% - Accent1 3 4 2 3 3" xfId="24444"/>
    <cellStyle name="60% - Accent1 3 4 2 3 3" xfId="24445"/>
    <cellStyle name="20% - Accent2 3 4 2 3 3" xfId="24446"/>
    <cellStyle name="40% - Accent2 3 4 2 3 3" xfId="24447"/>
    <cellStyle name="60% - Accent2 3 4 2 3 3" xfId="24448"/>
    <cellStyle name="20% - Accent3 3 4 2 3 3" xfId="24449"/>
    <cellStyle name="40% - Accent3 3 4 2 3 3" xfId="24450"/>
    <cellStyle name="60% - Accent3 3 4 2 3 3" xfId="24451"/>
    <cellStyle name="20% - Accent4 3 4 2 3 3" xfId="24452"/>
    <cellStyle name="40% - Accent4 3 4 2 3 3" xfId="24453"/>
    <cellStyle name="60% - Accent4 3 4 2 3 3" xfId="24454"/>
    <cellStyle name="20% - Accent5 3 4 2 3 3" xfId="24455"/>
    <cellStyle name="40% - Accent5 3 4 2 3 3" xfId="24456"/>
    <cellStyle name="60% - Accent5 3 4 2 3 3" xfId="24457"/>
    <cellStyle name="20% - Accent6 3 4 2 3 3" xfId="24458"/>
    <cellStyle name="40% - Accent6 3 4 2 3 3" xfId="24459"/>
    <cellStyle name="60% - Accent6 3 4 2 3 3" xfId="24460"/>
    <cellStyle name="Normal 3 2 3 4 2 3 3" xfId="24461"/>
    <cellStyle name="Normal 3 3 3 4 2 3 3" xfId="24462"/>
    <cellStyle name="Normal 3 4 3 4 2 3 3" xfId="24463"/>
    <cellStyle name="Normal 3 5 3 4 2 3 3" xfId="24464"/>
    <cellStyle name="Normal 3 2 2 2 4 2 3 3" xfId="24465"/>
    <cellStyle name="Normal 3 3 2 2 4 2 3 3" xfId="24466"/>
    <cellStyle name="Normal 3 4 2 2 4 2 3 3" xfId="24467"/>
    <cellStyle name="Normal 3 5 2 2 4 2 3 3" xfId="24468"/>
    <cellStyle name="Normal 5 2 4 2 3 3" xfId="24469"/>
    <cellStyle name="Percent 3 2 4 2 3 3" xfId="24470"/>
    <cellStyle name="Note 2 2 4 2 3 3" xfId="24471"/>
    <cellStyle name="Normal 3 6 2 4 2 3 3" xfId="24472"/>
    <cellStyle name="Comma 2 3 4 3 3 3" xfId="24473"/>
    <cellStyle name="Comma 3 2 4 3 3 3" xfId="24474"/>
    <cellStyle name="Percent 4 2 4 2 3 3" xfId="24475"/>
    <cellStyle name="Normal 3 7 2 4 2 3 3" xfId="24476"/>
    <cellStyle name="Note 3 2 4 2 3 3" xfId="24477"/>
    <cellStyle name="20% - Accent1 2 2 4 2 3 3" xfId="24478"/>
    <cellStyle name="40% - Accent1 2 2 4 2 3 3" xfId="24479"/>
    <cellStyle name="60% - Accent1 2 2 4 2 3 3" xfId="24480"/>
    <cellStyle name="20% - Accent2 2 2 4 2 3 3" xfId="24481"/>
    <cellStyle name="40% - Accent2 2 2 4 2 3 3" xfId="24482"/>
    <cellStyle name="60% - Accent2 2 2 4 2 3 3" xfId="24483"/>
    <cellStyle name="20% - Accent3 2 2 4 2 3 3" xfId="24484"/>
    <cellStyle name="40% - Accent3 2 2 4 2 3 3" xfId="24485"/>
    <cellStyle name="60% - Accent3 2 2 4 2 3 3" xfId="24486"/>
    <cellStyle name="20% - Accent4 2 2 4 2 3 3" xfId="24487"/>
    <cellStyle name="40% - Accent4 2 2 4 2 3 3" xfId="24488"/>
    <cellStyle name="60% - Accent4 2 2 4 2 3 3" xfId="24489"/>
    <cellStyle name="20% - Accent5 2 2 4 2 3 3" xfId="24490"/>
    <cellStyle name="40% - Accent5 2 2 4 2 3 3" xfId="24491"/>
    <cellStyle name="60% - Accent5 2 2 4 2 3 3" xfId="24492"/>
    <cellStyle name="20% - Accent6 2 2 4 2 3 3" xfId="24493"/>
    <cellStyle name="40% - Accent6 2 2 4 2 3 3" xfId="24494"/>
    <cellStyle name="60% - Accent6 2 2 4 2 3 3" xfId="24495"/>
    <cellStyle name="Comma 2 2 2 4 3 3 3" xfId="24496"/>
    <cellStyle name="Comma 4 2 4 3 3 3" xfId="24497"/>
    <cellStyle name="Normal 3 8 2 4 2 3 3" xfId="24498"/>
    <cellStyle name="Normal 8 3 2 3 3" xfId="24499"/>
    <cellStyle name="Comma 6 3 3 3 3" xfId="24500"/>
    <cellStyle name="20% - Accent1 4 3 2 3 3" xfId="24501"/>
    <cellStyle name="40% - Accent1 4 3 2 3 3" xfId="24502"/>
    <cellStyle name="60% - Accent1 4 3 2 3 3" xfId="24503"/>
    <cellStyle name="20% - Accent2 4 3 2 3 3" xfId="24504"/>
    <cellStyle name="40% - Accent2 4 3 2 3 3" xfId="24505"/>
    <cellStyle name="60% - Accent2 4 3 2 3 3" xfId="24506"/>
    <cellStyle name="20% - Accent3 4 3 2 3 3" xfId="24507"/>
    <cellStyle name="40% - Accent3 4 3 2 3 3" xfId="24508"/>
    <cellStyle name="60% - Accent3 4 3 2 3 3" xfId="24509"/>
    <cellStyle name="20% - Accent4 4 3 2 3 3" xfId="24510"/>
    <cellStyle name="40% - Accent4 4 3 2 3 3" xfId="24511"/>
    <cellStyle name="60% - Accent4 4 3 2 3 3" xfId="24512"/>
    <cellStyle name="20% - Accent5 4 3 2 3 3" xfId="24513"/>
    <cellStyle name="40% - Accent5 4 3 2 3 3" xfId="24514"/>
    <cellStyle name="60% - Accent5 4 3 2 3 3" xfId="24515"/>
    <cellStyle name="20% - Accent6 4 3 2 3 3" xfId="24516"/>
    <cellStyle name="40% - Accent6 4 3 2 3 3" xfId="24517"/>
    <cellStyle name="60% - Accent6 4 3 2 3 3" xfId="24518"/>
    <cellStyle name="Normal 3 2 4 3 2 3 3" xfId="24519"/>
    <cellStyle name="Normal 3 3 4 3 2 3 3" xfId="24520"/>
    <cellStyle name="Normal 3 4 4 3 2 3 3" xfId="24521"/>
    <cellStyle name="Normal 3 5 4 3 2 3 3" xfId="24522"/>
    <cellStyle name="Normal 3 2 2 3 3 2 3 3" xfId="24523"/>
    <cellStyle name="Normal 3 3 2 3 3 2 3 3" xfId="24524"/>
    <cellStyle name="Normal 3 4 2 3 3 2 3 3" xfId="24525"/>
    <cellStyle name="Normal 3 5 2 3 3 2 3 3" xfId="24526"/>
    <cellStyle name="Normal 5 3 3 2 3 3" xfId="24527"/>
    <cellStyle name="Percent 3 3 3 2 3 3" xfId="24528"/>
    <cellStyle name="Note 2 3 3 2 3 3" xfId="24529"/>
    <cellStyle name="Normal 3 6 3 3 2 3 3" xfId="24530"/>
    <cellStyle name="Comma 2 5 3 3 3 3" xfId="24531"/>
    <cellStyle name="Comma 3 4 3 3 3 3" xfId="24532"/>
    <cellStyle name="Percent 4 3 3 2 3 3" xfId="24533"/>
    <cellStyle name="Normal 3 7 3 3 2 3 3" xfId="24534"/>
    <cellStyle name="Note 3 3 3 2 3 3" xfId="24535"/>
    <cellStyle name="20% - Accent1 2 3 3 2 3 3" xfId="24536"/>
    <cellStyle name="40% - Accent1 2 3 3 2 3 3" xfId="24537"/>
    <cellStyle name="60% - Accent1 2 3 3 2 3 3" xfId="24538"/>
    <cellStyle name="20% - Accent2 2 3 3 2 3 3" xfId="24539"/>
    <cellStyle name="40% - Accent2 2 3 3 2 3 3" xfId="24540"/>
    <cellStyle name="60% - Accent2 2 3 3 2 3 3" xfId="24541"/>
    <cellStyle name="20% - Accent3 2 3 3 2 3 3" xfId="24542"/>
    <cellStyle name="40% - Accent3 2 3 3 2 3 3" xfId="24543"/>
    <cellStyle name="60% - Accent3 2 3 3 2 3 3" xfId="24544"/>
    <cellStyle name="20% - Accent4 2 3 3 2 3 3" xfId="24545"/>
    <cellStyle name="40% - Accent4 2 3 3 2 3 3" xfId="24546"/>
    <cellStyle name="60% - Accent4 2 3 3 2 3 3" xfId="24547"/>
    <cellStyle name="20% - Accent5 2 3 3 2 3 3" xfId="24548"/>
    <cellStyle name="40% - Accent5 2 3 3 2 3 3" xfId="24549"/>
    <cellStyle name="60% - Accent5 2 3 3 2 3 3" xfId="24550"/>
    <cellStyle name="20% - Accent6 2 3 3 2 3 3" xfId="24551"/>
    <cellStyle name="40% - Accent6 2 3 3 2 3 3" xfId="24552"/>
    <cellStyle name="60% - Accent6 2 3 3 2 3 3" xfId="24553"/>
    <cellStyle name="Comma 2 2 4 3 3 3 3" xfId="24554"/>
    <cellStyle name="Comma 4 4 3 3 3 3" xfId="24555"/>
    <cellStyle name="Normal 3 8 3 3 2 3 3" xfId="24556"/>
    <cellStyle name="Comma 2 4 3 3 3 3" xfId="24557"/>
    <cellStyle name="Comma 3 3 3 3 3 3" xfId="24558"/>
    <cellStyle name="Comma 2 2 3 3 3 3 3" xfId="24559"/>
    <cellStyle name="Comma 4 3 3 3 3 3" xfId="24560"/>
    <cellStyle name="Normal 7 2 3 2 3 3" xfId="24561"/>
    <cellStyle name="Comma 5 2 3 3 3 3" xfId="24562"/>
    <cellStyle name="20% - Accent1 3 2 3 2 3 3" xfId="24563"/>
    <cellStyle name="40% - Accent1 3 2 3 2 3 3" xfId="24564"/>
    <cellStyle name="60% - Accent1 3 2 3 2 3 3" xfId="24565"/>
    <cellStyle name="20% - Accent2 3 2 3 2 3 3" xfId="24566"/>
    <cellStyle name="40% - Accent2 3 2 3 2 3 3" xfId="24567"/>
    <cellStyle name="60% - Accent2 3 2 3 2 3 3" xfId="24568"/>
    <cellStyle name="20% - Accent3 3 2 3 2 3 3" xfId="24569"/>
    <cellStyle name="40% - Accent3 3 2 3 2 3 3" xfId="24570"/>
    <cellStyle name="60% - Accent3 3 2 3 2 3 3" xfId="24571"/>
    <cellStyle name="20% - Accent4 3 2 3 2 3 3" xfId="24572"/>
    <cellStyle name="40% - Accent4 3 2 3 2 3 3" xfId="24573"/>
    <cellStyle name="60% - Accent4 3 2 3 2 3 3" xfId="24574"/>
    <cellStyle name="20% - Accent5 3 2 3 2 3 3" xfId="24575"/>
    <cellStyle name="40% - Accent5 3 2 3 2 3 3" xfId="24576"/>
    <cellStyle name="60% - Accent5 3 2 3 2 3 3" xfId="24577"/>
    <cellStyle name="20% - Accent6 3 2 3 2 3 3" xfId="24578"/>
    <cellStyle name="40% - Accent6 3 2 3 2 3 3" xfId="24579"/>
    <cellStyle name="60% - Accent6 3 2 3 2 3 3" xfId="24580"/>
    <cellStyle name="Normal 3 2 3 2 3 2 3 3" xfId="24581"/>
    <cellStyle name="Normal 3 3 3 2 3 2 3 3" xfId="24582"/>
    <cellStyle name="Normal 3 4 3 2 3 2 3 3" xfId="24583"/>
    <cellStyle name="Normal 3 5 3 2 3 2 3 3" xfId="24584"/>
    <cellStyle name="Normal 3 2 2 2 2 3 2 3 3" xfId="24585"/>
    <cellStyle name="Normal 3 3 2 2 2 3 2 3 3" xfId="24586"/>
    <cellStyle name="Normal 3 4 2 2 2 3 2 3 3" xfId="24587"/>
    <cellStyle name="Normal 3 5 2 2 2 3 2 3 3" xfId="24588"/>
    <cellStyle name="Normal 5 2 2 3 2 3 3" xfId="24589"/>
    <cellStyle name="Percent 3 2 2 3 2 3 3" xfId="24590"/>
    <cellStyle name="Note 2 2 2 3 2 3 3" xfId="24591"/>
    <cellStyle name="Normal 3 6 2 2 3 2 3 3" xfId="24592"/>
    <cellStyle name="Comma 2 3 2 3 3 3 3" xfId="24593"/>
    <cellStyle name="Comma 3 2 2 3 3 3 3" xfId="24594"/>
    <cellStyle name="Percent 4 2 2 3 2 3 3" xfId="24595"/>
    <cellStyle name="Normal 3 7 2 2 3 2 3 3" xfId="24596"/>
    <cellStyle name="Note 3 2 2 3 2 3 3" xfId="24597"/>
    <cellStyle name="20% - Accent1 2 2 2 3 2 3 3" xfId="24598"/>
    <cellStyle name="40% - Accent1 2 2 2 3 2 3 3" xfId="24599"/>
    <cellStyle name="60% - Accent1 2 2 2 3 2 3 3" xfId="24600"/>
    <cellStyle name="20% - Accent2 2 2 2 3 2 3 3" xfId="24601"/>
    <cellStyle name="40% - Accent2 2 2 2 3 2 3 3" xfId="24602"/>
    <cellStyle name="60% - Accent2 2 2 2 3 2 3 3" xfId="24603"/>
    <cellStyle name="20% - Accent3 2 2 2 3 2 3 3" xfId="24604"/>
    <cellStyle name="40% - Accent3 2 2 2 3 2 3 3" xfId="24605"/>
    <cellStyle name="60% - Accent3 2 2 2 3 2 3 3" xfId="24606"/>
    <cellStyle name="20% - Accent4 2 2 2 3 2 3 3" xfId="24607"/>
    <cellStyle name="40% - Accent4 2 2 2 3 2 3 3" xfId="24608"/>
    <cellStyle name="60% - Accent4 2 2 2 3 2 3 3" xfId="24609"/>
    <cellStyle name="20% - Accent5 2 2 2 3 2 3 3" xfId="24610"/>
    <cellStyle name="40% - Accent5 2 2 2 3 2 3 3" xfId="24611"/>
    <cellStyle name="60% - Accent5 2 2 2 3 2 3 3" xfId="24612"/>
    <cellStyle name="20% - Accent6 2 2 2 3 2 3 3" xfId="24613"/>
    <cellStyle name="40% - Accent6 2 2 2 3 2 3 3" xfId="24614"/>
    <cellStyle name="60% - Accent6 2 2 2 3 2 3 3" xfId="24615"/>
    <cellStyle name="Comma 2 2 2 2 3 3 3 3" xfId="24616"/>
    <cellStyle name="Comma 4 2 2 3 3 3 3" xfId="24617"/>
    <cellStyle name="Normal 3 8 2 2 3 2 3 3" xfId="24618"/>
    <cellStyle name="Normal 3 10 3 2 3 3" xfId="24619"/>
    <cellStyle name="Normal 3 11 3 2 3 3" xfId="24620"/>
    <cellStyle name="Normal 5 4 2 2 3 3" xfId="24621"/>
    <cellStyle name="Normal 7 3 2 2 3 3" xfId="24622"/>
    <cellStyle name="Normal 3 2 2 2 3 2 2 3 3" xfId="24623"/>
    <cellStyle name="Normal 8 2 2 2 3 3" xfId="24624"/>
    <cellStyle name="Normal 3 2 2 2 2 2 2 2 3 3" xfId="24625"/>
    <cellStyle name="Comma 3 6 3 3 3" xfId="24626"/>
    <cellStyle name="Normal 3 6 4 2 2 3 3" xfId="24627"/>
    <cellStyle name="Normal 3 12 2 2 3 3" xfId="24628"/>
    <cellStyle name="Normal 3 2 5 2 2 3 3" xfId="24629"/>
    <cellStyle name="Normal 3 3 5 2 2 3 3" xfId="24630"/>
    <cellStyle name="Normal 3 4 5 2 2 3 3" xfId="24631"/>
    <cellStyle name="Normal 3 5 5 2 2 3 3" xfId="24632"/>
    <cellStyle name="20% - Accent1 5 2 2 3 3" xfId="24633"/>
    <cellStyle name="40% - Accent1 5 2 2 3 3" xfId="24634"/>
    <cellStyle name="60% - Accent1 5 2 2 3 3" xfId="24635"/>
    <cellStyle name="20% - Accent2 5 2 2 3 3" xfId="24636"/>
    <cellStyle name="40% - Accent2 5 2 2 3 3" xfId="24637"/>
    <cellStyle name="60% - Accent2 5 2 2 3 3" xfId="24638"/>
    <cellStyle name="20% - Accent3 5 2 2 3 3" xfId="24639"/>
    <cellStyle name="40% - Accent3 5 2 2 3 3" xfId="24640"/>
    <cellStyle name="60% - Accent3 5 2 2 3 3" xfId="24641"/>
    <cellStyle name="20% - Accent4 5 2 2 3 3" xfId="24642"/>
    <cellStyle name="40% - Accent4 5 2 2 3 3" xfId="24643"/>
    <cellStyle name="60% - Accent4 5 2 2 3 3" xfId="24644"/>
    <cellStyle name="20% - Accent5 5 2 2 3 3" xfId="24645"/>
    <cellStyle name="40% - Accent5 5 2 2 3 3" xfId="24646"/>
    <cellStyle name="60% - Accent5 5 2 2 3 3" xfId="24647"/>
    <cellStyle name="20% - Accent6 5 2 2 3 3" xfId="24648"/>
    <cellStyle name="40% - Accent6 5 2 2 3 3" xfId="24649"/>
    <cellStyle name="60% - Accent6 5 2 2 3 3" xfId="24650"/>
    <cellStyle name="Normal 3 2 2 4 2 2 3 3" xfId="24651"/>
    <cellStyle name="Normal 3 3 2 4 2 2 3 3" xfId="24652"/>
    <cellStyle name="Normal 3 4 2 4 2 2 3 3" xfId="24653"/>
    <cellStyle name="Normal 3 5 2 4 2 2 3 3" xfId="24654"/>
    <cellStyle name="Percent 3 4 2 2 3 3" xfId="24655"/>
    <cellStyle name="Note 2 4 2 2 3 3" xfId="24656"/>
    <cellStyle name="Comma 2 6 2 3 3 3" xfId="24657"/>
    <cellStyle name="Comma 3 5 2 3 3 3" xfId="24658"/>
    <cellStyle name="Percent 4 4 2 2 3 3" xfId="24659"/>
    <cellStyle name="Normal 3 7 4 2 2 3 3" xfId="24660"/>
    <cellStyle name="Note 3 4 2 2 3 3" xfId="24661"/>
    <cellStyle name="20% - Accent1 2 4 2 2 3 3" xfId="24662"/>
    <cellStyle name="40% - Accent1 2 4 2 2 3 3" xfId="24663"/>
    <cellStyle name="60% - Accent1 2 4 2 2 3 3" xfId="24664"/>
    <cellStyle name="20% - Accent2 2 4 2 2 3 3" xfId="24665"/>
    <cellStyle name="40% - Accent2 2 4 2 2 3 3" xfId="24666"/>
    <cellStyle name="60% - Accent2 2 4 2 2 3 3" xfId="24667"/>
    <cellStyle name="20% - Accent3 2 4 2 2 3 3" xfId="24668"/>
    <cellStyle name="40% - Accent3 2 4 2 2 3 3" xfId="24669"/>
    <cellStyle name="60% - Accent3 2 4 2 2 3 3" xfId="24670"/>
    <cellStyle name="20% - Accent4 2 4 2 2 3 3" xfId="24671"/>
    <cellStyle name="40% - Accent4 2 4 2 2 3 3" xfId="24672"/>
    <cellStyle name="60% - Accent4 2 4 2 2 3 3" xfId="24673"/>
    <cellStyle name="20% - Accent5 2 4 2 2 3 3" xfId="24674"/>
    <cellStyle name="40% - Accent5 2 4 2 2 3 3" xfId="24675"/>
    <cellStyle name="60% - Accent5 2 4 2 2 3 3" xfId="24676"/>
    <cellStyle name="20% - Accent6 2 4 2 2 3 3" xfId="24677"/>
    <cellStyle name="40% - Accent6 2 4 2 2 3 3" xfId="24678"/>
    <cellStyle name="60% - Accent6 2 4 2 2 3 3" xfId="24679"/>
    <cellStyle name="Comma 2 2 5 2 3 3 3" xfId="24680"/>
    <cellStyle name="Comma 4 5 2 3 3 3" xfId="24681"/>
    <cellStyle name="Normal 3 8 4 2 2 3 3" xfId="24682"/>
    <cellStyle name="Comma 5 3 2 3 3 3" xfId="24683"/>
    <cellStyle name="20% - Accent1 3 3 2 2 3 3" xfId="24684"/>
    <cellStyle name="40% - Accent1 3 3 2 2 3 3" xfId="24685"/>
    <cellStyle name="60% - Accent1 3 3 2 2 3 3" xfId="24686"/>
    <cellStyle name="20% - Accent2 3 3 2 2 3 3" xfId="24687"/>
    <cellStyle name="40% - Accent2 3 3 2 2 3 3" xfId="24688"/>
    <cellStyle name="60% - Accent2 3 3 2 2 3 3" xfId="24689"/>
    <cellStyle name="20% - Accent3 3 3 2 2 3 3" xfId="24690"/>
    <cellStyle name="40% - Accent3 3 3 2 2 3 3" xfId="24691"/>
    <cellStyle name="60% - Accent3 3 3 2 2 3 3" xfId="24692"/>
    <cellStyle name="20% - Accent4 3 3 2 2 3 3" xfId="24693"/>
    <cellStyle name="40% - Accent4 3 3 2 2 3 3" xfId="24694"/>
    <cellStyle name="60% - Accent4 3 3 2 2 3 3" xfId="24695"/>
    <cellStyle name="20% - Accent5 3 3 2 2 3 3" xfId="24696"/>
    <cellStyle name="40% - Accent5 3 3 2 2 3 3" xfId="24697"/>
    <cellStyle name="60% - Accent5 3 3 2 2 3 3" xfId="24698"/>
    <cellStyle name="20% - Accent6 3 3 2 2 3 3" xfId="24699"/>
    <cellStyle name="40% - Accent6 3 3 2 2 3 3" xfId="24700"/>
    <cellStyle name="60% - Accent6 3 3 2 2 3 3" xfId="24701"/>
    <cellStyle name="Normal 3 2 3 3 2 2 3 3" xfId="24702"/>
    <cellStyle name="Normal 3 3 3 3 2 2 3 3" xfId="24703"/>
    <cellStyle name="Normal 3 4 3 3 2 2 3 3" xfId="24704"/>
    <cellStyle name="Normal 3 5 3 3 2 2 3 3" xfId="24705"/>
    <cellStyle name="Normal 3 3 2 2 3 2 2 3 3" xfId="24706"/>
    <cellStyle name="Normal 3 4 2 2 3 2 2 3 3" xfId="24707"/>
    <cellStyle name="Normal 3 5 2 2 3 2 2 3 3" xfId="24708"/>
    <cellStyle name="Normal 5 2 3 2 2 3 3" xfId="24709"/>
    <cellStyle name="Percent 3 2 3 2 2 3 3" xfId="24710"/>
    <cellStyle name="Note 2 2 3 2 2 3 3" xfId="24711"/>
    <cellStyle name="Normal 3 6 2 3 2 2 3 3" xfId="24712"/>
    <cellStyle name="Comma 2 3 3 2 3 3 3" xfId="24713"/>
    <cellStyle name="Comma 3 2 3 2 3 3 3" xfId="24714"/>
    <cellStyle name="Percent 4 2 3 2 2 3 3" xfId="24715"/>
    <cellStyle name="Normal 3 7 2 3 2 2 3 3" xfId="24716"/>
    <cellStyle name="Note 3 2 3 2 2 3 3" xfId="24717"/>
    <cellStyle name="20% - Accent1 2 2 3 2 2 3 3" xfId="24718"/>
    <cellStyle name="40% - Accent1 2 2 3 2 2 3 3" xfId="24719"/>
    <cellStyle name="60% - Accent1 2 2 3 2 2 3 3" xfId="24720"/>
    <cellStyle name="20% - Accent2 2 2 3 2 2 3 3" xfId="24721"/>
    <cellStyle name="40% - Accent2 2 2 3 2 2 3 3" xfId="24722"/>
    <cellStyle name="60% - Accent2 2 2 3 2 2 3 3" xfId="24723"/>
    <cellStyle name="20% - Accent3 2 2 3 2 2 3 3" xfId="24724"/>
    <cellStyle name="40% - Accent3 2 2 3 2 2 3 3" xfId="24725"/>
    <cellStyle name="60% - Accent3 2 2 3 2 2 3 3" xfId="24726"/>
    <cellStyle name="20% - Accent4 2 2 3 2 2 3 3" xfId="24727"/>
    <cellStyle name="40% - Accent4 2 2 3 2 2 3 3" xfId="24728"/>
    <cellStyle name="60% - Accent4 2 2 3 2 2 3 3" xfId="24729"/>
    <cellStyle name="20% - Accent5 2 2 3 2 2 3 3" xfId="24730"/>
    <cellStyle name="40% - Accent5 2 2 3 2 2 3 3" xfId="24731"/>
    <cellStyle name="60% - Accent5 2 2 3 2 2 3 3" xfId="24732"/>
    <cellStyle name="20% - Accent6 2 2 3 2 2 3 3" xfId="24733"/>
    <cellStyle name="40% - Accent6 2 2 3 2 2 3 3" xfId="24734"/>
    <cellStyle name="60% - Accent6 2 2 3 2 2 3 3" xfId="24735"/>
    <cellStyle name="Comma 2 2 2 3 2 3 3 3" xfId="24736"/>
    <cellStyle name="Comma 4 2 3 2 3 3 3" xfId="24737"/>
    <cellStyle name="Normal 3 8 2 3 2 2 3 3" xfId="24738"/>
    <cellStyle name="Comma 6 2 2 3 3 3" xfId="24739"/>
    <cellStyle name="20% - Accent1 4 2 2 2 3 3" xfId="24740"/>
    <cellStyle name="40% - Accent1 4 2 2 2 3 3" xfId="24741"/>
    <cellStyle name="60% - Accent1 4 2 2 2 3 3" xfId="24742"/>
    <cellStyle name="20% - Accent2 4 2 2 2 3 3" xfId="24743"/>
    <cellStyle name="40% - Accent2 4 2 2 2 3 3" xfId="24744"/>
    <cellStyle name="60% - Accent2 4 2 2 2 3 3" xfId="24745"/>
    <cellStyle name="20% - Accent3 4 2 2 2 3 3" xfId="24746"/>
    <cellStyle name="40% - Accent3 4 2 2 2 3 3" xfId="24747"/>
    <cellStyle name="60% - Accent3 4 2 2 2 3 3" xfId="24748"/>
    <cellStyle name="20% - Accent4 4 2 2 2 3 3" xfId="24749"/>
    <cellStyle name="40% - Accent4 4 2 2 2 3 3" xfId="24750"/>
    <cellStyle name="60% - Accent4 4 2 2 2 3 3" xfId="24751"/>
    <cellStyle name="20% - Accent5 4 2 2 2 3 3" xfId="24752"/>
    <cellStyle name="40% - Accent5 4 2 2 2 3 3" xfId="24753"/>
    <cellStyle name="60% - Accent5 4 2 2 2 3 3" xfId="24754"/>
    <cellStyle name="20% - Accent6 4 2 2 2 3 3" xfId="24755"/>
    <cellStyle name="40% - Accent6 4 2 2 2 3 3" xfId="24756"/>
    <cellStyle name="60% - Accent6 4 2 2 2 3 3" xfId="24757"/>
    <cellStyle name="Normal 3 2 4 2 2 2 3 3" xfId="24758"/>
    <cellStyle name="Normal 3 3 4 2 2 2 3 3" xfId="24759"/>
    <cellStyle name="Normal 3 4 4 2 2 2 3 3" xfId="24760"/>
    <cellStyle name="Normal 3 5 4 2 2 2 3 3" xfId="24761"/>
    <cellStyle name="Normal 3 2 2 3 2 2 2 3 3" xfId="24762"/>
    <cellStyle name="Normal 3 3 2 3 2 2 2 3 3" xfId="24763"/>
    <cellStyle name="Normal 3 4 2 3 2 2 2 3 3" xfId="24764"/>
    <cellStyle name="Normal 3 5 2 3 2 2 2 3 3" xfId="24765"/>
    <cellStyle name="Normal 5 3 2 2 2 3 3" xfId="24766"/>
    <cellStyle name="Percent 3 3 2 2 2 3 3" xfId="24767"/>
    <cellStyle name="Note 2 3 2 2 2 3 3" xfId="24768"/>
    <cellStyle name="Normal 3 6 3 2 2 2 3 3" xfId="24769"/>
    <cellStyle name="Comma 2 5 2 2 3 3 3" xfId="24770"/>
    <cellStyle name="Comma 3 4 2 2 3 3 3" xfId="24771"/>
    <cellStyle name="Percent 4 3 2 2 2 3 3" xfId="24772"/>
    <cellStyle name="Normal 3 7 3 2 2 2 3 3" xfId="24773"/>
    <cellStyle name="Note 3 3 2 2 2 3 3" xfId="24774"/>
    <cellStyle name="20% - Accent1 2 3 2 2 2 3 3" xfId="24775"/>
    <cellStyle name="40% - Accent1 2 3 2 2 2 3 3" xfId="24776"/>
    <cellStyle name="60% - Accent1 2 3 2 2 2 3 3" xfId="24777"/>
    <cellStyle name="20% - Accent2 2 3 2 2 2 3 3" xfId="24778"/>
    <cellStyle name="40% - Accent2 2 3 2 2 2 3 3" xfId="24779"/>
    <cellStyle name="60% - Accent2 2 3 2 2 2 3 3" xfId="24780"/>
    <cellStyle name="20% - Accent3 2 3 2 2 2 3 3" xfId="24781"/>
    <cellStyle name="40% - Accent3 2 3 2 2 2 3 3" xfId="24782"/>
    <cellStyle name="60% - Accent3 2 3 2 2 2 3 3" xfId="24783"/>
    <cellStyle name="20% - Accent4 2 3 2 2 2 3 3" xfId="24784"/>
    <cellStyle name="40% - Accent4 2 3 2 2 2 3 3" xfId="24785"/>
    <cellStyle name="60% - Accent4 2 3 2 2 2 3 3" xfId="24786"/>
    <cellStyle name="20% - Accent5 2 3 2 2 2 3 3" xfId="24787"/>
    <cellStyle name="40% - Accent5 2 3 2 2 2 3 3" xfId="24788"/>
    <cellStyle name="60% - Accent5 2 3 2 2 2 3 3" xfId="24789"/>
    <cellStyle name="20% - Accent6 2 3 2 2 2 3 3" xfId="24790"/>
    <cellStyle name="40% - Accent6 2 3 2 2 2 3 3" xfId="24791"/>
    <cellStyle name="60% - Accent6 2 3 2 2 2 3 3" xfId="24792"/>
    <cellStyle name="Comma 2 2 4 2 2 3 3 3" xfId="24793"/>
    <cellStyle name="Comma 4 4 2 2 3 3 3" xfId="24794"/>
    <cellStyle name="Normal 3 8 3 2 2 2 3 3" xfId="24795"/>
    <cellStyle name="Comma 2 4 2 2 3 3 3" xfId="24796"/>
    <cellStyle name="Comma 3 3 2 2 3 3 3" xfId="24797"/>
    <cellStyle name="Comma 2 2 3 2 2 3 3 3" xfId="24798"/>
    <cellStyle name="Comma 4 3 2 2 3 3 3" xfId="24799"/>
    <cellStyle name="Normal 7 2 2 2 2 3 3" xfId="24800"/>
    <cellStyle name="Comma 5 2 2 2 3 3 3" xfId="24801"/>
    <cellStyle name="20% - Accent1 3 2 2 2 2 3 3" xfId="24802"/>
    <cellStyle name="40% - Accent1 3 2 2 2 2 3 3" xfId="24803"/>
    <cellStyle name="60% - Accent1 3 2 2 2 2 3 3" xfId="24804"/>
    <cellStyle name="20% - Accent2 3 2 2 2 2 3 3" xfId="24805"/>
    <cellStyle name="40% - Accent2 3 2 2 2 2 3 3" xfId="24806"/>
    <cellStyle name="60% - Accent2 3 2 2 2 2 3 3" xfId="24807"/>
    <cellStyle name="20% - Accent3 3 2 2 2 2 3 3" xfId="24808"/>
    <cellStyle name="40% - Accent3 3 2 2 2 2 3 3" xfId="24809"/>
    <cellStyle name="60% - Accent3 3 2 2 2 2 3 3" xfId="24810"/>
    <cellStyle name="20% - Accent4 3 2 2 2 2 3 3" xfId="24811"/>
    <cellStyle name="40% - Accent4 3 2 2 2 2 3 3" xfId="24812"/>
    <cellStyle name="60% - Accent4 3 2 2 2 2 3 3" xfId="24813"/>
    <cellStyle name="20% - Accent5 3 2 2 2 2 3 3" xfId="24814"/>
    <cellStyle name="40% - Accent5 3 2 2 2 2 3 3" xfId="24815"/>
    <cellStyle name="60% - Accent5 3 2 2 2 2 3 3" xfId="24816"/>
    <cellStyle name="20% - Accent6 3 2 2 2 2 3 3" xfId="24817"/>
    <cellStyle name="40% - Accent6 3 2 2 2 2 3 3" xfId="24818"/>
    <cellStyle name="60% - Accent6 3 2 2 2 2 3 3" xfId="24819"/>
    <cellStyle name="Normal 3 2 3 2 2 2 2 3 3" xfId="24820"/>
    <cellStyle name="Normal 3 3 3 2 2 2 2 3 3" xfId="24821"/>
    <cellStyle name="Normal 3 4 3 2 2 2 2 3 3" xfId="24822"/>
    <cellStyle name="Normal 3 5 3 2 2 2 2 3 3" xfId="24823"/>
    <cellStyle name="Normal 3 3 2 2 2 2 2 2 3 3" xfId="24824"/>
    <cellStyle name="Normal 3 4 2 2 2 2 2 2 3 3" xfId="24825"/>
    <cellStyle name="Normal 3 5 2 2 2 2 2 2 3 3" xfId="24826"/>
    <cellStyle name="Normal 5 2 2 2 2 2 3 3" xfId="24827"/>
    <cellStyle name="Percent 3 2 2 2 2 2 3 3" xfId="24828"/>
    <cellStyle name="Note 2 2 2 2 2 2 3 3" xfId="24829"/>
    <cellStyle name="Normal 3 6 2 2 2 2 2 3 3" xfId="24830"/>
    <cellStyle name="Comma 2 3 2 2 2 3 3 3" xfId="24831"/>
    <cellStyle name="Comma 3 2 2 2 2 3 3 3" xfId="24832"/>
    <cellStyle name="Percent 4 2 2 2 2 2 3 3" xfId="24833"/>
    <cellStyle name="Normal 3 7 2 2 2 2 2 3 3" xfId="24834"/>
    <cellStyle name="Note 3 2 2 2 2 2 3 3" xfId="24835"/>
    <cellStyle name="20% - Accent1 2 2 2 2 2 2 3 3" xfId="24836"/>
    <cellStyle name="40% - Accent1 2 2 2 2 2 2 3 3" xfId="24837"/>
    <cellStyle name="60% - Accent1 2 2 2 2 2 2 3 3" xfId="24838"/>
    <cellStyle name="20% - Accent2 2 2 2 2 2 2 3 3" xfId="24839"/>
    <cellStyle name="40% - Accent2 2 2 2 2 2 2 3 3" xfId="24840"/>
    <cellStyle name="60% - Accent2 2 2 2 2 2 2 3 3" xfId="24841"/>
    <cellStyle name="20% - Accent3 2 2 2 2 2 2 3 3" xfId="24842"/>
    <cellStyle name="40% - Accent3 2 2 2 2 2 2 3 3" xfId="24843"/>
    <cellStyle name="60% - Accent3 2 2 2 2 2 2 3 3" xfId="24844"/>
    <cellStyle name="20% - Accent4 2 2 2 2 2 2 3 3" xfId="24845"/>
    <cellStyle name="40% - Accent4 2 2 2 2 2 2 3 3" xfId="24846"/>
    <cellStyle name="60% - Accent4 2 2 2 2 2 2 3 3" xfId="24847"/>
    <cellStyle name="20% - Accent5 2 2 2 2 2 2 3 3" xfId="24848"/>
    <cellStyle name="40% - Accent5 2 2 2 2 2 2 3 3" xfId="24849"/>
    <cellStyle name="60% - Accent5 2 2 2 2 2 2 3 3" xfId="24850"/>
    <cellStyle name="20% - Accent6 2 2 2 2 2 2 3 3" xfId="24851"/>
    <cellStyle name="40% - Accent6 2 2 2 2 2 2 3 3" xfId="24852"/>
    <cellStyle name="60% - Accent6 2 2 2 2 2 2 3 3" xfId="24853"/>
    <cellStyle name="Comma 2 2 2 2 2 2 3 3 3" xfId="24854"/>
    <cellStyle name="Comma 4 2 2 2 2 3 3 3" xfId="24855"/>
    <cellStyle name="Normal 3 8 2 2 2 2 2 3 3" xfId="24856"/>
    <cellStyle name="Normal 3 10 2 2 2 3 3" xfId="24857"/>
    <cellStyle name="Normal 3 11 2 2 2 3 3" xfId="24858"/>
    <cellStyle name="Normal 3 13 2 3 3" xfId="24859"/>
    <cellStyle name="Normal 3 2 7 2 3 3" xfId="24860"/>
    <cellStyle name="Normal 3 3 7 2 3 3" xfId="24861"/>
    <cellStyle name="Normal 3 4 7 2 3 3" xfId="24862"/>
    <cellStyle name="Normal 3 5 7 2 3 3" xfId="24863"/>
    <cellStyle name="20% - Accent1 7 2 3 3" xfId="24864"/>
    <cellStyle name="40% - Accent1 7 2 3 3" xfId="24865"/>
    <cellStyle name="60% - Accent1 7 2 3 3" xfId="24866"/>
    <cellStyle name="20% - Accent2 7 2 3 3" xfId="24867"/>
    <cellStyle name="40% - Accent2 7 2 3 3" xfId="24868"/>
    <cellStyle name="60% - Accent2 7 2 3 3" xfId="24869"/>
    <cellStyle name="20% - Accent3 7 2 3 3" xfId="24870"/>
    <cellStyle name="40% - Accent3 7 2 3 3" xfId="24871"/>
    <cellStyle name="60% - Accent3 7 2 3 3" xfId="24872"/>
    <cellStyle name="20% - Accent4 7 2 3 3" xfId="24873"/>
    <cellStyle name="40% - Accent4 7 2 3 3" xfId="24874"/>
    <cellStyle name="60% - Accent4 7 2 3 3" xfId="24875"/>
    <cellStyle name="20% - Accent5 7 2 3 3" xfId="24876"/>
    <cellStyle name="40% - Accent5 7 2 3 3" xfId="24877"/>
    <cellStyle name="60% - Accent5 7 2 3 3" xfId="24878"/>
    <cellStyle name="20% - Accent6 7 2 3 3" xfId="24879"/>
    <cellStyle name="40% - Accent6 7 2 3 3" xfId="24880"/>
    <cellStyle name="60% - Accent6 7 2 3 3" xfId="24881"/>
    <cellStyle name="Normal 3 2 2 6 2 3 3" xfId="24882"/>
    <cellStyle name="Normal 3 3 2 6 2 3 3" xfId="24883"/>
    <cellStyle name="Normal 3 4 2 6 2 3 3" xfId="24884"/>
    <cellStyle name="Normal 3 5 2 6 2 3 3" xfId="24885"/>
    <cellStyle name="Normal 5 6 2 3 3" xfId="24886"/>
    <cellStyle name="Percent 3 6 2 3 3" xfId="24887"/>
    <cellStyle name="Note 2 6 2 3 3" xfId="24888"/>
    <cellStyle name="Normal 3 6 6 2 3 3" xfId="24889"/>
    <cellStyle name="Comma 2 8 3 3 3" xfId="24890"/>
    <cellStyle name="Comma 3 8 3 3 3" xfId="24891"/>
    <cellStyle name="Percent 4 6 2 3 3" xfId="24892"/>
    <cellStyle name="Normal 3 7 6 2 3 3" xfId="24893"/>
    <cellStyle name="Note 3 6 2 3 3" xfId="24894"/>
    <cellStyle name="20% - Accent1 2 6 2 3 3" xfId="24895"/>
    <cellStyle name="40% - Accent1 2 6 2 3 3" xfId="24896"/>
    <cellStyle name="60% - Accent1 2 6 2 3 3" xfId="24897"/>
    <cellStyle name="20% - Accent2 2 6 2 3 3" xfId="24898"/>
    <cellStyle name="40% - Accent2 2 6 2 3 3" xfId="24899"/>
    <cellStyle name="60% - Accent2 2 6 2 3 3" xfId="24900"/>
    <cellStyle name="20% - Accent3 2 6 2 3 3" xfId="24901"/>
    <cellStyle name="40% - Accent3 2 6 2 3 3" xfId="24902"/>
    <cellStyle name="60% - Accent3 2 6 2 3 3" xfId="24903"/>
    <cellStyle name="20% - Accent4 2 6 2 3 3" xfId="24904"/>
    <cellStyle name="40% - Accent4 2 6 2 3 3" xfId="24905"/>
    <cellStyle name="60% - Accent4 2 6 2 3 3" xfId="24906"/>
    <cellStyle name="20% - Accent5 2 6 2 3 3" xfId="24907"/>
    <cellStyle name="40% - Accent5 2 6 2 3 3" xfId="24908"/>
    <cellStyle name="60% - Accent5 2 6 2 3 3" xfId="24909"/>
    <cellStyle name="20% - Accent6 2 6 2 3 3" xfId="24910"/>
    <cellStyle name="40% - Accent6 2 6 2 3 3" xfId="24911"/>
    <cellStyle name="60% - Accent6 2 6 2 3 3" xfId="24912"/>
    <cellStyle name="Comma 2 2 7 3 3 3" xfId="24913"/>
    <cellStyle name="Comma 4 7 3 3 3" xfId="24914"/>
    <cellStyle name="Normal 3 8 6 2 3 3" xfId="24915"/>
    <cellStyle name="Normal 7 5 2 3 3" xfId="24916"/>
    <cellStyle name="Comma 5 5 3 3 3" xfId="24917"/>
    <cellStyle name="20% - Accent1 3 5 2 3 3" xfId="24918"/>
    <cellStyle name="40% - Accent1 3 5 2 3 3" xfId="24919"/>
    <cellStyle name="60% - Accent1 3 5 2 3 3" xfId="24920"/>
    <cellStyle name="20% - Accent2 3 5 2 3 3" xfId="24921"/>
    <cellStyle name="40% - Accent2 3 5 2 3 3" xfId="24922"/>
    <cellStyle name="60% - Accent2 3 5 2 3 3" xfId="24923"/>
    <cellStyle name="20% - Accent3 3 5 2 3 3" xfId="24924"/>
    <cellStyle name="40% - Accent3 3 5 2 3 3" xfId="24925"/>
    <cellStyle name="60% - Accent3 3 5 2 3 3" xfId="24926"/>
    <cellStyle name="20% - Accent4 3 5 2 3 3" xfId="24927"/>
    <cellStyle name="40% - Accent4 3 5 2 3 3" xfId="24928"/>
    <cellStyle name="60% - Accent4 3 5 2 3 3" xfId="24929"/>
    <cellStyle name="20% - Accent5 3 5 2 3 3" xfId="24930"/>
    <cellStyle name="40% - Accent5 3 5 2 3 3" xfId="24931"/>
    <cellStyle name="60% - Accent5 3 5 2 3 3" xfId="24932"/>
    <cellStyle name="20% - Accent6 3 5 2 3 3" xfId="24933"/>
    <cellStyle name="40% - Accent6 3 5 2 3 3" xfId="24934"/>
    <cellStyle name="60% - Accent6 3 5 2 3 3" xfId="24935"/>
    <cellStyle name="Normal 3 2 3 5 2 3 3" xfId="24936"/>
    <cellStyle name="Normal 3 3 3 5 2 3 3" xfId="24937"/>
    <cellStyle name="Normal 3 4 3 5 2 3 3" xfId="24938"/>
    <cellStyle name="Normal 3 5 3 5 2 3 3" xfId="24939"/>
    <cellStyle name="Normal 3 2 2 2 5 2 3 3" xfId="24940"/>
    <cellStyle name="Normal 3 3 2 2 5 2 3 3" xfId="24941"/>
    <cellStyle name="Normal 3 4 2 2 5 2 3 3" xfId="24942"/>
    <cellStyle name="Normal 3 5 2 2 5 2 3 3" xfId="24943"/>
    <cellStyle name="Normal 5 2 5 2 3 3" xfId="24944"/>
    <cellStyle name="Percent 3 2 5 2 3 3" xfId="24945"/>
    <cellStyle name="Note 2 2 5 2 3 3" xfId="24946"/>
    <cellStyle name="Normal 3 6 2 5 2 3 3" xfId="24947"/>
    <cellStyle name="Comma 2 3 5 3 3 3" xfId="24948"/>
    <cellStyle name="Comma 3 2 5 3 3 3" xfId="24949"/>
    <cellStyle name="Percent 4 2 5 2 3 3" xfId="24950"/>
    <cellStyle name="Normal 3 7 2 5 2 3 3" xfId="24951"/>
    <cellStyle name="Note 3 2 5 2 3 3" xfId="24952"/>
    <cellStyle name="20% - Accent1 2 2 5 2 3 3" xfId="24953"/>
    <cellStyle name="40% - Accent1 2 2 5 2 3 3" xfId="24954"/>
    <cellStyle name="60% - Accent1 2 2 5 2 3 3" xfId="24955"/>
    <cellStyle name="20% - Accent2 2 2 5 2 3 3" xfId="24956"/>
    <cellStyle name="40% - Accent2 2 2 5 2 3 3" xfId="24957"/>
    <cellStyle name="60% - Accent2 2 2 5 2 3 3" xfId="24958"/>
    <cellStyle name="20% - Accent3 2 2 5 2 3 3" xfId="24959"/>
    <cellStyle name="40% - Accent3 2 2 5 2 3 3" xfId="24960"/>
    <cellStyle name="60% - Accent3 2 2 5 2 3 3" xfId="24961"/>
    <cellStyle name="20% - Accent4 2 2 5 2 3 3" xfId="24962"/>
    <cellStyle name="40% - Accent4 2 2 5 2 3 3" xfId="24963"/>
    <cellStyle name="60% - Accent4 2 2 5 2 3 3" xfId="24964"/>
    <cellStyle name="20% - Accent5 2 2 5 2 3 3" xfId="24965"/>
    <cellStyle name="40% - Accent5 2 2 5 2 3 3" xfId="24966"/>
    <cellStyle name="60% - Accent5 2 2 5 2 3 3" xfId="24967"/>
    <cellStyle name="20% - Accent6 2 2 5 2 3 3" xfId="24968"/>
    <cellStyle name="40% - Accent6 2 2 5 2 3 3" xfId="24969"/>
    <cellStyle name="60% - Accent6 2 2 5 2 3 3" xfId="24970"/>
    <cellStyle name="Comma 2 2 2 5 3 3 3" xfId="24971"/>
    <cellStyle name="Comma 4 2 5 3 3 3" xfId="24972"/>
    <cellStyle name="Normal 3 8 2 5 2 3 3" xfId="24973"/>
    <cellStyle name="Normal 8 4 2 3 3" xfId="24974"/>
    <cellStyle name="Comma 6 4 3 3 3" xfId="24975"/>
    <cellStyle name="20% - Accent1 4 4 2 3 3" xfId="24976"/>
    <cellStyle name="40% - Accent1 4 4 2 3 3" xfId="24977"/>
    <cellStyle name="60% - Accent1 4 4 2 3 3" xfId="24978"/>
    <cellStyle name="20% - Accent2 4 4 2 3 3" xfId="24979"/>
    <cellStyle name="40% - Accent2 4 4 2 3 3" xfId="24980"/>
    <cellStyle name="60% - Accent2 4 4 2 3 3" xfId="24981"/>
    <cellStyle name="20% - Accent3 4 4 2 3 3" xfId="24982"/>
    <cellStyle name="40% - Accent3 4 4 2 3 3" xfId="24983"/>
    <cellStyle name="60% - Accent3 4 4 2 3 3" xfId="24984"/>
    <cellStyle name="20% - Accent4 4 4 2 3 3" xfId="24985"/>
    <cellStyle name="40% - Accent4 4 4 2 3 3" xfId="24986"/>
    <cellStyle name="60% - Accent4 4 4 2 3 3" xfId="24987"/>
    <cellStyle name="20% - Accent5 4 4 2 3 3" xfId="24988"/>
    <cellStyle name="40% - Accent5 4 4 2 3 3" xfId="24989"/>
    <cellStyle name="60% - Accent5 4 4 2 3 3" xfId="24990"/>
    <cellStyle name="20% - Accent6 4 4 2 3 3" xfId="24991"/>
    <cellStyle name="40% - Accent6 4 4 2 3 3" xfId="24992"/>
    <cellStyle name="60% - Accent6 4 4 2 3 3" xfId="24993"/>
    <cellStyle name="Normal 3 2 4 4 2 3 3" xfId="24994"/>
    <cellStyle name="Normal 3 3 4 4 2 3 3" xfId="24995"/>
    <cellStyle name="Normal 3 4 4 4 2 3 3" xfId="24996"/>
    <cellStyle name="Normal 3 5 4 4 2 3 3" xfId="24997"/>
    <cellStyle name="Normal 3 2 2 3 4 2 3 3" xfId="24998"/>
    <cellStyle name="Normal 3 3 2 3 4 2 3 3" xfId="24999"/>
    <cellStyle name="Normal 3 4 2 3 4 2 3 3" xfId="25000"/>
    <cellStyle name="Normal 3 5 2 3 4 2 3 3" xfId="25001"/>
    <cellStyle name="Normal 5 3 4 2 3 3" xfId="25002"/>
    <cellStyle name="Percent 3 3 4 2 3 3" xfId="25003"/>
    <cellStyle name="Note 2 3 4 2 3 3" xfId="25004"/>
    <cellStyle name="Normal 3 6 3 4 2 3 3" xfId="25005"/>
    <cellStyle name="Comma 2 5 4 3 3 3" xfId="25006"/>
    <cellStyle name="Comma 3 4 4 3 3 3" xfId="25007"/>
    <cellStyle name="Percent 4 3 4 2 3 3" xfId="25008"/>
    <cellStyle name="Normal 3 7 3 4 2 3 3" xfId="25009"/>
    <cellStyle name="Note 3 3 4 2 3 3" xfId="25010"/>
    <cellStyle name="20% - Accent1 2 3 4 2 3 3" xfId="25011"/>
    <cellStyle name="40% - Accent1 2 3 4 2 3 3" xfId="25012"/>
    <cellStyle name="60% - Accent1 2 3 4 2 3 3" xfId="25013"/>
    <cellStyle name="20% - Accent2 2 3 4 2 3 3" xfId="25014"/>
    <cellStyle name="40% - Accent2 2 3 4 2 3 3" xfId="25015"/>
    <cellStyle name="60% - Accent2 2 3 4 2 3 3" xfId="25016"/>
    <cellStyle name="20% - Accent3 2 3 4 2 3 3" xfId="25017"/>
    <cellStyle name="40% - Accent3 2 3 4 2 3 3" xfId="25018"/>
    <cellStyle name="60% - Accent3 2 3 4 2 3 3" xfId="25019"/>
    <cellStyle name="20% - Accent4 2 3 4 2 3 3" xfId="25020"/>
    <cellStyle name="40% - Accent4 2 3 4 2 3 3" xfId="25021"/>
    <cellStyle name="60% - Accent4 2 3 4 2 3 3" xfId="25022"/>
    <cellStyle name="20% - Accent5 2 3 4 2 3 3" xfId="25023"/>
    <cellStyle name="40% - Accent5 2 3 4 2 3 3" xfId="25024"/>
    <cellStyle name="60% - Accent5 2 3 4 2 3 3" xfId="25025"/>
    <cellStyle name="20% - Accent6 2 3 4 2 3 3" xfId="25026"/>
    <cellStyle name="40% - Accent6 2 3 4 2 3 3" xfId="25027"/>
    <cellStyle name="60% - Accent6 2 3 4 2 3 3" xfId="25028"/>
    <cellStyle name="Comma 2 2 4 4 3 3 3" xfId="25029"/>
    <cellStyle name="Comma 4 4 4 3 3 3" xfId="25030"/>
    <cellStyle name="Normal 3 8 3 4 2 3 3" xfId="25031"/>
    <cellStyle name="Comma 2 4 4 3 3 3" xfId="25032"/>
    <cellStyle name="Comma 3 3 4 3 3 3" xfId="25033"/>
    <cellStyle name="Comma 2 2 3 4 3 3 3" xfId="25034"/>
    <cellStyle name="Comma 4 3 4 3 3 3" xfId="25035"/>
    <cellStyle name="Normal 7 2 4 2 3 3" xfId="25036"/>
    <cellStyle name="Comma 5 2 4 3 3 3" xfId="25037"/>
    <cellStyle name="20% - Accent1 3 2 4 2 3 3" xfId="25038"/>
    <cellStyle name="40% - Accent1 3 2 4 2 3 3" xfId="25039"/>
    <cellStyle name="60% - Accent1 3 2 4 2 3 3" xfId="25040"/>
    <cellStyle name="20% - Accent2 3 2 4 2 3 3" xfId="25041"/>
    <cellStyle name="40% - Accent2 3 2 4 2 3 3" xfId="25042"/>
    <cellStyle name="60% - Accent2 3 2 4 2 3 3" xfId="25043"/>
    <cellStyle name="20% - Accent3 3 2 4 2 3 3" xfId="25044"/>
    <cellStyle name="40% - Accent3 3 2 4 2 3 3" xfId="25045"/>
    <cellStyle name="60% - Accent3 3 2 4 2 3 3" xfId="25046"/>
    <cellStyle name="20% - Accent4 3 2 4 2 3 3" xfId="25047"/>
    <cellStyle name="40% - Accent4 3 2 4 2 3 3" xfId="25048"/>
    <cellStyle name="60% - Accent4 3 2 4 2 3 3" xfId="25049"/>
    <cellStyle name="20% - Accent5 3 2 4 2 3 3" xfId="25050"/>
    <cellStyle name="40% - Accent5 3 2 4 2 3 3" xfId="25051"/>
    <cellStyle name="60% - Accent5 3 2 4 2 3 3" xfId="25052"/>
    <cellStyle name="20% - Accent6 3 2 4 2 3 3" xfId="25053"/>
    <cellStyle name="40% - Accent6 3 2 4 2 3 3" xfId="25054"/>
    <cellStyle name="60% - Accent6 3 2 4 2 3 3" xfId="25055"/>
    <cellStyle name="Normal 3 2 3 2 4 2 3 3" xfId="25056"/>
    <cellStyle name="Normal 3 3 3 2 4 2 3 3" xfId="25057"/>
    <cellStyle name="Normal 3 4 3 2 4 2 3 3" xfId="25058"/>
    <cellStyle name="Normal 3 5 3 2 4 2 3 3" xfId="25059"/>
    <cellStyle name="Normal 3 2 2 2 2 4 2 3 3" xfId="25060"/>
    <cellStyle name="Normal 3 3 2 2 2 4 2 3 3" xfId="25061"/>
    <cellStyle name="Normal 3 4 2 2 2 4 2 3 3" xfId="25062"/>
    <cellStyle name="Normal 3 5 2 2 2 4 2 3 3" xfId="25063"/>
    <cellStyle name="Normal 5 2 2 4 2 3 3" xfId="25064"/>
    <cellStyle name="Percent 3 2 2 4 2 3 3" xfId="25065"/>
    <cellStyle name="Note 2 2 2 4 2 3 3" xfId="25066"/>
    <cellStyle name="Normal 3 6 2 2 4 2 3 3" xfId="25067"/>
    <cellStyle name="Comma 2 3 2 4 3 3 3" xfId="25068"/>
    <cellStyle name="Comma 3 2 2 4 3 3 3" xfId="25069"/>
    <cellStyle name="Percent 4 2 2 4 2 3 3" xfId="25070"/>
    <cellStyle name="Normal 3 7 2 2 4 2 3 3" xfId="25071"/>
    <cellStyle name="Note 3 2 2 4 2 3 3" xfId="25072"/>
    <cellStyle name="20% - Accent1 2 2 2 4 2 3 3" xfId="25073"/>
    <cellStyle name="40% - Accent1 2 2 2 4 2 3 3" xfId="25074"/>
    <cellStyle name="60% - Accent1 2 2 2 4 2 3 3" xfId="25075"/>
    <cellStyle name="20% - Accent2 2 2 2 4 2 3 3" xfId="25076"/>
    <cellStyle name="40% - Accent2 2 2 2 4 2 3 3" xfId="25077"/>
    <cellStyle name="60% - Accent2 2 2 2 4 2 3 3" xfId="25078"/>
    <cellStyle name="20% - Accent3 2 2 2 4 2 3 3" xfId="25079"/>
    <cellStyle name="40% - Accent3 2 2 2 4 2 3 3" xfId="25080"/>
    <cellStyle name="60% - Accent3 2 2 2 4 2 3 3" xfId="25081"/>
    <cellStyle name="20% - Accent4 2 2 2 4 2 3 3" xfId="25082"/>
    <cellStyle name="40% - Accent4 2 2 2 4 2 3 3" xfId="25083"/>
    <cellStyle name="60% - Accent4 2 2 2 4 2 3 3" xfId="25084"/>
    <cellStyle name="20% - Accent5 2 2 2 4 2 3 3" xfId="25085"/>
    <cellStyle name="40% - Accent5 2 2 2 4 2 3 3" xfId="25086"/>
    <cellStyle name="60% - Accent5 2 2 2 4 2 3 3" xfId="25087"/>
    <cellStyle name="20% - Accent6 2 2 2 4 2 3 3" xfId="25088"/>
    <cellStyle name="40% - Accent6 2 2 2 4 2 3 3" xfId="25089"/>
    <cellStyle name="60% - Accent6 2 2 2 4 2 3 3" xfId="25090"/>
    <cellStyle name="Comma 2 2 2 2 4 3 3 3" xfId="25091"/>
    <cellStyle name="Comma 4 2 2 4 3 3 3" xfId="25092"/>
    <cellStyle name="Normal 3 8 2 2 4 2 3 3" xfId="25093"/>
    <cellStyle name="Normal 3 10 4 2 3 3" xfId="25094"/>
    <cellStyle name="Normal 3 11 4 2 3 3" xfId="25095"/>
    <cellStyle name="Normal 12 2 3 3" xfId="25096"/>
    <cellStyle name="Percent 8 2 3 3" xfId="25097"/>
    <cellStyle name="Note 4 2 3 3" xfId="25098"/>
    <cellStyle name="20% - Accent1 8 2 3 3" xfId="25099"/>
    <cellStyle name="40% - Accent1 8 2 3 3" xfId="25100"/>
    <cellStyle name="60% - Accent1 8 2 3 3" xfId="25101"/>
    <cellStyle name="20% - Accent2 8 2 3 3" xfId="25102"/>
    <cellStyle name="40% - Accent2 8 2 3 3" xfId="25103"/>
    <cellStyle name="60% - Accent2 8 2 3 3" xfId="25104"/>
    <cellStyle name="20% - Accent3 8 2 3 3" xfId="25105"/>
    <cellStyle name="40% - Accent3 8 2 3 3" xfId="25106"/>
    <cellStyle name="60% - Accent3 8 2 3 3" xfId="25107"/>
    <cellStyle name="20% - Accent4 8 2 3 3" xfId="25108"/>
    <cellStyle name="40% - Accent4 8 2 3 3" xfId="25109"/>
    <cellStyle name="60% - Accent4 8 2 3 3" xfId="25110"/>
    <cellStyle name="20% - Accent5 8 2 3 3" xfId="25111"/>
    <cellStyle name="40% - Accent5 8 2 3 3" xfId="25112"/>
    <cellStyle name="60% - Accent5 8 2 3 3" xfId="25113"/>
    <cellStyle name="20% - Accent6 8 2 3 3" xfId="25114"/>
    <cellStyle name="40% - Accent6 8 2 3 3" xfId="25115"/>
    <cellStyle name="60% - Accent6 8 2 3 3" xfId="25116"/>
    <cellStyle name="Comma 2 9 3 3 3" xfId="25117"/>
    <cellStyle name="Comma 7 3 3 3" xfId="25118"/>
    <cellStyle name="Normal 13 4 3 3" xfId="25119"/>
    <cellStyle name="Comma 8 2 3 3" xfId="25120"/>
    <cellStyle name="20% - Accent1 9 2 3 3" xfId="25121"/>
    <cellStyle name="40% - Accent1 9 2 3 3" xfId="25122"/>
    <cellStyle name="60% - Accent1 9 2 3 3" xfId="25123"/>
    <cellStyle name="20% - Accent2 9 2 3 3" xfId="25124"/>
    <cellStyle name="40% - Accent2 9 2 3 3" xfId="25125"/>
    <cellStyle name="60% - Accent2 9 2 3 3" xfId="25126"/>
    <cellStyle name="20% - Accent3 9 2 3 3" xfId="25127"/>
    <cellStyle name="40% - Accent3 9 2 3 3" xfId="25128"/>
    <cellStyle name="60% - Accent3 9 2 3 3" xfId="25129"/>
    <cellStyle name="20% - Accent4 9 2 3 3" xfId="25130"/>
    <cellStyle name="40% - Accent4 9 2 3 3" xfId="25131"/>
    <cellStyle name="60% - Accent4 9 2 3 3" xfId="25132"/>
    <cellStyle name="20% - Accent5 9 2 3 3" xfId="25133"/>
    <cellStyle name="40% - Accent5 9 2 3 3" xfId="25134"/>
    <cellStyle name="60% - Accent5 9 2 3 3" xfId="25135"/>
    <cellStyle name="20% - Accent6 9 2 3 3" xfId="25136"/>
    <cellStyle name="40% - Accent6 9 2 3 3" xfId="25137"/>
    <cellStyle name="60% - Accent6 9 2 3 3" xfId="25138"/>
    <cellStyle name="Normal 3 2 8 2 3 3" xfId="25139"/>
    <cellStyle name="Normal 3 3 8 2 3 3" xfId="25140"/>
    <cellStyle name="Normal 3 4 8 2 3 3" xfId="25141"/>
    <cellStyle name="Normal 3 5 8 2 3 3" xfId="25142"/>
    <cellStyle name="Normal 3 2 2 7 2 3 3" xfId="25143"/>
    <cellStyle name="Normal 3 3 2 7 2 3 3" xfId="25144"/>
    <cellStyle name="Normal 3 4 2 7 2 3 3" xfId="25145"/>
    <cellStyle name="Normal 3 5 2 7 2 3 3" xfId="25146"/>
    <cellStyle name="Normal 5 7 2 3 3" xfId="25147"/>
    <cellStyle name="Percent 3 7 2 3 3" xfId="25148"/>
    <cellStyle name="Note 2 7 2 3 3" xfId="25149"/>
    <cellStyle name="Normal 3 6 7 2 3 3" xfId="25150"/>
    <cellStyle name="Comma 2 10 2 3 3" xfId="25151"/>
    <cellStyle name="Comma 3 9 2 3 3" xfId="25152"/>
    <cellStyle name="Percent 4 7 2 3 3" xfId="25153"/>
    <cellStyle name="Normal 3 7 7 2 3 3" xfId="25154"/>
    <cellStyle name="Note 3 7 2 3 3" xfId="25155"/>
    <cellStyle name="20% - Accent1 2 7 2 3 3" xfId="25156"/>
    <cellStyle name="40% - Accent1 2 7 2 3 3" xfId="25157"/>
    <cellStyle name="60% - Accent1 2 7 2 3 3" xfId="25158"/>
    <cellStyle name="20% - Accent2 2 7 2 3 3" xfId="25159"/>
    <cellStyle name="40% - Accent2 2 7 2 3 3" xfId="25160"/>
    <cellStyle name="60% - Accent2 2 7 2 3 3" xfId="25161"/>
    <cellStyle name="20% - Accent3 2 7 2 3 3" xfId="25162"/>
    <cellStyle name="40% - Accent3 2 7 2 3 3" xfId="25163"/>
    <cellStyle name="60% - Accent3 2 7 2 3 3" xfId="25164"/>
    <cellStyle name="20% - Accent4 2 7 2 3 3" xfId="25165"/>
    <cellStyle name="40% - Accent4 2 7 2 3 3" xfId="25166"/>
    <cellStyle name="60% - Accent4 2 7 2 3 3" xfId="25167"/>
    <cellStyle name="20% - Accent5 2 7 2 3 3" xfId="25168"/>
    <cellStyle name="40% - Accent5 2 7 2 3 3" xfId="25169"/>
    <cellStyle name="60% - Accent5 2 7 2 3 3" xfId="25170"/>
    <cellStyle name="20% - Accent6 2 7 2 3 3" xfId="25171"/>
    <cellStyle name="40% - Accent6 2 7 2 3 3" xfId="25172"/>
    <cellStyle name="60% - Accent6 2 7 2 3 3" xfId="25173"/>
    <cellStyle name="Comma 2 2 8 2 3 3" xfId="25174"/>
    <cellStyle name="Comma 4 8 2 3 3" xfId="25175"/>
    <cellStyle name="Normal 3 8 7 2 3 3" xfId="25176"/>
    <cellStyle name="Comma 2 4 5 2 3 3" xfId="25177"/>
    <cellStyle name="Comma 3 3 5 2 3 3" xfId="25178"/>
    <cellStyle name="Comma 2 2 3 5 2 3 3" xfId="25179"/>
    <cellStyle name="Comma 4 3 5 2 3 3" xfId="25180"/>
    <cellStyle name="Normal 7 6 2 3 3" xfId="25181"/>
    <cellStyle name="Comma 5 6 2 3 3" xfId="25182"/>
    <cellStyle name="20% - Accent1 3 6 2 3 3" xfId="25183"/>
    <cellStyle name="40% - Accent1 3 6 2 3 3" xfId="25184"/>
    <cellStyle name="60% - Accent1 3 6 2 3 3" xfId="25185"/>
    <cellStyle name="20% - Accent2 3 6 2 3 3" xfId="25186"/>
    <cellStyle name="40% - Accent2 3 6 2 3 3" xfId="25187"/>
    <cellStyle name="60% - Accent2 3 6 2 3 3" xfId="25188"/>
    <cellStyle name="20% - Accent3 3 6 2 3 3" xfId="25189"/>
    <cellStyle name="40% - Accent3 3 6 2 3 3" xfId="25190"/>
    <cellStyle name="60% - Accent3 3 6 2 3 3" xfId="25191"/>
    <cellStyle name="20% - Accent4 3 6 2 3 3" xfId="25192"/>
    <cellStyle name="40% - Accent4 3 6 2 3 3" xfId="25193"/>
    <cellStyle name="60% - Accent4 3 6 2 3 3" xfId="25194"/>
    <cellStyle name="20% - Accent5 3 6 2 3 3" xfId="25195"/>
    <cellStyle name="40% - Accent5 3 6 2 3 3" xfId="25196"/>
    <cellStyle name="60% - Accent5 3 6 2 3 3" xfId="25197"/>
    <cellStyle name="20% - Accent6 3 6 2 3 3" xfId="25198"/>
    <cellStyle name="40% - Accent6 3 6 2 3 3" xfId="25199"/>
    <cellStyle name="60% - Accent6 3 6 2 3 3" xfId="25200"/>
    <cellStyle name="Normal 3 2 3 6 2 3 3" xfId="25201"/>
    <cellStyle name="Normal 3 3 3 6 2 3 3" xfId="25202"/>
    <cellStyle name="Normal 3 4 3 6 2 3 3" xfId="25203"/>
    <cellStyle name="Normal 3 5 3 6 2 3 3" xfId="25204"/>
    <cellStyle name="Normal 3 2 2 2 6 2 3 3" xfId="25205"/>
    <cellStyle name="Normal 3 3 2 2 6 2 3 3" xfId="25206"/>
    <cellStyle name="Normal 3 4 2 2 6 2 3 3" xfId="25207"/>
    <cellStyle name="Normal 3 5 2 2 6 2 3 3" xfId="25208"/>
    <cellStyle name="Normal 5 2 6 2 3 3" xfId="25209"/>
    <cellStyle name="Percent 3 2 6 2 3 3" xfId="25210"/>
    <cellStyle name="Note 2 2 6 2 3 3" xfId="25211"/>
    <cellStyle name="Normal 3 6 2 6 2 3 3" xfId="25212"/>
    <cellStyle name="Comma 2 3 6 2 3 3" xfId="25213"/>
    <cellStyle name="Comma 3 2 6 2 3 3" xfId="25214"/>
    <cellStyle name="Percent 4 2 6 2 3 3" xfId="25215"/>
    <cellStyle name="Normal 3 7 2 6 2 3 3" xfId="25216"/>
    <cellStyle name="Note 3 2 6 2 3 3" xfId="25217"/>
    <cellStyle name="20% - Accent1 2 2 6 2 3 3" xfId="25218"/>
    <cellStyle name="40% - Accent1 2 2 6 2 3 3" xfId="25219"/>
    <cellStyle name="60% - Accent1 2 2 6 2 3 3" xfId="25220"/>
    <cellStyle name="20% - Accent2 2 2 6 2 3 3" xfId="25221"/>
    <cellStyle name="40% - Accent2 2 2 6 2 3 3" xfId="25222"/>
    <cellStyle name="60% - Accent2 2 2 6 2 3 3" xfId="25223"/>
    <cellStyle name="20% - Accent3 2 2 6 2 3 3" xfId="25224"/>
    <cellStyle name="40% - Accent3 2 2 6 2 3 3" xfId="25225"/>
    <cellStyle name="60% - Accent3 2 2 6 2 3 3" xfId="25226"/>
    <cellStyle name="20% - Accent4 2 2 6 2 3 3" xfId="25227"/>
    <cellStyle name="40% - Accent4 2 2 6 2 3 3" xfId="25228"/>
    <cellStyle name="60% - Accent4 2 2 6 2 3 3" xfId="25229"/>
    <cellStyle name="20% - Accent5 2 2 6 2 3 3" xfId="25230"/>
    <cellStyle name="40% - Accent5 2 2 6 2 3 3" xfId="25231"/>
    <cellStyle name="60% - Accent5 2 2 6 2 3 3" xfId="25232"/>
    <cellStyle name="20% - Accent6 2 2 6 2 3 3" xfId="25233"/>
    <cellStyle name="40% - Accent6 2 2 6 2 3 3" xfId="25234"/>
    <cellStyle name="60% - Accent6 2 2 6 2 3 3" xfId="25235"/>
    <cellStyle name="Comma 2 2 2 6 2 3 3" xfId="25236"/>
    <cellStyle name="Comma 4 2 6 2 3 3" xfId="25237"/>
    <cellStyle name="Normal 3 8 2 6 2 3 3" xfId="25238"/>
    <cellStyle name="Comma 2 11 3 3" xfId="25239"/>
    <cellStyle name="Comma 3 10 3 3" xfId="25240"/>
    <cellStyle name="Comma 2 2 9 3 3" xfId="25241"/>
    <cellStyle name="Comma 4 9 3 3" xfId="25242"/>
    <cellStyle name="Comma 5 7 3 3" xfId="25243"/>
    <cellStyle name="Comma 2 3 7 3 3" xfId="25244"/>
    <cellStyle name="Comma 3 2 7 3 3" xfId="25245"/>
    <cellStyle name="Comma 2 2 2 7 3 3" xfId="25246"/>
    <cellStyle name="Comma 4 2 7 3 3" xfId="25247"/>
    <cellStyle name="Comma 6 5 3 3" xfId="25248"/>
    <cellStyle name="Comma 2 5 5 3 3" xfId="25249"/>
    <cellStyle name="Comma 3 4 5 3 3" xfId="25250"/>
    <cellStyle name="Comma 2 2 4 5 3 3" xfId="25251"/>
    <cellStyle name="Comma 4 4 5 3 3" xfId="25252"/>
    <cellStyle name="Comma 2 4 6 3 3" xfId="25253"/>
    <cellStyle name="Comma 3 3 6 3 3" xfId="25254"/>
    <cellStyle name="Comma 2 2 3 6 3 3" xfId="25255"/>
    <cellStyle name="Comma 4 3 6 3 3" xfId="25256"/>
    <cellStyle name="Comma 5 2 5 3 3" xfId="25257"/>
    <cellStyle name="Comma 2 3 2 5 3 3" xfId="25258"/>
    <cellStyle name="Comma 3 2 2 5 3 3" xfId="25259"/>
    <cellStyle name="Comma 2 2 2 2 5 3 3" xfId="25260"/>
    <cellStyle name="Comma 4 2 2 5 3 3" xfId="25261"/>
    <cellStyle name="Comma 2 6 3 3 3" xfId="25262"/>
    <cellStyle name="Comma 3 5 3 3 3" xfId="25263"/>
    <cellStyle name="Comma 2 2 5 3 3 3" xfId="25264"/>
    <cellStyle name="Comma 4 5 3 3 3" xfId="25265"/>
    <cellStyle name="Comma 5 3 3 3 3" xfId="25266"/>
    <cellStyle name="Comma 2 3 3 3 3 3" xfId="25267"/>
    <cellStyle name="Comma 3 2 3 3 3 3" xfId="25268"/>
    <cellStyle name="Comma 2 2 2 3 3 3 3" xfId="25269"/>
    <cellStyle name="Comma 4 2 3 3 3 3" xfId="25270"/>
    <cellStyle name="Comma 6 2 3 3 3" xfId="25271"/>
    <cellStyle name="Comma 2 5 2 3 3 3" xfId="25272"/>
    <cellStyle name="Comma 3 4 2 3 3 3" xfId="25273"/>
    <cellStyle name="Comma 2 2 4 2 3 3 3" xfId="25274"/>
    <cellStyle name="Comma 4 4 2 3 3 3" xfId="25275"/>
    <cellStyle name="Comma 2 4 2 3 3 3" xfId="25276"/>
    <cellStyle name="Comma 3 3 2 3 3 3" xfId="25277"/>
    <cellStyle name="Comma 2 2 3 2 3 3 3" xfId="25278"/>
    <cellStyle name="Comma 4 3 2 3 3 3" xfId="25279"/>
    <cellStyle name="Comma 5 2 2 3 3 3" xfId="25280"/>
    <cellStyle name="Comma 2 3 2 2 3 3 3" xfId="25281"/>
    <cellStyle name="Comma 3 2 2 2 3 3 3" xfId="25282"/>
    <cellStyle name="Comma 2 2 2 2 2 3 3 3" xfId="25283"/>
    <cellStyle name="Comma 4 2 2 2 3 3 3" xfId="25284"/>
    <cellStyle name="Comma 2 7 2 3 3" xfId="25285"/>
    <cellStyle name="Comma 3 7 2 3 3" xfId="25286"/>
    <cellStyle name="Comma 2 2 6 2 3 3" xfId="25287"/>
    <cellStyle name="Comma 4 6 2 3 3" xfId="25288"/>
    <cellStyle name="Comma 5 4 2 3 3" xfId="25289"/>
    <cellStyle name="Comma 2 3 4 2 3 3" xfId="25290"/>
    <cellStyle name="Comma 3 2 4 2 3 3" xfId="25291"/>
    <cellStyle name="Comma 2 2 2 4 2 3 3" xfId="25292"/>
    <cellStyle name="Comma 4 2 4 2 3 3" xfId="25293"/>
    <cellStyle name="Comma 6 3 2 3 3" xfId="25294"/>
    <cellStyle name="Comma 2 5 3 2 3 3" xfId="25295"/>
    <cellStyle name="Comma 3 4 3 2 3 3" xfId="25296"/>
    <cellStyle name="Comma 2 2 4 3 2 3 3" xfId="25297"/>
    <cellStyle name="Comma 4 4 3 2 3 3" xfId="25298"/>
    <cellStyle name="Comma 2 4 3 2 3 3" xfId="25299"/>
    <cellStyle name="Comma 3 3 3 2 3 3" xfId="25300"/>
    <cellStyle name="Comma 2 2 3 3 2 3 3" xfId="25301"/>
    <cellStyle name="Comma 4 3 3 2 3 3" xfId="25302"/>
    <cellStyle name="Comma 5 2 3 2 3 3" xfId="25303"/>
    <cellStyle name="Comma 2 3 2 3 2 3 3" xfId="25304"/>
    <cellStyle name="Comma 3 2 2 3 2 3 3" xfId="25305"/>
    <cellStyle name="Comma 2 2 2 2 3 2 3 3" xfId="25306"/>
    <cellStyle name="Comma 4 2 2 3 2 3 3" xfId="25307"/>
    <cellStyle name="Comma 3 6 2 3 3" xfId="25308"/>
    <cellStyle name="Comma 2 6 2 2 3 3" xfId="25309"/>
    <cellStyle name="Comma 3 5 2 2 3 3" xfId="25310"/>
    <cellStyle name="Comma 2 2 5 2 2 3 3" xfId="25311"/>
    <cellStyle name="Comma 4 5 2 2 3 3" xfId="25312"/>
    <cellStyle name="Comma 5 3 2 2 3 3" xfId="25313"/>
    <cellStyle name="Comma 2 3 3 2 2 3 3" xfId="25314"/>
    <cellStyle name="Comma 3 2 3 2 2 3 3" xfId="25315"/>
    <cellStyle name="Comma 2 2 2 3 2 2 3 3" xfId="25316"/>
    <cellStyle name="Comma 4 2 3 2 2 3 3" xfId="25317"/>
    <cellStyle name="Comma 6 2 2 2 3 3" xfId="25318"/>
    <cellStyle name="Comma 2 5 2 2 2 3 3" xfId="25319"/>
    <cellStyle name="Comma 3 4 2 2 2 3 3" xfId="25320"/>
    <cellStyle name="Comma 2 2 4 2 2 2 3 3" xfId="25321"/>
    <cellStyle name="Comma 4 4 2 2 2 3 3" xfId="25322"/>
    <cellStyle name="Comma 2 4 2 2 2 3 3" xfId="25323"/>
    <cellStyle name="Comma 3 3 2 2 2 3 3" xfId="25324"/>
    <cellStyle name="Comma 2 2 3 2 2 2 3 3" xfId="25325"/>
    <cellStyle name="Comma 4 3 2 2 2 3 3" xfId="25326"/>
    <cellStyle name="Comma 5 2 2 2 2 3 3" xfId="25327"/>
    <cellStyle name="Comma 2 3 2 2 2 2 3 3" xfId="25328"/>
    <cellStyle name="Comma 3 2 2 2 2 2 3 3" xfId="25329"/>
    <cellStyle name="Comma 2 2 2 2 2 2 2 3 3" xfId="25330"/>
    <cellStyle name="Comma 4 2 2 2 2 2 3 3" xfId="25331"/>
    <cellStyle name="Comma 2 8 2 3 3" xfId="25332"/>
    <cellStyle name="Comma 3 8 2 3 3" xfId="25333"/>
    <cellStyle name="Comma 2 2 7 2 3 3" xfId="25334"/>
    <cellStyle name="Comma 4 7 2 3 3" xfId="25335"/>
    <cellStyle name="Comma 5 5 2 3 3" xfId="25336"/>
    <cellStyle name="Comma 2 3 5 2 3 3" xfId="25337"/>
    <cellStyle name="Comma 3 2 5 2 3 3" xfId="25338"/>
    <cellStyle name="Comma 2 2 2 5 2 3 3" xfId="25339"/>
    <cellStyle name="Comma 4 2 5 2 3 3" xfId="25340"/>
    <cellStyle name="Comma 6 4 2 3 3" xfId="25341"/>
    <cellStyle name="Comma 2 5 4 2 3 3" xfId="25342"/>
    <cellStyle name="Comma 3 4 4 2 3 3" xfId="25343"/>
    <cellStyle name="Comma 2 2 4 4 2 3 3" xfId="25344"/>
    <cellStyle name="Comma 4 4 4 2 3 3" xfId="25345"/>
    <cellStyle name="Comma 2 4 4 2 3 3" xfId="25346"/>
    <cellStyle name="Comma 3 3 4 2 3 3" xfId="25347"/>
    <cellStyle name="Comma 2 2 3 4 2 3 3" xfId="25348"/>
    <cellStyle name="Comma 4 3 4 2 3 3" xfId="25349"/>
    <cellStyle name="Comma 5 2 4 2 3 3" xfId="25350"/>
    <cellStyle name="Comma 2 3 2 4 2 3 3" xfId="25351"/>
    <cellStyle name="Comma 3 2 2 4 2 3 3" xfId="25352"/>
    <cellStyle name="Comma 2 2 2 2 4 2 3 3" xfId="25353"/>
    <cellStyle name="Comma 4 2 2 4 2 3 3" xfId="25354"/>
    <cellStyle name="Comma 2 9 2 3 3" xfId="25355"/>
    <cellStyle name="Comma 7 2 3 3" xfId="25356"/>
    <cellStyle name="Normal 13 2 3 3" xfId="25357"/>
    <cellStyle name="Normal 6 3 3 3" xfId="25358"/>
    <cellStyle name="Percent 5 3 3 3" xfId="25359"/>
    <cellStyle name="Normal 18 2 2" xfId="25360"/>
    <cellStyle name="20% - Accent1 13 2" xfId="25361"/>
    <cellStyle name="40% - Accent1 13 2" xfId="25362"/>
    <cellStyle name="60% - Accent1 13 2" xfId="25363"/>
    <cellStyle name="20% - Accent2 13 2" xfId="25364"/>
    <cellStyle name="40% - Accent2 13 2" xfId="25365"/>
    <cellStyle name="60% - Accent2 13 2" xfId="25366"/>
    <cellStyle name="20% - Accent3 13 2" xfId="25367"/>
    <cellStyle name="40% - Accent3 13 2" xfId="25368"/>
    <cellStyle name="60% - Accent3 13 2" xfId="25369"/>
    <cellStyle name="20% - Accent4 13 2" xfId="25370"/>
    <cellStyle name="40% - Accent4 13 2" xfId="25371"/>
    <cellStyle name="60% - Accent4 13 2" xfId="25372"/>
    <cellStyle name="20% - Accent5 13 2" xfId="25373"/>
    <cellStyle name="40% - Accent5 13 2" xfId="25374"/>
    <cellStyle name="60% - Accent5 13 2" xfId="25375"/>
    <cellStyle name="20% - Accent6 13 2" xfId="25376"/>
    <cellStyle name="40% - Accent6 13 2" xfId="25377"/>
    <cellStyle name="60% - Accent6 13 2" xfId="25378"/>
    <cellStyle name="Normal 3 2 12 2" xfId="25379"/>
    <cellStyle name="Normal 3 3 12 2" xfId="25380"/>
    <cellStyle name="Normal 3 4 12 2" xfId="25381"/>
    <cellStyle name="Normal 3 5 12 2" xfId="25382"/>
    <cellStyle name="Normal 3 2 2 11 2" xfId="25383"/>
    <cellStyle name="Normal 3 3 2 11 2" xfId="25384"/>
    <cellStyle name="Normal 3 4 2 11 2" xfId="25385"/>
    <cellStyle name="Normal 3 5 2 11 2" xfId="25386"/>
    <cellStyle name="Normal 5 11 2" xfId="25387"/>
    <cellStyle name="Percent 3 11 2" xfId="25388"/>
    <cellStyle name="Note 2 11 2" xfId="25389"/>
    <cellStyle name="Normal 3 6 11 2" xfId="25390"/>
    <cellStyle name="Comma 2 15 2" xfId="25391"/>
    <cellStyle name="Comma 3 14 2" xfId="25392"/>
    <cellStyle name="Percent 4 11 2" xfId="25393"/>
    <cellStyle name="Normal 3 7 11 2" xfId="25394"/>
    <cellStyle name="Note 3 11 2" xfId="25395"/>
    <cellStyle name="20% - Accent1 2 11 2" xfId="25396"/>
    <cellStyle name="40% - Accent1 2 11 2" xfId="25397"/>
    <cellStyle name="60% - Accent1 2 11 2" xfId="25398"/>
    <cellStyle name="20% - Accent2 2 11 2" xfId="25399"/>
    <cellStyle name="40% - Accent2 2 11 2" xfId="25400"/>
    <cellStyle name="60% - Accent2 2 11 2" xfId="25401"/>
    <cellStyle name="20% - Accent3 2 11 2" xfId="25402"/>
    <cellStyle name="40% - Accent3 2 11 2" xfId="25403"/>
    <cellStyle name="60% - Accent3 2 11 2" xfId="25404"/>
    <cellStyle name="20% - Accent4 2 11 2" xfId="25405"/>
    <cellStyle name="40% - Accent4 2 11 2" xfId="25406"/>
    <cellStyle name="60% - Accent4 2 11 2" xfId="25407"/>
    <cellStyle name="20% - Accent5 2 11 2" xfId="25408"/>
    <cellStyle name="40% - Accent5 2 11 2" xfId="25409"/>
    <cellStyle name="60% - Accent5 2 11 2" xfId="25410"/>
    <cellStyle name="20% - Accent6 2 11 2" xfId="25411"/>
    <cellStyle name="40% - Accent6 2 11 2" xfId="25412"/>
    <cellStyle name="60% - Accent6 2 11 2" xfId="25413"/>
    <cellStyle name="Comma 2 2 13 2" xfId="25414"/>
    <cellStyle name="Comma 4 13 2" xfId="25415"/>
    <cellStyle name="Normal 3 8 11 2" xfId="25416"/>
    <cellStyle name="Normal 7 10 2" xfId="25417"/>
    <cellStyle name="Comma 5 11 2" xfId="25418"/>
    <cellStyle name="20% - Accent1 3 10 2" xfId="25419"/>
    <cellStyle name="40% - Accent1 3 10 2" xfId="25420"/>
    <cellStyle name="60% - Accent1 3 10 2" xfId="25421"/>
    <cellStyle name="20% - Accent2 3 10 2" xfId="25422"/>
    <cellStyle name="40% - Accent2 3 10 2" xfId="25423"/>
    <cellStyle name="60% - Accent2 3 10 2" xfId="25424"/>
    <cellStyle name="20% - Accent3 3 10 2" xfId="25425"/>
    <cellStyle name="40% - Accent3 3 10 2" xfId="25426"/>
    <cellStyle name="60% - Accent3 3 10 2" xfId="25427"/>
    <cellStyle name="20% - Accent4 3 10 2" xfId="25428"/>
    <cellStyle name="40% - Accent4 3 10 2" xfId="25429"/>
    <cellStyle name="60% - Accent4 3 10 2" xfId="25430"/>
    <cellStyle name="20% - Accent5 3 10 2" xfId="25431"/>
    <cellStyle name="40% - Accent5 3 10 2" xfId="25432"/>
    <cellStyle name="60% - Accent5 3 10 2" xfId="25433"/>
    <cellStyle name="20% - Accent6 3 10 2" xfId="25434"/>
    <cellStyle name="40% - Accent6 3 10 2" xfId="25435"/>
    <cellStyle name="60% - Accent6 3 10 2" xfId="25436"/>
    <cellStyle name="Normal 3 2 3 10 2" xfId="25437"/>
    <cellStyle name="Normal 3 3 3 10 2" xfId="25438"/>
    <cellStyle name="Normal 3 4 3 10 2" xfId="25439"/>
    <cellStyle name="Normal 3 5 3 10 2" xfId="25440"/>
    <cellStyle name="Normal 3 2 2 2 10 2" xfId="25441"/>
    <cellStyle name="Normal 3 3 2 2 10 2" xfId="25442"/>
    <cellStyle name="Normal 3 4 2 2 10 2" xfId="25443"/>
    <cellStyle name="Normal 3 5 2 2 10 2" xfId="25444"/>
    <cellStyle name="Normal 5 2 10 2" xfId="25445"/>
    <cellStyle name="Percent 3 2 10 2" xfId="25446"/>
    <cellStyle name="Note 2 2 10 2" xfId="25447"/>
    <cellStyle name="Normal 3 6 2 10 2" xfId="25448"/>
    <cellStyle name="Comma 2 3 11 2" xfId="25449"/>
    <cellStyle name="Comma 3 2 11 2" xfId="25450"/>
    <cellStyle name="Percent 4 2 10 2" xfId="25451"/>
    <cellStyle name="Normal 3 7 2 10 2" xfId="25452"/>
    <cellStyle name="Note 3 2 10 2" xfId="25453"/>
    <cellStyle name="20% - Accent1 2 2 10 2" xfId="25454"/>
    <cellStyle name="40% - Accent1 2 2 10 2" xfId="25455"/>
    <cellStyle name="60% - Accent1 2 2 10 2" xfId="25456"/>
    <cellStyle name="20% - Accent2 2 2 10 2" xfId="25457"/>
    <cellStyle name="40% - Accent2 2 2 10 2" xfId="25458"/>
    <cellStyle name="60% - Accent2 2 2 10 2" xfId="25459"/>
    <cellStyle name="20% - Accent3 2 2 10 2" xfId="25460"/>
    <cellStyle name="40% - Accent3 2 2 10 2" xfId="25461"/>
    <cellStyle name="60% - Accent3 2 2 10 2" xfId="25462"/>
    <cellStyle name="20% - Accent4 2 2 10 2" xfId="25463"/>
    <cellStyle name="40% - Accent4 2 2 10 2" xfId="25464"/>
    <cellStyle name="60% - Accent4 2 2 10 2" xfId="25465"/>
    <cellStyle name="20% - Accent5 2 2 10 2" xfId="25466"/>
    <cellStyle name="40% - Accent5 2 2 10 2" xfId="25467"/>
    <cellStyle name="60% - Accent5 2 2 10 2" xfId="25468"/>
    <cellStyle name="20% - Accent6 2 2 10 2" xfId="25469"/>
    <cellStyle name="40% - Accent6 2 2 10 2" xfId="25470"/>
    <cellStyle name="60% - Accent6 2 2 10 2" xfId="25471"/>
    <cellStyle name="Comma 2 2 2 11 2" xfId="25472"/>
    <cellStyle name="Comma 4 2 11 2" xfId="25473"/>
    <cellStyle name="Normal 3 8 2 10 2" xfId="25474"/>
    <cellStyle name="Normal 8 8 2" xfId="25475"/>
    <cellStyle name="Comma 6 9 2" xfId="25476"/>
    <cellStyle name="20% - Accent1 4 8 2" xfId="25477"/>
    <cellStyle name="40% - Accent1 4 8 2" xfId="25478"/>
    <cellStyle name="60% - Accent1 4 8 2" xfId="25479"/>
    <cellStyle name="20% - Accent2 4 8 2" xfId="25480"/>
    <cellStyle name="40% - Accent2 4 8 2" xfId="25481"/>
    <cellStyle name="60% - Accent2 4 8 2" xfId="25482"/>
    <cellStyle name="20% - Accent3 4 8 2" xfId="25483"/>
    <cellStyle name="40% - Accent3 4 8 2" xfId="25484"/>
    <cellStyle name="60% - Accent3 4 8 2" xfId="25485"/>
    <cellStyle name="20% - Accent4 4 8 2" xfId="25486"/>
    <cellStyle name="40% - Accent4 4 8 2" xfId="25487"/>
    <cellStyle name="60% - Accent4 4 8 2" xfId="25488"/>
    <cellStyle name="20% - Accent5 4 8 2" xfId="25489"/>
    <cellStyle name="40% - Accent5 4 8 2" xfId="25490"/>
    <cellStyle name="60% - Accent5 4 8 2" xfId="25491"/>
    <cellStyle name="20% - Accent6 4 8 2" xfId="25492"/>
    <cellStyle name="40% - Accent6 4 8 2" xfId="25493"/>
    <cellStyle name="60% - Accent6 4 8 2" xfId="25494"/>
    <cellStyle name="Normal 3 2 4 8 2" xfId="25495"/>
    <cellStyle name="Normal 3 3 4 8 2" xfId="25496"/>
    <cellStyle name="Normal 3 4 4 8 2" xfId="25497"/>
    <cellStyle name="Normal 3 5 4 8 2" xfId="25498"/>
    <cellStyle name="Normal 3 2 2 3 8 2" xfId="25499"/>
    <cellStyle name="Normal 3 3 2 3 8 2" xfId="25500"/>
    <cellStyle name="Normal 3 4 2 3 8 2" xfId="25501"/>
    <cellStyle name="Normal 3 5 2 3 8 2" xfId="25502"/>
    <cellStyle name="Normal 5 3 8 2" xfId="25503"/>
    <cellStyle name="Percent 3 3 8 2" xfId="25504"/>
    <cellStyle name="Note 2 3 8 2" xfId="25505"/>
    <cellStyle name="Normal 3 6 3 8 2" xfId="25506"/>
    <cellStyle name="Comma 2 5 9 2" xfId="25507"/>
    <cellStyle name="Comma 3 4 9 2" xfId="25508"/>
    <cellStyle name="Percent 4 3 8 2" xfId="25509"/>
    <cellStyle name="Normal 3 7 3 8 2" xfId="25510"/>
    <cellStyle name="Note 3 3 8 2" xfId="25511"/>
    <cellStyle name="20% - Accent1 2 3 8 2" xfId="25512"/>
    <cellStyle name="40% - Accent1 2 3 8 2" xfId="25513"/>
    <cellStyle name="60% - Accent1 2 3 8 2" xfId="25514"/>
    <cellStyle name="20% - Accent2 2 3 8 2" xfId="25515"/>
    <cellStyle name="40% - Accent2 2 3 8 2" xfId="25516"/>
    <cellStyle name="60% - Accent2 2 3 8 2" xfId="25517"/>
    <cellStyle name="20% - Accent3 2 3 8 2" xfId="25518"/>
    <cellStyle name="40% - Accent3 2 3 8 2" xfId="25519"/>
    <cellStyle name="60% - Accent3 2 3 8 2" xfId="25520"/>
    <cellStyle name="20% - Accent4 2 3 8 2" xfId="25521"/>
    <cellStyle name="40% - Accent4 2 3 8 2" xfId="25522"/>
    <cellStyle name="60% - Accent4 2 3 8 2" xfId="25523"/>
    <cellStyle name="20% - Accent5 2 3 8 2" xfId="25524"/>
    <cellStyle name="40% - Accent5 2 3 8 2" xfId="25525"/>
    <cellStyle name="60% - Accent5 2 3 8 2" xfId="25526"/>
    <cellStyle name="20% - Accent6 2 3 8 2" xfId="25527"/>
    <cellStyle name="40% - Accent6 2 3 8 2" xfId="25528"/>
    <cellStyle name="60% - Accent6 2 3 8 2" xfId="25529"/>
    <cellStyle name="Comma 2 2 4 9 2" xfId="25530"/>
    <cellStyle name="Comma 4 4 9 2" xfId="25531"/>
    <cellStyle name="Normal 3 8 3 8 2" xfId="25532"/>
    <cellStyle name="Comma 2 4 10 2" xfId="25533"/>
    <cellStyle name="Comma 3 3 10 2" xfId="25534"/>
    <cellStyle name="Comma 2 2 3 10 2" xfId="25535"/>
    <cellStyle name="Comma 4 3 10 2" xfId="25536"/>
    <cellStyle name="Normal 7 2 8 2" xfId="25537"/>
    <cellStyle name="Comma 5 2 9 2" xfId="25538"/>
    <cellStyle name="20% - Accent1 3 2 8 2" xfId="25539"/>
    <cellStyle name="40% - Accent1 3 2 8 2" xfId="25540"/>
    <cellStyle name="60% - Accent1 3 2 8 2" xfId="25541"/>
    <cellStyle name="20% - Accent2 3 2 8 2" xfId="25542"/>
    <cellStyle name="40% - Accent2 3 2 8 2" xfId="25543"/>
    <cellStyle name="60% - Accent2 3 2 8 2" xfId="25544"/>
    <cellStyle name="20% - Accent3 3 2 8 2" xfId="25545"/>
    <cellStyle name="40% - Accent3 3 2 8 2" xfId="25546"/>
    <cellStyle name="60% - Accent3 3 2 8 2" xfId="25547"/>
    <cellStyle name="20% - Accent4 3 2 8 2" xfId="25548"/>
    <cellStyle name="40% - Accent4 3 2 8 2" xfId="25549"/>
    <cellStyle name="60% - Accent4 3 2 8 2" xfId="25550"/>
    <cellStyle name="20% - Accent5 3 2 8 2" xfId="25551"/>
    <cellStyle name="40% - Accent5 3 2 8 2" xfId="25552"/>
    <cellStyle name="60% - Accent5 3 2 8 2" xfId="25553"/>
    <cellStyle name="20% - Accent6 3 2 8 2" xfId="25554"/>
    <cellStyle name="40% - Accent6 3 2 8 2" xfId="25555"/>
    <cellStyle name="60% - Accent6 3 2 8 2" xfId="25556"/>
    <cellStyle name="Normal 3 2 3 2 8 2" xfId="25557"/>
    <cellStyle name="Normal 3 3 3 2 8 2" xfId="25558"/>
    <cellStyle name="Normal 3 4 3 2 8 2" xfId="25559"/>
    <cellStyle name="Normal 3 5 3 2 8 2" xfId="25560"/>
    <cellStyle name="Normal 3 2 2 2 2 8 2" xfId="25561"/>
    <cellStyle name="Normal 3 3 2 2 2 8 2" xfId="25562"/>
    <cellStyle name="Normal 3 4 2 2 2 8 2" xfId="25563"/>
    <cellStyle name="Normal 3 5 2 2 2 8 2" xfId="25564"/>
    <cellStyle name="Normal 5 2 2 8 2" xfId="25565"/>
    <cellStyle name="Percent 3 2 2 8 2" xfId="25566"/>
    <cellStyle name="Note 2 2 2 8 2" xfId="25567"/>
    <cellStyle name="Normal 3 6 2 2 8 2" xfId="25568"/>
    <cellStyle name="Comma 2 3 2 9 2" xfId="25569"/>
    <cellStyle name="Comma 3 2 2 9 2" xfId="25570"/>
    <cellStyle name="Percent 4 2 2 8 2" xfId="25571"/>
    <cellStyle name="Normal 3 7 2 2 8 2" xfId="25572"/>
    <cellStyle name="Note 3 2 2 8 2" xfId="25573"/>
    <cellStyle name="20% - Accent1 2 2 2 8 2" xfId="25574"/>
    <cellStyle name="40% - Accent1 2 2 2 8 2" xfId="25575"/>
    <cellStyle name="60% - Accent1 2 2 2 8 2" xfId="25576"/>
    <cellStyle name="20% - Accent2 2 2 2 8 2" xfId="25577"/>
    <cellStyle name="40% - Accent2 2 2 2 8 2" xfId="25578"/>
    <cellStyle name="60% - Accent2 2 2 2 8 2" xfId="25579"/>
    <cellStyle name="20% - Accent3 2 2 2 8 2" xfId="25580"/>
    <cellStyle name="40% - Accent3 2 2 2 8 2" xfId="25581"/>
    <cellStyle name="60% - Accent3 2 2 2 8 2" xfId="25582"/>
    <cellStyle name="20% - Accent4 2 2 2 8 2" xfId="25583"/>
    <cellStyle name="40% - Accent4 2 2 2 8 2" xfId="25584"/>
    <cellStyle name="60% - Accent4 2 2 2 8 2" xfId="25585"/>
    <cellStyle name="20% - Accent5 2 2 2 8 2" xfId="25586"/>
    <cellStyle name="40% - Accent5 2 2 2 8 2" xfId="25587"/>
    <cellStyle name="60% - Accent5 2 2 2 8 2" xfId="25588"/>
    <cellStyle name="20% - Accent6 2 2 2 8 2" xfId="25589"/>
    <cellStyle name="40% - Accent6 2 2 2 8 2" xfId="25590"/>
    <cellStyle name="60% - Accent6 2 2 2 8 2" xfId="25591"/>
    <cellStyle name="Comma 2 2 2 2 9 2" xfId="25592"/>
    <cellStyle name="Comma 4 2 2 9 2" xfId="25593"/>
    <cellStyle name="Normal 3 8 2 2 8 2" xfId="25594"/>
    <cellStyle name="Normal 3 10 8 2" xfId="25595"/>
    <cellStyle name="Normal 3 11 8 2" xfId="25596"/>
    <cellStyle name="Normal 3 12 6 2" xfId="25597"/>
    <cellStyle name="Normal 3 2 5 6 2" xfId="25598"/>
    <cellStyle name="Normal 3 3 5 6 2" xfId="25599"/>
    <cellStyle name="Normal 3 4 5 6 2" xfId="25600"/>
    <cellStyle name="Normal 3 5 5 6 2" xfId="25601"/>
    <cellStyle name="20% - Accent1 5 6 2" xfId="25602"/>
    <cellStyle name="40% - Accent1 5 6 2" xfId="25603"/>
    <cellStyle name="60% - Accent1 5 6 2" xfId="25604"/>
    <cellStyle name="20% - Accent2 5 6 2" xfId="25605"/>
    <cellStyle name="40% - Accent2 5 6 2" xfId="25606"/>
    <cellStyle name="60% - Accent2 5 6 2" xfId="25607"/>
    <cellStyle name="20% - Accent3 5 6 2" xfId="25608"/>
    <cellStyle name="40% - Accent3 5 6 2" xfId="25609"/>
    <cellStyle name="60% - Accent3 5 6 2" xfId="25610"/>
    <cellStyle name="20% - Accent4 5 6 2" xfId="25611"/>
    <cellStyle name="40% - Accent4 5 6 2" xfId="25612"/>
    <cellStyle name="60% - Accent4 5 6 2" xfId="25613"/>
    <cellStyle name="20% - Accent5 5 6 2" xfId="25614"/>
    <cellStyle name="40% - Accent5 5 6 2" xfId="25615"/>
    <cellStyle name="60% - Accent5 5 6 2" xfId="25616"/>
    <cellStyle name="20% - Accent6 5 6 2" xfId="25617"/>
    <cellStyle name="40% - Accent6 5 6 2" xfId="25618"/>
    <cellStyle name="60% - Accent6 5 6 2" xfId="25619"/>
    <cellStyle name="Normal 3 2 2 4 6 2" xfId="25620"/>
    <cellStyle name="Normal 3 3 2 4 6 2" xfId="25621"/>
    <cellStyle name="Normal 3 4 2 4 6 2" xfId="25622"/>
    <cellStyle name="Normal 3 5 2 4 6 2" xfId="25623"/>
    <cellStyle name="Normal 5 4 6 2" xfId="25624"/>
    <cellStyle name="Percent 3 4 6 2" xfId="25625"/>
    <cellStyle name="Note 2 4 6 2" xfId="25626"/>
    <cellStyle name="Normal 3 6 4 6 2" xfId="25627"/>
    <cellStyle name="Comma 2 6 7 2" xfId="25628"/>
    <cellStyle name="Comma 3 5 7 2" xfId="25629"/>
    <cellStyle name="Percent 4 4 6 2" xfId="25630"/>
    <cellStyle name="Normal 3 7 4 6 2" xfId="25631"/>
    <cellStyle name="Note 3 4 6 2" xfId="25632"/>
    <cellStyle name="20% - Accent1 2 4 6 2" xfId="25633"/>
    <cellStyle name="40% - Accent1 2 4 6 2" xfId="25634"/>
    <cellStyle name="60% - Accent1 2 4 6 2" xfId="25635"/>
    <cellStyle name="20% - Accent2 2 4 6 2" xfId="25636"/>
    <cellStyle name="40% - Accent2 2 4 6 2" xfId="25637"/>
    <cellStyle name="60% - Accent2 2 4 6 2" xfId="25638"/>
    <cellStyle name="20% - Accent3 2 4 6 2" xfId="25639"/>
    <cellStyle name="40% - Accent3 2 4 6 2" xfId="25640"/>
    <cellStyle name="60% - Accent3 2 4 6 2" xfId="25641"/>
    <cellStyle name="20% - Accent4 2 4 6 2" xfId="25642"/>
    <cellStyle name="40% - Accent4 2 4 6 2" xfId="25643"/>
    <cellStyle name="60% - Accent4 2 4 6 2" xfId="25644"/>
    <cellStyle name="20% - Accent5 2 4 6 2" xfId="25645"/>
    <cellStyle name="40% - Accent5 2 4 6 2" xfId="25646"/>
    <cellStyle name="60% - Accent5 2 4 6 2" xfId="25647"/>
    <cellStyle name="20% - Accent6 2 4 6 2" xfId="25648"/>
    <cellStyle name="40% - Accent6 2 4 6 2" xfId="25649"/>
    <cellStyle name="60% - Accent6 2 4 6 2" xfId="25650"/>
    <cellStyle name="Comma 2 2 5 7 2" xfId="25651"/>
    <cellStyle name="Comma 4 5 7 2" xfId="25652"/>
    <cellStyle name="Normal 3 8 4 6 2" xfId="25653"/>
    <cellStyle name="Normal 7 3 6 2" xfId="25654"/>
    <cellStyle name="Comma 5 3 7 2" xfId="25655"/>
    <cellStyle name="20% - Accent1 3 3 6 2" xfId="25656"/>
    <cellStyle name="40% - Accent1 3 3 6 2" xfId="25657"/>
    <cellStyle name="60% - Accent1 3 3 6 2" xfId="25658"/>
    <cellStyle name="20% - Accent2 3 3 6 2" xfId="25659"/>
    <cellStyle name="40% - Accent2 3 3 6 2" xfId="25660"/>
    <cellStyle name="60% - Accent2 3 3 6 2" xfId="25661"/>
    <cellStyle name="20% - Accent3 3 3 6 2" xfId="25662"/>
    <cellStyle name="40% - Accent3 3 3 6 2" xfId="25663"/>
    <cellStyle name="60% - Accent3 3 3 6 2" xfId="25664"/>
    <cellStyle name="20% - Accent4 3 3 6 2" xfId="25665"/>
    <cellStyle name="40% - Accent4 3 3 6 2" xfId="25666"/>
    <cellStyle name="60% - Accent4 3 3 6 2" xfId="25667"/>
    <cellStyle name="20% - Accent5 3 3 6 2" xfId="25668"/>
    <cellStyle name="40% - Accent5 3 3 6 2" xfId="25669"/>
    <cellStyle name="60% - Accent5 3 3 6 2" xfId="25670"/>
    <cellStyle name="20% - Accent6 3 3 6 2" xfId="25671"/>
    <cellStyle name="40% - Accent6 3 3 6 2" xfId="25672"/>
    <cellStyle name="60% - Accent6 3 3 6 2" xfId="25673"/>
    <cellStyle name="Normal 3 2 3 3 6 2" xfId="25674"/>
    <cellStyle name="Normal 3 3 3 3 6 2" xfId="25675"/>
    <cellStyle name="Normal 3 4 3 3 6 2" xfId="25676"/>
    <cellStyle name="Normal 3 5 3 3 6 2" xfId="25677"/>
    <cellStyle name="Normal 3 2 2 2 3 6 2" xfId="25678"/>
    <cellStyle name="Normal 3 3 2 2 3 6 2" xfId="25679"/>
    <cellStyle name="Normal 3 4 2 2 3 6 2" xfId="25680"/>
    <cellStyle name="Normal 3 5 2 2 3 6 2" xfId="25681"/>
    <cellStyle name="Normal 5 2 3 6 2" xfId="25682"/>
    <cellStyle name="Percent 3 2 3 6 2" xfId="25683"/>
    <cellStyle name="Note 2 2 3 6 2" xfId="25684"/>
    <cellStyle name="Normal 3 6 2 3 6 2" xfId="25685"/>
    <cellStyle name="Comma 2 3 3 7 2" xfId="25686"/>
    <cellStyle name="Comma 3 2 3 7 2" xfId="25687"/>
    <cellStyle name="Percent 4 2 3 6 2" xfId="25688"/>
    <cellStyle name="Normal 3 7 2 3 6 2" xfId="25689"/>
    <cellStyle name="Note 3 2 3 6 2" xfId="25690"/>
    <cellStyle name="20% - Accent1 2 2 3 6 2" xfId="25691"/>
    <cellStyle name="40% - Accent1 2 2 3 6 2" xfId="25692"/>
    <cellStyle name="60% - Accent1 2 2 3 6 2" xfId="25693"/>
    <cellStyle name="20% - Accent2 2 2 3 6 2" xfId="25694"/>
    <cellStyle name="40% - Accent2 2 2 3 6 2" xfId="25695"/>
    <cellStyle name="60% - Accent2 2 2 3 6 2" xfId="25696"/>
    <cellStyle name="20% - Accent3 2 2 3 6 2" xfId="25697"/>
    <cellStyle name="40% - Accent3 2 2 3 6 2" xfId="25698"/>
    <cellStyle name="60% - Accent3 2 2 3 6 2" xfId="25699"/>
    <cellStyle name="20% - Accent4 2 2 3 6 2" xfId="25700"/>
    <cellStyle name="40% - Accent4 2 2 3 6 2" xfId="25701"/>
    <cellStyle name="60% - Accent4 2 2 3 6 2" xfId="25702"/>
    <cellStyle name="20% - Accent5 2 2 3 6 2" xfId="25703"/>
    <cellStyle name="40% - Accent5 2 2 3 6 2" xfId="25704"/>
    <cellStyle name="60% - Accent5 2 2 3 6 2" xfId="25705"/>
    <cellStyle name="20% - Accent6 2 2 3 6 2" xfId="25706"/>
    <cellStyle name="40% - Accent6 2 2 3 6 2" xfId="25707"/>
    <cellStyle name="60% - Accent6 2 2 3 6 2" xfId="25708"/>
    <cellStyle name="Comma 2 2 2 3 7 2" xfId="25709"/>
    <cellStyle name="Comma 4 2 3 7 2" xfId="25710"/>
    <cellStyle name="Normal 3 8 2 3 6 2" xfId="25711"/>
    <cellStyle name="Normal 8 2 6 2" xfId="25712"/>
    <cellStyle name="Comma 6 2 7 2" xfId="25713"/>
    <cellStyle name="20% - Accent1 4 2 6 2" xfId="25714"/>
    <cellStyle name="40% - Accent1 4 2 6 2" xfId="25715"/>
    <cellStyle name="60% - Accent1 4 2 6 2" xfId="25716"/>
    <cellStyle name="20% - Accent2 4 2 6 2" xfId="25717"/>
    <cellStyle name="40% - Accent2 4 2 6 2" xfId="25718"/>
    <cellStyle name="60% - Accent2 4 2 6 2" xfId="25719"/>
    <cellStyle name="20% - Accent3 4 2 6 2" xfId="25720"/>
    <cellStyle name="40% - Accent3 4 2 6 2" xfId="25721"/>
    <cellStyle name="60% - Accent3 4 2 6 2" xfId="25722"/>
    <cellStyle name="20% - Accent4 4 2 6 2" xfId="25723"/>
    <cellStyle name="40% - Accent4 4 2 6 2" xfId="25724"/>
    <cellStyle name="60% - Accent4 4 2 6 2" xfId="25725"/>
    <cellStyle name="20% - Accent5 4 2 6 2" xfId="25726"/>
    <cellStyle name="40% - Accent5 4 2 6 2" xfId="25727"/>
    <cellStyle name="60% - Accent5 4 2 6 2" xfId="25728"/>
    <cellStyle name="20% - Accent6 4 2 6 2" xfId="25729"/>
    <cellStyle name="40% - Accent6 4 2 6 2" xfId="25730"/>
    <cellStyle name="60% - Accent6 4 2 6 2" xfId="25731"/>
    <cellStyle name="Normal 3 2 4 2 6 2" xfId="25732"/>
    <cellStyle name="Normal 3 3 4 2 6 2" xfId="25733"/>
    <cellStyle name="Normal 3 4 4 2 6 2" xfId="25734"/>
    <cellStyle name="Normal 3 5 4 2 6 2" xfId="25735"/>
    <cellStyle name="Normal 3 2 2 3 2 6 2" xfId="25736"/>
    <cellStyle name="Normal 3 3 2 3 2 6 2" xfId="25737"/>
    <cellStyle name="Normal 3 4 2 3 2 6 2" xfId="25738"/>
    <cellStyle name="Normal 3 5 2 3 2 6 2" xfId="25739"/>
    <cellStyle name="Normal 5 3 2 6 2" xfId="25740"/>
    <cellStyle name="Percent 3 3 2 6 2" xfId="25741"/>
    <cellStyle name="Note 2 3 2 6 2" xfId="25742"/>
    <cellStyle name="Normal 3 6 3 2 6 2" xfId="25743"/>
    <cellStyle name="Comma 2 5 2 7 2" xfId="25744"/>
    <cellStyle name="Comma 3 4 2 7 2" xfId="25745"/>
    <cellStyle name="Percent 4 3 2 6 2" xfId="25746"/>
    <cellStyle name="Normal 3 7 3 2 6 2" xfId="25747"/>
    <cellStyle name="Note 3 3 2 6 2" xfId="25748"/>
    <cellStyle name="20% - Accent1 2 3 2 6 2" xfId="25749"/>
    <cellStyle name="40% - Accent1 2 3 2 6 2" xfId="25750"/>
    <cellStyle name="60% - Accent1 2 3 2 6 2" xfId="25751"/>
    <cellStyle name="20% - Accent2 2 3 2 6 2" xfId="25752"/>
    <cellStyle name="40% - Accent2 2 3 2 6 2" xfId="25753"/>
    <cellStyle name="60% - Accent2 2 3 2 6 2" xfId="25754"/>
    <cellStyle name="20% - Accent3 2 3 2 6 2" xfId="25755"/>
    <cellStyle name="40% - Accent3 2 3 2 6 2" xfId="25756"/>
    <cellStyle name="60% - Accent3 2 3 2 6 2" xfId="25757"/>
    <cellStyle name="20% - Accent4 2 3 2 6 2" xfId="25758"/>
    <cellStyle name="40% - Accent4 2 3 2 6 2" xfId="25759"/>
    <cellStyle name="60% - Accent4 2 3 2 6 2" xfId="25760"/>
    <cellStyle name="20% - Accent5 2 3 2 6 2" xfId="25761"/>
    <cellStyle name="40% - Accent5 2 3 2 6 2" xfId="25762"/>
    <cellStyle name="60% - Accent5 2 3 2 6 2" xfId="25763"/>
    <cellStyle name="20% - Accent6 2 3 2 6 2" xfId="25764"/>
    <cellStyle name="40% - Accent6 2 3 2 6 2" xfId="25765"/>
    <cellStyle name="60% - Accent6 2 3 2 6 2" xfId="25766"/>
    <cellStyle name="Comma 2 2 4 2 7 2" xfId="25767"/>
    <cellStyle name="Comma 4 4 2 7 2" xfId="25768"/>
    <cellStyle name="Normal 3 8 3 2 6 2" xfId="25769"/>
    <cellStyle name="Comma 2 4 2 7 2" xfId="25770"/>
    <cellStyle name="Comma 3 3 2 7 2" xfId="25771"/>
    <cellStyle name="Comma 2 2 3 2 7 2" xfId="25772"/>
    <cellStyle name="Comma 4 3 2 7 2" xfId="25773"/>
    <cellStyle name="Normal 7 2 2 6 2" xfId="25774"/>
    <cellStyle name="Comma 5 2 2 7 2" xfId="25775"/>
    <cellStyle name="20% - Accent1 3 2 2 6 2" xfId="25776"/>
    <cellStyle name="40% - Accent1 3 2 2 6 2" xfId="25777"/>
    <cellStyle name="60% - Accent1 3 2 2 6 2" xfId="25778"/>
    <cellStyle name="20% - Accent2 3 2 2 6 2" xfId="25779"/>
    <cellStyle name="40% - Accent2 3 2 2 6 2" xfId="25780"/>
    <cellStyle name="60% - Accent2 3 2 2 6 2" xfId="25781"/>
    <cellStyle name="20% - Accent3 3 2 2 6 2" xfId="25782"/>
    <cellStyle name="40% - Accent3 3 2 2 6 2" xfId="25783"/>
    <cellStyle name="60% - Accent3 3 2 2 6 2" xfId="25784"/>
    <cellStyle name="20% - Accent4 3 2 2 6 2" xfId="25785"/>
    <cellStyle name="40% - Accent4 3 2 2 6 2" xfId="25786"/>
    <cellStyle name="60% - Accent4 3 2 2 6 2" xfId="25787"/>
    <cellStyle name="20% - Accent5 3 2 2 6 2" xfId="25788"/>
    <cellStyle name="40% - Accent5 3 2 2 6 2" xfId="25789"/>
    <cellStyle name="60% - Accent5 3 2 2 6 2" xfId="25790"/>
    <cellStyle name="20% - Accent6 3 2 2 6 2" xfId="25791"/>
    <cellStyle name="40% - Accent6 3 2 2 6 2" xfId="25792"/>
    <cellStyle name="60% - Accent6 3 2 2 6 2" xfId="25793"/>
    <cellStyle name="Normal 3 2 3 2 2 6 2" xfId="25794"/>
    <cellStyle name="Normal 3 3 3 2 2 6 2" xfId="25795"/>
    <cellStyle name="Normal 3 4 3 2 2 6 2" xfId="25796"/>
    <cellStyle name="Normal 3 5 3 2 2 6 2" xfId="25797"/>
    <cellStyle name="Normal 3 2 2 2 2 2 6 2" xfId="25798"/>
    <cellStyle name="Normal 3 3 2 2 2 2 6 2" xfId="25799"/>
    <cellStyle name="Normal 3 4 2 2 2 2 6 2" xfId="25800"/>
    <cellStyle name="Normal 3 5 2 2 2 2 6 2" xfId="25801"/>
    <cellStyle name="Normal 5 2 2 2 6 2" xfId="25802"/>
    <cellStyle name="Percent 3 2 2 2 6 2" xfId="25803"/>
    <cellStyle name="Note 2 2 2 2 6 2" xfId="25804"/>
    <cellStyle name="Normal 3 6 2 2 2 6 2" xfId="25805"/>
    <cellStyle name="Comma 2 3 2 2 7 2" xfId="25806"/>
    <cellStyle name="Comma 3 2 2 2 7 2" xfId="25807"/>
    <cellStyle name="Percent 4 2 2 2 6 2" xfId="25808"/>
    <cellStyle name="Normal 3 7 2 2 2 6 2" xfId="25809"/>
    <cellStyle name="Note 3 2 2 2 6 2" xfId="25810"/>
    <cellStyle name="20% - Accent1 2 2 2 2 6 2" xfId="25811"/>
    <cellStyle name="40% - Accent1 2 2 2 2 6 2" xfId="25812"/>
    <cellStyle name="60% - Accent1 2 2 2 2 6 2" xfId="25813"/>
    <cellStyle name="20% - Accent2 2 2 2 2 6 2" xfId="25814"/>
    <cellStyle name="40% - Accent2 2 2 2 2 6 2" xfId="25815"/>
    <cellStyle name="60% - Accent2 2 2 2 2 6 2" xfId="25816"/>
    <cellStyle name="20% - Accent3 2 2 2 2 6 2" xfId="25817"/>
    <cellStyle name="40% - Accent3 2 2 2 2 6 2" xfId="25818"/>
    <cellStyle name="60% - Accent3 2 2 2 2 6 2" xfId="25819"/>
    <cellStyle name="20% - Accent4 2 2 2 2 6 2" xfId="25820"/>
    <cellStyle name="40% - Accent4 2 2 2 2 6 2" xfId="25821"/>
    <cellStyle name="60% - Accent4 2 2 2 2 6 2" xfId="25822"/>
    <cellStyle name="20% - Accent5 2 2 2 2 6 2" xfId="25823"/>
    <cellStyle name="40% - Accent5 2 2 2 2 6 2" xfId="25824"/>
    <cellStyle name="60% - Accent5 2 2 2 2 6 2" xfId="25825"/>
    <cellStyle name="20% - Accent6 2 2 2 2 6 2" xfId="25826"/>
    <cellStyle name="40% - Accent6 2 2 2 2 6 2" xfId="25827"/>
    <cellStyle name="60% - Accent6 2 2 2 2 6 2" xfId="25828"/>
    <cellStyle name="Comma 2 2 2 2 2 7 2" xfId="25829"/>
    <cellStyle name="Comma 4 2 2 2 7 2" xfId="25830"/>
    <cellStyle name="Normal 3 8 2 2 2 6 2" xfId="25831"/>
    <cellStyle name="Normal 3 10 2 6 2" xfId="25832"/>
    <cellStyle name="Normal 3 11 2 6 2" xfId="25833"/>
    <cellStyle name="Normal 3 2 6 5 2" xfId="25834"/>
    <cellStyle name="Normal 3 3 6 5 2" xfId="25835"/>
    <cellStyle name="Normal 3 4 6 5 2" xfId="25836"/>
    <cellStyle name="Normal 3 5 6 5 2" xfId="25837"/>
    <cellStyle name="20% - Accent1 6 5 2" xfId="25838"/>
    <cellStyle name="40% - Accent1 6 5 2" xfId="25839"/>
    <cellStyle name="60% - Accent1 6 5 2" xfId="25840"/>
    <cellStyle name="20% - Accent2 6 5 2" xfId="25841"/>
    <cellStyle name="40% - Accent2 6 5 2" xfId="25842"/>
    <cellStyle name="60% - Accent2 6 5 2" xfId="25843"/>
    <cellStyle name="20% - Accent3 6 5 2" xfId="25844"/>
    <cellStyle name="40% - Accent3 6 5 2" xfId="25845"/>
    <cellStyle name="60% - Accent3 6 5 2" xfId="25846"/>
    <cellStyle name="20% - Accent4 6 5 2" xfId="25847"/>
    <cellStyle name="40% - Accent4 6 5 2" xfId="25848"/>
    <cellStyle name="60% - Accent4 6 5 2" xfId="25849"/>
    <cellStyle name="20% - Accent5 6 5 2" xfId="25850"/>
    <cellStyle name="40% - Accent5 6 5 2" xfId="25851"/>
    <cellStyle name="60% - Accent5 6 5 2" xfId="25852"/>
    <cellStyle name="20% - Accent6 6 5 2" xfId="25853"/>
    <cellStyle name="40% - Accent6 6 5 2" xfId="25854"/>
    <cellStyle name="60% - Accent6 6 5 2" xfId="25855"/>
    <cellStyle name="Normal 3 2 2 5 5 2" xfId="25856"/>
    <cellStyle name="Normal 3 3 2 5 5 2" xfId="25857"/>
    <cellStyle name="Normal 3 4 2 5 5 2" xfId="25858"/>
    <cellStyle name="Normal 3 5 2 5 5 2" xfId="25859"/>
    <cellStyle name="Normal 5 5 5 2" xfId="25860"/>
    <cellStyle name="Percent 3 5 5 2" xfId="25861"/>
    <cellStyle name="Note 2 5 5 2" xfId="25862"/>
    <cellStyle name="Normal 3 6 5 5 2" xfId="25863"/>
    <cellStyle name="Comma 2 7 6 2" xfId="25864"/>
    <cellStyle name="Comma 3 7 6 2" xfId="25865"/>
    <cellStyle name="Percent 4 5 5 2" xfId="25866"/>
    <cellStyle name="Normal 3 7 5 5 2" xfId="25867"/>
    <cellStyle name="Note 3 5 5 2" xfId="25868"/>
    <cellStyle name="20% - Accent1 2 5 5 2" xfId="25869"/>
    <cellStyle name="40% - Accent1 2 5 5 2" xfId="25870"/>
    <cellStyle name="60% - Accent1 2 5 5 2" xfId="25871"/>
    <cellStyle name="20% - Accent2 2 5 5 2" xfId="25872"/>
    <cellStyle name="40% - Accent2 2 5 5 2" xfId="25873"/>
    <cellStyle name="60% - Accent2 2 5 5 2" xfId="25874"/>
    <cellStyle name="20% - Accent3 2 5 5 2" xfId="25875"/>
    <cellStyle name="40% - Accent3 2 5 5 2" xfId="25876"/>
    <cellStyle name="60% - Accent3 2 5 5 2" xfId="25877"/>
    <cellStyle name="20% - Accent4 2 5 5 2" xfId="25878"/>
    <cellStyle name="40% - Accent4 2 5 5 2" xfId="25879"/>
    <cellStyle name="60% - Accent4 2 5 5 2" xfId="25880"/>
    <cellStyle name="20% - Accent5 2 5 5 2" xfId="25881"/>
    <cellStyle name="40% - Accent5 2 5 5 2" xfId="25882"/>
    <cellStyle name="60% - Accent5 2 5 5 2" xfId="25883"/>
    <cellStyle name="20% - Accent6 2 5 5 2" xfId="25884"/>
    <cellStyle name="40% - Accent6 2 5 5 2" xfId="25885"/>
    <cellStyle name="60% - Accent6 2 5 5 2" xfId="25886"/>
    <cellStyle name="Comma 2 2 6 6 2" xfId="25887"/>
    <cellStyle name="Comma 4 6 6 2" xfId="25888"/>
    <cellStyle name="Normal 3 8 5 5 2" xfId="25889"/>
    <cellStyle name="Normal 7 4 5 2" xfId="25890"/>
    <cellStyle name="Comma 5 4 6 2" xfId="25891"/>
    <cellStyle name="20% - Accent1 3 4 5 2" xfId="25892"/>
    <cellStyle name="40% - Accent1 3 4 5 2" xfId="25893"/>
    <cellStyle name="60% - Accent1 3 4 5 2" xfId="25894"/>
    <cellStyle name="20% - Accent2 3 4 5 2" xfId="25895"/>
    <cellStyle name="40% - Accent2 3 4 5 2" xfId="25896"/>
    <cellStyle name="60% - Accent2 3 4 5 2" xfId="25897"/>
    <cellStyle name="20% - Accent3 3 4 5 2" xfId="25898"/>
    <cellStyle name="40% - Accent3 3 4 5 2" xfId="25899"/>
    <cellStyle name="60% - Accent3 3 4 5 2" xfId="25900"/>
    <cellStyle name="20% - Accent4 3 4 5 2" xfId="25901"/>
    <cellStyle name="40% - Accent4 3 4 5 2" xfId="25902"/>
    <cellStyle name="60% - Accent4 3 4 5 2" xfId="25903"/>
    <cellStyle name="20% - Accent5 3 4 5 2" xfId="25904"/>
    <cellStyle name="40% - Accent5 3 4 5 2" xfId="25905"/>
    <cellStyle name="60% - Accent5 3 4 5 2" xfId="25906"/>
    <cellStyle name="20% - Accent6 3 4 5 2" xfId="25907"/>
    <cellStyle name="40% - Accent6 3 4 5 2" xfId="25908"/>
    <cellStyle name="60% - Accent6 3 4 5 2" xfId="25909"/>
    <cellStyle name="Normal 3 2 3 4 5 2" xfId="25910"/>
    <cellStyle name="Normal 3 3 3 4 5 2" xfId="25911"/>
    <cellStyle name="Normal 3 4 3 4 5 2" xfId="25912"/>
    <cellStyle name="Normal 3 5 3 4 5 2" xfId="25913"/>
    <cellStyle name="Normal 3 2 2 2 4 5 2" xfId="25914"/>
    <cellStyle name="Normal 3 3 2 2 4 5 2" xfId="25915"/>
    <cellStyle name="Normal 3 4 2 2 4 5 2" xfId="25916"/>
    <cellStyle name="Normal 3 5 2 2 4 5 2" xfId="25917"/>
    <cellStyle name="Normal 5 2 4 5 2" xfId="25918"/>
    <cellStyle name="Percent 3 2 4 5 2" xfId="25919"/>
    <cellStyle name="Note 2 2 4 5 2" xfId="25920"/>
    <cellStyle name="Normal 3 6 2 4 5 2" xfId="25921"/>
    <cellStyle name="Comma 2 3 4 6 2" xfId="25922"/>
    <cellStyle name="Comma 3 2 4 6 2" xfId="25923"/>
    <cellStyle name="Percent 4 2 4 5 2" xfId="25924"/>
    <cellStyle name="Normal 3 7 2 4 5 2" xfId="25925"/>
    <cellStyle name="Note 3 2 4 5 2" xfId="25926"/>
    <cellStyle name="20% - Accent1 2 2 4 5 2" xfId="25927"/>
    <cellStyle name="40% - Accent1 2 2 4 5 2" xfId="25928"/>
    <cellStyle name="60% - Accent1 2 2 4 5 2" xfId="25929"/>
    <cellStyle name="20% - Accent2 2 2 4 5 2" xfId="25930"/>
    <cellStyle name="40% - Accent2 2 2 4 5 2" xfId="25931"/>
    <cellStyle name="60% - Accent2 2 2 4 5 2" xfId="25932"/>
    <cellStyle name="20% - Accent3 2 2 4 5 2" xfId="25933"/>
    <cellStyle name="40% - Accent3 2 2 4 5 2" xfId="25934"/>
    <cellStyle name="60% - Accent3 2 2 4 5 2" xfId="25935"/>
    <cellStyle name="20% - Accent4 2 2 4 5 2" xfId="25936"/>
    <cellStyle name="40% - Accent4 2 2 4 5 2" xfId="25937"/>
    <cellStyle name="60% - Accent4 2 2 4 5 2" xfId="25938"/>
    <cellStyle name="20% - Accent5 2 2 4 5 2" xfId="25939"/>
    <cellStyle name="40% - Accent5 2 2 4 5 2" xfId="25940"/>
    <cellStyle name="60% - Accent5 2 2 4 5 2" xfId="25941"/>
    <cellStyle name="20% - Accent6 2 2 4 5 2" xfId="25942"/>
    <cellStyle name="40% - Accent6 2 2 4 5 2" xfId="25943"/>
    <cellStyle name="60% - Accent6 2 2 4 5 2" xfId="25944"/>
    <cellStyle name="Comma 2 2 2 4 6 2" xfId="25945"/>
    <cellStyle name="Comma 4 2 4 6 2" xfId="25946"/>
    <cellStyle name="Normal 3 8 2 4 5 2" xfId="25947"/>
    <cellStyle name="Normal 8 3 5 2" xfId="25948"/>
    <cellStyle name="Comma 6 3 6 2" xfId="25949"/>
    <cellStyle name="20% - Accent1 4 3 5 2" xfId="25950"/>
    <cellStyle name="40% - Accent1 4 3 5 2" xfId="25951"/>
    <cellStyle name="60% - Accent1 4 3 5 2" xfId="25952"/>
    <cellStyle name="20% - Accent2 4 3 5 2" xfId="25953"/>
    <cellStyle name="40% - Accent2 4 3 5 2" xfId="25954"/>
    <cellStyle name="60% - Accent2 4 3 5 2" xfId="25955"/>
    <cellStyle name="20% - Accent3 4 3 5 2" xfId="25956"/>
    <cellStyle name="40% - Accent3 4 3 5 2" xfId="25957"/>
    <cellStyle name="60% - Accent3 4 3 5 2" xfId="25958"/>
    <cellStyle name="20% - Accent4 4 3 5 2" xfId="25959"/>
    <cellStyle name="40% - Accent4 4 3 5 2" xfId="25960"/>
    <cellStyle name="60% - Accent4 4 3 5 2" xfId="25961"/>
    <cellStyle name="20% - Accent5 4 3 5 2" xfId="25962"/>
    <cellStyle name="40% - Accent5 4 3 5 2" xfId="25963"/>
    <cellStyle name="60% - Accent5 4 3 5 2" xfId="25964"/>
    <cellStyle name="20% - Accent6 4 3 5 2" xfId="25965"/>
    <cellStyle name="40% - Accent6 4 3 5 2" xfId="25966"/>
    <cellStyle name="60% - Accent6 4 3 5 2" xfId="25967"/>
    <cellStyle name="Normal 3 2 4 3 5 2" xfId="25968"/>
    <cellStyle name="Normal 3 3 4 3 5 2" xfId="25969"/>
    <cellStyle name="Normal 3 4 4 3 5 2" xfId="25970"/>
    <cellStyle name="Normal 3 5 4 3 5 2" xfId="25971"/>
    <cellStyle name="Normal 3 2 2 3 3 5 2" xfId="25972"/>
    <cellStyle name="Normal 3 3 2 3 3 5 2" xfId="25973"/>
    <cellStyle name="Normal 3 4 2 3 3 5 2" xfId="25974"/>
    <cellStyle name="Normal 3 5 2 3 3 5 2" xfId="25975"/>
    <cellStyle name="Normal 5 3 3 5 2" xfId="25976"/>
    <cellStyle name="Percent 3 3 3 5 2" xfId="25977"/>
    <cellStyle name="Note 2 3 3 5 2" xfId="25978"/>
    <cellStyle name="Normal 3 6 3 3 5 2" xfId="25979"/>
    <cellStyle name="Comma 2 5 3 6 2" xfId="25980"/>
    <cellStyle name="Comma 3 4 3 6 2" xfId="25981"/>
    <cellStyle name="Percent 4 3 3 5 2" xfId="25982"/>
    <cellStyle name="Normal 3 7 3 3 5 2" xfId="25983"/>
    <cellStyle name="Note 3 3 3 5 2" xfId="25984"/>
    <cellStyle name="20% - Accent1 2 3 3 5 2" xfId="25985"/>
    <cellStyle name="40% - Accent1 2 3 3 5 2" xfId="25986"/>
    <cellStyle name="60% - Accent1 2 3 3 5 2" xfId="25987"/>
    <cellStyle name="20% - Accent2 2 3 3 5 2" xfId="25988"/>
    <cellStyle name="40% - Accent2 2 3 3 5 2" xfId="25989"/>
    <cellStyle name="60% - Accent2 2 3 3 5 2" xfId="25990"/>
    <cellStyle name="20% - Accent3 2 3 3 5 2" xfId="25991"/>
    <cellStyle name="40% - Accent3 2 3 3 5 2" xfId="25992"/>
    <cellStyle name="60% - Accent3 2 3 3 5 2" xfId="25993"/>
    <cellStyle name="20% - Accent4 2 3 3 5 2" xfId="25994"/>
    <cellStyle name="40% - Accent4 2 3 3 5 2" xfId="25995"/>
    <cellStyle name="60% - Accent4 2 3 3 5 2" xfId="25996"/>
    <cellStyle name="20% - Accent5 2 3 3 5 2" xfId="25997"/>
    <cellStyle name="40% - Accent5 2 3 3 5 2" xfId="25998"/>
    <cellStyle name="60% - Accent5 2 3 3 5 2" xfId="25999"/>
    <cellStyle name="20% - Accent6 2 3 3 5 2" xfId="26000"/>
    <cellStyle name="40% - Accent6 2 3 3 5 2" xfId="26001"/>
    <cellStyle name="60% - Accent6 2 3 3 5 2" xfId="26002"/>
    <cellStyle name="Comma 2 2 4 3 6 2" xfId="26003"/>
    <cellStyle name="Comma 4 4 3 6 2" xfId="26004"/>
    <cellStyle name="Normal 3 8 3 3 5 2" xfId="26005"/>
    <cellStyle name="Comma 2 4 3 6 2" xfId="26006"/>
    <cellStyle name="Comma 3 3 3 6 2" xfId="26007"/>
    <cellStyle name="Comma 2 2 3 3 6 2" xfId="26008"/>
    <cellStyle name="Comma 4 3 3 6 2" xfId="26009"/>
    <cellStyle name="Normal 7 2 3 5 2" xfId="26010"/>
    <cellStyle name="Comma 5 2 3 6 2" xfId="26011"/>
    <cellStyle name="20% - Accent1 3 2 3 5 2" xfId="26012"/>
    <cellStyle name="40% - Accent1 3 2 3 5 2" xfId="26013"/>
    <cellStyle name="60% - Accent1 3 2 3 5 2" xfId="26014"/>
    <cellStyle name="20% - Accent2 3 2 3 5 2" xfId="26015"/>
    <cellStyle name="40% - Accent2 3 2 3 5 2" xfId="26016"/>
    <cellStyle name="60% - Accent2 3 2 3 5 2" xfId="26017"/>
    <cellStyle name="20% - Accent3 3 2 3 5 2" xfId="26018"/>
    <cellStyle name="40% - Accent3 3 2 3 5 2" xfId="26019"/>
    <cellStyle name="60% - Accent3 3 2 3 5 2" xfId="26020"/>
    <cellStyle name="20% - Accent4 3 2 3 5 2" xfId="26021"/>
    <cellStyle name="40% - Accent4 3 2 3 5 2" xfId="26022"/>
    <cellStyle name="60% - Accent4 3 2 3 5 2" xfId="26023"/>
    <cellStyle name="20% - Accent5 3 2 3 5 2" xfId="26024"/>
    <cellStyle name="40% - Accent5 3 2 3 5 2" xfId="26025"/>
    <cellStyle name="60% - Accent5 3 2 3 5 2" xfId="26026"/>
    <cellStyle name="20% - Accent6 3 2 3 5 2" xfId="26027"/>
    <cellStyle name="40% - Accent6 3 2 3 5 2" xfId="26028"/>
    <cellStyle name="60% - Accent6 3 2 3 5 2" xfId="26029"/>
    <cellStyle name="Normal 3 2 3 2 3 5 2" xfId="26030"/>
    <cellStyle name="Normal 3 3 3 2 3 5 2" xfId="26031"/>
    <cellStyle name="Normal 3 4 3 2 3 5 2" xfId="26032"/>
    <cellStyle name="Normal 3 5 3 2 3 5 2" xfId="26033"/>
    <cellStyle name="Normal 3 2 2 2 2 3 5 2" xfId="26034"/>
    <cellStyle name="Normal 3 3 2 2 2 3 5 2" xfId="26035"/>
    <cellStyle name="Normal 3 4 2 2 2 3 5 2" xfId="26036"/>
    <cellStyle name="Normal 3 5 2 2 2 3 5 2" xfId="26037"/>
    <cellStyle name="Normal 5 2 2 3 5 2" xfId="26038"/>
    <cellStyle name="Percent 3 2 2 3 5 2" xfId="26039"/>
    <cellStyle name="Note 2 2 2 3 5 2" xfId="26040"/>
    <cellStyle name="Normal 3 6 2 2 3 5 2" xfId="26041"/>
    <cellStyle name="Comma 2 3 2 3 6 2" xfId="26042"/>
    <cellStyle name="Comma 3 2 2 3 6 2" xfId="26043"/>
    <cellStyle name="Percent 4 2 2 3 5 2" xfId="26044"/>
    <cellStyle name="Normal 3 7 2 2 3 5 2" xfId="26045"/>
    <cellStyle name="Note 3 2 2 3 5 2" xfId="26046"/>
    <cellStyle name="20% - Accent1 2 2 2 3 5 2" xfId="26047"/>
    <cellStyle name="40% - Accent1 2 2 2 3 5 2" xfId="26048"/>
    <cellStyle name="60% - Accent1 2 2 2 3 5 2" xfId="26049"/>
    <cellStyle name="20% - Accent2 2 2 2 3 5 2" xfId="26050"/>
    <cellStyle name="40% - Accent2 2 2 2 3 5 2" xfId="26051"/>
    <cellStyle name="60% - Accent2 2 2 2 3 5 2" xfId="26052"/>
    <cellStyle name="20% - Accent3 2 2 2 3 5 2" xfId="26053"/>
    <cellStyle name="40% - Accent3 2 2 2 3 5 2" xfId="26054"/>
    <cellStyle name="60% - Accent3 2 2 2 3 5 2" xfId="26055"/>
    <cellStyle name="20% - Accent4 2 2 2 3 5 2" xfId="26056"/>
    <cellStyle name="40% - Accent4 2 2 2 3 5 2" xfId="26057"/>
    <cellStyle name="60% - Accent4 2 2 2 3 5 2" xfId="26058"/>
    <cellStyle name="20% - Accent5 2 2 2 3 5 2" xfId="26059"/>
    <cellStyle name="40% - Accent5 2 2 2 3 5 2" xfId="26060"/>
    <cellStyle name="60% - Accent5 2 2 2 3 5 2" xfId="26061"/>
    <cellStyle name="20% - Accent6 2 2 2 3 5 2" xfId="26062"/>
    <cellStyle name="40% - Accent6 2 2 2 3 5 2" xfId="26063"/>
    <cellStyle name="60% - Accent6 2 2 2 3 5 2" xfId="26064"/>
    <cellStyle name="Comma 2 2 2 2 3 6 2" xfId="26065"/>
    <cellStyle name="Comma 4 2 2 3 6 2" xfId="26066"/>
    <cellStyle name="Normal 3 8 2 2 3 5 2" xfId="26067"/>
    <cellStyle name="Normal 3 10 3 5 2" xfId="26068"/>
    <cellStyle name="Normal 3 11 3 5 2" xfId="26069"/>
    <cellStyle name="Normal 5 4 2 5 2" xfId="26070"/>
    <cellStyle name="Normal 7 3 2 5 2" xfId="26071"/>
    <cellStyle name="Normal 3 2 2 2 3 2 5 2" xfId="26072"/>
    <cellStyle name="Normal 8 2 2 5 2" xfId="26073"/>
    <cellStyle name="Normal 3 2 2 2 2 2 2 5 2" xfId="26074"/>
    <cellStyle name="Comma 3 6 6 2" xfId="26075"/>
    <cellStyle name="Normal 3 6 4 2 5 2" xfId="26076"/>
    <cellStyle name="Normal 3 12 2 5 2" xfId="26077"/>
    <cellStyle name="Normal 3 2 5 2 5 2" xfId="26078"/>
    <cellStyle name="Normal 3 3 5 2 5 2" xfId="26079"/>
    <cellStyle name="Normal 3 4 5 2 5 2" xfId="26080"/>
    <cellStyle name="Normal 3 5 5 2 5 2" xfId="26081"/>
    <cellStyle name="20% - Accent1 5 2 5 2" xfId="26082"/>
    <cellStyle name="40% - Accent1 5 2 5 2" xfId="26083"/>
    <cellStyle name="60% - Accent1 5 2 5 2" xfId="26084"/>
    <cellStyle name="20% - Accent2 5 2 5 2" xfId="26085"/>
    <cellStyle name="40% - Accent2 5 2 5 2" xfId="26086"/>
    <cellStyle name="60% - Accent2 5 2 5 2" xfId="26087"/>
    <cellStyle name="20% - Accent3 5 2 5 2" xfId="26088"/>
    <cellStyle name="40% - Accent3 5 2 5 2" xfId="26089"/>
    <cellStyle name="60% - Accent3 5 2 5 2" xfId="26090"/>
    <cellStyle name="20% - Accent4 5 2 5 2" xfId="26091"/>
    <cellStyle name="40% - Accent4 5 2 5 2" xfId="26092"/>
    <cellStyle name="60% - Accent4 5 2 5 2" xfId="26093"/>
    <cellStyle name="20% - Accent5 5 2 5 2" xfId="26094"/>
    <cellStyle name="40% - Accent5 5 2 5 2" xfId="26095"/>
    <cellStyle name="60% - Accent5 5 2 5 2" xfId="26096"/>
    <cellStyle name="20% - Accent6 5 2 5 2" xfId="26097"/>
    <cellStyle name="40% - Accent6 5 2 5 2" xfId="26098"/>
    <cellStyle name="60% - Accent6 5 2 5 2" xfId="26099"/>
    <cellStyle name="Normal 3 2 2 4 2 5 2" xfId="26100"/>
    <cellStyle name="Normal 3 3 2 4 2 5 2" xfId="26101"/>
    <cellStyle name="Normal 3 4 2 4 2 5 2" xfId="26102"/>
    <cellStyle name="Normal 3 5 2 4 2 5 2" xfId="26103"/>
    <cellStyle name="Percent 3 4 2 5 2" xfId="26104"/>
    <cellStyle name="Note 2 4 2 5 2" xfId="26105"/>
    <cellStyle name="Comma 2 6 2 6 2" xfId="26106"/>
    <cellStyle name="Comma 3 5 2 6 2" xfId="26107"/>
    <cellStyle name="Percent 4 4 2 5 2" xfId="26108"/>
    <cellStyle name="Normal 3 7 4 2 5 2" xfId="26109"/>
    <cellStyle name="Note 3 4 2 5 2" xfId="26110"/>
    <cellStyle name="20% - Accent1 2 4 2 5 2" xfId="26111"/>
    <cellStyle name="40% - Accent1 2 4 2 5 2" xfId="26112"/>
    <cellStyle name="60% - Accent1 2 4 2 5 2" xfId="26113"/>
    <cellStyle name="20% - Accent2 2 4 2 5 2" xfId="26114"/>
    <cellStyle name="40% - Accent2 2 4 2 5 2" xfId="26115"/>
    <cellStyle name="60% - Accent2 2 4 2 5 2" xfId="26116"/>
    <cellStyle name="20% - Accent3 2 4 2 5 2" xfId="26117"/>
    <cellStyle name="40% - Accent3 2 4 2 5 2" xfId="26118"/>
    <cellStyle name="60% - Accent3 2 4 2 5 2" xfId="26119"/>
    <cellStyle name="20% - Accent4 2 4 2 5 2" xfId="26120"/>
    <cellStyle name="40% - Accent4 2 4 2 5 2" xfId="26121"/>
    <cellStyle name="60% - Accent4 2 4 2 5 2" xfId="26122"/>
    <cellStyle name="20% - Accent5 2 4 2 5 2" xfId="26123"/>
    <cellStyle name="40% - Accent5 2 4 2 5 2" xfId="26124"/>
    <cellStyle name="60% - Accent5 2 4 2 5 2" xfId="26125"/>
    <cellStyle name="20% - Accent6 2 4 2 5 2" xfId="26126"/>
    <cellStyle name="40% - Accent6 2 4 2 5 2" xfId="26127"/>
    <cellStyle name="60% - Accent6 2 4 2 5 2" xfId="26128"/>
    <cellStyle name="Comma 2 2 5 2 6 2" xfId="26129"/>
    <cellStyle name="Comma 4 5 2 6 2" xfId="26130"/>
    <cellStyle name="Normal 3 8 4 2 5 2" xfId="26131"/>
    <cellStyle name="Comma 5 3 2 6 2" xfId="26132"/>
    <cellStyle name="20% - Accent1 3 3 2 5 2" xfId="26133"/>
    <cellStyle name="40% - Accent1 3 3 2 5 2" xfId="26134"/>
    <cellStyle name="60% - Accent1 3 3 2 5 2" xfId="26135"/>
    <cellStyle name="20% - Accent2 3 3 2 5 2" xfId="26136"/>
    <cellStyle name="40% - Accent2 3 3 2 5 2" xfId="26137"/>
    <cellStyle name="60% - Accent2 3 3 2 5 2" xfId="26138"/>
    <cellStyle name="20% - Accent3 3 3 2 5 2" xfId="26139"/>
    <cellStyle name="40% - Accent3 3 3 2 5 2" xfId="26140"/>
    <cellStyle name="60% - Accent3 3 3 2 5 2" xfId="26141"/>
    <cellStyle name="20% - Accent4 3 3 2 5 2" xfId="26142"/>
    <cellStyle name="40% - Accent4 3 3 2 5 2" xfId="26143"/>
    <cellStyle name="60% - Accent4 3 3 2 5 2" xfId="26144"/>
    <cellStyle name="20% - Accent5 3 3 2 5 2" xfId="26145"/>
    <cellStyle name="40% - Accent5 3 3 2 5 2" xfId="26146"/>
    <cellStyle name="60% - Accent5 3 3 2 5 2" xfId="26147"/>
    <cellStyle name="20% - Accent6 3 3 2 5 2" xfId="26148"/>
    <cellStyle name="40% - Accent6 3 3 2 5 2" xfId="26149"/>
    <cellStyle name="60% - Accent6 3 3 2 5 2" xfId="26150"/>
    <cellStyle name="Normal 3 2 3 3 2 5 2" xfId="26151"/>
    <cellStyle name="Normal 3 3 3 3 2 5 2" xfId="26152"/>
    <cellStyle name="Normal 3 4 3 3 2 5 2" xfId="26153"/>
    <cellStyle name="Normal 3 5 3 3 2 5 2" xfId="26154"/>
    <cellStyle name="Normal 3 3 2 2 3 2 5 2" xfId="26155"/>
    <cellStyle name="Normal 3 4 2 2 3 2 5 2" xfId="26156"/>
    <cellStyle name="Normal 3 5 2 2 3 2 5 2" xfId="26157"/>
    <cellStyle name="Normal 5 2 3 2 5 2" xfId="26158"/>
    <cellStyle name="Percent 3 2 3 2 5 2" xfId="26159"/>
    <cellStyle name="Note 2 2 3 2 5 2" xfId="26160"/>
    <cellStyle name="Normal 3 6 2 3 2 5 2" xfId="26161"/>
    <cellStyle name="Comma 2 3 3 2 6 2" xfId="26162"/>
    <cellStyle name="Comma 3 2 3 2 6 2" xfId="26163"/>
    <cellStyle name="Percent 4 2 3 2 5 2" xfId="26164"/>
    <cellStyle name="Normal 3 7 2 3 2 5 2" xfId="26165"/>
    <cellStyle name="Note 3 2 3 2 5 2" xfId="26166"/>
    <cellStyle name="20% - Accent1 2 2 3 2 5 2" xfId="26167"/>
    <cellStyle name="40% - Accent1 2 2 3 2 5 2" xfId="26168"/>
    <cellStyle name="60% - Accent1 2 2 3 2 5 2" xfId="26169"/>
    <cellStyle name="20% - Accent2 2 2 3 2 5 2" xfId="26170"/>
    <cellStyle name="40% - Accent2 2 2 3 2 5 2" xfId="26171"/>
    <cellStyle name="60% - Accent2 2 2 3 2 5 2" xfId="26172"/>
    <cellStyle name="20% - Accent3 2 2 3 2 5 2" xfId="26173"/>
    <cellStyle name="40% - Accent3 2 2 3 2 5 2" xfId="26174"/>
    <cellStyle name="60% - Accent3 2 2 3 2 5 2" xfId="26175"/>
    <cellStyle name="20% - Accent4 2 2 3 2 5 2" xfId="26176"/>
    <cellStyle name="40% - Accent4 2 2 3 2 5 2" xfId="26177"/>
    <cellStyle name="60% - Accent4 2 2 3 2 5 2" xfId="26178"/>
    <cellStyle name="20% - Accent5 2 2 3 2 5 2" xfId="26179"/>
    <cellStyle name="40% - Accent5 2 2 3 2 5 2" xfId="26180"/>
    <cellStyle name="60% - Accent5 2 2 3 2 5 2" xfId="26181"/>
    <cellStyle name="20% - Accent6 2 2 3 2 5 2" xfId="26182"/>
    <cellStyle name="40% - Accent6 2 2 3 2 5 2" xfId="26183"/>
    <cellStyle name="60% - Accent6 2 2 3 2 5 2" xfId="26184"/>
    <cellStyle name="Comma 2 2 2 3 2 6 2" xfId="26185"/>
    <cellStyle name="Comma 4 2 3 2 6 2" xfId="26186"/>
    <cellStyle name="Normal 3 8 2 3 2 5 2" xfId="26187"/>
    <cellStyle name="Comma 6 2 2 6 2" xfId="26188"/>
    <cellStyle name="20% - Accent1 4 2 2 5 2" xfId="26189"/>
    <cellStyle name="40% - Accent1 4 2 2 5 2" xfId="26190"/>
    <cellStyle name="60% - Accent1 4 2 2 5 2" xfId="26191"/>
    <cellStyle name="20% - Accent2 4 2 2 5 2" xfId="26192"/>
    <cellStyle name="40% - Accent2 4 2 2 5 2" xfId="26193"/>
    <cellStyle name="60% - Accent2 4 2 2 5 2" xfId="26194"/>
    <cellStyle name="20% - Accent3 4 2 2 5 2" xfId="26195"/>
    <cellStyle name="40% - Accent3 4 2 2 5 2" xfId="26196"/>
    <cellStyle name="60% - Accent3 4 2 2 5 2" xfId="26197"/>
    <cellStyle name="20% - Accent4 4 2 2 5 2" xfId="26198"/>
    <cellStyle name="40% - Accent4 4 2 2 5 2" xfId="26199"/>
    <cellStyle name="60% - Accent4 4 2 2 5 2" xfId="26200"/>
    <cellStyle name="20% - Accent5 4 2 2 5 2" xfId="26201"/>
    <cellStyle name="40% - Accent5 4 2 2 5 2" xfId="26202"/>
    <cellStyle name="60% - Accent5 4 2 2 5 2" xfId="26203"/>
    <cellStyle name="20% - Accent6 4 2 2 5 2" xfId="26204"/>
    <cellStyle name="40% - Accent6 4 2 2 5 2" xfId="26205"/>
    <cellStyle name="60% - Accent6 4 2 2 5 2" xfId="26206"/>
    <cellStyle name="Normal 3 2 4 2 2 5 2" xfId="26207"/>
    <cellStyle name="Normal 3 3 4 2 2 5 2" xfId="26208"/>
    <cellStyle name="Normal 3 4 4 2 2 5 2" xfId="26209"/>
    <cellStyle name="Normal 3 5 4 2 2 5 2" xfId="26210"/>
    <cellStyle name="Normal 3 2 2 3 2 2 5 2" xfId="26211"/>
    <cellStyle name="Normal 3 3 2 3 2 2 5 2" xfId="26212"/>
    <cellStyle name="Normal 3 4 2 3 2 2 5 2" xfId="26213"/>
    <cellStyle name="Normal 3 5 2 3 2 2 5 2" xfId="26214"/>
    <cellStyle name="Normal 5 3 2 2 5 2" xfId="26215"/>
    <cellStyle name="Percent 3 3 2 2 5 2" xfId="26216"/>
    <cellStyle name="Note 2 3 2 2 5 2" xfId="26217"/>
    <cellStyle name="Normal 3 6 3 2 2 5 2" xfId="26218"/>
    <cellStyle name="Comma 2 5 2 2 6 2" xfId="26219"/>
    <cellStyle name="Comma 3 4 2 2 6 2" xfId="26220"/>
    <cellStyle name="Percent 4 3 2 2 5 2" xfId="26221"/>
    <cellStyle name="Normal 3 7 3 2 2 5 2" xfId="26222"/>
    <cellStyle name="Note 3 3 2 2 5 2" xfId="26223"/>
    <cellStyle name="20% - Accent1 2 3 2 2 5 2" xfId="26224"/>
    <cellStyle name="40% - Accent1 2 3 2 2 5 2" xfId="26225"/>
    <cellStyle name="60% - Accent1 2 3 2 2 5 2" xfId="26226"/>
    <cellStyle name="20% - Accent2 2 3 2 2 5 2" xfId="26227"/>
    <cellStyle name="40% - Accent2 2 3 2 2 5 2" xfId="26228"/>
    <cellStyle name="60% - Accent2 2 3 2 2 5 2" xfId="26229"/>
    <cellStyle name="20% - Accent3 2 3 2 2 5 2" xfId="26230"/>
    <cellStyle name="40% - Accent3 2 3 2 2 5 2" xfId="26231"/>
    <cellStyle name="60% - Accent3 2 3 2 2 5 2" xfId="26232"/>
    <cellStyle name="20% - Accent4 2 3 2 2 5 2" xfId="26233"/>
    <cellStyle name="40% - Accent4 2 3 2 2 5 2" xfId="26234"/>
    <cellStyle name="60% - Accent4 2 3 2 2 5 2" xfId="26235"/>
    <cellStyle name="20% - Accent5 2 3 2 2 5 2" xfId="26236"/>
    <cellStyle name="40% - Accent5 2 3 2 2 5 2" xfId="26237"/>
    <cellStyle name="60% - Accent5 2 3 2 2 5 2" xfId="26238"/>
    <cellStyle name="20% - Accent6 2 3 2 2 5 2" xfId="26239"/>
    <cellStyle name="40% - Accent6 2 3 2 2 5 2" xfId="26240"/>
    <cellStyle name="60% - Accent6 2 3 2 2 5 2" xfId="26241"/>
    <cellStyle name="Comma 2 2 4 2 2 6 2" xfId="26242"/>
    <cellStyle name="Comma 4 4 2 2 6 2" xfId="26243"/>
    <cellStyle name="Normal 3 8 3 2 2 5 2" xfId="26244"/>
    <cellStyle name="Comma 2 4 2 2 6 2" xfId="26245"/>
    <cellStyle name="Comma 3 3 2 2 6 2" xfId="26246"/>
    <cellStyle name="Comma 2 2 3 2 2 6 2" xfId="26247"/>
    <cellStyle name="Comma 4 3 2 2 6 2" xfId="26248"/>
    <cellStyle name="Normal 7 2 2 2 5 2" xfId="26249"/>
    <cellStyle name="Comma 5 2 2 2 6 2" xfId="26250"/>
    <cellStyle name="20% - Accent1 3 2 2 2 5 2" xfId="26251"/>
    <cellStyle name="40% - Accent1 3 2 2 2 5 2" xfId="26252"/>
    <cellStyle name="60% - Accent1 3 2 2 2 5 2" xfId="26253"/>
    <cellStyle name="20% - Accent2 3 2 2 2 5 2" xfId="26254"/>
    <cellStyle name="40% - Accent2 3 2 2 2 5 2" xfId="26255"/>
    <cellStyle name="60% - Accent2 3 2 2 2 5 2" xfId="26256"/>
    <cellStyle name="20% - Accent3 3 2 2 2 5 2" xfId="26257"/>
    <cellStyle name="40% - Accent3 3 2 2 2 5 2" xfId="26258"/>
    <cellStyle name="60% - Accent3 3 2 2 2 5 2" xfId="26259"/>
    <cellStyle name="20% - Accent4 3 2 2 2 5 2" xfId="26260"/>
    <cellStyle name="40% - Accent4 3 2 2 2 5 2" xfId="26261"/>
    <cellStyle name="60% - Accent4 3 2 2 2 5 2" xfId="26262"/>
    <cellStyle name="20% - Accent5 3 2 2 2 5 2" xfId="26263"/>
    <cellStyle name="40% - Accent5 3 2 2 2 5 2" xfId="26264"/>
    <cellStyle name="60% - Accent5 3 2 2 2 5 2" xfId="26265"/>
    <cellStyle name="20% - Accent6 3 2 2 2 5 2" xfId="26266"/>
    <cellStyle name="40% - Accent6 3 2 2 2 5 2" xfId="26267"/>
    <cellStyle name="60% - Accent6 3 2 2 2 5 2" xfId="26268"/>
    <cellStyle name="Normal 3 2 3 2 2 2 5 2" xfId="26269"/>
    <cellStyle name="Normal 3 3 3 2 2 2 5 2" xfId="26270"/>
    <cellStyle name="Normal 3 4 3 2 2 2 5 2" xfId="26271"/>
    <cellStyle name="Normal 3 5 3 2 2 2 5 2" xfId="26272"/>
    <cellStyle name="Normal 3 3 2 2 2 2 2 5 2" xfId="26273"/>
    <cellStyle name="Normal 3 4 2 2 2 2 2 5 2" xfId="26274"/>
    <cellStyle name="Normal 3 5 2 2 2 2 2 5 2" xfId="26275"/>
    <cellStyle name="Normal 5 2 2 2 2 5 2" xfId="26276"/>
    <cellStyle name="Percent 3 2 2 2 2 5 2" xfId="26277"/>
    <cellStyle name="Note 2 2 2 2 2 5 2" xfId="26278"/>
    <cellStyle name="Normal 3 6 2 2 2 2 5 2" xfId="26279"/>
    <cellStyle name="Comma 2 3 2 2 2 6 2" xfId="26280"/>
    <cellStyle name="Comma 3 2 2 2 2 6 2" xfId="26281"/>
    <cellStyle name="Percent 4 2 2 2 2 5 2" xfId="26282"/>
    <cellStyle name="Normal 3 7 2 2 2 2 5 2" xfId="26283"/>
    <cellStyle name="Note 3 2 2 2 2 5 2" xfId="26284"/>
    <cellStyle name="20% - Accent1 2 2 2 2 2 5 2" xfId="26285"/>
    <cellStyle name="40% - Accent1 2 2 2 2 2 5 2" xfId="26286"/>
    <cellStyle name="60% - Accent1 2 2 2 2 2 5 2" xfId="26287"/>
    <cellStyle name="20% - Accent2 2 2 2 2 2 5 2" xfId="26288"/>
    <cellStyle name="40% - Accent2 2 2 2 2 2 5 2" xfId="26289"/>
    <cellStyle name="60% - Accent2 2 2 2 2 2 5 2" xfId="26290"/>
    <cellStyle name="20% - Accent3 2 2 2 2 2 5 2" xfId="26291"/>
    <cellStyle name="40% - Accent3 2 2 2 2 2 5 2" xfId="26292"/>
    <cellStyle name="60% - Accent3 2 2 2 2 2 5 2" xfId="26293"/>
    <cellStyle name="20% - Accent4 2 2 2 2 2 5 2" xfId="26294"/>
    <cellStyle name="40% - Accent4 2 2 2 2 2 5 2" xfId="26295"/>
    <cellStyle name="60% - Accent4 2 2 2 2 2 5 2" xfId="26296"/>
    <cellStyle name="20% - Accent5 2 2 2 2 2 5 2" xfId="26297"/>
    <cellStyle name="40% - Accent5 2 2 2 2 2 5 2" xfId="26298"/>
    <cellStyle name="60% - Accent5 2 2 2 2 2 5 2" xfId="26299"/>
    <cellStyle name="20% - Accent6 2 2 2 2 2 5 2" xfId="26300"/>
    <cellStyle name="40% - Accent6 2 2 2 2 2 5 2" xfId="26301"/>
    <cellStyle name="60% - Accent6 2 2 2 2 2 5 2" xfId="26302"/>
    <cellStyle name="Comma 2 2 2 2 2 2 6 2" xfId="26303"/>
    <cellStyle name="Comma 4 2 2 2 2 6 2" xfId="26304"/>
    <cellStyle name="Normal 3 8 2 2 2 2 5 2" xfId="26305"/>
    <cellStyle name="Normal 3 10 2 2 5 2" xfId="26306"/>
    <cellStyle name="Normal 3 11 2 2 5 2" xfId="26307"/>
    <cellStyle name="Normal 3 13 5 2" xfId="26308"/>
    <cellStyle name="Normal 3 2 7 5 2" xfId="26309"/>
    <cellStyle name="Normal 3 3 7 5 2" xfId="26310"/>
    <cellStyle name="Normal 3 4 7 5 2" xfId="26311"/>
    <cellStyle name="Normal 3 5 7 5 2" xfId="26312"/>
    <cellStyle name="20% - Accent1 7 5 2" xfId="26313"/>
    <cellStyle name="40% - Accent1 7 5 2" xfId="26314"/>
    <cellStyle name="60% - Accent1 7 5 2" xfId="26315"/>
    <cellStyle name="20% - Accent2 7 5 2" xfId="26316"/>
    <cellStyle name="40% - Accent2 7 5 2" xfId="26317"/>
    <cellStyle name="60% - Accent2 7 5 2" xfId="26318"/>
    <cellStyle name="20% - Accent3 7 5 2" xfId="26319"/>
    <cellStyle name="40% - Accent3 7 5 2" xfId="26320"/>
    <cellStyle name="60% - Accent3 7 5 2" xfId="26321"/>
    <cellStyle name="20% - Accent4 7 5 2" xfId="26322"/>
    <cellStyle name="40% - Accent4 7 5 2" xfId="26323"/>
    <cellStyle name="60% - Accent4 7 5 2" xfId="26324"/>
    <cellStyle name="20% - Accent5 7 5 2" xfId="26325"/>
    <cellStyle name="40% - Accent5 7 5 2" xfId="26326"/>
    <cellStyle name="60% - Accent5 7 5 2" xfId="26327"/>
    <cellStyle name="20% - Accent6 7 5 2" xfId="26328"/>
    <cellStyle name="40% - Accent6 7 5 2" xfId="26329"/>
    <cellStyle name="60% - Accent6 7 5 2" xfId="26330"/>
    <cellStyle name="Normal 3 2 2 6 5 2" xfId="26331"/>
    <cellStyle name="Normal 3 3 2 6 5 2" xfId="26332"/>
    <cellStyle name="Normal 3 4 2 6 5 2" xfId="26333"/>
    <cellStyle name="Normal 3 5 2 6 5 2" xfId="26334"/>
    <cellStyle name="Normal 5 6 5 2" xfId="26335"/>
    <cellStyle name="Percent 3 6 5 2" xfId="26336"/>
    <cellStyle name="Note 2 6 5 2" xfId="26337"/>
    <cellStyle name="Normal 3 6 6 5 2" xfId="26338"/>
    <cellStyle name="Comma 2 8 6 2" xfId="26339"/>
    <cellStyle name="Comma 3 8 6 2" xfId="26340"/>
    <cellStyle name="Percent 4 6 5 2" xfId="26341"/>
    <cellStyle name="Normal 3 7 6 5 2" xfId="26342"/>
    <cellStyle name="Note 3 6 5 2" xfId="26343"/>
    <cellStyle name="20% - Accent1 2 6 5 2" xfId="26344"/>
    <cellStyle name="40% - Accent1 2 6 5 2" xfId="26345"/>
    <cellStyle name="60% - Accent1 2 6 5 2" xfId="26346"/>
    <cellStyle name="20% - Accent2 2 6 5 2" xfId="26347"/>
    <cellStyle name="40% - Accent2 2 6 5 2" xfId="26348"/>
    <cellStyle name="60% - Accent2 2 6 5 2" xfId="26349"/>
    <cellStyle name="20% - Accent3 2 6 5 2" xfId="26350"/>
    <cellStyle name="40% - Accent3 2 6 5 2" xfId="26351"/>
    <cellStyle name="60% - Accent3 2 6 5 2" xfId="26352"/>
    <cellStyle name="20% - Accent4 2 6 5 2" xfId="26353"/>
    <cellStyle name="40% - Accent4 2 6 5 2" xfId="26354"/>
    <cellStyle name="60% - Accent4 2 6 5 2" xfId="26355"/>
    <cellStyle name="20% - Accent5 2 6 5 2" xfId="26356"/>
    <cellStyle name="40% - Accent5 2 6 5 2" xfId="26357"/>
    <cellStyle name="60% - Accent5 2 6 5 2" xfId="26358"/>
    <cellStyle name="20% - Accent6 2 6 5 2" xfId="26359"/>
    <cellStyle name="40% - Accent6 2 6 5 2" xfId="26360"/>
    <cellStyle name="60% - Accent6 2 6 5 2" xfId="26361"/>
    <cellStyle name="Comma 2 2 7 6 2" xfId="26362"/>
    <cellStyle name="Comma 4 7 6 2" xfId="26363"/>
    <cellStyle name="Normal 3 8 6 5 2" xfId="26364"/>
    <cellStyle name="Normal 7 5 5 2" xfId="26365"/>
    <cellStyle name="Comma 5 5 6 2" xfId="26366"/>
    <cellStyle name="20% - Accent1 3 5 5 2" xfId="26367"/>
    <cellStyle name="40% - Accent1 3 5 5 2" xfId="26368"/>
    <cellStyle name="60% - Accent1 3 5 5 2" xfId="26369"/>
    <cellStyle name="20% - Accent2 3 5 5 2" xfId="26370"/>
    <cellStyle name="40% - Accent2 3 5 5 2" xfId="26371"/>
    <cellStyle name="60% - Accent2 3 5 5 2" xfId="26372"/>
    <cellStyle name="20% - Accent3 3 5 5 2" xfId="26373"/>
    <cellStyle name="40% - Accent3 3 5 5 2" xfId="26374"/>
    <cellStyle name="60% - Accent3 3 5 5 2" xfId="26375"/>
    <cellStyle name="20% - Accent4 3 5 5 2" xfId="26376"/>
    <cellStyle name="40% - Accent4 3 5 5 2" xfId="26377"/>
    <cellStyle name="60% - Accent4 3 5 5 2" xfId="26378"/>
    <cellStyle name="20% - Accent5 3 5 5 2" xfId="26379"/>
    <cellStyle name="40% - Accent5 3 5 5 2" xfId="26380"/>
    <cellStyle name="60% - Accent5 3 5 5 2" xfId="26381"/>
    <cellStyle name="20% - Accent6 3 5 5 2" xfId="26382"/>
    <cellStyle name="40% - Accent6 3 5 5 2" xfId="26383"/>
    <cellStyle name="60% - Accent6 3 5 5 2" xfId="26384"/>
    <cellStyle name="Normal 3 2 3 5 5 2" xfId="26385"/>
    <cellStyle name="Normal 3 3 3 5 5 2" xfId="26386"/>
    <cellStyle name="Normal 3 4 3 5 5 2" xfId="26387"/>
    <cellStyle name="Normal 3 5 3 5 5 2" xfId="26388"/>
    <cellStyle name="Normal 3 2 2 2 5 5 2" xfId="26389"/>
    <cellStyle name="Normal 3 3 2 2 5 5 2" xfId="26390"/>
    <cellStyle name="Normal 3 4 2 2 5 5 2" xfId="26391"/>
    <cellStyle name="Normal 3 5 2 2 5 5 2" xfId="26392"/>
    <cellStyle name="Normal 5 2 5 5 2" xfId="26393"/>
    <cellStyle name="Percent 3 2 5 5 2" xfId="26394"/>
    <cellStyle name="Note 2 2 5 5 2" xfId="26395"/>
    <cellStyle name="Normal 3 6 2 5 5 2" xfId="26396"/>
    <cellStyle name="Comma 2 3 5 6 2" xfId="26397"/>
    <cellStyle name="Comma 3 2 5 6 2" xfId="26398"/>
    <cellStyle name="Percent 4 2 5 5 2" xfId="26399"/>
    <cellStyle name="Normal 3 7 2 5 5 2" xfId="26400"/>
    <cellStyle name="Note 3 2 5 5 2" xfId="26401"/>
    <cellStyle name="20% - Accent1 2 2 5 5 2" xfId="26402"/>
    <cellStyle name="40% - Accent1 2 2 5 5 2" xfId="26403"/>
    <cellStyle name="60% - Accent1 2 2 5 5 2" xfId="26404"/>
    <cellStyle name="20% - Accent2 2 2 5 5 2" xfId="26405"/>
    <cellStyle name="40% - Accent2 2 2 5 5 2" xfId="26406"/>
    <cellStyle name="60% - Accent2 2 2 5 5 2" xfId="26407"/>
    <cellStyle name="20% - Accent3 2 2 5 5 2" xfId="26408"/>
    <cellStyle name="40% - Accent3 2 2 5 5 2" xfId="26409"/>
    <cellStyle name="60% - Accent3 2 2 5 5 2" xfId="26410"/>
    <cellStyle name="20% - Accent4 2 2 5 5 2" xfId="26411"/>
    <cellStyle name="40% - Accent4 2 2 5 5 2" xfId="26412"/>
    <cellStyle name="60% - Accent4 2 2 5 5 2" xfId="26413"/>
    <cellStyle name="20% - Accent5 2 2 5 5 2" xfId="26414"/>
    <cellStyle name="40% - Accent5 2 2 5 5 2" xfId="26415"/>
    <cellStyle name="60% - Accent5 2 2 5 5 2" xfId="26416"/>
    <cellStyle name="20% - Accent6 2 2 5 5 2" xfId="26417"/>
    <cellStyle name="40% - Accent6 2 2 5 5 2" xfId="26418"/>
    <cellStyle name="60% - Accent6 2 2 5 5 2" xfId="26419"/>
    <cellStyle name="Comma 2 2 2 5 6 2" xfId="26420"/>
    <cellStyle name="Comma 4 2 5 6 2" xfId="26421"/>
    <cellStyle name="Normal 3 8 2 5 5 2" xfId="26422"/>
    <cellStyle name="Normal 8 4 5 2" xfId="26423"/>
    <cellStyle name="Comma 6 4 6 2" xfId="26424"/>
    <cellStyle name="20% - Accent1 4 4 5 2" xfId="26425"/>
    <cellStyle name="40% - Accent1 4 4 5 2" xfId="26426"/>
    <cellStyle name="60% - Accent1 4 4 5 2" xfId="26427"/>
    <cellStyle name="20% - Accent2 4 4 5 2" xfId="26428"/>
    <cellStyle name="40% - Accent2 4 4 5 2" xfId="26429"/>
    <cellStyle name="60% - Accent2 4 4 5 2" xfId="26430"/>
    <cellStyle name="20% - Accent3 4 4 5 2" xfId="26431"/>
    <cellStyle name="40% - Accent3 4 4 5 2" xfId="26432"/>
    <cellStyle name="60% - Accent3 4 4 5 2" xfId="26433"/>
    <cellStyle name="20% - Accent4 4 4 5 2" xfId="26434"/>
    <cellStyle name="40% - Accent4 4 4 5 2" xfId="26435"/>
    <cellStyle name="60% - Accent4 4 4 5 2" xfId="26436"/>
    <cellStyle name="20% - Accent5 4 4 5 2" xfId="26437"/>
    <cellStyle name="40% - Accent5 4 4 5 2" xfId="26438"/>
    <cellStyle name="60% - Accent5 4 4 5 2" xfId="26439"/>
    <cellStyle name="20% - Accent6 4 4 5 2" xfId="26440"/>
    <cellStyle name="40% - Accent6 4 4 5 2" xfId="26441"/>
    <cellStyle name="60% - Accent6 4 4 5 2" xfId="26442"/>
    <cellStyle name="Normal 3 2 4 4 5 2" xfId="26443"/>
    <cellStyle name="Normal 3 3 4 4 5 2" xfId="26444"/>
    <cellStyle name="Normal 3 4 4 4 5 2" xfId="26445"/>
    <cellStyle name="Normal 3 5 4 4 5 2" xfId="26446"/>
    <cellStyle name="Normal 3 2 2 3 4 5 2" xfId="26447"/>
    <cellStyle name="Normal 3 3 2 3 4 5 2" xfId="26448"/>
    <cellStyle name="Normal 3 4 2 3 4 5 2" xfId="26449"/>
    <cellStyle name="Normal 3 5 2 3 4 5 2" xfId="26450"/>
    <cellStyle name="Normal 5 3 4 5 2" xfId="26451"/>
    <cellStyle name="Percent 3 3 4 5 2" xfId="26452"/>
    <cellStyle name="Note 2 3 4 5 2" xfId="26453"/>
    <cellStyle name="Normal 3 6 3 4 5 2" xfId="26454"/>
    <cellStyle name="Comma 2 5 4 6 2" xfId="26455"/>
    <cellStyle name="Comma 3 4 4 6 2" xfId="26456"/>
    <cellStyle name="Percent 4 3 4 5 2" xfId="26457"/>
    <cellStyle name="Normal 3 7 3 4 5 2" xfId="26458"/>
    <cellStyle name="Note 3 3 4 5 2" xfId="26459"/>
    <cellStyle name="20% - Accent1 2 3 4 5 2" xfId="26460"/>
    <cellStyle name="40% - Accent1 2 3 4 5 2" xfId="26461"/>
    <cellStyle name="60% - Accent1 2 3 4 5 2" xfId="26462"/>
    <cellStyle name="20% - Accent2 2 3 4 5 2" xfId="26463"/>
    <cellStyle name="40% - Accent2 2 3 4 5 2" xfId="26464"/>
    <cellStyle name="60% - Accent2 2 3 4 5 2" xfId="26465"/>
    <cellStyle name="20% - Accent3 2 3 4 5 2" xfId="26466"/>
    <cellStyle name="40% - Accent3 2 3 4 5 2" xfId="26467"/>
    <cellStyle name="60% - Accent3 2 3 4 5 2" xfId="26468"/>
    <cellStyle name="20% - Accent4 2 3 4 5 2" xfId="26469"/>
    <cellStyle name="40% - Accent4 2 3 4 5 2" xfId="26470"/>
    <cellStyle name="60% - Accent4 2 3 4 5 2" xfId="26471"/>
    <cellStyle name="20% - Accent5 2 3 4 5 2" xfId="26472"/>
    <cellStyle name="40% - Accent5 2 3 4 5 2" xfId="26473"/>
    <cellStyle name="60% - Accent5 2 3 4 5 2" xfId="26474"/>
    <cellStyle name="20% - Accent6 2 3 4 5 2" xfId="26475"/>
    <cellStyle name="40% - Accent6 2 3 4 5 2" xfId="26476"/>
    <cellStyle name="60% - Accent6 2 3 4 5 2" xfId="26477"/>
    <cellStyle name="Comma 2 2 4 4 6 2" xfId="26478"/>
    <cellStyle name="Comma 4 4 4 6 2" xfId="26479"/>
    <cellStyle name="Normal 3 8 3 4 5 2" xfId="26480"/>
    <cellStyle name="Comma 2 4 4 6 2" xfId="26481"/>
    <cellStyle name="Comma 3 3 4 6 2" xfId="26482"/>
    <cellStyle name="Comma 2 2 3 4 6 2" xfId="26483"/>
    <cellStyle name="Comma 4 3 4 6 2" xfId="26484"/>
    <cellStyle name="Normal 7 2 4 5 2" xfId="26485"/>
    <cellStyle name="Comma 5 2 4 6 2" xfId="26486"/>
    <cellStyle name="20% - Accent1 3 2 4 5 2" xfId="26487"/>
    <cellStyle name="40% - Accent1 3 2 4 5 2" xfId="26488"/>
    <cellStyle name="60% - Accent1 3 2 4 5 2" xfId="26489"/>
    <cellStyle name="20% - Accent2 3 2 4 5 2" xfId="26490"/>
    <cellStyle name="40% - Accent2 3 2 4 5 2" xfId="26491"/>
    <cellStyle name="60% - Accent2 3 2 4 5 2" xfId="26492"/>
    <cellStyle name="20% - Accent3 3 2 4 5 2" xfId="26493"/>
    <cellStyle name="40% - Accent3 3 2 4 5 2" xfId="26494"/>
    <cellStyle name="60% - Accent3 3 2 4 5 2" xfId="26495"/>
    <cellStyle name="20% - Accent4 3 2 4 5 2" xfId="26496"/>
    <cellStyle name="40% - Accent4 3 2 4 5 2" xfId="26497"/>
    <cellStyle name="60% - Accent4 3 2 4 5 2" xfId="26498"/>
    <cellStyle name="20% - Accent5 3 2 4 5 2" xfId="26499"/>
    <cellStyle name="40% - Accent5 3 2 4 5 2" xfId="26500"/>
    <cellStyle name="60% - Accent5 3 2 4 5 2" xfId="26501"/>
    <cellStyle name="20% - Accent6 3 2 4 5 2" xfId="26502"/>
    <cellStyle name="40% - Accent6 3 2 4 5 2" xfId="26503"/>
    <cellStyle name="60% - Accent6 3 2 4 5 2" xfId="26504"/>
    <cellStyle name="Normal 3 2 3 2 4 5 2" xfId="26505"/>
    <cellStyle name="Normal 3 3 3 2 4 5 2" xfId="26506"/>
    <cellStyle name="Normal 3 4 3 2 4 5 2" xfId="26507"/>
    <cellStyle name="Normal 3 5 3 2 4 5 2" xfId="26508"/>
    <cellStyle name="Normal 3 2 2 2 2 4 5 2" xfId="26509"/>
    <cellStyle name="Normal 3 3 2 2 2 4 5 2" xfId="26510"/>
    <cellStyle name="Normal 3 4 2 2 2 4 5 2" xfId="26511"/>
    <cellStyle name="Normal 3 5 2 2 2 4 5 2" xfId="26512"/>
    <cellStyle name="Normal 5 2 2 4 5 2" xfId="26513"/>
    <cellStyle name="Percent 3 2 2 4 5 2" xfId="26514"/>
    <cellStyle name="Note 2 2 2 4 5 2" xfId="26515"/>
    <cellStyle name="Normal 3 6 2 2 4 5 2" xfId="26516"/>
    <cellStyle name="Comma 2 3 2 4 6 2" xfId="26517"/>
    <cellStyle name="Comma 3 2 2 4 6 2" xfId="26518"/>
    <cellStyle name="Percent 4 2 2 4 5 2" xfId="26519"/>
    <cellStyle name="Normal 3 7 2 2 4 5 2" xfId="26520"/>
    <cellStyle name="Note 3 2 2 4 5 2" xfId="26521"/>
    <cellStyle name="20% - Accent1 2 2 2 4 5 2" xfId="26522"/>
    <cellStyle name="40% - Accent1 2 2 2 4 5 2" xfId="26523"/>
    <cellStyle name="60% - Accent1 2 2 2 4 5 2" xfId="26524"/>
    <cellStyle name="20% - Accent2 2 2 2 4 5 2" xfId="26525"/>
    <cellStyle name="40% - Accent2 2 2 2 4 5 2" xfId="26526"/>
    <cellStyle name="60% - Accent2 2 2 2 4 5 2" xfId="26527"/>
    <cellStyle name="20% - Accent3 2 2 2 4 5 2" xfId="26528"/>
    <cellStyle name="40% - Accent3 2 2 2 4 5 2" xfId="26529"/>
    <cellStyle name="60% - Accent3 2 2 2 4 5 2" xfId="26530"/>
    <cellStyle name="20% - Accent4 2 2 2 4 5 2" xfId="26531"/>
    <cellStyle name="40% - Accent4 2 2 2 4 5 2" xfId="26532"/>
    <cellStyle name="60% - Accent4 2 2 2 4 5 2" xfId="26533"/>
    <cellStyle name="20% - Accent5 2 2 2 4 5 2" xfId="26534"/>
    <cellStyle name="40% - Accent5 2 2 2 4 5 2" xfId="26535"/>
    <cellStyle name="60% - Accent5 2 2 2 4 5 2" xfId="26536"/>
    <cellStyle name="20% - Accent6 2 2 2 4 5 2" xfId="26537"/>
    <cellStyle name="40% - Accent6 2 2 2 4 5 2" xfId="26538"/>
    <cellStyle name="60% - Accent6 2 2 2 4 5 2" xfId="26539"/>
    <cellStyle name="Comma 2 2 2 2 4 6 2" xfId="26540"/>
    <cellStyle name="Comma 4 2 2 4 6 2" xfId="26541"/>
    <cellStyle name="Normal 3 8 2 2 4 5 2" xfId="26542"/>
    <cellStyle name="Normal 3 10 4 5 2" xfId="26543"/>
    <cellStyle name="Normal 3 11 4 5 2" xfId="26544"/>
    <cellStyle name="Normal 12 5 2" xfId="26545"/>
    <cellStyle name="Percent 8 5 2" xfId="26546"/>
    <cellStyle name="Note 4 5 2" xfId="26547"/>
    <cellStyle name="20% - Accent1 8 5 2" xfId="26548"/>
    <cellStyle name="40% - Accent1 8 5 2" xfId="26549"/>
    <cellStyle name="60% - Accent1 8 5 2" xfId="26550"/>
    <cellStyle name="20% - Accent2 8 5 2" xfId="26551"/>
    <cellStyle name="40% - Accent2 8 5 2" xfId="26552"/>
    <cellStyle name="60% - Accent2 8 5 2" xfId="26553"/>
    <cellStyle name="20% - Accent3 8 5 2" xfId="26554"/>
    <cellStyle name="40% - Accent3 8 5 2" xfId="26555"/>
    <cellStyle name="60% - Accent3 8 5 2" xfId="26556"/>
    <cellStyle name="20% - Accent4 8 5 2" xfId="26557"/>
    <cellStyle name="40% - Accent4 8 5 2" xfId="26558"/>
    <cellStyle name="60% - Accent4 8 5 2" xfId="26559"/>
    <cellStyle name="20% - Accent5 8 5 2" xfId="26560"/>
    <cellStyle name="40% - Accent5 8 5 2" xfId="26561"/>
    <cellStyle name="60% - Accent5 8 5 2" xfId="26562"/>
    <cellStyle name="20% - Accent6 8 5 2" xfId="26563"/>
    <cellStyle name="40% - Accent6 8 5 2" xfId="26564"/>
    <cellStyle name="60% - Accent6 8 5 2" xfId="26565"/>
    <cellStyle name="Comma 2 9 6 2" xfId="26566"/>
    <cellStyle name="Comma 7 6 2" xfId="26567"/>
    <cellStyle name="Normal 13 7 2" xfId="26568"/>
    <cellStyle name="Comma 8 5 2" xfId="26569"/>
    <cellStyle name="20% - Accent1 9 5 2" xfId="26570"/>
    <cellStyle name="40% - Accent1 9 5 2" xfId="26571"/>
    <cellStyle name="60% - Accent1 9 5 2" xfId="26572"/>
    <cellStyle name="20% - Accent2 9 5 2" xfId="26573"/>
    <cellStyle name="40% - Accent2 9 5 2" xfId="26574"/>
    <cellStyle name="60% - Accent2 9 5 2" xfId="26575"/>
    <cellStyle name="20% - Accent3 9 5 2" xfId="26576"/>
    <cellStyle name="40% - Accent3 9 5 2" xfId="26577"/>
    <cellStyle name="60% - Accent3 9 5 2" xfId="26578"/>
    <cellStyle name="20% - Accent4 9 5 2" xfId="26579"/>
    <cellStyle name="40% - Accent4 9 5 2" xfId="26580"/>
    <cellStyle name="60% - Accent4 9 5 2" xfId="26581"/>
    <cellStyle name="20% - Accent5 9 5 2" xfId="26582"/>
    <cellStyle name="40% - Accent5 9 5 2" xfId="26583"/>
    <cellStyle name="60% - Accent5 9 5 2" xfId="26584"/>
    <cellStyle name="20% - Accent6 9 5 2" xfId="26585"/>
    <cellStyle name="40% - Accent6 9 5 2" xfId="26586"/>
    <cellStyle name="60% - Accent6 9 5 2" xfId="26587"/>
    <cellStyle name="Normal 3 2 8 5 2" xfId="26588"/>
    <cellStyle name="Normal 3 3 8 5 2" xfId="26589"/>
    <cellStyle name="Normal 3 4 8 5 2" xfId="26590"/>
    <cellStyle name="Normal 3 5 8 5 2" xfId="26591"/>
    <cellStyle name="Normal 3 2 2 7 5 2" xfId="26592"/>
    <cellStyle name="Normal 3 3 2 7 5 2" xfId="26593"/>
    <cellStyle name="Normal 3 4 2 7 5 2" xfId="26594"/>
    <cellStyle name="Normal 3 5 2 7 5 2" xfId="26595"/>
    <cellStyle name="Normal 5 7 5 2" xfId="26596"/>
    <cellStyle name="Percent 3 7 5 2" xfId="26597"/>
    <cellStyle name="Note 2 7 5 2" xfId="26598"/>
    <cellStyle name="Normal 3 6 7 5 2" xfId="26599"/>
    <cellStyle name="Comma 2 10 5 2" xfId="26600"/>
    <cellStyle name="Comma 3 9 5 2" xfId="26601"/>
    <cellStyle name="Percent 4 7 5 2" xfId="26602"/>
    <cellStyle name="Normal 3 7 7 5 2" xfId="26603"/>
    <cellStyle name="Note 3 7 5 2" xfId="26604"/>
    <cellStyle name="20% - Accent1 2 7 5 2" xfId="26605"/>
    <cellStyle name="40% - Accent1 2 7 5 2" xfId="26606"/>
    <cellStyle name="60% - Accent1 2 7 5 2" xfId="26607"/>
    <cellStyle name="20% - Accent2 2 7 5 2" xfId="26608"/>
    <cellStyle name="40% - Accent2 2 7 5 2" xfId="26609"/>
    <cellStyle name="60% - Accent2 2 7 5 2" xfId="26610"/>
    <cellStyle name="20% - Accent3 2 7 5 2" xfId="26611"/>
    <cellStyle name="40% - Accent3 2 7 5 2" xfId="26612"/>
    <cellStyle name="60% - Accent3 2 7 5 2" xfId="26613"/>
    <cellStyle name="20% - Accent4 2 7 5 2" xfId="26614"/>
    <cellStyle name="40% - Accent4 2 7 5 2" xfId="26615"/>
    <cellStyle name="60% - Accent4 2 7 5 2" xfId="26616"/>
    <cellStyle name="20% - Accent5 2 7 5 2" xfId="26617"/>
    <cellStyle name="40% - Accent5 2 7 5 2" xfId="26618"/>
    <cellStyle name="60% - Accent5 2 7 5 2" xfId="26619"/>
    <cellStyle name="20% - Accent6 2 7 5 2" xfId="26620"/>
    <cellStyle name="40% - Accent6 2 7 5 2" xfId="26621"/>
    <cellStyle name="60% - Accent6 2 7 5 2" xfId="26622"/>
    <cellStyle name="Comma 2 2 8 5 2" xfId="26623"/>
    <cellStyle name="Comma 4 8 5 2" xfId="26624"/>
    <cellStyle name="Normal 3 8 7 5 2" xfId="26625"/>
    <cellStyle name="Comma 2 4 5 5 2" xfId="26626"/>
    <cellStyle name="Comma 3 3 5 5 2" xfId="26627"/>
    <cellStyle name="Comma 2 2 3 5 5 2" xfId="26628"/>
    <cellStyle name="Comma 4 3 5 5 2" xfId="26629"/>
    <cellStyle name="Normal 7 6 5 2" xfId="26630"/>
    <cellStyle name="Comma 5 6 5 2" xfId="26631"/>
    <cellStyle name="20% - Accent1 3 6 5 2" xfId="26632"/>
    <cellStyle name="40% - Accent1 3 6 5 2" xfId="26633"/>
    <cellStyle name="60% - Accent1 3 6 5 2" xfId="26634"/>
    <cellStyle name="20% - Accent2 3 6 5 2" xfId="26635"/>
    <cellStyle name="40% - Accent2 3 6 5 2" xfId="26636"/>
    <cellStyle name="60% - Accent2 3 6 5 2" xfId="26637"/>
    <cellStyle name="20% - Accent3 3 6 5 2" xfId="26638"/>
    <cellStyle name="40% - Accent3 3 6 5 2" xfId="26639"/>
    <cellStyle name="60% - Accent3 3 6 5 2" xfId="26640"/>
    <cellStyle name="20% - Accent4 3 6 5 2" xfId="26641"/>
    <cellStyle name="40% - Accent4 3 6 5 2" xfId="26642"/>
    <cellStyle name="60% - Accent4 3 6 5 2" xfId="26643"/>
    <cellStyle name="20% - Accent5 3 6 5 2" xfId="26644"/>
    <cellStyle name="40% - Accent5 3 6 5 2" xfId="26645"/>
    <cellStyle name="60% - Accent5 3 6 5 2" xfId="26646"/>
    <cellStyle name="20% - Accent6 3 6 5 2" xfId="26647"/>
    <cellStyle name="40% - Accent6 3 6 5 2" xfId="26648"/>
    <cellStyle name="60% - Accent6 3 6 5 2" xfId="26649"/>
    <cellStyle name="Normal 3 2 3 6 5 2" xfId="26650"/>
    <cellStyle name="Normal 3 3 3 6 5 2" xfId="26651"/>
    <cellStyle name="Normal 3 4 3 6 5 2" xfId="26652"/>
    <cellStyle name="Normal 3 5 3 6 5 2" xfId="26653"/>
    <cellStyle name="Normal 3 2 2 2 6 5 2" xfId="26654"/>
    <cellStyle name="Normal 3 3 2 2 6 5 2" xfId="26655"/>
    <cellStyle name="Normal 3 4 2 2 6 5 2" xfId="26656"/>
    <cellStyle name="Normal 3 5 2 2 6 5 2" xfId="26657"/>
    <cellStyle name="Normal 5 2 6 5 2" xfId="26658"/>
    <cellStyle name="Percent 3 2 6 5 2" xfId="26659"/>
    <cellStyle name="Note 2 2 6 5 2" xfId="26660"/>
    <cellStyle name="Normal 3 6 2 6 5 2" xfId="26661"/>
    <cellStyle name="Comma 2 3 6 5 2" xfId="26662"/>
    <cellStyle name="Comma 3 2 6 5 2" xfId="26663"/>
    <cellStyle name="Percent 4 2 6 5 2" xfId="26664"/>
    <cellStyle name="Normal 3 7 2 6 5 2" xfId="26665"/>
    <cellStyle name="Note 3 2 6 5 2" xfId="26666"/>
    <cellStyle name="20% - Accent1 2 2 6 5 2" xfId="26667"/>
    <cellStyle name="40% - Accent1 2 2 6 5 2" xfId="26668"/>
    <cellStyle name="60% - Accent1 2 2 6 5 2" xfId="26669"/>
    <cellStyle name="20% - Accent2 2 2 6 5 2" xfId="26670"/>
    <cellStyle name="40% - Accent2 2 2 6 5 2" xfId="26671"/>
    <cellStyle name="60% - Accent2 2 2 6 5 2" xfId="26672"/>
    <cellStyle name="20% - Accent3 2 2 6 5 2" xfId="26673"/>
    <cellStyle name="40% - Accent3 2 2 6 5 2" xfId="26674"/>
    <cellStyle name="60% - Accent3 2 2 6 5 2" xfId="26675"/>
    <cellStyle name="20% - Accent4 2 2 6 5 2" xfId="26676"/>
    <cellStyle name="40% - Accent4 2 2 6 5 2" xfId="26677"/>
    <cellStyle name="60% - Accent4 2 2 6 5 2" xfId="26678"/>
    <cellStyle name="20% - Accent5 2 2 6 5 2" xfId="26679"/>
    <cellStyle name="40% - Accent5 2 2 6 5 2" xfId="26680"/>
    <cellStyle name="60% - Accent5 2 2 6 5 2" xfId="26681"/>
    <cellStyle name="20% - Accent6 2 2 6 5 2" xfId="26682"/>
    <cellStyle name="40% - Accent6 2 2 6 5 2" xfId="26683"/>
    <cellStyle name="60% - Accent6 2 2 6 5 2" xfId="26684"/>
    <cellStyle name="Comma 2 2 2 6 5 2" xfId="26685"/>
    <cellStyle name="Comma 4 2 6 5 2" xfId="26686"/>
    <cellStyle name="Normal 3 8 2 6 5 2" xfId="26687"/>
    <cellStyle name="20% - Accent1 10 4 2" xfId="26688"/>
    <cellStyle name="40% - Accent1 10 4 2" xfId="26689"/>
    <cellStyle name="60% - Accent1 10 4 2" xfId="26690"/>
    <cellStyle name="20% - Accent2 10 4 2" xfId="26691"/>
    <cellStyle name="40% - Accent2 10 4 2" xfId="26692"/>
    <cellStyle name="60% - Accent2 10 4 2" xfId="26693"/>
    <cellStyle name="20% - Accent3 10 4 2" xfId="26694"/>
    <cellStyle name="40% - Accent3 10 4 2" xfId="26695"/>
    <cellStyle name="60% - Accent3 10 4 2" xfId="26696"/>
    <cellStyle name="20% - Accent4 10 4 2" xfId="26697"/>
    <cellStyle name="40% - Accent4 10 4 2" xfId="26698"/>
    <cellStyle name="60% - Accent4 10 4 2" xfId="26699"/>
    <cellStyle name="20% - Accent5 10 4 2" xfId="26700"/>
    <cellStyle name="40% - Accent5 10 4 2" xfId="26701"/>
    <cellStyle name="60% - Accent5 10 4 2" xfId="26702"/>
    <cellStyle name="20% - Accent6 10 4 2" xfId="26703"/>
    <cellStyle name="40% - Accent6 10 4 2" xfId="26704"/>
    <cellStyle name="60% - Accent6 10 4 2" xfId="26705"/>
    <cellStyle name="Normal 3 2 9 4 2" xfId="26706"/>
    <cellStyle name="Normal 3 3 9 4 2" xfId="26707"/>
    <cellStyle name="Normal 3 4 9 4 2" xfId="26708"/>
    <cellStyle name="Normal 3 5 9 4 2" xfId="26709"/>
    <cellStyle name="Normal 3 2 2 8 4 2" xfId="26710"/>
    <cellStyle name="Normal 3 3 2 8 4 2" xfId="26711"/>
    <cellStyle name="Normal 3 4 2 8 4 2" xfId="26712"/>
    <cellStyle name="Normal 3 5 2 8 4 2" xfId="26713"/>
    <cellStyle name="Normal 5 8 4 2" xfId="26714"/>
    <cellStyle name="Percent 3 8 4 2" xfId="26715"/>
    <cellStyle name="Note 2 8 4 2" xfId="26716"/>
    <cellStyle name="Normal 3 6 8 4 2" xfId="26717"/>
    <cellStyle name="Comma 2 12 4 2" xfId="26718"/>
    <cellStyle name="Comma 3 11 4 2" xfId="26719"/>
    <cellStyle name="Percent 4 8 4 2" xfId="26720"/>
    <cellStyle name="Normal 3 7 8 4 2" xfId="26721"/>
    <cellStyle name="Note 3 8 4 2" xfId="26722"/>
    <cellStyle name="20% - Accent1 2 8 4 2" xfId="26723"/>
    <cellStyle name="40% - Accent1 2 8 4 2" xfId="26724"/>
    <cellStyle name="60% - Accent1 2 8 4 2" xfId="26725"/>
    <cellStyle name="20% - Accent2 2 8 4 2" xfId="26726"/>
    <cellStyle name="40% - Accent2 2 8 4 2" xfId="26727"/>
    <cellStyle name="60% - Accent2 2 8 4 2" xfId="26728"/>
    <cellStyle name="20% - Accent3 2 8 4 2" xfId="26729"/>
    <cellStyle name="40% - Accent3 2 8 4 2" xfId="26730"/>
    <cellStyle name="60% - Accent3 2 8 4 2" xfId="26731"/>
    <cellStyle name="20% - Accent4 2 8 4 2" xfId="26732"/>
    <cellStyle name="40% - Accent4 2 8 4 2" xfId="26733"/>
    <cellStyle name="60% - Accent4 2 8 4 2" xfId="26734"/>
    <cellStyle name="20% - Accent5 2 8 4 2" xfId="26735"/>
    <cellStyle name="40% - Accent5 2 8 4 2" xfId="26736"/>
    <cellStyle name="60% - Accent5 2 8 4 2" xfId="26737"/>
    <cellStyle name="20% - Accent6 2 8 4 2" xfId="26738"/>
    <cellStyle name="40% - Accent6 2 8 4 2" xfId="26739"/>
    <cellStyle name="60% - Accent6 2 8 4 2" xfId="26740"/>
    <cellStyle name="Comma 2 2 10 4 2" xfId="26741"/>
    <cellStyle name="Comma 4 10 4 2" xfId="26742"/>
    <cellStyle name="Normal 3 8 8 4 2" xfId="26743"/>
    <cellStyle name="Normal 7 7 4 2" xfId="26744"/>
    <cellStyle name="Comma 5 8 4 2" xfId="26745"/>
    <cellStyle name="20% - Accent1 3 7 4 2" xfId="26746"/>
    <cellStyle name="40% - Accent1 3 7 4 2" xfId="26747"/>
    <cellStyle name="60% - Accent1 3 7 4 2" xfId="26748"/>
    <cellStyle name="20% - Accent2 3 7 4 2" xfId="26749"/>
    <cellStyle name="40% - Accent2 3 7 4 2" xfId="26750"/>
    <cellStyle name="60% - Accent2 3 7 4 2" xfId="26751"/>
    <cellStyle name="20% - Accent3 3 7 4 2" xfId="26752"/>
    <cellStyle name="40% - Accent3 3 7 4 2" xfId="26753"/>
    <cellStyle name="60% - Accent3 3 7 4 2" xfId="26754"/>
    <cellStyle name="20% - Accent4 3 7 4 2" xfId="26755"/>
    <cellStyle name="40% - Accent4 3 7 4 2" xfId="26756"/>
    <cellStyle name="60% - Accent4 3 7 4 2" xfId="26757"/>
    <cellStyle name="20% - Accent5 3 7 4 2" xfId="26758"/>
    <cellStyle name="40% - Accent5 3 7 4 2" xfId="26759"/>
    <cellStyle name="60% - Accent5 3 7 4 2" xfId="26760"/>
    <cellStyle name="20% - Accent6 3 7 4 2" xfId="26761"/>
    <cellStyle name="40% - Accent6 3 7 4 2" xfId="26762"/>
    <cellStyle name="60% - Accent6 3 7 4 2" xfId="26763"/>
    <cellStyle name="Normal 3 2 3 7 4 2" xfId="26764"/>
    <cellStyle name="Normal 3 3 3 7 4 2" xfId="26765"/>
    <cellStyle name="Normal 3 4 3 7 4 2" xfId="26766"/>
    <cellStyle name="Normal 3 5 3 7 4 2" xfId="26767"/>
    <cellStyle name="Normal 3 2 2 2 7 4 2" xfId="26768"/>
    <cellStyle name="Normal 3 3 2 2 7 4 2" xfId="26769"/>
    <cellStyle name="Normal 3 4 2 2 7 4 2" xfId="26770"/>
    <cellStyle name="Normal 3 5 2 2 7 4 2" xfId="26771"/>
    <cellStyle name="Normal 5 2 7 4 2" xfId="26772"/>
    <cellStyle name="Percent 3 2 7 4 2" xfId="26773"/>
    <cellStyle name="Note 2 2 7 4 2" xfId="26774"/>
    <cellStyle name="Normal 3 6 2 7 4 2" xfId="26775"/>
    <cellStyle name="Comma 2 3 8 4 2" xfId="26776"/>
    <cellStyle name="Comma 3 2 8 4 2" xfId="26777"/>
    <cellStyle name="Percent 4 2 7 4 2" xfId="26778"/>
    <cellStyle name="Normal 3 7 2 7 4 2" xfId="26779"/>
    <cellStyle name="Note 3 2 7 4 2" xfId="26780"/>
    <cellStyle name="20% - Accent1 2 2 7 4 2" xfId="26781"/>
    <cellStyle name="40% - Accent1 2 2 7 4 2" xfId="26782"/>
    <cellStyle name="60% - Accent1 2 2 7 4 2" xfId="26783"/>
    <cellStyle name="20% - Accent2 2 2 7 4 2" xfId="26784"/>
    <cellStyle name="40% - Accent2 2 2 7 4 2" xfId="26785"/>
    <cellStyle name="60% - Accent2 2 2 7 4 2" xfId="26786"/>
    <cellStyle name="20% - Accent3 2 2 7 4 2" xfId="26787"/>
    <cellStyle name="40% - Accent3 2 2 7 4 2" xfId="26788"/>
    <cellStyle name="60% - Accent3 2 2 7 4 2" xfId="26789"/>
    <cellStyle name="20% - Accent4 2 2 7 4 2" xfId="26790"/>
    <cellStyle name="40% - Accent4 2 2 7 4 2" xfId="26791"/>
    <cellStyle name="60% - Accent4 2 2 7 4 2" xfId="26792"/>
    <cellStyle name="20% - Accent5 2 2 7 4 2" xfId="26793"/>
    <cellStyle name="40% - Accent5 2 2 7 4 2" xfId="26794"/>
    <cellStyle name="60% - Accent5 2 2 7 4 2" xfId="26795"/>
    <cellStyle name="20% - Accent6 2 2 7 4 2" xfId="26796"/>
    <cellStyle name="40% - Accent6 2 2 7 4 2" xfId="26797"/>
    <cellStyle name="60% - Accent6 2 2 7 4 2" xfId="26798"/>
    <cellStyle name="Comma 2 2 2 8 4 2" xfId="26799"/>
    <cellStyle name="Comma 4 2 8 4 2" xfId="26800"/>
    <cellStyle name="Normal 3 8 2 7 4 2" xfId="26801"/>
    <cellStyle name="Normal 8 5 4 2" xfId="26802"/>
    <cellStyle name="Comma 6 6 4 2" xfId="26803"/>
    <cellStyle name="20% - Accent1 4 5 4 2" xfId="26804"/>
    <cellStyle name="40% - Accent1 4 5 4 2" xfId="26805"/>
    <cellStyle name="60% - Accent1 4 5 4 2" xfId="26806"/>
    <cellStyle name="20% - Accent2 4 5 4 2" xfId="26807"/>
    <cellStyle name="40% - Accent2 4 5 4 2" xfId="26808"/>
    <cellStyle name="60% - Accent2 4 5 4 2" xfId="26809"/>
    <cellStyle name="20% - Accent3 4 5 4 2" xfId="26810"/>
    <cellStyle name="40% - Accent3 4 5 4 2" xfId="26811"/>
    <cellStyle name="60% - Accent3 4 5 4 2" xfId="26812"/>
    <cellStyle name="20% - Accent4 4 5 4 2" xfId="26813"/>
    <cellStyle name="40% - Accent4 4 5 4 2" xfId="26814"/>
    <cellStyle name="60% - Accent4 4 5 4 2" xfId="26815"/>
    <cellStyle name="20% - Accent5 4 5 4 2" xfId="26816"/>
    <cellStyle name="40% - Accent5 4 5 4 2" xfId="26817"/>
    <cellStyle name="60% - Accent5 4 5 4 2" xfId="26818"/>
    <cellStyle name="20% - Accent6 4 5 4 2" xfId="26819"/>
    <cellStyle name="40% - Accent6 4 5 4 2" xfId="26820"/>
    <cellStyle name="60% - Accent6 4 5 4 2" xfId="26821"/>
    <cellStyle name="Normal 3 2 4 5 4 2" xfId="26822"/>
    <cellStyle name="Normal 3 3 4 5 4 2" xfId="26823"/>
    <cellStyle name="Normal 3 4 4 5 4 2" xfId="26824"/>
    <cellStyle name="Normal 3 5 4 5 4 2" xfId="26825"/>
    <cellStyle name="Normal 3 2 2 3 5 4 2" xfId="26826"/>
    <cellStyle name="Normal 3 3 2 3 5 4 2" xfId="26827"/>
    <cellStyle name="Normal 3 4 2 3 5 4 2" xfId="26828"/>
    <cellStyle name="Normal 3 5 2 3 5 4 2" xfId="26829"/>
    <cellStyle name="Normal 5 3 5 4 2" xfId="26830"/>
    <cellStyle name="Percent 3 3 5 4 2" xfId="26831"/>
    <cellStyle name="Note 2 3 5 4 2" xfId="26832"/>
    <cellStyle name="Normal 3 6 3 5 4 2" xfId="26833"/>
    <cellStyle name="Comma 2 5 6 4 2" xfId="26834"/>
    <cellStyle name="Comma 3 4 6 4 2" xfId="26835"/>
    <cellStyle name="Percent 4 3 5 4 2" xfId="26836"/>
    <cellStyle name="Normal 3 7 3 5 4 2" xfId="26837"/>
    <cellStyle name="Note 3 3 5 4 2" xfId="26838"/>
    <cellStyle name="20% - Accent1 2 3 5 4 2" xfId="26839"/>
    <cellStyle name="40% - Accent1 2 3 5 4 2" xfId="26840"/>
    <cellStyle name="60% - Accent1 2 3 5 4 2" xfId="26841"/>
    <cellStyle name="20% - Accent2 2 3 5 4 2" xfId="26842"/>
    <cellStyle name="40% - Accent2 2 3 5 4 2" xfId="26843"/>
    <cellStyle name="60% - Accent2 2 3 5 4 2" xfId="26844"/>
    <cellStyle name="20% - Accent3 2 3 5 4 2" xfId="26845"/>
    <cellStyle name="40% - Accent3 2 3 5 4 2" xfId="26846"/>
    <cellStyle name="60% - Accent3 2 3 5 4 2" xfId="26847"/>
    <cellStyle name="20% - Accent4 2 3 5 4 2" xfId="26848"/>
    <cellStyle name="40% - Accent4 2 3 5 4 2" xfId="26849"/>
    <cellStyle name="60% - Accent4 2 3 5 4 2" xfId="26850"/>
    <cellStyle name="20% - Accent5 2 3 5 4 2" xfId="26851"/>
    <cellStyle name="40% - Accent5 2 3 5 4 2" xfId="26852"/>
    <cellStyle name="60% - Accent5 2 3 5 4 2" xfId="26853"/>
    <cellStyle name="20% - Accent6 2 3 5 4 2" xfId="26854"/>
    <cellStyle name="40% - Accent6 2 3 5 4 2" xfId="26855"/>
    <cellStyle name="60% - Accent6 2 3 5 4 2" xfId="26856"/>
    <cellStyle name="Comma 2 2 4 6 4 2" xfId="26857"/>
    <cellStyle name="Comma 4 4 6 4 2" xfId="26858"/>
    <cellStyle name="Normal 3 8 3 5 4 2" xfId="26859"/>
    <cellStyle name="Comma 2 4 7 4 2" xfId="26860"/>
    <cellStyle name="Comma 3 3 7 4 2" xfId="26861"/>
    <cellStyle name="Comma 2 2 3 7 4 2" xfId="26862"/>
    <cellStyle name="Comma 4 3 7 4 2" xfId="26863"/>
    <cellStyle name="Normal 7 2 5 4 2" xfId="26864"/>
    <cellStyle name="Comma 5 2 6 4 2" xfId="26865"/>
    <cellStyle name="20% - Accent1 3 2 5 4 2" xfId="26866"/>
    <cellStyle name="40% - Accent1 3 2 5 4 2" xfId="26867"/>
    <cellStyle name="60% - Accent1 3 2 5 4 2" xfId="26868"/>
    <cellStyle name="20% - Accent2 3 2 5 4 2" xfId="26869"/>
    <cellStyle name="40% - Accent2 3 2 5 4 2" xfId="26870"/>
    <cellStyle name="60% - Accent2 3 2 5 4 2" xfId="26871"/>
    <cellStyle name="20% - Accent3 3 2 5 4 2" xfId="26872"/>
    <cellStyle name="40% - Accent3 3 2 5 4 2" xfId="26873"/>
    <cellStyle name="60% - Accent3 3 2 5 4 2" xfId="26874"/>
    <cellStyle name="20% - Accent4 3 2 5 4 2" xfId="26875"/>
    <cellStyle name="40% - Accent4 3 2 5 4 2" xfId="26876"/>
    <cellStyle name="60% - Accent4 3 2 5 4 2" xfId="26877"/>
    <cellStyle name="20% - Accent5 3 2 5 4 2" xfId="26878"/>
    <cellStyle name="40% - Accent5 3 2 5 4 2" xfId="26879"/>
    <cellStyle name="60% - Accent5 3 2 5 4 2" xfId="26880"/>
    <cellStyle name="20% - Accent6 3 2 5 4 2" xfId="26881"/>
    <cellStyle name="40% - Accent6 3 2 5 4 2" xfId="26882"/>
    <cellStyle name="60% - Accent6 3 2 5 4 2" xfId="26883"/>
    <cellStyle name="Normal 3 2 3 2 5 4 2" xfId="26884"/>
    <cellStyle name="Normal 3 3 3 2 5 4 2" xfId="26885"/>
    <cellStyle name="Normal 3 4 3 2 5 4 2" xfId="26886"/>
    <cellStyle name="Normal 3 5 3 2 5 4 2" xfId="26887"/>
    <cellStyle name="Normal 3 2 2 2 2 5 4 2" xfId="26888"/>
    <cellStyle name="Normal 3 3 2 2 2 5 4 2" xfId="26889"/>
    <cellStyle name="Normal 3 4 2 2 2 5 4 2" xfId="26890"/>
    <cellStyle name="Normal 3 5 2 2 2 5 4 2" xfId="26891"/>
    <cellStyle name="Normal 5 2 2 5 4 2" xfId="26892"/>
    <cellStyle name="Percent 3 2 2 5 4 2" xfId="26893"/>
    <cellStyle name="Note 2 2 2 5 4 2" xfId="26894"/>
    <cellStyle name="Normal 3 6 2 2 5 4 2" xfId="26895"/>
    <cellStyle name="Comma 2 3 2 6 4 2" xfId="26896"/>
    <cellStyle name="Comma 3 2 2 6 4 2" xfId="26897"/>
    <cellStyle name="Percent 4 2 2 5 4 2" xfId="26898"/>
    <cellStyle name="Normal 3 7 2 2 5 4 2" xfId="26899"/>
    <cellStyle name="Note 3 2 2 5 4 2" xfId="26900"/>
    <cellStyle name="20% - Accent1 2 2 2 5 4 2" xfId="26901"/>
    <cellStyle name="40% - Accent1 2 2 2 5 4 2" xfId="26902"/>
    <cellStyle name="60% - Accent1 2 2 2 5 4 2" xfId="26903"/>
    <cellStyle name="20% - Accent2 2 2 2 5 4 2" xfId="26904"/>
    <cellStyle name="40% - Accent2 2 2 2 5 4 2" xfId="26905"/>
    <cellStyle name="60% - Accent2 2 2 2 5 4 2" xfId="26906"/>
    <cellStyle name="20% - Accent3 2 2 2 5 4 2" xfId="26907"/>
    <cellStyle name="40% - Accent3 2 2 2 5 4 2" xfId="26908"/>
    <cellStyle name="60% - Accent3 2 2 2 5 4 2" xfId="26909"/>
    <cellStyle name="20% - Accent4 2 2 2 5 4 2" xfId="26910"/>
    <cellStyle name="40% - Accent4 2 2 2 5 4 2" xfId="26911"/>
    <cellStyle name="60% - Accent4 2 2 2 5 4 2" xfId="26912"/>
    <cellStyle name="20% - Accent5 2 2 2 5 4 2" xfId="26913"/>
    <cellStyle name="40% - Accent5 2 2 2 5 4 2" xfId="26914"/>
    <cellStyle name="60% - Accent5 2 2 2 5 4 2" xfId="26915"/>
    <cellStyle name="20% - Accent6 2 2 2 5 4 2" xfId="26916"/>
    <cellStyle name="40% - Accent6 2 2 2 5 4 2" xfId="26917"/>
    <cellStyle name="60% - Accent6 2 2 2 5 4 2" xfId="26918"/>
    <cellStyle name="Comma 2 2 2 2 6 4 2" xfId="26919"/>
    <cellStyle name="Comma 4 2 2 6 4 2" xfId="26920"/>
    <cellStyle name="Normal 3 8 2 2 5 4 2" xfId="26921"/>
    <cellStyle name="Normal 3 10 5 4 2" xfId="26922"/>
    <cellStyle name="Normal 3 11 5 4 2" xfId="26923"/>
    <cellStyle name="Normal 3 12 3 4 2" xfId="26924"/>
    <cellStyle name="Normal 3 2 5 3 4 2" xfId="26925"/>
    <cellStyle name="Normal 3 3 5 3 4 2" xfId="26926"/>
    <cellStyle name="Normal 3 4 5 3 4 2" xfId="26927"/>
    <cellStyle name="Normal 3 5 5 3 4 2" xfId="26928"/>
    <cellStyle name="20% - Accent1 5 3 4 2" xfId="26929"/>
    <cellStyle name="40% - Accent1 5 3 4 2" xfId="26930"/>
    <cellStyle name="60% - Accent1 5 3 4 2" xfId="26931"/>
    <cellStyle name="20% - Accent2 5 3 4 2" xfId="26932"/>
    <cellStyle name="40% - Accent2 5 3 4 2" xfId="26933"/>
    <cellStyle name="60% - Accent2 5 3 4 2" xfId="26934"/>
    <cellStyle name="20% - Accent3 5 3 4 2" xfId="26935"/>
    <cellStyle name="40% - Accent3 5 3 4 2" xfId="26936"/>
    <cellStyle name="60% - Accent3 5 3 4 2" xfId="26937"/>
    <cellStyle name="20% - Accent4 5 3 4 2" xfId="26938"/>
    <cellStyle name="40% - Accent4 5 3 4 2" xfId="26939"/>
    <cellStyle name="60% - Accent4 5 3 4 2" xfId="26940"/>
    <cellStyle name="20% - Accent5 5 3 4 2" xfId="26941"/>
    <cellStyle name="40% - Accent5 5 3 4 2" xfId="26942"/>
    <cellStyle name="60% - Accent5 5 3 4 2" xfId="26943"/>
    <cellStyle name="20% - Accent6 5 3 4 2" xfId="26944"/>
    <cellStyle name="40% - Accent6 5 3 4 2" xfId="26945"/>
    <cellStyle name="60% - Accent6 5 3 4 2" xfId="26946"/>
    <cellStyle name="Normal 3 2 2 4 3 4 2" xfId="26947"/>
    <cellStyle name="Normal 3 3 2 4 3 4 2" xfId="26948"/>
    <cellStyle name="Normal 3 4 2 4 3 4 2" xfId="26949"/>
    <cellStyle name="Normal 3 5 2 4 3 4 2" xfId="26950"/>
    <cellStyle name="Normal 5 4 3 4 2" xfId="26951"/>
    <cellStyle name="Percent 3 4 3 4 2" xfId="26952"/>
    <cellStyle name="Note 2 4 3 4 2" xfId="26953"/>
    <cellStyle name="Normal 3 6 4 3 4 2" xfId="26954"/>
    <cellStyle name="Comma 2 6 4 4 2" xfId="26955"/>
    <cellStyle name="Comma 3 5 4 4 2" xfId="26956"/>
    <cellStyle name="Percent 4 4 3 4 2" xfId="26957"/>
    <cellStyle name="Normal 3 7 4 3 4 2" xfId="26958"/>
    <cellStyle name="Note 3 4 3 4 2" xfId="26959"/>
    <cellStyle name="20% - Accent1 2 4 3 4 2" xfId="26960"/>
    <cellStyle name="40% - Accent1 2 4 3 4 2" xfId="26961"/>
    <cellStyle name="60% - Accent1 2 4 3 4 2" xfId="26962"/>
    <cellStyle name="20% - Accent2 2 4 3 4 2" xfId="26963"/>
    <cellStyle name="40% - Accent2 2 4 3 4 2" xfId="26964"/>
    <cellStyle name="60% - Accent2 2 4 3 4 2" xfId="26965"/>
    <cellStyle name="20% - Accent3 2 4 3 4 2" xfId="26966"/>
    <cellStyle name="40% - Accent3 2 4 3 4 2" xfId="26967"/>
    <cellStyle name="60% - Accent3 2 4 3 4 2" xfId="26968"/>
    <cellStyle name="20% - Accent4 2 4 3 4 2" xfId="26969"/>
    <cellStyle name="40% - Accent4 2 4 3 4 2" xfId="26970"/>
    <cellStyle name="60% - Accent4 2 4 3 4 2" xfId="26971"/>
    <cellStyle name="20% - Accent5 2 4 3 4 2" xfId="26972"/>
    <cellStyle name="40% - Accent5 2 4 3 4 2" xfId="26973"/>
    <cellStyle name="60% - Accent5 2 4 3 4 2" xfId="26974"/>
    <cellStyle name="20% - Accent6 2 4 3 4 2" xfId="26975"/>
    <cellStyle name="40% - Accent6 2 4 3 4 2" xfId="26976"/>
    <cellStyle name="60% - Accent6 2 4 3 4 2" xfId="26977"/>
    <cellStyle name="Comma 2 2 5 4 4 2" xfId="26978"/>
    <cellStyle name="Comma 4 5 4 4 2" xfId="26979"/>
    <cellStyle name="Normal 3 8 4 3 4 2" xfId="26980"/>
    <cellStyle name="Normal 7 3 3 4 2" xfId="26981"/>
    <cellStyle name="Comma 5 3 4 4 2" xfId="26982"/>
    <cellStyle name="20% - Accent1 3 3 3 4 2" xfId="26983"/>
    <cellStyle name="40% - Accent1 3 3 3 4 2" xfId="26984"/>
    <cellStyle name="60% - Accent1 3 3 3 4 2" xfId="26985"/>
    <cellStyle name="20% - Accent2 3 3 3 4 2" xfId="26986"/>
    <cellStyle name="40% - Accent2 3 3 3 4 2" xfId="26987"/>
    <cellStyle name="60% - Accent2 3 3 3 4 2" xfId="26988"/>
    <cellStyle name="20% - Accent3 3 3 3 4 2" xfId="26989"/>
    <cellStyle name="40% - Accent3 3 3 3 4 2" xfId="26990"/>
    <cellStyle name="60% - Accent3 3 3 3 4 2" xfId="26991"/>
    <cellStyle name="20% - Accent4 3 3 3 4 2" xfId="26992"/>
    <cellStyle name="40% - Accent4 3 3 3 4 2" xfId="26993"/>
    <cellStyle name="60% - Accent4 3 3 3 4 2" xfId="26994"/>
    <cellStyle name="20% - Accent5 3 3 3 4 2" xfId="26995"/>
    <cellStyle name="40% - Accent5 3 3 3 4 2" xfId="26996"/>
    <cellStyle name="60% - Accent5 3 3 3 4 2" xfId="26997"/>
    <cellStyle name="20% - Accent6 3 3 3 4 2" xfId="26998"/>
    <cellStyle name="40% - Accent6 3 3 3 4 2" xfId="26999"/>
    <cellStyle name="60% - Accent6 3 3 3 4 2" xfId="27000"/>
    <cellStyle name="Normal 3 2 3 3 3 4 2" xfId="27001"/>
    <cellStyle name="Normal 3 3 3 3 3 4 2" xfId="27002"/>
    <cellStyle name="Normal 3 4 3 3 3 4 2" xfId="27003"/>
    <cellStyle name="Normal 3 5 3 3 3 4 2" xfId="27004"/>
    <cellStyle name="Normal 3 2 2 2 3 3 4 2" xfId="27005"/>
    <cellStyle name="Normal 3 3 2 2 3 3 4 2" xfId="27006"/>
    <cellStyle name="Normal 3 4 2 2 3 3 4 2" xfId="27007"/>
    <cellStyle name="Normal 3 5 2 2 3 3 4 2" xfId="27008"/>
    <cellStyle name="Normal 5 2 3 3 4 2" xfId="27009"/>
    <cellStyle name="Percent 3 2 3 3 4 2" xfId="27010"/>
    <cellStyle name="Note 2 2 3 3 4 2" xfId="27011"/>
    <cellStyle name="Normal 3 6 2 3 3 4 2" xfId="27012"/>
    <cellStyle name="Comma 2 3 3 4 4 2" xfId="27013"/>
    <cellStyle name="Comma 3 2 3 4 4 2" xfId="27014"/>
    <cellStyle name="Percent 4 2 3 3 4 2" xfId="27015"/>
    <cellStyle name="Normal 3 7 2 3 3 4 2" xfId="27016"/>
    <cellStyle name="Note 3 2 3 3 4 2" xfId="27017"/>
    <cellStyle name="20% - Accent1 2 2 3 3 4 2" xfId="27018"/>
    <cellStyle name="40% - Accent1 2 2 3 3 4 2" xfId="27019"/>
    <cellStyle name="60% - Accent1 2 2 3 3 4 2" xfId="27020"/>
    <cellStyle name="20% - Accent2 2 2 3 3 4 2" xfId="27021"/>
    <cellStyle name="40% - Accent2 2 2 3 3 4 2" xfId="27022"/>
    <cellStyle name="60% - Accent2 2 2 3 3 4 2" xfId="27023"/>
    <cellStyle name="20% - Accent3 2 2 3 3 4 2" xfId="27024"/>
    <cellStyle name="40% - Accent3 2 2 3 3 4 2" xfId="27025"/>
    <cellStyle name="60% - Accent3 2 2 3 3 4 2" xfId="27026"/>
    <cellStyle name="20% - Accent4 2 2 3 3 4 2" xfId="27027"/>
    <cellStyle name="40% - Accent4 2 2 3 3 4 2" xfId="27028"/>
    <cellStyle name="60% - Accent4 2 2 3 3 4 2" xfId="27029"/>
    <cellStyle name="20% - Accent5 2 2 3 3 4 2" xfId="27030"/>
    <cellStyle name="40% - Accent5 2 2 3 3 4 2" xfId="27031"/>
    <cellStyle name="60% - Accent5 2 2 3 3 4 2" xfId="27032"/>
    <cellStyle name="20% - Accent6 2 2 3 3 4 2" xfId="27033"/>
    <cellStyle name="40% - Accent6 2 2 3 3 4 2" xfId="27034"/>
    <cellStyle name="60% - Accent6 2 2 3 3 4 2" xfId="27035"/>
    <cellStyle name="Comma 2 2 2 3 4 4 2" xfId="27036"/>
    <cellStyle name="Comma 4 2 3 4 4 2" xfId="27037"/>
    <cellStyle name="Normal 3 8 2 3 3 4 2" xfId="27038"/>
    <cellStyle name="Normal 8 2 3 4 2" xfId="27039"/>
    <cellStyle name="Comma 6 2 4 4 2" xfId="27040"/>
    <cellStyle name="20% - Accent1 4 2 3 4 2" xfId="27041"/>
    <cellStyle name="40% - Accent1 4 2 3 4 2" xfId="27042"/>
    <cellStyle name="60% - Accent1 4 2 3 4 2" xfId="27043"/>
    <cellStyle name="20% - Accent2 4 2 3 4 2" xfId="27044"/>
    <cellStyle name="40% - Accent2 4 2 3 4 2" xfId="27045"/>
    <cellStyle name="60% - Accent2 4 2 3 4 2" xfId="27046"/>
    <cellStyle name="20% - Accent3 4 2 3 4 2" xfId="27047"/>
    <cellStyle name="40% - Accent3 4 2 3 4 2" xfId="27048"/>
    <cellStyle name="60% - Accent3 4 2 3 4 2" xfId="27049"/>
    <cellStyle name="20% - Accent4 4 2 3 4 2" xfId="27050"/>
    <cellStyle name="40% - Accent4 4 2 3 4 2" xfId="27051"/>
    <cellStyle name="60% - Accent4 4 2 3 4 2" xfId="27052"/>
    <cellStyle name="20% - Accent5 4 2 3 4 2" xfId="27053"/>
    <cellStyle name="40% - Accent5 4 2 3 4 2" xfId="27054"/>
    <cellStyle name="60% - Accent5 4 2 3 4 2" xfId="27055"/>
    <cellStyle name="20% - Accent6 4 2 3 4 2" xfId="27056"/>
    <cellStyle name="40% - Accent6 4 2 3 4 2" xfId="27057"/>
    <cellStyle name="60% - Accent6 4 2 3 4 2" xfId="27058"/>
    <cellStyle name="Normal 3 2 4 2 3 4 2" xfId="27059"/>
    <cellStyle name="Normal 3 3 4 2 3 4 2" xfId="27060"/>
    <cellStyle name="Normal 3 4 4 2 3 4 2" xfId="27061"/>
    <cellStyle name="Normal 3 5 4 2 3 4 2" xfId="27062"/>
    <cellStyle name="Normal 3 2 2 3 2 3 4 2" xfId="27063"/>
    <cellStyle name="Normal 3 3 2 3 2 3 4 2" xfId="27064"/>
    <cellStyle name="Normal 3 4 2 3 2 3 4 2" xfId="27065"/>
    <cellStyle name="Normal 3 5 2 3 2 3 4 2" xfId="27066"/>
    <cellStyle name="Normal 5 3 2 3 4 2" xfId="27067"/>
    <cellStyle name="Percent 3 3 2 3 4 2" xfId="27068"/>
    <cellStyle name="Note 2 3 2 3 4 2" xfId="27069"/>
    <cellStyle name="Normal 3 6 3 2 3 4 2" xfId="27070"/>
    <cellStyle name="Comma 2 5 2 4 4 2" xfId="27071"/>
    <cellStyle name="Comma 3 4 2 4 4 2" xfId="27072"/>
    <cellStyle name="Percent 4 3 2 3 4 2" xfId="27073"/>
    <cellStyle name="Normal 3 7 3 2 3 4 2" xfId="27074"/>
    <cellStyle name="Note 3 3 2 3 4 2" xfId="27075"/>
    <cellStyle name="20% - Accent1 2 3 2 3 4 2" xfId="27076"/>
    <cellStyle name="40% - Accent1 2 3 2 3 4 2" xfId="27077"/>
    <cellStyle name="60% - Accent1 2 3 2 3 4 2" xfId="27078"/>
    <cellStyle name="20% - Accent2 2 3 2 3 4 2" xfId="27079"/>
    <cellStyle name="40% - Accent2 2 3 2 3 4 2" xfId="27080"/>
    <cellStyle name="60% - Accent2 2 3 2 3 4 2" xfId="27081"/>
    <cellStyle name="20% - Accent3 2 3 2 3 4 2" xfId="27082"/>
    <cellStyle name="40% - Accent3 2 3 2 3 4 2" xfId="27083"/>
    <cellStyle name="60% - Accent3 2 3 2 3 4 2" xfId="27084"/>
    <cellStyle name="20% - Accent4 2 3 2 3 4 2" xfId="27085"/>
    <cellStyle name="40% - Accent4 2 3 2 3 4 2" xfId="27086"/>
    <cellStyle name="60% - Accent4 2 3 2 3 4 2" xfId="27087"/>
    <cellStyle name="20% - Accent5 2 3 2 3 4 2" xfId="27088"/>
    <cellStyle name="40% - Accent5 2 3 2 3 4 2" xfId="27089"/>
    <cellStyle name="60% - Accent5 2 3 2 3 4 2" xfId="27090"/>
    <cellStyle name="20% - Accent6 2 3 2 3 4 2" xfId="27091"/>
    <cellStyle name="40% - Accent6 2 3 2 3 4 2" xfId="27092"/>
    <cellStyle name="60% - Accent6 2 3 2 3 4 2" xfId="27093"/>
    <cellStyle name="Comma 2 2 4 2 4 4 2" xfId="27094"/>
    <cellStyle name="Comma 4 4 2 4 4 2" xfId="27095"/>
    <cellStyle name="Normal 3 8 3 2 3 4 2" xfId="27096"/>
    <cellStyle name="Comma 2 4 2 4 4 2" xfId="27097"/>
    <cellStyle name="Comma 3 3 2 4 4 2" xfId="27098"/>
    <cellStyle name="Comma 2 2 3 2 4 4 2" xfId="27099"/>
    <cellStyle name="Comma 4 3 2 4 4 2" xfId="27100"/>
    <cellStyle name="Normal 7 2 2 3 4 2" xfId="27101"/>
    <cellStyle name="Comma 5 2 2 4 4 2" xfId="27102"/>
    <cellStyle name="20% - Accent1 3 2 2 3 4 2" xfId="27103"/>
    <cellStyle name="40% - Accent1 3 2 2 3 4 2" xfId="27104"/>
    <cellStyle name="60% - Accent1 3 2 2 3 4 2" xfId="27105"/>
    <cellStyle name="20% - Accent2 3 2 2 3 4 2" xfId="27106"/>
    <cellStyle name="40% - Accent2 3 2 2 3 4 2" xfId="27107"/>
    <cellStyle name="60% - Accent2 3 2 2 3 4 2" xfId="27108"/>
    <cellStyle name="20% - Accent3 3 2 2 3 4 2" xfId="27109"/>
    <cellStyle name="40% - Accent3 3 2 2 3 4 2" xfId="27110"/>
    <cellStyle name="60% - Accent3 3 2 2 3 4 2" xfId="27111"/>
    <cellStyle name="20% - Accent4 3 2 2 3 4 2" xfId="27112"/>
    <cellStyle name="40% - Accent4 3 2 2 3 4 2" xfId="27113"/>
    <cellStyle name="60% - Accent4 3 2 2 3 4 2" xfId="27114"/>
    <cellStyle name="20% - Accent5 3 2 2 3 4 2" xfId="27115"/>
    <cellStyle name="40% - Accent5 3 2 2 3 4 2" xfId="27116"/>
    <cellStyle name="60% - Accent5 3 2 2 3 4 2" xfId="27117"/>
    <cellStyle name="20% - Accent6 3 2 2 3 4 2" xfId="27118"/>
    <cellStyle name="40% - Accent6 3 2 2 3 4 2" xfId="27119"/>
    <cellStyle name="60% - Accent6 3 2 2 3 4 2" xfId="27120"/>
    <cellStyle name="Normal 3 2 3 2 2 3 4 2" xfId="27121"/>
    <cellStyle name="Normal 3 3 3 2 2 3 4 2" xfId="27122"/>
    <cellStyle name="Normal 3 4 3 2 2 3 4 2" xfId="27123"/>
    <cellStyle name="Normal 3 5 3 2 2 3 4 2" xfId="27124"/>
    <cellStyle name="Normal 3 2 2 2 2 2 3 4 2" xfId="27125"/>
    <cellStyle name="Normal 3 3 2 2 2 2 3 4 2" xfId="27126"/>
    <cellStyle name="Normal 3 4 2 2 2 2 3 4 2" xfId="27127"/>
    <cellStyle name="Normal 3 5 2 2 2 2 3 4 2" xfId="27128"/>
    <cellStyle name="Normal 5 2 2 2 3 4 2" xfId="27129"/>
    <cellStyle name="Percent 3 2 2 2 3 4 2" xfId="27130"/>
    <cellStyle name="Note 2 2 2 2 3 4 2" xfId="27131"/>
    <cellStyle name="Normal 3 6 2 2 2 3 4 2" xfId="27132"/>
    <cellStyle name="Comma 2 3 2 2 4 4 2" xfId="27133"/>
    <cellStyle name="Comma 3 2 2 2 4 4 2" xfId="27134"/>
    <cellStyle name="Percent 4 2 2 2 3 4 2" xfId="27135"/>
    <cellStyle name="Normal 3 7 2 2 2 3 4 2" xfId="27136"/>
    <cellStyle name="Note 3 2 2 2 3 4 2" xfId="27137"/>
    <cellStyle name="20% - Accent1 2 2 2 2 3 4 2" xfId="27138"/>
    <cellStyle name="40% - Accent1 2 2 2 2 3 4 2" xfId="27139"/>
    <cellStyle name="60% - Accent1 2 2 2 2 3 4 2" xfId="27140"/>
    <cellStyle name="20% - Accent2 2 2 2 2 3 4 2" xfId="27141"/>
    <cellStyle name="40% - Accent2 2 2 2 2 3 4 2" xfId="27142"/>
    <cellStyle name="60% - Accent2 2 2 2 2 3 4 2" xfId="27143"/>
    <cellStyle name="20% - Accent3 2 2 2 2 3 4 2" xfId="27144"/>
    <cellStyle name="40% - Accent3 2 2 2 2 3 4 2" xfId="27145"/>
    <cellStyle name="60% - Accent3 2 2 2 2 3 4 2" xfId="27146"/>
    <cellStyle name="20% - Accent4 2 2 2 2 3 4 2" xfId="27147"/>
    <cellStyle name="40% - Accent4 2 2 2 2 3 4 2" xfId="27148"/>
    <cellStyle name="60% - Accent4 2 2 2 2 3 4 2" xfId="27149"/>
    <cellStyle name="20% - Accent5 2 2 2 2 3 4 2" xfId="27150"/>
    <cellStyle name="40% - Accent5 2 2 2 2 3 4 2" xfId="27151"/>
    <cellStyle name="60% - Accent5 2 2 2 2 3 4 2" xfId="27152"/>
    <cellStyle name="20% - Accent6 2 2 2 2 3 4 2" xfId="27153"/>
    <cellStyle name="40% - Accent6 2 2 2 2 3 4 2" xfId="27154"/>
    <cellStyle name="60% - Accent6 2 2 2 2 3 4 2" xfId="27155"/>
    <cellStyle name="Comma 2 2 2 2 2 4 4 2" xfId="27156"/>
    <cellStyle name="Comma 4 2 2 2 4 4 2" xfId="27157"/>
    <cellStyle name="Normal 3 8 2 2 2 3 4 2" xfId="27158"/>
    <cellStyle name="Normal 3 10 2 3 4 2" xfId="27159"/>
    <cellStyle name="Normal 3 11 2 3 4 2" xfId="27160"/>
    <cellStyle name="Normal 3 2 6 2 4 2" xfId="27161"/>
    <cellStyle name="Normal 3 3 6 2 4 2" xfId="27162"/>
    <cellStyle name="Normal 3 4 6 2 4 2" xfId="27163"/>
    <cellStyle name="Normal 3 5 6 2 4 2" xfId="27164"/>
    <cellStyle name="20% - Accent1 6 2 4 2" xfId="27165"/>
    <cellStyle name="40% - Accent1 6 2 4 2" xfId="27166"/>
    <cellStyle name="60% - Accent1 6 2 4 2" xfId="27167"/>
    <cellStyle name="20% - Accent2 6 2 4 2" xfId="27168"/>
    <cellStyle name="40% - Accent2 6 2 4 2" xfId="27169"/>
    <cellStyle name="60% - Accent2 6 2 4 2" xfId="27170"/>
    <cellStyle name="20% - Accent3 6 2 4 2" xfId="27171"/>
    <cellStyle name="40% - Accent3 6 2 4 2" xfId="27172"/>
    <cellStyle name="60% - Accent3 6 2 4 2" xfId="27173"/>
    <cellStyle name="20% - Accent4 6 2 4 2" xfId="27174"/>
    <cellStyle name="40% - Accent4 6 2 4 2" xfId="27175"/>
    <cellStyle name="60% - Accent4 6 2 4 2" xfId="27176"/>
    <cellStyle name="20% - Accent5 6 2 4 2" xfId="27177"/>
    <cellStyle name="40% - Accent5 6 2 4 2" xfId="27178"/>
    <cellStyle name="60% - Accent5 6 2 4 2" xfId="27179"/>
    <cellStyle name="20% - Accent6 6 2 4 2" xfId="27180"/>
    <cellStyle name="40% - Accent6 6 2 4 2" xfId="27181"/>
    <cellStyle name="60% - Accent6 6 2 4 2" xfId="27182"/>
    <cellStyle name="Normal 3 2 2 5 2 4 2" xfId="27183"/>
    <cellStyle name="Normal 3 3 2 5 2 4 2" xfId="27184"/>
    <cellStyle name="Normal 3 4 2 5 2 4 2" xfId="27185"/>
    <cellStyle name="Normal 3 5 2 5 2 4 2" xfId="27186"/>
    <cellStyle name="Normal 5 5 2 4 2" xfId="27187"/>
    <cellStyle name="Percent 3 5 2 4 2" xfId="27188"/>
    <cellStyle name="Note 2 5 2 4 2" xfId="27189"/>
    <cellStyle name="Normal 3 6 5 2 4 2" xfId="27190"/>
    <cellStyle name="Comma 2 7 3 4 2" xfId="27191"/>
    <cellStyle name="Comma 3 7 3 4 2" xfId="27192"/>
    <cellStyle name="Percent 4 5 2 4 2" xfId="27193"/>
    <cellStyle name="Normal 3 7 5 2 4 2" xfId="27194"/>
    <cellStyle name="Note 3 5 2 4 2" xfId="27195"/>
    <cellStyle name="20% - Accent1 2 5 2 4 2" xfId="27196"/>
    <cellStyle name="40% - Accent1 2 5 2 4 2" xfId="27197"/>
    <cellStyle name="60% - Accent1 2 5 2 4 2" xfId="27198"/>
    <cellStyle name="20% - Accent2 2 5 2 4 2" xfId="27199"/>
    <cellStyle name="40% - Accent2 2 5 2 4 2" xfId="27200"/>
    <cellStyle name="60% - Accent2 2 5 2 4 2" xfId="27201"/>
    <cellStyle name="20% - Accent3 2 5 2 4 2" xfId="27202"/>
    <cellStyle name="40% - Accent3 2 5 2 4 2" xfId="27203"/>
    <cellStyle name="60% - Accent3 2 5 2 4 2" xfId="27204"/>
    <cellStyle name="20% - Accent4 2 5 2 4 2" xfId="27205"/>
    <cellStyle name="40% - Accent4 2 5 2 4 2" xfId="27206"/>
    <cellStyle name="60% - Accent4 2 5 2 4 2" xfId="27207"/>
    <cellStyle name="20% - Accent5 2 5 2 4 2" xfId="27208"/>
    <cellStyle name="40% - Accent5 2 5 2 4 2" xfId="27209"/>
    <cellStyle name="60% - Accent5 2 5 2 4 2" xfId="27210"/>
    <cellStyle name="20% - Accent6 2 5 2 4 2" xfId="27211"/>
    <cellStyle name="40% - Accent6 2 5 2 4 2" xfId="27212"/>
    <cellStyle name="60% - Accent6 2 5 2 4 2" xfId="27213"/>
    <cellStyle name="Comma 2 2 6 3 4 2" xfId="27214"/>
    <cellStyle name="Comma 4 6 3 4 2" xfId="27215"/>
    <cellStyle name="Normal 3 8 5 2 4 2" xfId="27216"/>
    <cellStyle name="Normal 7 4 2 4 2" xfId="27217"/>
    <cellStyle name="Comma 5 4 3 4 2" xfId="27218"/>
    <cellStyle name="20% - Accent1 3 4 2 4 2" xfId="27219"/>
    <cellStyle name="40% - Accent1 3 4 2 4 2" xfId="27220"/>
    <cellStyle name="60% - Accent1 3 4 2 4 2" xfId="27221"/>
    <cellStyle name="20% - Accent2 3 4 2 4 2" xfId="27222"/>
    <cellStyle name="40% - Accent2 3 4 2 4 2" xfId="27223"/>
    <cellStyle name="60% - Accent2 3 4 2 4 2" xfId="27224"/>
    <cellStyle name="20% - Accent3 3 4 2 4 2" xfId="27225"/>
    <cellStyle name="40% - Accent3 3 4 2 4 2" xfId="27226"/>
    <cellStyle name="60% - Accent3 3 4 2 4 2" xfId="27227"/>
    <cellStyle name="20% - Accent4 3 4 2 4 2" xfId="27228"/>
    <cellStyle name="40% - Accent4 3 4 2 4 2" xfId="27229"/>
    <cellStyle name="60% - Accent4 3 4 2 4 2" xfId="27230"/>
    <cellStyle name="20% - Accent5 3 4 2 4 2" xfId="27231"/>
    <cellStyle name="40% - Accent5 3 4 2 4 2" xfId="27232"/>
    <cellStyle name="60% - Accent5 3 4 2 4 2" xfId="27233"/>
    <cellStyle name="20% - Accent6 3 4 2 4 2" xfId="27234"/>
    <cellStyle name="40% - Accent6 3 4 2 4 2" xfId="27235"/>
    <cellStyle name="60% - Accent6 3 4 2 4 2" xfId="27236"/>
    <cellStyle name="Normal 3 2 3 4 2 4 2" xfId="27237"/>
    <cellStyle name="Normal 3 3 3 4 2 4 2" xfId="27238"/>
    <cellStyle name="Normal 3 4 3 4 2 4 2" xfId="27239"/>
    <cellStyle name="Normal 3 5 3 4 2 4 2" xfId="27240"/>
    <cellStyle name="Normal 3 2 2 2 4 2 4 2" xfId="27241"/>
    <cellStyle name="Normal 3 3 2 2 4 2 4 2" xfId="27242"/>
    <cellStyle name="Normal 3 4 2 2 4 2 4 2" xfId="27243"/>
    <cellStyle name="Normal 3 5 2 2 4 2 4 2" xfId="27244"/>
    <cellStyle name="Normal 5 2 4 2 4 2" xfId="27245"/>
    <cellStyle name="Percent 3 2 4 2 4 2" xfId="27246"/>
    <cellStyle name="Note 2 2 4 2 4 2" xfId="27247"/>
    <cellStyle name="Normal 3 6 2 4 2 4 2" xfId="27248"/>
    <cellStyle name="Comma 2 3 4 3 4 2" xfId="27249"/>
    <cellStyle name="Comma 3 2 4 3 4 2" xfId="27250"/>
    <cellStyle name="Percent 4 2 4 2 4 2" xfId="27251"/>
    <cellStyle name="Normal 3 7 2 4 2 4 2" xfId="27252"/>
    <cellStyle name="Note 3 2 4 2 4 2" xfId="27253"/>
    <cellStyle name="20% - Accent1 2 2 4 2 4 2" xfId="27254"/>
    <cellStyle name="40% - Accent1 2 2 4 2 4 2" xfId="27255"/>
    <cellStyle name="60% - Accent1 2 2 4 2 4 2" xfId="27256"/>
    <cellStyle name="20% - Accent2 2 2 4 2 4 2" xfId="27257"/>
    <cellStyle name="40% - Accent2 2 2 4 2 4 2" xfId="27258"/>
    <cellStyle name="60% - Accent2 2 2 4 2 4 2" xfId="27259"/>
    <cellStyle name="20% - Accent3 2 2 4 2 4 2" xfId="27260"/>
    <cellStyle name="40% - Accent3 2 2 4 2 4 2" xfId="27261"/>
    <cellStyle name="60% - Accent3 2 2 4 2 4 2" xfId="27262"/>
    <cellStyle name="20% - Accent4 2 2 4 2 4 2" xfId="27263"/>
    <cellStyle name="40% - Accent4 2 2 4 2 4 2" xfId="27264"/>
    <cellStyle name="60% - Accent4 2 2 4 2 4 2" xfId="27265"/>
    <cellStyle name="20% - Accent5 2 2 4 2 4 2" xfId="27266"/>
    <cellStyle name="40% - Accent5 2 2 4 2 4 2" xfId="27267"/>
    <cellStyle name="60% - Accent5 2 2 4 2 4 2" xfId="27268"/>
    <cellStyle name="20% - Accent6 2 2 4 2 4 2" xfId="27269"/>
    <cellStyle name="40% - Accent6 2 2 4 2 4 2" xfId="27270"/>
    <cellStyle name="60% - Accent6 2 2 4 2 4 2" xfId="27271"/>
    <cellStyle name="Comma 2 2 2 4 3 4 2" xfId="27272"/>
    <cellStyle name="Comma 4 2 4 3 4 2" xfId="27273"/>
    <cellStyle name="Normal 3 8 2 4 2 4 2" xfId="27274"/>
    <cellStyle name="Normal 8 3 2 4 2" xfId="27275"/>
    <cellStyle name="Comma 6 3 3 4 2" xfId="27276"/>
    <cellStyle name="20% - Accent1 4 3 2 4 2" xfId="27277"/>
    <cellStyle name="40% - Accent1 4 3 2 4 2" xfId="27278"/>
    <cellStyle name="60% - Accent1 4 3 2 4 2" xfId="27279"/>
    <cellStyle name="20% - Accent2 4 3 2 4 2" xfId="27280"/>
    <cellStyle name="40% - Accent2 4 3 2 4 2" xfId="27281"/>
    <cellStyle name="60% - Accent2 4 3 2 4 2" xfId="27282"/>
    <cellStyle name="20% - Accent3 4 3 2 4 2" xfId="27283"/>
    <cellStyle name="40% - Accent3 4 3 2 4 2" xfId="27284"/>
    <cellStyle name="60% - Accent3 4 3 2 4 2" xfId="27285"/>
    <cellStyle name="20% - Accent4 4 3 2 4 2" xfId="27286"/>
    <cellStyle name="40% - Accent4 4 3 2 4 2" xfId="27287"/>
    <cellStyle name="60% - Accent4 4 3 2 4 2" xfId="27288"/>
    <cellStyle name="20% - Accent5 4 3 2 4 2" xfId="27289"/>
    <cellStyle name="40% - Accent5 4 3 2 4 2" xfId="27290"/>
    <cellStyle name="60% - Accent5 4 3 2 4 2" xfId="27291"/>
    <cellStyle name="20% - Accent6 4 3 2 4 2" xfId="27292"/>
    <cellStyle name="40% - Accent6 4 3 2 4 2" xfId="27293"/>
    <cellStyle name="60% - Accent6 4 3 2 4 2" xfId="27294"/>
    <cellStyle name="Normal 3 2 4 3 2 4 2" xfId="27295"/>
    <cellStyle name="Normal 3 3 4 3 2 4 2" xfId="27296"/>
    <cellStyle name="Normal 3 4 4 3 2 4 2" xfId="27297"/>
    <cellStyle name="Normal 3 5 4 3 2 4 2" xfId="27298"/>
    <cellStyle name="Normal 3 2 2 3 3 2 4 2" xfId="27299"/>
    <cellStyle name="Normal 3 3 2 3 3 2 4 2" xfId="27300"/>
    <cellStyle name="Normal 3 4 2 3 3 2 4 2" xfId="27301"/>
    <cellStyle name="Normal 3 5 2 3 3 2 4 2" xfId="27302"/>
    <cellStyle name="Normal 5 3 3 2 4 2" xfId="27303"/>
    <cellStyle name="Percent 3 3 3 2 4 2" xfId="27304"/>
    <cellStyle name="Note 2 3 3 2 4 2" xfId="27305"/>
    <cellStyle name="Normal 3 6 3 3 2 4 2" xfId="27306"/>
    <cellStyle name="Comma 2 5 3 3 4 2" xfId="27307"/>
    <cellStyle name="Comma 3 4 3 3 4 2" xfId="27308"/>
    <cellStyle name="Percent 4 3 3 2 4 2" xfId="27309"/>
    <cellStyle name="Normal 3 7 3 3 2 4 2" xfId="27310"/>
    <cellStyle name="Note 3 3 3 2 4 2" xfId="27311"/>
    <cellStyle name="20% - Accent1 2 3 3 2 4 2" xfId="27312"/>
    <cellStyle name="40% - Accent1 2 3 3 2 4 2" xfId="27313"/>
    <cellStyle name="60% - Accent1 2 3 3 2 4 2" xfId="27314"/>
    <cellStyle name="20% - Accent2 2 3 3 2 4 2" xfId="27315"/>
    <cellStyle name="40% - Accent2 2 3 3 2 4 2" xfId="27316"/>
    <cellStyle name="60% - Accent2 2 3 3 2 4 2" xfId="27317"/>
    <cellStyle name="20% - Accent3 2 3 3 2 4 2" xfId="27318"/>
    <cellStyle name="40% - Accent3 2 3 3 2 4 2" xfId="27319"/>
    <cellStyle name="60% - Accent3 2 3 3 2 4 2" xfId="27320"/>
    <cellStyle name="20% - Accent4 2 3 3 2 4 2" xfId="27321"/>
    <cellStyle name="40% - Accent4 2 3 3 2 4 2" xfId="27322"/>
    <cellStyle name="60% - Accent4 2 3 3 2 4 2" xfId="27323"/>
    <cellStyle name="20% - Accent5 2 3 3 2 4 2" xfId="27324"/>
    <cellStyle name="40% - Accent5 2 3 3 2 4 2" xfId="27325"/>
    <cellStyle name="60% - Accent5 2 3 3 2 4 2" xfId="27326"/>
    <cellStyle name="20% - Accent6 2 3 3 2 4 2" xfId="27327"/>
    <cellStyle name="40% - Accent6 2 3 3 2 4 2" xfId="27328"/>
    <cellStyle name="60% - Accent6 2 3 3 2 4 2" xfId="27329"/>
    <cellStyle name="Comma 2 2 4 3 3 4 2" xfId="27330"/>
    <cellStyle name="Comma 4 4 3 3 4 2" xfId="27331"/>
    <cellStyle name="Normal 3 8 3 3 2 4 2" xfId="27332"/>
    <cellStyle name="Comma 2 4 3 3 4 2" xfId="27333"/>
    <cellStyle name="Comma 3 3 3 3 4 2" xfId="27334"/>
    <cellStyle name="Comma 2 2 3 3 3 4 2" xfId="27335"/>
    <cellStyle name="Comma 4 3 3 3 4 2" xfId="27336"/>
    <cellStyle name="Normal 7 2 3 2 4 2" xfId="27337"/>
    <cellStyle name="Comma 5 2 3 3 4 2" xfId="27338"/>
    <cellStyle name="20% - Accent1 3 2 3 2 4 2" xfId="27339"/>
    <cellStyle name="40% - Accent1 3 2 3 2 4 2" xfId="27340"/>
    <cellStyle name="60% - Accent1 3 2 3 2 4 2" xfId="27341"/>
    <cellStyle name="20% - Accent2 3 2 3 2 4 2" xfId="27342"/>
    <cellStyle name="40% - Accent2 3 2 3 2 4 2" xfId="27343"/>
    <cellStyle name="60% - Accent2 3 2 3 2 4 2" xfId="27344"/>
    <cellStyle name="20% - Accent3 3 2 3 2 4 2" xfId="27345"/>
    <cellStyle name="40% - Accent3 3 2 3 2 4 2" xfId="27346"/>
    <cellStyle name="60% - Accent3 3 2 3 2 4 2" xfId="27347"/>
    <cellStyle name="20% - Accent4 3 2 3 2 4 2" xfId="27348"/>
    <cellStyle name="40% - Accent4 3 2 3 2 4 2" xfId="27349"/>
    <cellStyle name="60% - Accent4 3 2 3 2 4 2" xfId="27350"/>
    <cellStyle name="20% - Accent5 3 2 3 2 4 2" xfId="27351"/>
    <cellStyle name="40% - Accent5 3 2 3 2 4 2" xfId="27352"/>
    <cellStyle name="60% - Accent5 3 2 3 2 4 2" xfId="27353"/>
    <cellStyle name="20% - Accent6 3 2 3 2 4 2" xfId="27354"/>
    <cellStyle name="40% - Accent6 3 2 3 2 4 2" xfId="27355"/>
    <cellStyle name="60% - Accent6 3 2 3 2 4 2" xfId="27356"/>
    <cellStyle name="Normal 3 2 3 2 3 2 4 2" xfId="27357"/>
    <cellStyle name="Normal 3 3 3 2 3 2 4 2" xfId="27358"/>
    <cellStyle name="Normal 3 4 3 2 3 2 4 2" xfId="27359"/>
    <cellStyle name="Normal 3 5 3 2 3 2 4 2" xfId="27360"/>
    <cellStyle name="Normal 3 2 2 2 2 3 2 4 2" xfId="27361"/>
    <cellStyle name="Normal 3 3 2 2 2 3 2 4 2" xfId="27362"/>
    <cellStyle name="Normal 3 4 2 2 2 3 2 4 2" xfId="27363"/>
    <cellStyle name="Normal 3 5 2 2 2 3 2 4 2" xfId="27364"/>
    <cellStyle name="Normal 5 2 2 3 2 4 2" xfId="27365"/>
    <cellStyle name="Percent 3 2 2 3 2 4 2" xfId="27366"/>
    <cellStyle name="Note 2 2 2 3 2 4 2" xfId="27367"/>
    <cellStyle name="Normal 3 6 2 2 3 2 4 2" xfId="27368"/>
    <cellStyle name="Comma 2 3 2 3 3 4 2" xfId="27369"/>
    <cellStyle name="Comma 3 2 2 3 3 4 2" xfId="27370"/>
    <cellStyle name="Percent 4 2 2 3 2 4 2" xfId="27371"/>
    <cellStyle name="Normal 3 7 2 2 3 2 4 2" xfId="27372"/>
    <cellStyle name="Note 3 2 2 3 2 4 2" xfId="27373"/>
    <cellStyle name="20% - Accent1 2 2 2 3 2 4 2" xfId="27374"/>
    <cellStyle name="40% - Accent1 2 2 2 3 2 4 2" xfId="27375"/>
    <cellStyle name="60% - Accent1 2 2 2 3 2 4 2" xfId="27376"/>
    <cellStyle name="20% - Accent2 2 2 2 3 2 4 2" xfId="27377"/>
    <cellStyle name="40% - Accent2 2 2 2 3 2 4 2" xfId="27378"/>
    <cellStyle name="60% - Accent2 2 2 2 3 2 4 2" xfId="27379"/>
    <cellStyle name="20% - Accent3 2 2 2 3 2 4 2" xfId="27380"/>
    <cellStyle name="40% - Accent3 2 2 2 3 2 4 2" xfId="27381"/>
    <cellStyle name="60% - Accent3 2 2 2 3 2 4 2" xfId="27382"/>
    <cellStyle name="20% - Accent4 2 2 2 3 2 4 2" xfId="27383"/>
    <cellStyle name="40% - Accent4 2 2 2 3 2 4 2" xfId="27384"/>
    <cellStyle name="60% - Accent4 2 2 2 3 2 4 2" xfId="27385"/>
    <cellStyle name="20% - Accent5 2 2 2 3 2 4 2" xfId="27386"/>
    <cellStyle name="40% - Accent5 2 2 2 3 2 4 2" xfId="27387"/>
    <cellStyle name="60% - Accent5 2 2 2 3 2 4 2" xfId="27388"/>
    <cellStyle name="20% - Accent6 2 2 2 3 2 4 2" xfId="27389"/>
    <cellStyle name="40% - Accent6 2 2 2 3 2 4 2" xfId="27390"/>
    <cellStyle name="60% - Accent6 2 2 2 3 2 4 2" xfId="27391"/>
    <cellStyle name="Comma 2 2 2 2 3 3 4 2" xfId="27392"/>
    <cellStyle name="Comma 4 2 2 3 3 4 2" xfId="27393"/>
    <cellStyle name="Normal 3 8 2 2 3 2 4 2" xfId="27394"/>
    <cellStyle name="Normal 3 10 3 2 4 2" xfId="27395"/>
    <cellStyle name="Normal 3 11 3 2 4 2" xfId="27396"/>
    <cellStyle name="Normal 5 4 2 2 4 2" xfId="27397"/>
    <cellStyle name="Normal 7 3 2 2 4 2" xfId="27398"/>
    <cellStyle name="Normal 3 2 2 2 3 2 2 4 2" xfId="27399"/>
    <cellStyle name="Normal 8 2 2 2 4 2" xfId="27400"/>
    <cellStyle name="Normal 3 2 2 2 2 2 2 2 4 2" xfId="27401"/>
    <cellStyle name="Comma 3 6 3 4 2" xfId="27402"/>
    <cellStyle name="Normal 3 6 4 2 2 4 2" xfId="27403"/>
    <cellStyle name="Normal 3 12 2 2 4 2" xfId="27404"/>
    <cellStyle name="Normal 3 2 5 2 2 4 2" xfId="27405"/>
    <cellStyle name="Normal 3 3 5 2 2 4 2" xfId="27406"/>
    <cellStyle name="Normal 3 4 5 2 2 4 2" xfId="27407"/>
    <cellStyle name="Normal 3 5 5 2 2 4 2" xfId="27408"/>
    <cellStyle name="20% - Accent1 5 2 2 4 2" xfId="27409"/>
    <cellStyle name="40% - Accent1 5 2 2 4 2" xfId="27410"/>
    <cellStyle name="60% - Accent1 5 2 2 4 2" xfId="27411"/>
    <cellStyle name="20% - Accent2 5 2 2 4 2" xfId="27412"/>
    <cellStyle name="40% - Accent2 5 2 2 4 2" xfId="27413"/>
    <cellStyle name="60% - Accent2 5 2 2 4 2" xfId="27414"/>
    <cellStyle name="20% - Accent3 5 2 2 4 2" xfId="27415"/>
    <cellStyle name="40% - Accent3 5 2 2 4 2" xfId="27416"/>
    <cellStyle name="60% - Accent3 5 2 2 4 2" xfId="27417"/>
    <cellStyle name="20% - Accent4 5 2 2 4 2" xfId="27418"/>
    <cellStyle name="40% - Accent4 5 2 2 4 2" xfId="27419"/>
    <cellStyle name="60% - Accent4 5 2 2 4 2" xfId="27420"/>
    <cellStyle name="20% - Accent5 5 2 2 4 2" xfId="27421"/>
    <cellStyle name="40% - Accent5 5 2 2 4 2" xfId="27422"/>
    <cellStyle name="60% - Accent5 5 2 2 4 2" xfId="27423"/>
    <cellStyle name="20% - Accent6 5 2 2 4 2" xfId="27424"/>
    <cellStyle name="40% - Accent6 5 2 2 4 2" xfId="27425"/>
    <cellStyle name="60% - Accent6 5 2 2 4 2" xfId="27426"/>
    <cellStyle name="Normal 3 2 2 4 2 2 4 2" xfId="27427"/>
    <cellStyle name="Normal 3 3 2 4 2 2 4 2" xfId="27428"/>
    <cellStyle name="Normal 3 4 2 4 2 2 4 2" xfId="27429"/>
    <cellStyle name="Normal 3 5 2 4 2 2 4 2" xfId="27430"/>
    <cellStyle name="Percent 3 4 2 2 4 2" xfId="27431"/>
    <cellStyle name="Note 2 4 2 2 4 2" xfId="27432"/>
    <cellStyle name="Comma 2 6 2 3 4 2" xfId="27433"/>
    <cellStyle name="Comma 3 5 2 3 4 2" xfId="27434"/>
    <cellStyle name="Percent 4 4 2 2 4 2" xfId="27435"/>
    <cellStyle name="Normal 3 7 4 2 2 4 2" xfId="27436"/>
    <cellStyle name="Note 3 4 2 2 4 2" xfId="27437"/>
    <cellStyle name="20% - Accent1 2 4 2 2 4 2" xfId="27438"/>
    <cellStyle name="40% - Accent1 2 4 2 2 4 2" xfId="27439"/>
    <cellStyle name="60% - Accent1 2 4 2 2 4 2" xfId="27440"/>
    <cellStyle name="20% - Accent2 2 4 2 2 4 2" xfId="27441"/>
    <cellStyle name="40% - Accent2 2 4 2 2 4 2" xfId="27442"/>
    <cellStyle name="60% - Accent2 2 4 2 2 4 2" xfId="27443"/>
    <cellStyle name="20% - Accent3 2 4 2 2 4 2" xfId="27444"/>
    <cellStyle name="40% - Accent3 2 4 2 2 4 2" xfId="27445"/>
    <cellStyle name="60% - Accent3 2 4 2 2 4 2" xfId="27446"/>
    <cellStyle name="20% - Accent4 2 4 2 2 4 2" xfId="27447"/>
    <cellStyle name="40% - Accent4 2 4 2 2 4 2" xfId="27448"/>
    <cellStyle name="60% - Accent4 2 4 2 2 4 2" xfId="27449"/>
    <cellStyle name="20% - Accent5 2 4 2 2 4 2" xfId="27450"/>
    <cellStyle name="40% - Accent5 2 4 2 2 4 2" xfId="27451"/>
    <cellStyle name="60% - Accent5 2 4 2 2 4 2" xfId="27452"/>
    <cellStyle name="20% - Accent6 2 4 2 2 4 2" xfId="27453"/>
    <cellStyle name="40% - Accent6 2 4 2 2 4 2" xfId="27454"/>
    <cellStyle name="60% - Accent6 2 4 2 2 4 2" xfId="27455"/>
    <cellStyle name="Comma 2 2 5 2 3 4 2" xfId="27456"/>
    <cellStyle name="Comma 4 5 2 3 4 2" xfId="27457"/>
    <cellStyle name="Normal 3 8 4 2 2 4 2" xfId="27458"/>
    <cellStyle name="Comma 5 3 2 3 4 2" xfId="27459"/>
    <cellStyle name="20% - Accent1 3 3 2 2 4 2" xfId="27460"/>
    <cellStyle name="40% - Accent1 3 3 2 2 4 2" xfId="27461"/>
    <cellStyle name="60% - Accent1 3 3 2 2 4 2" xfId="27462"/>
    <cellStyle name="20% - Accent2 3 3 2 2 4 2" xfId="27463"/>
    <cellStyle name="40% - Accent2 3 3 2 2 4 2" xfId="27464"/>
    <cellStyle name="60% - Accent2 3 3 2 2 4 2" xfId="27465"/>
    <cellStyle name="20% - Accent3 3 3 2 2 4 2" xfId="27466"/>
    <cellStyle name="40% - Accent3 3 3 2 2 4 2" xfId="27467"/>
    <cellStyle name="60% - Accent3 3 3 2 2 4 2" xfId="27468"/>
    <cellStyle name="20% - Accent4 3 3 2 2 4 2" xfId="27469"/>
    <cellStyle name="40% - Accent4 3 3 2 2 4 2" xfId="27470"/>
    <cellStyle name="60% - Accent4 3 3 2 2 4 2" xfId="27471"/>
    <cellStyle name="20% - Accent5 3 3 2 2 4 2" xfId="27472"/>
    <cellStyle name="40% - Accent5 3 3 2 2 4 2" xfId="27473"/>
    <cellStyle name="60% - Accent5 3 3 2 2 4 2" xfId="27474"/>
    <cellStyle name="20% - Accent6 3 3 2 2 4 2" xfId="27475"/>
    <cellStyle name="40% - Accent6 3 3 2 2 4 2" xfId="27476"/>
    <cellStyle name="60% - Accent6 3 3 2 2 4 2" xfId="27477"/>
    <cellStyle name="Normal 3 2 3 3 2 2 4 2" xfId="27478"/>
    <cellStyle name="Normal 3 3 3 3 2 2 4 2" xfId="27479"/>
    <cellStyle name="Normal 3 4 3 3 2 2 4 2" xfId="27480"/>
    <cellStyle name="Normal 3 5 3 3 2 2 4 2" xfId="27481"/>
    <cellStyle name="Normal 3 3 2 2 3 2 2 4 2" xfId="27482"/>
    <cellStyle name="Normal 3 4 2 2 3 2 2 4 2" xfId="27483"/>
    <cellStyle name="Normal 3 5 2 2 3 2 2 4 2" xfId="27484"/>
    <cellStyle name="Normal 5 2 3 2 2 4 2" xfId="27485"/>
    <cellStyle name="Percent 3 2 3 2 2 4 2" xfId="27486"/>
    <cellStyle name="Note 2 2 3 2 2 4 2" xfId="27487"/>
    <cellStyle name="Normal 3 6 2 3 2 2 4 2" xfId="27488"/>
    <cellStyle name="Comma 2 3 3 2 3 4 2" xfId="27489"/>
    <cellStyle name="Comma 3 2 3 2 3 4 2" xfId="27490"/>
    <cellStyle name="Percent 4 2 3 2 2 4 2" xfId="27491"/>
    <cellStyle name="Normal 3 7 2 3 2 2 4 2" xfId="27492"/>
    <cellStyle name="Note 3 2 3 2 2 4 2" xfId="27493"/>
    <cellStyle name="20% - Accent1 2 2 3 2 2 4 2" xfId="27494"/>
    <cellStyle name="40% - Accent1 2 2 3 2 2 4 2" xfId="27495"/>
    <cellStyle name="60% - Accent1 2 2 3 2 2 4 2" xfId="27496"/>
    <cellStyle name="20% - Accent2 2 2 3 2 2 4 2" xfId="27497"/>
    <cellStyle name="40% - Accent2 2 2 3 2 2 4 2" xfId="27498"/>
    <cellStyle name="60% - Accent2 2 2 3 2 2 4 2" xfId="27499"/>
    <cellStyle name="20% - Accent3 2 2 3 2 2 4 2" xfId="27500"/>
    <cellStyle name="40% - Accent3 2 2 3 2 2 4 2" xfId="27501"/>
    <cellStyle name="60% - Accent3 2 2 3 2 2 4 2" xfId="27502"/>
    <cellStyle name="20% - Accent4 2 2 3 2 2 4 2" xfId="27503"/>
    <cellStyle name="40% - Accent4 2 2 3 2 2 4 2" xfId="27504"/>
    <cellStyle name="60% - Accent4 2 2 3 2 2 4 2" xfId="27505"/>
    <cellStyle name="20% - Accent5 2 2 3 2 2 4 2" xfId="27506"/>
    <cellStyle name="40% - Accent5 2 2 3 2 2 4 2" xfId="27507"/>
    <cellStyle name="60% - Accent5 2 2 3 2 2 4 2" xfId="27508"/>
    <cellStyle name="20% - Accent6 2 2 3 2 2 4 2" xfId="27509"/>
    <cellStyle name="40% - Accent6 2 2 3 2 2 4 2" xfId="27510"/>
    <cellStyle name="60% - Accent6 2 2 3 2 2 4 2" xfId="27511"/>
    <cellStyle name="Comma 2 2 2 3 2 3 4 2" xfId="27512"/>
    <cellStyle name="Comma 4 2 3 2 3 4 2" xfId="27513"/>
    <cellStyle name="Normal 3 8 2 3 2 2 4 2" xfId="27514"/>
    <cellStyle name="Comma 6 2 2 3 4 2" xfId="27515"/>
    <cellStyle name="20% - Accent1 4 2 2 2 4 2" xfId="27516"/>
    <cellStyle name="40% - Accent1 4 2 2 2 4 2" xfId="27517"/>
    <cellStyle name="60% - Accent1 4 2 2 2 4 2" xfId="27518"/>
    <cellStyle name="20% - Accent2 4 2 2 2 4 2" xfId="27519"/>
    <cellStyle name="40% - Accent2 4 2 2 2 4 2" xfId="27520"/>
    <cellStyle name="60% - Accent2 4 2 2 2 4 2" xfId="27521"/>
    <cellStyle name="20% - Accent3 4 2 2 2 4 2" xfId="27522"/>
    <cellStyle name="40% - Accent3 4 2 2 2 4 2" xfId="27523"/>
    <cellStyle name="60% - Accent3 4 2 2 2 4 2" xfId="27524"/>
    <cellStyle name="20% - Accent4 4 2 2 2 4 2" xfId="27525"/>
    <cellStyle name="40% - Accent4 4 2 2 2 4 2" xfId="27526"/>
    <cellStyle name="60% - Accent4 4 2 2 2 4 2" xfId="27527"/>
    <cellStyle name="20% - Accent5 4 2 2 2 4 2" xfId="27528"/>
    <cellStyle name="40% - Accent5 4 2 2 2 4 2" xfId="27529"/>
    <cellStyle name="60% - Accent5 4 2 2 2 4 2" xfId="27530"/>
    <cellStyle name="20% - Accent6 4 2 2 2 4 2" xfId="27531"/>
    <cellStyle name="40% - Accent6 4 2 2 2 4 2" xfId="27532"/>
    <cellStyle name="60% - Accent6 4 2 2 2 4 2" xfId="27533"/>
    <cellStyle name="Normal 3 2 4 2 2 2 4 2" xfId="27534"/>
    <cellStyle name="Normal 3 3 4 2 2 2 4 2" xfId="27535"/>
    <cellStyle name="Normal 3 4 4 2 2 2 4 2" xfId="27536"/>
    <cellStyle name="Normal 3 5 4 2 2 2 4 2" xfId="27537"/>
    <cellStyle name="Normal 3 2 2 3 2 2 2 4 2" xfId="27538"/>
    <cellStyle name="Normal 3 3 2 3 2 2 2 4 2" xfId="27539"/>
    <cellStyle name="Normal 3 4 2 3 2 2 2 4 2" xfId="27540"/>
    <cellStyle name="Normal 3 5 2 3 2 2 2 4 2" xfId="27541"/>
    <cellStyle name="Normal 5 3 2 2 2 4 2" xfId="27542"/>
    <cellStyle name="Percent 3 3 2 2 2 4 2" xfId="27543"/>
    <cellStyle name="Note 2 3 2 2 2 4 2" xfId="27544"/>
    <cellStyle name="Normal 3 6 3 2 2 2 4 2" xfId="27545"/>
    <cellStyle name="Comma 2 5 2 2 3 4 2" xfId="27546"/>
    <cellStyle name="Comma 3 4 2 2 3 4 2" xfId="27547"/>
    <cellStyle name="Percent 4 3 2 2 2 4 2" xfId="27548"/>
    <cellStyle name="Normal 3 7 3 2 2 2 4 2" xfId="27549"/>
    <cellStyle name="Note 3 3 2 2 2 4 2" xfId="27550"/>
    <cellStyle name="20% - Accent1 2 3 2 2 2 4 2" xfId="27551"/>
    <cellStyle name="40% - Accent1 2 3 2 2 2 4 2" xfId="27552"/>
    <cellStyle name="60% - Accent1 2 3 2 2 2 4 2" xfId="27553"/>
    <cellStyle name="20% - Accent2 2 3 2 2 2 4 2" xfId="27554"/>
    <cellStyle name="40% - Accent2 2 3 2 2 2 4 2" xfId="27555"/>
    <cellStyle name="60% - Accent2 2 3 2 2 2 4 2" xfId="27556"/>
    <cellStyle name="20% - Accent3 2 3 2 2 2 4 2" xfId="27557"/>
    <cellStyle name="40% - Accent3 2 3 2 2 2 4 2" xfId="27558"/>
    <cellStyle name="60% - Accent3 2 3 2 2 2 4 2" xfId="27559"/>
    <cellStyle name="20% - Accent4 2 3 2 2 2 4 2" xfId="27560"/>
    <cellStyle name="40% - Accent4 2 3 2 2 2 4 2" xfId="27561"/>
    <cellStyle name="60% - Accent4 2 3 2 2 2 4 2" xfId="27562"/>
    <cellStyle name="20% - Accent5 2 3 2 2 2 4 2" xfId="27563"/>
    <cellStyle name="40% - Accent5 2 3 2 2 2 4 2" xfId="27564"/>
    <cellStyle name="60% - Accent5 2 3 2 2 2 4 2" xfId="27565"/>
    <cellStyle name="20% - Accent6 2 3 2 2 2 4 2" xfId="27566"/>
    <cellStyle name="40% - Accent6 2 3 2 2 2 4 2" xfId="27567"/>
    <cellStyle name="60% - Accent6 2 3 2 2 2 4 2" xfId="27568"/>
    <cellStyle name="Comma 2 2 4 2 2 3 4 2" xfId="27569"/>
    <cellStyle name="Comma 4 4 2 2 3 4 2" xfId="27570"/>
    <cellStyle name="Normal 3 8 3 2 2 2 4 2" xfId="27571"/>
    <cellStyle name="Comma 2 4 2 2 3 4 2" xfId="27572"/>
    <cellStyle name="Comma 3 3 2 2 3 4 2" xfId="27573"/>
    <cellStyle name="Comma 2 2 3 2 2 3 4 2" xfId="27574"/>
    <cellStyle name="Comma 4 3 2 2 3 4 2" xfId="27575"/>
    <cellStyle name="Normal 7 2 2 2 2 4 2" xfId="27576"/>
    <cellStyle name="Comma 5 2 2 2 3 4 2" xfId="27577"/>
    <cellStyle name="20% - Accent1 3 2 2 2 2 4 2" xfId="27578"/>
    <cellStyle name="40% - Accent1 3 2 2 2 2 4 2" xfId="27579"/>
    <cellStyle name="60% - Accent1 3 2 2 2 2 4 2" xfId="27580"/>
    <cellStyle name="20% - Accent2 3 2 2 2 2 4 2" xfId="27581"/>
    <cellStyle name="40% - Accent2 3 2 2 2 2 4 2" xfId="27582"/>
    <cellStyle name="60% - Accent2 3 2 2 2 2 4 2" xfId="27583"/>
    <cellStyle name="20% - Accent3 3 2 2 2 2 4 2" xfId="27584"/>
    <cellStyle name="40% - Accent3 3 2 2 2 2 4 2" xfId="27585"/>
    <cellStyle name="60% - Accent3 3 2 2 2 2 4 2" xfId="27586"/>
    <cellStyle name="20% - Accent4 3 2 2 2 2 4 2" xfId="27587"/>
    <cellStyle name="40% - Accent4 3 2 2 2 2 4 2" xfId="27588"/>
    <cellStyle name="60% - Accent4 3 2 2 2 2 4 2" xfId="27589"/>
    <cellStyle name="20% - Accent5 3 2 2 2 2 4 2" xfId="27590"/>
    <cellStyle name="40% - Accent5 3 2 2 2 2 4 2" xfId="27591"/>
    <cellStyle name="60% - Accent5 3 2 2 2 2 4 2" xfId="27592"/>
    <cellStyle name="20% - Accent6 3 2 2 2 2 4 2" xfId="27593"/>
    <cellStyle name="40% - Accent6 3 2 2 2 2 4 2" xfId="27594"/>
    <cellStyle name="60% - Accent6 3 2 2 2 2 4 2" xfId="27595"/>
    <cellStyle name="Normal 3 2 3 2 2 2 2 4 2" xfId="27596"/>
    <cellStyle name="Normal 3 3 3 2 2 2 2 4 2" xfId="27597"/>
    <cellStyle name="Normal 3 4 3 2 2 2 2 4 2" xfId="27598"/>
    <cellStyle name="Normal 3 5 3 2 2 2 2 4 2" xfId="27599"/>
    <cellStyle name="Normal 3 3 2 2 2 2 2 2 4 2" xfId="27600"/>
    <cellStyle name="Normal 3 4 2 2 2 2 2 2 4 2" xfId="27601"/>
    <cellStyle name="Normal 3 5 2 2 2 2 2 2 4 2" xfId="27602"/>
    <cellStyle name="Normal 5 2 2 2 2 2 4 2" xfId="27603"/>
    <cellStyle name="Percent 3 2 2 2 2 2 4 2" xfId="27604"/>
    <cellStyle name="Note 2 2 2 2 2 2 4 2" xfId="27605"/>
    <cellStyle name="Normal 3 6 2 2 2 2 2 4 2" xfId="27606"/>
    <cellStyle name="Comma 2 3 2 2 2 3 4 2" xfId="27607"/>
    <cellStyle name="Comma 3 2 2 2 2 3 4 2" xfId="27608"/>
    <cellStyle name="Percent 4 2 2 2 2 2 4 2" xfId="27609"/>
    <cellStyle name="Normal 3 7 2 2 2 2 2 4 2" xfId="27610"/>
    <cellStyle name="Note 3 2 2 2 2 2 4 2" xfId="27611"/>
    <cellStyle name="20% - Accent1 2 2 2 2 2 2 4 2" xfId="27612"/>
    <cellStyle name="40% - Accent1 2 2 2 2 2 2 4 2" xfId="27613"/>
    <cellStyle name="60% - Accent1 2 2 2 2 2 2 4 2" xfId="27614"/>
    <cellStyle name="20% - Accent2 2 2 2 2 2 2 4 2" xfId="27615"/>
    <cellStyle name="40% - Accent2 2 2 2 2 2 2 4 2" xfId="27616"/>
    <cellStyle name="60% - Accent2 2 2 2 2 2 2 4 2" xfId="27617"/>
    <cellStyle name="20% - Accent3 2 2 2 2 2 2 4 2" xfId="27618"/>
    <cellStyle name="40% - Accent3 2 2 2 2 2 2 4 2" xfId="27619"/>
    <cellStyle name="60% - Accent3 2 2 2 2 2 2 4 2" xfId="27620"/>
    <cellStyle name="20% - Accent4 2 2 2 2 2 2 4 2" xfId="27621"/>
    <cellStyle name="40% - Accent4 2 2 2 2 2 2 4 2" xfId="27622"/>
    <cellStyle name="60% - Accent4 2 2 2 2 2 2 4 2" xfId="27623"/>
    <cellStyle name="20% - Accent5 2 2 2 2 2 2 4 2" xfId="27624"/>
    <cellStyle name="40% - Accent5 2 2 2 2 2 2 4 2" xfId="27625"/>
    <cellStyle name="60% - Accent5 2 2 2 2 2 2 4 2" xfId="27626"/>
    <cellStyle name="20% - Accent6 2 2 2 2 2 2 4 2" xfId="27627"/>
    <cellStyle name="40% - Accent6 2 2 2 2 2 2 4 2" xfId="27628"/>
    <cellStyle name="60% - Accent6 2 2 2 2 2 2 4 2" xfId="27629"/>
    <cellStyle name="Comma 2 2 2 2 2 2 3 4 2" xfId="27630"/>
    <cellStyle name="Comma 4 2 2 2 2 3 4 2" xfId="27631"/>
    <cellStyle name="Normal 3 8 2 2 2 2 2 4 2" xfId="27632"/>
    <cellStyle name="Normal 3 10 2 2 2 4 2" xfId="27633"/>
    <cellStyle name="Normal 3 11 2 2 2 4 2" xfId="27634"/>
    <cellStyle name="Normal 3 13 2 4 2" xfId="27635"/>
    <cellStyle name="Normal 3 2 7 2 4 2" xfId="27636"/>
    <cellStyle name="Normal 3 3 7 2 4 2" xfId="27637"/>
    <cellStyle name="Normal 3 4 7 2 4 2" xfId="27638"/>
    <cellStyle name="Normal 3 5 7 2 4 2" xfId="27639"/>
    <cellStyle name="20% - Accent1 7 2 4 2" xfId="27640"/>
    <cellStyle name="40% - Accent1 7 2 4 2" xfId="27641"/>
    <cellStyle name="60% - Accent1 7 2 4 2" xfId="27642"/>
    <cellStyle name="20% - Accent2 7 2 4 2" xfId="27643"/>
    <cellStyle name="40% - Accent2 7 2 4 2" xfId="27644"/>
    <cellStyle name="60% - Accent2 7 2 4 2" xfId="27645"/>
    <cellStyle name="20% - Accent3 7 2 4 2" xfId="27646"/>
    <cellStyle name="40% - Accent3 7 2 4 2" xfId="27647"/>
    <cellStyle name="60% - Accent3 7 2 4 2" xfId="27648"/>
    <cellStyle name="20% - Accent4 7 2 4 2" xfId="27649"/>
    <cellStyle name="40% - Accent4 7 2 4 2" xfId="27650"/>
    <cellStyle name="60% - Accent4 7 2 4 2" xfId="27651"/>
    <cellStyle name="20% - Accent5 7 2 4 2" xfId="27652"/>
    <cellStyle name="40% - Accent5 7 2 4 2" xfId="27653"/>
    <cellStyle name="60% - Accent5 7 2 4 2" xfId="27654"/>
    <cellStyle name="20% - Accent6 7 2 4 2" xfId="27655"/>
    <cellStyle name="40% - Accent6 7 2 4 2" xfId="27656"/>
    <cellStyle name="60% - Accent6 7 2 4 2" xfId="27657"/>
    <cellStyle name="Normal 3 2 2 6 2 4 2" xfId="27658"/>
    <cellStyle name="Normal 3 3 2 6 2 4 2" xfId="27659"/>
    <cellStyle name="Normal 3 4 2 6 2 4 2" xfId="27660"/>
    <cellStyle name="Normal 3 5 2 6 2 4 2" xfId="27661"/>
    <cellStyle name="Normal 5 6 2 4 2" xfId="27662"/>
    <cellStyle name="Percent 3 6 2 4 2" xfId="27663"/>
    <cellStyle name="Note 2 6 2 4 2" xfId="27664"/>
    <cellStyle name="Normal 3 6 6 2 4 2" xfId="27665"/>
    <cellStyle name="Comma 2 8 3 4 2" xfId="27666"/>
    <cellStyle name="Comma 3 8 3 4 2" xfId="27667"/>
    <cellStyle name="Percent 4 6 2 4 2" xfId="27668"/>
    <cellStyle name="Normal 3 7 6 2 4 2" xfId="27669"/>
    <cellStyle name="Note 3 6 2 4 2" xfId="27670"/>
    <cellStyle name="20% - Accent1 2 6 2 4 2" xfId="27671"/>
    <cellStyle name="40% - Accent1 2 6 2 4 2" xfId="27672"/>
    <cellStyle name="60% - Accent1 2 6 2 4 2" xfId="27673"/>
    <cellStyle name="20% - Accent2 2 6 2 4 2" xfId="27674"/>
    <cellStyle name="40% - Accent2 2 6 2 4 2" xfId="27675"/>
    <cellStyle name="60% - Accent2 2 6 2 4 2" xfId="27676"/>
    <cellStyle name="20% - Accent3 2 6 2 4 2" xfId="27677"/>
    <cellStyle name="40% - Accent3 2 6 2 4 2" xfId="27678"/>
    <cellStyle name="60% - Accent3 2 6 2 4 2" xfId="27679"/>
    <cellStyle name="20% - Accent4 2 6 2 4 2" xfId="27680"/>
    <cellStyle name="40% - Accent4 2 6 2 4 2" xfId="27681"/>
    <cellStyle name="60% - Accent4 2 6 2 4 2" xfId="27682"/>
    <cellStyle name="20% - Accent5 2 6 2 4 2" xfId="27683"/>
    <cellStyle name="40% - Accent5 2 6 2 4 2" xfId="27684"/>
    <cellStyle name="60% - Accent5 2 6 2 4 2" xfId="27685"/>
    <cellStyle name="20% - Accent6 2 6 2 4 2" xfId="27686"/>
    <cellStyle name="40% - Accent6 2 6 2 4 2" xfId="27687"/>
    <cellStyle name="60% - Accent6 2 6 2 4 2" xfId="27688"/>
    <cellStyle name="Comma 2 2 7 3 4 2" xfId="27689"/>
    <cellStyle name="Comma 4 7 3 4 2" xfId="27690"/>
    <cellStyle name="Normal 3 8 6 2 4 2" xfId="27691"/>
    <cellStyle name="Normal 7 5 2 4 2" xfId="27692"/>
    <cellStyle name="Comma 5 5 3 4 2" xfId="27693"/>
    <cellStyle name="20% - Accent1 3 5 2 4 2" xfId="27694"/>
    <cellStyle name="40% - Accent1 3 5 2 4 2" xfId="27695"/>
    <cellStyle name="60% - Accent1 3 5 2 4 2" xfId="27696"/>
    <cellStyle name="20% - Accent2 3 5 2 4 2" xfId="27697"/>
    <cellStyle name="40% - Accent2 3 5 2 4 2" xfId="27698"/>
    <cellStyle name="60% - Accent2 3 5 2 4 2" xfId="27699"/>
    <cellStyle name="20% - Accent3 3 5 2 4 2" xfId="27700"/>
    <cellStyle name="40% - Accent3 3 5 2 4 2" xfId="27701"/>
    <cellStyle name="60% - Accent3 3 5 2 4 2" xfId="27702"/>
    <cellStyle name="20% - Accent4 3 5 2 4 2" xfId="27703"/>
    <cellStyle name="40% - Accent4 3 5 2 4 2" xfId="27704"/>
    <cellStyle name="60% - Accent4 3 5 2 4 2" xfId="27705"/>
    <cellStyle name="20% - Accent5 3 5 2 4 2" xfId="27706"/>
    <cellStyle name="40% - Accent5 3 5 2 4 2" xfId="27707"/>
    <cellStyle name="60% - Accent5 3 5 2 4 2" xfId="27708"/>
    <cellStyle name="20% - Accent6 3 5 2 4 2" xfId="27709"/>
    <cellStyle name="40% - Accent6 3 5 2 4 2" xfId="27710"/>
    <cellStyle name="60% - Accent6 3 5 2 4 2" xfId="27711"/>
    <cellStyle name="Normal 3 2 3 5 2 4 2" xfId="27712"/>
    <cellStyle name="Normal 3 3 3 5 2 4 2" xfId="27713"/>
    <cellStyle name="Normal 3 4 3 5 2 4 2" xfId="27714"/>
    <cellStyle name="Normal 3 5 3 5 2 4 2" xfId="27715"/>
    <cellStyle name="Normal 3 2 2 2 5 2 4 2" xfId="27716"/>
    <cellStyle name="Normal 3 3 2 2 5 2 4 2" xfId="27717"/>
    <cellStyle name="Normal 3 4 2 2 5 2 4 2" xfId="27718"/>
    <cellStyle name="Normal 3 5 2 2 5 2 4 2" xfId="27719"/>
    <cellStyle name="Normal 5 2 5 2 4 2" xfId="27720"/>
    <cellStyle name="Percent 3 2 5 2 4 2" xfId="27721"/>
    <cellStyle name="Note 2 2 5 2 4 2" xfId="27722"/>
    <cellStyle name="Normal 3 6 2 5 2 4 2" xfId="27723"/>
    <cellStyle name="Comma 2 3 5 3 4 2" xfId="27724"/>
    <cellStyle name="Comma 3 2 5 3 4 2" xfId="27725"/>
    <cellStyle name="Percent 4 2 5 2 4 2" xfId="27726"/>
    <cellStyle name="Normal 3 7 2 5 2 4 2" xfId="27727"/>
    <cellStyle name="Note 3 2 5 2 4 2" xfId="27728"/>
    <cellStyle name="20% - Accent1 2 2 5 2 4 2" xfId="27729"/>
    <cellStyle name="40% - Accent1 2 2 5 2 4 2" xfId="27730"/>
    <cellStyle name="60% - Accent1 2 2 5 2 4 2" xfId="27731"/>
    <cellStyle name="20% - Accent2 2 2 5 2 4 2" xfId="27732"/>
    <cellStyle name="40% - Accent2 2 2 5 2 4 2" xfId="27733"/>
    <cellStyle name="60% - Accent2 2 2 5 2 4 2" xfId="27734"/>
    <cellStyle name="20% - Accent3 2 2 5 2 4 2" xfId="27735"/>
    <cellStyle name="40% - Accent3 2 2 5 2 4 2" xfId="27736"/>
    <cellStyle name="60% - Accent3 2 2 5 2 4 2" xfId="27737"/>
    <cellStyle name="20% - Accent4 2 2 5 2 4 2" xfId="27738"/>
    <cellStyle name="40% - Accent4 2 2 5 2 4 2" xfId="27739"/>
    <cellStyle name="60% - Accent4 2 2 5 2 4 2" xfId="27740"/>
    <cellStyle name="20% - Accent5 2 2 5 2 4 2" xfId="27741"/>
    <cellStyle name="40% - Accent5 2 2 5 2 4 2" xfId="27742"/>
    <cellStyle name="60% - Accent5 2 2 5 2 4 2" xfId="27743"/>
    <cellStyle name="20% - Accent6 2 2 5 2 4 2" xfId="27744"/>
    <cellStyle name="40% - Accent6 2 2 5 2 4 2" xfId="27745"/>
    <cellStyle name="60% - Accent6 2 2 5 2 4 2" xfId="27746"/>
    <cellStyle name="Comma 2 2 2 5 3 4 2" xfId="27747"/>
    <cellStyle name="Comma 4 2 5 3 4 2" xfId="27748"/>
    <cellStyle name="Normal 3 8 2 5 2 4 2" xfId="27749"/>
    <cellStyle name="Normal 8 4 2 4 2" xfId="27750"/>
    <cellStyle name="Comma 6 4 3 4 2" xfId="27751"/>
    <cellStyle name="20% - Accent1 4 4 2 4 2" xfId="27752"/>
    <cellStyle name="40% - Accent1 4 4 2 4 2" xfId="27753"/>
    <cellStyle name="60% - Accent1 4 4 2 4 2" xfId="27754"/>
    <cellStyle name="20% - Accent2 4 4 2 4 2" xfId="27755"/>
    <cellStyle name="40% - Accent2 4 4 2 4 2" xfId="27756"/>
    <cellStyle name="60% - Accent2 4 4 2 4 2" xfId="27757"/>
    <cellStyle name="20% - Accent3 4 4 2 4 2" xfId="27758"/>
    <cellStyle name="40% - Accent3 4 4 2 4 2" xfId="27759"/>
    <cellStyle name="60% - Accent3 4 4 2 4 2" xfId="27760"/>
    <cellStyle name="20% - Accent4 4 4 2 4 2" xfId="27761"/>
    <cellStyle name="40% - Accent4 4 4 2 4 2" xfId="27762"/>
    <cellStyle name="60% - Accent4 4 4 2 4 2" xfId="27763"/>
    <cellStyle name="20% - Accent5 4 4 2 4 2" xfId="27764"/>
    <cellStyle name="40% - Accent5 4 4 2 4 2" xfId="27765"/>
    <cellStyle name="60% - Accent5 4 4 2 4 2" xfId="27766"/>
    <cellStyle name="20% - Accent6 4 4 2 4 2" xfId="27767"/>
    <cellStyle name="40% - Accent6 4 4 2 4 2" xfId="27768"/>
    <cellStyle name="60% - Accent6 4 4 2 4 2" xfId="27769"/>
    <cellStyle name="Normal 3 2 4 4 2 4 2" xfId="27770"/>
    <cellStyle name="Normal 3 3 4 4 2 4 2" xfId="27771"/>
    <cellStyle name="Normal 3 4 4 4 2 4 2" xfId="27772"/>
    <cellStyle name="Normal 3 5 4 4 2 4 2" xfId="27773"/>
    <cellStyle name="Normal 3 2 2 3 4 2 4 2" xfId="27774"/>
    <cellStyle name="Normal 3 3 2 3 4 2 4 2" xfId="27775"/>
    <cellStyle name="Normal 3 4 2 3 4 2 4 2" xfId="27776"/>
    <cellStyle name="Normal 3 5 2 3 4 2 4 2" xfId="27777"/>
    <cellStyle name="Normal 5 3 4 2 4 2" xfId="27778"/>
    <cellStyle name="Percent 3 3 4 2 4 2" xfId="27779"/>
    <cellStyle name="Note 2 3 4 2 4 2" xfId="27780"/>
    <cellStyle name="Normal 3 6 3 4 2 4 2" xfId="27781"/>
    <cellStyle name="Comma 2 5 4 3 4 2" xfId="27782"/>
    <cellStyle name="Comma 3 4 4 3 4 2" xfId="27783"/>
    <cellStyle name="Percent 4 3 4 2 4 2" xfId="27784"/>
    <cellStyle name="Normal 3 7 3 4 2 4 2" xfId="27785"/>
    <cellStyle name="Note 3 3 4 2 4 2" xfId="27786"/>
    <cellStyle name="20% - Accent1 2 3 4 2 4 2" xfId="27787"/>
    <cellStyle name="40% - Accent1 2 3 4 2 4 2" xfId="27788"/>
    <cellStyle name="60% - Accent1 2 3 4 2 4 2" xfId="27789"/>
    <cellStyle name="20% - Accent2 2 3 4 2 4 2" xfId="27790"/>
    <cellStyle name="40% - Accent2 2 3 4 2 4 2" xfId="27791"/>
    <cellStyle name="60% - Accent2 2 3 4 2 4 2" xfId="27792"/>
    <cellStyle name="20% - Accent3 2 3 4 2 4 2" xfId="27793"/>
    <cellStyle name="40% - Accent3 2 3 4 2 4 2" xfId="27794"/>
    <cellStyle name="60% - Accent3 2 3 4 2 4 2" xfId="27795"/>
    <cellStyle name="20% - Accent4 2 3 4 2 4 2" xfId="27796"/>
    <cellStyle name="40% - Accent4 2 3 4 2 4 2" xfId="27797"/>
    <cellStyle name="60% - Accent4 2 3 4 2 4 2" xfId="27798"/>
    <cellStyle name="20% - Accent5 2 3 4 2 4 2" xfId="27799"/>
    <cellStyle name="40% - Accent5 2 3 4 2 4 2" xfId="27800"/>
    <cellStyle name="60% - Accent5 2 3 4 2 4 2" xfId="27801"/>
    <cellStyle name="20% - Accent6 2 3 4 2 4 2" xfId="27802"/>
    <cellStyle name="40% - Accent6 2 3 4 2 4 2" xfId="27803"/>
    <cellStyle name="60% - Accent6 2 3 4 2 4 2" xfId="27804"/>
    <cellStyle name="Comma 2 2 4 4 3 4 2" xfId="27805"/>
    <cellStyle name="Comma 4 4 4 3 4 2" xfId="27806"/>
    <cellStyle name="Normal 3 8 3 4 2 4 2" xfId="27807"/>
    <cellStyle name="Comma 2 4 4 3 4 2" xfId="27808"/>
    <cellStyle name="Comma 3 3 4 3 4 2" xfId="27809"/>
    <cellStyle name="Comma 2 2 3 4 3 4 2" xfId="27810"/>
    <cellStyle name="Comma 4 3 4 3 4 2" xfId="27811"/>
    <cellStyle name="Normal 7 2 4 2 4 2" xfId="27812"/>
    <cellStyle name="Comma 5 2 4 3 4 2" xfId="27813"/>
    <cellStyle name="20% - Accent1 3 2 4 2 4 2" xfId="27814"/>
    <cellStyle name="40% - Accent1 3 2 4 2 4 2" xfId="27815"/>
    <cellStyle name="60% - Accent1 3 2 4 2 4 2" xfId="27816"/>
    <cellStyle name="20% - Accent2 3 2 4 2 4 2" xfId="27817"/>
    <cellStyle name="40% - Accent2 3 2 4 2 4 2" xfId="27818"/>
    <cellStyle name="60% - Accent2 3 2 4 2 4 2" xfId="27819"/>
    <cellStyle name="20% - Accent3 3 2 4 2 4 2" xfId="27820"/>
    <cellStyle name="40% - Accent3 3 2 4 2 4 2" xfId="27821"/>
    <cellStyle name="60% - Accent3 3 2 4 2 4 2" xfId="27822"/>
    <cellStyle name="20% - Accent4 3 2 4 2 4 2" xfId="27823"/>
    <cellStyle name="40% - Accent4 3 2 4 2 4 2" xfId="27824"/>
    <cellStyle name="60% - Accent4 3 2 4 2 4 2" xfId="27825"/>
    <cellStyle name="20% - Accent5 3 2 4 2 4 2" xfId="27826"/>
    <cellStyle name="40% - Accent5 3 2 4 2 4 2" xfId="27827"/>
    <cellStyle name="60% - Accent5 3 2 4 2 4 2" xfId="27828"/>
    <cellStyle name="20% - Accent6 3 2 4 2 4 2" xfId="27829"/>
    <cellStyle name="40% - Accent6 3 2 4 2 4 2" xfId="27830"/>
    <cellStyle name="60% - Accent6 3 2 4 2 4 2" xfId="27831"/>
    <cellStyle name="Normal 3 2 3 2 4 2 4 2" xfId="27832"/>
    <cellStyle name="Normal 3 3 3 2 4 2 4 2" xfId="27833"/>
    <cellStyle name="Normal 3 4 3 2 4 2 4 2" xfId="27834"/>
    <cellStyle name="Normal 3 5 3 2 4 2 4 2" xfId="27835"/>
    <cellStyle name="Normal 3 2 2 2 2 4 2 4 2" xfId="27836"/>
    <cellStyle name="Normal 3 3 2 2 2 4 2 4 2" xfId="27837"/>
    <cellStyle name="Normal 3 4 2 2 2 4 2 4 2" xfId="27838"/>
    <cellStyle name="Normal 3 5 2 2 2 4 2 4 2" xfId="27839"/>
    <cellStyle name="Normal 5 2 2 4 2 4 2" xfId="27840"/>
    <cellStyle name="Percent 3 2 2 4 2 4 2" xfId="27841"/>
    <cellStyle name="Note 2 2 2 4 2 4 2" xfId="27842"/>
    <cellStyle name="Normal 3 6 2 2 4 2 4 2" xfId="27843"/>
    <cellStyle name="Comma 2 3 2 4 3 4 2" xfId="27844"/>
    <cellStyle name="Comma 3 2 2 4 3 4 2" xfId="27845"/>
    <cellStyle name="Percent 4 2 2 4 2 4 2" xfId="27846"/>
    <cellStyle name="Normal 3 7 2 2 4 2 4 2" xfId="27847"/>
    <cellStyle name="Note 3 2 2 4 2 4 2" xfId="27848"/>
    <cellStyle name="20% - Accent1 2 2 2 4 2 4 2" xfId="27849"/>
    <cellStyle name="40% - Accent1 2 2 2 4 2 4 2" xfId="27850"/>
    <cellStyle name="60% - Accent1 2 2 2 4 2 4 2" xfId="27851"/>
    <cellStyle name="20% - Accent2 2 2 2 4 2 4 2" xfId="27852"/>
    <cellStyle name="40% - Accent2 2 2 2 4 2 4 2" xfId="27853"/>
    <cellStyle name="60% - Accent2 2 2 2 4 2 4 2" xfId="27854"/>
    <cellStyle name="20% - Accent3 2 2 2 4 2 4 2" xfId="27855"/>
    <cellStyle name="40% - Accent3 2 2 2 4 2 4 2" xfId="27856"/>
    <cellStyle name="60% - Accent3 2 2 2 4 2 4 2" xfId="27857"/>
    <cellStyle name="20% - Accent4 2 2 2 4 2 4 2" xfId="27858"/>
    <cellStyle name="40% - Accent4 2 2 2 4 2 4 2" xfId="27859"/>
    <cellStyle name="60% - Accent4 2 2 2 4 2 4 2" xfId="27860"/>
    <cellStyle name="20% - Accent5 2 2 2 4 2 4 2" xfId="27861"/>
    <cellStyle name="40% - Accent5 2 2 2 4 2 4 2" xfId="27862"/>
    <cellStyle name="60% - Accent5 2 2 2 4 2 4 2" xfId="27863"/>
    <cellStyle name="20% - Accent6 2 2 2 4 2 4 2" xfId="27864"/>
    <cellStyle name="40% - Accent6 2 2 2 4 2 4 2" xfId="27865"/>
    <cellStyle name="60% - Accent6 2 2 2 4 2 4 2" xfId="27866"/>
    <cellStyle name="Comma 2 2 2 2 4 3 4 2" xfId="27867"/>
    <cellStyle name="Comma 4 2 2 4 3 4 2" xfId="27868"/>
    <cellStyle name="Normal 3 8 2 2 4 2 4 2" xfId="27869"/>
    <cellStyle name="Normal 3 10 4 2 4 2" xfId="27870"/>
    <cellStyle name="Normal 3 11 4 2 4 2" xfId="27871"/>
    <cellStyle name="Normal 12 2 4 2" xfId="27872"/>
    <cellStyle name="Percent 8 2 4 2" xfId="27873"/>
    <cellStyle name="Note 4 2 4 2" xfId="27874"/>
    <cellStyle name="20% - Accent1 8 2 4 2" xfId="27875"/>
    <cellStyle name="40% - Accent1 8 2 4 2" xfId="27876"/>
    <cellStyle name="60% - Accent1 8 2 4 2" xfId="27877"/>
    <cellStyle name="20% - Accent2 8 2 4 2" xfId="27878"/>
    <cellStyle name="40% - Accent2 8 2 4 2" xfId="27879"/>
    <cellStyle name="60% - Accent2 8 2 4 2" xfId="27880"/>
    <cellStyle name="20% - Accent3 8 2 4 2" xfId="27881"/>
    <cellStyle name="40% - Accent3 8 2 4 2" xfId="27882"/>
    <cellStyle name="60% - Accent3 8 2 4 2" xfId="27883"/>
    <cellStyle name="20% - Accent4 8 2 4 2" xfId="27884"/>
    <cellStyle name="40% - Accent4 8 2 4 2" xfId="27885"/>
    <cellStyle name="60% - Accent4 8 2 4 2" xfId="27886"/>
    <cellStyle name="20% - Accent5 8 2 4 2" xfId="27887"/>
    <cellStyle name="40% - Accent5 8 2 4 2" xfId="27888"/>
    <cellStyle name="60% - Accent5 8 2 4 2" xfId="27889"/>
    <cellStyle name="20% - Accent6 8 2 4 2" xfId="27890"/>
    <cellStyle name="40% - Accent6 8 2 4 2" xfId="27891"/>
    <cellStyle name="60% - Accent6 8 2 4 2" xfId="27892"/>
    <cellStyle name="Comma 2 9 3 4 2" xfId="27893"/>
    <cellStyle name="Comma 7 3 4 2" xfId="27894"/>
    <cellStyle name="Normal 13 4 4 2" xfId="27895"/>
    <cellStyle name="Comma 8 2 4 2" xfId="27896"/>
    <cellStyle name="20% - Accent1 9 2 4 2" xfId="27897"/>
    <cellStyle name="40% - Accent1 9 2 4 2" xfId="27898"/>
    <cellStyle name="60% - Accent1 9 2 4 2" xfId="27899"/>
    <cellStyle name="20% - Accent2 9 2 4 2" xfId="27900"/>
    <cellStyle name="40% - Accent2 9 2 4 2" xfId="27901"/>
    <cellStyle name="60% - Accent2 9 2 4 2" xfId="27902"/>
    <cellStyle name="20% - Accent3 9 2 4 2" xfId="27903"/>
    <cellStyle name="40% - Accent3 9 2 4 2" xfId="27904"/>
    <cellStyle name="60% - Accent3 9 2 4 2" xfId="27905"/>
    <cellStyle name="20% - Accent4 9 2 4 2" xfId="27906"/>
    <cellStyle name="40% - Accent4 9 2 4 2" xfId="27907"/>
    <cellStyle name="60% - Accent4 9 2 4 2" xfId="27908"/>
    <cellStyle name="20% - Accent5 9 2 4 2" xfId="27909"/>
    <cellStyle name="40% - Accent5 9 2 4 2" xfId="27910"/>
    <cellStyle name="60% - Accent5 9 2 4 2" xfId="27911"/>
    <cellStyle name="20% - Accent6 9 2 4 2" xfId="27912"/>
    <cellStyle name="40% - Accent6 9 2 4 2" xfId="27913"/>
    <cellStyle name="60% - Accent6 9 2 4 2" xfId="27914"/>
    <cellStyle name="Normal 3 2 8 2 4 2" xfId="27915"/>
    <cellStyle name="Normal 3 3 8 2 4 2" xfId="27916"/>
    <cellStyle name="Normal 3 4 8 2 4 2" xfId="27917"/>
    <cellStyle name="Normal 3 5 8 2 4 2" xfId="27918"/>
    <cellStyle name="Normal 3 2 2 7 2 4 2" xfId="27919"/>
    <cellStyle name="Normal 3 3 2 7 2 4 2" xfId="27920"/>
    <cellStyle name="Normal 3 4 2 7 2 4 2" xfId="27921"/>
    <cellStyle name="Normal 3 5 2 7 2 4 2" xfId="27922"/>
    <cellStyle name="Normal 5 7 2 4 2" xfId="27923"/>
    <cellStyle name="Percent 3 7 2 4 2" xfId="27924"/>
    <cellStyle name="Note 2 7 2 4 2" xfId="27925"/>
    <cellStyle name="Normal 3 6 7 2 4 2" xfId="27926"/>
    <cellStyle name="Comma 2 10 2 4 2" xfId="27927"/>
    <cellStyle name="Comma 3 9 2 4 2" xfId="27928"/>
    <cellStyle name="Percent 4 7 2 4 2" xfId="27929"/>
    <cellStyle name="Normal 3 7 7 2 4 2" xfId="27930"/>
    <cellStyle name="Note 3 7 2 4 2" xfId="27931"/>
    <cellStyle name="20% - Accent1 2 7 2 4 2" xfId="27932"/>
    <cellStyle name="40% - Accent1 2 7 2 4 2" xfId="27933"/>
    <cellStyle name="60% - Accent1 2 7 2 4 2" xfId="27934"/>
    <cellStyle name="20% - Accent2 2 7 2 4 2" xfId="27935"/>
    <cellStyle name="40% - Accent2 2 7 2 4 2" xfId="27936"/>
    <cellStyle name="60% - Accent2 2 7 2 4 2" xfId="27937"/>
    <cellStyle name="20% - Accent3 2 7 2 4 2" xfId="27938"/>
    <cellStyle name="40% - Accent3 2 7 2 4 2" xfId="27939"/>
    <cellStyle name="60% - Accent3 2 7 2 4 2" xfId="27940"/>
    <cellStyle name="20% - Accent4 2 7 2 4 2" xfId="27941"/>
    <cellStyle name="40% - Accent4 2 7 2 4 2" xfId="27942"/>
    <cellStyle name="60% - Accent4 2 7 2 4 2" xfId="27943"/>
    <cellStyle name="20% - Accent5 2 7 2 4 2" xfId="27944"/>
    <cellStyle name="40% - Accent5 2 7 2 4 2" xfId="27945"/>
    <cellStyle name="60% - Accent5 2 7 2 4 2" xfId="27946"/>
    <cellStyle name="20% - Accent6 2 7 2 4 2" xfId="27947"/>
    <cellStyle name="40% - Accent6 2 7 2 4 2" xfId="27948"/>
    <cellStyle name="60% - Accent6 2 7 2 4 2" xfId="27949"/>
    <cellStyle name="Comma 2 2 8 2 4 2" xfId="27950"/>
    <cellStyle name="Comma 4 8 2 4 2" xfId="27951"/>
    <cellStyle name="Normal 3 8 7 2 4 2" xfId="27952"/>
    <cellStyle name="Comma 2 4 5 2 4 2" xfId="27953"/>
    <cellStyle name="Comma 3 3 5 2 4 2" xfId="27954"/>
    <cellStyle name="Comma 2 2 3 5 2 4 2" xfId="27955"/>
    <cellStyle name="Comma 4 3 5 2 4 2" xfId="27956"/>
    <cellStyle name="Normal 7 6 2 4 2" xfId="27957"/>
    <cellStyle name="Comma 5 6 2 4 2" xfId="27958"/>
    <cellStyle name="20% - Accent1 3 6 2 4 2" xfId="27959"/>
    <cellStyle name="40% - Accent1 3 6 2 4 2" xfId="27960"/>
    <cellStyle name="60% - Accent1 3 6 2 4 2" xfId="27961"/>
    <cellStyle name="20% - Accent2 3 6 2 4 2" xfId="27962"/>
    <cellStyle name="40% - Accent2 3 6 2 4 2" xfId="27963"/>
    <cellStyle name="60% - Accent2 3 6 2 4 2" xfId="27964"/>
    <cellStyle name="20% - Accent3 3 6 2 4 2" xfId="27965"/>
    <cellStyle name="40% - Accent3 3 6 2 4 2" xfId="27966"/>
    <cellStyle name="60% - Accent3 3 6 2 4 2" xfId="27967"/>
    <cellStyle name="20% - Accent4 3 6 2 4 2" xfId="27968"/>
    <cellStyle name="40% - Accent4 3 6 2 4 2" xfId="27969"/>
    <cellStyle name="60% - Accent4 3 6 2 4 2" xfId="27970"/>
    <cellStyle name="20% - Accent5 3 6 2 4 2" xfId="27971"/>
    <cellStyle name="40% - Accent5 3 6 2 4 2" xfId="27972"/>
    <cellStyle name="60% - Accent5 3 6 2 4 2" xfId="27973"/>
    <cellStyle name="20% - Accent6 3 6 2 4 2" xfId="27974"/>
    <cellStyle name="40% - Accent6 3 6 2 4 2" xfId="27975"/>
    <cellStyle name="60% - Accent6 3 6 2 4 2" xfId="27976"/>
    <cellStyle name="Normal 3 2 3 6 2 4 2" xfId="27977"/>
    <cellStyle name="Normal 3 3 3 6 2 4 2" xfId="27978"/>
    <cellStyle name="Normal 3 4 3 6 2 4 2" xfId="27979"/>
    <cellStyle name="Normal 3 5 3 6 2 4 2" xfId="27980"/>
    <cellStyle name="Normal 3 2 2 2 6 2 4 2" xfId="27981"/>
    <cellStyle name="Normal 3 3 2 2 6 2 4 2" xfId="27982"/>
    <cellStyle name="Normal 3 4 2 2 6 2 4 2" xfId="27983"/>
    <cellStyle name="Normal 3 5 2 2 6 2 4 2" xfId="27984"/>
    <cellStyle name="Normal 5 2 6 2 4 2" xfId="27985"/>
    <cellStyle name="Percent 3 2 6 2 4 2" xfId="27986"/>
    <cellStyle name="Note 2 2 6 2 4 2" xfId="27987"/>
    <cellStyle name="Normal 3 6 2 6 2 4 2" xfId="27988"/>
    <cellStyle name="Comma 2 3 6 2 4 2" xfId="27989"/>
    <cellStyle name="Comma 3 2 6 2 4 2" xfId="27990"/>
    <cellStyle name="Percent 4 2 6 2 4 2" xfId="27991"/>
    <cellStyle name="Normal 3 7 2 6 2 4 2" xfId="27992"/>
    <cellStyle name="Note 3 2 6 2 4 2" xfId="27993"/>
    <cellStyle name="20% - Accent1 2 2 6 2 4 2" xfId="27994"/>
    <cellStyle name="40% - Accent1 2 2 6 2 4 2" xfId="27995"/>
    <cellStyle name="60% - Accent1 2 2 6 2 4 2" xfId="27996"/>
    <cellStyle name="20% - Accent2 2 2 6 2 4 2" xfId="27997"/>
    <cellStyle name="40% - Accent2 2 2 6 2 4 2" xfId="27998"/>
    <cellStyle name="60% - Accent2 2 2 6 2 4 2" xfId="27999"/>
    <cellStyle name="20% - Accent3 2 2 6 2 4 2" xfId="28000"/>
    <cellStyle name="40% - Accent3 2 2 6 2 4 2" xfId="28001"/>
    <cellStyle name="60% - Accent3 2 2 6 2 4 2" xfId="28002"/>
    <cellStyle name="20% - Accent4 2 2 6 2 4 2" xfId="28003"/>
    <cellStyle name="40% - Accent4 2 2 6 2 4 2" xfId="28004"/>
    <cellStyle name="60% - Accent4 2 2 6 2 4 2" xfId="28005"/>
    <cellStyle name="20% - Accent5 2 2 6 2 4 2" xfId="28006"/>
    <cellStyle name="40% - Accent5 2 2 6 2 4 2" xfId="28007"/>
    <cellStyle name="60% - Accent5 2 2 6 2 4 2" xfId="28008"/>
    <cellStyle name="20% - Accent6 2 2 6 2 4 2" xfId="28009"/>
    <cellStyle name="40% - Accent6 2 2 6 2 4 2" xfId="28010"/>
    <cellStyle name="60% - Accent6 2 2 6 2 4 2" xfId="28011"/>
    <cellStyle name="Comma 2 2 2 6 2 4 2" xfId="28012"/>
    <cellStyle name="Comma 4 2 6 2 4 2" xfId="28013"/>
    <cellStyle name="Normal 3 8 2 6 2 4 2" xfId="28014"/>
    <cellStyle name="Comma 2 11 4 2" xfId="28015"/>
    <cellStyle name="Comma 3 10 4 2" xfId="28016"/>
    <cellStyle name="Comma 2 2 9 4 2" xfId="28017"/>
    <cellStyle name="Comma 4 9 4 2" xfId="28018"/>
    <cellStyle name="Comma 5 7 4 2" xfId="28019"/>
    <cellStyle name="Comma 2 3 7 4 2" xfId="28020"/>
    <cellStyle name="Comma 3 2 7 4 2" xfId="28021"/>
    <cellStyle name="Comma 2 2 2 7 4 2" xfId="28022"/>
    <cellStyle name="Comma 4 2 7 4 2" xfId="28023"/>
    <cellStyle name="Comma 6 5 4 2" xfId="28024"/>
    <cellStyle name="Comma 2 5 5 4 2" xfId="28025"/>
    <cellStyle name="Comma 3 4 5 4 2" xfId="28026"/>
    <cellStyle name="Comma 2 2 4 5 4 2" xfId="28027"/>
    <cellStyle name="Comma 4 4 5 4 2" xfId="28028"/>
    <cellStyle name="Comma 2 4 6 4 2" xfId="28029"/>
    <cellStyle name="Comma 3 3 6 4 2" xfId="28030"/>
    <cellStyle name="Comma 2 2 3 6 4 2" xfId="28031"/>
    <cellStyle name="Comma 4 3 6 4 2" xfId="28032"/>
    <cellStyle name="Comma 5 2 5 4 2" xfId="28033"/>
    <cellStyle name="Comma 2 3 2 5 4 2" xfId="28034"/>
    <cellStyle name="Comma 3 2 2 5 4 2" xfId="28035"/>
    <cellStyle name="Comma 2 2 2 2 5 4 2" xfId="28036"/>
    <cellStyle name="Comma 4 2 2 5 4 2" xfId="28037"/>
    <cellStyle name="Comma 2 6 3 4 2" xfId="28038"/>
    <cellStyle name="Comma 3 5 3 4 2" xfId="28039"/>
    <cellStyle name="Comma 2 2 5 3 4 2" xfId="28040"/>
    <cellStyle name="Comma 4 5 3 4 2" xfId="28041"/>
    <cellStyle name="Comma 5 3 3 4 2" xfId="28042"/>
    <cellStyle name="Comma 2 3 3 3 4 2" xfId="28043"/>
    <cellStyle name="Comma 3 2 3 3 4 2" xfId="28044"/>
    <cellStyle name="Comma 2 2 2 3 3 4 2" xfId="28045"/>
    <cellStyle name="Comma 4 2 3 3 4 2" xfId="28046"/>
    <cellStyle name="Comma 6 2 3 4 2" xfId="28047"/>
    <cellStyle name="Comma 2 5 2 3 4 2" xfId="28048"/>
    <cellStyle name="Comma 3 4 2 3 4 2" xfId="28049"/>
    <cellStyle name="Comma 2 2 4 2 3 4 2" xfId="28050"/>
    <cellStyle name="Comma 4 4 2 3 4 2" xfId="28051"/>
    <cellStyle name="Comma 2 4 2 3 4 2" xfId="28052"/>
    <cellStyle name="Comma 3 3 2 3 4 2" xfId="28053"/>
    <cellStyle name="Comma 2 2 3 2 3 4 2" xfId="28054"/>
    <cellStyle name="Comma 4 3 2 3 4 2" xfId="28055"/>
    <cellStyle name="Comma 5 2 2 3 4 2" xfId="28056"/>
    <cellStyle name="Comma 2 3 2 2 3 4 2" xfId="28057"/>
    <cellStyle name="Comma 3 2 2 2 3 4 2" xfId="28058"/>
    <cellStyle name="Comma 2 2 2 2 2 3 4 2" xfId="28059"/>
    <cellStyle name="Comma 4 2 2 2 3 4 2" xfId="28060"/>
    <cellStyle name="Comma 2 7 2 4 2" xfId="28061"/>
    <cellStyle name="Comma 3 7 2 4 2" xfId="28062"/>
    <cellStyle name="Comma 2 2 6 2 4 2" xfId="28063"/>
    <cellStyle name="Comma 4 6 2 4 2" xfId="28064"/>
    <cellStyle name="Comma 5 4 2 4 2" xfId="28065"/>
    <cellStyle name="Comma 2 3 4 2 4 2" xfId="28066"/>
    <cellStyle name="Comma 3 2 4 2 4 2" xfId="28067"/>
    <cellStyle name="Comma 2 2 2 4 2 4 2" xfId="28068"/>
    <cellStyle name="Comma 4 2 4 2 4 2" xfId="28069"/>
    <cellStyle name="Comma 6 3 2 4 2" xfId="28070"/>
    <cellStyle name="Comma 2 5 3 2 4 2" xfId="28071"/>
    <cellStyle name="Comma 3 4 3 2 4 2" xfId="28072"/>
    <cellStyle name="Comma 2 2 4 3 2 4 2" xfId="28073"/>
    <cellStyle name="Comma 4 4 3 2 4 2" xfId="28074"/>
    <cellStyle name="Comma 2 4 3 2 4 2" xfId="28075"/>
    <cellStyle name="Comma 3 3 3 2 4 2" xfId="28076"/>
    <cellStyle name="Comma 2 2 3 3 2 4 2" xfId="28077"/>
    <cellStyle name="Comma 4 3 3 2 4 2" xfId="28078"/>
    <cellStyle name="Comma 5 2 3 2 4 2" xfId="28079"/>
    <cellStyle name="Comma 2 3 2 3 2 4 2" xfId="28080"/>
    <cellStyle name="Comma 3 2 2 3 2 4 2" xfId="28081"/>
    <cellStyle name="Comma 2 2 2 2 3 2 4 2" xfId="28082"/>
    <cellStyle name="Comma 4 2 2 3 2 4 2" xfId="28083"/>
    <cellStyle name="Comma 3 6 2 4 2" xfId="28084"/>
    <cellStyle name="Comma 2 6 2 2 4 2" xfId="28085"/>
    <cellStyle name="Comma 3 5 2 2 4 2" xfId="28086"/>
    <cellStyle name="Comma 2 2 5 2 2 4 2" xfId="28087"/>
    <cellStyle name="Comma 4 5 2 2 4 2" xfId="28088"/>
    <cellStyle name="Comma 5 3 2 2 4 2" xfId="28089"/>
    <cellStyle name="Comma 2 3 3 2 2 4 2" xfId="28090"/>
    <cellStyle name="Comma 3 2 3 2 2 4 2" xfId="28091"/>
    <cellStyle name="Comma 2 2 2 3 2 2 4 2" xfId="28092"/>
    <cellStyle name="Comma 4 2 3 2 2 4 2" xfId="28093"/>
    <cellStyle name="Comma 6 2 2 2 4 2" xfId="28094"/>
    <cellStyle name="Comma 2 5 2 2 2 4 2" xfId="28095"/>
    <cellStyle name="Comma 3 4 2 2 2 4 2" xfId="28096"/>
    <cellStyle name="Comma 2 2 4 2 2 2 4 2" xfId="28097"/>
    <cellStyle name="Comma 4 4 2 2 2 4 2" xfId="28098"/>
    <cellStyle name="Comma 2 4 2 2 2 4 2" xfId="28099"/>
    <cellStyle name="Comma 3 3 2 2 2 4 2" xfId="28100"/>
    <cellStyle name="Comma 2 2 3 2 2 2 4 2" xfId="28101"/>
    <cellStyle name="Comma 4 3 2 2 2 4 2" xfId="28102"/>
    <cellStyle name="Comma 5 2 2 2 2 4 2" xfId="28103"/>
    <cellStyle name="Comma 2 3 2 2 2 2 4 2" xfId="28104"/>
    <cellStyle name="Comma 3 2 2 2 2 2 4 2" xfId="28105"/>
    <cellStyle name="Comma 2 2 2 2 2 2 2 4 2" xfId="28106"/>
    <cellStyle name="Comma 4 2 2 2 2 2 4 2" xfId="28107"/>
    <cellStyle name="Comma 2 8 2 4 2" xfId="28108"/>
    <cellStyle name="Comma 3 8 2 4 2" xfId="28109"/>
    <cellStyle name="Comma 2 2 7 2 4 2" xfId="28110"/>
    <cellStyle name="Comma 4 7 2 4 2" xfId="28111"/>
    <cellStyle name="Comma 5 5 2 4 2" xfId="28112"/>
    <cellStyle name="Comma 2 3 5 2 4 2" xfId="28113"/>
    <cellStyle name="Comma 3 2 5 2 4 2" xfId="28114"/>
    <cellStyle name="Comma 2 2 2 5 2 4 2" xfId="28115"/>
    <cellStyle name="Comma 4 2 5 2 4 2" xfId="28116"/>
    <cellStyle name="Comma 6 4 2 4 2" xfId="28117"/>
    <cellStyle name="Comma 2 5 4 2 4 2" xfId="28118"/>
    <cellStyle name="Comma 3 4 4 2 4 2" xfId="28119"/>
    <cellStyle name="Comma 2 2 4 4 2 4 2" xfId="28120"/>
    <cellStyle name="Comma 4 4 4 2 4 2" xfId="28121"/>
    <cellStyle name="Comma 2 4 4 2 4 2" xfId="28122"/>
    <cellStyle name="Comma 3 3 4 2 4 2" xfId="28123"/>
    <cellStyle name="Comma 2 2 3 4 2 4 2" xfId="28124"/>
    <cellStyle name="Comma 4 3 4 2 4 2" xfId="28125"/>
    <cellStyle name="Comma 5 2 4 2 4 2" xfId="28126"/>
    <cellStyle name="Comma 2 3 2 4 2 4 2" xfId="28127"/>
    <cellStyle name="Comma 3 2 2 4 2 4 2" xfId="28128"/>
    <cellStyle name="Comma 2 2 2 2 4 2 4 2" xfId="28129"/>
    <cellStyle name="Comma 4 2 2 4 2 4 2" xfId="28130"/>
    <cellStyle name="Comma 2 9 2 4 2" xfId="28131"/>
    <cellStyle name="Comma 7 2 4 2" xfId="28132"/>
    <cellStyle name="Normal 13 2 4 2" xfId="28133"/>
    <cellStyle name="Normal 6 3 4 2" xfId="28134"/>
    <cellStyle name="Percent 5 3 4 2" xfId="28135"/>
    <cellStyle name="Normal 15 2 2" xfId="28136"/>
    <cellStyle name="20% - Accent1 11 2 2" xfId="28137"/>
    <cellStyle name="40% - Accent1 11 2 2" xfId="28138"/>
    <cellStyle name="60% - Accent1 11 2 2" xfId="28139"/>
    <cellStyle name="20% - Accent2 11 2 2" xfId="28140"/>
    <cellStyle name="40% - Accent2 11 2 2" xfId="28141"/>
    <cellStyle name="60% - Accent2 11 2 2" xfId="28142"/>
    <cellStyle name="20% - Accent3 11 2 2" xfId="28143"/>
    <cellStyle name="40% - Accent3 11 2 2" xfId="28144"/>
    <cellStyle name="60% - Accent3 11 2 2" xfId="28145"/>
    <cellStyle name="20% - Accent4 11 2 2" xfId="28146"/>
    <cellStyle name="40% - Accent4 11 2 2" xfId="28147"/>
    <cellStyle name="60% - Accent4 11 2 2" xfId="28148"/>
    <cellStyle name="20% - Accent5 11 2 2" xfId="28149"/>
    <cellStyle name="40% - Accent5 11 2 2" xfId="28150"/>
    <cellStyle name="60% - Accent5 11 2 2" xfId="28151"/>
    <cellStyle name="20% - Accent6 11 2 2" xfId="28152"/>
    <cellStyle name="40% - Accent6 11 2 2" xfId="28153"/>
    <cellStyle name="60% - Accent6 11 2 2" xfId="28154"/>
    <cellStyle name="Normal 3 2 10 2 2" xfId="28155"/>
    <cellStyle name="Normal 3 3 10 2 2" xfId="28156"/>
    <cellStyle name="Normal 3 4 10 2 2" xfId="28157"/>
    <cellStyle name="Normal 3 5 10 2 2" xfId="28158"/>
    <cellStyle name="Normal 3 2 2 9 2 2" xfId="28159"/>
    <cellStyle name="Normal 3 3 2 9 2 2" xfId="28160"/>
    <cellStyle name="Normal 3 4 2 9 2 2" xfId="28161"/>
    <cellStyle name="Normal 3 5 2 9 2 2" xfId="28162"/>
    <cellStyle name="Normal 5 9 2 2" xfId="28163"/>
    <cellStyle name="Percent 3 9 2 2" xfId="28164"/>
    <cellStyle name="Note 2 9 2 2" xfId="28165"/>
    <cellStyle name="Normal 3 6 9 2 2" xfId="28166"/>
    <cellStyle name="Comma 2 13 2 2" xfId="28167"/>
    <cellStyle name="Comma 3 12 2 2" xfId="28168"/>
    <cellStyle name="Percent 4 9 2 2" xfId="28169"/>
    <cellStyle name="Normal 3 7 9 2 2" xfId="28170"/>
    <cellStyle name="Note 3 9 2 2" xfId="28171"/>
    <cellStyle name="20% - Accent1 2 9 2 2" xfId="28172"/>
    <cellStyle name="40% - Accent1 2 9 2 2" xfId="28173"/>
    <cellStyle name="60% - Accent1 2 9 2 2" xfId="28174"/>
    <cellStyle name="20% - Accent2 2 9 2 2" xfId="28175"/>
    <cellStyle name="40% - Accent2 2 9 2 2" xfId="28176"/>
    <cellStyle name="60% - Accent2 2 9 2 2" xfId="28177"/>
    <cellStyle name="20% - Accent3 2 9 2 2" xfId="28178"/>
    <cellStyle name="40% - Accent3 2 9 2 2" xfId="28179"/>
    <cellStyle name="60% - Accent3 2 9 2 2" xfId="28180"/>
    <cellStyle name="20% - Accent4 2 9 2 2" xfId="28181"/>
    <cellStyle name="40% - Accent4 2 9 2 2" xfId="28182"/>
    <cellStyle name="60% - Accent4 2 9 2 2" xfId="28183"/>
    <cellStyle name="20% - Accent5 2 9 2 2" xfId="28184"/>
    <cellStyle name="40% - Accent5 2 9 2 2" xfId="28185"/>
    <cellStyle name="60% - Accent5 2 9 2 2" xfId="28186"/>
    <cellStyle name="20% - Accent6 2 9 2 2" xfId="28187"/>
    <cellStyle name="40% - Accent6 2 9 2 2" xfId="28188"/>
    <cellStyle name="60% - Accent6 2 9 2 2" xfId="28189"/>
    <cellStyle name="Comma 2 2 11 2 2" xfId="28190"/>
    <cellStyle name="Comma 4 11 2 2" xfId="28191"/>
    <cellStyle name="Normal 3 8 9 2 2" xfId="28192"/>
    <cellStyle name="Normal 7 8 2 2" xfId="28193"/>
    <cellStyle name="Comma 5 9 2 2" xfId="28194"/>
    <cellStyle name="20% - Accent1 3 8 2 2" xfId="28195"/>
    <cellStyle name="40% - Accent1 3 8 2 2" xfId="28196"/>
    <cellStyle name="60% - Accent1 3 8 2 2" xfId="28197"/>
    <cellStyle name="20% - Accent2 3 8 2 2" xfId="28198"/>
    <cellStyle name="40% - Accent2 3 8 2 2" xfId="28199"/>
    <cellStyle name="60% - Accent2 3 8 2 2" xfId="28200"/>
    <cellStyle name="20% - Accent3 3 8 2 2" xfId="28201"/>
    <cellStyle name="40% - Accent3 3 8 2 2" xfId="28202"/>
    <cellStyle name="60% - Accent3 3 8 2 2" xfId="28203"/>
    <cellStyle name="20% - Accent4 3 8 2 2" xfId="28204"/>
    <cellStyle name="40% - Accent4 3 8 2 2" xfId="28205"/>
    <cellStyle name="60% - Accent4 3 8 2 2" xfId="28206"/>
    <cellStyle name="20% - Accent5 3 8 2 2" xfId="28207"/>
    <cellStyle name="40% - Accent5 3 8 2 2" xfId="28208"/>
    <cellStyle name="60% - Accent5 3 8 2 2" xfId="28209"/>
    <cellStyle name="20% - Accent6 3 8 2 2" xfId="28210"/>
    <cellStyle name="40% - Accent6 3 8 2 2" xfId="28211"/>
    <cellStyle name="60% - Accent6 3 8 2 2" xfId="28212"/>
    <cellStyle name="Normal 3 2 3 8 2 2" xfId="28213"/>
    <cellStyle name="Normal 3 3 3 8 2 2" xfId="28214"/>
    <cellStyle name="Normal 3 4 3 8 2 2" xfId="28215"/>
    <cellStyle name="Normal 3 5 3 8 2 2" xfId="28216"/>
    <cellStyle name="Normal 3 2 2 2 8 2 2" xfId="28217"/>
    <cellStyle name="Normal 3 3 2 2 8 2 2" xfId="28218"/>
    <cellStyle name="Normal 3 4 2 2 8 2 2" xfId="28219"/>
    <cellStyle name="Normal 3 5 2 2 8 2 2" xfId="28220"/>
    <cellStyle name="Normal 5 2 8 2 2" xfId="28221"/>
    <cellStyle name="Percent 3 2 8 2 2" xfId="28222"/>
    <cellStyle name="Note 2 2 8 2 2" xfId="28223"/>
    <cellStyle name="Normal 3 6 2 8 2 2" xfId="28224"/>
    <cellStyle name="Comma 2 3 9 2 2" xfId="28225"/>
    <cellStyle name="Comma 3 2 9 2 2" xfId="28226"/>
    <cellStyle name="Percent 4 2 8 2 2" xfId="28227"/>
    <cellStyle name="Normal 3 7 2 8 2 2" xfId="28228"/>
    <cellStyle name="Note 3 2 8 2 2" xfId="28229"/>
    <cellStyle name="20% - Accent1 2 2 8 2 2" xfId="28230"/>
    <cellStyle name="40% - Accent1 2 2 8 2 2" xfId="28231"/>
    <cellStyle name="60% - Accent1 2 2 8 2 2" xfId="28232"/>
    <cellStyle name="20% - Accent2 2 2 8 2 2" xfId="28233"/>
    <cellStyle name="40% - Accent2 2 2 8 2 2" xfId="28234"/>
    <cellStyle name="60% - Accent2 2 2 8 2 2" xfId="28235"/>
    <cellStyle name="20% - Accent3 2 2 8 2 2" xfId="28236"/>
    <cellStyle name="40% - Accent3 2 2 8 2 2" xfId="28237"/>
    <cellStyle name="60% - Accent3 2 2 8 2 2" xfId="28238"/>
    <cellStyle name="20% - Accent4 2 2 8 2 2" xfId="28239"/>
    <cellStyle name="40% - Accent4 2 2 8 2 2" xfId="28240"/>
    <cellStyle name="60% - Accent4 2 2 8 2 2" xfId="28241"/>
    <cellStyle name="20% - Accent5 2 2 8 2 2" xfId="28242"/>
    <cellStyle name="40% - Accent5 2 2 8 2 2" xfId="28243"/>
    <cellStyle name="60% - Accent5 2 2 8 2 2" xfId="28244"/>
    <cellStyle name="20% - Accent6 2 2 8 2 2" xfId="28245"/>
    <cellStyle name="40% - Accent6 2 2 8 2 2" xfId="28246"/>
    <cellStyle name="60% - Accent6 2 2 8 2 2" xfId="28247"/>
    <cellStyle name="Comma 2 2 2 9 2 2" xfId="28248"/>
    <cellStyle name="Comma 4 2 9 2 2" xfId="28249"/>
    <cellStyle name="Normal 3 8 2 8 2 2" xfId="28250"/>
    <cellStyle name="Normal 8 6 2 2" xfId="28251"/>
    <cellStyle name="Comma 6 7 2 2" xfId="28252"/>
    <cellStyle name="20% - Accent1 4 6 2 2" xfId="28253"/>
    <cellStyle name="40% - Accent1 4 6 2 2" xfId="28254"/>
    <cellStyle name="60% - Accent1 4 6 2 2" xfId="28255"/>
    <cellStyle name="20% - Accent2 4 6 2 2" xfId="28256"/>
    <cellStyle name="40% - Accent2 4 6 2 2" xfId="28257"/>
    <cellStyle name="60% - Accent2 4 6 2 2" xfId="28258"/>
    <cellStyle name="20% - Accent3 4 6 2 2" xfId="28259"/>
    <cellStyle name="40% - Accent3 4 6 2 2" xfId="28260"/>
    <cellStyle name="60% - Accent3 4 6 2 2" xfId="28261"/>
    <cellStyle name="20% - Accent4 4 6 2 2" xfId="28262"/>
    <cellStyle name="40% - Accent4 4 6 2 2" xfId="28263"/>
    <cellStyle name="60% - Accent4 4 6 2 2" xfId="28264"/>
    <cellStyle name="20% - Accent5 4 6 2 2" xfId="28265"/>
    <cellStyle name="40% - Accent5 4 6 2 2" xfId="28266"/>
    <cellStyle name="60% - Accent5 4 6 2 2" xfId="28267"/>
    <cellStyle name="20% - Accent6 4 6 2 2" xfId="28268"/>
    <cellStyle name="40% - Accent6 4 6 2 2" xfId="28269"/>
    <cellStyle name="60% - Accent6 4 6 2 2" xfId="28270"/>
    <cellStyle name="Normal 3 2 4 6 2 2" xfId="28271"/>
    <cellStyle name="Normal 3 3 4 6 2 2" xfId="28272"/>
    <cellStyle name="Normal 3 4 4 6 2 2" xfId="28273"/>
    <cellStyle name="Normal 3 5 4 6 2 2" xfId="28274"/>
    <cellStyle name="Normal 3 2 2 3 6 2 2" xfId="28275"/>
    <cellStyle name="Normal 3 3 2 3 6 2 2" xfId="28276"/>
    <cellStyle name="Normal 3 4 2 3 6 2 2" xfId="28277"/>
    <cellStyle name="Normal 3 5 2 3 6 2 2" xfId="28278"/>
    <cellStyle name="Normal 5 3 6 2 2" xfId="28279"/>
    <cellStyle name="Percent 3 3 6 2 2" xfId="28280"/>
    <cellStyle name="Note 2 3 6 2 2" xfId="28281"/>
    <cellStyle name="Normal 3 6 3 6 2 2" xfId="28282"/>
    <cellStyle name="Comma 2 5 7 2 2" xfId="28283"/>
    <cellStyle name="Comma 3 4 7 2 2" xfId="28284"/>
    <cellStyle name="Percent 4 3 6 2 2" xfId="28285"/>
    <cellStyle name="Normal 3 7 3 6 2 2" xfId="28286"/>
    <cellStyle name="Note 3 3 6 2 2" xfId="28287"/>
    <cellStyle name="20% - Accent1 2 3 6 2 2" xfId="28288"/>
    <cellStyle name="40% - Accent1 2 3 6 2 2" xfId="28289"/>
    <cellStyle name="60% - Accent1 2 3 6 2 2" xfId="28290"/>
    <cellStyle name="20% - Accent2 2 3 6 2 2" xfId="28291"/>
    <cellStyle name="40% - Accent2 2 3 6 2 2" xfId="28292"/>
    <cellStyle name="60% - Accent2 2 3 6 2 2" xfId="28293"/>
    <cellStyle name="20% - Accent3 2 3 6 2 2" xfId="28294"/>
    <cellStyle name="40% - Accent3 2 3 6 2 2" xfId="28295"/>
    <cellStyle name="60% - Accent3 2 3 6 2 2" xfId="28296"/>
    <cellStyle name="20% - Accent4 2 3 6 2 2" xfId="28297"/>
    <cellStyle name="40% - Accent4 2 3 6 2 2" xfId="28298"/>
    <cellStyle name="60% - Accent4 2 3 6 2 2" xfId="28299"/>
    <cellStyle name="20% - Accent5 2 3 6 2 2" xfId="28300"/>
    <cellStyle name="40% - Accent5 2 3 6 2 2" xfId="28301"/>
    <cellStyle name="60% - Accent5 2 3 6 2 2" xfId="28302"/>
    <cellStyle name="20% - Accent6 2 3 6 2 2" xfId="28303"/>
    <cellStyle name="40% - Accent6 2 3 6 2 2" xfId="28304"/>
    <cellStyle name="60% - Accent6 2 3 6 2 2" xfId="28305"/>
    <cellStyle name="Comma 2 2 4 7 2 2" xfId="28306"/>
    <cellStyle name="Comma 4 4 7 2 2" xfId="28307"/>
    <cellStyle name="Normal 3 8 3 6 2 2" xfId="28308"/>
    <cellStyle name="Comma 2 4 8 2 2" xfId="28309"/>
    <cellStyle name="Comma 3 3 8 2 2" xfId="28310"/>
    <cellStyle name="Comma 2 2 3 8 2 2" xfId="28311"/>
    <cellStyle name="Comma 4 3 8 2 2" xfId="28312"/>
    <cellStyle name="Normal 7 2 6 2 2" xfId="28313"/>
    <cellStyle name="Comma 5 2 7 2 2" xfId="28314"/>
    <cellStyle name="20% - Accent1 3 2 6 2 2" xfId="28315"/>
    <cellStyle name="40% - Accent1 3 2 6 2 2" xfId="28316"/>
    <cellStyle name="60% - Accent1 3 2 6 2 2" xfId="28317"/>
    <cellStyle name="20% - Accent2 3 2 6 2 2" xfId="28318"/>
    <cellStyle name="40% - Accent2 3 2 6 2 2" xfId="28319"/>
    <cellStyle name="60% - Accent2 3 2 6 2 2" xfId="28320"/>
    <cellStyle name="20% - Accent3 3 2 6 2 2" xfId="28321"/>
    <cellStyle name="40% - Accent3 3 2 6 2 2" xfId="28322"/>
    <cellStyle name="60% - Accent3 3 2 6 2 2" xfId="28323"/>
    <cellStyle name="20% - Accent4 3 2 6 2 2" xfId="28324"/>
    <cellStyle name="40% - Accent4 3 2 6 2 2" xfId="28325"/>
    <cellStyle name="60% - Accent4 3 2 6 2 2" xfId="28326"/>
    <cellStyle name="20% - Accent5 3 2 6 2 2" xfId="28327"/>
    <cellStyle name="40% - Accent5 3 2 6 2 2" xfId="28328"/>
    <cellStyle name="60% - Accent5 3 2 6 2 2" xfId="28329"/>
    <cellStyle name="20% - Accent6 3 2 6 2 2" xfId="28330"/>
    <cellStyle name="40% - Accent6 3 2 6 2 2" xfId="28331"/>
    <cellStyle name="60% - Accent6 3 2 6 2 2" xfId="28332"/>
    <cellStyle name="Normal 3 2 3 2 6 2 2" xfId="28333"/>
    <cellStyle name="Normal 3 3 3 2 6 2 2" xfId="28334"/>
    <cellStyle name="Normal 3 4 3 2 6 2 2" xfId="28335"/>
    <cellStyle name="Normal 3 5 3 2 6 2 2" xfId="28336"/>
    <cellStyle name="Normal 3 2 2 2 2 6 2 2" xfId="28337"/>
    <cellStyle name="Normal 3 3 2 2 2 6 2 2" xfId="28338"/>
    <cellStyle name="Normal 3 4 2 2 2 6 2 2" xfId="28339"/>
    <cellStyle name="Normal 3 5 2 2 2 6 2 2" xfId="28340"/>
    <cellStyle name="Normal 5 2 2 6 2 2" xfId="28341"/>
    <cellStyle name="Percent 3 2 2 6 2 2" xfId="28342"/>
    <cellStyle name="Note 2 2 2 6 2 2" xfId="28343"/>
    <cellStyle name="Normal 3 6 2 2 6 2 2" xfId="28344"/>
    <cellStyle name="Comma 2 3 2 7 2 2" xfId="28345"/>
    <cellStyle name="Comma 3 2 2 7 2 2" xfId="28346"/>
    <cellStyle name="Percent 4 2 2 6 2 2" xfId="28347"/>
    <cellStyle name="Normal 3 7 2 2 6 2 2" xfId="28348"/>
    <cellStyle name="Note 3 2 2 6 2 2" xfId="28349"/>
    <cellStyle name="20% - Accent1 2 2 2 6 2 2" xfId="28350"/>
    <cellStyle name="40% - Accent1 2 2 2 6 2 2" xfId="28351"/>
    <cellStyle name="60% - Accent1 2 2 2 6 2 2" xfId="28352"/>
    <cellStyle name="20% - Accent2 2 2 2 6 2 2" xfId="28353"/>
    <cellStyle name="40% - Accent2 2 2 2 6 2 2" xfId="28354"/>
    <cellStyle name="60% - Accent2 2 2 2 6 2 2" xfId="28355"/>
    <cellStyle name="20% - Accent3 2 2 2 6 2 2" xfId="28356"/>
    <cellStyle name="40% - Accent3 2 2 2 6 2 2" xfId="28357"/>
    <cellStyle name="60% - Accent3 2 2 2 6 2 2" xfId="28358"/>
    <cellStyle name="20% - Accent4 2 2 2 6 2 2" xfId="28359"/>
    <cellStyle name="40% - Accent4 2 2 2 6 2 2" xfId="28360"/>
    <cellStyle name="60% - Accent4 2 2 2 6 2 2" xfId="28361"/>
    <cellStyle name="20% - Accent5 2 2 2 6 2 2" xfId="28362"/>
    <cellStyle name="40% - Accent5 2 2 2 6 2 2" xfId="28363"/>
    <cellStyle name="60% - Accent5 2 2 2 6 2 2" xfId="28364"/>
    <cellStyle name="20% - Accent6 2 2 2 6 2 2" xfId="28365"/>
    <cellStyle name="40% - Accent6 2 2 2 6 2 2" xfId="28366"/>
    <cellStyle name="60% - Accent6 2 2 2 6 2 2" xfId="28367"/>
    <cellStyle name="Comma 2 2 2 2 7 2 2" xfId="28368"/>
    <cellStyle name="Comma 4 2 2 7 2 2" xfId="28369"/>
    <cellStyle name="Normal 3 8 2 2 6 2 2" xfId="28370"/>
    <cellStyle name="Normal 3 10 6 2 2" xfId="28371"/>
    <cellStyle name="Normal 3 11 6 2 2" xfId="28372"/>
    <cellStyle name="Normal 3 12 4 2 2" xfId="28373"/>
    <cellStyle name="Normal 3 2 5 4 2 2" xfId="28374"/>
    <cellStyle name="Normal 3 3 5 4 2 2" xfId="28375"/>
    <cellStyle name="Normal 3 4 5 4 2 2" xfId="28376"/>
    <cellStyle name="Normal 3 5 5 4 2 2" xfId="28377"/>
    <cellStyle name="20% - Accent1 5 4 2 2" xfId="28378"/>
    <cellStyle name="40% - Accent1 5 4 2 2" xfId="28379"/>
    <cellStyle name="60% - Accent1 5 4 2 2" xfId="28380"/>
    <cellStyle name="20% - Accent2 5 4 2 2" xfId="28381"/>
    <cellStyle name="40% - Accent2 5 4 2 2" xfId="28382"/>
    <cellStyle name="60% - Accent2 5 4 2 2" xfId="28383"/>
    <cellStyle name="20% - Accent3 5 4 2 2" xfId="28384"/>
    <cellStyle name="40% - Accent3 5 4 2 2" xfId="28385"/>
    <cellStyle name="60% - Accent3 5 4 2 2" xfId="28386"/>
    <cellStyle name="20% - Accent4 5 4 2 2" xfId="28387"/>
    <cellStyle name="40% - Accent4 5 4 2 2" xfId="28388"/>
    <cellStyle name="60% - Accent4 5 4 2 2" xfId="28389"/>
    <cellStyle name="20% - Accent5 5 4 2 2" xfId="28390"/>
    <cellStyle name="40% - Accent5 5 4 2 2" xfId="28391"/>
    <cellStyle name="60% - Accent5 5 4 2 2" xfId="28392"/>
    <cellStyle name="20% - Accent6 5 4 2 2" xfId="28393"/>
    <cellStyle name="40% - Accent6 5 4 2 2" xfId="28394"/>
    <cellStyle name="60% - Accent6 5 4 2 2" xfId="28395"/>
    <cellStyle name="Normal 3 2 2 4 4 2 2" xfId="28396"/>
    <cellStyle name="Normal 3 3 2 4 4 2 2" xfId="28397"/>
    <cellStyle name="Normal 3 4 2 4 4 2 2" xfId="28398"/>
    <cellStyle name="Normal 3 5 2 4 4 2 2" xfId="28399"/>
    <cellStyle name="Normal 5 4 4 2 2" xfId="28400"/>
    <cellStyle name="Percent 3 4 4 2 2" xfId="28401"/>
    <cellStyle name="Note 2 4 4 2 2" xfId="28402"/>
    <cellStyle name="Normal 3 6 4 4 2 2" xfId="28403"/>
    <cellStyle name="Comma 2 6 5 2 2" xfId="28404"/>
    <cellStyle name="Comma 3 5 5 2 2" xfId="28405"/>
    <cellStyle name="Percent 4 4 4 2 2" xfId="28406"/>
    <cellStyle name="Normal 3 7 4 4 2 2" xfId="28407"/>
    <cellStyle name="Note 3 4 4 2 2" xfId="28408"/>
    <cellStyle name="20% - Accent1 2 4 4 2 2" xfId="28409"/>
    <cellStyle name="40% - Accent1 2 4 4 2 2" xfId="28410"/>
    <cellStyle name="60% - Accent1 2 4 4 2 2" xfId="28411"/>
    <cellStyle name="20% - Accent2 2 4 4 2 2" xfId="28412"/>
    <cellStyle name="40% - Accent2 2 4 4 2 2" xfId="28413"/>
    <cellStyle name="60% - Accent2 2 4 4 2 2" xfId="28414"/>
    <cellStyle name="20% - Accent3 2 4 4 2 2" xfId="28415"/>
    <cellStyle name="40% - Accent3 2 4 4 2 2" xfId="28416"/>
    <cellStyle name="60% - Accent3 2 4 4 2 2" xfId="28417"/>
    <cellStyle name="20% - Accent4 2 4 4 2 2" xfId="28418"/>
    <cellStyle name="40% - Accent4 2 4 4 2 2" xfId="28419"/>
    <cellStyle name="60% - Accent4 2 4 4 2 2" xfId="28420"/>
    <cellStyle name="20% - Accent5 2 4 4 2 2" xfId="28421"/>
    <cellStyle name="40% - Accent5 2 4 4 2 2" xfId="28422"/>
    <cellStyle name="60% - Accent5 2 4 4 2 2" xfId="28423"/>
    <cellStyle name="20% - Accent6 2 4 4 2 2" xfId="28424"/>
    <cellStyle name="40% - Accent6 2 4 4 2 2" xfId="28425"/>
    <cellStyle name="60% - Accent6 2 4 4 2 2" xfId="28426"/>
    <cellStyle name="Comma 2 2 5 5 2 2" xfId="28427"/>
    <cellStyle name="Comma 4 5 5 2 2" xfId="28428"/>
    <cellStyle name="Normal 3 8 4 4 2 2" xfId="28429"/>
    <cellStyle name="Normal 7 3 4 2 2" xfId="28430"/>
    <cellStyle name="Comma 5 3 5 2 2" xfId="28431"/>
    <cellStyle name="20% - Accent1 3 3 4 2 2" xfId="28432"/>
    <cellStyle name="40% - Accent1 3 3 4 2 2" xfId="28433"/>
    <cellStyle name="60% - Accent1 3 3 4 2 2" xfId="28434"/>
    <cellStyle name="20% - Accent2 3 3 4 2 2" xfId="28435"/>
    <cellStyle name="40% - Accent2 3 3 4 2 2" xfId="28436"/>
    <cellStyle name="60% - Accent2 3 3 4 2 2" xfId="28437"/>
    <cellStyle name="20% - Accent3 3 3 4 2 2" xfId="28438"/>
    <cellStyle name="40% - Accent3 3 3 4 2 2" xfId="28439"/>
    <cellStyle name="60% - Accent3 3 3 4 2 2" xfId="28440"/>
    <cellStyle name="20% - Accent4 3 3 4 2 2" xfId="28441"/>
    <cellStyle name="40% - Accent4 3 3 4 2 2" xfId="28442"/>
    <cellStyle name="60% - Accent4 3 3 4 2 2" xfId="28443"/>
    <cellStyle name="20% - Accent5 3 3 4 2 2" xfId="28444"/>
    <cellStyle name="40% - Accent5 3 3 4 2 2" xfId="28445"/>
    <cellStyle name="60% - Accent5 3 3 4 2 2" xfId="28446"/>
    <cellStyle name="20% - Accent6 3 3 4 2 2" xfId="28447"/>
    <cellStyle name="40% - Accent6 3 3 4 2 2" xfId="28448"/>
    <cellStyle name="60% - Accent6 3 3 4 2 2" xfId="28449"/>
    <cellStyle name="Normal 3 2 3 3 4 2 2" xfId="28450"/>
    <cellStyle name="Normal 3 3 3 3 4 2 2" xfId="28451"/>
    <cellStyle name="Normal 3 4 3 3 4 2 2" xfId="28452"/>
    <cellStyle name="Normal 3 5 3 3 4 2 2" xfId="28453"/>
    <cellStyle name="Normal 3 2 2 2 3 4 2 2" xfId="28454"/>
    <cellStyle name="Normal 3 3 2 2 3 4 2 2" xfId="28455"/>
    <cellStyle name="Normal 3 4 2 2 3 4 2 2" xfId="28456"/>
    <cellStyle name="Normal 3 5 2 2 3 4 2 2" xfId="28457"/>
    <cellStyle name="Normal 5 2 3 4 2 2" xfId="28458"/>
    <cellStyle name="Percent 3 2 3 4 2 2" xfId="28459"/>
    <cellStyle name="Note 2 2 3 4 2 2" xfId="28460"/>
    <cellStyle name="Normal 3 6 2 3 4 2 2" xfId="28461"/>
    <cellStyle name="Comma 2 3 3 5 2 2" xfId="28462"/>
    <cellStyle name="Comma 3 2 3 5 2 2" xfId="28463"/>
    <cellStyle name="Percent 4 2 3 4 2 2" xfId="28464"/>
    <cellStyle name="Normal 3 7 2 3 4 2 2" xfId="28465"/>
    <cellStyle name="Note 3 2 3 4 2 2" xfId="28466"/>
    <cellStyle name="20% - Accent1 2 2 3 4 2 2" xfId="28467"/>
    <cellStyle name="40% - Accent1 2 2 3 4 2 2" xfId="28468"/>
    <cellStyle name="60% - Accent1 2 2 3 4 2 2" xfId="28469"/>
    <cellStyle name="20% - Accent2 2 2 3 4 2 2" xfId="28470"/>
    <cellStyle name="40% - Accent2 2 2 3 4 2 2" xfId="28471"/>
    <cellStyle name="60% - Accent2 2 2 3 4 2 2" xfId="28472"/>
    <cellStyle name="20% - Accent3 2 2 3 4 2 2" xfId="28473"/>
    <cellStyle name="40% - Accent3 2 2 3 4 2 2" xfId="28474"/>
    <cellStyle name="60% - Accent3 2 2 3 4 2 2" xfId="28475"/>
    <cellStyle name="20% - Accent4 2 2 3 4 2 2" xfId="28476"/>
    <cellStyle name="40% - Accent4 2 2 3 4 2 2" xfId="28477"/>
    <cellStyle name="60% - Accent4 2 2 3 4 2 2" xfId="28478"/>
    <cellStyle name="20% - Accent5 2 2 3 4 2 2" xfId="28479"/>
    <cellStyle name="40% - Accent5 2 2 3 4 2 2" xfId="28480"/>
    <cellStyle name="60% - Accent5 2 2 3 4 2 2" xfId="28481"/>
    <cellStyle name="20% - Accent6 2 2 3 4 2 2" xfId="28482"/>
    <cellStyle name="40% - Accent6 2 2 3 4 2 2" xfId="28483"/>
    <cellStyle name="60% - Accent6 2 2 3 4 2 2" xfId="28484"/>
    <cellStyle name="Comma 2 2 2 3 5 2 2" xfId="28485"/>
    <cellStyle name="Comma 4 2 3 5 2 2" xfId="28486"/>
    <cellStyle name="Normal 3 8 2 3 4 2 2" xfId="28487"/>
    <cellStyle name="Normal 8 2 4 2 2" xfId="28488"/>
    <cellStyle name="Comma 6 2 5 2 2" xfId="28489"/>
    <cellStyle name="20% - Accent1 4 2 4 2 2" xfId="28490"/>
    <cellStyle name="40% - Accent1 4 2 4 2 2" xfId="28491"/>
    <cellStyle name="60% - Accent1 4 2 4 2 2" xfId="28492"/>
    <cellStyle name="20% - Accent2 4 2 4 2 2" xfId="28493"/>
    <cellStyle name="40% - Accent2 4 2 4 2 2" xfId="28494"/>
    <cellStyle name="60% - Accent2 4 2 4 2 2" xfId="28495"/>
    <cellStyle name="20% - Accent3 4 2 4 2 2" xfId="28496"/>
    <cellStyle name="40% - Accent3 4 2 4 2 2" xfId="28497"/>
    <cellStyle name="60% - Accent3 4 2 4 2 2" xfId="28498"/>
    <cellStyle name="20% - Accent4 4 2 4 2 2" xfId="28499"/>
    <cellStyle name="40% - Accent4 4 2 4 2 2" xfId="28500"/>
    <cellStyle name="60% - Accent4 4 2 4 2 2" xfId="28501"/>
    <cellStyle name="20% - Accent5 4 2 4 2 2" xfId="28502"/>
    <cellStyle name="40% - Accent5 4 2 4 2 2" xfId="28503"/>
    <cellStyle name="60% - Accent5 4 2 4 2 2" xfId="28504"/>
    <cellStyle name="20% - Accent6 4 2 4 2 2" xfId="28505"/>
    <cellStyle name="40% - Accent6 4 2 4 2 2" xfId="28506"/>
    <cellStyle name="60% - Accent6 4 2 4 2 2" xfId="28507"/>
    <cellStyle name="Normal 3 2 4 2 4 2 2" xfId="28508"/>
    <cellStyle name="Normal 3 3 4 2 4 2 2" xfId="28509"/>
    <cellStyle name="Normal 3 4 4 2 4 2 2" xfId="28510"/>
    <cellStyle name="Normal 3 5 4 2 4 2 2" xfId="28511"/>
    <cellStyle name="Normal 3 2 2 3 2 4 2 2" xfId="28512"/>
    <cellStyle name="Normal 3 3 2 3 2 4 2 2" xfId="28513"/>
    <cellStyle name="Normal 3 4 2 3 2 4 2 2" xfId="28514"/>
    <cellStyle name="Normal 3 5 2 3 2 4 2 2" xfId="28515"/>
    <cellStyle name="Normal 5 3 2 4 2 2" xfId="28516"/>
    <cellStyle name="Percent 3 3 2 4 2 2" xfId="28517"/>
    <cellStyle name="Note 2 3 2 4 2 2" xfId="28518"/>
    <cellStyle name="Normal 3 6 3 2 4 2 2" xfId="28519"/>
    <cellStyle name="Comma 2 5 2 5 2 2" xfId="28520"/>
    <cellStyle name="Comma 3 4 2 5 2 2" xfId="28521"/>
    <cellStyle name="Percent 4 3 2 4 2 2" xfId="28522"/>
    <cellStyle name="Normal 3 7 3 2 4 2 2" xfId="28523"/>
    <cellStyle name="Note 3 3 2 4 2 2" xfId="28524"/>
    <cellStyle name="20% - Accent1 2 3 2 4 2 2" xfId="28525"/>
    <cellStyle name="40% - Accent1 2 3 2 4 2 2" xfId="28526"/>
    <cellStyle name="60% - Accent1 2 3 2 4 2 2" xfId="28527"/>
    <cellStyle name="20% - Accent2 2 3 2 4 2 2" xfId="28528"/>
    <cellStyle name="40% - Accent2 2 3 2 4 2 2" xfId="28529"/>
    <cellStyle name="60% - Accent2 2 3 2 4 2 2" xfId="28530"/>
    <cellStyle name="20% - Accent3 2 3 2 4 2 2" xfId="28531"/>
    <cellStyle name="40% - Accent3 2 3 2 4 2 2" xfId="28532"/>
    <cellStyle name="60% - Accent3 2 3 2 4 2 2" xfId="28533"/>
    <cellStyle name="20% - Accent4 2 3 2 4 2 2" xfId="28534"/>
    <cellStyle name="40% - Accent4 2 3 2 4 2 2" xfId="28535"/>
    <cellStyle name="60% - Accent4 2 3 2 4 2 2" xfId="28536"/>
    <cellStyle name="20% - Accent5 2 3 2 4 2 2" xfId="28537"/>
    <cellStyle name="40% - Accent5 2 3 2 4 2 2" xfId="28538"/>
    <cellStyle name="60% - Accent5 2 3 2 4 2 2" xfId="28539"/>
    <cellStyle name="20% - Accent6 2 3 2 4 2 2" xfId="28540"/>
    <cellStyle name="40% - Accent6 2 3 2 4 2 2" xfId="28541"/>
    <cellStyle name="60% - Accent6 2 3 2 4 2 2" xfId="28542"/>
    <cellStyle name="Comma 2 2 4 2 5 2 2" xfId="28543"/>
    <cellStyle name="Comma 4 4 2 5 2 2" xfId="28544"/>
    <cellStyle name="Normal 3 8 3 2 4 2 2" xfId="28545"/>
    <cellStyle name="Comma 2 4 2 5 2 2" xfId="28546"/>
    <cellStyle name="Comma 3 3 2 5 2 2" xfId="28547"/>
    <cellStyle name="Comma 2 2 3 2 5 2 2" xfId="28548"/>
    <cellStyle name="Comma 4 3 2 5 2 2" xfId="28549"/>
    <cellStyle name="Normal 7 2 2 4 2 2" xfId="28550"/>
    <cellStyle name="Comma 5 2 2 5 2 2" xfId="28551"/>
    <cellStyle name="20% - Accent1 3 2 2 4 2 2" xfId="28552"/>
    <cellStyle name="40% - Accent1 3 2 2 4 2 2" xfId="28553"/>
    <cellStyle name="60% - Accent1 3 2 2 4 2 2" xfId="28554"/>
    <cellStyle name="20% - Accent2 3 2 2 4 2 2" xfId="28555"/>
    <cellStyle name="40% - Accent2 3 2 2 4 2 2" xfId="28556"/>
    <cellStyle name="60% - Accent2 3 2 2 4 2 2" xfId="28557"/>
    <cellStyle name="20% - Accent3 3 2 2 4 2 2" xfId="28558"/>
    <cellStyle name="40% - Accent3 3 2 2 4 2 2" xfId="28559"/>
    <cellStyle name="60% - Accent3 3 2 2 4 2 2" xfId="28560"/>
    <cellStyle name="20% - Accent4 3 2 2 4 2 2" xfId="28561"/>
    <cellStyle name="40% - Accent4 3 2 2 4 2 2" xfId="28562"/>
    <cellStyle name="60% - Accent4 3 2 2 4 2 2" xfId="28563"/>
    <cellStyle name="20% - Accent5 3 2 2 4 2 2" xfId="28564"/>
    <cellStyle name="40% - Accent5 3 2 2 4 2 2" xfId="28565"/>
    <cellStyle name="60% - Accent5 3 2 2 4 2 2" xfId="28566"/>
    <cellStyle name="20% - Accent6 3 2 2 4 2 2" xfId="28567"/>
    <cellStyle name="40% - Accent6 3 2 2 4 2 2" xfId="28568"/>
    <cellStyle name="60% - Accent6 3 2 2 4 2 2" xfId="28569"/>
    <cellStyle name="Normal 3 2 3 2 2 4 2 2" xfId="28570"/>
    <cellStyle name="Normal 3 3 3 2 2 4 2 2" xfId="28571"/>
    <cellStyle name="Normal 3 4 3 2 2 4 2 2" xfId="28572"/>
    <cellStyle name="Normal 3 5 3 2 2 4 2 2" xfId="28573"/>
    <cellStyle name="Normal 3 2 2 2 2 2 4 2 2" xfId="28574"/>
    <cellStyle name="Normal 3 3 2 2 2 2 4 2 2" xfId="28575"/>
    <cellStyle name="Normal 3 4 2 2 2 2 4 2 2" xfId="28576"/>
    <cellStyle name="Normal 3 5 2 2 2 2 4 2 2" xfId="28577"/>
    <cellStyle name="Normal 5 2 2 2 4 2 2" xfId="28578"/>
    <cellStyle name="Percent 3 2 2 2 4 2 2" xfId="28579"/>
    <cellStyle name="Note 2 2 2 2 4 2 2" xfId="28580"/>
    <cellStyle name="Normal 3 6 2 2 2 4 2 2" xfId="28581"/>
    <cellStyle name="Comma 2 3 2 2 5 2 2" xfId="28582"/>
    <cellStyle name="Comma 3 2 2 2 5 2 2" xfId="28583"/>
    <cellStyle name="Percent 4 2 2 2 4 2 2" xfId="28584"/>
    <cellStyle name="Normal 3 7 2 2 2 4 2 2" xfId="28585"/>
    <cellStyle name="Note 3 2 2 2 4 2 2" xfId="28586"/>
    <cellStyle name="20% - Accent1 2 2 2 2 4 2 2" xfId="28587"/>
    <cellStyle name="40% - Accent1 2 2 2 2 4 2 2" xfId="28588"/>
    <cellStyle name="60% - Accent1 2 2 2 2 4 2 2" xfId="28589"/>
    <cellStyle name="20% - Accent2 2 2 2 2 4 2 2" xfId="28590"/>
    <cellStyle name="40% - Accent2 2 2 2 2 4 2 2" xfId="28591"/>
    <cellStyle name="60% - Accent2 2 2 2 2 4 2 2" xfId="28592"/>
    <cellStyle name="20% - Accent3 2 2 2 2 4 2 2" xfId="28593"/>
    <cellStyle name="40% - Accent3 2 2 2 2 4 2 2" xfId="28594"/>
    <cellStyle name="60% - Accent3 2 2 2 2 4 2 2" xfId="28595"/>
    <cellStyle name="20% - Accent4 2 2 2 2 4 2 2" xfId="28596"/>
    <cellStyle name="40% - Accent4 2 2 2 2 4 2 2" xfId="28597"/>
    <cellStyle name="60% - Accent4 2 2 2 2 4 2 2" xfId="28598"/>
    <cellStyle name="20% - Accent5 2 2 2 2 4 2 2" xfId="28599"/>
    <cellStyle name="40% - Accent5 2 2 2 2 4 2 2" xfId="28600"/>
    <cellStyle name="60% - Accent5 2 2 2 2 4 2 2" xfId="28601"/>
    <cellStyle name="20% - Accent6 2 2 2 2 4 2 2" xfId="28602"/>
    <cellStyle name="40% - Accent6 2 2 2 2 4 2 2" xfId="28603"/>
    <cellStyle name="60% - Accent6 2 2 2 2 4 2 2" xfId="28604"/>
    <cellStyle name="Comma 2 2 2 2 2 5 2 2" xfId="28605"/>
    <cellStyle name="Comma 4 2 2 2 5 2 2" xfId="28606"/>
    <cellStyle name="Normal 3 8 2 2 2 4 2 2" xfId="28607"/>
    <cellStyle name="Normal 3 10 2 4 2 2" xfId="28608"/>
    <cellStyle name="Normal 3 11 2 4 2 2" xfId="28609"/>
    <cellStyle name="Normal 3 2 6 3 2 2" xfId="28610"/>
    <cellStyle name="Normal 3 3 6 3 2 2" xfId="28611"/>
    <cellStyle name="Normal 3 4 6 3 2 2" xfId="28612"/>
    <cellStyle name="Normal 3 5 6 3 2 2" xfId="28613"/>
    <cellStyle name="20% - Accent1 6 3 2 2" xfId="28614"/>
    <cellStyle name="40% - Accent1 6 3 2 2" xfId="28615"/>
    <cellStyle name="60% - Accent1 6 3 2 2" xfId="28616"/>
    <cellStyle name="20% - Accent2 6 3 2 2" xfId="28617"/>
    <cellStyle name="40% - Accent2 6 3 2 2" xfId="28618"/>
    <cellStyle name="60% - Accent2 6 3 2 2" xfId="28619"/>
    <cellStyle name="20% - Accent3 6 3 2 2" xfId="28620"/>
    <cellStyle name="40% - Accent3 6 3 2 2" xfId="28621"/>
    <cellStyle name="60% - Accent3 6 3 2 2" xfId="28622"/>
    <cellStyle name="20% - Accent4 6 3 2 2" xfId="28623"/>
    <cellStyle name="40% - Accent4 6 3 2 2" xfId="28624"/>
    <cellStyle name="60% - Accent4 6 3 2 2" xfId="28625"/>
    <cellStyle name="20% - Accent5 6 3 2 2" xfId="28626"/>
    <cellStyle name="40% - Accent5 6 3 2 2" xfId="28627"/>
    <cellStyle name="60% - Accent5 6 3 2 2" xfId="28628"/>
    <cellStyle name="20% - Accent6 6 3 2 2" xfId="28629"/>
    <cellStyle name="40% - Accent6 6 3 2 2" xfId="28630"/>
    <cellStyle name="60% - Accent6 6 3 2 2" xfId="28631"/>
    <cellStyle name="Normal 3 2 2 5 3 2 2" xfId="28632"/>
    <cellStyle name="Normal 3 3 2 5 3 2 2" xfId="28633"/>
    <cellStyle name="Normal 3 4 2 5 3 2 2" xfId="28634"/>
    <cellStyle name="Normal 3 5 2 5 3 2 2" xfId="28635"/>
    <cellStyle name="Normal 5 5 3 2 2" xfId="28636"/>
    <cellStyle name="Percent 3 5 3 2 2" xfId="28637"/>
    <cellStyle name="Note 2 5 3 2 2" xfId="28638"/>
    <cellStyle name="Normal 3 6 5 3 2 2" xfId="28639"/>
    <cellStyle name="Comma 2 7 4 2 2" xfId="28640"/>
    <cellStyle name="Comma 3 7 4 2 2" xfId="28641"/>
    <cellStyle name="Percent 4 5 3 2 2" xfId="28642"/>
    <cellStyle name="Normal 3 7 5 3 2 2" xfId="28643"/>
    <cellStyle name="Note 3 5 3 2 2" xfId="28644"/>
    <cellStyle name="20% - Accent1 2 5 3 2 2" xfId="28645"/>
    <cellStyle name="40% - Accent1 2 5 3 2 2" xfId="28646"/>
    <cellStyle name="60% - Accent1 2 5 3 2 2" xfId="28647"/>
    <cellStyle name="20% - Accent2 2 5 3 2 2" xfId="28648"/>
    <cellStyle name="40% - Accent2 2 5 3 2 2" xfId="28649"/>
    <cellStyle name="60% - Accent2 2 5 3 2 2" xfId="28650"/>
    <cellStyle name="20% - Accent3 2 5 3 2 2" xfId="28651"/>
    <cellStyle name="40% - Accent3 2 5 3 2 2" xfId="28652"/>
    <cellStyle name="60% - Accent3 2 5 3 2 2" xfId="28653"/>
    <cellStyle name="20% - Accent4 2 5 3 2 2" xfId="28654"/>
    <cellStyle name="40% - Accent4 2 5 3 2 2" xfId="28655"/>
    <cellStyle name="60% - Accent4 2 5 3 2 2" xfId="28656"/>
    <cellStyle name="20% - Accent5 2 5 3 2 2" xfId="28657"/>
    <cellStyle name="40% - Accent5 2 5 3 2 2" xfId="28658"/>
    <cellStyle name="60% - Accent5 2 5 3 2 2" xfId="28659"/>
    <cellStyle name="20% - Accent6 2 5 3 2 2" xfId="28660"/>
    <cellStyle name="40% - Accent6 2 5 3 2 2" xfId="28661"/>
    <cellStyle name="60% - Accent6 2 5 3 2 2" xfId="28662"/>
    <cellStyle name="Comma 2 2 6 4 2 2" xfId="28663"/>
    <cellStyle name="Comma 4 6 4 2 2" xfId="28664"/>
    <cellStyle name="Normal 3 8 5 3 2 2" xfId="28665"/>
    <cellStyle name="Normal 7 4 3 2 2" xfId="28666"/>
    <cellStyle name="Comma 5 4 4 2 2" xfId="28667"/>
    <cellStyle name="20% - Accent1 3 4 3 2 2" xfId="28668"/>
    <cellStyle name="40% - Accent1 3 4 3 2 2" xfId="28669"/>
    <cellStyle name="60% - Accent1 3 4 3 2 2" xfId="28670"/>
    <cellStyle name="20% - Accent2 3 4 3 2 2" xfId="28671"/>
    <cellStyle name="40% - Accent2 3 4 3 2 2" xfId="28672"/>
    <cellStyle name="60% - Accent2 3 4 3 2 2" xfId="28673"/>
    <cellStyle name="20% - Accent3 3 4 3 2 2" xfId="28674"/>
    <cellStyle name="40% - Accent3 3 4 3 2 2" xfId="28675"/>
    <cellStyle name="60% - Accent3 3 4 3 2 2" xfId="28676"/>
    <cellStyle name="20% - Accent4 3 4 3 2 2" xfId="28677"/>
    <cellStyle name="40% - Accent4 3 4 3 2 2" xfId="28678"/>
    <cellStyle name="60% - Accent4 3 4 3 2 2" xfId="28679"/>
    <cellStyle name="20% - Accent5 3 4 3 2 2" xfId="28680"/>
    <cellStyle name="40% - Accent5 3 4 3 2 2" xfId="28681"/>
    <cellStyle name="60% - Accent5 3 4 3 2 2" xfId="28682"/>
    <cellStyle name="20% - Accent6 3 4 3 2 2" xfId="28683"/>
    <cellStyle name="40% - Accent6 3 4 3 2 2" xfId="28684"/>
    <cellStyle name="60% - Accent6 3 4 3 2 2" xfId="28685"/>
    <cellStyle name="Normal 3 2 3 4 3 2 2" xfId="28686"/>
    <cellStyle name="Normal 3 3 3 4 3 2 2" xfId="28687"/>
    <cellStyle name="Normal 3 4 3 4 3 2 2" xfId="28688"/>
    <cellStyle name="Normal 3 5 3 4 3 2 2" xfId="28689"/>
    <cellStyle name="Normal 3 2 2 2 4 3 2 2" xfId="28690"/>
    <cellStyle name="Normal 3 3 2 2 4 3 2 2" xfId="28691"/>
    <cellStyle name="Normal 3 4 2 2 4 3 2 2" xfId="28692"/>
    <cellStyle name="Normal 3 5 2 2 4 3 2 2" xfId="28693"/>
    <cellStyle name="Normal 5 2 4 3 2 2" xfId="28694"/>
    <cellStyle name="Percent 3 2 4 3 2 2" xfId="28695"/>
    <cellStyle name="Note 2 2 4 3 2 2" xfId="28696"/>
    <cellStyle name="Normal 3 6 2 4 3 2 2" xfId="28697"/>
    <cellStyle name="Comma 2 3 4 4 2 2" xfId="28698"/>
    <cellStyle name="Comma 3 2 4 4 2 2" xfId="28699"/>
    <cellStyle name="Percent 4 2 4 3 2 2" xfId="28700"/>
    <cellStyle name="Normal 3 7 2 4 3 2 2" xfId="28701"/>
    <cellStyle name="Note 3 2 4 3 2 2" xfId="28702"/>
    <cellStyle name="20% - Accent1 2 2 4 3 2 2" xfId="28703"/>
    <cellStyle name="40% - Accent1 2 2 4 3 2 2" xfId="28704"/>
    <cellStyle name="60% - Accent1 2 2 4 3 2 2" xfId="28705"/>
    <cellStyle name="20% - Accent2 2 2 4 3 2 2" xfId="28706"/>
    <cellStyle name="40% - Accent2 2 2 4 3 2 2" xfId="28707"/>
    <cellStyle name="60% - Accent2 2 2 4 3 2 2" xfId="28708"/>
    <cellStyle name="20% - Accent3 2 2 4 3 2 2" xfId="28709"/>
    <cellStyle name="40% - Accent3 2 2 4 3 2 2" xfId="28710"/>
    <cellStyle name="60% - Accent3 2 2 4 3 2 2" xfId="28711"/>
    <cellStyle name="20% - Accent4 2 2 4 3 2 2" xfId="28712"/>
    <cellStyle name="40% - Accent4 2 2 4 3 2 2" xfId="28713"/>
    <cellStyle name="60% - Accent4 2 2 4 3 2 2" xfId="28714"/>
    <cellStyle name="20% - Accent5 2 2 4 3 2 2" xfId="28715"/>
    <cellStyle name="40% - Accent5 2 2 4 3 2 2" xfId="28716"/>
    <cellStyle name="60% - Accent5 2 2 4 3 2 2" xfId="28717"/>
    <cellStyle name="20% - Accent6 2 2 4 3 2 2" xfId="28718"/>
    <cellStyle name="40% - Accent6 2 2 4 3 2 2" xfId="28719"/>
    <cellStyle name="60% - Accent6 2 2 4 3 2 2" xfId="28720"/>
    <cellStyle name="Comma 2 2 2 4 4 2 2" xfId="28721"/>
    <cellStyle name="Comma 4 2 4 4 2 2" xfId="28722"/>
    <cellStyle name="Normal 3 8 2 4 3 2 2" xfId="28723"/>
    <cellStyle name="Normal 8 3 3 2 2" xfId="28724"/>
    <cellStyle name="Comma 6 3 4 2 2" xfId="28725"/>
    <cellStyle name="20% - Accent1 4 3 3 2 2" xfId="28726"/>
    <cellStyle name="40% - Accent1 4 3 3 2 2" xfId="28727"/>
    <cellStyle name="60% - Accent1 4 3 3 2 2" xfId="28728"/>
    <cellStyle name="20% - Accent2 4 3 3 2 2" xfId="28729"/>
    <cellStyle name="40% - Accent2 4 3 3 2 2" xfId="28730"/>
    <cellStyle name="60% - Accent2 4 3 3 2 2" xfId="28731"/>
    <cellStyle name="20% - Accent3 4 3 3 2 2" xfId="28732"/>
    <cellStyle name="40% - Accent3 4 3 3 2 2" xfId="28733"/>
    <cellStyle name="60% - Accent3 4 3 3 2 2" xfId="28734"/>
    <cellStyle name="20% - Accent4 4 3 3 2 2" xfId="28735"/>
    <cellStyle name="40% - Accent4 4 3 3 2 2" xfId="28736"/>
    <cellStyle name="60% - Accent4 4 3 3 2 2" xfId="28737"/>
    <cellStyle name="20% - Accent5 4 3 3 2 2" xfId="28738"/>
    <cellStyle name="40% - Accent5 4 3 3 2 2" xfId="28739"/>
    <cellStyle name="60% - Accent5 4 3 3 2 2" xfId="28740"/>
    <cellStyle name="20% - Accent6 4 3 3 2 2" xfId="28741"/>
    <cellStyle name="40% - Accent6 4 3 3 2 2" xfId="28742"/>
    <cellStyle name="60% - Accent6 4 3 3 2 2" xfId="28743"/>
    <cellStyle name="Normal 3 2 4 3 3 2 2" xfId="28744"/>
    <cellStyle name="Normal 3 3 4 3 3 2 2" xfId="28745"/>
    <cellStyle name="Normal 3 4 4 3 3 2 2" xfId="28746"/>
    <cellStyle name="Normal 3 5 4 3 3 2 2" xfId="28747"/>
    <cellStyle name="Normal 3 2 2 3 3 3 2 2" xfId="28748"/>
    <cellStyle name="Normal 3 3 2 3 3 3 2 2" xfId="28749"/>
    <cellStyle name="Normal 3 4 2 3 3 3 2 2" xfId="28750"/>
    <cellStyle name="Normal 3 5 2 3 3 3 2 2" xfId="28751"/>
    <cellStyle name="Normal 5 3 3 3 2 2" xfId="28752"/>
    <cellStyle name="Percent 3 3 3 3 2 2" xfId="28753"/>
    <cellStyle name="Note 2 3 3 3 2 2" xfId="28754"/>
    <cellStyle name="Normal 3 6 3 3 3 2 2" xfId="28755"/>
    <cellStyle name="Comma 2 5 3 4 2 2" xfId="28756"/>
    <cellStyle name="Comma 3 4 3 4 2 2" xfId="28757"/>
    <cellStyle name="Percent 4 3 3 3 2 2" xfId="28758"/>
    <cellStyle name="Normal 3 7 3 3 3 2 2" xfId="28759"/>
    <cellStyle name="Note 3 3 3 3 2 2" xfId="28760"/>
    <cellStyle name="20% - Accent1 2 3 3 3 2 2" xfId="28761"/>
    <cellStyle name="40% - Accent1 2 3 3 3 2 2" xfId="28762"/>
    <cellStyle name="60% - Accent1 2 3 3 3 2 2" xfId="28763"/>
    <cellStyle name="20% - Accent2 2 3 3 3 2 2" xfId="28764"/>
    <cellStyle name="40% - Accent2 2 3 3 3 2 2" xfId="28765"/>
    <cellStyle name="60% - Accent2 2 3 3 3 2 2" xfId="28766"/>
    <cellStyle name="20% - Accent3 2 3 3 3 2 2" xfId="28767"/>
    <cellStyle name="40% - Accent3 2 3 3 3 2 2" xfId="28768"/>
    <cellStyle name="60% - Accent3 2 3 3 3 2 2" xfId="28769"/>
    <cellStyle name="20% - Accent4 2 3 3 3 2 2" xfId="28770"/>
    <cellStyle name="40% - Accent4 2 3 3 3 2 2" xfId="28771"/>
    <cellStyle name="60% - Accent4 2 3 3 3 2 2" xfId="28772"/>
    <cellStyle name="20% - Accent5 2 3 3 3 2 2" xfId="28773"/>
    <cellStyle name="40% - Accent5 2 3 3 3 2 2" xfId="28774"/>
    <cellStyle name="60% - Accent5 2 3 3 3 2 2" xfId="28775"/>
    <cellStyle name="20% - Accent6 2 3 3 3 2 2" xfId="28776"/>
    <cellStyle name="40% - Accent6 2 3 3 3 2 2" xfId="28777"/>
    <cellStyle name="60% - Accent6 2 3 3 3 2 2" xfId="28778"/>
    <cellStyle name="Comma 2 2 4 3 4 2 2" xfId="28779"/>
    <cellStyle name="Comma 4 4 3 4 2 2" xfId="28780"/>
    <cellStyle name="Normal 3 8 3 3 3 2 2" xfId="28781"/>
    <cellStyle name="Comma 2 4 3 4 2 2" xfId="28782"/>
    <cellStyle name="Comma 3 3 3 4 2 2" xfId="28783"/>
    <cellStyle name="Comma 2 2 3 3 4 2 2" xfId="28784"/>
    <cellStyle name="Comma 4 3 3 4 2 2" xfId="28785"/>
    <cellStyle name="Normal 7 2 3 3 2 2" xfId="28786"/>
    <cellStyle name="Comma 5 2 3 4 2 2" xfId="28787"/>
    <cellStyle name="20% - Accent1 3 2 3 3 2 2" xfId="28788"/>
    <cellStyle name="40% - Accent1 3 2 3 3 2 2" xfId="28789"/>
    <cellStyle name="60% - Accent1 3 2 3 3 2 2" xfId="28790"/>
    <cellStyle name="20% - Accent2 3 2 3 3 2 2" xfId="28791"/>
    <cellStyle name="40% - Accent2 3 2 3 3 2 2" xfId="28792"/>
    <cellStyle name="60% - Accent2 3 2 3 3 2 2" xfId="28793"/>
    <cellStyle name="20% - Accent3 3 2 3 3 2 2" xfId="28794"/>
    <cellStyle name="40% - Accent3 3 2 3 3 2 2" xfId="28795"/>
    <cellStyle name="60% - Accent3 3 2 3 3 2 2" xfId="28796"/>
    <cellStyle name="20% - Accent4 3 2 3 3 2 2" xfId="28797"/>
    <cellStyle name="40% - Accent4 3 2 3 3 2 2" xfId="28798"/>
    <cellStyle name="60% - Accent4 3 2 3 3 2 2" xfId="28799"/>
    <cellStyle name="20% - Accent5 3 2 3 3 2 2" xfId="28800"/>
    <cellStyle name="40% - Accent5 3 2 3 3 2 2" xfId="28801"/>
    <cellStyle name="60% - Accent5 3 2 3 3 2 2" xfId="28802"/>
    <cellStyle name="20% - Accent6 3 2 3 3 2 2" xfId="28803"/>
    <cellStyle name="40% - Accent6 3 2 3 3 2 2" xfId="28804"/>
    <cellStyle name="60% - Accent6 3 2 3 3 2 2" xfId="28805"/>
    <cellStyle name="Normal 3 2 3 2 3 3 2 2" xfId="28806"/>
    <cellStyle name="Normal 3 3 3 2 3 3 2 2" xfId="28807"/>
    <cellStyle name="Normal 3 4 3 2 3 3 2 2" xfId="28808"/>
    <cellStyle name="Normal 3 5 3 2 3 3 2 2" xfId="28809"/>
    <cellStyle name="Normal 3 2 2 2 2 3 3 2 2" xfId="28810"/>
    <cellStyle name="Normal 3 3 2 2 2 3 3 2 2" xfId="28811"/>
    <cellStyle name="Normal 3 4 2 2 2 3 3 2 2" xfId="28812"/>
    <cellStyle name="Normal 3 5 2 2 2 3 3 2 2" xfId="28813"/>
    <cellStyle name="Normal 5 2 2 3 3 2 2" xfId="28814"/>
    <cellStyle name="Percent 3 2 2 3 3 2 2" xfId="28815"/>
    <cellStyle name="Note 2 2 2 3 3 2 2" xfId="28816"/>
    <cellStyle name="Normal 3 6 2 2 3 3 2 2" xfId="28817"/>
    <cellStyle name="Comma 2 3 2 3 4 2 2" xfId="28818"/>
    <cellStyle name="Comma 3 2 2 3 4 2 2" xfId="28819"/>
    <cellStyle name="Percent 4 2 2 3 3 2 2" xfId="28820"/>
    <cellStyle name="Normal 3 7 2 2 3 3 2 2" xfId="28821"/>
    <cellStyle name="Note 3 2 2 3 3 2 2" xfId="28822"/>
    <cellStyle name="20% - Accent1 2 2 2 3 3 2 2" xfId="28823"/>
    <cellStyle name="40% - Accent1 2 2 2 3 3 2 2" xfId="28824"/>
    <cellStyle name="60% - Accent1 2 2 2 3 3 2 2" xfId="28825"/>
    <cellStyle name="20% - Accent2 2 2 2 3 3 2 2" xfId="28826"/>
    <cellStyle name="40% - Accent2 2 2 2 3 3 2 2" xfId="28827"/>
    <cellStyle name="60% - Accent2 2 2 2 3 3 2 2" xfId="28828"/>
    <cellStyle name="20% - Accent3 2 2 2 3 3 2 2" xfId="28829"/>
    <cellStyle name="40% - Accent3 2 2 2 3 3 2 2" xfId="28830"/>
    <cellStyle name="60% - Accent3 2 2 2 3 3 2 2" xfId="28831"/>
    <cellStyle name="20% - Accent4 2 2 2 3 3 2 2" xfId="28832"/>
    <cellStyle name="40% - Accent4 2 2 2 3 3 2 2" xfId="28833"/>
    <cellStyle name="60% - Accent4 2 2 2 3 3 2 2" xfId="28834"/>
    <cellStyle name="20% - Accent5 2 2 2 3 3 2 2" xfId="28835"/>
    <cellStyle name="40% - Accent5 2 2 2 3 3 2 2" xfId="28836"/>
    <cellStyle name="60% - Accent5 2 2 2 3 3 2 2" xfId="28837"/>
    <cellStyle name="20% - Accent6 2 2 2 3 3 2 2" xfId="28838"/>
    <cellStyle name="40% - Accent6 2 2 2 3 3 2 2" xfId="28839"/>
    <cellStyle name="60% - Accent6 2 2 2 3 3 2 2" xfId="28840"/>
    <cellStyle name="Comma 2 2 2 2 3 4 2 2" xfId="28841"/>
    <cellStyle name="Comma 4 2 2 3 4 2 2" xfId="28842"/>
    <cellStyle name="Normal 3 8 2 2 3 3 2 2" xfId="28843"/>
    <cellStyle name="Normal 3 10 3 3 2 2" xfId="28844"/>
    <cellStyle name="Normal 3 11 3 3 2 2" xfId="28845"/>
    <cellStyle name="Normal 5 4 2 3 2 2" xfId="28846"/>
    <cellStyle name="Normal 7 3 2 3 2 2" xfId="28847"/>
    <cellStyle name="Normal 3 2 2 2 3 2 3 2 2" xfId="28848"/>
    <cellStyle name="Normal 8 2 2 3 2 2" xfId="28849"/>
    <cellStyle name="Normal 3 2 2 2 2 2 2 3 2 2" xfId="28850"/>
    <cellStyle name="Comma 3 6 4 2 2" xfId="28851"/>
    <cellStyle name="Normal 3 6 4 2 3 2 2" xfId="28852"/>
    <cellStyle name="Normal 3 12 2 3 2 2" xfId="28853"/>
    <cellStyle name="Normal 3 2 5 2 3 2 2" xfId="28854"/>
    <cellStyle name="Normal 3 3 5 2 3 2 2" xfId="28855"/>
    <cellStyle name="Normal 3 4 5 2 3 2 2" xfId="28856"/>
    <cellStyle name="Normal 3 5 5 2 3 2 2" xfId="28857"/>
    <cellStyle name="20% - Accent1 5 2 3 2 2" xfId="28858"/>
    <cellStyle name="40% - Accent1 5 2 3 2 2" xfId="28859"/>
    <cellStyle name="60% - Accent1 5 2 3 2 2" xfId="28860"/>
    <cellStyle name="20% - Accent2 5 2 3 2 2" xfId="28861"/>
    <cellStyle name="40% - Accent2 5 2 3 2 2" xfId="28862"/>
    <cellStyle name="60% - Accent2 5 2 3 2 2" xfId="28863"/>
    <cellStyle name="20% - Accent3 5 2 3 2 2" xfId="28864"/>
    <cellStyle name="40% - Accent3 5 2 3 2 2" xfId="28865"/>
    <cellStyle name="60% - Accent3 5 2 3 2 2" xfId="28866"/>
    <cellStyle name="20% - Accent4 5 2 3 2 2" xfId="28867"/>
    <cellStyle name="40% - Accent4 5 2 3 2 2" xfId="28868"/>
    <cellStyle name="60% - Accent4 5 2 3 2 2" xfId="28869"/>
    <cellStyle name="20% - Accent5 5 2 3 2 2" xfId="28870"/>
    <cellStyle name="40% - Accent5 5 2 3 2 2" xfId="28871"/>
    <cellStyle name="60% - Accent5 5 2 3 2 2" xfId="28872"/>
    <cellStyle name="20% - Accent6 5 2 3 2 2" xfId="28873"/>
    <cellStyle name="40% - Accent6 5 2 3 2 2" xfId="28874"/>
    <cellStyle name="60% - Accent6 5 2 3 2 2" xfId="28875"/>
    <cellStyle name="Normal 3 2 2 4 2 3 2 2" xfId="28876"/>
    <cellStyle name="Normal 3 3 2 4 2 3 2 2" xfId="28877"/>
    <cellStyle name="Normal 3 4 2 4 2 3 2 2" xfId="28878"/>
    <cellStyle name="Normal 3 5 2 4 2 3 2 2" xfId="28879"/>
    <cellStyle name="Percent 3 4 2 3 2 2" xfId="28880"/>
    <cellStyle name="Note 2 4 2 3 2 2" xfId="28881"/>
    <cellStyle name="Comma 2 6 2 4 2 2" xfId="28882"/>
    <cellStyle name="Comma 3 5 2 4 2 2" xfId="28883"/>
    <cellStyle name="Percent 4 4 2 3 2 2" xfId="28884"/>
    <cellStyle name="Normal 3 7 4 2 3 2 2" xfId="28885"/>
    <cellStyle name="Note 3 4 2 3 2 2" xfId="28886"/>
    <cellStyle name="20% - Accent1 2 4 2 3 2 2" xfId="28887"/>
    <cellStyle name="40% - Accent1 2 4 2 3 2 2" xfId="28888"/>
    <cellStyle name="60% - Accent1 2 4 2 3 2 2" xfId="28889"/>
    <cellStyle name="20% - Accent2 2 4 2 3 2 2" xfId="28890"/>
    <cellStyle name="40% - Accent2 2 4 2 3 2 2" xfId="28891"/>
    <cellStyle name="60% - Accent2 2 4 2 3 2 2" xfId="28892"/>
    <cellStyle name="20% - Accent3 2 4 2 3 2 2" xfId="28893"/>
    <cellStyle name="40% - Accent3 2 4 2 3 2 2" xfId="28894"/>
    <cellStyle name="60% - Accent3 2 4 2 3 2 2" xfId="28895"/>
    <cellStyle name="20% - Accent4 2 4 2 3 2 2" xfId="28896"/>
    <cellStyle name="40% - Accent4 2 4 2 3 2 2" xfId="28897"/>
    <cellStyle name="60% - Accent4 2 4 2 3 2 2" xfId="28898"/>
    <cellStyle name="20% - Accent5 2 4 2 3 2 2" xfId="28899"/>
    <cellStyle name="40% - Accent5 2 4 2 3 2 2" xfId="28900"/>
    <cellStyle name="60% - Accent5 2 4 2 3 2 2" xfId="28901"/>
    <cellStyle name="20% - Accent6 2 4 2 3 2 2" xfId="28902"/>
    <cellStyle name="40% - Accent6 2 4 2 3 2 2" xfId="28903"/>
    <cellStyle name="60% - Accent6 2 4 2 3 2 2" xfId="28904"/>
    <cellStyle name="Comma 2 2 5 2 4 2 2" xfId="28905"/>
    <cellStyle name="Comma 4 5 2 4 2 2" xfId="28906"/>
    <cellStyle name="Normal 3 8 4 2 3 2 2" xfId="28907"/>
    <cellStyle name="Comma 5 3 2 4 2 2" xfId="28908"/>
    <cellStyle name="20% - Accent1 3 3 2 3 2 2" xfId="28909"/>
    <cellStyle name="40% - Accent1 3 3 2 3 2 2" xfId="28910"/>
    <cellStyle name="60% - Accent1 3 3 2 3 2 2" xfId="28911"/>
    <cellStyle name="20% - Accent2 3 3 2 3 2 2" xfId="28912"/>
    <cellStyle name="40% - Accent2 3 3 2 3 2 2" xfId="28913"/>
    <cellStyle name="60% - Accent2 3 3 2 3 2 2" xfId="28914"/>
    <cellStyle name="20% - Accent3 3 3 2 3 2 2" xfId="28915"/>
    <cellStyle name="40% - Accent3 3 3 2 3 2 2" xfId="28916"/>
    <cellStyle name="60% - Accent3 3 3 2 3 2 2" xfId="28917"/>
    <cellStyle name="20% - Accent4 3 3 2 3 2 2" xfId="28918"/>
    <cellStyle name="40% - Accent4 3 3 2 3 2 2" xfId="28919"/>
    <cellStyle name="60% - Accent4 3 3 2 3 2 2" xfId="28920"/>
    <cellStyle name="20% - Accent5 3 3 2 3 2 2" xfId="28921"/>
    <cellStyle name="40% - Accent5 3 3 2 3 2 2" xfId="28922"/>
    <cellStyle name="60% - Accent5 3 3 2 3 2 2" xfId="28923"/>
    <cellStyle name="20% - Accent6 3 3 2 3 2 2" xfId="28924"/>
    <cellStyle name="40% - Accent6 3 3 2 3 2 2" xfId="28925"/>
    <cellStyle name="60% - Accent6 3 3 2 3 2 2" xfId="28926"/>
    <cellStyle name="Normal 3 2 3 3 2 3 2 2" xfId="28927"/>
    <cellStyle name="Normal 3 3 3 3 2 3 2 2" xfId="28928"/>
    <cellStyle name="Normal 3 4 3 3 2 3 2 2" xfId="28929"/>
    <cellStyle name="Normal 3 5 3 3 2 3 2 2" xfId="28930"/>
    <cellStyle name="Normal 3 3 2 2 3 2 3 2 2" xfId="28931"/>
    <cellStyle name="Normal 3 4 2 2 3 2 3 2 2" xfId="28932"/>
    <cellStyle name="Normal 3 5 2 2 3 2 3 2 2" xfId="28933"/>
    <cellStyle name="Normal 5 2 3 2 3 2 2" xfId="28934"/>
    <cellStyle name="Percent 3 2 3 2 3 2 2" xfId="28935"/>
    <cellStyle name="Note 2 2 3 2 3 2 2" xfId="28936"/>
    <cellStyle name="Normal 3 6 2 3 2 3 2 2" xfId="28937"/>
    <cellStyle name="Comma 2 3 3 2 4 2 2" xfId="28938"/>
    <cellStyle name="Comma 3 2 3 2 4 2 2" xfId="28939"/>
    <cellStyle name="Percent 4 2 3 2 3 2 2" xfId="28940"/>
    <cellStyle name="Normal 3 7 2 3 2 3 2 2" xfId="28941"/>
    <cellStyle name="Note 3 2 3 2 3 2 2" xfId="28942"/>
    <cellStyle name="20% - Accent1 2 2 3 2 3 2 2" xfId="28943"/>
    <cellStyle name="40% - Accent1 2 2 3 2 3 2 2" xfId="28944"/>
    <cellStyle name="60% - Accent1 2 2 3 2 3 2 2" xfId="28945"/>
    <cellStyle name="20% - Accent2 2 2 3 2 3 2 2" xfId="28946"/>
    <cellStyle name="40% - Accent2 2 2 3 2 3 2 2" xfId="28947"/>
    <cellStyle name="60% - Accent2 2 2 3 2 3 2 2" xfId="28948"/>
    <cellStyle name="20% - Accent3 2 2 3 2 3 2 2" xfId="28949"/>
    <cellStyle name="40% - Accent3 2 2 3 2 3 2 2" xfId="28950"/>
    <cellStyle name="60% - Accent3 2 2 3 2 3 2 2" xfId="28951"/>
    <cellStyle name="20% - Accent4 2 2 3 2 3 2 2" xfId="28952"/>
    <cellStyle name="40% - Accent4 2 2 3 2 3 2 2" xfId="28953"/>
    <cellStyle name="60% - Accent4 2 2 3 2 3 2 2" xfId="28954"/>
    <cellStyle name="20% - Accent5 2 2 3 2 3 2 2" xfId="28955"/>
    <cellStyle name="40% - Accent5 2 2 3 2 3 2 2" xfId="28956"/>
    <cellStyle name="60% - Accent5 2 2 3 2 3 2 2" xfId="28957"/>
    <cellStyle name="20% - Accent6 2 2 3 2 3 2 2" xfId="28958"/>
    <cellStyle name="40% - Accent6 2 2 3 2 3 2 2" xfId="28959"/>
    <cellStyle name="60% - Accent6 2 2 3 2 3 2 2" xfId="28960"/>
    <cellStyle name="Comma 2 2 2 3 2 4 2 2" xfId="28961"/>
    <cellStyle name="Comma 4 2 3 2 4 2 2" xfId="28962"/>
    <cellStyle name="Normal 3 8 2 3 2 3 2 2" xfId="28963"/>
    <cellStyle name="Comma 6 2 2 4 2 2" xfId="28964"/>
    <cellStyle name="20% - Accent1 4 2 2 3 2 2" xfId="28965"/>
    <cellStyle name="40% - Accent1 4 2 2 3 2 2" xfId="28966"/>
    <cellStyle name="60% - Accent1 4 2 2 3 2 2" xfId="28967"/>
    <cellStyle name="20% - Accent2 4 2 2 3 2 2" xfId="28968"/>
    <cellStyle name="40% - Accent2 4 2 2 3 2 2" xfId="28969"/>
    <cellStyle name="60% - Accent2 4 2 2 3 2 2" xfId="28970"/>
    <cellStyle name="20% - Accent3 4 2 2 3 2 2" xfId="28971"/>
    <cellStyle name="40% - Accent3 4 2 2 3 2 2" xfId="28972"/>
    <cellStyle name="60% - Accent3 4 2 2 3 2 2" xfId="28973"/>
    <cellStyle name="20% - Accent4 4 2 2 3 2 2" xfId="28974"/>
    <cellStyle name="40% - Accent4 4 2 2 3 2 2" xfId="28975"/>
    <cellStyle name="60% - Accent4 4 2 2 3 2 2" xfId="28976"/>
    <cellStyle name="20% - Accent5 4 2 2 3 2 2" xfId="28977"/>
    <cellStyle name="40% - Accent5 4 2 2 3 2 2" xfId="28978"/>
    <cellStyle name="60% - Accent5 4 2 2 3 2 2" xfId="28979"/>
    <cellStyle name="20% - Accent6 4 2 2 3 2 2" xfId="28980"/>
    <cellStyle name="40% - Accent6 4 2 2 3 2 2" xfId="28981"/>
    <cellStyle name="60% - Accent6 4 2 2 3 2 2" xfId="28982"/>
    <cellStyle name="Normal 3 2 4 2 2 3 2 2" xfId="28983"/>
    <cellStyle name="Normal 3 3 4 2 2 3 2 2" xfId="28984"/>
    <cellStyle name="Normal 3 4 4 2 2 3 2 2" xfId="28985"/>
    <cellStyle name="Normal 3 5 4 2 2 3 2 2" xfId="28986"/>
    <cellStyle name="Normal 3 2 2 3 2 2 3 2 2" xfId="28987"/>
    <cellStyle name="Normal 3 3 2 3 2 2 3 2 2" xfId="28988"/>
    <cellStyle name="Normal 3 4 2 3 2 2 3 2 2" xfId="28989"/>
    <cellStyle name="Normal 3 5 2 3 2 2 3 2 2" xfId="28990"/>
    <cellStyle name="Normal 5 3 2 2 3 2 2" xfId="28991"/>
    <cellStyle name="Percent 3 3 2 2 3 2 2" xfId="28992"/>
    <cellStyle name="Note 2 3 2 2 3 2 2" xfId="28993"/>
    <cellStyle name="Normal 3 6 3 2 2 3 2 2" xfId="28994"/>
    <cellStyle name="Comma 2 5 2 2 4 2 2" xfId="28995"/>
    <cellStyle name="Comma 3 4 2 2 4 2 2" xfId="28996"/>
    <cellStyle name="Percent 4 3 2 2 3 2 2" xfId="28997"/>
    <cellStyle name="Normal 3 7 3 2 2 3 2 2" xfId="28998"/>
    <cellStyle name="Note 3 3 2 2 3 2 2" xfId="28999"/>
    <cellStyle name="20% - Accent1 2 3 2 2 3 2 2" xfId="29000"/>
    <cellStyle name="40% - Accent1 2 3 2 2 3 2 2" xfId="29001"/>
    <cellStyle name="60% - Accent1 2 3 2 2 3 2 2" xfId="29002"/>
    <cellStyle name="20% - Accent2 2 3 2 2 3 2 2" xfId="29003"/>
    <cellStyle name="40% - Accent2 2 3 2 2 3 2 2" xfId="29004"/>
    <cellStyle name="60% - Accent2 2 3 2 2 3 2 2" xfId="29005"/>
    <cellStyle name="20% - Accent3 2 3 2 2 3 2 2" xfId="29006"/>
    <cellStyle name="40% - Accent3 2 3 2 2 3 2 2" xfId="29007"/>
    <cellStyle name="60% - Accent3 2 3 2 2 3 2 2" xfId="29008"/>
    <cellStyle name="20% - Accent4 2 3 2 2 3 2 2" xfId="29009"/>
    <cellStyle name="40% - Accent4 2 3 2 2 3 2 2" xfId="29010"/>
    <cellStyle name="60% - Accent4 2 3 2 2 3 2 2" xfId="29011"/>
    <cellStyle name="20% - Accent5 2 3 2 2 3 2 2" xfId="29012"/>
    <cellStyle name="40% - Accent5 2 3 2 2 3 2 2" xfId="29013"/>
    <cellStyle name="60% - Accent5 2 3 2 2 3 2 2" xfId="29014"/>
    <cellStyle name="20% - Accent6 2 3 2 2 3 2 2" xfId="29015"/>
    <cellStyle name="40% - Accent6 2 3 2 2 3 2 2" xfId="29016"/>
    <cellStyle name="60% - Accent6 2 3 2 2 3 2 2" xfId="29017"/>
    <cellStyle name="Comma 2 2 4 2 2 4 2 2" xfId="29018"/>
    <cellStyle name="Comma 4 4 2 2 4 2 2" xfId="29019"/>
    <cellStyle name="Normal 3 8 3 2 2 3 2 2" xfId="29020"/>
    <cellStyle name="Comma 2 4 2 2 4 2 2" xfId="29021"/>
    <cellStyle name="Comma 3 3 2 2 4 2 2" xfId="29022"/>
    <cellStyle name="Comma 2 2 3 2 2 4 2 2" xfId="29023"/>
    <cellStyle name="Comma 4 3 2 2 4 2 2" xfId="29024"/>
    <cellStyle name="Normal 7 2 2 2 3 2 2" xfId="29025"/>
    <cellStyle name="Comma 5 2 2 2 4 2 2" xfId="29026"/>
    <cellStyle name="20% - Accent1 3 2 2 2 3 2 2" xfId="29027"/>
    <cellStyle name="40% - Accent1 3 2 2 2 3 2 2" xfId="29028"/>
    <cellStyle name="60% - Accent1 3 2 2 2 3 2 2" xfId="29029"/>
    <cellStyle name="20% - Accent2 3 2 2 2 3 2 2" xfId="29030"/>
    <cellStyle name="40% - Accent2 3 2 2 2 3 2 2" xfId="29031"/>
    <cellStyle name="60% - Accent2 3 2 2 2 3 2 2" xfId="29032"/>
    <cellStyle name="20% - Accent3 3 2 2 2 3 2 2" xfId="29033"/>
    <cellStyle name="40% - Accent3 3 2 2 2 3 2 2" xfId="29034"/>
    <cellStyle name="60% - Accent3 3 2 2 2 3 2 2" xfId="29035"/>
    <cellStyle name="20% - Accent4 3 2 2 2 3 2 2" xfId="29036"/>
    <cellStyle name="40% - Accent4 3 2 2 2 3 2 2" xfId="29037"/>
    <cellStyle name="60% - Accent4 3 2 2 2 3 2 2" xfId="29038"/>
    <cellStyle name="20% - Accent5 3 2 2 2 3 2 2" xfId="29039"/>
    <cellStyle name="40% - Accent5 3 2 2 2 3 2 2" xfId="29040"/>
    <cellStyle name="60% - Accent5 3 2 2 2 3 2 2" xfId="29041"/>
    <cellStyle name="20% - Accent6 3 2 2 2 3 2 2" xfId="29042"/>
    <cellStyle name="40% - Accent6 3 2 2 2 3 2 2" xfId="29043"/>
    <cellStyle name="60% - Accent6 3 2 2 2 3 2 2" xfId="29044"/>
    <cellStyle name="Normal 3 2 3 2 2 2 3 2 2" xfId="29045"/>
    <cellStyle name="Normal 3 3 3 2 2 2 3 2 2" xfId="29046"/>
    <cellStyle name="Normal 3 4 3 2 2 2 3 2 2" xfId="29047"/>
    <cellStyle name="Normal 3 5 3 2 2 2 3 2 2" xfId="29048"/>
    <cellStyle name="Normal 3 3 2 2 2 2 2 3 2 2" xfId="29049"/>
    <cellStyle name="Normal 3 4 2 2 2 2 2 3 2 2" xfId="29050"/>
    <cellStyle name="Normal 3 5 2 2 2 2 2 3 2 2" xfId="29051"/>
    <cellStyle name="Normal 5 2 2 2 2 3 2 2" xfId="29052"/>
    <cellStyle name="Percent 3 2 2 2 2 3 2 2" xfId="29053"/>
    <cellStyle name="Note 2 2 2 2 2 3 2 2" xfId="29054"/>
    <cellStyle name="Normal 3 6 2 2 2 2 3 2 2" xfId="29055"/>
    <cellStyle name="Comma 2 3 2 2 2 4 2 2" xfId="29056"/>
    <cellStyle name="Comma 3 2 2 2 2 4 2 2" xfId="29057"/>
    <cellStyle name="Percent 4 2 2 2 2 3 2 2" xfId="29058"/>
    <cellStyle name="Normal 3 7 2 2 2 2 3 2 2" xfId="29059"/>
    <cellStyle name="Note 3 2 2 2 2 3 2 2" xfId="29060"/>
    <cellStyle name="20% - Accent1 2 2 2 2 2 3 2 2" xfId="29061"/>
    <cellStyle name="40% - Accent1 2 2 2 2 2 3 2 2" xfId="29062"/>
    <cellStyle name="60% - Accent1 2 2 2 2 2 3 2 2" xfId="29063"/>
    <cellStyle name="20% - Accent2 2 2 2 2 2 3 2 2" xfId="29064"/>
    <cellStyle name="40% - Accent2 2 2 2 2 2 3 2 2" xfId="29065"/>
    <cellStyle name="60% - Accent2 2 2 2 2 2 3 2 2" xfId="29066"/>
    <cellStyle name="20% - Accent3 2 2 2 2 2 3 2 2" xfId="29067"/>
    <cellStyle name="40% - Accent3 2 2 2 2 2 3 2 2" xfId="29068"/>
    <cellStyle name="60% - Accent3 2 2 2 2 2 3 2 2" xfId="29069"/>
    <cellStyle name="20% - Accent4 2 2 2 2 2 3 2 2" xfId="29070"/>
    <cellStyle name="40% - Accent4 2 2 2 2 2 3 2 2" xfId="29071"/>
    <cellStyle name="60% - Accent4 2 2 2 2 2 3 2 2" xfId="29072"/>
    <cellStyle name="20% - Accent5 2 2 2 2 2 3 2 2" xfId="29073"/>
    <cellStyle name="40% - Accent5 2 2 2 2 2 3 2 2" xfId="29074"/>
    <cellStyle name="60% - Accent5 2 2 2 2 2 3 2 2" xfId="29075"/>
    <cellStyle name="20% - Accent6 2 2 2 2 2 3 2 2" xfId="29076"/>
    <cellStyle name="40% - Accent6 2 2 2 2 2 3 2 2" xfId="29077"/>
    <cellStyle name="60% - Accent6 2 2 2 2 2 3 2 2" xfId="29078"/>
    <cellStyle name="Comma 2 2 2 2 2 2 4 2 2" xfId="29079"/>
    <cellStyle name="Comma 4 2 2 2 2 4 2 2" xfId="29080"/>
    <cellStyle name="Normal 3 8 2 2 2 2 3 2 2" xfId="29081"/>
    <cellStyle name="Normal 3 10 2 2 3 2 2" xfId="29082"/>
    <cellStyle name="Normal 3 11 2 2 3 2 2" xfId="29083"/>
    <cellStyle name="Normal 3 13 3 2 2" xfId="29084"/>
    <cellStyle name="Normal 3 2 7 3 2 2" xfId="29085"/>
    <cellStyle name="Normal 3 3 7 3 2 2" xfId="29086"/>
    <cellStyle name="Normal 3 4 7 3 2 2" xfId="29087"/>
    <cellStyle name="Normal 3 5 7 3 2 2" xfId="29088"/>
    <cellStyle name="20% - Accent1 7 3 2 2" xfId="29089"/>
    <cellStyle name="40% - Accent1 7 3 2 2" xfId="29090"/>
    <cellStyle name="60% - Accent1 7 3 2 2" xfId="29091"/>
    <cellStyle name="20% - Accent2 7 3 2 2" xfId="29092"/>
    <cellStyle name="40% - Accent2 7 3 2 2" xfId="29093"/>
    <cellStyle name="60% - Accent2 7 3 2 2" xfId="29094"/>
    <cellStyle name="20% - Accent3 7 3 2 2" xfId="29095"/>
    <cellStyle name="40% - Accent3 7 3 2 2" xfId="29096"/>
    <cellStyle name="60% - Accent3 7 3 2 2" xfId="29097"/>
    <cellStyle name="20% - Accent4 7 3 2 2" xfId="29098"/>
    <cellStyle name="40% - Accent4 7 3 2 2" xfId="29099"/>
    <cellStyle name="60% - Accent4 7 3 2 2" xfId="29100"/>
    <cellStyle name="20% - Accent5 7 3 2 2" xfId="29101"/>
    <cellStyle name="40% - Accent5 7 3 2 2" xfId="29102"/>
    <cellStyle name="60% - Accent5 7 3 2 2" xfId="29103"/>
    <cellStyle name="20% - Accent6 7 3 2 2" xfId="29104"/>
    <cellStyle name="40% - Accent6 7 3 2 2" xfId="29105"/>
    <cellStyle name="60% - Accent6 7 3 2 2" xfId="29106"/>
    <cellStyle name="Normal 3 2 2 6 3 2 2" xfId="29107"/>
    <cellStyle name="Normal 3 3 2 6 3 2 2" xfId="29108"/>
    <cellStyle name="Normal 3 4 2 6 3 2 2" xfId="29109"/>
    <cellStyle name="Normal 3 5 2 6 3 2 2" xfId="29110"/>
    <cellStyle name="Normal 5 6 3 2 2" xfId="29111"/>
    <cellStyle name="Percent 3 6 3 2 2" xfId="29112"/>
    <cellStyle name="Note 2 6 3 2 2" xfId="29113"/>
    <cellStyle name="Normal 3 6 6 3 2 2" xfId="29114"/>
    <cellStyle name="Comma 2 8 4 2 2" xfId="29115"/>
    <cellStyle name="Comma 3 8 4 2 2" xfId="29116"/>
    <cellStyle name="Percent 4 6 3 2 2" xfId="29117"/>
    <cellStyle name="Normal 3 7 6 3 2 2" xfId="29118"/>
    <cellStyle name="Note 3 6 3 2 2" xfId="29119"/>
    <cellStyle name="20% - Accent1 2 6 3 2 2" xfId="29120"/>
    <cellStyle name="40% - Accent1 2 6 3 2 2" xfId="29121"/>
    <cellStyle name="60% - Accent1 2 6 3 2 2" xfId="29122"/>
    <cellStyle name="20% - Accent2 2 6 3 2 2" xfId="29123"/>
    <cellStyle name="40% - Accent2 2 6 3 2 2" xfId="29124"/>
    <cellStyle name="60% - Accent2 2 6 3 2 2" xfId="29125"/>
    <cellStyle name="20% - Accent3 2 6 3 2 2" xfId="29126"/>
    <cellStyle name="40% - Accent3 2 6 3 2 2" xfId="29127"/>
    <cellStyle name="60% - Accent3 2 6 3 2 2" xfId="29128"/>
    <cellStyle name="20% - Accent4 2 6 3 2 2" xfId="29129"/>
    <cellStyle name="40% - Accent4 2 6 3 2 2" xfId="29130"/>
    <cellStyle name="60% - Accent4 2 6 3 2 2" xfId="29131"/>
    <cellStyle name="20% - Accent5 2 6 3 2 2" xfId="29132"/>
    <cellStyle name="40% - Accent5 2 6 3 2 2" xfId="29133"/>
    <cellStyle name="60% - Accent5 2 6 3 2 2" xfId="29134"/>
    <cellStyle name="20% - Accent6 2 6 3 2 2" xfId="29135"/>
    <cellStyle name="40% - Accent6 2 6 3 2 2" xfId="29136"/>
    <cellStyle name="60% - Accent6 2 6 3 2 2" xfId="29137"/>
    <cellStyle name="Comma 2 2 7 4 2 2" xfId="29138"/>
    <cellStyle name="Comma 4 7 4 2 2" xfId="29139"/>
    <cellStyle name="Normal 3 8 6 3 2 2" xfId="29140"/>
    <cellStyle name="Normal 7 5 3 2 2" xfId="29141"/>
    <cellStyle name="Comma 5 5 4 2 2" xfId="29142"/>
    <cellStyle name="20% - Accent1 3 5 3 2 2" xfId="29143"/>
    <cellStyle name="40% - Accent1 3 5 3 2 2" xfId="29144"/>
    <cellStyle name="60% - Accent1 3 5 3 2 2" xfId="29145"/>
    <cellStyle name="20% - Accent2 3 5 3 2 2" xfId="29146"/>
    <cellStyle name="40% - Accent2 3 5 3 2 2" xfId="29147"/>
    <cellStyle name="60% - Accent2 3 5 3 2 2" xfId="29148"/>
    <cellStyle name="20% - Accent3 3 5 3 2 2" xfId="29149"/>
    <cellStyle name="40% - Accent3 3 5 3 2 2" xfId="29150"/>
    <cellStyle name="60% - Accent3 3 5 3 2 2" xfId="29151"/>
    <cellStyle name="20% - Accent4 3 5 3 2 2" xfId="29152"/>
    <cellStyle name="40% - Accent4 3 5 3 2 2" xfId="29153"/>
    <cellStyle name="60% - Accent4 3 5 3 2 2" xfId="29154"/>
    <cellStyle name="20% - Accent5 3 5 3 2 2" xfId="29155"/>
    <cellStyle name="40% - Accent5 3 5 3 2 2" xfId="29156"/>
    <cellStyle name="60% - Accent5 3 5 3 2 2" xfId="29157"/>
    <cellStyle name="20% - Accent6 3 5 3 2 2" xfId="29158"/>
    <cellStyle name="40% - Accent6 3 5 3 2 2" xfId="29159"/>
    <cellStyle name="60% - Accent6 3 5 3 2 2" xfId="29160"/>
    <cellStyle name="Normal 3 2 3 5 3 2 2" xfId="29161"/>
    <cellStyle name="Normal 3 3 3 5 3 2 2" xfId="29162"/>
    <cellStyle name="Normal 3 4 3 5 3 2 2" xfId="29163"/>
    <cellStyle name="Normal 3 5 3 5 3 2 2" xfId="29164"/>
    <cellStyle name="Normal 3 2 2 2 5 3 2 2" xfId="29165"/>
    <cellStyle name="Normal 3 3 2 2 5 3 2 2" xfId="29166"/>
    <cellStyle name="Normal 3 4 2 2 5 3 2 2" xfId="29167"/>
    <cellStyle name="Normal 3 5 2 2 5 3 2 2" xfId="29168"/>
    <cellStyle name="Normal 5 2 5 3 2 2" xfId="29169"/>
    <cellStyle name="Percent 3 2 5 3 2 2" xfId="29170"/>
    <cellStyle name="Note 2 2 5 3 2 2" xfId="29171"/>
    <cellStyle name="Normal 3 6 2 5 3 2 2" xfId="29172"/>
    <cellStyle name="Comma 2 3 5 4 2 2" xfId="29173"/>
    <cellStyle name="Comma 3 2 5 4 2 2" xfId="29174"/>
    <cellStyle name="Percent 4 2 5 3 2 2" xfId="29175"/>
    <cellStyle name="Normal 3 7 2 5 3 2 2" xfId="29176"/>
    <cellStyle name="Note 3 2 5 3 2 2" xfId="29177"/>
    <cellStyle name="20% - Accent1 2 2 5 3 2 2" xfId="29178"/>
    <cellStyle name="40% - Accent1 2 2 5 3 2 2" xfId="29179"/>
    <cellStyle name="60% - Accent1 2 2 5 3 2 2" xfId="29180"/>
    <cellStyle name="20% - Accent2 2 2 5 3 2 2" xfId="29181"/>
    <cellStyle name="40% - Accent2 2 2 5 3 2 2" xfId="29182"/>
    <cellStyle name="60% - Accent2 2 2 5 3 2 2" xfId="29183"/>
    <cellStyle name="20% - Accent3 2 2 5 3 2 2" xfId="29184"/>
    <cellStyle name="40% - Accent3 2 2 5 3 2 2" xfId="29185"/>
    <cellStyle name="60% - Accent3 2 2 5 3 2 2" xfId="29186"/>
    <cellStyle name="20% - Accent4 2 2 5 3 2 2" xfId="29187"/>
    <cellStyle name="40% - Accent4 2 2 5 3 2 2" xfId="29188"/>
    <cellStyle name="60% - Accent4 2 2 5 3 2 2" xfId="29189"/>
    <cellStyle name="20% - Accent5 2 2 5 3 2 2" xfId="29190"/>
    <cellStyle name="40% - Accent5 2 2 5 3 2 2" xfId="29191"/>
    <cellStyle name="60% - Accent5 2 2 5 3 2 2" xfId="29192"/>
    <cellStyle name="20% - Accent6 2 2 5 3 2 2" xfId="29193"/>
    <cellStyle name="40% - Accent6 2 2 5 3 2 2" xfId="29194"/>
    <cellStyle name="60% - Accent6 2 2 5 3 2 2" xfId="29195"/>
    <cellStyle name="Comma 2 2 2 5 4 2 2" xfId="29196"/>
    <cellStyle name="Comma 4 2 5 4 2 2" xfId="29197"/>
    <cellStyle name="Normal 3 8 2 5 3 2 2" xfId="29198"/>
    <cellStyle name="Normal 8 4 3 2 2" xfId="29199"/>
    <cellStyle name="Comma 6 4 4 2 2" xfId="29200"/>
    <cellStyle name="20% - Accent1 4 4 3 2 2" xfId="29201"/>
    <cellStyle name="40% - Accent1 4 4 3 2 2" xfId="29202"/>
    <cellStyle name="60% - Accent1 4 4 3 2 2" xfId="29203"/>
    <cellStyle name="20% - Accent2 4 4 3 2 2" xfId="29204"/>
    <cellStyle name="40% - Accent2 4 4 3 2 2" xfId="29205"/>
    <cellStyle name="60% - Accent2 4 4 3 2 2" xfId="29206"/>
    <cellStyle name="20% - Accent3 4 4 3 2 2" xfId="29207"/>
    <cellStyle name="40% - Accent3 4 4 3 2 2" xfId="29208"/>
    <cellStyle name="60% - Accent3 4 4 3 2 2" xfId="29209"/>
    <cellStyle name="20% - Accent4 4 4 3 2 2" xfId="29210"/>
    <cellStyle name="40% - Accent4 4 4 3 2 2" xfId="29211"/>
    <cellStyle name="60% - Accent4 4 4 3 2 2" xfId="29212"/>
    <cellStyle name="20% - Accent5 4 4 3 2 2" xfId="29213"/>
    <cellStyle name="40% - Accent5 4 4 3 2 2" xfId="29214"/>
    <cellStyle name="60% - Accent5 4 4 3 2 2" xfId="29215"/>
    <cellStyle name="20% - Accent6 4 4 3 2 2" xfId="29216"/>
    <cellStyle name="40% - Accent6 4 4 3 2 2" xfId="29217"/>
    <cellStyle name="60% - Accent6 4 4 3 2 2" xfId="29218"/>
    <cellStyle name="Normal 3 2 4 4 3 2 2" xfId="29219"/>
    <cellStyle name="Normal 3 3 4 4 3 2 2" xfId="29220"/>
    <cellStyle name="Normal 3 4 4 4 3 2 2" xfId="29221"/>
    <cellStyle name="Normal 3 5 4 4 3 2 2" xfId="29222"/>
    <cellStyle name="Normal 3 2 2 3 4 3 2 2" xfId="29223"/>
    <cellStyle name="Normal 3 3 2 3 4 3 2 2" xfId="29224"/>
    <cellStyle name="Normal 3 4 2 3 4 3 2 2" xfId="29225"/>
    <cellStyle name="Normal 3 5 2 3 4 3 2 2" xfId="29226"/>
    <cellStyle name="Normal 5 3 4 3 2 2" xfId="29227"/>
    <cellStyle name="Percent 3 3 4 3 2 2" xfId="29228"/>
    <cellStyle name="Note 2 3 4 3 2 2" xfId="29229"/>
    <cellStyle name="Normal 3 6 3 4 3 2 2" xfId="29230"/>
    <cellStyle name="Comma 2 5 4 4 2 2" xfId="29231"/>
    <cellStyle name="Comma 3 4 4 4 2 2" xfId="29232"/>
    <cellStyle name="Percent 4 3 4 3 2 2" xfId="29233"/>
    <cellStyle name="Normal 3 7 3 4 3 2 2" xfId="29234"/>
    <cellStyle name="Note 3 3 4 3 2 2" xfId="29235"/>
    <cellStyle name="20% - Accent1 2 3 4 3 2 2" xfId="29236"/>
    <cellStyle name="40% - Accent1 2 3 4 3 2 2" xfId="29237"/>
    <cellStyle name="60% - Accent1 2 3 4 3 2 2" xfId="29238"/>
    <cellStyle name="20% - Accent2 2 3 4 3 2 2" xfId="29239"/>
    <cellStyle name="40% - Accent2 2 3 4 3 2 2" xfId="29240"/>
    <cellStyle name="60% - Accent2 2 3 4 3 2 2" xfId="29241"/>
    <cellStyle name="20% - Accent3 2 3 4 3 2 2" xfId="29242"/>
    <cellStyle name="40% - Accent3 2 3 4 3 2 2" xfId="29243"/>
    <cellStyle name="60% - Accent3 2 3 4 3 2 2" xfId="29244"/>
    <cellStyle name="20% - Accent4 2 3 4 3 2 2" xfId="29245"/>
    <cellStyle name="40% - Accent4 2 3 4 3 2 2" xfId="29246"/>
    <cellStyle name="60% - Accent4 2 3 4 3 2 2" xfId="29247"/>
    <cellStyle name="20% - Accent5 2 3 4 3 2 2" xfId="29248"/>
    <cellStyle name="40% - Accent5 2 3 4 3 2 2" xfId="29249"/>
    <cellStyle name="60% - Accent5 2 3 4 3 2 2" xfId="29250"/>
    <cellStyle name="20% - Accent6 2 3 4 3 2 2" xfId="29251"/>
    <cellStyle name="40% - Accent6 2 3 4 3 2 2" xfId="29252"/>
    <cellStyle name="60% - Accent6 2 3 4 3 2 2" xfId="29253"/>
    <cellStyle name="Comma 2 2 4 4 4 2 2" xfId="29254"/>
    <cellStyle name="Comma 4 4 4 4 2 2" xfId="29255"/>
    <cellStyle name="Normal 3 8 3 4 3 2 2" xfId="29256"/>
    <cellStyle name="Comma 2 4 4 4 2 2" xfId="29257"/>
    <cellStyle name="Comma 3 3 4 4 2 2" xfId="29258"/>
    <cellStyle name="Comma 2 2 3 4 4 2 2" xfId="29259"/>
    <cellStyle name="Comma 4 3 4 4 2 2" xfId="29260"/>
    <cellStyle name="Normal 7 2 4 3 2 2" xfId="29261"/>
    <cellStyle name="Comma 5 2 4 4 2 2" xfId="29262"/>
    <cellStyle name="20% - Accent1 3 2 4 3 2 2" xfId="29263"/>
    <cellStyle name="40% - Accent1 3 2 4 3 2 2" xfId="29264"/>
    <cellStyle name="60% - Accent1 3 2 4 3 2 2" xfId="29265"/>
    <cellStyle name="20% - Accent2 3 2 4 3 2 2" xfId="29266"/>
    <cellStyle name="40% - Accent2 3 2 4 3 2 2" xfId="29267"/>
    <cellStyle name="60% - Accent2 3 2 4 3 2 2" xfId="29268"/>
    <cellStyle name="20% - Accent3 3 2 4 3 2 2" xfId="29269"/>
    <cellStyle name="40% - Accent3 3 2 4 3 2 2" xfId="29270"/>
    <cellStyle name="60% - Accent3 3 2 4 3 2 2" xfId="29271"/>
    <cellStyle name="20% - Accent4 3 2 4 3 2 2" xfId="29272"/>
    <cellStyle name="40% - Accent4 3 2 4 3 2 2" xfId="29273"/>
    <cellStyle name="60% - Accent4 3 2 4 3 2 2" xfId="29274"/>
    <cellStyle name="20% - Accent5 3 2 4 3 2 2" xfId="29275"/>
    <cellStyle name="40% - Accent5 3 2 4 3 2 2" xfId="29276"/>
    <cellStyle name="60% - Accent5 3 2 4 3 2 2" xfId="29277"/>
    <cellStyle name="20% - Accent6 3 2 4 3 2 2" xfId="29278"/>
    <cellStyle name="40% - Accent6 3 2 4 3 2 2" xfId="29279"/>
    <cellStyle name="60% - Accent6 3 2 4 3 2 2" xfId="29280"/>
    <cellStyle name="Normal 3 2 3 2 4 3 2 2" xfId="29281"/>
    <cellStyle name="Normal 3 3 3 2 4 3 2 2" xfId="29282"/>
    <cellStyle name="Normal 3 4 3 2 4 3 2 2" xfId="29283"/>
    <cellStyle name="Normal 3 5 3 2 4 3 2 2" xfId="29284"/>
    <cellStyle name="Normal 3 2 2 2 2 4 3 2 2" xfId="29285"/>
    <cellStyle name="Normal 3 3 2 2 2 4 3 2 2" xfId="29286"/>
    <cellStyle name="Normal 3 4 2 2 2 4 3 2 2" xfId="29287"/>
    <cellStyle name="Normal 3 5 2 2 2 4 3 2 2" xfId="29288"/>
    <cellStyle name="Normal 5 2 2 4 3 2 2" xfId="29289"/>
    <cellStyle name="Percent 3 2 2 4 3 2 2" xfId="29290"/>
    <cellStyle name="Note 2 2 2 4 3 2 2" xfId="29291"/>
    <cellStyle name="Normal 3 6 2 2 4 3 2 2" xfId="29292"/>
    <cellStyle name="Comma 2 3 2 4 4 2 2" xfId="29293"/>
    <cellStyle name="Comma 3 2 2 4 4 2 2" xfId="29294"/>
    <cellStyle name="Percent 4 2 2 4 3 2 2" xfId="29295"/>
    <cellStyle name="Normal 3 7 2 2 4 3 2 2" xfId="29296"/>
    <cellStyle name="Note 3 2 2 4 3 2 2" xfId="29297"/>
    <cellStyle name="20% - Accent1 2 2 2 4 3 2 2" xfId="29298"/>
    <cellStyle name="40% - Accent1 2 2 2 4 3 2 2" xfId="29299"/>
    <cellStyle name="60% - Accent1 2 2 2 4 3 2 2" xfId="29300"/>
    <cellStyle name="20% - Accent2 2 2 2 4 3 2 2" xfId="29301"/>
    <cellStyle name="40% - Accent2 2 2 2 4 3 2 2" xfId="29302"/>
    <cellStyle name="60% - Accent2 2 2 2 4 3 2 2" xfId="29303"/>
    <cellStyle name="20% - Accent3 2 2 2 4 3 2 2" xfId="29304"/>
    <cellStyle name="40% - Accent3 2 2 2 4 3 2 2" xfId="29305"/>
    <cellStyle name="60% - Accent3 2 2 2 4 3 2 2" xfId="29306"/>
    <cellStyle name="20% - Accent4 2 2 2 4 3 2 2" xfId="29307"/>
    <cellStyle name="40% - Accent4 2 2 2 4 3 2 2" xfId="29308"/>
    <cellStyle name="60% - Accent4 2 2 2 4 3 2 2" xfId="29309"/>
    <cellStyle name="20% - Accent5 2 2 2 4 3 2 2" xfId="29310"/>
    <cellStyle name="40% - Accent5 2 2 2 4 3 2 2" xfId="29311"/>
    <cellStyle name="60% - Accent5 2 2 2 4 3 2 2" xfId="29312"/>
    <cellStyle name="20% - Accent6 2 2 2 4 3 2 2" xfId="29313"/>
    <cellStyle name="40% - Accent6 2 2 2 4 3 2 2" xfId="29314"/>
    <cellStyle name="60% - Accent6 2 2 2 4 3 2 2" xfId="29315"/>
    <cellStyle name="Comma 2 2 2 2 4 4 2 2" xfId="29316"/>
    <cellStyle name="Comma 4 2 2 4 4 2 2" xfId="29317"/>
    <cellStyle name="Normal 3 8 2 2 4 3 2 2" xfId="29318"/>
    <cellStyle name="Normal 3 10 4 3 2 2" xfId="29319"/>
    <cellStyle name="Normal 3 11 4 3 2 2" xfId="29320"/>
    <cellStyle name="Normal 12 3 2 2" xfId="29321"/>
    <cellStyle name="Percent 8 3 2 2" xfId="29322"/>
    <cellStyle name="Note 4 3 2 2" xfId="29323"/>
    <cellStyle name="20% - Accent1 8 3 2 2" xfId="29324"/>
    <cellStyle name="40% - Accent1 8 3 2 2" xfId="29325"/>
    <cellStyle name="60% - Accent1 8 3 2 2" xfId="29326"/>
    <cellStyle name="20% - Accent2 8 3 2 2" xfId="29327"/>
    <cellStyle name="40% - Accent2 8 3 2 2" xfId="29328"/>
    <cellStyle name="60% - Accent2 8 3 2 2" xfId="29329"/>
    <cellStyle name="20% - Accent3 8 3 2 2" xfId="29330"/>
    <cellStyle name="40% - Accent3 8 3 2 2" xfId="29331"/>
    <cellStyle name="60% - Accent3 8 3 2 2" xfId="29332"/>
    <cellStyle name="20% - Accent4 8 3 2 2" xfId="29333"/>
    <cellStyle name="40% - Accent4 8 3 2 2" xfId="29334"/>
    <cellStyle name="60% - Accent4 8 3 2 2" xfId="29335"/>
    <cellStyle name="20% - Accent5 8 3 2 2" xfId="29336"/>
    <cellStyle name="40% - Accent5 8 3 2 2" xfId="29337"/>
    <cellStyle name="60% - Accent5 8 3 2 2" xfId="29338"/>
    <cellStyle name="20% - Accent6 8 3 2 2" xfId="29339"/>
    <cellStyle name="40% - Accent6 8 3 2 2" xfId="29340"/>
    <cellStyle name="60% - Accent6 8 3 2 2" xfId="29341"/>
    <cellStyle name="Comma 2 9 4 2 2" xfId="29342"/>
    <cellStyle name="Comma 7 4 2 2" xfId="29343"/>
    <cellStyle name="Normal 13 5 2 2" xfId="29344"/>
    <cellStyle name="Comma 8 3 2 2" xfId="29345"/>
    <cellStyle name="20% - Accent1 9 3 2 2" xfId="29346"/>
    <cellStyle name="40% - Accent1 9 3 2 2" xfId="29347"/>
    <cellStyle name="60% - Accent1 9 3 2 2" xfId="29348"/>
    <cellStyle name="20% - Accent2 9 3 2 2" xfId="29349"/>
    <cellStyle name="40% - Accent2 9 3 2 2" xfId="29350"/>
    <cellStyle name="60% - Accent2 9 3 2 2" xfId="29351"/>
    <cellStyle name="20% - Accent3 9 3 2 2" xfId="29352"/>
    <cellStyle name="40% - Accent3 9 3 2 2" xfId="29353"/>
    <cellStyle name="60% - Accent3 9 3 2 2" xfId="29354"/>
    <cellStyle name="20% - Accent4 9 3 2 2" xfId="29355"/>
    <cellStyle name="40% - Accent4 9 3 2 2" xfId="29356"/>
    <cellStyle name="60% - Accent4 9 3 2 2" xfId="29357"/>
    <cellStyle name="20% - Accent5 9 3 2 2" xfId="29358"/>
    <cellStyle name="40% - Accent5 9 3 2 2" xfId="29359"/>
    <cellStyle name="60% - Accent5 9 3 2 2" xfId="29360"/>
    <cellStyle name="20% - Accent6 9 3 2 2" xfId="29361"/>
    <cellStyle name="40% - Accent6 9 3 2 2" xfId="29362"/>
    <cellStyle name="60% - Accent6 9 3 2 2" xfId="29363"/>
    <cellStyle name="Normal 3 2 8 3 2 2" xfId="29364"/>
    <cellStyle name="Normal 3 3 8 3 2 2" xfId="29365"/>
    <cellStyle name="Normal 3 4 8 3 2 2" xfId="29366"/>
    <cellStyle name="Normal 3 5 8 3 2 2" xfId="29367"/>
    <cellStyle name="Normal 3 2 2 7 3 2 2" xfId="29368"/>
    <cellStyle name="Normal 3 3 2 7 3 2 2" xfId="29369"/>
    <cellStyle name="Normal 3 4 2 7 3 2 2" xfId="29370"/>
    <cellStyle name="Normal 3 5 2 7 3 2 2" xfId="29371"/>
    <cellStyle name="Normal 5 7 3 2 2" xfId="29372"/>
    <cellStyle name="Percent 3 7 3 2 2" xfId="29373"/>
    <cellStyle name="Note 2 7 3 2 2" xfId="29374"/>
    <cellStyle name="Normal 3 6 7 3 2 2" xfId="29375"/>
    <cellStyle name="Comma 2 10 3 2 2" xfId="29376"/>
    <cellStyle name="Comma 3 9 3 2 2" xfId="29377"/>
    <cellStyle name="Percent 4 7 3 2 2" xfId="29378"/>
    <cellStyle name="Normal 3 7 7 3 2 2" xfId="29379"/>
    <cellStyle name="Note 3 7 3 2 2" xfId="29380"/>
    <cellStyle name="20% - Accent1 2 7 3 2 2" xfId="29381"/>
    <cellStyle name="40% - Accent1 2 7 3 2 2" xfId="29382"/>
    <cellStyle name="60% - Accent1 2 7 3 2 2" xfId="29383"/>
    <cellStyle name="20% - Accent2 2 7 3 2 2" xfId="29384"/>
    <cellStyle name="40% - Accent2 2 7 3 2 2" xfId="29385"/>
    <cellStyle name="60% - Accent2 2 7 3 2 2" xfId="29386"/>
    <cellStyle name="20% - Accent3 2 7 3 2 2" xfId="29387"/>
    <cellStyle name="40% - Accent3 2 7 3 2 2" xfId="29388"/>
    <cellStyle name="60% - Accent3 2 7 3 2 2" xfId="29389"/>
    <cellStyle name="20% - Accent4 2 7 3 2 2" xfId="29390"/>
    <cellStyle name="40% - Accent4 2 7 3 2 2" xfId="29391"/>
    <cellStyle name="60% - Accent4 2 7 3 2 2" xfId="29392"/>
    <cellStyle name="20% - Accent5 2 7 3 2 2" xfId="29393"/>
    <cellStyle name="40% - Accent5 2 7 3 2 2" xfId="29394"/>
    <cellStyle name="60% - Accent5 2 7 3 2 2" xfId="29395"/>
    <cellStyle name="20% - Accent6 2 7 3 2 2" xfId="29396"/>
    <cellStyle name="40% - Accent6 2 7 3 2 2" xfId="29397"/>
    <cellStyle name="60% - Accent6 2 7 3 2 2" xfId="29398"/>
    <cellStyle name="Comma 2 2 8 3 2 2" xfId="29399"/>
    <cellStyle name="Comma 4 8 3 2 2" xfId="29400"/>
    <cellStyle name="Normal 3 8 7 3 2 2" xfId="29401"/>
    <cellStyle name="Comma 2 4 5 3 2 2" xfId="29402"/>
    <cellStyle name="Comma 3 3 5 3 2 2" xfId="29403"/>
    <cellStyle name="Comma 2 2 3 5 3 2 2" xfId="29404"/>
    <cellStyle name="Comma 4 3 5 3 2 2" xfId="29405"/>
    <cellStyle name="Normal 7 6 3 2 2" xfId="29406"/>
    <cellStyle name="Comma 5 6 3 2 2" xfId="29407"/>
    <cellStyle name="20% - Accent1 3 6 3 2 2" xfId="29408"/>
    <cellStyle name="40% - Accent1 3 6 3 2 2" xfId="29409"/>
    <cellStyle name="60% - Accent1 3 6 3 2 2" xfId="29410"/>
    <cellStyle name="20% - Accent2 3 6 3 2 2" xfId="29411"/>
    <cellStyle name="40% - Accent2 3 6 3 2 2" xfId="29412"/>
    <cellStyle name="60% - Accent2 3 6 3 2 2" xfId="29413"/>
    <cellStyle name="20% - Accent3 3 6 3 2 2" xfId="29414"/>
    <cellStyle name="40% - Accent3 3 6 3 2 2" xfId="29415"/>
    <cellStyle name="60% - Accent3 3 6 3 2 2" xfId="29416"/>
    <cellStyle name="20% - Accent4 3 6 3 2 2" xfId="29417"/>
    <cellStyle name="40% - Accent4 3 6 3 2 2" xfId="29418"/>
    <cellStyle name="60% - Accent4 3 6 3 2 2" xfId="29419"/>
    <cellStyle name="20% - Accent5 3 6 3 2 2" xfId="29420"/>
    <cellStyle name="40% - Accent5 3 6 3 2 2" xfId="29421"/>
    <cellStyle name="60% - Accent5 3 6 3 2 2" xfId="29422"/>
    <cellStyle name="20% - Accent6 3 6 3 2 2" xfId="29423"/>
    <cellStyle name="40% - Accent6 3 6 3 2 2" xfId="29424"/>
    <cellStyle name="60% - Accent6 3 6 3 2 2" xfId="29425"/>
    <cellStyle name="Normal 3 2 3 6 3 2 2" xfId="29426"/>
    <cellStyle name="Normal 3 3 3 6 3 2 2" xfId="29427"/>
    <cellStyle name="Normal 3 4 3 6 3 2 2" xfId="29428"/>
    <cellStyle name="Normal 3 5 3 6 3 2 2" xfId="29429"/>
    <cellStyle name="Normal 3 2 2 2 6 3 2 2" xfId="29430"/>
    <cellStyle name="Normal 3 3 2 2 6 3 2 2" xfId="29431"/>
    <cellStyle name="Normal 3 4 2 2 6 3 2 2" xfId="29432"/>
    <cellStyle name="Normal 3 5 2 2 6 3 2 2" xfId="29433"/>
    <cellStyle name="Normal 5 2 6 3 2 2" xfId="29434"/>
    <cellStyle name="Percent 3 2 6 3 2 2" xfId="29435"/>
    <cellStyle name="Note 2 2 6 3 2 2" xfId="29436"/>
    <cellStyle name="Normal 3 6 2 6 3 2 2" xfId="29437"/>
    <cellStyle name="Comma 2 3 6 3 2 2" xfId="29438"/>
    <cellStyle name="Comma 3 2 6 3 2 2" xfId="29439"/>
    <cellStyle name="Percent 4 2 6 3 2 2" xfId="29440"/>
    <cellStyle name="Normal 3 7 2 6 3 2 2" xfId="29441"/>
    <cellStyle name="Note 3 2 6 3 2 2" xfId="29442"/>
    <cellStyle name="20% - Accent1 2 2 6 3 2 2" xfId="29443"/>
    <cellStyle name="40% - Accent1 2 2 6 3 2 2" xfId="29444"/>
    <cellStyle name="60% - Accent1 2 2 6 3 2 2" xfId="29445"/>
    <cellStyle name="20% - Accent2 2 2 6 3 2 2" xfId="29446"/>
    <cellStyle name="40% - Accent2 2 2 6 3 2 2" xfId="29447"/>
    <cellStyle name="60% - Accent2 2 2 6 3 2 2" xfId="29448"/>
    <cellStyle name="20% - Accent3 2 2 6 3 2 2" xfId="29449"/>
    <cellStyle name="40% - Accent3 2 2 6 3 2 2" xfId="29450"/>
    <cellStyle name="60% - Accent3 2 2 6 3 2 2" xfId="29451"/>
    <cellStyle name="20% - Accent4 2 2 6 3 2 2" xfId="29452"/>
    <cellStyle name="40% - Accent4 2 2 6 3 2 2" xfId="29453"/>
    <cellStyle name="60% - Accent4 2 2 6 3 2 2" xfId="29454"/>
    <cellStyle name="20% - Accent5 2 2 6 3 2 2" xfId="29455"/>
    <cellStyle name="40% - Accent5 2 2 6 3 2 2" xfId="29456"/>
    <cellStyle name="60% - Accent5 2 2 6 3 2 2" xfId="29457"/>
    <cellStyle name="20% - Accent6 2 2 6 3 2 2" xfId="29458"/>
    <cellStyle name="40% - Accent6 2 2 6 3 2 2" xfId="29459"/>
    <cellStyle name="60% - Accent6 2 2 6 3 2 2" xfId="29460"/>
    <cellStyle name="Comma 2 2 2 6 3 2 2" xfId="29461"/>
    <cellStyle name="Comma 4 2 6 3 2 2" xfId="29462"/>
    <cellStyle name="Normal 3 8 2 6 3 2 2" xfId="29463"/>
    <cellStyle name="20% - Accent1 10 2 2 2" xfId="29464"/>
    <cellStyle name="40% - Accent1 10 2 2 2" xfId="29465"/>
    <cellStyle name="60% - Accent1 10 2 2 2" xfId="29466"/>
    <cellStyle name="20% - Accent2 10 2 2 2" xfId="29467"/>
    <cellStyle name="40% - Accent2 10 2 2 2" xfId="29468"/>
    <cellStyle name="60% - Accent2 10 2 2 2" xfId="29469"/>
    <cellStyle name="20% - Accent3 10 2 2 2" xfId="29470"/>
    <cellStyle name="40% - Accent3 10 2 2 2" xfId="29471"/>
    <cellStyle name="60% - Accent3 10 2 2 2" xfId="29472"/>
    <cellStyle name="20% - Accent4 10 2 2 2" xfId="29473"/>
    <cellStyle name="40% - Accent4 10 2 2 2" xfId="29474"/>
    <cellStyle name="60% - Accent4 10 2 2 2" xfId="29475"/>
    <cellStyle name="20% - Accent5 10 2 2 2" xfId="29476"/>
    <cellStyle name="40% - Accent5 10 2 2 2" xfId="29477"/>
    <cellStyle name="60% - Accent5 10 2 2 2" xfId="29478"/>
    <cellStyle name="20% - Accent6 10 2 2 2" xfId="29479"/>
    <cellStyle name="40% - Accent6 10 2 2 2" xfId="29480"/>
    <cellStyle name="60% - Accent6 10 2 2 2" xfId="29481"/>
    <cellStyle name="Normal 3 2 9 2 2 2" xfId="29482"/>
    <cellStyle name="Normal 3 3 9 2 2 2" xfId="29483"/>
    <cellStyle name="Normal 3 4 9 2 2 2" xfId="29484"/>
    <cellStyle name="Normal 3 5 9 2 2 2" xfId="29485"/>
    <cellStyle name="Normal 3 2 2 8 2 2 2" xfId="29486"/>
    <cellStyle name="Normal 3 3 2 8 2 2 2" xfId="29487"/>
    <cellStyle name="Normal 3 4 2 8 2 2 2" xfId="29488"/>
    <cellStyle name="Normal 3 5 2 8 2 2 2" xfId="29489"/>
    <cellStyle name="Normal 5 8 2 2 2" xfId="29490"/>
    <cellStyle name="Percent 3 8 2 2 2" xfId="29491"/>
    <cellStyle name="Note 2 8 2 2 2" xfId="29492"/>
    <cellStyle name="Normal 3 6 8 2 2 2" xfId="29493"/>
    <cellStyle name="Comma 2 12 2 2 2" xfId="29494"/>
    <cellStyle name="Comma 3 11 2 2 2" xfId="29495"/>
    <cellStyle name="Percent 4 8 2 2 2" xfId="29496"/>
    <cellStyle name="Normal 3 7 8 2 2 2" xfId="29497"/>
    <cellStyle name="Note 3 8 2 2 2" xfId="29498"/>
    <cellStyle name="20% - Accent1 2 8 2 2 2" xfId="29499"/>
    <cellStyle name="40% - Accent1 2 8 2 2 2" xfId="29500"/>
    <cellStyle name="60% - Accent1 2 8 2 2 2" xfId="29501"/>
    <cellStyle name="20% - Accent2 2 8 2 2 2" xfId="29502"/>
    <cellStyle name="40% - Accent2 2 8 2 2 2" xfId="29503"/>
    <cellStyle name="60% - Accent2 2 8 2 2 2" xfId="29504"/>
    <cellStyle name="20% - Accent3 2 8 2 2 2" xfId="29505"/>
    <cellStyle name="40% - Accent3 2 8 2 2 2" xfId="29506"/>
    <cellStyle name="60% - Accent3 2 8 2 2 2" xfId="29507"/>
    <cellStyle name="20% - Accent4 2 8 2 2 2" xfId="29508"/>
    <cellStyle name="40% - Accent4 2 8 2 2 2" xfId="29509"/>
    <cellStyle name="60% - Accent4 2 8 2 2 2" xfId="29510"/>
    <cellStyle name="20% - Accent5 2 8 2 2 2" xfId="29511"/>
    <cellStyle name="40% - Accent5 2 8 2 2 2" xfId="29512"/>
    <cellStyle name="60% - Accent5 2 8 2 2 2" xfId="29513"/>
    <cellStyle name="20% - Accent6 2 8 2 2 2" xfId="29514"/>
    <cellStyle name="40% - Accent6 2 8 2 2 2" xfId="29515"/>
    <cellStyle name="60% - Accent6 2 8 2 2 2" xfId="29516"/>
    <cellStyle name="Comma 2 2 10 2 2 2" xfId="29517"/>
    <cellStyle name="Comma 4 10 2 2 2" xfId="29518"/>
    <cellStyle name="Normal 3 8 8 2 2 2" xfId="29519"/>
    <cellStyle name="Normal 7 7 2 2 2" xfId="29520"/>
    <cellStyle name="Comma 5 8 2 2 2" xfId="29521"/>
    <cellStyle name="20% - Accent1 3 7 2 2 2" xfId="29522"/>
    <cellStyle name="40% - Accent1 3 7 2 2 2" xfId="29523"/>
    <cellStyle name="60% - Accent1 3 7 2 2 2" xfId="29524"/>
    <cellStyle name="20% - Accent2 3 7 2 2 2" xfId="29525"/>
    <cellStyle name="40% - Accent2 3 7 2 2 2" xfId="29526"/>
    <cellStyle name="60% - Accent2 3 7 2 2 2" xfId="29527"/>
    <cellStyle name="20% - Accent3 3 7 2 2 2" xfId="29528"/>
    <cellStyle name="40% - Accent3 3 7 2 2 2" xfId="29529"/>
    <cellStyle name="60% - Accent3 3 7 2 2 2" xfId="29530"/>
    <cellStyle name="20% - Accent4 3 7 2 2 2" xfId="29531"/>
    <cellStyle name="40% - Accent4 3 7 2 2 2" xfId="29532"/>
    <cellStyle name="60% - Accent4 3 7 2 2 2" xfId="29533"/>
    <cellStyle name="20% - Accent5 3 7 2 2 2" xfId="29534"/>
    <cellStyle name="40% - Accent5 3 7 2 2 2" xfId="29535"/>
    <cellStyle name="60% - Accent5 3 7 2 2 2" xfId="29536"/>
    <cellStyle name="20% - Accent6 3 7 2 2 2" xfId="29537"/>
    <cellStyle name="40% - Accent6 3 7 2 2 2" xfId="29538"/>
    <cellStyle name="60% - Accent6 3 7 2 2 2" xfId="29539"/>
    <cellStyle name="Normal 3 2 3 7 2 2 2" xfId="29540"/>
    <cellStyle name="Normal 3 3 3 7 2 2 2" xfId="29541"/>
    <cellStyle name="Normal 3 4 3 7 2 2 2" xfId="29542"/>
    <cellStyle name="Normal 3 5 3 7 2 2 2" xfId="29543"/>
    <cellStyle name="Normal 3 2 2 2 7 2 2 2" xfId="29544"/>
    <cellStyle name="Normal 3 3 2 2 7 2 2 2" xfId="29545"/>
    <cellStyle name="Normal 3 4 2 2 7 2 2 2" xfId="29546"/>
    <cellStyle name="Normal 3 5 2 2 7 2 2 2" xfId="29547"/>
    <cellStyle name="Normal 5 2 7 2 2 2" xfId="29548"/>
    <cellStyle name="Percent 3 2 7 2 2 2" xfId="29549"/>
    <cellStyle name="Note 2 2 7 2 2 2" xfId="29550"/>
    <cellStyle name="Normal 3 6 2 7 2 2 2" xfId="29551"/>
    <cellStyle name="Comma 2 3 8 2 2 2" xfId="29552"/>
    <cellStyle name="Comma 3 2 8 2 2 2" xfId="29553"/>
    <cellStyle name="Percent 4 2 7 2 2 2" xfId="29554"/>
    <cellStyle name="Normal 3 7 2 7 2 2 2" xfId="29555"/>
    <cellStyle name="Note 3 2 7 2 2 2" xfId="29556"/>
    <cellStyle name="20% - Accent1 2 2 7 2 2 2" xfId="29557"/>
    <cellStyle name="40% - Accent1 2 2 7 2 2 2" xfId="29558"/>
    <cellStyle name="60% - Accent1 2 2 7 2 2 2" xfId="29559"/>
    <cellStyle name="20% - Accent2 2 2 7 2 2 2" xfId="29560"/>
    <cellStyle name="40% - Accent2 2 2 7 2 2 2" xfId="29561"/>
    <cellStyle name="60% - Accent2 2 2 7 2 2 2" xfId="29562"/>
    <cellStyle name="20% - Accent3 2 2 7 2 2 2" xfId="29563"/>
    <cellStyle name="40% - Accent3 2 2 7 2 2 2" xfId="29564"/>
    <cellStyle name="60% - Accent3 2 2 7 2 2 2" xfId="29565"/>
    <cellStyle name="20% - Accent4 2 2 7 2 2 2" xfId="29566"/>
    <cellStyle name="40% - Accent4 2 2 7 2 2 2" xfId="29567"/>
    <cellStyle name="60% - Accent4 2 2 7 2 2 2" xfId="29568"/>
    <cellStyle name="20% - Accent5 2 2 7 2 2 2" xfId="29569"/>
    <cellStyle name="40% - Accent5 2 2 7 2 2 2" xfId="29570"/>
    <cellStyle name="60% - Accent5 2 2 7 2 2 2" xfId="29571"/>
    <cellStyle name="20% - Accent6 2 2 7 2 2 2" xfId="29572"/>
    <cellStyle name="40% - Accent6 2 2 7 2 2 2" xfId="29573"/>
    <cellStyle name="60% - Accent6 2 2 7 2 2 2" xfId="29574"/>
    <cellStyle name="Comma 2 2 2 8 2 2 2" xfId="29575"/>
    <cellStyle name="Comma 4 2 8 2 2 2" xfId="29576"/>
    <cellStyle name="Normal 3 8 2 7 2 2 2" xfId="29577"/>
    <cellStyle name="Normal 8 5 2 2 2" xfId="29578"/>
    <cellStyle name="Comma 6 6 2 2 2" xfId="29579"/>
    <cellStyle name="20% - Accent1 4 5 2 2 2" xfId="29580"/>
    <cellStyle name="40% - Accent1 4 5 2 2 2" xfId="29581"/>
    <cellStyle name="60% - Accent1 4 5 2 2 2" xfId="29582"/>
    <cellStyle name="20% - Accent2 4 5 2 2 2" xfId="29583"/>
    <cellStyle name="40% - Accent2 4 5 2 2 2" xfId="29584"/>
    <cellStyle name="60% - Accent2 4 5 2 2 2" xfId="29585"/>
    <cellStyle name="20% - Accent3 4 5 2 2 2" xfId="29586"/>
    <cellStyle name="40% - Accent3 4 5 2 2 2" xfId="29587"/>
    <cellStyle name="60% - Accent3 4 5 2 2 2" xfId="29588"/>
    <cellStyle name="20% - Accent4 4 5 2 2 2" xfId="29589"/>
    <cellStyle name="40% - Accent4 4 5 2 2 2" xfId="29590"/>
    <cellStyle name="60% - Accent4 4 5 2 2 2" xfId="29591"/>
    <cellStyle name="20% - Accent5 4 5 2 2 2" xfId="29592"/>
    <cellStyle name="40% - Accent5 4 5 2 2 2" xfId="29593"/>
    <cellStyle name="60% - Accent5 4 5 2 2 2" xfId="29594"/>
    <cellStyle name="20% - Accent6 4 5 2 2 2" xfId="29595"/>
    <cellStyle name="40% - Accent6 4 5 2 2 2" xfId="29596"/>
    <cellStyle name="60% - Accent6 4 5 2 2 2" xfId="29597"/>
    <cellStyle name="Normal 3 2 4 5 2 2 2" xfId="29598"/>
    <cellStyle name="Normal 3 3 4 5 2 2 2" xfId="29599"/>
    <cellStyle name="Normal 3 4 4 5 2 2 2" xfId="29600"/>
    <cellStyle name="Normal 3 5 4 5 2 2 2" xfId="29601"/>
    <cellStyle name="Normal 3 2 2 3 5 2 2 2" xfId="29602"/>
    <cellStyle name="Normal 3 3 2 3 5 2 2 2" xfId="29603"/>
    <cellStyle name="Normal 3 4 2 3 5 2 2 2" xfId="29604"/>
    <cellStyle name="Normal 3 5 2 3 5 2 2 2" xfId="29605"/>
    <cellStyle name="Normal 5 3 5 2 2 2" xfId="29606"/>
    <cellStyle name="Percent 3 3 5 2 2 2" xfId="29607"/>
    <cellStyle name="Note 2 3 5 2 2 2" xfId="29608"/>
    <cellStyle name="Normal 3 6 3 5 2 2 2" xfId="29609"/>
    <cellStyle name="Comma 2 5 6 2 2 2" xfId="29610"/>
    <cellStyle name="Comma 3 4 6 2 2 2" xfId="29611"/>
    <cellStyle name="Percent 4 3 5 2 2 2" xfId="29612"/>
    <cellStyle name="Normal 3 7 3 5 2 2 2" xfId="29613"/>
    <cellStyle name="Note 3 3 5 2 2 2" xfId="29614"/>
    <cellStyle name="20% - Accent1 2 3 5 2 2 2" xfId="29615"/>
    <cellStyle name="40% - Accent1 2 3 5 2 2 2" xfId="29616"/>
    <cellStyle name="60% - Accent1 2 3 5 2 2 2" xfId="29617"/>
    <cellStyle name="20% - Accent2 2 3 5 2 2 2" xfId="29618"/>
    <cellStyle name="40% - Accent2 2 3 5 2 2 2" xfId="29619"/>
    <cellStyle name="60% - Accent2 2 3 5 2 2 2" xfId="29620"/>
    <cellStyle name="20% - Accent3 2 3 5 2 2 2" xfId="29621"/>
    <cellStyle name="40% - Accent3 2 3 5 2 2 2" xfId="29622"/>
    <cellStyle name="60% - Accent3 2 3 5 2 2 2" xfId="29623"/>
    <cellStyle name="20% - Accent4 2 3 5 2 2 2" xfId="29624"/>
    <cellStyle name="40% - Accent4 2 3 5 2 2 2" xfId="29625"/>
    <cellStyle name="60% - Accent4 2 3 5 2 2 2" xfId="29626"/>
    <cellStyle name="20% - Accent5 2 3 5 2 2 2" xfId="29627"/>
    <cellStyle name="40% - Accent5 2 3 5 2 2 2" xfId="29628"/>
    <cellStyle name="60% - Accent5 2 3 5 2 2 2" xfId="29629"/>
    <cellStyle name="20% - Accent6 2 3 5 2 2 2" xfId="29630"/>
    <cellStyle name="40% - Accent6 2 3 5 2 2 2" xfId="29631"/>
    <cellStyle name="60% - Accent6 2 3 5 2 2 2" xfId="29632"/>
    <cellStyle name="Comma 2 2 4 6 2 2 2" xfId="29633"/>
    <cellStyle name="Comma 4 4 6 2 2 2" xfId="29634"/>
    <cellStyle name="Normal 3 8 3 5 2 2 2" xfId="29635"/>
    <cellStyle name="Comma 2 4 7 2 2 2" xfId="29636"/>
    <cellStyle name="Comma 3 3 7 2 2 2" xfId="29637"/>
    <cellStyle name="Comma 2 2 3 7 2 2 2" xfId="29638"/>
    <cellStyle name="Comma 4 3 7 2 2 2" xfId="29639"/>
    <cellStyle name="Normal 7 2 5 2 2 2" xfId="29640"/>
    <cellStyle name="Comma 5 2 6 2 2 2" xfId="29641"/>
    <cellStyle name="20% - Accent1 3 2 5 2 2 2" xfId="29642"/>
    <cellStyle name="40% - Accent1 3 2 5 2 2 2" xfId="29643"/>
    <cellStyle name="60% - Accent1 3 2 5 2 2 2" xfId="29644"/>
    <cellStyle name="20% - Accent2 3 2 5 2 2 2" xfId="29645"/>
    <cellStyle name="40% - Accent2 3 2 5 2 2 2" xfId="29646"/>
    <cellStyle name="60% - Accent2 3 2 5 2 2 2" xfId="29647"/>
    <cellStyle name="20% - Accent3 3 2 5 2 2 2" xfId="29648"/>
    <cellStyle name="40% - Accent3 3 2 5 2 2 2" xfId="29649"/>
    <cellStyle name="60% - Accent3 3 2 5 2 2 2" xfId="29650"/>
    <cellStyle name="20% - Accent4 3 2 5 2 2 2" xfId="29651"/>
    <cellStyle name="40% - Accent4 3 2 5 2 2 2" xfId="29652"/>
    <cellStyle name="60% - Accent4 3 2 5 2 2 2" xfId="29653"/>
    <cellStyle name="20% - Accent5 3 2 5 2 2 2" xfId="29654"/>
    <cellStyle name="40% - Accent5 3 2 5 2 2 2" xfId="29655"/>
    <cellStyle name="60% - Accent5 3 2 5 2 2 2" xfId="29656"/>
    <cellStyle name="20% - Accent6 3 2 5 2 2 2" xfId="29657"/>
    <cellStyle name="40% - Accent6 3 2 5 2 2 2" xfId="29658"/>
    <cellStyle name="60% - Accent6 3 2 5 2 2 2" xfId="29659"/>
    <cellStyle name="Normal 3 2 3 2 5 2 2 2" xfId="29660"/>
    <cellStyle name="Normal 3 3 3 2 5 2 2 2" xfId="29661"/>
    <cellStyle name="Normal 3 4 3 2 5 2 2 2" xfId="29662"/>
    <cellStyle name="Normal 3 5 3 2 5 2 2 2" xfId="29663"/>
    <cellStyle name="Normal 3 2 2 2 2 5 2 2 2" xfId="29664"/>
    <cellStyle name="Normal 3 3 2 2 2 5 2 2 2" xfId="29665"/>
    <cellStyle name="Normal 3 4 2 2 2 5 2 2 2" xfId="29666"/>
    <cellStyle name="Normal 3 5 2 2 2 5 2 2 2" xfId="29667"/>
    <cellStyle name="Normal 5 2 2 5 2 2 2" xfId="29668"/>
    <cellStyle name="Percent 3 2 2 5 2 2 2" xfId="29669"/>
    <cellStyle name="Note 2 2 2 5 2 2 2" xfId="29670"/>
    <cellStyle name="Normal 3 6 2 2 5 2 2 2" xfId="29671"/>
    <cellStyle name="Comma 2 3 2 6 2 2 2" xfId="29672"/>
    <cellStyle name="Comma 3 2 2 6 2 2 2" xfId="29673"/>
    <cellStyle name="Percent 4 2 2 5 2 2 2" xfId="29674"/>
    <cellStyle name="Normal 3 7 2 2 5 2 2 2" xfId="29675"/>
    <cellStyle name="Note 3 2 2 5 2 2 2" xfId="29676"/>
    <cellStyle name="20% - Accent1 2 2 2 5 2 2 2" xfId="29677"/>
    <cellStyle name="40% - Accent1 2 2 2 5 2 2 2" xfId="29678"/>
    <cellStyle name="60% - Accent1 2 2 2 5 2 2 2" xfId="29679"/>
    <cellStyle name="20% - Accent2 2 2 2 5 2 2 2" xfId="29680"/>
    <cellStyle name="40% - Accent2 2 2 2 5 2 2 2" xfId="29681"/>
    <cellStyle name="60% - Accent2 2 2 2 5 2 2 2" xfId="29682"/>
    <cellStyle name="20% - Accent3 2 2 2 5 2 2 2" xfId="29683"/>
    <cellStyle name="40% - Accent3 2 2 2 5 2 2 2" xfId="29684"/>
    <cellStyle name="60% - Accent3 2 2 2 5 2 2 2" xfId="29685"/>
    <cellStyle name="20% - Accent4 2 2 2 5 2 2 2" xfId="29686"/>
    <cellStyle name="40% - Accent4 2 2 2 5 2 2 2" xfId="29687"/>
    <cellStyle name="60% - Accent4 2 2 2 5 2 2 2" xfId="29688"/>
    <cellStyle name="20% - Accent5 2 2 2 5 2 2 2" xfId="29689"/>
    <cellStyle name="40% - Accent5 2 2 2 5 2 2 2" xfId="29690"/>
    <cellStyle name="60% - Accent5 2 2 2 5 2 2 2" xfId="29691"/>
    <cellStyle name="20% - Accent6 2 2 2 5 2 2 2" xfId="29692"/>
    <cellStyle name="40% - Accent6 2 2 2 5 2 2 2" xfId="29693"/>
    <cellStyle name="60% - Accent6 2 2 2 5 2 2 2" xfId="29694"/>
    <cellStyle name="Comma 2 2 2 2 6 2 2 2" xfId="29695"/>
    <cellStyle name="Comma 4 2 2 6 2 2 2" xfId="29696"/>
    <cellStyle name="Normal 3 8 2 2 5 2 2 2" xfId="29697"/>
    <cellStyle name="Normal 3 10 5 2 2 2" xfId="29698"/>
    <cellStyle name="Normal 3 11 5 2 2 2" xfId="29699"/>
    <cellStyle name="Normal 3 12 3 2 2 2" xfId="29700"/>
    <cellStyle name="Normal 3 2 5 3 2 2 2" xfId="29701"/>
    <cellStyle name="Normal 3 3 5 3 2 2 2" xfId="29702"/>
    <cellStyle name="Normal 3 4 5 3 2 2 2" xfId="29703"/>
    <cellStyle name="Normal 3 5 5 3 2 2 2" xfId="29704"/>
    <cellStyle name="20% - Accent1 5 3 2 2 2" xfId="29705"/>
    <cellStyle name="40% - Accent1 5 3 2 2 2" xfId="29706"/>
    <cellStyle name="60% - Accent1 5 3 2 2 2" xfId="29707"/>
    <cellStyle name="20% - Accent2 5 3 2 2 2" xfId="29708"/>
    <cellStyle name="40% - Accent2 5 3 2 2 2" xfId="29709"/>
    <cellStyle name="60% - Accent2 5 3 2 2 2" xfId="29710"/>
    <cellStyle name="20% - Accent3 5 3 2 2 2" xfId="29711"/>
    <cellStyle name="40% - Accent3 5 3 2 2 2" xfId="29712"/>
    <cellStyle name="60% - Accent3 5 3 2 2 2" xfId="29713"/>
    <cellStyle name="20% - Accent4 5 3 2 2 2" xfId="29714"/>
    <cellStyle name="40% - Accent4 5 3 2 2 2" xfId="29715"/>
    <cellStyle name="60% - Accent4 5 3 2 2 2" xfId="29716"/>
    <cellStyle name="20% - Accent5 5 3 2 2 2" xfId="29717"/>
    <cellStyle name="40% - Accent5 5 3 2 2 2" xfId="29718"/>
    <cellStyle name="60% - Accent5 5 3 2 2 2" xfId="29719"/>
    <cellStyle name="20% - Accent6 5 3 2 2 2" xfId="29720"/>
    <cellStyle name="40% - Accent6 5 3 2 2 2" xfId="29721"/>
    <cellStyle name="60% - Accent6 5 3 2 2 2" xfId="29722"/>
    <cellStyle name="Normal 3 2 2 4 3 2 2 2" xfId="29723"/>
    <cellStyle name="Normal 3 3 2 4 3 2 2 2" xfId="29724"/>
    <cellStyle name="Normal 3 4 2 4 3 2 2 2" xfId="29725"/>
    <cellStyle name="Normal 3 5 2 4 3 2 2 2" xfId="29726"/>
    <cellStyle name="Normal 5 4 3 2 2 2" xfId="29727"/>
    <cellStyle name="Percent 3 4 3 2 2 2" xfId="29728"/>
    <cellStyle name="Note 2 4 3 2 2 2" xfId="29729"/>
    <cellStyle name="Normal 3 6 4 3 2 2 2" xfId="29730"/>
    <cellStyle name="Comma 2 6 4 2 2 2" xfId="29731"/>
    <cellStyle name="Comma 3 5 4 2 2 2" xfId="29732"/>
    <cellStyle name="Percent 4 4 3 2 2 2" xfId="29733"/>
    <cellStyle name="Normal 3 7 4 3 2 2 2" xfId="29734"/>
    <cellStyle name="Note 3 4 3 2 2 2" xfId="29735"/>
    <cellStyle name="20% - Accent1 2 4 3 2 2 2" xfId="29736"/>
    <cellStyle name="40% - Accent1 2 4 3 2 2 2" xfId="29737"/>
    <cellStyle name="60% - Accent1 2 4 3 2 2 2" xfId="29738"/>
    <cellStyle name="20% - Accent2 2 4 3 2 2 2" xfId="29739"/>
    <cellStyle name="40% - Accent2 2 4 3 2 2 2" xfId="29740"/>
    <cellStyle name="60% - Accent2 2 4 3 2 2 2" xfId="29741"/>
    <cellStyle name="20% - Accent3 2 4 3 2 2 2" xfId="29742"/>
    <cellStyle name="40% - Accent3 2 4 3 2 2 2" xfId="29743"/>
    <cellStyle name="60% - Accent3 2 4 3 2 2 2" xfId="29744"/>
    <cellStyle name="20% - Accent4 2 4 3 2 2 2" xfId="29745"/>
    <cellStyle name="40% - Accent4 2 4 3 2 2 2" xfId="29746"/>
    <cellStyle name="60% - Accent4 2 4 3 2 2 2" xfId="29747"/>
    <cellStyle name="20% - Accent5 2 4 3 2 2 2" xfId="29748"/>
    <cellStyle name="40% - Accent5 2 4 3 2 2 2" xfId="29749"/>
    <cellStyle name="60% - Accent5 2 4 3 2 2 2" xfId="29750"/>
    <cellStyle name="20% - Accent6 2 4 3 2 2 2" xfId="29751"/>
    <cellStyle name="40% - Accent6 2 4 3 2 2 2" xfId="29752"/>
    <cellStyle name="60% - Accent6 2 4 3 2 2 2" xfId="29753"/>
    <cellStyle name="Comma 2 2 5 4 2 2 2" xfId="29754"/>
    <cellStyle name="Comma 4 5 4 2 2 2" xfId="29755"/>
    <cellStyle name="Normal 3 8 4 3 2 2 2" xfId="29756"/>
    <cellStyle name="Normal 7 3 3 2 2 2" xfId="29757"/>
    <cellStyle name="Comma 5 3 4 2 2 2" xfId="29758"/>
    <cellStyle name="20% - Accent1 3 3 3 2 2 2" xfId="29759"/>
    <cellStyle name="40% - Accent1 3 3 3 2 2 2" xfId="29760"/>
    <cellStyle name="60% - Accent1 3 3 3 2 2 2" xfId="29761"/>
    <cellStyle name="20% - Accent2 3 3 3 2 2 2" xfId="29762"/>
    <cellStyle name="40% - Accent2 3 3 3 2 2 2" xfId="29763"/>
    <cellStyle name="60% - Accent2 3 3 3 2 2 2" xfId="29764"/>
    <cellStyle name="20% - Accent3 3 3 3 2 2 2" xfId="29765"/>
    <cellStyle name="40% - Accent3 3 3 3 2 2 2" xfId="29766"/>
    <cellStyle name="60% - Accent3 3 3 3 2 2 2" xfId="29767"/>
    <cellStyle name="20% - Accent4 3 3 3 2 2 2" xfId="29768"/>
    <cellStyle name="40% - Accent4 3 3 3 2 2 2" xfId="29769"/>
    <cellStyle name="60% - Accent4 3 3 3 2 2 2" xfId="29770"/>
    <cellStyle name="20% - Accent5 3 3 3 2 2 2" xfId="29771"/>
    <cellStyle name="40% - Accent5 3 3 3 2 2 2" xfId="29772"/>
    <cellStyle name="60% - Accent5 3 3 3 2 2 2" xfId="29773"/>
    <cellStyle name="20% - Accent6 3 3 3 2 2 2" xfId="29774"/>
    <cellStyle name="40% - Accent6 3 3 3 2 2 2" xfId="29775"/>
    <cellStyle name="60% - Accent6 3 3 3 2 2 2" xfId="29776"/>
    <cellStyle name="Normal 3 2 3 3 3 2 2 2" xfId="29777"/>
    <cellStyle name="Normal 3 3 3 3 3 2 2 2" xfId="29778"/>
    <cellStyle name="Normal 3 4 3 3 3 2 2 2" xfId="29779"/>
    <cellStyle name="Normal 3 5 3 3 3 2 2 2" xfId="29780"/>
    <cellStyle name="Normal 3 2 2 2 3 3 2 2 2" xfId="29781"/>
    <cellStyle name="Normal 3 3 2 2 3 3 2 2 2" xfId="29782"/>
    <cellStyle name="Normal 3 4 2 2 3 3 2 2 2" xfId="29783"/>
    <cellStyle name="Normal 3 5 2 2 3 3 2 2 2" xfId="29784"/>
    <cellStyle name="Normal 5 2 3 3 2 2 2" xfId="29785"/>
    <cellStyle name="Percent 3 2 3 3 2 2 2" xfId="29786"/>
    <cellStyle name="Note 2 2 3 3 2 2 2" xfId="29787"/>
    <cellStyle name="Normal 3 6 2 3 3 2 2 2" xfId="29788"/>
    <cellStyle name="Comma 2 3 3 4 2 2 2" xfId="29789"/>
    <cellStyle name="Comma 3 2 3 4 2 2 2" xfId="29790"/>
    <cellStyle name="Percent 4 2 3 3 2 2 2" xfId="29791"/>
    <cellStyle name="Normal 3 7 2 3 3 2 2 2" xfId="29792"/>
    <cellStyle name="Note 3 2 3 3 2 2 2" xfId="29793"/>
    <cellStyle name="20% - Accent1 2 2 3 3 2 2 2" xfId="29794"/>
    <cellStyle name="40% - Accent1 2 2 3 3 2 2 2" xfId="29795"/>
    <cellStyle name="60% - Accent1 2 2 3 3 2 2 2" xfId="29796"/>
    <cellStyle name="20% - Accent2 2 2 3 3 2 2 2" xfId="29797"/>
    <cellStyle name="40% - Accent2 2 2 3 3 2 2 2" xfId="29798"/>
    <cellStyle name="60% - Accent2 2 2 3 3 2 2 2" xfId="29799"/>
    <cellStyle name="20% - Accent3 2 2 3 3 2 2 2" xfId="29800"/>
    <cellStyle name="40% - Accent3 2 2 3 3 2 2 2" xfId="29801"/>
    <cellStyle name="60% - Accent3 2 2 3 3 2 2 2" xfId="29802"/>
    <cellStyle name="20% - Accent4 2 2 3 3 2 2 2" xfId="29803"/>
    <cellStyle name="40% - Accent4 2 2 3 3 2 2 2" xfId="29804"/>
    <cellStyle name="60% - Accent4 2 2 3 3 2 2 2" xfId="29805"/>
    <cellStyle name="20% - Accent5 2 2 3 3 2 2 2" xfId="29806"/>
    <cellStyle name="40% - Accent5 2 2 3 3 2 2 2" xfId="29807"/>
    <cellStyle name="60% - Accent5 2 2 3 3 2 2 2" xfId="29808"/>
    <cellStyle name="20% - Accent6 2 2 3 3 2 2 2" xfId="29809"/>
    <cellStyle name="40% - Accent6 2 2 3 3 2 2 2" xfId="29810"/>
    <cellStyle name="60% - Accent6 2 2 3 3 2 2 2" xfId="29811"/>
    <cellStyle name="Comma 2 2 2 3 4 2 2 2" xfId="29812"/>
    <cellStyle name="Comma 4 2 3 4 2 2 2" xfId="29813"/>
    <cellStyle name="Normal 3 8 2 3 3 2 2 2" xfId="29814"/>
    <cellStyle name="Normal 8 2 3 2 2 2" xfId="29815"/>
    <cellStyle name="Comma 6 2 4 2 2 2" xfId="29816"/>
    <cellStyle name="20% - Accent1 4 2 3 2 2 2" xfId="29817"/>
    <cellStyle name="40% - Accent1 4 2 3 2 2 2" xfId="29818"/>
    <cellStyle name="60% - Accent1 4 2 3 2 2 2" xfId="29819"/>
    <cellStyle name="20% - Accent2 4 2 3 2 2 2" xfId="29820"/>
    <cellStyle name="40% - Accent2 4 2 3 2 2 2" xfId="29821"/>
    <cellStyle name="60% - Accent2 4 2 3 2 2 2" xfId="29822"/>
    <cellStyle name="20% - Accent3 4 2 3 2 2 2" xfId="29823"/>
    <cellStyle name="40% - Accent3 4 2 3 2 2 2" xfId="29824"/>
    <cellStyle name="60% - Accent3 4 2 3 2 2 2" xfId="29825"/>
    <cellStyle name="20% - Accent4 4 2 3 2 2 2" xfId="29826"/>
    <cellStyle name="40% - Accent4 4 2 3 2 2 2" xfId="29827"/>
    <cellStyle name="60% - Accent4 4 2 3 2 2 2" xfId="29828"/>
    <cellStyle name="20% - Accent5 4 2 3 2 2 2" xfId="29829"/>
    <cellStyle name="40% - Accent5 4 2 3 2 2 2" xfId="29830"/>
    <cellStyle name="60% - Accent5 4 2 3 2 2 2" xfId="29831"/>
    <cellStyle name="20% - Accent6 4 2 3 2 2 2" xfId="29832"/>
    <cellStyle name="40% - Accent6 4 2 3 2 2 2" xfId="29833"/>
    <cellStyle name="60% - Accent6 4 2 3 2 2 2" xfId="29834"/>
    <cellStyle name="Normal 3 2 4 2 3 2 2 2" xfId="29835"/>
    <cellStyle name="Normal 3 3 4 2 3 2 2 2" xfId="29836"/>
    <cellStyle name="Normal 3 4 4 2 3 2 2 2" xfId="29837"/>
    <cellStyle name="Normal 3 5 4 2 3 2 2 2" xfId="29838"/>
    <cellStyle name="Normal 3 2 2 3 2 3 2 2 2" xfId="29839"/>
    <cellStyle name="Normal 3 3 2 3 2 3 2 2 2" xfId="29840"/>
    <cellStyle name="Normal 3 4 2 3 2 3 2 2 2" xfId="29841"/>
    <cellStyle name="Normal 3 5 2 3 2 3 2 2 2" xfId="29842"/>
    <cellStyle name="Normal 5 3 2 3 2 2 2" xfId="29843"/>
    <cellStyle name="Percent 3 3 2 3 2 2 2" xfId="29844"/>
    <cellStyle name="Note 2 3 2 3 2 2 2" xfId="29845"/>
    <cellStyle name="Normal 3 6 3 2 3 2 2 2" xfId="29846"/>
    <cellStyle name="Comma 2 5 2 4 2 2 2" xfId="29847"/>
    <cellStyle name="Comma 3 4 2 4 2 2 2" xfId="29848"/>
    <cellStyle name="Percent 4 3 2 3 2 2 2" xfId="29849"/>
    <cellStyle name="Normal 3 7 3 2 3 2 2 2" xfId="29850"/>
    <cellStyle name="Note 3 3 2 3 2 2 2" xfId="29851"/>
    <cellStyle name="20% - Accent1 2 3 2 3 2 2 2" xfId="29852"/>
    <cellStyle name="40% - Accent1 2 3 2 3 2 2 2" xfId="29853"/>
    <cellStyle name="60% - Accent1 2 3 2 3 2 2 2" xfId="29854"/>
    <cellStyle name="20% - Accent2 2 3 2 3 2 2 2" xfId="29855"/>
    <cellStyle name="40% - Accent2 2 3 2 3 2 2 2" xfId="29856"/>
    <cellStyle name="60% - Accent2 2 3 2 3 2 2 2" xfId="29857"/>
    <cellStyle name="20% - Accent3 2 3 2 3 2 2 2" xfId="29858"/>
    <cellStyle name="40% - Accent3 2 3 2 3 2 2 2" xfId="29859"/>
    <cellStyle name="60% - Accent3 2 3 2 3 2 2 2" xfId="29860"/>
    <cellStyle name="20% - Accent4 2 3 2 3 2 2 2" xfId="29861"/>
    <cellStyle name="40% - Accent4 2 3 2 3 2 2 2" xfId="29862"/>
    <cellStyle name="60% - Accent4 2 3 2 3 2 2 2" xfId="29863"/>
    <cellStyle name="20% - Accent5 2 3 2 3 2 2 2" xfId="29864"/>
    <cellStyle name="40% - Accent5 2 3 2 3 2 2 2" xfId="29865"/>
    <cellStyle name="60% - Accent5 2 3 2 3 2 2 2" xfId="29866"/>
    <cellStyle name="20% - Accent6 2 3 2 3 2 2 2" xfId="29867"/>
    <cellStyle name="40% - Accent6 2 3 2 3 2 2 2" xfId="29868"/>
    <cellStyle name="60% - Accent6 2 3 2 3 2 2 2" xfId="29869"/>
    <cellStyle name="Comma 2 2 4 2 4 2 2 2" xfId="29870"/>
    <cellStyle name="Comma 4 4 2 4 2 2 2" xfId="29871"/>
    <cellStyle name="Normal 3 8 3 2 3 2 2 2" xfId="29872"/>
    <cellStyle name="Comma 2 4 2 4 2 2 2" xfId="29873"/>
    <cellStyle name="Comma 3 3 2 4 2 2 2" xfId="29874"/>
    <cellStyle name="Comma 2 2 3 2 4 2 2 2" xfId="29875"/>
    <cellStyle name="Comma 4 3 2 4 2 2 2" xfId="29876"/>
    <cellStyle name="Normal 7 2 2 3 2 2 2" xfId="29877"/>
    <cellStyle name="Comma 5 2 2 4 2 2 2" xfId="29878"/>
    <cellStyle name="20% - Accent1 3 2 2 3 2 2 2" xfId="29879"/>
    <cellStyle name="40% - Accent1 3 2 2 3 2 2 2" xfId="29880"/>
    <cellStyle name="60% - Accent1 3 2 2 3 2 2 2" xfId="29881"/>
    <cellStyle name="20% - Accent2 3 2 2 3 2 2 2" xfId="29882"/>
    <cellStyle name="40% - Accent2 3 2 2 3 2 2 2" xfId="29883"/>
    <cellStyle name="60% - Accent2 3 2 2 3 2 2 2" xfId="29884"/>
    <cellStyle name="20% - Accent3 3 2 2 3 2 2 2" xfId="29885"/>
    <cellStyle name="40% - Accent3 3 2 2 3 2 2 2" xfId="29886"/>
    <cellStyle name="60% - Accent3 3 2 2 3 2 2 2" xfId="29887"/>
    <cellStyle name="20% - Accent4 3 2 2 3 2 2 2" xfId="29888"/>
    <cellStyle name="40% - Accent4 3 2 2 3 2 2 2" xfId="29889"/>
    <cellStyle name="60% - Accent4 3 2 2 3 2 2 2" xfId="29890"/>
    <cellStyle name="20% - Accent5 3 2 2 3 2 2 2" xfId="29891"/>
    <cellStyle name="40% - Accent5 3 2 2 3 2 2 2" xfId="29892"/>
    <cellStyle name="60% - Accent5 3 2 2 3 2 2 2" xfId="29893"/>
    <cellStyle name="20% - Accent6 3 2 2 3 2 2 2" xfId="29894"/>
    <cellStyle name="40% - Accent6 3 2 2 3 2 2 2" xfId="29895"/>
    <cellStyle name="60% - Accent6 3 2 2 3 2 2 2" xfId="29896"/>
    <cellStyle name="Normal 3 2 3 2 2 3 2 2 2" xfId="29897"/>
    <cellStyle name="Normal 3 3 3 2 2 3 2 2 2" xfId="29898"/>
    <cellStyle name="Normal 3 4 3 2 2 3 2 2 2" xfId="29899"/>
    <cellStyle name="Normal 3 5 3 2 2 3 2 2 2" xfId="29900"/>
    <cellStyle name="Normal 3 2 2 2 2 2 3 2 2 2" xfId="29901"/>
    <cellStyle name="Normal 3 3 2 2 2 2 3 2 2 2" xfId="29902"/>
    <cellStyle name="Normal 3 4 2 2 2 2 3 2 2 2" xfId="29903"/>
    <cellStyle name="Normal 3 5 2 2 2 2 3 2 2 2" xfId="29904"/>
    <cellStyle name="Normal 5 2 2 2 3 2 2 2" xfId="29905"/>
    <cellStyle name="Percent 3 2 2 2 3 2 2 2" xfId="29906"/>
    <cellStyle name="Note 2 2 2 2 3 2 2 2" xfId="29907"/>
    <cellStyle name="Normal 3 6 2 2 2 3 2 2 2" xfId="29908"/>
    <cellStyle name="Comma 2 3 2 2 4 2 2 2" xfId="29909"/>
    <cellStyle name="Comma 3 2 2 2 4 2 2 2" xfId="29910"/>
    <cellStyle name="Percent 4 2 2 2 3 2 2 2" xfId="29911"/>
    <cellStyle name="Normal 3 7 2 2 2 3 2 2 2" xfId="29912"/>
    <cellStyle name="Note 3 2 2 2 3 2 2 2" xfId="29913"/>
    <cellStyle name="20% - Accent1 2 2 2 2 3 2 2 2" xfId="29914"/>
    <cellStyle name="40% - Accent1 2 2 2 2 3 2 2 2" xfId="29915"/>
    <cellStyle name="60% - Accent1 2 2 2 2 3 2 2 2" xfId="29916"/>
    <cellStyle name="20% - Accent2 2 2 2 2 3 2 2 2" xfId="29917"/>
    <cellStyle name="40% - Accent2 2 2 2 2 3 2 2 2" xfId="29918"/>
    <cellStyle name="60% - Accent2 2 2 2 2 3 2 2 2" xfId="29919"/>
    <cellStyle name="20% - Accent3 2 2 2 2 3 2 2 2" xfId="29920"/>
    <cellStyle name="40% - Accent3 2 2 2 2 3 2 2 2" xfId="29921"/>
    <cellStyle name="60% - Accent3 2 2 2 2 3 2 2 2" xfId="29922"/>
    <cellStyle name="20% - Accent4 2 2 2 2 3 2 2 2" xfId="29923"/>
    <cellStyle name="40% - Accent4 2 2 2 2 3 2 2 2" xfId="29924"/>
    <cellStyle name="60% - Accent4 2 2 2 2 3 2 2 2" xfId="29925"/>
    <cellStyle name="20% - Accent5 2 2 2 2 3 2 2 2" xfId="29926"/>
    <cellStyle name="40% - Accent5 2 2 2 2 3 2 2 2" xfId="29927"/>
    <cellStyle name="60% - Accent5 2 2 2 2 3 2 2 2" xfId="29928"/>
    <cellStyle name="20% - Accent6 2 2 2 2 3 2 2 2" xfId="29929"/>
    <cellStyle name="40% - Accent6 2 2 2 2 3 2 2 2" xfId="29930"/>
    <cellStyle name="60% - Accent6 2 2 2 2 3 2 2 2" xfId="29931"/>
    <cellStyle name="Comma 2 2 2 2 2 4 2 2 2" xfId="29932"/>
    <cellStyle name="Comma 4 2 2 2 4 2 2 2" xfId="29933"/>
    <cellStyle name="Normal 3 8 2 2 2 3 2 2 2" xfId="29934"/>
    <cellStyle name="Normal 3 10 2 3 2 2 2" xfId="29935"/>
    <cellStyle name="Normal 3 11 2 3 2 2 2" xfId="29936"/>
    <cellStyle name="Normal 3 2 6 2 2 2 2" xfId="29937"/>
    <cellStyle name="Normal 3 3 6 2 2 2 2" xfId="29938"/>
    <cellStyle name="Normal 3 4 6 2 2 2 2" xfId="29939"/>
    <cellStyle name="Normal 3 5 6 2 2 2 2" xfId="29940"/>
    <cellStyle name="20% - Accent1 6 2 2 2 2" xfId="29941"/>
    <cellStyle name="40% - Accent1 6 2 2 2 2" xfId="29942"/>
    <cellStyle name="60% - Accent1 6 2 2 2 2" xfId="29943"/>
    <cellStyle name="20% - Accent2 6 2 2 2 2" xfId="29944"/>
    <cellStyle name="40% - Accent2 6 2 2 2 2" xfId="29945"/>
    <cellStyle name="60% - Accent2 6 2 2 2 2" xfId="29946"/>
    <cellStyle name="20% - Accent3 6 2 2 2 2" xfId="29947"/>
    <cellStyle name="40% - Accent3 6 2 2 2 2" xfId="29948"/>
    <cellStyle name="60% - Accent3 6 2 2 2 2" xfId="29949"/>
    <cellStyle name="20% - Accent4 6 2 2 2 2" xfId="29950"/>
    <cellStyle name="40% - Accent4 6 2 2 2 2" xfId="29951"/>
    <cellStyle name="60% - Accent4 6 2 2 2 2" xfId="29952"/>
    <cellStyle name="20% - Accent5 6 2 2 2 2" xfId="29953"/>
    <cellStyle name="40% - Accent5 6 2 2 2 2" xfId="29954"/>
    <cellStyle name="60% - Accent5 6 2 2 2 2" xfId="29955"/>
    <cellStyle name="20% - Accent6 6 2 2 2 2" xfId="29956"/>
    <cellStyle name="40% - Accent6 6 2 2 2 2" xfId="29957"/>
    <cellStyle name="60% - Accent6 6 2 2 2 2" xfId="29958"/>
    <cellStyle name="Normal 3 2 2 5 2 2 2 2" xfId="29959"/>
    <cellStyle name="Normal 3 3 2 5 2 2 2 2" xfId="29960"/>
    <cellStyle name="Normal 3 4 2 5 2 2 2 2" xfId="29961"/>
    <cellStyle name="Normal 3 5 2 5 2 2 2 2" xfId="29962"/>
    <cellStyle name="Normal 5 5 2 2 2 2" xfId="29963"/>
    <cellStyle name="Percent 3 5 2 2 2 2" xfId="29964"/>
    <cellStyle name="Note 2 5 2 2 2 2" xfId="29965"/>
    <cellStyle name="Normal 3 6 5 2 2 2 2" xfId="29966"/>
    <cellStyle name="Comma 2 7 3 2 2 2" xfId="29967"/>
    <cellStyle name="Comma 3 7 3 2 2 2" xfId="29968"/>
    <cellStyle name="Percent 4 5 2 2 2 2" xfId="29969"/>
    <cellStyle name="Normal 3 7 5 2 2 2 2" xfId="29970"/>
    <cellStyle name="Note 3 5 2 2 2 2" xfId="29971"/>
    <cellStyle name="20% - Accent1 2 5 2 2 2 2" xfId="29972"/>
    <cellStyle name="40% - Accent1 2 5 2 2 2 2" xfId="29973"/>
    <cellStyle name="60% - Accent1 2 5 2 2 2 2" xfId="29974"/>
    <cellStyle name="20% - Accent2 2 5 2 2 2 2" xfId="29975"/>
    <cellStyle name="40% - Accent2 2 5 2 2 2 2" xfId="29976"/>
    <cellStyle name="60% - Accent2 2 5 2 2 2 2" xfId="29977"/>
    <cellStyle name="20% - Accent3 2 5 2 2 2 2" xfId="29978"/>
    <cellStyle name="40% - Accent3 2 5 2 2 2 2" xfId="29979"/>
    <cellStyle name="60% - Accent3 2 5 2 2 2 2" xfId="29980"/>
    <cellStyle name="20% - Accent4 2 5 2 2 2 2" xfId="29981"/>
    <cellStyle name="40% - Accent4 2 5 2 2 2 2" xfId="29982"/>
    <cellStyle name="60% - Accent4 2 5 2 2 2 2" xfId="29983"/>
    <cellStyle name="20% - Accent5 2 5 2 2 2 2" xfId="29984"/>
    <cellStyle name="40% - Accent5 2 5 2 2 2 2" xfId="29985"/>
    <cellStyle name="60% - Accent5 2 5 2 2 2 2" xfId="29986"/>
    <cellStyle name="20% - Accent6 2 5 2 2 2 2" xfId="29987"/>
    <cellStyle name="40% - Accent6 2 5 2 2 2 2" xfId="29988"/>
    <cellStyle name="60% - Accent6 2 5 2 2 2 2" xfId="29989"/>
    <cellStyle name="Comma 2 2 6 3 2 2 2" xfId="29990"/>
    <cellStyle name="Comma 4 6 3 2 2 2" xfId="29991"/>
    <cellStyle name="Normal 3 8 5 2 2 2 2" xfId="29992"/>
    <cellStyle name="Normal 7 4 2 2 2 2" xfId="29993"/>
    <cellStyle name="Comma 5 4 3 2 2 2" xfId="29994"/>
    <cellStyle name="20% - Accent1 3 4 2 2 2 2" xfId="29995"/>
    <cellStyle name="40% - Accent1 3 4 2 2 2 2" xfId="29996"/>
    <cellStyle name="60% - Accent1 3 4 2 2 2 2" xfId="29997"/>
    <cellStyle name="20% - Accent2 3 4 2 2 2 2" xfId="29998"/>
    <cellStyle name="40% - Accent2 3 4 2 2 2 2" xfId="29999"/>
    <cellStyle name="60% - Accent2 3 4 2 2 2 2" xfId="30000"/>
    <cellStyle name="20% - Accent3 3 4 2 2 2 2" xfId="30001"/>
    <cellStyle name="40% - Accent3 3 4 2 2 2 2" xfId="30002"/>
    <cellStyle name="60% - Accent3 3 4 2 2 2 2" xfId="30003"/>
    <cellStyle name="20% - Accent4 3 4 2 2 2 2" xfId="30004"/>
    <cellStyle name="40% - Accent4 3 4 2 2 2 2" xfId="30005"/>
    <cellStyle name="60% - Accent4 3 4 2 2 2 2" xfId="30006"/>
    <cellStyle name="20% - Accent5 3 4 2 2 2 2" xfId="30007"/>
    <cellStyle name="40% - Accent5 3 4 2 2 2 2" xfId="30008"/>
    <cellStyle name="60% - Accent5 3 4 2 2 2 2" xfId="30009"/>
    <cellStyle name="20% - Accent6 3 4 2 2 2 2" xfId="30010"/>
    <cellStyle name="40% - Accent6 3 4 2 2 2 2" xfId="30011"/>
    <cellStyle name="60% - Accent6 3 4 2 2 2 2" xfId="30012"/>
    <cellStyle name="Normal 3 2 3 4 2 2 2 2" xfId="30013"/>
    <cellStyle name="Normal 3 3 3 4 2 2 2 2" xfId="30014"/>
    <cellStyle name="Normal 3 4 3 4 2 2 2 2" xfId="30015"/>
    <cellStyle name="Normal 3 5 3 4 2 2 2 2" xfId="30016"/>
    <cellStyle name="Normal 3 2 2 2 4 2 2 2 2" xfId="30017"/>
    <cellStyle name="Normal 3 3 2 2 4 2 2 2 2" xfId="30018"/>
    <cellStyle name="Normal 3 4 2 2 4 2 2 2 2" xfId="30019"/>
    <cellStyle name="Normal 3 5 2 2 4 2 2 2 2" xfId="30020"/>
    <cellStyle name="Normal 5 2 4 2 2 2 2" xfId="30021"/>
    <cellStyle name="Percent 3 2 4 2 2 2 2" xfId="30022"/>
    <cellStyle name="Note 2 2 4 2 2 2 2" xfId="30023"/>
    <cellStyle name="Normal 3 6 2 4 2 2 2 2" xfId="30024"/>
    <cellStyle name="Comma 2 3 4 3 2 2 2" xfId="30025"/>
    <cellStyle name="Comma 3 2 4 3 2 2 2" xfId="30026"/>
    <cellStyle name="Percent 4 2 4 2 2 2 2" xfId="30027"/>
    <cellStyle name="Normal 3 7 2 4 2 2 2 2" xfId="30028"/>
    <cellStyle name="Note 3 2 4 2 2 2 2" xfId="30029"/>
    <cellStyle name="20% - Accent1 2 2 4 2 2 2 2" xfId="30030"/>
    <cellStyle name="40% - Accent1 2 2 4 2 2 2 2" xfId="30031"/>
    <cellStyle name="60% - Accent1 2 2 4 2 2 2 2" xfId="30032"/>
    <cellStyle name="20% - Accent2 2 2 4 2 2 2 2" xfId="30033"/>
    <cellStyle name="40% - Accent2 2 2 4 2 2 2 2" xfId="30034"/>
    <cellStyle name="60% - Accent2 2 2 4 2 2 2 2" xfId="30035"/>
    <cellStyle name="20% - Accent3 2 2 4 2 2 2 2" xfId="30036"/>
    <cellStyle name="40% - Accent3 2 2 4 2 2 2 2" xfId="30037"/>
    <cellStyle name="60% - Accent3 2 2 4 2 2 2 2" xfId="30038"/>
    <cellStyle name="20% - Accent4 2 2 4 2 2 2 2" xfId="30039"/>
    <cellStyle name="40% - Accent4 2 2 4 2 2 2 2" xfId="30040"/>
    <cellStyle name="60% - Accent4 2 2 4 2 2 2 2" xfId="30041"/>
    <cellStyle name="20% - Accent5 2 2 4 2 2 2 2" xfId="30042"/>
    <cellStyle name="40% - Accent5 2 2 4 2 2 2 2" xfId="30043"/>
    <cellStyle name="60% - Accent5 2 2 4 2 2 2 2" xfId="30044"/>
    <cellStyle name="20% - Accent6 2 2 4 2 2 2 2" xfId="30045"/>
    <cellStyle name="40% - Accent6 2 2 4 2 2 2 2" xfId="30046"/>
    <cellStyle name="60% - Accent6 2 2 4 2 2 2 2" xfId="30047"/>
    <cellStyle name="Comma 2 2 2 4 3 2 2 2" xfId="30048"/>
    <cellStyle name="Comma 4 2 4 3 2 2 2" xfId="30049"/>
    <cellStyle name="Normal 3 8 2 4 2 2 2 2" xfId="30050"/>
    <cellStyle name="Normal 8 3 2 2 2 2" xfId="30051"/>
    <cellStyle name="Comma 6 3 3 2 2 2" xfId="30052"/>
    <cellStyle name="20% - Accent1 4 3 2 2 2 2" xfId="30053"/>
    <cellStyle name="40% - Accent1 4 3 2 2 2 2" xfId="30054"/>
    <cellStyle name="60% - Accent1 4 3 2 2 2 2" xfId="30055"/>
    <cellStyle name="20% - Accent2 4 3 2 2 2 2" xfId="30056"/>
    <cellStyle name="40% - Accent2 4 3 2 2 2 2" xfId="30057"/>
    <cellStyle name="60% - Accent2 4 3 2 2 2 2" xfId="30058"/>
    <cellStyle name="20% - Accent3 4 3 2 2 2 2" xfId="30059"/>
    <cellStyle name="40% - Accent3 4 3 2 2 2 2" xfId="30060"/>
    <cellStyle name="60% - Accent3 4 3 2 2 2 2" xfId="30061"/>
    <cellStyle name="20% - Accent4 4 3 2 2 2 2" xfId="30062"/>
    <cellStyle name="40% - Accent4 4 3 2 2 2 2" xfId="30063"/>
    <cellStyle name="60% - Accent4 4 3 2 2 2 2" xfId="30064"/>
    <cellStyle name="20% - Accent5 4 3 2 2 2 2" xfId="30065"/>
    <cellStyle name="40% - Accent5 4 3 2 2 2 2" xfId="30066"/>
    <cellStyle name="60% - Accent5 4 3 2 2 2 2" xfId="30067"/>
    <cellStyle name="20% - Accent6 4 3 2 2 2 2" xfId="30068"/>
    <cellStyle name="40% - Accent6 4 3 2 2 2 2" xfId="30069"/>
    <cellStyle name="60% - Accent6 4 3 2 2 2 2" xfId="30070"/>
    <cellStyle name="Normal 3 2 4 3 2 2 2 2" xfId="30071"/>
    <cellStyle name="Normal 3 3 4 3 2 2 2 2" xfId="30072"/>
    <cellStyle name="Normal 3 4 4 3 2 2 2 2" xfId="30073"/>
    <cellStyle name="Normal 3 5 4 3 2 2 2 2" xfId="30074"/>
    <cellStyle name="Normal 3 2 2 3 3 2 2 2 2" xfId="30075"/>
    <cellStyle name="Normal 3 3 2 3 3 2 2 2 2" xfId="30076"/>
    <cellStyle name="Normal 3 4 2 3 3 2 2 2 2" xfId="30077"/>
    <cellStyle name="Normal 3 5 2 3 3 2 2 2 2" xfId="30078"/>
    <cellStyle name="Normal 5 3 3 2 2 2 2" xfId="30079"/>
    <cellStyle name="Percent 3 3 3 2 2 2 2" xfId="30080"/>
    <cellStyle name="Note 2 3 3 2 2 2 2" xfId="30081"/>
    <cellStyle name="Normal 3 6 3 3 2 2 2 2" xfId="30082"/>
    <cellStyle name="Comma 2 5 3 3 2 2 2" xfId="30083"/>
    <cellStyle name="Comma 3 4 3 3 2 2 2" xfId="30084"/>
    <cellStyle name="Percent 4 3 3 2 2 2 2" xfId="30085"/>
    <cellStyle name="Normal 3 7 3 3 2 2 2 2" xfId="30086"/>
    <cellStyle name="Note 3 3 3 2 2 2 2" xfId="30087"/>
    <cellStyle name="20% - Accent1 2 3 3 2 2 2 2" xfId="30088"/>
    <cellStyle name="40% - Accent1 2 3 3 2 2 2 2" xfId="30089"/>
    <cellStyle name="60% - Accent1 2 3 3 2 2 2 2" xfId="30090"/>
    <cellStyle name="20% - Accent2 2 3 3 2 2 2 2" xfId="30091"/>
    <cellStyle name="40% - Accent2 2 3 3 2 2 2 2" xfId="30092"/>
    <cellStyle name="60% - Accent2 2 3 3 2 2 2 2" xfId="30093"/>
    <cellStyle name="20% - Accent3 2 3 3 2 2 2 2" xfId="30094"/>
    <cellStyle name="40% - Accent3 2 3 3 2 2 2 2" xfId="30095"/>
    <cellStyle name="60% - Accent3 2 3 3 2 2 2 2" xfId="30096"/>
    <cellStyle name="20% - Accent4 2 3 3 2 2 2 2" xfId="30097"/>
    <cellStyle name="40% - Accent4 2 3 3 2 2 2 2" xfId="30098"/>
    <cellStyle name="60% - Accent4 2 3 3 2 2 2 2" xfId="30099"/>
    <cellStyle name="20% - Accent5 2 3 3 2 2 2 2" xfId="30100"/>
    <cellStyle name="40% - Accent5 2 3 3 2 2 2 2" xfId="30101"/>
    <cellStyle name="60% - Accent5 2 3 3 2 2 2 2" xfId="30102"/>
    <cellStyle name="20% - Accent6 2 3 3 2 2 2 2" xfId="30103"/>
    <cellStyle name="40% - Accent6 2 3 3 2 2 2 2" xfId="30104"/>
    <cellStyle name="60% - Accent6 2 3 3 2 2 2 2" xfId="30105"/>
    <cellStyle name="Comma 2 2 4 3 3 2 2 2" xfId="30106"/>
    <cellStyle name="Comma 4 4 3 3 2 2 2" xfId="30107"/>
    <cellStyle name="Normal 3 8 3 3 2 2 2 2" xfId="30108"/>
    <cellStyle name="Comma 2 4 3 3 2 2 2" xfId="30109"/>
    <cellStyle name="Comma 3 3 3 3 2 2 2" xfId="30110"/>
    <cellStyle name="Comma 2 2 3 3 3 2 2 2" xfId="30111"/>
    <cellStyle name="Comma 4 3 3 3 2 2 2" xfId="30112"/>
    <cellStyle name="Normal 7 2 3 2 2 2 2" xfId="30113"/>
    <cellStyle name="Comma 5 2 3 3 2 2 2" xfId="30114"/>
    <cellStyle name="20% - Accent1 3 2 3 2 2 2 2" xfId="30115"/>
    <cellStyle name="40% - Accent1 3 2 3 2 2 2 2" xfId="30116"/>
    <cellStyle name="60% - Accent1 3 2 3 2 2 2 2" xfId="30117"/>
    <cellStyle name="20% - Accent2 3 2 3 2 2 2 2" xfId="30118"/>
    <cellStyle name="40% - Accent2 3 2 3 2 2 2 2" xfId="30119"/>
    <cellStyle name="60% - Accent2 3 2 3 2 2 2 2" xfId="30120"/>
    <cellStyle name="20% - Accent3 3 2 3 2 2 2 2" xfId="30121"/>
    <cellStyle name="40% - Accent3 3 2 3 2 2 2 2" xfId="30122"/>
    <cellStyle name="60% - Accent3 3 2 3 2 2 2 2" xfId="30123"/>
    <cellStyle name="20% - Accent4 3 2 3 2 2 2 2" xfId="30124"/>
    <cellStyle name="40% - Accent4 3 2 3 2 2 2 2" xfId="30125"/>
    <cellStyle name="60% - Accent4 3 2 3 2 2 2 2" xfId="30126"/>
    <cellStyle name="20% - Accent5 3 2 3 2 2 2 2" xfId="30127"/>
    <cellStyle name="40% - Accent5 3 2 3 2 2 2 2" xfId="30128"/>
    <cellStyle name="60% - Accent5 3 2 3 2 2 2 2" xfId="30129"/>
    <cellStyle name="20% - Accent6 3 2 3 2 2 2 2" xfId="30130"/>
    <cellStyle name="40% - Accent6 3 2 3 2 2 2 2" xfId="30131"/>
    <cellStyle name="60% - Accent6 3 2 3 2 2 2 2" xfId="30132"/>
    <cellStyle name="Normal 3 2 3 2 3 2 2 2 2" xfId="30133"/>
    <cellStyle name="Normal 3 3 3 2 3 2 2 2 2" xfId="30134"/>
    <cellStyle name="Normal 3 4 3 2 3 2 2 2 2" xfId="30135"/>
    <cellStyle name="Normal 3 5 3 2 3 2 2 2 2" xfId="30136"/>
    <cellStyle name="Normal 3 2 2 2 2 3 2 2 2 2" xfId="30137"/>
    <cellStyle name="Normal 3 3 2 2 2 3 2 2 2 2" xfId="30138"/>
    <cellStyle name="Normal 3 4 2 2 2 3 2 2 2 2" xfId="30139"/>
    <cellStyle name="Normal 3 5 2 2 2 3 2 2 2 2" xfId="30140"/>
    <cellStyle name="Normal 5 2 2 3 2 2 2 2" xfId="30141"/>
    <cellStyle name="Percent 3 2 2 3 2 2 2 2" xfId="30142"/>
    <cellStyle name="Note 2 2 2 3 2 2 2 2" xfId="30143"/>
    <cellStyle name="Normal 3 6 2 2 3 2 2 2 2" xfId="30144"/>
    <cellStyle name="Comma 2 3 2 3 3 2 2 2" xfId="30145"/>
    <cellStyle name="Comma 3 2 2 3 3 2 2 2" xfId="30146"/>
    <cellStyle name="Percent 4 2 2 3 2 2 2 2" xfId="30147"/>
    <cellStyle name="Normal 3 7 2 2 3 2 2 2 2" xfId="30148"/>
    <cellStyle name="Note 3 2 2 3 2 2 2 2" xfId="30149"/>
    <cellStyle name="20% - Accent1 2 2 2 3 2 2 2 2" xfId="30150"/>
    <cellStyle name="40% - Accent1 2 2 2 3 2 2 2 2" xfId="30151"/>
    <cellStyle name="60% - Accent1 2 2 2 3 2 2 2 2" xfId="30152"/>
    <cellStyle name="20% - Accent2 2 2 2 3 2 2 2 2" xfId="30153"/>
    <cellStyle name="40% - Accent2 2 2 2 3 2 2 2 2" xfId="30154"/>
    <cellStyle name="60% - Accent2 2 2 2 3 2 2 2 2" xfId="30155"/>
    <cellStyle name="20% - Accent3 2 2 2 3 2 2 2 2" xfId="30156"/>
    <cellStyle name="40% - Accent3 2 2 2 3 2 2 2 2" xfId="30157"/>
    <cellStyle name="60% - Accent3 2 2 2 3 2 2 2 2" xfId="30158"/>
    <cellStyle name="20% - Accent4 2 2 2 3 2 2 2 2" xfId="30159"/>
    <cellStyle name="40% - Accent4 2 2 2 3 2 2 2 2" xfId="30160"/>
    <cellStyle name="60% - Accent4 2 2 2 3 2 2 2 2" xfId="30161"/>
    <cellStyle name="20% - Accent5 2 2 2 3 2 2 2 2" xfId="30162"/>
    <cellStyle name="40% - Accent5 2 2 2 3 2 2 2 2" xfId="30163"/>
    <cellStyle name="60% - Accent5 2 2 2 3 2 2 2 2" xfId="30164"/>
    <cellStyle name="20% - Accent6 2 2 2 3 2 2 2 2" xfId="30165"/>
    <cellStyle name="40% - Accent6 2 2 2 3 2 2 2 2" xfId="30166"/>
    <cellStyle name="60% - Accent6 2 2 2 3 2 2 2 2" xfId="30167"/>
    <cellStyle name="Comma 2 2 2 2 3 3 2 2 2" xfId="30168"/>
    <cellStyle name="Comma 4 2 2 3 3 2 2 2" xfId="30169"/>
    <cellStyle name="Normal 3 8 2 2 3 2 2 2 2" xfId="30170"/>
    <cellStyle name="Normal 3 10 3 2 2 2 2" xfId="30171"/>
    <cellStyle name="Normal 3 11 3 2 2 2 2" xfId="30172"/>
    <cellStyle name="Normal 5 4 2 2 2 2 2" xfId="30173"/>
    <cellStyle name="Normal 7 3 2 2 2 2 2" xfId="30174"/>
    <cellStyle name="Normal 3 2 2 2 3 2 2 2 2 2" xfId="30175"/>
    <cellStyle name="Normal 8 2 2 2 2 2 2" xfId="30176"/>
    <cellStyle name="Normal 3 2 2 2 2 2 2 2 2 2 2" xfId="30177"/>
    <cellStyle name="Comma 3 6 3 2 2 2" xfId="30178"/>
    <cellStyle name="Normal 3 6 4 2 2 2 2 2" xfId="30179"/>
    <cellStyle name="Normal 3 12 2 2 2 2 2" xfId="30180"/>
    <cellStyle name="Normal 3 2 5 2 2 2 2 2" xfId="30181"/>
    <cellStyle name="Normal 3 3 5 2 2 2 2 2" xfId="30182"/>
    <cellStyle name="Normal 3 4 5 2 2 2 2 2" xfId="30183"/>
    <cellStyle name="Normal 3 5 5 2 2 2 2 2" xfId="30184"/>
    <cellStyle name="20% - Accent1 5 2 2 2 2 2" xfId="30185"/>
    <cellStyle name="40% - Accent1 5 2 2 2 2 2" xfId="30186"/>
    <cellStyle name="60% - Accent1 5 2 2 2 2 2" xfId="30187"/>
    <cellStyle name="20% - Accent2 5 2 2 2 2 2" xfId="30188"/>
    <cellStyle name="40% - Accent2 5 2 2 2 2 2" xfId="30189"/>
    <cellStyle name="60% - Accent2 5 2 2 2 2 2" xfId="30190"/>
    <cellStyle name="20% - Accent3 5 2 2 2 2 2" xfId="30191"/>
    <cellStyle name="40% - Accent3 5 2 2 2 2 2" xfId="30192"/>
    <cellStyle name="60% - Accent3 5 2 2 2 2 2" xfId="30193"/>
    <cellStyle name="20% - Accent4 5 2 2 2 2 2" xfId="30194"/>
    <cellStyle name="40% - Accent4 5 2 2 2 2 2" xfId="30195"/>
    <cellStyle name="60% - Accent4 5 2 2 2 2 2" xfId="30196"/>
    <cellStyle name="20% - Accent5 5 2 2 2 2 2" xfId="30197"/>
    <cellStyle name="40% - Accent5 5 2 2 2 2 2" xfId="30198"/>
    <cellStyle name="60% - Accent5 5 2 2 2 2 2" xfId="30199"/>
    <cellStyle name="20% - Accent6 5 2 2 2 2 2" xfId="30200"/>
    <cellStyle name="40% - Accent6 5 2 2 2 2 2" xfId="30201"/>
    <cellStyle name="60% - Accent6 5 2 2 2 2 2" xfId="30202"/>
    <cellStyle name="Normal 3 2 2 4 2 2 2 2 2" xfId="30203"/>
    <cellStyle name="Normal 3 3 2 4 2 2 2 2 2" xfId="30204"/>
    <cellStyle name="Normal 3 4 2 4 2 2 2 2 2" xfId="30205"/>
    <cellStyle name="Normal 3 5 2 4 2 2 2 2 2" xfId="30206"/>
    <cellStyle name="Percent 3 4 2 2 2 2 2" xfId="30207"/>
    <cellStyle name="Note 2 4 2 2 2 2 2" xfId="30208"/>
    <cellStyle name="Comma 2 6 2 3 2 2 2" xfId="30209"/>
    <cellStyle name="Comma 3 5 2 3 2 2 2" xfId="30210"/>
    <cellStyle name="Percent 4 4 2 2 2 2 2" xfId="30211"/>
    <cellStyle name="Normal 3 7 4 2 2 2 2 2" xfId="30212"/>
    <cellStyle name="Note 3 4 2 2 2 2 2" xfId="30213"/>
    <cellStyle name="20% - Accent1 2 4 2 2 2 2 2" xfId="30214"/>
    <cellStyle name="40% - Accent1 2 4 2 2 2 2 2" xfId="30215"/>
    <cellStyle name="60% - Accent1 2 4 2 2 2 2 2" xfId="30216"/>
    <cellStyle name="20% - Accent2 2 4 2 2 2 2 2" xfId="30217"/>
    <cellStyle name="40% - Accent2 2 4 2 2 2 2 2" xfId="30218"/>
    <cellStyle name="60% - Accent2 2 4 2 2 2 2 2" xfId="30219"/>
    <cellStyle name="20% - Accent3 2 4 2 2 2 2 2" xfId="30220"/>
    <cellStyle name="40% - Accent3 2 4 2 2 2 2 2" xfId="30221"/>
    <cellStyle name="60% - Accent3 2 4 2 2 2 2 2" xfId="30222"/>
    <cellStyle name="20% - Accent4 2 4 2 2 2 2 2" xfId="30223"/>
    <cellStyle name="40% - Accent4 2 4 2 2 2 2 2" xfId="30224"/>
    <cellStyle name="60% - Accent4 2 4 2 2 2 2 2" xfId="30225"/>
    <cellStyle name="20% - Accent5 2 4 2 2 2 2 2" xfId="30226"/>
    <cellStyle name="40% - Accent5 2 4 2 2 2 2 2" xfId="30227"/>
    <cellStyle name="60% - Accent5 2 4 2 2 2 2 2" xfId="30228"/>
    <cellStyle name="20% - Accent6 2 4 2 2 2 2 2" xfId="30229"/>
    <cellStyle name="40% - Accent6 2 4 2 2 2 2 2" xfId="30230"/>
    <cellStyle name="60% - Accent6 2 4 2 2 2 2 2" xfId="30231"/>
    <cellStyle name="Comma 2 2 5 2 3 2 2 2" xfId="30232"/>
    <cellStyle name="Comma 4 5 2 3 2 2 2" xfId="30233"/>
    <cellStyle name="Normal 3 8 4 2 2 2 2 2" xfId="30234"/>
    <cellStyle name="Comma 5 3 2 3 2 2 2" xfId="30235"/>
    <cellStyle name="20% - Accent1 3 3 2 2 2 2 2" xfId="30236"/>
    <cellStyle name="40% - Accent1 3 3 2 2 2 2 2" xfId="30237"/>
    <cellStyle name="60% - Accent1 3 3 2 2 2 2 2" xfId="30238"/>
    <cellStyle name="20% - Accent2 3 3 2 2 2 2 2" xfId="30239"/>
    <cellStyle name="40% - Accent2 3 3 2 2 2 2 2" xfId="30240"/>
    <cellStyle name="60% - Accent2 3 3 2 2 2 2 2" xfId="30241"/>
    <cellStyle name="20% - Accent3 3 3 2 2 2 2 2" xfId="30242"/>
    <cellStyle name="40% - Accent3 3 3 2 2 2 2 2" xfId="30243"/>
    <cellStyle name="60% - Accent3 3 3 2 2 2 2 2" xfId="30244"/>
    <cellStyle name="20% - Accent4 3 3 2 2 2 2 2" xfId="30245"/>
    <cellStyle name="40% - Accent4 3 3 2 2 2 2 2" xfId="30246"/>
    <cellStyle name="60% - Accent4 3 3 2 2 2 2 2" xfId="30247"/>
    <cellStyle name="20% - Accent5 3 3 2 2 2 2 2" xfId="30248"/>
    <cellStyle name="40% - Accent5 3 3 2 2 2 2 2" xfId="30249"/>
    <cellStyle name="60% - Accent5 3 3 2 2 2 2 2" xfId="30250"/>
    <cellStyle name="20% - Accent6 3 3 2 2 2 2 2" xfId="30251"/>
    <cellStyle name="40% - Accent6 3 3 2 2 2 2 2" xfId="30252"/>
    <cellStyle name="60% - Accent6 3 3 2 2 2 2 2" xfId="30253"/>
    <cellStyle name="Normal 3 2 3 3 2 2 2 2 2" xfId="30254"/>
    <cellStyle name="Normal 3 3 3 3 2 2 2 2 2" xfId="30255"/>
    <cellStyle name="Normal 3 4 3 3 2 2 2 2 2" xfId="30256"/>
    <cellStyle name="Normal 3 5 3 3 2 2 2 2 2" xfId="30257"/>
    <cellStyle name="Normal 3 3 2 2 3 2 2 2 2 2" xfId="30258"/>
    <cellStyle name="Normal 3 4 2 2 3 2 2 2 2 2" xfId="30259"/>
    <cellStyle name="Normal 3 5 2 2 3 2 2 2 2 2" xfId="30260"/>
    <cellStyle name="Normal 5 2 3 2 2 2 2 2" xfId="30261"/>
    <cellStyle name="Percent 3 2 3 2 2 2 2 2" xfId="30262"/>
    <cellStyle name="Note 2 2 3 2 2 2 2 2" xfId="30263"/>
    <cellStyle name="Normal 3 6 2 3 2 2 2 2 2" xfId="30264"/>
    <cellStyle name="Comma 2 3 3 2 3 2 2 2" xfId="30265"/>
    <cellStyle name="Comma 3 2 3 2 3 2 2 2" xfId="30266"/>
    <cellStyle name="Percent 4 2 3 2 2 2 2 2" xfId="30267"/>
    <cellStyle name="Normal 3 7 2 3 2 2 2 2 2" xfId="30268"/>
    <cellStyle name="Note 3 2 3 2 2 2 2 2" xfId="30269"/>
    <cellStyle name="20% - Accent1 2 2 3 2 2 2 2 2" xfId="30270"/>
    <cellStyle name="40% - Accent1 2 2 3 2 2 2 2 2" xfId="30271"/>
    <cellStyle name="60% - Accent1 2 2 3 2 2 2 2 2" xfId="30272"/>
    <cellStyle name="20% - Accent2 2 2 3 2 2 2 2 2" xfId="30273"/>
    <cellStyle name="40% - Accent2 2 2 3 2 2 2 2 2" xfId="30274"/>
    <cellStyle name="60% - Accent2 2 2 3 2 2 2 2 2" xfId="30275"/>
    <cellStyle name="20% - Accent3 2 2 3 2 2 2 2 2" xfId="30276"/>
    <cellStyle name="40% - Accent3 2 2 3 2 2 2 2 2" xfId="30277"/>
    <cellStyle name="60% - Accent3 2 2 3 2 2 2 2 2" xfId="30278"/>
    <cellStyle name="20% - Accent4 2 2 3 2 2 2 2 2" xfId="30279"/>
    <cellStyle name="40% - Accent4 2 2 3 2 2 2 2 2" xfId="30280"/>
    <cellStyle name="60% - Accent4 2 2 3 2 2 2 2 2" xfId="30281"/>
    <cellStyle name="20% - Accent5 2 2 3 2 2 2 2 2" xfId="30282"/>
    <cellStyle name="40% - Accent5 2 2 3 2 2 2 2 2" xfId="30283"/>
    <cellStyle name="60% - Accent5 2 2 3 2 2 2 2 2" xfId="30284"/>
    <cellStyle name="20% - Accent6 2 2 3 2 2 2 2 2" xfId="30285"/>
    <cellStyle name="40% - Accent6 2 2 3 2 2 2 2 2" xfId="30286"/>
    <cellStyle name="60% - Accent6 2 2 3 2 2 2 2 2" xfId="30287"/>
    <cellStyle name="Comma 2 2 2 3 2 3 2 2 2" xfId="30288"/>
    <cellStyle name="Comma 4 2 3 2 3 2 2 2" xfId="30289"/>
    <cellStyle name="Normal 3 8 2 3 2 2 2 2 2" xfId="30290"/>
    <cellStyle name="Comma 6 2 2 3 2 2 2" xfId="30291"/>
    <cellStyle name="20% - Accent1 4 2 2 2 2 2 2" xfId="30292"/>
    <cellStyle name="40% - Accent1 4 2 2 2 2 2 2" xfId="30293"/>
    <cellStyle name="60% - Accent1 4 2 2 2 2 2 2" xfId="30294"/>
    <cellStyle name="20% - Accent2 4 2 2 2 2 2 2" xfId="30295"/>
    <cellStyle name="40% - Accent2 4 2 2 2 2 2 2" xfId="30296"/>
    <cellStyle name="60% - Accent2 4 2 2 2 2 2 2" xfId="30297"/>
    <cellStyle name="20% - Accent3 4 2 2 2 2 2 2" xfId="30298"/>
    <cellStyle name="40% - Accent3 4 2 2 2 2 2 2" xfId="30299"/>
    <cellStyle name="60% - Accent3 4 2 2 2 2 2 2" xfId="30300"/>
    <cellStyle name="20% - Accent4 4 2 2 2 2 2 2" xfId="30301"/>
    <cellStyle name="40% - Accent4 4 2 2 2 2 2 2" xfId="30302"/>
    <cellStyle name="60% - Accent4 4 2 2 2 2 2 2" xfId="30303"/>
    <cellStyle name="20% - Accent5 4 2 2 2 2 2 2" xfId="30304"/>
    <cellStyle name="40% - Accent5 4 2 2 2 2 2 2" xfId="30305"/>
    <cellStyle name="60% - Accent5 4 2 2 2 2 2 2" xfId="30306"/>
    <cellStyle name="20% - Accent6 4 2 2 2 2 2 2" xfId="30307"/>
    <cellStyle name="40% - Accent6 4 2 2 2 2 2 2" xfId="30308"/>
    <cellStyle name="60% - Accent6 4 2 2 2 2 2 2" xfId="30309"/>
    <cellStyle name="Normal 3 2 4 2 2 2 2 2 2" xfId="30310"/>
    <cellStyle name="Normal 3 3 4 2 2 2 2 2 2" xfId="30311"/>
    <cellStyle name="Normal 3 4 4 2 2 2 2 2 2" xfId="30312"/>
    <cellStyle name="Normal 3 5 4 2 2 2 2 2 2" xfId="30313"/>
    <cellStyle name="Normal 3 2 2 3 2 2 2 2 2 2" xfId="30314"/>
    <cellStyle name="Normal 3 3 2 3 2 2 2 2 2 2" xfId="30315"/>
    <cellStyle name="Normal 3 4 2 3 2 2 2 2 2 2" xfId="30316"/>
    <cellStyle name="Normal 3 5 2 3 2 2 2 2 2 2" xfId="30317"/>
    <cellStyle name="Normal 5 3 2 2 2 2 2 2" xfId="30318"/>
    <cellStyle name="Percent 3 3 2 2 2 2 2 2" xfId="30319"/>
    <cellStyle name="Note 2 3 2 2 2 2 2 2" xfId="30320"/>
    <cellStyle name="Normal 3 6 3 2 2 2 2 2 2" xfId="30321"/>
    <cellStyle name="Comma 2 5 2 2 3 2 2 2" xfId="30322"/>
    <cellStyle name="Comma 3 4 2 2 3 2 2 2" xfId="30323"/>
    <cellStyle name="Percent 4 3 2 2 2 2 2 2" xfId="30324"/>
    <cellStyle name="Normal 3 7 3 2 2 2 2 2 2" xfId="30325"/>
    <cellStyle name="Note 3 3 2 2 2 2 2 2" xfId="30326"/>
    <cellStyle name="20% - Accent1 2 3 2 2 2 2 2 2" xfId="30327"/>
    <cellStyle name="40% - Accent1 2 3 2 2 2 2 2 2" xfId="30328"/>
    <cellStyle name="60% - Accent1 2 3 2 2 2 2 2 2" xfId="30329"/>
    <cellStyle name="20% - Accent2 2 3 2 2 2 2 2 2" xfId="30330"/>
    <cellStyle name="40% - Accent2 2 3 2 2 2 2 2 2" xfId="30331"/>
    <cellStyle name="60% - Accent2 2 3 2 2 2 2 2 2" xfId="30332"/>
    <cellStyle name="20% - Accent3 2 3 2 2 2 2 2 2" xfId="30333"/>
    <cellStyle name="40% - Accent3 2 3 2 2 2 2 2 2" xfId="30334"/>
    <cellStyle name="60% - Accent3 2 3 2 2 2 2 2 2" xfId="30335"/>
    <cellStyle name="20% - Accent4 2 3 2 2 2 2 2 2" xfId="30336"/>
    <cellStyle name="40% - Accent4 2 3 2 2 2 2 2 2" xfId="30337"/>
    <cellStyle name="60% - Accent4 2 3 2 2 2 2 2 2" xfId="30338"/>
    <cellStyle name="20% - Accent5 2 3 2 2 2 2 2 2" xfId="30339"/>
    <cellStyle name="40% - Accent5 2 3 2 2 2 2 2 2" xfId="30340"/>
    <cellStyle name="60% - Accent5 2 3 2 2 2 2 2 2" xfId="30341"/>
    <cellStyle name="20% - Accent6 2 3 2 2 2 2 2 2" xfId="30342"/>
    <cellStyle name="40% - Accent6 2 3 2 2 2 2 2 2" xfId="30343"/>
    <cellStyle name="60% - Accent6 2 3 2 2 2 2 2 2" xfId="30344"/>
    <cellStyle name="Comma 2 2 4 2 2 3 2 2 2" xfId="30345"/>
    <cellStyle name="Comma 4 4 2 2 3 2 2 2" xfId="30346"/>
    <cellStyle name="Normal 3 8 3 2 2 2 2 2 2" xfId="30347"/>
    <cellStyle name="Comma 2 4 2 2 3 2 2 2" xfId="30348"/>
    <cellStyle name="Comma 3 3 2 2 3 2 2 2" xfId="30349"/>
    <cellStyle name="Comma 2 2 3 2 2 3 2 2 2" xfId="30350"/>
    <cellStyle name="Comma 4 3 2 2 3 2 2 2" xfId="30351"/>
    <cellStyle name="Normal 7 2 2 2 2 2 2 2" xfId="30352"/>
    <cellStyle name="Comma 5 2 2 2 3 2 2 2" xfId="30353"/>
    <cellStyle name="20% - Accent1 3 2 2 2 2 2 2 2" xfId="30354"/>
    <cellStyle name="40% - Accent1 3 2 2 2 2 2 2 2" xfId="30355"/>
    <cellStyle name="60% - Accent1 3 2 2 2 2 2 2 2" xfId="30356"/>
    <cellStyle name="20% - Accent2 3 2 2 2 2 2 2 2" xfId="30357"/>
    <cellStyle name="40% - Accent2 3 2 2 2 2 2 2 2" xfId="30358"/>
    <cellStyle name="60% - Accent2 3 2 2 2 2 2 2 2" xfId="30359"/>
    <cellStyle name="20% - Accent3 3 2 2 2 2 2 2 2" xfId="30360"/>
    <cellStyle name="40% - Accent3 3 2 2 2 2 2 2 2" xfId="30361"/>
    <cellStyle name="60% - Accent3 3 2 2 2 2 2 2 2" xfId="30362"/>
    <cellStyle name="20% - Accent4 3 2 2 2 2 2 2 2" xfId="30363"/>
    <cellStyle name="40% - Accent4 3 2 2 2 2 2 2 2" xfId="30364"/>
    <cellStyle name="60% - Accent4 3 2 2 2 2 2 2 2" xfId="30365"/>
    <cellStyle name="20% - Accent5 3 2 2 2 2 2 2 2" xfId="30366"/>
    <cellStyle name="40% - Accent5 3 2 2 2 2 2 2 2" xfId="30367"/>
    <cellStyle name="60% - Accent5 3 2 2 2 2 2 2 2" xfId="30368"/>
    <cellStyle name="20% - Accent6 3 2 2 2 2 2 2 2" xfId="30369"/>
    <cellStyle name="40% - Accent6 3 2 2 2 2 2 2 2" xfId="30370"/>
    <cellStyle name="60% - Accent6 3 2 2 2 2 2 2 2" xfId="30371"/>
    <cellStyle name="Normal 3 2 3 2 2 2 2 2 2 2" xfId="30372"/>
    <cellStyle name="Normal 3 3 3 2 2 2 2 2 2 2" xfId="30373"/>
    <cellStyle name="Normal 3 4 3 2 2 2 2 2 2 2" xfId="30374"/>
    <cellStyle name="Normal 3 5 3 2 2 2 2 2 2 2" xfId="30375"/>
    <cellStyle name="Normal 3 3 2 2 2 2 2 2 2 2 2" xfId="30376"/>
    <cellStyle name="Normal 3 4 2 2 2 2 2 2 2 2 2" xfId="30377"/>
    <cellStyle name="Normal 3 5 2 2 2 2 2 2 2 2 2" xfId="30378"/>
    <cellStyle name="Normal 5 2 2 2 2 2 2 2 2" xfId="30379"/>
    <cellStyle name="Percent 3 2 2 2 2 2 2 2 2" xfId="30380"/>
    <cellStyle name="Note 2 2 2 2 2 2 2 2 2" xfId="30381"/>
    <cellStyle name="Normal 3 6 2 2 2 2 2 2 2 2" xfId="30382"/>
    <cellStyle name="Comma 2 3 2 2 2 3 2 2 2" xfId="30383"/>
    <cellStyle name="Comma 3 2 2 2 2 3 2 2 2" xfId="30384"/>
    <cellStyle name="Percent 4 2 2 2 2 2 2 2 2" xfId="30385"/>
    <cellStyle name="Normal 3 7 2 2 2 2 2 2 2 2" xfId="30386"/>
    <cellStyle name="Note 3 2 2 2 2 2 2 2 2" xfId="30387"/>
    <cellStyle name="20% - Accent1 2 2 2 2 2 2 2 2 2" xfId="30388"/>
    <cellStyle name="40% - Accent1 2 2 2 2 2 2 2 2 2" xfId="30389"/>
    <cellStyle name="60% - Accent1 2 2 2 2 2 2 2 2 2" xfId="30390"/>
    <cellStyle name="20% - Accent2 2 2 2 2 2 2 2 2 2" xfId="30391"/>
    <cellStyle name="40% - Accent2 2 2 2 2 2 2 2 2 2" xfId="30392"/>
    <cellStyle name="60% - Accent2 2 2 2 2 2 2 2 2 2" xfId="30393"/>
    <cellStyle name="20% - Accent3 2 2 2 2 2 2 2 2 2" xfId="30394"/>
    <cellStyle name="40% - Accent3 2 2 2 2 2 2 2 2 2" xfId="30395"/>
    <cellStyle name="60% - Accent3 2 2 2 2 2 2 2 2 2" xfId="30396"/>
    <cellStyle name="20% - Accent4 2 2 2 2 2 2 2 2 2" xfId="30397"/>
    <cellStyle name="40% - Accent4 2 2 2 2 2 2 2 2 2" xfId="30398"/>
    <cellStyle name="60% - Accent4 2 2 2 2 2 2 2 2 2" xfId="30399"/>
    <cellStyle name="20% - Accent5 2 2 2 2 2 2 2 2 2" xfId="30400"/>
    <cellStyle name="40% - Accent5 2 2 2 2 2 2 2 2 2" xfId="30401"/>
    <cellStyle name="60% - Accent5 2 2 2 2 2 2 2 2 2" xfId="30402"/>
    <cellStyle name="20% - Accent6 2 2 2 2 2 2 2 2 2" xfId="30403"/>
    <cellStyle name="40% - Accent6 2 2 2 2 2 2 2 2 2" xfId="30404"/>
    <cellStyle name="60% - Accent6 2 2 2 2 2 2 2 2 2" xfId="30405"/>
    <cellStyle name="Comma 2 2 2 2 2 2 3 2 2 2" xfId="30406"/>
    <cellStyle name="Comma 4 2 2 2 2 3 2 2 2" xfId="30407"/>
    <cellStyle name="Normal 3 8 2 2 2 2 2 2 2 2" xfId="30408"/>
    <cellStyle name="Normal 3 10 2 2 2 2 2 2" xfId="30409"/>
    <cellStyle name="Normal 3 11 2 2 2 2 2 2" xfId="30410"/>
    <cellStyle name="Normal 3 13 2 2 2 2" xfId="30411"/>
    <cellStyle name="Normal 3 2 7 2 2 2 2" xfId="30412"/>
    <cellStyle name="Normal 3 3 7 2 2 2 2" xfId="30413"/>
    <cellStyle name="Normal 3 4 7 2 2 2 2" xfId="30414"/>
    <cellStyle name="Normal 3 5 7 2 2 2 2" xfId="30415"/>
    <cellStyle name="20% - Accent1 7 2 2 2 2" xfId="30416"/>
    <cellStyle name="40% - Accent1 7 2 2 2 2" xfId="30417"/>
    <cellStyle name="60% - Accent1 7 2 2 2 2" xfId="30418"/>
    <cellStyle name="20% - Accent2 7 2 2 2 2" xfId="30419"/>
    <cellStyle name="40% - Accent2 7 2 2 2 2" xfId="30420"/>
    <cellStyle name="60% - Accent2 7 2 2 2 2" xfId="30421"/>
    <cellStyle name="20% - Accent3 7 2 2 2 2" xfId="30422"/>
    <cellStyle name="40% - Accent3 7 2 2 2 2" xfId="30423"/>
    <cellStyle name="60% - Accent3 7 2 2 2 2" xfId="30424"/>
    <cellStyle name="20% - Accent4 7 2 2 2 2" xfId="30425"/>
    <cellStyle name="40% - Accent4 7 2 2 2 2" xfId="30426"/>
    <cellStyle name="60% - Accent4 7 2 2 2 2" xfId="30427"/>
    <cellStyle name="20% - Accent5 7 2 2 2 2" xfId="30428"/>
    <cellStyle name="40% - Accent5 7 2 2 2 2" xfId="30429"/>
    <cellStyle name="60% - Accent5 7 2 2 2 2" xfId="30430"/>
    <cellStyle name="20% - Accent6 7 2 2 2 2" xfId="30431"/>
    <cellStyle name="40% - Accent6 7 2 2 2 2" xfId="30432"/>
    <cellStyle name="60% - Accent6 7 2 2 2 2" xfId="30433"/>
    <cellStyle name="Normal 3 2 2 6 2 2 2 2" xfId="30434"/>
    <cellStyle name="Normal 3 3 2 6 2 2 2 2" xfId="30435"/>
    <cellStyle name="Normal 3 4 2 6 2 2 2 2" xfId="30436"/>
    <cellStyle name="Normal 3 5 2 6 2 2 2 2" xfId="30437"/>
    <cellStyle name="Normal 5 6 2 2 2 2" xfId="30438"/>
    <cellStyle name="Percent 3 6 2 2 2 2" xfId="30439"/>
    <cellStyle name="Note 2 6 2 2 2 2" xfId="30440"/>
    <cellStyle name="Normal 3 6 6 2 2 2 2" xfId="30441"/>
    <cellStyle name="Comma 2 8 3 2 2 2" xfId="30442"/>
    <cellStyle name="Comma 3 8 3 2 2 2" xfId="30443"/>
    <cellStyle name="Percent 4 6 2 2 2 2" xfId="30444"/>
    <cellStyle name="Normal 3 7 6 2 2 2 2" xfId="30445"/>
    <cellStyle name="Note 3 6 2 2 2 2" xfId="30446"/>
    <cellStyle name="20% - Accent1 2 6 2 2 2 2" xfId="30447"/>
    <cellStyle name="40% - Accent1 2 6 2 2 2 2" xfId="30448"/>
    <cellStyle name="60% - Accent1 2 6 2 2 2 2" xfId="30449"/>
    <cellStyle name="20% - Accent2 2 6 2 2 2 2" xfId="30450"/>
    <cellStyle name="40% - Accent2 2 6 2 2 2 2" xfId="30451"/>
    <cellStyle name="60% - Accent2 2 6 2 2 2 2" xfId="30452"/>
    <cellStyle name="20% - Accent3 2 6 2 2 2 2" xfId="30453"/>
    <cellStyle name="40% - Accent3 2 6 2 2 2 2" xfId="30454"/>
    <cellStyle name="60% - Accent3 2 6 2 2 2 2" xfId="30455"/>
    <cellStyle name="20% - Accent4 2 6 2 2 2 2" xfId="30456"/>
    <cellStyle name="40% - Accent4 2 6 2 2 2 2" xfId="30457"/>
    <cellStyle name="60% - Accent4 2 6 2 2 2 2" xfId="30458"/>
    <cellStyle name="20% - Accent5 2 6 2 2 2 2" xfId="30459"/>
    <cellStyle name="40% - Accent5 2 6 2 2 2 2" xfId="30460"/>
    <cellStyle name="60% - Accent5 2 6 2 2 2 2" xfId="30461"/>
    <cellStyle name="20% - Accent6 2 6 2 2 2 2" xfId="30462"/>
    <cellStyle name="40% - Accent6 2 6 2 2 2 2" xfId="30463"/>
    <cellStyle name="60% - Accent6 2 6 2 2 2 2" xfId="30464"/>
    <cellStyle name="Comma 2 2 7 3 2 2 2" xfId="30465"/>
    <cellStyle name="Comma 4 7 3 2 2 2" xfId="30466"/>
    <cellStyle name="Normal 3 8 6 2 2 2 2" xfId="30467"/>
    <cellStyle name="Normal 7 5 2 2 2 2" xfId="30468"/>
    <cellStyle name="Comma 5 5 3 2 2 2" xfId="30469"/>
    <cellStyle name="20% - Accent1 3 5 2 2 2 2" xfId="30470"/>
    <cellStyle name="40% - Accent1 3 5 2 2 2 2" xfId="30471"/>
    <cellStyle name="60% - Accent1 3 5 2 2 2 2" xfId="30472"/>
    <cellStyle name="20% - Accent2 3 5 2 2 2 2" xfId="30473"/>
    <cellStyle name="40% - Accent2 3 5 2 2 2 2" xfId="30474"/>
    <cellStyle name="60% - Accent2 3 5 2 2 2 2" xfId="30475"/>
    <cellStyle name="20% - Accent3 3 5 2 2 2 2" xfId="30476"/>
    <cellStyle name="40% - Accent3 3 5 2 2 2 2" xfId="30477"/>
    <cellStyle name="60% - Accent3 3 5 2 2 2 2" xfId="30478"/>
    <cellStyle name="20% - Accent4 3 5 2 2 2 2" xfId="30479"/>
    <cellStyle name="40% - Accent4 3 5 2 2 2 2" xfId="30480"/>
    <cellStyle name="60% - Accent4 3 5 2 2 2 2" xfId="30481"/>
    <cellStyle name="20% - Accent5 3 5 2 2 2 2" xfId="30482"/>
    <cellStyle name="40% - Accent5 3 5 2 2 2 2" xfId="30483"/>
    <cellStyle name="60% - Accent5 3 5 2 2 2 2" xfId="30484"/>
    <cellStyle name="20% - Accent6 3 5 2 2 2 2" xfId="30485"/>
    <cellStyle name="40% - Accent6 3 5 2 2 2 2" xfId="30486"/>
    <cellStyle name="60% - Accent6 3 5 2 2 2 2" xfId="30487"/>
    <cellStyle name="Normal 3 2 3 5 2 2 2 2" xfId="30488"/>
    <cellStyle name="Normal 3 3 3 5 2 2 2 2" xfId="30489"/>
    <cellStyle name="Normal 3 4 3 5 2 2 2 2" xfId="30490"/>
    <cellStyle name="Normal 3 5 3 5 2 2 2 2" xfId="30491"/>
    <cellStyle name="Normal 3 2 2 2 5 2 2 2 2" xfId="30492"/>
    <cellStyle name="Normal 3 3 2 2 5 2 2 2 2" xfId="30493"/>
    <cellStyle name="Normal 3 4 2 2 5 2 2 2 2" xfId="30494"/>
    <cellStyle name="Normal 3 5 2 2 5 2 2 2 2" xfId="30495"/>
    <cellStyle name="Normal 5 2 5 2 2 2 2" xfId="30496"/>
    <cellStyle name="Percent 3 2 5 2 2 2 2" xfId="30497"/>
    <cellStyle name="Note 2 2 5 2 2 2 2" xfId="30498"/>
    <cellStyle name="Normal 3 6 2 5 2 2 2 2" xfId="30499"/>
    <cellStyle name="Comma 2 3 5 3 2 2 2" xfId="30500"/>
    <cellStyle name="Comma 3 2 5 3 2 2 2" xfId="30501"/>
    <cellStyle name="Percent 4 2 5 2 2 2 2" xfId="30502"/>
    <cellStyle name="Normal 3 7 2 5 2 2 2 2" xfId="30503"/>
    <cellStyle name="Note 3 2 5 2 2 2 2" xfId="30504"/>
    <cellStyle name="20% - Accent1 2 2 5 2 2 2 2" xfId="30505"/>
    <cellStyle name="40% - Accent1 2 2 5 2 2 2 2" xfId="30506"/>
    <cellStyle name="60% - Accent1 2 2 5 2 2 2 2" xfId="30507"/>
    <cellStyle name="20% - Accent2 2 2 5 2 2 2 2" xfId="30508"/>
    <cellStyle name="40% - Accent2 2 2 5 2 2 2 2" xfId="30509"/>
    <cellStyle name="60% - Accent2 2 2 5 2 2 2 2" xfId="30510"/>
    <cellStyle name="20% - Accent3 2 2 5 2 2 2 2" xfId="30511"/>
    <cellStyle name="40% - Accent3 2 2 5 2 2 2 2" xfId="30512"/>
    <cellStyle name="60% - Accent3 2 2 5 2 2 2 2" xfId="30513"/>
    <cellStyle name="20% - Accent4 2 2 5 2 2 2 2" xfId="30514"/>
    <cellStyle name="40% - Accent4 2 2 5 2 2 2 2" xfId="30515"/>
    <cellStyle name="60% - Accent4 2 2 5 2 2 2 2" xfId="30516"/>
    <cellStyle name="20% - Accent5 2 2 5 2 2 2 2" xfId="30517"/>
    <cellStyle name="40% - Accent5 2 2 5 2 2 2 2" xfId="30518"/>
    <cellStyle name="60% - Accent5 2 2 5 2 2 2 2" xfId="30519"/>
    <cellStyle name="20% - Accent6 2 2 5 2 2 2 2" xfId="30520"/>
    <cellStyle name="40% - Accent6 2 2 5 2 2 2 2" xfId="30521"/>
    <cellStyle name="60% - Accent6 2 2 5 2 2 2 2" xfId="30522"/>
    <cellStyle name="Comma 2 2 2 5 3 2 2 2" xfId="30523"/>
    <cellStyle name="Comma 4 2 5 3 2 2 2" xfId="30524"/>
    <cellStyle name="Normal 3 8 2 5 2 2 2 2" xfId="30525"/>
    <cellStyle name="Normal 8 4 2 2 2 2" xfId="30526"/>
    <cellStyle name="Comma 6 4 3 2 2 2" xfId="30527"/>
    <cellStyle name="20% - Accent1 4 4 2 2 2 2" xfId="30528"/>
    <cellStyle name="40% - Accent1 4 4 2 2 2 2" xfId="30529"/>
    <cellStyle name="60% - Accent1 4 4 2 2 2 2" xfId="30530"/>
    <cellStyle name="20% - Accent2 4 4 2 2 2 2" xfId="30531"/>
    <cellStyle name="40% - Accent2 4 4 2 2 2 2" xfId="30532"/>
    <cellStyle name="60% - Accent2 4 4 2 2 2 2" xfId="30533"/>
    <cellStyle name="20% - Accent3 4 4 2 2 2 2" xfId="30534"/>
    <cellStyle name="40% - Accent3 4 4 2 2 2 2" xfId="30535"/>
    <cellStyle name="60% - Accent3 4 4 2 2 2 2" xfId="30536"/>
    <cellStyle name="20% - Accent4 4 4 2 2 2 2" xfId="30537"/>
    <cellStyle name="40% - Accent4 4 4 2 2 2 2" xfId="30538"/>
    <cellStyle name="60% - Accent4 4 4 2 2 2 2" xfId="30539"/>
    <cellStyle name="20% - Accent5 4 4 2 2 2 2" xfId="30540"/>
    <cellStyle name="40% - Accent5 4 4 2 2 2 2" xfId="30541"/>
    <cellStyle name="60% - Accent5 4 4 2 2 2 2" xfId="30542"/>
    <cellStyle name="20% - Accent6 4 4 2 2 2 2" xfId="30543"/>
    <cellStyle name="40% - Accent6 4 4 2 2 2 2" xfId="30544"/>
    <cellStyle name="60% - Accent6 4 4 2 2 2 2" xfId="30545"/>
    <cellStyle name="Normal 3 2 4 4 2 2 2 2" xfId="30546"/>
    <cellStyle name="Normal 3 3 4 4 2 2 2 2" xfId="30547"/>
    <cellStyle name="Normal 3 4 4 4 2 2 2 2" xfId="30548"/>
    <cellStyle name="Normal 3 5 4 4 2 2 2 2" xfId="30549"/>
    <cellStyle name="Normal 3 2 2 3 4 2 2 2 2" xfId="30550"/>
    <cellStyle name="Normal 3 3 2 3 4 2 2 2 2" xfId="30551"/>
    <cellStyle name="Normal 3 4 2 3 4 2 2 2 2" xfId="30552"/>
    <cellStyle name="Normal 3 5 2 3 4 2 2 2 2" xfId="30553"/>
    <cellStyle name="Normal 5 3 4 2 2 2 2" xfId="30554"/>
    <cellStyle name="Percent 3 3 4 2 2 2 2" xfId="30555"/>
    <cellStyle name="Note 2 3 4 2 2 2 2" xfId="30556"/>
    <cellStyle name="Normal 3 6 3 4 2 2 2 2" xfId="30557"/>
    <cellStyle name="Comma 2 5 4 3 2 2 2" xfId="30558"/>
    <cellStyle name="Comma 3 4 4 3 2 2 2" xfId="30559"/>
    <cellStyle name="Percent 4 3 4 2 2 2 2" xfId="30560"/>
    <cellStyle name="Normal 3 7 3 4 2 2 2 2" xfId="30561"/>
    <cellStyle name="Note 3 3 4 2 2 2 2" xfId="30562"/>
    <cellStyle name="20% - Accent1 2 3 4 2 2 2 2" xfId="30563"/>
    <cellStyle name="40% - Accent1 2 3 4 2 2 2 2" xfId="30564"/>
    <cellStyle name="60% - Accent1 2 3 4 2 2 2 2" xfId="30565"/>
    <cellStyle name="20% - Accent2 2 3 4 2 2 2 2" xfId="30566"/>
    <cellStyle name="40% - Accent2 2 3 4 2 2 2 2" xfId="30567"/>
    <cellStyle name="60% - Accent2 2 3 4 2 2 2 2" xfId="30568"/>
    <cellStyle name="20% - Accent3 2 3 4 2 2 2 2" xfId="30569"/>
    <cellStyle name="40% - Accent3 2 3 4 2 2 2 2" xfId="30570"/>
    <cellStyle name="60% - Accent3 2 3 4 2 2 2 2" xfId="30571"/>
    <cellStyle name="20% - Accent4 2 3 4 2 2 2 2" xfId="30572"/>
    <cellStyle name="40% - Accent4 2 3 4 2 2 2 2" xfId="30573"/>
    <cellStyle name="60% - Accent4 2 3 4 2 2 2 2" xfId="30574"/>
    <cellStyle name="20% - Accent5 2 3 4 2 2 2 2" xfId="30575"/>
    <cellStyle name="40% - Accent5 2 3 4 2 2 2 2" xfId="30576"/>
    <cellStyle name="60% - Accent5 2 3 4 2 2 2 2" xfId="30577"/>
    <cellStyle name="20% - Accent6 2 3 4 2 2 2 2" xfId="30578"/>
    <cellStyle name="40% - Accent6 2 3 4 2 2 2 2" xfId="30579"/>
    <cellStyle name="60% - Accent6 2 3 4 2 2 2 2" xfId="30580"/>
    <cellStyle name="Comma 2 2 4 4 3 2 2 2" xfId="30581"/>
    <cellStyle name="Comma 4 4 4 3 2 2 2" xfId="30582"/>
    <cellStyle name="Normal 3 8 3 4 2 2 2 2" xfId="30583"/>
    <cellStyle name="Comma 2 4 4 3 2 2 2" xfId="30584"/>
    <cellStyle name="Comma 3 3 4 3 2 2 2" xfId="30585"/>
    <cellStyle name="Comma 2 2 3 4 3 2 2 2" xfId="30586"/>
    <cellStyle name="Comma 4 3 4 3 2 2 2" xfId="30587"/>
    <cellStyle name="Normal 7 2 4 2 2 2 2" xfId="30588"/>
    <cellStyle name="Comma 5 2 4 3 2 2 2" xfId="30589"/>
    <cellStyle name="20% - Accent1 3 2 4 2 2 2 2" xfId="30590"/>
    <cellStyle name="40% - Accent1 3 2 4 2 2 2 2" xfId="30591"/>
    <cellStyle name="60% - Accent1 3 2 4 2 2 2 2" xfId="30592"/>
    <cellStyle name="20% - Accent2 3 2 4 2 2 2 2" xfId="30593"/>
    <cellStyle name="40% - Accent2 3 2 4 2 2 2 2" xfId="30594"/>
    <cellStyle name="60% - Accent2 3 2 4 2 2 2 2" xfId="30595"/>
    <cellStyle name="20% - Accent3 3 2 4 2 2 2 2" xfId="30596"/>
    <cellStyle name="40% - Accent3 3 2 4 2 2 2 2" xfId="30597"/>
    <cellStyle name="60% - Accent3 3 2 4 2 2 2 2" xfId="30598"/>
    <cellStyle name="20% - Accent4 3 2 4 2 2 2 2" xfId="30599"/>
    <cellStyle name="40% - Accent4 3 2 4 2 2 2 2" xfId="30600"/>
    <cellStyle name="60% - Accent4 3 2 4 2 2 2 2" xfId="30601"/>
    <cellStyle name="20% - Accent5 3 2 4 2 2 2 2" xfId="30602"/>
    <cellStyle name="40% - Accent5 3 2 4 2 2 2 2" xfId="30603"/>
    <cellStyle name="60% - Accent5 3 2 4 2 2 2 2" xfId="30604"/>
    <cellStyle name="20% - Accent6 3 2 4 2 2 2 2" xfId="30605"/>
    <cellStyle name="40% - Accent6 3 2 4 2 2 2 2" xfId="30606"/>
    <cellStyle name="60% - Accent6 3 2 4 2 2 2 2" xfId="30607"/>
    <cellStyle name="Normal 3 2 3 2 4 2 2 2 2" xfId="30608"/>
    <cellStyle name="Normal 3 3 3 2 4 2 2 2 2" xfId="30609"/>
    <cellStyle name="Normal 3 4 3 2 4 2 2 2 2" xfId="30610"/>
    <cellStyle name="Normal 3 5 3 2 4 2 2 2 2" xfId="30611"/>
    <cellStyle name="Normal 3 2 2 2 2 4 2 2 2 2" xfId="30612"/>
    <cellStyle name="Normal 3 3 2 2 2 4 2 2 2 2" xfId="30613"/>
    <cellStyle name="Normal 3 4 2 2 2 4 2 2 2 2" xfId="30614"/>
    <cellStyle name="Normal 3 5 2 2 2 4 2 2 2 2" xfId="30615"/>
    <cellStyle name="Normal 5 2 2 4 2 2 2 2" xfId="30616"/>
    <cellStyle name="Percent 3 2 2 4 2 2 2 2" xfId="30617"/>
    <cellStyle name="Note 2 2 2 4 2 2 2 2" xfId="30618"/>
    <cellStyle name="Normal 3 6 2 2 4 2 2 2 2" xfId="30619"/>
    <cellStyle name="Comma 2 3 2 4 3 2 2 2" xfId="30620"/>
    <cellStyle name="Comma 3 2 2 4 3 2 2 2" xfId="30621"/>
    <cellStyle name="Percent 4 2 2 4 2 2 2 2" xfId="30622"/>
    <cellStyle name="Normal 3 7 2 2 4 2 2 2 2" xfId="30623"/>
    <cellStyle name="Note 3 2 2 4 2 2 2 2" xfId="30624"/>
    <cellStyle name="20% - Accent1 2 2 2 4 2 2 2 2" xfId="30625"/>
    <cellStyle name="40% - Accent1 2 2 2 4 2 2 2 2" xfId="30626"/>
    <cellStyle name="60% - Accent1 2 2 2 4 2 2 2 2" xfId="30627"/>
    <cellStyle name="20% - Accent2 2 2 2 4 2 2 2 2" xfId="30628"/>
    <cellStyle name="40% - Accent2 2 2 2 4 2 2 2 2" xfId="30629"/>
    <cellStyle name="60% - Accent2 2 2 2 4 2 2 2 2" xfId="30630"/>
    <cellStyle name="20% - Accent3 2 2 2 4 2 2 2 2" xfId="30631"/>
    <cellStyle name="40% - Accent3 2 2 2 4 2 2 2 2" xfId="30632"/>
    <cellStyle name="60% - Accent3 2 2 2 4 2 2 2 2" xfId="30633"/>
    <cellStyle name="20% - Accent4 2 2 2 4 2 2 2 2" xfId="30634"/>
    <cellStyle name="40% - Accent4 2 2 2 4 2 2 2 2" xfId="30635"/>
    <cellStyle name="60% - Accent4 2 2 2 4 2 2 2 2" xfId="30636"/>
    <cellStyle name="20% - Accent5 2 2 2 4 2 2 2 2" xfId="30637"/>
    <cellStyle name="40% - Accent5 2 2 2 4 2 2 2 2" xfId="30638"/>
    <cellStyle name="60% - Accent5 2 2 2 4 2 2 2 2" xfId="30639"/>
    <cellStyle name="20% - Accent6 2 2 2 4 2 2 2 2" xfId="30640"/>
    <cellStyle name="40% - Accent6 2 2 2 4 2 2 2 2" xfId="30641"/>
    <cellStyle name="60% - Accent6 2 2 2 4 2 2 2 2" xfId="30642"/>
    <cellStyle name="Comma 2 2 2 2 4 3 2 2 2" xfId="30643"/>
    <cellStyle name="Comma 4 2 2 4 3 2 2 2" xfId="30644"/>
    <cellStyle name="Normal 3 8 2 2 4 2 2 2 2" xfId="30645"/>
    <cellStyle name="Normal 3 10 4 2 2 2 2" xfId="30646"/>
    <cellStyle name="Normal 3 11 4 2 2 2 2" xfId="30647"/>
    <cellStyle name="Normal 12 2 2 2 2" xfId="30648"/>
    <cellStyle name="Percent 8 2 2 2 2" xfId="30649"/>
    <cellStyle name="Note 4 2 2 2 2" xfId="30650"/>
    <cellStyle name="20% - Accent1 8 2 2 2 2" xfId="30651"/>
    <cellStyle name="40% - Accent1 8 2 2 2 2" xfId="30652"/>
    <cellStyle name="60% - Accent1 8 2 2 2 2" xfId="30653"/>
    <cellStyle name="20% - Accent2 8 2 2 2 2" xfId="30654"/>
    <cellStyle name="40% - Accent2 8 2 2 2 2" xfId="30655"/>
    <cellStyle name="60% - Accent2 8 2 2 2 2" xfId="30656"/>
    <cellStyle name="20% - Accent3 8 2 2 2 2" xfId="30657"/>
    <cellStyle name="40% - Accent3 8 2 2 2 2" xfId="30658"/>
    <cellStyle name="60% - Accent3 8 2 2 2 2" xfId="30659"/>
    <cellStyle name="20% - Accent4 8 2 2 2 2" xfId="30660"/>
    <cellStyle name="40% - Accent4 8 2 2 2 2" xfId="30661"/>
    <cellStyle name="60% - Accent4 8 2 2 2 2" xfId="30662"/>
    <cellStyle name="20% - Accent5 8 2 2 2 2" xfId="30663"/>
    <cellStyle name="40% - Accent5 8 2 2 2 2" xfId="30664"/>
    <cellStyle name="60% - Accent5 8 2 2 2 2" xfId="30665"/>
    <cellStyle name="20% - Accent6 8 2 2 2 2" xfId="30666"/>
    <cellStyle name="40% - Accent6 8 2 2 2 2" xfId="30667"/>
    <cellStyle name="60% - Accent6 8 2 2 2 2" xfId="30668"/>
    <cellStyle name="Comma 2 9 3 2 2 2" xfId="30669"/>
    <cellStyle name="Comma 7 3 2 2 2" xfId="30670"/>
    <cellStyle name="Normal 13 4 2 2 2" xfId="30671"/>
    <cellStyle name="Comma 8 2 2 2 2" xfId="30672"/>
    <cellStyle name="20% - Accent1 9 2 2 2 2" xfId="30673"/>
    <cellStyle name="40% - Accent1 9 2 2 2 2" xfId="30674"/>
    <cellStyle name="60% - Accent1 9 2 2 2 2" xfId="30675"/>
    <cellStyle name="20% - Accent2 9 2 2 2 2" xfId="30676"/>
    <cellStyle name="40% - Accent2 9 2 2 2 2" xfId="30677"/>
    <cellStyle name="60% - Accent2 9 2 2 2 2" xfId="30678"/>
    <cellStyle name="20% - Accent3 9 2 2 2 2" xfId="30679"/>
    <cellStyle name="40% - Accent3 9 2 2 2 2" xfId="30680"/>
    <cellStyle name="60% - Accent3 9 2 2 2 2" xfId="30681"/>
    <cellStyle name="20% - Accent4 9 2 2 2 2" xfId="30682"/>
    <cellStyle name="40% - Accent4 9 2 2 2 2" xfId="30683"/>
    <cellStyle name="60% - Accent4 9 2 2 2 2" xfId="30684"/>
    <cellStyle name="20% - Accent5 9 2 2 2 2" xfId="30685"/>
    <cellStyle name="40% - Accent5 9 2 2 2 2" xfId="30686"/>
    <cellStyle name="60% - Accent5 9 2 2 2 2" xfId="30687"/>
    <cellStyle name="20% - Accent6 9 2 2 2 2" xfId="30688"/>
    <cellStyle name="40% - Accent6 9 2 2 2 2" xfId="30689"/>
    <cellStyle name="60% - Accent6 9 2 2 2 2" xfId="30690"/>
    <cellStyle name="Normal 3 2 8 2 2 2 2" xfId="30691"/>
    <cellStyle name="Normal 3 3 8 2 2 2 2" xfId="30692"/>
    <cellStyle name="Normal 3 4 8 2 2 2 2" xfId="30693"/>
    <cellStyle name="Normal 3 5 8 2 2 2 2" xfId="30694"/>
    <cellStyle name="Normal 3 2 2 7 2 2 2 2" xfId="30695"/>
    <cellStyle name="Normal 3 3 2 7 2 2 2 2" xfId="30696"/>
    <cellStyle name="Normal 3 4 2 7 2 2 2 2" xfId="30697"/>
    <cellStyle name="Normal 3 5 2 7 2 2 2 2" xfId="30698"/>
    <cellStyle name="Normal 5 7 2 2 2 2" xfId="30699"/>
    <cellStyle name="Percent 3 7 2 2 2 2" xfId="30700"/>
    <cellStyle name="Note 2 7 2 2 2 2" xfId="30701"/>
    <cellStyle name="Normal 3 6 7 2 2 2 2" xfId="30702"/>
    <cellStyle name="Comma 2 10 2 2 2 2" xfId="30703"/>
    <cellStyle name="Comma 3 9 2 2 2 2" xfId="30704"/>
    <cellStyle name="Percent 4 7 2 2 2 2" xfId="30705"/>
    <cellStyle name="Normal 3 7 7 2 2 2 2" xfId="30706"/>
    <cellStyle name="Note 3 7 2 2 2 2" xfId="30707"/>
    <cellStyle name="20% - Accent1 2 7 2 2 2 2" xfId="30708"/>
    <cellStyle name="40% - Accent1 2 7 2 2 2 2" xfId="30709"/>
    <cellStyle name="60% - Accent1 2 7 2 2 2 2" xfId="30710"/>
    <cellStyle name="20% - Accent2 2 7 2 2 2 2" xfId="30711"/>
    <cellStyle name="40% - Accent2 2 7 2 2 2 2" xfId="30712"/>
    <cellStyle name="60% - Accent2 2 7 2 2 2 2" xfId="30713"/>
    <cellStyle name="20% - Accent3 2 7 2 2 2 2" xfId="30714"/>
    <cellStyle name="40% - Accent3 2 7 2 2 2 2" xfId="30715"/>
    <cellStyle name="60% - Accent3 2 7 2 2 2 2" xfId="30716"/>
    <cellStyle name="20% - Accent4 2 7 2 2 2 2" xfId="30717"/>
    <cellStyle name="40% - Accent4 2 7 2 2 2 2" xfId="30718"/>
    <cellStyle name="60% - Accent4 2 7 2 2 2 2" xfId="30719"/>
    <cellStyle name="20% - Accent5 2 7 2 2 2 2" xfId="30720"/>
    <cellStyle name="40% - Accent5 2 7 2 2 2 2" xfId="30721"/>
    <cellStyle name="60% - Accent5 2 7 2 2 2 2" xfId="30722"/>
    <cellStyle name="20% - Accent6 2 7 2 2 2 2" xfId="30723"/>
    <cellStyle name="40% - Accent6 2 7 2 2 2 2" xfId="30724"/>
    <cellStyle name="60% - Accent6 2 7 2 2 2 2" xfId="30725"/>
    <cellStyle name="Comma 2 2 8 2 2 2 2" xfId="30726"/>
    <cellStyle name="Comma 4 8 2 2 2 2" xfId="30727"/>
    <cellStyle name="Normal 3 8 7 2 2 2 2" xfId="30728"/>
    <cellStyle name="Comma 2 4 5 2 2 2 2" xfId="30729"/>
    <cellStyle name="Comma 3 3 5 2 2 2 2" xfId="30730"/>
    <cellStyle name="Comma 2 2 3 5 2 2 2 2" xfId="30731"/>
    <cellStyle name="Comma 4 3 5 2 2 2 2" xfId="30732"/>
    <cellStyle name="Normal 7 6 2 2 2 2" xfId="30733"/>
    <cellStyle name="Comma 5 6 2 2 2 2" xfId="30734"/>
    <cellStyle name="20% - Accent1 3 6 2 2 2 2" xfId="30735"/>
    <cellStyle name="40% - Accent1 3 6 2 2 2 2" xfId="30736"/>
    <cellStyle name="60% - Accent1 3 6 2 2 2 2" xfId="30737"/>
    <cellStyle name="20% - Accent2 3 6 2 2 2 2" xfId="30738"/>
    <cellStyle name="40% - Accent2 3 6 2 2 2 2" xfId="30739"/>
    <cellStyle name="60% - Accent2 3 6 2 2 2 2" xfId="30740"/>
    <cellStyle name="20% - Accent3 3 6 2 2 2 2" xfId="30741"/>
    <cellStyle name="40% - Accent3 3 6 2 2 2 2" xfId="30742"/>
    <cellStyle name="60% - Accent3 3 6 2 2 2 2" xfId="30743"/>
    <cellStyle name="20% - Accent4 3 6 2 2 2 2" xfId="30744"/>
    <cellStyle name="40% - Accent4 3 6 2 2 2 2" xfId="30745"/>
    <cellStyle name="60% - Accent4 3 6 2 2 2 2" xfId="30746"/>
    <cellStyle name="20% - Accent5 3 6 2 2 2 2" xfId="30747"/>
    <cellStyle name="40% - Accent5 3 6 2 2 2 2" xfId="30748"/>
    <cellStyle name="60% - Accent5 3 6 2 2 2 2" xfId="30749"/>
    <cellStyle name="20% - Accent6 3 6 2 2 2 2" xfId="30750"/>
    <cellStyle name="40% - Accent6 3 6 2 2 2 2" xfId="30751"/>
    <cellStyle name="60% - Accent6 3 6 2 2 2 2" xfId="30752"/>
    <cellStyle name="Normal 3 2 3 6 2 2 2 2" xfId="30753"/>
    <cellStyle name="Normal 3 3 3 6 2 2 2 2" xfId="30754"/>
    <cellStyle name="Normal 3 4 3 6 2 2 2 2" xfId="30755"/>
    <cellStyle name="Normal 3 5 3 6 2 2 2 2" xfId="30756"/>
    <cellStyle name="Normal 3 2 2 2 6 2 2 2 2" xfId="30757"/>
    <cellStyle name="Normal 3 3 2 2 6 2 2 2 2" xfId="30758"/>
    <cellStyle name="Normal 3 4 2 2 6 2 2 2 2" xfId="30759"/>
    <cellStyle name="Normal 3 5 2 2 6 2 2 2 2" xfId="30760"/>
    <cellStyle name="Normal 5 2 6 2 2 2 2" xfId="30761"/>
    <cellStyle name="Percent 3 2 6 2 2 2 2" xfId="30762"/>
    <cellStyle name="Note 2 2 6 2 2 2 2" xfId="30763"/>
    <cellStyle name="Normal 3 6 2 6 2 2 2 2" xfId="30764"/>
    <cellStyle name="Comma 2 3 6 2 2 2 2" xfId="30765"/>
    <cellStyle name="Comma 3 2 6 2 2 2 2" xfId="30766"/>
    <cellStyle name="Percent 4 2 6 2 2 2 2" xfId="30767"/>
    <cellStyle name="Normal 3 7 2 6 2 2 2 2" xfId="30768"/>
    <cellStyle name="Note 3 2 6 2 2 2 2" xfId="30769"/>
    <cellStyle name="20% - Accent1 2 2 6 2 2 2 2" xfId="30770"/>
    <cellStyle name="40% - Accent1 2 2 6 2 2 2 2" xfId="30771"/>
    <cellStyle name="60% - Accent1 2 2 6 2 2 2 2" xfId="30772"/>
    <cellStyle name="20% - Accent2 2 2 6 2 2 2 2" xfId="30773"/>
    <cellStyle name="40% - Accent2 2 2 6 2 2 2 2" xfId="30774"/>
    <cellStyle name="60% - Accent2 2 2 6 2 2 2 2" xfId="30775"/>
    <cellStyle name="20% - Accent3 2 2 6 2 2 2 2" xfId="30776"/>
    <cellStyle name="40% - Accent3 2 2 6 2 2 2 2" xfId="30777"/>
    <cellStyle name="60% - Accent3 2 2 6 2 2 2 2" xfId="30778"/>
    <cellStyle name="20% - Accent4 2 2 6 2 2 2 2" xfId="30779"/>
    <cellStyle name="40% - Accent4 2 2 6 2 2 2 2" xfId="30780"/>
    <cellStyle name="60% - Accent4 2 2 6 2 2 2 2" xfId="30781"/>
    <cellStyle name="20% - Accent5 2 2 6 2 2 2 2" xfId="30782"/>
    <cellStyle name="40% - Accent5 2 2 6 2 2 2 2" xfId="30783"/>
    <cellStyle name="60% - Accent5 2 2 6 2 2 2 2" xfId="30784"/>
    <cellStyle name="20% - Accent6 2 2 6 2 2 2 2" xfId="30785"/>
    <cellStyle name="40% - Accent6 2 2 6 2 2 2 2" xfId="30786"/>
    <cellStyle name="60% - Accent6 2 2 6 2 2 2 2" xfId="30787"/>
    <cellStyle name="Comma 2 2 2 6 2 2 2 2" xfId="30788"/>
    <cellStyle name="Comma 4 2 6 2 2 2 2" xfId="30789"/>
    <cellStyle name="Normal 3 8 2 6 2 2 2 2" xfId="30790"/>
    <cellStyle name="Comma 2 11 2 2 2" xfId="30791"/>
    <cellStyle name="Comma 3 10 2 2 2" xfId="30792"/>
    <cellStyle name="Comma 2 2 9 2 2 2" xfId="30793"/>
    <cellStyle name="Comma 4 9 2 2 2" xfId="30794"/>
    <cellStyle name="Comma 5 7 2 2 2" xfId="30795"/>
    <cellStyle name="Comma 2 3 7 2 2 2" xfId="30796"/>
    <cellStyle name="Comma 3 2 7 2 2 2" xfId="30797"/>
    <cellStyle name="Comma 2 2 2 7 2 2 2" xfId="30798"/>
    <cellStyle name="Comma 4 2 7 2 2 2" xfId="30799"/>
    <cellStyle name="Comma 6 5 2 2 2" xfId="30800"/>
    <cellStyle name="Comma 2 5 5 2 2 2" xfId="30801"/>
    <cellStyle name="Comma 3 4 5 2 2 2" xfId="30802"/>
    <cellStyle name="Comma 2 2 4 5 2 2 2" xfId="30803"/>
    <cellStyle name="Comma 4 4 5 2 2 2" xfId="30804"/>
    <cellStyle name="Comma 2 4 6 2 2 2" xfId="30805"/>
    <cellStyle name="Comma 3 3 6 2 2 2" xfId="30806"/>
    <cellStyle name="Comma 2 2 3 6 2 2 2" xfId="30807"/>
    <cellStyle name="Comma 4 3 6 2 2 2" xfId="30808"/>
    <cellStyle name="Comma 5 2 5 2 2 2" xfId="30809"/>
    <cellStyle name="Comma 2 3 2 5 2 2 2" xfId="30810"/>
    <cellStyle name="Comma 3 2 2 5 2 2 2" xfId="30811"/>
    <cellStyle name="Comma 2 2 2 2 5 2 2 2" xfId="30812"/>
    <cellStyle name="Comma 4 2 2 5 2 2 2" xfId="30813"/>
    <cellStyle name="Comma 2 6 3 2 2 2" xfId="30814"/>
    <cellStyle name="Comma 3 5 3 2 2 2" xfId="30815"/>
    <cellStyle name="Comma 2 2 5 3 2 2 2" xfId="30816"/>
    <cellStyle name="Comma 4 5 3 2 2 2" xfId="30817"/>
    <cellStyle name="Comma 5 3 3 2 2 2" xfId="30818"/>
    <cellStyle name="Comma 2 3 3 3 2 2 2" xfId="30819"/>
    <cellStyle name="Comma 3 2 3 3 2 2 2" xfId="30820"/>
    <cellStyle name="Comma 2 2 2 3 3 2 2 2" xfId="30821"/>
    <cellStyle name="Comma 4 2 3 3 2 2 2" xfId="30822"/>
    <cellStyle name="Comma 6 2 3 2 2 2" xfId="30823"/>
    <cellStyle name="Comma 2 5 2 3 2 2 2" xfId="30824"/>
    <cellStyle name="Comma 3 4 2 3 2 2 2" xfId="30825"/>
    <cellStyle name="Comma 2 2 4 2 3 2 2 2" xfId="30826"/>
    <cellStyle name="Comma 4 4 2 3 2 2 2" xfId="30827"/>
    <cellStyle name="Comma 2 4 2 3 2 2 2" xfId="30828"/>
    <cellStyle name="Comma 3 3 2 3 2 2 2" xfId="30829"/>
    <cellStyle name="Comma 2 2 3 2 3 2 2 2" xfId="30830"/>
    <cellStyle name="Comma 4 3 2 3 2 2 2" xfId="30831"/>
    <cellStyle name="Comma 5 2 2 3 2 2 2" xfId="30832"/>
    <cellStyle name="Comma 2 3 2 2 3 2 2 2" xfId="30833"/>
    <cellStyle name="Comma 3 2 2 2 3 2 2 2" xfId="30834"/>
    <cellStyle name="Comma 2 2 2 2 2 3 2 2 2" xfId="30835"/>
    <cellStyle name="Comma 4 2 2 2 3 2 2 2" xfId="30836"/>
    <cellStyle name="Comma 2 7 2 2 2 2" xfId="30837"/>
    <cellStyle name="Comma 3 7 2 2 2 2" xfId="30838"/>
    <cellStyle name="Comma 2 2 6 2 2 2 2" xfId="30839"/>
    <cellStyle name="Comma 4 6 2 2 2 2" xfId="30840"/>
    <cellStyle name="Comma 5 4 2 2 2 2" xfId="30841"/>
    <cellStyle name="Comma 2 3 4 2 2 2 2" xfId="30842"/>
    <cellStyle name="Comma 3 2 4 2 2 2 2" xfId="30843"/>
    <cellStyle name="Comma 2 2 2 4 2 2 2 2" xfId="30844"/>
    <cellStyle name="Comma 4 2 4 2 2 2 2" xfId="30845"/>
    <cellStyle name="Comma 6 3 2 2 2 2" xfId="30846"/>
    <cellStyle name="Comma 2 5 3 2 2 2 2" xfId="30847"/>
    <cellStyle name="Comma 3 4 3 2 2 2 2" xfId="30848"/>
    <cellStyle name="Comma 2 2 4 3 2 2 2 2" xfId="30849"/>
    <cellStyle name="Comma 4 4 3 2 2 2 2" xfId="30850"/>
    <cellStyle name="Comma 2 4 3 2 2 2 2" xfId="30851"/>
    <cellStyle name="Comma 3 3 3 2 2 2 2" xfId="30852"/>
    <cellStyle name="Comma 2 2 3 3 2 2 2 2" xfId="30853"/>
    <cellStyle name="Comma 4 3 3 2 2 2 2" xfId="30854"/>
    <cellStyle name="Comma 5 2 3 2 2 2 2" xfId="30855"/>
    <cellStyle name="Comma 2 3 2 3 2 2 2 2" xfId="30856"/>
    <cellStyle name="Comma 3 2 2 3 2 2 2 2" xfId="30857"/>
    <cellStyle name="Comma 2 2 2 2 3 2 2 2 2" xfId="30858"/>
    <cellStyle name="Comma 4 2 2 3 2 2 2 2" xfId="30859"/>
    <cellStyle name="Comma 3 6 2 2 2 2" xfId="30860"/>
    <cellStyle name="Comma 2 6 2 2 2 2 2" xfId="30861"/>
    <cellStyle name="Comma 3 5 2 2 2 2 2" xfId="30862"/>
    <cellStyle name="Comma 2 2 5 2 2 2 2 2" xfId="30863"/>
    <cellStyle name="Comma 4 5 2 2 2 2 2" xfId="30864"/>
    <cellStyle name="Comma 5 3 2 2 2 2 2" xfId="30865"/>
    <cellStyle name="Comma 2 3 3 2 2 2 2 2" xfId="30866"/>
    <cellStyle name="Comma 3 2 3 2 2 2 2 2" xfId="30867"/>
    <cellStyle name="Comma 2 2 2 3 2 2 2 2 2" xfId="30868"/>
    <cellStyle name="Comma 4 2 3 2 2 2 2 2" xfId="30869"/>
    <cellStyle name="Comma 6 2 2 2 2 2 2" xfId="30870"/>
    <cellStyle name="Comma 2 5 2 2 2 2 2 2" xfId="30871"/>
    <cellStyle name="Comma 3 4 2 2 2 2 2 2" xfId="30872"/>
    <cellStyle name="Comma 2 2 4 2 2 2 2 2 2" xfId="30873"/>
    <cellStyle name="Comma 4 4 2 2 2 2 2 2" xfId="30874"/>
    <cellStyle name="Comma 2 4 2 2 2 2 2 2" xfId="30875"/>
    <cellStyle name="Comma 3 3 2 2 2 2 2 2" xfId="30876"/>
    <cellStyle name="Comma 2 2 3 2 2 2 2 2 2" xfId="30877"/>
    <cellStyle name="Comma 4 3 2 2 2 2 2 2" xfId="30878"/>
    <cellStyle name="Comma 5 2 2 2 2 2 2 2" xfId="30879"/>
    <cellStyle name="Comma 2 3 2 2 2 2 2 2 2" xfId="30880"/>
    <cellStyle name="Comma 3 2 2 2 2 2 2 2 2" xfId="30881"/>
    <cellStyle name="Comma 2 2 2 2 2 2 2 2 2 2" xfId="30882"/>
    <cellStyle name="Comma 4 2 2 2 2 2 2 2 2" xfId="30883"/>
    <cellStyle name="Comma 2 8 2 2 2 2" xfId="30884"/>
    <cellStyle name="Comma 3 8 2 2 2 2" xfId="30885"/>
    <cellStyle name="Comma 2 2 7 2 2 2 2" xfId="30886"/>
    <cellStyle name="Comma 4 7 2 2 2 2" xfId="30887"/>
    <cellStyle name="Comma 5 5 2 2 2 2" xfId="30888"/>
    <cellStyle name="Comma 2 3 5 2 2 2 2" xfId="30889"/>
    <cellStyle name="Comma 3 2 5 2 2 2 2" xfId="30890"/>
    <cellStyle name="Comma 2 2 2 5 2 2 2 2" xfId="30891"/>
    <cellStyle name="Comma 4 2 5 2 2 2 2" xfId="30892"/>
    <cellStyle name="Comma 6 4 2 2 2 2" xfId="30893"/>
    <cellStyle name="Comma 2 5 4 2 2 2 2" xfId="30894"/>
    <cellStyle name="Comma 3 4 4 2 2 2 2" xfId="30895"/>
    <cellStyle name="Comma 2 2 4 4 2 2 2 2" xfId="30896"/>
    <cellStyle name="Comma 4 4 4 2 2 2 2" xfId="30897"/>
    <cellStyle name="Comma 2 4 4 2 2 2 2" xfId="30898"/>
    <cellStyle name="Comma 3 3 4 2 2 2 2" xfId="30899"/>
    <cellStyle name="Comma 2 2 3 4 2 2 2 2" xfId="30900"/>
    <cellStyle name="Comma 4 3 4 2 2 2 2" xfId="30901"/>
    <cellStyle name="Comma 5 2 4 2 2 2 2" xfId="30902"/>
    <cellStyle name="Comma 2 3 2 4 2 2 2 2" xfId="30903"/>
    <cellStyle name="Comma 3 2 2 4 2 2 2 2" xfId="30904"/>
    <cellStyle name="Comma 2 2 2 2 4 2 2 2 2" xfId="30905"/>
    <cellStyle name="Comma 4 2 2 4 2 2 2 2" xfId="30906"/>
    <cellStyle name="Comma 2 9 2 2 2 2" xfId="30907"/>
    <cellStyle name="Comma 7 2 2 2 2" xfId="30908"/>
    <cellStyle name="Normal 13 2 2 2 2" xfId="30909"/>
    <cellStyle name="Normal 6 3 2 2 2" xfId="30910"/>
    <cellStyle name="Percent 5 3 2 2 2" xfId="30911"/>
    <cellStyle name="Normal 16 2 2" xfId="30912"/>
    <cellStyle name="20% - Accent1 12 2 2" xfId="30913"/>
    <cellStyle name="40% - Accent1 12 2 2" xfId="30914"/>
    <cellStyle name="60% - Accent1 12 2 2" xfId="30915"/>
    <cellStyle name="20% - Accent2 12 2 2" xfId="30916"/>
    <cellStyle name="40% - Accent2 12 2 2" xfId="30917"/>
    <cellStyle name="60% - Accent2 12 2 2" xfId="30918"/>
    <cellStyle name="20% - Accent3 12 2 2" xfId="30919"/>
    <cellStyle name="40% - Accent3 12 2 2" xfId="30920"/>
    <cellStyle name="60% - Accent3 12 2 2" xfId="30921"/>
    <cellStyle name="20% - Accent4 12 2 2" xfId="30922"/>
    <cellStyle name="40% - Accent4 12 2 2" xfId="30923"/>
    <cellStyle name="60% - Accent4 12 2 2" xfId="30924"/>
    <cellStyle name="20% - Accent5 12 2 2" xfId="30925"/>
    <cellStyle name="40% - Accent5 12 2 2" xfId="30926"/>
    <cellStyle name="60% - Accent5 12 2 2" xfId="30927"/>
    <cellStyle name="20% - Accent6 12 2 2" xfId="30928"/>
    <cellStyle name="40% - Accent6 12 2 2" xfId="30929"/>
    <cellStyle name="60% - Accent6 12 2 2" xfId="30930"/>
    <cellStyle name="Normal 3 2 11 2 2" xfId="30931"/>
    <cellStyle name="Normal 3 3 11 2 2" xfId="30932"/>
    <cellStyle name="Normal 3 4 11 2 2" xfId="30933"/>
    <cellStyle name="Normal 3 5 11 2 2" xfId="30934"/>
    <cellStyle name="Normal 3 2 2 10 2 2" xfId="30935"/>
    <cellStyle name="Normal 3 3 2 10 2 2" xfId="30936"/>
    <cellStyle name="Normal 3 4 2 10 2 2" xfId="30937"/>
    <cellStyle name="Normal 3 5 2 10 2 2" xfId="30938"/>
    <cellStyle name="Normal 5 10 2 2" xfId="30939"/>
    <cellStyle name="Percent 3 10 2 2" xfId="30940"/>
    <cellStyle name="Note 2 10 2 2" xfId="30941"/>
    <cellStyle name="Normal 3 6 10 2 2" xfId="30942"/>
    <cellStyle name="Comma 2 14 2 2" xfId="30943"/>
    <cellStyle name="Comma 3 13 2 2" xfId="30944"/>
    <cellStyle name="Percent 4 10 2 2" xfId="30945"/>
    <cellStyle name="Normal 3 7 10 2 2" xfId="30946"/>
    <cellStyle name="Note 3 10 2 2" xfId="30947"/>
    <cellStyle name="20% - Accent1 2 10 2 2" xfId="30948"/>
    <cellStyle name="40% - Accent1 2 10 2 2" xfId="30949"/>
    <cellStyle name="60% - Accent1 2 10 2 2" xfId="30950"/>
    <cellStyle name="20% - Accent2 2 10 2 2" xfId="30951"/>
    <cellStyle name="40% - Accent2 2 10 2 2" xfId="30952"/>
    <cellStyle name="60% - Accent2 2 10 2 2" xfId="30953"/>
    <cellStyle name="20% - Accent3 2 10 2 2" xfId="30954"/>
    <cellStyle name="40% - Accent3 2 10 2 2" xfId="30955"/>
    <cellStyle name="60% - Accent3 2 10 2 2" xfId="30956"/>
    <cellStyle name="20% - Accent4 2 10 2 2" xfId="30957"/>
    <cellStyle name="40% - Accent4 2 10 2 2" xfId="30958"/>
    <cellStyle name="60% - Accent4 2 10 2 2" xfId="30959"/>
    <cellStyle name="20% - Accent5 2 10 2 2" xfId="30960"/>
    <cellStyle name="40% - Accent5 2 10 2 2" xfId="30961"/>
    <cellStyle name="60% - Accent5 2 10 2 2" xfId="30962"/>
    <cellStyle name="20% - Accent6 2 10 2 2" xfId="30963"/>
    <cellStyle name="40% - Accent6 2 10 2 2" xfId="30964"/>
    <cellStyle name="60% - Accent6 2 10 2 2" xfId="30965"/>
    <cellStyle name="Comma 2 2 12 2 2" xfId="30966"/>
    <cellStyle name="Comma 4 12 2 2" xfId="30967"/>
    <cellStyle name="Normal 3 8 10 2 2" xfId="30968"/>
    <cellStyle name="Normal 7 9 2 2" xfId="30969"/>
    <cellStyle name="Comma 5 10 2 2" xfId="30970"/>
    <cellStyle name="20% - Accent1 3 9 2 2" xfId="30971"/>
    <cellStyle name="40% - Accent1 3 9 2 2" xfId="30972"/>
    <cellStyle name="60% - Accent1 3 9 2 2" xfId="30973"/>
    <cellStyle name="20% - Accent2 3 9 2 2" xfId="30974"/>
    <cellStyle name="40% - Accent2 3 9 2 2" xfId="30975"/>
    <cellStyle name="60% - Accent2 3 9 2 2" xfId="30976"/>
    <cellStyle name="20% - Accent3 3 9 2 2" xfId="30977"/>
    <cellStyle name="40% - Accent3 3 9 2 2" xfId="30978"/>
    <cellStyle name="60% - Accent3 3 9 2 2" xfId="30979"/>
    <cellStyle name="20% - Accent4 3 9 2 2" xfId="30980"/>
    <cellStyle name="40% - Accent4 3 9 2 2" xfId="30981"/>
    <cellStyle name="60% - Accent4 3 9 2 2" xfId="30982"/>
    <cellStyle name="20% - Accent5 3 9 2 2" xfId="30983"/>
    <cellStyle name="40% - Accent5 3 9 2 2" xfId="30984"/>
    <cellStyle name="60% - Accent5 3 9 2 2" xfId="30985"/>
    <cellStyle name="20% - Accent6 3 9 2 2" xfId="30986"/>
    <cellStyle name="40% - Accent6 3 9 2 2" xfId="30987"/>
    <cellStyle name="60% - Accent6 3 9 2 2" xfId="30988"/>
    <cellStyle name="Normal 3 2 3 9 2 2" xfId="30989"/>
    <cellStyle name="Normal 3 3 3 9 2 2" xfId="30990"/>
    <cellStyle name="Normal 3 4 3 9 2 2" xfId="30991"/>
    <cellStyle name="Normal 3 5 3 9 2 2" xfId="30992"/>
    <cellStyle name="Normal 3 2 2 2 9 2 2" xfId="30993"/>
    <cellStyle name="Normal 3 3 2 2 9 2 2" xfId="30994"/>
    <cellStyle name="Normal 3 4 2 2 9 2 2" xfId="30995"/>
    <cellStyle name="Normal 3 5 2 2 9 2 2" xfId="30996"/>
    <cellStyle name="Normal 5 2 9 2 2" xfId="30997"/>
    <cellStyle name="Percent 3 2 9 2 2" xfId="30998"/>
    <cellStyle name="Note 2 2 9 2 2" xfId="30999"/>
    <cellStyle name="Normal 3 6 2 9 2 2" xfId="31000"/>
    <cellStyle name="Comma 2 3 10 2 2" xfId="31001"/>
    <cellStyle name="Comma 3 2 10 2 2" xfId="31002"/>
    <cellStyle name="Percent 4 2 9 2 2" xfId="31003"/>
    <cellStyle name="Normal 3 7 2 9 2 2" xfId="31004"/>
    <cellStyle name="Note 3 2 9 2 2" xfId="31005"/>
    <cellStyle name="20% - Accent1 2 2 9 2 2" xfId="31006"/>
    <cellStyle name="40% - Accent1 2 2 9 2 2" xfId="31007"/>
    <cellStyle name="60% - Accent1 2 2 9 2 2" xfId="31008"/>
    <cellStyle name="20% - Accent2 2 2 9 2 2" xfId="31009"/>
    <cellStyle name="40% - Accent2 2 2 9 2 2" xfId="31010"/>
    <cellStyle name="60% - Accent2 2 2 9 2 2" xfId="31011"/>
    <cellStyle name="20% - Accent3 2 2 9 2 2" xfId="31012"/>
    <cellStyle name="40% - Accent3 2 2 9 2 2" xfId="31013"/>
    <cellStyle name="60% - Accent3 2 2 9 2 2" xfId="31014"/>
    <cellStyle name="20% - Accent4 2 2 9 2 2" xfId="31015"/>
    <cellStyle name="40% - Accent4 2 2 9 2 2" xfId="31016"/>
    <cellStyle name="60% - Accent4 2 2 9 2 2" xfId="31017"/>
    <cellStyle name="20% - Accent5 2 2 9 2 2" xfId="31018"/>
    <cellStyle name="40% - Accent5 2 2 9 2 2" xfId="31019"/>
    <cellStyle name="60% - Accent5 2 2 9 2 2" xfId="31020"/>
    <cellStyle name="20% - Accent6 2 2 9 2 2" xfId="31021"/>
    <cellStyle name="40% - Accent6 2 2 9 2 2" xfId="31022"/>
    <cellStyle name="60% - Accent6 2 2 9 2 2" xfId="31023"/>
    <cellStyle name="Comma 2 2 2 10 2 2" xfId="31024"/>
    <cellStyle name="Comma 4 2 10 2 2" xfId="31025"/>
    <cellStyle name="Normal 3 8 2 9 2 2" xfId="31026"/>
    <cellStyle name="Normal 8 7 2 2" xfId="31027"/>
    <cellStyle name="Comma 6 8 2 2" xfId="31028"/>
    <cellStyle name="20% - Accent1 4 7 2 2" xfId="31029"/>
    <cellStyle name="40% - Accent1 4 7 2 2" xfId="31030"/>
    <cellStyle name="60% - Accent1 4 7 2 2" xfId="31031"/>
    <cellStyle name="20% - Accent2 4 7 2 2" xfId="31032"/>
    <cellStyle name="40% - Accent2 4 7 2 2" xfId="31033"/>
    <cellStyle name="60% - Accent2 4 7 2 2" xfId="31034"/>
    <cellStyle name="20% - Accent3 4 7 2 2" xfId="31035"/>
    <cellStyle name="40% - Accent3 4 7 2 2" xfId="31036"/>
    <cellStyle name="60% - Accent3 4 7 2 2" xfId="31037"/>
    <cellStyle name="20% - Accent4 4 7 2 2" xfId="31038"/>
    <cellStyle name="40% - Accent4 4 7 2 2" xfId="31039"/>
    <cellStyle name="60% - Accent4 4 7 2 2" xfId="31040"/>
    <cellStyle name="20% - Accent5 4 7 2 2" xfId="31041"/>
    <cellStyle name="40% - Accent5 4 7 2 2" xfId="31042"/>
    <cellStyle name="60% - Accent5 4 7 2 2" xfId="31043"/>
    <cellStyle name="20% - Accent6 4 7 2 2" xfId="31044"/>
    <cellStyle name="40% - Accent6 4 7 2 2" xfId="31045"/>
    <cellStyle name="60% - Accent6 4 7 2 2" xfId="31046"/>
    <cellStyle name="Normal 3 2 4 7 2 2" xfId="31047"/>
    <cellStyle name="Normal 3 3 4 7 2 2" xfId="31048"/>
    <cellStyle name="Normal 3 4 4 7 2 2" xfId="31049"/>
    <cellStyle name="Normal 3 5 4 7 2 2" xfId="31050"/>
    <cellStyle name="Normal 3 2 2 3 7 2 2" xfId="31051"/>
    <cellStyle name="Normal 3 3 2 3 7 2 2" xfId="31052"/>
    <cellStyle name="Normal 3 4 2 3 7 2 2" xfId="31053"/>
    <cellStyle name="Normal 3 5 2 3 7 2 2" xfId="31054"/>
    <cellStyle name="Normal 5 3 7 2 2" xfId="31055"/>
    <cellStyle name="Percent 3 3 7 2 2" xfId="31056"/>
    <cellStyle name="Note 2 3 7 2 2" xfId="31057"/>
    <cellStyle name="Normal 3 6 3 7 2 2" xfId="31058"/>
    <cellStyle name="Comma 2 5 8 2 2" xfId="31059"/>
    <cellStyle name="Comma 3 4 8 2 2" xfId="31060"/>
    <cellStyle name="Percent 4 3 7 2 2" xfId="31061"/>
    <cellStyle name="Normal 3 7 3 7 2 2" xfId="31062"/>
    <cellStyle name="Note 3 3 7 2 2" xfId="31063"/>
    <cellStyle name="20% - Accent1 2 3 7 2 2" xfId="31064"/>
    <cellStyle name="40% - Accent1 2 3 7 2 2" xfId="31065"/>
    <cellStyle name="60% - Accent1 2 3 7 2 2" xfId="31066"/>
    <cellStyle name="20% - Accent2 2 3 7 2 2" xfId="31067"/>
    <cellStyle name="40% - Accent2 2 3 7 2 2" xfId="31068"/>
    <cellStyle name="60% - Accent2 2 3 7 2 2" xfId="31069"/>
    <cellStyle name="20% - Accent3 2 3 7 2 2" xfId="31070"/>
    <cellStyle name="40% - Accent3 2 3 7 2 2" xfId="31071"/>
    <cellStyle name="60% - Accent3 2 3 7 2 2" xfId="31072"/>
    <cellStyle name="20% - Accent4 2 3 7 2 2" xfId="31073"/>
    <cellStyle name="40% - Accent4 2 3 7 2 2" xfId="31074"/>
    <cellStyle name="60% - Accent4 2 3 7 2 2" xfId="31075"/>
    <cellStyle name="20% - Accent5 2 3 7 2 2" xfId="31076"/>
    <cellStyle name="40% - Accent5 2 3 7 2 2" xfId="31077"/>
    <cellStyle name="60% - Accent5 2 3 7 2 2" xfId="31078"/>
    <cellStyle name="20% - Accent6 2 3 7 2 2" xfId="31079"/>
    <cellStyle name="40% - Accent6 2 3 7 2 2" xfId="31080"/>
    <cellStyle name="60% - Accent6 2 3 7 2 2" xfId="31081"/>
    <cellStyle name="Comma 2 2 4 8 2 2" xfId="31082"/>
    <cellStyle name="Comma 4 4 8 2 2" xfId="31083"/>
    <cellStyle name="Normal 3 8 3 7 2 2" xfId="31084"/>
    <cellStyle name="Comma 2 4 9 2 2" xfId="31085"/>
    <cellStyle name="Comma 3 3 9 2 2" xfId="31086"/>
    <cellStyle name="Comma 2 2 3 9 2 2" xfId="31087"/>
    <cellStyle name="Comma 4 3 9 2 2" xfId="31088"/>
    <cellStyle name="Normal 7 2 7 2 2" xfId="31089"/>
    <cellStyle name="Comma 5 2 8 2 2" xfId="31090"/>
    <cellStyle name="20% - Accent1 3 2 7 2 2" xfId="31091"/>
    <cellStyle name="40% - Accent1 3 2 7 2 2" xfId="31092"/>
    <cellStyle name="60% - Accent1 3 2 7 2 2" xfId="31093"/>
    <cellStyle name="20% - Accent2 3 2 7 2 2" xfId="31094"/>
    <cellStyle name="40% - Accent2 3 2 7 2 2" xfId="31095"/>
    <cellStyle name="60% - Accent2 3 2 7 2 2" xfId="31096"/>
    <cellStyle name="20% - Accent3 3 2 7 2 2" xfId="31097"/>
    <cellStyle name="40% - Accent3 3 2 7 2 2" xfId="31098"/>
    <cellStyle name="60% - Accent3 3 2 7 2 2" xfId="31099"/>
    <cellStyle name="20% - Accent4 3 2 7 2 2" xfId="31100"/>
    <cellStyle name="40% - Accent4 3 2 7 2 2" xfId="31101"/>
    <cellStyle name="60% - Accent4 3 2 7 2 2" xfId="31102"/>
    <cellStyle name="20% - Accent5 3 2 7 2 2" xfId="31103"/>
    <cellStyle name="40% - Accent5 3 2 7 2 2" xfId="31104"/>
    <cellStyle name="60% - Accent5 3 2 7 2 2" xfId="31105"/>
    <cellStyle name="20% - Accent6 3 2 7 2 2" xfId="31106"/>
    <cellStyle name="40% - Accent6 3 2 7 2 2" xfId="31107"/>
    <cellStyle name="60% - Accent6 3 2 7 2 2" xfId="31108"/>
    <cellStyle name="Normal 3 2 3 2 7 2 2" xfId="31109"/>
    <cellStyle name="Normal 3 3 3 2 7 2 2" xfId="31110"/>
    <cellStyle name="Normal 3 4 3 2 7 2 2" xfId="31111"/>
    <cellStyle name="Normal 3 5 3 2 7 2 2" xfId="31112"/>
    <cellStyle name="Normal 3 2 2 2 2 7 2 2" xfId="31113"/>
    <cellStyle name="Normal 3 3 2 2 2 7 2 2" xfId="31114"/>
    <cellStyle name="Normal 3 4 2 2 2 7 2 2" xfId="31115"/>
    <cellStyle name="Normal 3 5 2 2 2 7 2 2" xfId="31116"/>
    <cellStyle name="Normal 5 2 2 7 2 2" xfId="31117"/>
    <cellStyle name="Percent 3 2 2 7 2 2" xfId="31118"/>
    <cellStyle name="Note 2 2 2 7 2 2" xfId="31119"/>
    <cellStyle name="Normal 3 6 2 2 7 2 2" xfId="31120"/>
    <cellStyle name="Comma 2 3 2 8 2 2" xfId="31121"/>
    <cellStyle name="Comma 3 2 2 8 2 2" xfId="31122"/>
    <cellStyle name="Percent 4 2 2 7 2 2" xfId="31123"/>
    <cellStyle name="Normal 3 7 2 2 7 2 2" xfId="31124"/>
    <cellStyle name="Note 3 2 2 7 2 2" xfId="31125"/>
    <cellStyle name="20% - Accent1 2 2 2 7 2 2" xfId="31126"/>
    <cellStyle name="40% - Accent1 2 2 2 7 2 2" xfId="31127"/>
    <cellStyle name="60% - Accent1 2 2 2 7 2 2" xfId="31128"/>
    <cellStyle name="20% - Accent2 2 2 2 7 2 2" xfId="31129"/>
    <cellStyle name="40% - Accent2 2 2 2 7 2 2" xfId="31130"/>
    <cellStyle name="60% - Accent2 2 2 2 7 2 2" xfId="31131"/>
    <cellStyle name="20% - Accent3 2 2 2 7 2 2" xfId="31132"/>
    <cellStyle name="40% - Accent3 2 2 2 7 2 2" xfId="31133"/>
    <cellStyle name="60% - Accent3 2 2 2 7 2 2" xfId="31134"/>
    <cellStyle name="20% - Accent4 2 2 2 7 2 2" xfId="31135"/>
    <cellStyle name="40% - Accent4 2 2 2 7 2 2" xfId="31136"/>
    <cellStyle name="60% - Accent4 2 2 2 7 2 2" xfId="31137"/>
    <cellStyle name="20% - Accent5 2 2 2 7 2 2" xfId="31138"/>
    <cellStyle name="40% - Accent5 2 2 2 7 2 2" xfId="31139"/>
    <cellStyle name="60% - Accent5 2 2 2 7 2 2" xfId="31140"/>
    <cellStyle name="20% - Accent6 2 2 2 7 2 2" xfId="31141"/>
    <cellStyle name="40% - Accent6 2 2 2 7 2 2" xfId="31142"/>
    <cellStyle name="60% - Accent6 2 2 2 7 2 2" xfId="31143"/>
    <cellStyle name="Comma 2 2 2 2 8 2 2" xfId="31144"/>
    <cellStyle name="Comma 4 2 2 8 2 2" xfId="31145"/>
    <cellStyle name="Normal 3 8 2 2 7 2 2" xfId="31146"/>
    <cellStyle name="Normal 3 10 7 2 2" xfId="31147"/>
    <cellStyle name="Normal 3 11 7 2 2" xfId="31148"/>
    <cellStyle name="Normal 3 12 5 2 2" xfId="31149"/>
    <cellStyle name="Normal 3 2 5 5 2 2" xfId="31150"/>
    <cellStyle name="Normal 3 3 5 5 2 2" xfId="31151"/>
    <cellStyle name="Normal 3 4 5 5 2 2" xfId="31152"/>
    <cellStyle name="Normal 3 5 5 5 2 2" xfId="31153"/>
    <cellStyle name="20% - Accent1 5 5 2 2" xfId="31154"/>
    <cellStyle name="40% - Accent1 5 5 2 2" xfId="31155"/>
    <cellStyle name="60% - Accent1 5 5 2 2" xfId="31156"/>
    <cellStyle name="20% - Accent2 5 5 2 2" xfId="31157"/>
    <cellStyle name="40% - Accent2 5 5 2 2" xfId="31158"/>
    <cellStyle name="60% - Accent2 5 5 2 2" xfId="31159"/>
    <cellStyle name="20% - Accent3 5 5 2 2" xfId="31160"/>
    <cellStyle name="40% - Accent3 5 5 2 2" xfId="31161"/>
    <cellStyle name="60% - Accent3 5 5 2 2" xfId="31162"/>
    <cellStyle name="20% - Accent4 5 5 2 2" xfId="31163"/>
    <cellStyle name="40% - Accent4 5 5 2 2" xfId="31164"/>
    <cellStyle name="60% - Accent4 5 5 2 2" xfId="31165"/>
    <cellStyle name="20% - Accent5 5 5 2 2" xfId="31166"/>
    <cellStyle name="40% - Accent5 5 5 2 2" xfId="31167"/>
    <cellStyle name="60% - Accent5 5 5 2 2" xfId="31168"/>
    <cellStyle name="20% - Accent6 5 5 2 2" xfId="31169"/>
    <cellStyle name="40% - Accent6 5 5 2 2" xfId="31170"/>
    <cellStyle name="60% - Accent6 5 5 2 2" xfId="31171"/>
    <cellStyle name="Normal 3 2 2 4 5 2 2" xfId="31172"/>
    <cellStyle name="Normal 3 3 2 4 5 2 2" xfId="31173"/>
    <cellStyle name="Normal 3 4 2 4 5 2 2" xfId="31174"/>
    <cellStyle name="Normal 3 5 2 4 5 2 2" xfId="31175"/>
    <cellStyle name="Normal 5 4 5 2 2" xfId="31176"/>
    <cellStyle name="Percent 3 4 5 2 2" xfId="31177"/>
    <cellStyle name="Note 2 4 5 2 2" xfId="31178"/>
    <cellStyle name="Normal 3 6 4 5 2 2" xfId="31179"/>
    <cellStyle name="Comma 2 6 6 2 2" xfId="31180"/>
    <cellStyle name="Comma 3 5 6 2 2" xfId="31181"/>
    <cellStyle name="Percent 4 4 5 2 2" xfId="31182"/>
    <cellStyle name="Normal 3 7 4 5 2 2" xfId="31183"/>
    <cellStyle name="Note 3 4 5 2 2" xfId="31184"/>
    <cellStyle name="20% - Accent1 2 4 5 2 2" xfId="31185"/>
    <cellStyle name="40% - Accent1 2 4 5 2 2" xfId="31186"/>
    <cellStyle name="60% - Accent1 2 4 5 2 2" xfId="31187"/>
    <cellStyle name="20% - Accent2 2 4 5 2 2" xfId="31188"/>
    <cellStyle name="40% - Accent2 2 4 5 2 2" xfId="31189"/>
    <cellStyle name="60% - Accent2 2 4 5 2 2" xfId="31190"/>
    <cellStyle name="20% - Accent3 2 4 5 2 2" xfId="31191"/>
    <cellStyle name="40% - Accent3 2 4 5 2 2" xfId="31192"/>
    <cellStyle name="60% - Accent3 2 4 5 2 2" xfId="31193"/>
    <cellStyle name="20% - Accent4 2 4 5 2 2" xfId="31194"/>
    <cellStyle name="40% - Accent4 2 4 5 2 2" xfId="31195"/>
    <cellStyle name="60% - Accent4 2 4 5 2 2" xfId="31196"/>
    <cellStyle name="20% - Accent5 2 4 5 2 2" xfId="31197"/>
    <cellStyle name="40% - Accent5 2 4 5 2 2" xfId="31198"/>
    <cellStyle name="60% - Accent5 2 4 5 2 2" xfId="31199"/>
    <cellStyle name="20% - Accent6 2 4 5 2 2" xfId="31200"/>
    <cellStyle name="40% - Accent6 2 4 5 2 2" xfId="31201"/>
    <cellStyle name="60% - Accent6 2 4 5 2 2" xfId="31202"/>
    <cellStyle name="Comma 2 2 5 6 2 2" xfId="31203"/>
    <cellStyle name="Comma 4 5 6 2 2" xfId="31204"/>
    <cellStyle name="Normal 3 8 4 5 2 2" xfId="31205"/>
    <cellStyle name="Normal 7 3 5 2 2" xfId="31206"/>
    <cellStyle name="Comma 5 3 6 2 2" xfId="31207"/>
    <cellStyle name="20% - Accent1 3 3 5 2 2" xfId="31208"/>
    <cellStyle name="40% - Accent1 3 3 5 2 2" xfId="31209"/>
    <cellStyle name="60% - Accent1 3 3 5 2 2" xfId="31210"/>
    <cellStyle name="20% - Accent2 3 3 5 2 2" xfId="31211"/>
    <cellStyle name="40% - Accent2 3 3 5 2 2" xfId="31212"/>
    <cellStyle name="60% - Accent2 3 3 5 2 2" xfId="31213"/>
    <cellStyle name="20% - Accent3 3 3 5 2 2" xfId="31214"/>
    <cellStyle name="40% - Accent3 3 3 5 2 2" xfId="31215"/>
    <cellStyle name="60% - Accent3 3 3 5 2 2" xfId="31216"/>
    <cellStyle name="20% - Accent4 3 3 5 2 2" xfId="31217"/>
    <cellStyle name="40% - Accent4 3 3 5 2 2" xfId="31218"/>
    <cellStyle name="60% - Accent4 3 3 5 2 2" xfId="31219"/>
    <cellStyle name="20% - Accent5 3 3 5 2 2" xfId="31220"/>
    <cellStyle name="40% - Accent5 3 3 5 2 2" xfId="31221"/>
    <cellStyle name="60% - Accent5 3 3 5 2 2" xfId="31222"/>
    <cellStyle name="20% - Accent6 3 3 5 2 2" xfId="31223"/>
    <cellStyle name="40% - Accent6 3 3 5 2 2" xfId="31224"/>
    <cellStyle name="60% - Accent6 3 3 5 2 2" xfId="31225"/>
    <cellStyle name="Normal 3 2 3 3 5 2 2" xfId="31226"/>
    <cellStyle name="Normal 3 3 3 3 5 2 2" xfId="31227"/>
    <cellStyle name="Normal 3 4 3 3 5 2 2" xfId="31228"/>
    <cellStyle name="Normal 3 5 3 3 5 2 2" xfId="31229"/>
    <cellStyle name="Normal 3 2 2 2 3 5 2 2" xfId="31230"/>
    <cellStyle name="Normal 3 3 2 2 3 5 2 2" xfId="31231"/>
    <cellStyle name="Normal 3 4 2 2 3 5 2 2" xfId="31232"/>
    <cellStyle name="Normal 3 5 2 2 3 5 2 2" xfId="31233"/>
    <cellStyle name="Normal 5 2 3 5 2 2" xfId="31234"/>
    <cellStyle name="Percent 3 2 3 5 2 2" xfId="31235"/>
    <cellStyle name="Note 2 2 3 5 2 2" xfId="31236"/>
    <cellStyle name="Normal 3 6 2 3 5 2 2" xfId="31237"/>
    <cellStyle name="Comma 2 3 3 6 2 2" xfId="31238"/>
    <cellStyle name="Comma 3 2 3 6 2 2" xfId="31239"/>
    <cellStyle name="Percent 4 2 3 5 2 2" xfId="31240"/>
    <cellStyle name="Normal 3 7 2 3 5 2 2" xfId="31241"/>
    <cellStyle name="Note 3 2 3 5 2 2" xfId="31242"/>
    <cellStyle name="20% - Accent1 2 2 3 5 2 2" xfId="31243"/>
    <cellStyle name="40% - Accent1 2 2 3 5 2 2" xfId="31244"/>
    <cellStyle name="60% - Accent1 2 2 3 5 2 2" xfId="31245"/>
    <cellStyle name="20% - Accent2 2 2 3 5 2 2" xfId="31246"/>
    <cellStyle name="40% - Accent2 2 2 3 5 2 2" xfId="31247"/>
    <cellStyle name="60% - Accent2 2 2 3 5 2 2" xfId="31248"/>
    <cellStyle name="20% - Accent3 2 2 3 5 2 2" xfId="31249"/>
    <cellStyle name="40% - Accent3 2 2 3 5 2 2" xfId="31250"/>
    <cellStyle name="60% - Accent3 2 2 3 5 2 2" xfId="31251"/>
    <cellStyle name="20% - Accent4 2 2 3 5 2 2" xfId="31252"/>
    <cellStyle name="40% - Accent4 2 2 3 5 2 2" xfId="31253"/>
    <cellStyle name="60% - Accent4 2 2 3 5 2 2" xfId="31254"/>
    <cellStyle name="20% - Accent5 2 2 3 5 2 2" xfId="31255"/>
    <cellStyle name="40% - Accent5 2 2 3 5 2 2" xfId="31256"/>
    <cellStyle name="60% - Accent5 2 2 3 5 2 2" xfId="31257"/>
    <cellStyle name="20% - Accent6 2 2 3 5 2 2" xfId="31258"/>
    <cellStyle name="40% - Accent6 2 2 3 5 2 2" xfId="31259"/>
    <cellStyle name="60% - Accent6 2 2 3 5 2 2" xfId="31260"/>
    <cellStyle name="Comma 2 2 2 3 6 2 2" xfId="31261"/>
    <cellStyle name="Comma 4 2 3 6 2 2" xfId="31262"/>
    <cellStyle name="Normal 3 8 2 3 5 2 2" xfId="31263"/>
    <cellStyle name="Normal 8 2 5 2 2" xfId="31264"/>
    <cellStyle name="Comma 6 2 6 2 2" xfId="31265"/>
    <cellStyle name="20% - Accent1 4 2 5 2 2" xfId="31266"/>
    <cellStyle name="40% - Accent1 4 2 5 2 2" xfId="31267"/>
    <cellStyle name="60% - Accent1 4 2 5 2 2" xfId="31268"/>
    <cellStyle name="20% - Accent2 4 2 5 2 2" xfId="31269"/>
    <cellStyle name="40% - Accent2 4 2 5 2 2" xfId="31270"/>
    <cellStyle name="60% - Accent2 4 2 5 2 2" xfId="31271"/>
    <cellStyle name="20% - Accent3 4 2 5 2 2" xfId="31272"/>
    <cellStyle name="40% - Accent3 4 2 5 2 2" xfId="31273"/>
    <cellStyle name="60% - Accent3 4 2 5 2 2" xfId="31274"/>
    <cellStyle name="20% - Accent4 4 2 5 2 2" xfId="31275"/>
    <cellStyle name="40% - Accent4 4 2 5 2 2" xfId="31276"/>
    <cellStyle name="60% - Accent4 4 2 5 2 2" xfId="31277"/>
    <cellStyle name="20% - Accent5 4 2 5 2 2" xfId="31278"/>
    <cellStyle name="40% - Accent5 4 2 5 2 2" xfId="31279"/>
    <cellStyle name="60% - Accent5 4 2 5 2 2" xfId="31280"/>
    <cellStyle name="20% - Accent6 4 2 5 2 2" xfId="31281"/>
    <cellStyle name="40% - Accent6 4 2 5 2 2" xfId="31282"/>
    <cellStyle name="60% - Accent6 4 2 5 2 2" xfId="31283"/>
    <cellStyle name="Normal 3 2 4 2 5 2 2" xfId="31284"/>
    <cellStyle name="Normal 3 3 4 2 5 2 2" xfId="31285"/>
    <cellStyle name="Normal 3 4 4 2 5 2 2" xfId="31286"/>
    <cellStyle name="Normal 3 5 4 2 5 2 2" xfId="31287"/>
    <cellStyle name="Normal 3 2 2 3 2 5 2 2" xfId="31288"/>
    <cellStyle name="Normal 3 3 2 3 2 5 2 2" xfId="31289"/>
    <cellStyle name="Normal 3 4 2 3 2 5 2 2" xfId="31290"/>
    <cellStyle name="Normal 3 5 2 3 2 5 2 2" xfId="31291"/>
    <cellStyle name="Normal 5 3 2 5 2 2" xfId="31292"/>
    <cellStyle name="Percent 3 3 2 5 2 2" xfId="31293"/>
    <cellStyle name="Note 2 3 2 5 2 2" xfId="31294"/>
    <cellStyle name="Normal 3 6 3 2 5 2 2" xfId="31295"/>
    <cellStyle name="Comma 2 5 2 6 2 2" xfId="31296"/>
    <cellStyle name="Comma 3 4 2 6 2 2" xfId="31297"/>
    <cellStyle name="Percent 4 3 2 5 2 2" xfId="31298"/>
    <cellStyle name="Normal 3 7 3 2 5 2 2" xfId="31299"/>
    <cellStyle name="Note 3 3 2 5 2 2" xfId="31300"/>
    <cellStyle name="20% - Accent1 2 3 2 5 2 2" xfId="31301"/>
    <cellStyle name="40% - Accent1 2 3 2 5 2 2" xfId="31302"/>
    <cellStyle name="60% - Accent1 2 3 2 5 2 2" xfId="31303"/>
    <cellStyle name="20% - Accent2 2 3 2 5 2 2" xfId="31304"/>
    <cellStyle name="40% - Accent2 2 3 2 5 2 2" xfId="31305"/>
    <cellStyle name="60% - Accent2 2 3 2 5 2 2" xfId="31306"/>
    <cellStyle name="20% - Accent3 2 3 2 5 2 2" xfId="31307"/>
    <cellStyle name="40% - Accent3 2 3 2 5 2 2" xfId="31308"/>
    <cellStyle name="60% - Accent3 2 3 2 5 2 2" xfId="31309"/>
    <cellStyle name="20% - Accent4 2 3 2 5 2 2" xfId="31310"/>
    <cellStyle name="40% - Accent4 2 3 2 5 2 2" xfId="31311"/>
    <cellStyle name="60% - Accent4 2 3 2 5 2 2" xfId="31312"/>
    <cellStyle name="20% - Accent5 2 3 2 5 2 2" xfId="31313"/>
    <cellStyle name="40% - Accent5 2 3 2 5 2 2" xfId="31314"/>
    <cellStyle name="60% - Accent5 2 3 2 5 2 2" xfId="31315"/>
    <cellStyle name="20% - Accent6 2 3 2 5 2 2" xfId="31316"/>
    <cellStyle name="40% - Accent6 2 3 2 5 2 2" xfId="31317"/>
    <cellStyle name="60% - Accent6 2 3 2 5 2 2" xfId="31318"/>
    <cellStyle name="Comma 2 2 4 2 6 2 2" xfId="31319"/>
    <cellStyle name="Comma 4 4 2 6 2 2" xfId="31320"/>
    <cellStyle name="Normal 3 8 3 2 5 2 2" xfId="31321"/>
    <cellStyle name="Comma 2 4 2 6 2 2" xfId="31322"/>
    <cellStyle name="Comma 3 3 2 6 2 2" xfId="31323"/>
    <cellStyle name="Comma 2 2 3 2 6 2 2" xfId="31324"/>
    <cellStyle name="Comma 4 3 2 6 2 2" xfId="31325"/>
    <cellStyle name="Normal 7 2 2 5 2 2" xfId="31326"/>
    <cellStyle name="Comma 5 2 2 6 2 2" xfId="31327"/>
    <cellStyle name="20% - Accent1 3 2 2 5 2 2" xfId="31328"/>
    <cellStyle name="40% - Accent1 3 2 2 5 2 2" xfId="31329"/>
    <cellStyle name="60% - Accent1 3 2 2 5 2 2" xfId="31330"/>
    <cellStyle name="20% - Accent2 3 2 2 5 2 2" xfId="31331"/>
    <cellStyle name="40% - Accent2 3 2 2 5 2 2" xfId="31332"/>
    <cellStyle name="60% - Accent2 3 2 2 5 2 2" xfId="31333"/>
    <cellStyle name="20% - Accent3 3 2 2 5 2 2" xfId="31334"/>
    <cellStyle name="40% - Accent3 3 2 2 5 2 2" xfId="31335"/>
    <cellStyle name="60% - Accent3 3 2 2 5 2 2" xfId="31336"/>
    <cellStyle name="20% - Accent4 3 2 2 5 2 2" xfId="31337"/>
    <cellStyle name="40% - Accent4 3 2 2 5 2 2" xfId="31338"/>
    <cellStyle name="60% - Accent4 3 2 2 5 2 2" xfId="31339"/>
    <cellStyle name="20% - Accent5 3 2 2 5 2 2" xfId="31340"/>
    <cellStyle name="40% - Accent5 3 2 2 5 2 2" xfId="31341"/>
    <cellStyle name="60% - Accent5 3 2 2 5 2 2" xfId="31342"/>
    <cellStyle name="20% - Accent6 3 2 2 5 2 2" xfId="31343"/>
    <cellStyle name="40% - Accent6 3 2 2 5 2 2" xfId="31344"/>
    <cellStyle name="60% - Accent6 3 2 2 5 2 2" xfId="31345"/>
    <cellStyle name="Normal 3 2 3 2 2 5 2 2" xfId="31346"/>
    <cellStyle name="Normal 3 3 3 2 2 5 2 2" xfId="31347"/>
    <cellStyle name="Normal 3 4 3 2 2 5 2 2" xfId="31348"/>
    <cellStyle name="Normal 3 5 3 2 2 5 2 2" xfId="31349"/>
    <cellStyle name="Normal 3 2 2 2 2 2 5 2 2" xfId="31350"/>
    <cellStyle name="Normal 3 3 2 2 2 2 5 2 2" xfId="31351"/>
    <cellStyle name="Normal 3 4 2 2 2 2 5 2 2" xfId="31352"/>
    <cellStyle name="Normal 3 5 2 2 2 2 5 2 2" xfId="31353"/>
    <cellStyle name="Normal 5 2 2 2 5 2 2" xfId="31354"/>
    <cellStyle name="Percent 3 2 2 2 5 2 2" xfId="31355"/>
    <cellStyle name="Note 2 2 2 2 5 2 2" xfId="31356"/>
    <cellStyle name="Normal 3 6 2 2 2 5 2 2" xfId="31357"/>
    <cellStyle name="Comma 2 3 2 2 6 2 2" xfId="31358"/>
    <cellStyle name="Comma 3 2 2 2 6 2 2" xfId="31359"/>
    <cellStyle name="Percent 4 2 2 2 5 2 2" xfId="31360"/>
    <cellStyle name="Normal 3 7 2 2 2 5 2 2" xfId="31361"/>
    <cellStyle name="Note 3 2 2 2 5 2 2" xfId="31362"/>
    <cellStyle name="20% - Accent1 2 2 2 2 5 2 2" xfId="31363"/>
    <cellStyle name="40% - Accent1 2 2 2 2 5 2 2" xfId="31364"/>
    <cellStyle name="60% - Accent1 2 2 2 2 5 2 2" xfId="31365"/>
    <cellStyle name="20% - Accent2 2 2 2 2 5 2 2" xfId="31366"/>
    <cellStyle name="40% - Accent2 2 2 2 2 5 2 2" xfId="31367"/>
    <cellStyle name="60% - Accent2 2 2 2 2 5 2 2" xfId="31368"/>
    <cellStyle name="20% - Accent3 2 2 2 2 5 2 2" xfId="31369"/>
    <cellStyle name="40% - Accent3 2 2 2 2 5 2 2" xfId="31370"/>
    <cellStyle name="60% - Accent3 2 2 2 2 5 2 2" xfId="31371"/>
    <cellStyle name="20% - Accent4 2 2 2 2 5 2 2" xfId="31372"/>
    <cellStyle name="40% - Accent4 2 2 2 2 5 2 2" xfId="31373"/>
    <cellStyle name="60% - Accent4 2 2 2 2 5 2 2" xfId="31374"/>
    <cellStyle name="20% - Accent5 2 2 2 2 5 2 2" xfId="31375"/>
    <cellStyle name="40% - Accent5 2 2 2 2 5 2 2" xfId="31376"/>
    <cellStyle name="60% - Accent5 2 2 2 2 5 2 2" xfId="31377"/>
    <cellStyle name="20% - Accent6 2 2 2 2 5 2 2" xfId="31378"/>
    <cellStyle name="40% - Accent6 2 2 2 2 5 2 2" xfId="31379"/>
    <cellStyle name="60% - Accent6 2 2 2 2 5 2 2" xfId="31380"/>
    <cellStyle name="Comma 2 2 2 2 2 6 2 2" xfId="31381"/>
    <cellStyle name="Comma 4 2 2 2 6 2 2" xfId="31382"/>
    <cellStyle name="Normal 3 8 2 2 2 5 2 2" xfId="31383"/>
    <cellStyle name="Normal 3 10 2 5 2 2" xfId="31384"/>
    <cellStyle name="Normal 3 11 2 5 2 2" xfId="31385"/>
    <cellStyle name="Normal 3 2 6 4 2 2" xfId="31386"/>
    <cellStyle name="Normal 3 3 6 4 2 2" xfId="31387"/>
    <cellStyle name="Normal 3 4 6 4 2 2" xfId="31388"/>
    <cellStyle name="Normal 3 5 6 4 2 2" xfId="31389"/>
    <cellStyle name="20% - Accent1 6 4 2 2" xfId="31390"/>
    <cellStyle name="40% - Accent1 6 4 2 2" xfId="31391"/>
    <cellStyle name="60% - Accent1 6 4 2 2" xfId="31392"/>
    <cellStyle name="20% - Accent2 6 4 2 2" xfId="31393"/>
    <cellStyle name="40% - Accent2 6 4 2 2" xfId="31394"/>
    <cellStyle name="60% - Accent2 6 4 2 2" xfId="31395"/>
    <cellStyle name="20% - Accent3 6 4 2 2" xfId="31396"/>
    <cellStyle name="40% - Accent3 6 4 2 2" xfId="31397"/>
    <cellStyle name="60% - Accent3 6 4 2 2" xfId="31398"/>
    <cellStyle name="20% - Accent4 6 4 2 2" xfId="31399"/>
    <cellStyle name="40% - Accent4 6 4 2 2" xfId="31400"/>
    <cellStyle name="60% - Accent4 6 4 2 2" xfId="31401"/>
    <cellStyle name="20% - Accent5 6 4 2 2" xfId="31402"/>
    <cellStyle name="40% - Accent5 6 4 2 2" xfId="31403"/>
    <cellStyle name="60% - Accent5 6 4 2 2" xfId="31404"/>
    <cellStyle name="20% - Accent6 6 4 2 2" xfId="31405"/>
    <cellStyle name="40% - Accent6 6 4 2 2" xfId="31406"/>
    <cellStyle name="60% - Accent6 6 4 2 2" xfId="31407"/>
    <cellStyle name="Normal 3 2 2 5 4 2 2" xfId="31408"/>
    <cellStyle name="Normal 3 3 2 5 4 2 2" xfId="31409"/>
    <cellStyle name="Normal 3 4 2 5 4 2 2" xfId="31410"/>
    <cellStyle name="Normal 3 5 2 5 4 2 2" xfId="31411"/>
    <cellStyle name="Normal 5 5 4 2 2" xfId="31412"/>
    <cellStyle name="Percent 3 5 4 2 2" xfId="31413"/>
    <cellStyle name="Note 2 5 4 2 2" xfId="31414"/>
    <cellStyle name="Normal 3 6 5 4 2 2" xfId="31415"/>
    <cellStyle name="Comma 2 7 5 2 2" xfId="31416"/>
    <cellStyle name="Comma 3 7 5 2 2" xfId="31417"/>
    <cellStyle name="Percent 4 5 4 2 2" xfId="31418"/>
    <cellStyle name="Normal 3 7 5 4 2 2" xfId="31419"/>
    <cellStyle name="Note 3 5 4 2 2" xfId="31420"/>
    <cellStyle name="20% - Accent1 2 5 4 2 2" xfId="31421"/>
    <cellStyle name="40% - Accent1 2 5 4 2 2" xfId="31422"/>
    <cellStyle name="60% - Accent1 2 5 4 2 2" xfId="31423"/>
    <cellStyle name="20% - Accent2 2 5 4 2 2" xfId="31424"/>
    <cellStyle name="40% - Accent2 2 5 4 2 2" xfId="31425"/>
    <cellStyle name="60% - Accent2 2 5 4 2 2" xfId="31426"/>
    <cellStyle name="20% - Accent3 2 5 4 2 2" xfId="31427"/>
    <cellStyle name="40% - Accent3 2 5 4 2 2" xfId="31428"/>
    <cellStyle name="60% - Accent3 2 5 4 2 2" xfId="31429"/>
    <cellStyle name="20% - Accent4 2 5 4 2 2" xfId="31430"/>
    <cellStyle name="40% - Accent4 2 5 4 2 2" xfId="31431"/>
    <cellStyle name="60% - Accent4 2 5 4 2 2" xfId="31432"/>
    <cellStyle name="20% - Accent5 2 5 4 2 2" xfId="31433"/>
    <cellStyle name="40% - Accent5 2 5 4 2 2" xfId="31434"/>
    <cellStyle name="60% - Accent5 2 5 4 2 2" xfId="31435"/>
    <cellStyle name="20% - Accent6 2 5 4 2 2" xfId="31436"/>
    <cellStyle name="40% - Accent6 2 5 4 2 2" xfId="31437"/>
    <cellStyle name="60% - Accent6 2 5 4 2 2" xfId="31438"/>
    <cellStyle name="Comma 2 2 6 5 2 2" xfId="31439"/>
    <cellStyle name="Comma 4 6 5 2 2" xfId="31440"/>
    <cellStyle name="Normal 3 8 5 4 2 2" xfId="31441"/>
    <cellStyle name="Normal 7 4 4 2 2" xfId="31442"/>
    <cellStyle name="Comma 5 4 5 2 2" xfId="31443"/>
    <cellStyle name="20% - Accent1 3 4 4 2 2" xfId="31444"/>
    <cellStyle name="40% - Accent1 3 4 4 2 2" xfId="31445"/>
    <cellStyle name="60% - Accent1 3 4 4 2 2" xfId="31446"/>
    <cellStyle name="20% - Accent2 3 4 4 2 2" xfId="31447"/>
    <cellStyle name="40% - Accent2 3 4 4 2 2" xfId="31448"/>
    <cellStyle name="60% - Accent2 3 4 4 2 2" xfId="31449"/>
    <cellStyle name="20% - Accent3 3 4 4 2 2" xfId="31450"/>
    <cellStyle name="40% - Accent3 3 4 4 2 2" xfId="31451"/>
    <cellStyle name="60% - Accent3 3 4 4 2 2" xfId="31452"/>
    <cellStyle name="20% - Accent4 3 4 4 2 2" xfId="31453"/>
    <cellStyle name="40% - Accent4 3 4 4 2 2" xfId="31454"/>
    <cellStyle name="60% - Accent4 3 4 4 2 2" xfId="31455"/>
    <cellStyle name="20% - Accent5 3 4 4 2 2" xfId="31456"/>
    <cellStyle name="40% - Accent5 3 4 4 2 2" xfId="31457"/>
    <cellStyle name="60% - Accent5 3 4 4 2 2" xfId="31458"/>
    <cellStyle name="20% - Accent6 3 4 4 2 2" xfId="31459"/>
    <cellStyle name="40% - Accent6 3 4 4 2 2" xfId="31460"/>
    <cellStyle name="60% - Accent6 3 4 4 2 2" xfId="31461"/>
    <cellStyle name="Normal 3 2 3 4 4 2 2" xfId="31462"/>
    <cellStyle name="Normal 3 3 3 4 4 2 2" xfId="31463"/>
    <cellStyle name="Normal 3 4 3 4 4 2 2" xfId="31464"/>
    <cellStyle name="Normal 3 5 3 4 4 2 2" xfId="31465"/>
    <cellStyle name="Normal 3 2 2 2 4 4 2 2" xfId="31466"/>
    <cellStyle name="Normal 3 3 2 2 4 4 2 2" xfId="31467"/>
    <cellStyle name="Normal 3 4 2 2 4 4 2 2" xfId="31468"/>
    <cellStyle name="Normal 3 5 2 2 4 4 2 2" xfId="31469"/>
    <cellStyle name="Normal 5 2 4 4 2 2" xfId="31470"/>
    <cellStyle name="Percent 3 2 4 4 2 2" xfId="31471"/>
    <cellStyle name="Note 2 2 4 4 2 2" xfId="31472"/>
    <cellStyle name="Normal 3 6 2 4 4 2 2" xfId="31473"/>
    <cellStyle name="Comma 2 3 4 5 2 2" xfId="31474"/>
    <cellStyle name="Comma 3 2 4 5 2 2" xfId="31475"/>
    <cellStyle name="Percent 4 2 4 4 2 2" xfId="31476"/>
    <cellStyle name="Normal 3 7 2 4 4 2 2" xfId="31477"/>
    <cellStyle name="Note 3 2 4 4 2 2" xfId="31478"/>
    <cellStyle name="20% - Accent1 2 2 4 4 2 2" xfId="31479"/>
    <cellStyle name="40% - Accent1 2 2 4 4 2 2" xfId="31480"/>
    <cellStyle name="60% - Accent1 2 2 4 4 2 2" xfId="31481"/>
    <cellStyle name="20% - Accent2 2 2 4 4 2 2" xfId="31482"/>
    <cellStyle name="40% - Accent2 2 2 4 4 2 2" xfId="31483"/>
    <cellStyle name="60% - Accent2 2 2 4 4 2 2" xfId="31484"/>
    <cellStyle name="20% - Accent3 2 2 4 4 2 2" xfId="31485"/>
    <cellStyle name="40% - Accent3 2 2 4 4 2 2" xfId="31486"/>
    <cellStyle name="60% - Accent3 2 2 4 4 2 2" xfId="31487"/>
    <cellStyle name="20% - Accent4 2 2 4 4 2 2" xfId="31488"/>
    <cellStyle name="40% - Accent4 2 2 4 4 2 2" xfId="31489"/>
    <cellStyle name="60% - Accent4 2 2 4 4 2 2" xfId="31490"/>
    <cellStyle name="20% - Accent5 2 2 4 4 2 2" xfId="31491"/>
    <cellStyle name="40% - Accent5 2 2 4 4 2 2" xfId="31492"/>
    <cellStyle name="60% - Accent5 2 2 4 4 2 2" xfId="31493"/>
    <cellStyle name="20% - Accent6 2 2 4 4 2 2" xfId="31494"/>
    <cellStyle name="40% - Accent6 2 2 4 4 2 2" xfId="31495"/>
    <cellStyle name="60% - Accent6 2 2 4 4 2 2" xfId="31496"/>
    <cellStyle name="Comma 2 2 2 4 5 2 2" xfId="31497"/>
    <cellStyle name="Comma 4 2 4 5 2 2" xfId="31498"/>
    <cellStyle name="Normal 3 8 2 4 4 2 2" xfId="31499"/>
    <cellStyle name="Normal 8 3 4 2 2" xfId="31500"/>
    <cellStyle name="Comma 6 3 5 2 2" xfId="31501"/>
    <cellStyle name="20% - Accent1 4 3 4 2 2" xfId="31502"/>
    <cellStyle name="40% - Accent1 4 3 4 2 2" xfId="31503"/>
    <cellStyle name="60% - Accent1 4 3 4 2 2" xfId="31504"/>
    <cellStyle name="20% - Accent2 4 3 4 2 2" xfId="31505"/>
    <cellStyle name="40% - Accent2 4 3 4 2 2" xfId="31506"/>
    <cellStyle name="60% - Accent2 4 3 4 2 2" xfId="31507"/>
    <cellStyle name="20% - Accent3 4 3 4 2 2" xfId="31508"/>
    <cellStyle name="40% - Accent3 4 3 4 2 2" xfId="31509"/>
    <cellStyle name="60% - Accent3 4 3 4 2 2" xfId="31510"/>
    <cellStyle name="20% - Accent4 4 3 4 2 2" xfId="31511"/>
    <cellStyle name="40% - Accent4 4 3 4 2 2" xfId="31512"/>
    <cellStyle name="60% - Accent4 4 3 4 2 2" xfId="31513"/>
    <cellStyle name="20% - Accent5 4 3 4 2 2" xfId="31514"/>
    <cellStyle name="40% - Accent5 4 3 4 2 2" xfId="31515"/>
    <cellStyle name="60% - Accent5 4 3 4 2 2" xfId="31516"/>
    <cellStyle name="20% - Accent6 4 3 4 2 2" xfId="31517"/>
    <cellStyle name="40% - Accent6 4 3 4 2 2" xfId="31518"/>
    <cellStyle name="60% - Accent6 4 3 4 2 2" xfId="31519"/>
    <cellStyle name="Normal 3 2 4 3 4 2 2" xfId="31520"/>
    <cellStyle name="Normal 3 3 4 3 4 2 2" xfId="31521"/>
    <cellStyle name="Normal 3 4 4 3 4 2 2" xfId="31522"/>
    <cellStyle name="Normal 3 5 4 3 4 2 2" xfId="31523"/>
    <cellStyle name="Normal 3 2 2 3 3 4 2 2" xfId="31524"/>
    <cellStyle name="Normal 3 3 2 3 3 4 2 2" xfId="31525"/>
    <cellStyle name="Normal 3 4 2 3 3 4 2 2" xfId="31526"/>
    <cellStyle name="Normal 3 5 2 3 3 4 2 2" xfId="31527"/>
    <cellStyle name="Normal 5 3 3 4 2 2" xfId="31528"/>
    <cellStyle name="Percent 3 3 3 4 2 2" xfId="31529"/>
    <cellStyle name="Note 2 3 3 4 2 2" xfId="31530"/>
    <cellStyle name="Normal 3 6 3 3 4 2 2" xfId="31531"/>
    <cellStyle name="Comma 2 5 3 5 2 2" xfId="31532"/>
    <cellStyle name="Comma 3 4 3 5 2 2" xfId="31533"/>
    <cellStyle name="Percent 4 3 3 4 2 2" xfId="31534"/>
    <cellStyle name="Normal 3 7 3 3 4 2 2" xfId="31535"/>
    <cellStyle name="Note 3 3 3 4 2 2" xfId="31536"/>
    <cellStyle name="20% - Accent1 2 3 3 4 2 2" xfId="31537"/>
    <cellStyle name="40% - Accent1 2 3 3 4 2 2" xfId="31538"/>
    <cellStyle name="60% - Accent1 2 3 3 4 2 2" xfId="31539"/>
    <cellStyle name="20% - Accent2 2 3 3 4 2 2" xfId="31540"/>
    <cellStyle name="40% - Accent2 2 3 3 4 2 2" xfId="31541"/>
    <cellStyle name="60% - Accent2 2 3 3 4 2 2" xfId="31542"/>
    <cellStyle name="20% - Accent3 2 3 3 4 2 2" xfId="31543"/>
    <cellStyle name="40% - Accent3 2 3 3 4 2 2" xfId="31544"/>
    <cellStyle name="60% - Accent3 2 3 3 4 2 2" xfId="31545"/>
    <cellStyle name="20% - Accent4 2 3 3 4 2 2" xfId="31546"/>
    <cellStyle name="40% - Accent4 2 3 3 4 2 2" xfId="31547"/>
    <cellStyle name="60% - Accent4 2 3 3 4 2 2" xfId="31548"/>
    <cellStyle name="20% - Accent5 2 3 3 4 2 2" xfId="31549"/>
    <cellStyle name="40% - Accent5 2 3 3 4 2 2" xfId="31550"/>
    <cellStyle name="60% - Accent5 2 3 3 4 2 2" xfId="31551"/>
    <cellStyle name="20% - Accent6 2 3 3 4 2 2" xfId="31552"/>
    <cellStyle name="40% - Accent6 2 3 3 4 2 2" xfId="31553"/>
    <cellStyle name="60% - Accent6 2 3 3 4 2 2" xfId="31554"/>
    <cellStyle name="Comma 2 2 4 3 5 2 2" xfId="31555"/>
    <cellStyle name="Comma 4 4 3 5 2 2" xfId="31556"/>
    <cellStyle name="Normal 3 8 3 3 4 2 2" xfId="31557"/>
    <cellStyle name="Comma 2 4 3 5 2 2" xfId="31558"/>
    <cellStyle name="Comma 3 3 3 5 2 2" xfId="31559"/>
    <cellStyle name="Comma 2 2 3 3 5 2 2" xfId="31560"/>
    <cellStyle name="Comma 4 3 3 5 2 2" xfId="31561"/>
    <cellStyle name="Normal 7 2 3 4 2 2" xfId="31562"/>
    <cellStyle name="Comma 5 2 3 5 2 2" xfId="31563"/>
    <cellStyle name="20% - Accent1 3 2 3 4 2 2" xfId="31564"/>
    <cellStyle name="40% - Accent1 3 2 3 4 2 2" xfId="31565"/>
    <cellStyle name="60% - Accent1 3 2 3 4 2 2" xfId="31566"/>
    <cellStyle name="20% - Accent2 3 2 3 4 2 2" xfId="31567"/>
    <cellStyle name="40% - Accent2 3 2 3 4 2 2" xfId="31568"/>
    <cellStyle name="60% - Accent2 3 2 3 4 2 2" xfId="31569"/>
    <cellStyle name="20% - Accent3 3 2 3 4 2 2" xfId="31570"/>
    <cellStyle name="40% - Accent3 3 2 3 4 2 2" xfId="31571"/>
    <cellStyle name="60% - Accent3 3 2 3 4 2 2" xfId="31572"/>
    <cellStyle name="20% - Accent4 3 2 3 4 2 2" xfId="31573"/>
    <cellStyle name="40% - Accent4 3 2 3 4 2 2" xfId="31574"/>
    <cellStyle name="60% - Accent4 3 2 3 4 2 2" xfId="31575"/>
    <cellStyle name="20% - Accent5 3 2 3 4 2 2" xfId="31576"/>
    <cellStyle name="40% - Accent5 3 2 3 4 2 2" xfId="31577"/>
    <cellStyle name="60% - Accent5 3 2 3 4 2 2" xfId="31578"/>
    <cellStyle name="20% - Accent6 3 2 3 4 2 2" xfId="31579"/>
    <cellStyle name="40% - Accent6 3 2 3 4 2 2" xfId="31580"/>
    <cellStyle name="60% - Accent6 3 2 3 4 2 2" xfId="31581"/>
    <cellStyle name="Normal 3 2 3 2 3 4 2 2" xfId="31582"/>
    <cellStyle name="Normal 3 3 3 2 3 4 2 2" xfId="31583"/>
    <cellStyle name="Normal 3 4 3 2 3 4 2 2" xfId="31584"/>
    <cellStyle name="Normal 3 5 3 2 3 4 2 2" xfId="31585"/>
    <cellStyle name="Normal 3 2 2 2 2 3 4 2 2" xfId="31586"/>
    <cellStyle name="Normal 3 3 2 2 2 3 4 2 2" xfId="31587"/>
    <cellStyle name="Normal 3 4 2 2 2 3 4 2 2" xfId="31588"/>
    <cellStyle name="Normal 3 5 2 2 2 3 4 2 2" xfId="31589"/>
    <cellStyle name="Normal 5 2 2 3 4 2 2" xfId="31590"/>
    <cellStyle name="Percent 3 2 2 3 4 2 2" xfId="31591"/>
    <cellStyle name="Note 2 2 2 3 4 2 2" xfId="31592"/>
    <cellStyle name="Normal 3 6 2 2 3 4 2 2" xfId="31593"/>
    <cellStyle name="Comma 2 3 2 3 5 2 2" xfId="31594"/>
    <cellStyle name="Comma 3 2 2 3 5 2 2" xfId="31595"/>
    <cellStyle name="Percent 4 2 2 3 4 2 2" xfId="31596"/>
    <cellStyle name="Normal 3 7 2 2 3 4 2 2" xfId="31597"/>
    <cellStyle name="Note 3 2 2 3 4 2 2" xfId="31598"/>
    <cellStyle name="20% - Accent1 2 2 2 3 4 2 2" xfId="31599"/>
    <cellStyle name="40% - Accent1 2 2 2 3 4 2 2" xfId="31600"/>
    <cellStyle name="60% - Accent1 2 2 2 3 4 2 2" xfId="31601"/>
    <cellStyle name="20% - Accent2 2 2 2 3 4 2 2" xfId="31602"/>
    <cellStyle name="40% - Accent2 2 2 2 3 4 2 2" xfId="31603"/>
    <cellStyle name="60% - Accent2 2 2 2 3 4 2 2" xfId="31604"/>
    <cellStyle name="20% - Accent3 2 2 2 3 4 2 2" xfId="31605"/>
    <cellStyle name="40% - Accent3 2 2 2 3 4 2 2" xfId="31606"/>
    <cellStyle name="60% - Accent3 2 2 2 3 4 2 2" xfId="31607"/>
    <cellStyle name="20% - Accent4 2 2 2 3 4 2 2" xfId="31608"/>
    <cellStyle name="40% - Accent4 2 2 2 3 4 2 2" xfId="31609"/>
    <cellStyle name="60% - Accent4 2 2 2 3 4 2 2" xfId="31610"/>
    <cellStyle name="20% - Accent5 2 2 2 3 4 2 2" xfId="31611"/>
    <cellStyle name="40% - Accent5 2 2 2 3 4 2 2" xfId="31612"/>
    <cellStyle name="60% - Accent5 2 2 2 3 4 2 2" xfId="31613"/>
    <cellStyle name="20% - Accent6 2 2 2 3 4 2 2" xfId="31614"/>
    <cellStyle name="40% - Accent6 2 2 2 3 4 2 2" xfId="31615"/>
    <cellStyle name="60% - Accent6 2 2 2 3 4 2 2" xfId="31616"/>
    <cellStyle name="Comma 2 2 2 2 3 5 2 2" xfId="31617"/>
    <cellStyle name="Comma 4 2 2 3 5 2 2" xfId="31618"/>
    <cellStyle name="Normal 3 8 2 2 3 4 2 2" xfId="31619"/>
    <cellStyle name="Normal 3 10 3 4 2 2" xfId="31620"/>
    <cellStyle name="Normal 3 11 3 4 2 2" xfId="31621"/>
    <cellStyle name="Normal 5 4 2 4 2 2" xfId="31622"/>
    <cellStyle name="Normal 7 3 2 4 2 2" xfId="31623"/>
    <cellStyle name="Normal 3 2 2 2 3 2 4 2 2" xfId="31624"/>
    <cellStyle name="Normal 8 2 2 4 2 2" xfId="31625"/>
    <cellStyle name="Normal 3 2 2 2 2 2 2 4 2 2" xfId="31626"/>
    <cellStyle name="Comma 3 6 5 2 2" xfId="31627"/>
    <cellStyle name="Normal 3 6 4 2 4 2 2" xfId="31628"/>
    <cellStyle name="Normal 3 12 2 4 2 2" xfId="31629"/>
    <cellStyle name="Normal 3 2 5 2 4 2 2" xfId="31630"/>
    <cellStyle name="Normal 3 3 5 2 4 2 2" xfId="31631"/>
    <cellStyle name="Normal 3 4 5 2 4 2 2" xfId="31632"/>
    <cellStyle name="Normal 3 5 5 2 4 2 2" xfId="31633"/>
    <cellStyle name="20% - Accent1 5 2 4 2 2" xfId="31634"/>
    <cellStyle name="40% - Accent1 5 2 4 2 2" xfId="31635"/>
    <cellStyle name="60% - Accent1 5 2 4 2 2" xfId="31636"/>
    <cellStyle name="20% - Accent2 5 2 4 2 2" xfId="31637"/>
    <cellStyle name="40% - Accent2 5 2 4 2 2" xfId="31638"/>
    <cellStyle name="60% - Accent2 5 2 4 2 2" xfId="31639"/>
    <cellStyle name="20% - Accent3 5 2 4 2 2" xfId="31640"/>
    <cellStyle name="40% - Accent3 5 2 4 2 2" xfId="31641"/>
    <cellStyle name="60% - Accent3 5 2 4 2 2" xfId="31642"/>
    <cellStyle name="20% - Accent4 5 2 4 2 2" xfId="31643"/>
    <cellStyle name="40% - Accent4 5 2 4 2 2" xfId="31644"/>
    <cellStyle name="60% - Accent4 5 2 4 2 2" xfId="31645"/>
    <cellStyle name="20% - Accent5 5 2 4 2 2" xfId="31646"/>
    <cellStyle name="40% - Accent5 5 2 4 2 2" xfId="31647"/>
    <cellStyle name="60% - Accent5 5 2 4 2 2" xfId="31648"/>
    <cellStyle name="20% - Accent6 5 2 4 2 2" xfId="31649"/>
    <cellStyle name="40% - Accent6 5 2 4 2 2" xfId="31650"/>
    <cellStyle name="60% - Accent6 5 2 4 2 2" xfId="31651"/>
    <cellStyle name="Normal 3 2 2 4 2 4 2 2" xfId="31652"/>
    <cellStyle name="Normal 3 3 2 4 2 4 2 2" xfId="31653"/>
    <cellStyle name="Normal 3 4 2 4 2 4 2 2" xfId="31654"/>
    <cellStyle name="Normal 3 5 2 4 2 4 2 2" xfId="31655"/>
    <cellStyle name="Percent 3 4 2 4 2 2" xfId="31656"/>
    <cellStyle name="Note 2 4 2 4 2 2" xfId="31657"/>
    <cellStyle name="Comma 2 6 2 5 2 2" xfId="31658"/>
    <cellStyle name="Comma 3 5 2 5 2 2" xfId="31659"/>
    <cellStyle name="Percent 4 4 2 4 2 2" xfId="31660"/>
    <cellStyle name="Normal 3 7 4 2 4 2 2" xfId="31661"/>
    <cellStyle name="Note 3 4 2 4 2 2" xfId="31662"/>
    <cellStyle name="20% - Accent1 2 4 2 4 2 2" xfId="31663"/>
    <cellStyle name="40% - Accent1 2 4 2 4 2 2" xfId="31664"/>
    <cellStyle name="60% - Accent1 2 4 2 4 2 2" xfId="31665"/>
    <cellStyle name="20% - Accent2 2 4 2 4 2 2" xfId="31666"/>
    <cellStyle name="40% - Accent2 2 4 2 4 2 2" xfId="31667"/>
    <cellStyle name="60% - Accent2 2 4 2 4 2 2" xfId="31668"/>
    <cellStyle name="20% - Accent3 2 4 2 4 2 2" xfId="31669"/>
    <cellStyle name="40% - Accent3 2 4 2 4 2 2" xfId="31670"/>
    <cellStyle name="60% - Accent3 2 4 2 4 2 2" xfId="31671"/>
    <cellStyle name="20% - Accent4 2 4 2 4 2 2" xfId="31672"/>
    <cellStyle name="40% - Accent4 2 4 2 4 2 2" xfId="31673"/>
    <cellStyle name="60% - Accent4 2 4 2 4 2 2" xfId="31674"/>
    <cellStyle name="20% - Accent5 2 4 2 4 2 2" xfId="31675"/>
    <cellStyle name="40% - Accent5 2 4 2 4 2 2" xfId="31676"/>
    <cellStyle name="60% - Accent5 2 4 2 4 2 2" xfId="31677"/>
    <cellStyle name="20% - Accent6 2 4 2 4 2 2" xfId="31678"/>
    <cellStyle name="40% - Accent6 2 4 2 4 2 2" xfId="31679"/>
    <cellStyle name="60% - Accent6 2 4 2 4 2 2" xfId="31680"/>
    <cellStyle name="Comma 2 2 5 2 5 2 2" xfId="31681"/>
    <cellStyle name="Comma 4 5 2 5 2 2" xfId="31682"/>
    <cellStyle name="Normal 3 8 4 2 4 2 2" xfId="31683"/>
    <cellStyle name="Comma 5 3 2 5 2 2" xfId="31684"/>
    <cellStyle name="20% - Accent1 3 3 2 4 2 2" xfId="31685"/>
    <cellStyle name="40% - Accent1 3 3 2 4 2 2" xfId="31686"/>
    <cellStyle name="60% - Accent1 3 3 2 4 2 2" xfId="31687"/>
    <cellStyle name="20% - Accent2 3 3 2 4 2 2" xfId="31688"/>
    <cellStyle name="40% - Accent2 3 3 2 4 2 2" xfId="31689"/>
    <cellStyle name="60% - Accent2 3 3 2 4 2 2" xfId="31690"/>
    <cellStyle name="20% - Accent3 3 3 2 4 2 2" xfId="31691"/>
    <cellStyle name="40% - Accent3 3 3 2 4 2 2" xfId="31692"/>
    <cellStyle name="60% - Accent3 3 3 2 4 2 2" xfId="31693"/>
    <cellStyle name="20% - Accent4 3 3 2 4 2 2" xfId="31694"/>
    <cellStyle name="40% - Accent4 3 3 2 4 2 2" xfId="31695"/>
    <cellStyle name="60% - Accent4 3 3 2 4 2 2" xfId="31696"/>
    <cellStyle name="20% - Accent5 3 3 2 4 2 2" xfId="31697"/>
    <cellStyle name="40% - Accent5 3 3 2 4 2 2" xfId="31698"/>
    <cellStyle name="60% - Accent5 3 3 2 4 2 2" xfId="31699"/>
    <cellStyle name="20% - Accent6 3 3 2 4 2 2" xfId="31700"/>
    <cellStyle name="40% - Accent6 3 3 2 4 2 2" xfId="31701"/>
    <cellStyle name="60% - Accent6 3 3 2 4 2 2" xfId="31702"/>
    <cellStyle name="Normal 3 2 3 3 2 4 2 2" xfId="31703"/>
    <cellStyle name="Normal 3 3 3 3 2 4 2 2" xfId="31704"/>
    <cellStyle name="Normal 3 4 3 3 2 4 2 2" xfId="31705"/>
    <cellStyle name="Normal 3 5 3 3 2 4 2 2" xfId="31706"/>
    <cellStyle name="Normal 3 3 2 2 3 2 4 2 2" xfId="31707"/>
    <cellStyle name="Normal 3 4 2 2 3 2 4 2 2" xfId="31708"/>
    <cellStyle name="Normal 3 5 2 2 3 2 4 2 2" xfId="31709"/>
    <cellStyle name="Normal 5 2 3 2 4 2 2" xfId="31710"/>
    <cellStyle name="Percent 3 2 3 2 4 2 2" xfId="31711"/>
    <cellStyle name="Note 2 2 3 2 4 2 2" xfId="31712"/>
    <cellStyle name="Normal 3 6 2 3 2 4 2 2" xfId="31713"/>
    <cellStyle name="Comma 2 3 3 2 5 2 2" xfId="31714"/>
    <cellStyle name="Comma 3 2 3 2 5 2 2" xfId="31715"/>
    <cellStyle name="Percent 4 2 3 2 4 2 2" xfId="31716"/>
    <cellStyle name="Normal 3 7 2 3 2 4 2 2" xfId="31717"/>
    <cellStyle name="Note 3 2 3 2 4 2 2" xfId="31718"/>
    <cellStyle name="20% - Accent1 2 2 3 2 4 2 2" xfId="31719"/>
    <cellStyle name="40% - Accent1 2 2 3 2 4 2 2" xfId="31720"/>
    <cellStyle name="60% - Accent1 2 2 3 2 4 2 2" xfId="31721"/>
    <cellStyle name="20% - Accent2 2 2 3 2 4 2 2" xfId="31722"/>
    <cellStyle name="40% - Accent2 2 2 3 2 4 2 2" xfId="31723"/>
    <cellStyle name="60% - Accent2 2 2 3 2 4 2 2" xfId="31724"/>
    <cellStyle name="20% - Accent3 2 2 3 2 4 2 2" xfId="31725"/>
    <cellStyle name="40% - Accent3 2 2 3 2 4 2 2" xfId="31726"/>
    <cellStyle name="60% - Accent3 2 2 3 2 4 2 2" xfId="31727"/>
    <cellStyle name="20% - Accent4 2 2 3 2 4 2 2" xfId="31728"/>
    <cellStyle name="40% - Accent4 2 2 3 2 4 2 2" xfId="31729"/>
    <cellStyle name="60% - Accent4 2 2 3 2 4 2 2" xfId="31730"/>
    <cellStyle name="20% - Accent5 2 2 3 2 4 2 2" xfId="31731"/>
    <cellStyle name="40% - Accent5 2 2 3 2 4 2 2" xfId="31732"/>
    <cellStyle name="60% - Accent5 2 2 3 2 4 2 2" xfId="31733"/>
    <cellStyle name="20% - Accent6 2 2 3 2 4 2 2" xfId="31734"/>
    <cellStyle name="40% - Accent6 2 2 3 2 4 2 2" xfId="31735"/>
    <cellStyle name="60% - Accent6 2 2 3 2 4 2 2" xfId="31736"/>
    <cellStyle name="Comma 2 2 2 3 2 5 2 2" xfId="31737"/>
    <cellStyle name="Comma 4 2 3 2 5 2 2" xfId="31738"/>
    <cellStyle name="Normal 3 8 2 3 2 4 2 2" xfId="31739"/>
    <cellStyle name="Comma 6 2 2 5 2 2" xfId="31740"/>
    <cellStyle name="20% - Accent1 4 2 2 4 2 2" xfId="31741"/>
    <cellStyle name="40% - Accent1 4 2 2 4 2 2" xfId="31742"/>
    <cellStyle name="60% - Accent1 4 2 2 4 2 2" xfId="31743"/>
    <cellStyle name="20% - Accent2 4 2 2 4 2 2" xfId="31744"/>
    <cellStyle name="40% - Accent2 4 2 2 4 2 2" xfId="31745"/>
    <cellStyle name="60% - Accent2 4 2 2 4 2 2" xfId="31746"/>
    <cellStyle name="20% - Accent3 4 2 2 4 2 2" xfId="31747"/>
    <cellStyle name="40% - Accent3 4 2 2 4 2 2" xfId="31748"/>
    <cellStyle name="60% - Accent3 4 2 2 4 2 2" xfId="31749"/>
    <cellStyle name="20% - Accent4 4 2 2 4 2 2" xfId="31750"/>
    <cellStyle name="40% - Accent4 4 2 2 4 2 2" xfId="31751"/>
    <cellStyle name="60% - Accent4 4 2 2 4 2 2" xfId="31752"/>
    <cellStyle name="20% - Accent5 4 2 2 4 2 2" xfId="31753"/>
    <cellStyle name="40% - Accent5 4 2 2 4 2 2" xfId="31754"/>
    <cellStyle name="60% - Accent5 4 2 2 4 2 2" xfId="31755"/>
    <cellStyle name="20% - Accent6 4 2 2 4 2 2" xfId="31756"/>
    <cellStyle name="40% - Accent6 4 2 2 4 2 2" xfId="31757"/>
    <cellStyle name="60% - Accent6 4 2 2 4 2 2" xfId="31758"/>
    <cellStyle name="Normal 3 2 4 2 2 4 2 2" xfId="31759"/>
    <cellStyle name="Normal 3 3 4 2 2 4 2 2" xfId="31760"/>
    <cellStyle name="Normal 3 4 4 2 2 4 2 2" xfId="31761"/>
    <cellStyle name="Normal 3 5 4 2 2 4 2 2" xfId="31762"/>
    <cellStyle name="Normal 3 2 2 3 2 2 4 2 2" xfId="31763"/>
    <cellStyle name="Normal 3 3 2 3 2 2 4 2 2" xfId="31764"/>
    <cellStyle name="Normal 3 4 2 3 2 2 4 2 2" xfId="31765"/>
    <cellStyle name="Normal 3 5 2 3 2 2 4 2 2" xfId="31766"/>
    <cellStyle name="Normal 5 3 2 2 4 2 2" xfId="31767"/>
    <cellStyle name="Percent 3 3 2 2 4 2 2" xfId="31768"/>
    <cellStyle name="Note 2 3 2 2 4 2 2" xfId="31769"/>
    <cellStyle name="Normal 3 6 3 2 2 4 2 2" xfId="31770"/>
    <cellStyle name="Comma 2 5 2 2 5 2 2" xfId="31771"/>
    <cellStyle name="Comma 3 4 2 2 5 2 2" xfId="31772"/>
    <cellStyle name="Percent 4 3 2 2 4 2 2" xfId="31773"/>
    <cellStyle name="Normal 3 7 3 2 2 4 2 2" xfId="31774"/>
    <cellStyle name="Note 3 3 2 2 4 2 2" xfId="31775"/>
    <cellStyle name="20% - Accent1 2 3 2 2 4 2 2" xfId="31776"/>
    <cellStyle name="40% - Accent1 2 3 2 2 4 2 2" xfId="31777"/>
    <cellStyle name="60% - Accent1 2 3 2 2 4 2 2" xfId="31778"/>
    <cellStyle name="20% - Accent2 2 3 2 2 4 2 2" xfId="31779"/>
    <cellStyle name="40% - Accent2 2 3 2 2 4 2 2" xfId="31780"/>
    <cellStyle name="60% - Accent2 2 3 2 2 4 2 2" xfId="31781"/>
    <cellStyle name="20% - Accent3 2 3 2 2 4 2 2" xfId="31782"/>
    <cellStyle name="40% - Accent3 2 3 2 2 4 2 2" xfId="31783"/>
    <cellStyle name="60% - Accent3 2 3 2 2 4 2 2" xfId="31784"/>
    <cellStyle name="20% - Accent4 2 3 2 2 4 2 2" xfId="31785"/>
    <cellStyle name="40% - Accent4 2 3 2 2 4 2 2" xfId="31786"/>
    <cellStyle name="60% - Accent4 2 3 2 2 4 2 2" xfId="31787"/>
    <cellStyle name="20% - Accent5 2 3 2 2 4 2 2" xfId="31788"/>
    <cellStyle name="40% - Accent5 2 3 2 2 4 2 2" xfId="31789"/>
    <cellStyle name="60% - Accent5 2 3 2 2 4 2 2" xfId="31790"/>
    <cellStyle name="20% - Accent6 2 3 2 2 4 2 2" xfId="31791"/>
    <cellStyle name="40% - Accent6 2 3 2 2 4 2 2" xfId="31792"/>
    <cellStyle name="60% - Accent6 2 3 2 2 4 2 2" xfId="31793"/>
    <cellStyle name="Comma 2 2 4 2 2 5 2 2" xfId="31794"/>
    <cellStyle name="Comma 4 4 2 2 5 2 2" xfId="31795"/>
    <cellStyle name="Normal 3 8 3 2 2 4 2 2" xfId="31796"/>
    <cellStyle name="Comma 2 4 2 2 5 2 2" xfId="31797"/>
    <cellStyle name="Comma 3 3 2 2 5 2 2" xfId="31798"/>
    <cellStyle name="Comma 2 2 3 2 2 5 2 2" xfId="31799"/>
    <cellStyle name="Comma 4 3 2 2 5 2 2" xfId="31800"/>
    <cellStyle name="Normal 7 2 2 2 4 2 2" xfId="31801"/>
    <cellStyle name="Comma 5 2 2 2 5 2 2" xfId="31802"/>
    <cellStyle name="20% - Accent1 3 2 2 2 4 2 2" xfId="31803"/>
    <cellStyle name="40% - Accent1 3 2 2 2 4 2 2" xfId="31804"/>
    <cellStyle name="60% - Accent1 3 2 2 2 4 2 2" xfId="31805"/>
    <cellStyle name="20% - Accent2 3 2 2 2 4 2 2" xfId="31806"/>
    <cellStyle name="40% - Accent2 3 2 2 2 4 2 2" xfId="31807"/>
    <cellStyle name="60% - Accent2 3 2 2 2 4 2 2" xfId="31808"/>
    <cellStyle name="20% - Accent3 3 2 2 2 4 2 2" xfId="31809"/>
    <cellStyle name="40% - Accent3 3 2 2 2 4 2 2" xfId="31810"/>
    <cellStyle name="60% - Accent3 3 2 2 2 4 2 2" xfId="31811"/>
    <cellStyle name="20% - Accent4 3 2 2 2 4 2 2" xfId="31812"/>
    <cellStyle name="40% - Accent4 3 2 2 2 4 2 2" xfId="31813"/>
    <cellStyle name="60% - Accent4 3 2 2 2 4 2 2" xfId="31814"/>
    <cellStyle name="20% - Accent5 3 2 2 2 4 2 2" xfId="31815"/>
    <cellStyle name="40% - Accent5 3 2 2 2 4 2 2" xfId="31816"/>
    <cellStyle name="60% - Accent5 3 2 2 2 4 2 2" xfId="31817"/>
    <cellStyle name="20% - Accent6 3 2 2 2 4 2 2" xfId="31818"/>
    <cellStyle name="40% - Accent6 3 2 2 2 4 2 2" xfId="31819"/>
    <cellStyle name="60% - Accent6 3 2 2 2 4 2 2" xfId="31820"/>
    <cellStyle name="Normal 3 2 3 2 2 2 4 2 2" xfId="31821"/>
    <cellStyle name="Normal 3 3 3 2 2 2 4 2 2" xfId="31822"/>
    <cellStyle name="Normal 3 4 3 2 2 2 4 2 2" xfId="31823"/>
    <cellStyle name="Normal 3 5 3 2 2 2 4 2 2" xfId="31824"/>
    <cellStyle name="Normal 3 3 2 2 2 2 2 4 2 2" xfId="31825"/>
    <cellStyle name="Normal 3 4 2 2 2 2 2 4 2 2" xfId="31826"/>
    <cellStyle name="Normal 3 5 2 2 2 2 2 4 2 2" xfId="31827"/>
    <cellStyle name="Normal 5 2 2 2 2 4 2 2" xfId="31828"/>
    <cellStyle name="Percent 3 2 2 2 2 4 2 2" xfId="31829"/>
    <cellStyle name="Note 2 2 2 2 2 4 2 2" xfId="31830"/>
    <cellStyle name="Normal 3 6 2 2 2 2 4 2 2" xfId="31831"/>
    <cellStyle name="Comma 2 3 2 2 2 5 2 2" xfId="31832"/>
    <cellStyle name="Comma 3 2 2 2 2 5 2 2" xfId="31833"/>
    <cellStyle name="Percent 4 2 2 2 2 4 2 2" xfId="31834"/>
    <cellStyle name="Normal 3 7 2 2 2 2 4 2 2" xfId="31835"/>
    <cellStyle name="Note 3 2 2 2 2 4 2 2" xfId="31836"/>
    <cellStyle name="20% - Accent1 2 2 2 2 2 4 2 2" xfId="31837"/>
    <cellStyle name="40% - Accent1 2 2 2 2 2 4 2 2" xfId="31838"/>
    <cellStyle name="60% - Accent1 2 2 2 2 2 4 2 2" xfId="31839"/>
    <cellStyle name="20% - Accent2 2 2 2 2 2 4 2 2" xfId="31840"/>
    <cellStyle name="40% - Accent2 2 2 2 2 2 4 2 2" xfId="31841"/>
    <cellStyle name="60% - Accent2 2 2 2 2 2 4 2 2" xfId="31842"/>
    <cellStyle name="20% - Accent3 2 2 2 2 2 4 2 2" xfId="31843"/>
    <cellStyle name="40% - Accent3 2 2 2 2 2 4 2 2" xfId="31844"/>
    <cellStyle name="60% - Accent3 2 2 2 2 2 4 2 2" xfId="31845"/>
    <cellStyle name="20% - Accent4 2 2 2 2 2 4 2 2" xfId="31846"/>
    <cellStyle name="40% - Accent4 2 2 2 2 2 4 2 2" xfId="31847"/>
    <cellStyle name="60% - Accent4 2 2 2 2 2 4 2 2" xfId="31848"/>
    <cellStyle name="20% - Accent5 2 2 2 2 2 4 2 2" xfId="31849"/>
    <cellStyle name="40% - Accent5 2 2 2 2 2 4 2 2" xfId="31850"/>
    <cellStyle name="60% - Accent5 2 2 2 2 2 4 2 2" xfId="31851"/>
    <cellStyle name="20% - Accent6 2 2 2 2 2 4 2 2" xfId="31852"/>
    <cellStyle name="40% - Accent6 2 2 2 2 2 4 2 2" xfId="31853"/>
    <cellStyle name="60% - Accent6 2 2 2 2 2 4 2 2" xfId="31854"/>
    <cellStyle name="Comma 2 2 2 2 2 2 5 2 2" xfId="31855"/>
    <cellStyle name="Comma 4 2 2 2 2 5 2 2" xfId="31856"/>
    <cellStyle name="Normal 3 8 2 2 2 2 4 2 2" xfId="31857"/>
    <cellStyle name="Normal 3 10 2 2 4 2 2" xfId="31858"/>
    <cellStyle name="Normal 3 11 2 2 4 2 2" xfId="31859"/>
    <cellStyle name="Normal 3 13 4 2 2" xfId="31860"/>
    <cellStyle name="Normal 3 2 7 4 2 2" xfId="31861"/>
    <cellStyle name="Normal 3 3 7 4 2 2" xfId="31862"/>
    <cellStyle name="Normal 3 4 7 4 2 2" xfId="31863"/>
    <cellStyle name="Normal 3 5 7 4 2 2" xfId="31864"/>
    <cellStyle name="20% - Accent1 7 4 2 2" xfId="31865"/>
    <cellStyle name="40% - Accent1 7 4 2 2" xfId="31866"/>
    <cellStyle name="60% - Accent1 7 4 2 2" xfId="31867"/>
    <cellStyle name="20% - Accent2 7 4 2 2" xfId="31868"/>
    <cellStyle name="40% - Accent2 7 4 2 2" xfId="31869"/>
    <cellStyle name="60% - Accent2 7 4 2 2" xfId="31870"/>
    <cellStyle name="20% - Accent3 7 4 2 2" xfId="31871"/>
    <cellStyle name="40% - Accent3 7 4 2 2" xfId="31872"/>
    <cellStyle name="60% - Accent3 7 4 2 2" xfId="31873"/>
    <cellStyle name="20% - Accent4 7 4 2 2" xfId="31874"/>
    <cellStyle name="40% - Accent4 7 4 2 2" xfId="31875"/>
    <cellStyle name="60% - Accent4 7 4 2 2" xfId="31876"/>
    <cellStyle name="20% - Accent5 7 4 2 2" xfId="31877"/>
    <cellStyle name="40% - Accent5 7 4 2 2" xfId="31878"/>
    <cellStyle name="60% - Accent5 7 4 2 2" xfId="31879"/>
    <cellStyle name="20% - Accent6 7 4 2 2" xfId="31880"/>
    <cellStyle name="40% - Accent6 7 4 2 2" xfId="31881"/>
    <cellStyle name="60% - Accent6 7 4 2 2" xfId="31882"/>
    <cellStyle name="Normal 3 2 2 6 4 2 2" xfId="31883"/>
    <cellStyle name="Normal 3 3 2 6 4 2 2" xfId="31884"/>
    <cellStyle name="Normal 3 4 2 6 4 2 2" xfId="31885"/>
    <cellStyle name="Normal 3 5 2 6 4 2 2" xfId="31886"/>
    <cellStyle name="Normal 5 6 4 2 2" xfId="31887"/>
    <cellStyle name="Percent 3 6 4 2 2" xfId="31888"/>
    <cellStyle name="Note 2 6 4 2 2" xfId="31889"/>
    <cellStyle name="Normal 3 6 6 4 2 2" xfId="31890"/>
    <cellStyle name="Comma 2 8 5 2 2" xfId="31891"/>
    <cellStyle name="Comma 3 8 5 2 2" xfId="31892"/>
    <cellStyle name="Percent 4 6 4 2 2" xfId="31893"/>
    <cellStyle name="Normal 3 7 6 4 2 2" xfId="31894"/>
    <cellStyle name="Note 3 6 4 2 2" xfId="31895"/>
    <cellStyle name="20% - Accent1 2 6 4 2 2" xfId="31896"/>
    <cellStyle name="40% - Accent1 2 6 4 2 2" xfId="31897"/>
    <cellStyle name="60% - Accent1 2 6 4 2 2" xfId="31898"/>
    <cellStyle name="20% - Accent2 2 6 4 2 2" xfId="31899"/>
    <cellStyle name="40% - Accent2 2 6 4 2 2" xfId="31900"/>
    <cellStyle name="60% - Accent2 2 6 4 2 2" xfId="31901"/>
    <cellStyle name="20% - Accent3 2 6 4 2 2" xfId="31902"/>
    <cellStyle name="40% - Accent3 2 6 4 2 2" xfId="31903"/>
    <cellStyle name="60% - Accent3 2 6 4 2 2" xfId="31904"/>
    <cellStyle name="20% - Accent4 2 6 4 2 2" xfId="31905"/>
    <cellStyle name="40% - Accent4 2 6 4 2 2" xfId="31906"/>
    <cellStyle name="60% - Accent4 2 6 4 2 2" xfId="31907"/>
    <cellStyle name="20% - Accent5 2 6 4 2 2" xfId="31908"/>
    <cellStyle name="40% - Accent5 2 6 4 2 2" xfId="31909"/>
    <cellStyle name="60% - Accent5 2 6 4 2 2" xfId="31910"/>
    <cellStyle name="20% - Accent6 2 6 4 2 2" xfId="31911"/>
    <cellStyle name="40% - Accent6 2 6 4 2 2" xfId="31912"/>
    <cellStyle name="60% - Accent6 2 6 4 2 2" xfId="31913"/>
    <cellStyle name="Comma 2 2 7 5 2 2" xfId="31914"/>
    <cellStyle name="Comma 4 7 5 2 2" xfId="31915"/>
    <cellStyle name="Normal 3 8 6 4 2 2" xfId="31916"/>
    <cellStyle name="Normal 7 5 4 2 2" xfId="31917"/>
    <cellStyle name="Comma 5 5 5 2 2" xfId="31918"/>
    <cellStyle name="20% - Accent1 3 5 4 2 2" xfId="31919"/>
    <cellStyle name="40% - Accent1 3 5 4 2 2" xfId="31920"/>
    <cellStyle name="60% - Accent1 3 5 4 2 2" xfId="31921"/>
    <cellStyle name="20% - Accent2 3 5 4 2 2" xfId="31922"/>
    <cellStyle name="40% - Accent2 3 5 4 2 2" xfId="31923"/>
    <cellStyle name="60% - Accent2 3 5 4 2 2" xfId="31924"/>
    <cellStyle name="20% - Accent3 3 5 4 2 2" xfId="31925"/>
    <cellStyle name="40% - Accent3 3 5 4 2 2" xfId="31926"/>
    <cellStyle name="60% - Accent3 3 5 4 2 2" xfId="31927"/>
    <cellStyle name="20% - Accent4 3 5 4 2 2" xfId="31928"/>
    <cellStyle name="40% - Accent4 3 5 4 2 2" xfId="31929"/>
    <cellStyle name="60% - Accent4 3 5 4 2 2" xfId="31930"/>
    <cellStyle name="20% - Accent5 3 5 4 2 2" xfId="31931"/>
    <cellStyle name="40% - Accent5 3 5 4 2 2" xfId="31932"/>
    <cellStyle name="60% - Accent5 3 5 4 2 2" xfId="31933"/>
    <cellStyle name="20% - Accent6 3 5 4 2 2" xfId="31934"/>
    <cellStyle name="40% - Accent6 3 5 4 2 2" xfId="31935"/>
    <cellStyle name="60% - Accent6 3 5 4 2 2" xfId="31936"/>
    <cellStyle name="Normal 3 2 3 5 4 2 2" xfId="31937"/>
    <cellStyle name="Normal 3 3 3 5 4 2 2" xfId="31938"/>
    <cellStyle name="Normal 3 4 3 5 4 2 2" xfId="31939"/>
    <cellStyle name="Normal 3 5 3 5 4 2 2" xfId="31940"/>
    <cellStyle name="Normal 3 2 2 2 5 4 2 2" xfId="31941"/>
    <cellStyle name="Normal 3 3 2 2 5 4 2 2" xfId="31942"/>
    <cellStyle name="Normal 3 4 2 2 5 4 2 2" xfId="31943"/>
    <cellStyle name="Normal 3 5 2 2 5 4 2 2" xfId="31944"/>
    <cellStyle name="Normal 5 2 5 4 2 2" xfId="31945"/>
    <cellStyle name="Percent 3 2 5 4 2 2" xfId="31946"/>
    <cellStyle name="Note 2 2 5 4 2 2" xfId="31947"/>
    <cellStyle name="Normal 3 6 2 5 4 2 2" xfId="31948"/>
    <cellStyle name="Comma 2 3 5 5 2 2" xfId="31949"/>
    <cellStyle name="Comma 3 2 5 5 2 2" xfId="31950"/>
    <cellStyle name="Percent 4 2 5 4 2 2" xfId="31951"/>
    <cellStyle name="Normal 3 7 2 5 4 2 2" xfId="31952"/>
    <cellStyle name="Note 3 2 5 4 2 2" xfId="31953"/>
    <cellStyle name="20% - Accent1 2 2 5 4 2 2" xfId="31954"/>
    <cellStyle name="40% - Accent1 2 2 5 4 2 2" xfId="31955"/>
    <cellStyle name="60% - Accent1 2 2 5 4 2 2" xfId="31956"/>
    <cellStyle name="20% - Accent2 2 2 5 4 2 2" xfId="31957"/>
    <cellStyle name="40% - Accent2 2 2 5 4 2 2" xfId="31958"/>
    <cellStyle name="60% - Accent2 2 2 5 4 2 2" xfId="31959"/>
    <cellStyle name="20% - Accent3 2 2 5 4 2 2" xfId="31960"/>
    <cellStyle name="40% - Accent3 2 2 5 4 2 2" xfId="31961"/>
    <cellStyle name="60% - Accent3 2 2 5 4 2 2" xfId="31962"/>
    <cellStyle name="20% - Accent4 2 2 5 4 2 2" xfId="31963"/>
    <cellStyle name="40% - Accent4 2 2 5 4 2 2" xfId="31964"/>
    <cellStyle name="60% - Accent4 2 2 5 4 2 2" xfId="31965"/>
    <cellStyle name="20% - Accent5 2 2 5 4 2 2" xfId="31966"/>
    <cellStyle name="40% - Accent5 2 2 5 4 2 2" xfId="31967"/>
    <cellStyle name="60% - Accent5 2 2 5 4 2 2" xfId="31968"/>
    <cellStyle name="20% - Accent6 2 2 5 4 2 2" xfId="31969"/>
    <cellStyle name="40% - Accent6 2 2 5 4 2 2" xfId="31970"/>
    <cellStyle name="60% - Accent6 2 2 5 4 2 2" xfId="31971"/>
    <cellStyle name="Comma 2 2 2 5 5 2 2" xfId="31972"/>
    <cellStyle name="Comma 4 2 5 5 2 2" xfId="31973"/>
    <cellStyle name="Normal 3 8 2 5 4 2 2" xfId="31974"/>
    <cellStyle name="Normal 8 4 4 2 2" xfId="31975"/>
    <cellStyle name="Comma 6 4 5 2 2" xfId="31976"/>
    <cellStyle name="20% - Accent1 4 4 4 2 2" xfId="31977"/>
    <cellStyle name="40% - Accent1 4 4 4 2 2" xfId="31978"/>
    <cellStyle name="60% - Accent1 4 4 4 2 2" xfId="31979"/>
    <cellStyle name="20% - Accent2 4 4 4 2 2" xfId="31980"/>
    <cellStyle name="40% - Accent2 4 4 4 2 2" xfId="31981"/>
    <cellStyle name="60% - Accent2 4 4 4 2 2" xfId="31982"/>
    <cellStyle name="20% - Accent3 4 4 4 2 2" xfId="31983"/>
    <cellStyle name="40% - Accent3 4 4 4 2 2" xfId="31984"/>
    <cellStyle name="60% - Accent3 4 4 4 2 2" xfId="31985"/>
    <cellStyle name="20% - Accent4 4 4 4 2 2" xfId="31986"/>
    <cellStyle name="40% - Accent4 4 4 4 2 2" xfId="31987"/>
    <cellStyle name="60% - Accent4 4 4 4 2 2" xfId="31988"/>
    <cellStyle name="20% - Accent5 4 4 4 2 2" xfId="31989"/>
    <cellStyle name="40% - Accent5 4 4 4 2 2" xfId="31990"/>
    <cellStyle name="60% - Accent5 4 4 4 2 2" xfId="31991"/>
    <cellStyle name="20% - Accent6 4 4 4 2 2" xfId="31992"/>
    <cellStyle name="40% - Accent6 4 4 4 2 2" xfId="31993"/>
    <cellStyle name="60% - Accent6 4 4 4 2 2" xfId="31994"/>
    <cellStyle name="Normal 3 2 4 4 4 2 2" xfId="31995"/>
    <cellStyle name="Normal 3 3 4 4 4 2 2" xfId="31996"/>
    <cellStyle name="Normal 3 4 4 4 4 2 2" xfId="31997"/>
    <cellStyle name="Normal 3 5 4 4 4 2 2" xfId="31998"/>
    <cellStyle name="Normal 3 2 2 3 4 4 2 2" xfId="31999"/>
    <cellStyle name="Normal 3 3 2 3 4 4 2 2" xfId="32000"/>
    <cellStyle name="Normal 3 4 2 3 4 4 2 2" xfId="32001"/>
    <cellStyle name="Normal 3 5 2 3 4 4 2 2" xfId="32002"/>
    <cellStyle name="Normal 5 3 4 4 2 2" xfId="32003"/>
    <cellStyle name="Percent 3 3 4 4 2 2" xfId="32004"/>
    <cellStyle name="Note 2 3 4 4 2 2" xfId="32005"/>
    <cellStyle name="Normal 3 6 3 4 4 2 2" xfId="32006"/>
    <cellStyle name="Comma 2 5 4 5 2 2" xfId="32007"/>
    <cellStyle name="Comma 3 4 4 5 2 2" xfId="32008"/>
    <cellStyle name="Percent 4 3 4 4 2 2" xfId="32009"/>
    <cellStyle name="Normal 3 7 3 4 4 2 2" xfId="32010"/>
    <cellStyle name="Note 3 3 4 4 2 2" xfId="32011"/>
    <cellStyle name="20% - Accent1 2 3 4 4 2 2" xfId="32012"/>
    <cellStyle name="40% - Accent1 2 3 4 4 2 2" xfId="32013"/>
    <cellStyle name="60% - Accent1 2 3 4 4 2 2" xfId="32014"/>
    <cellStyle name="20% - Accent2 2 3 4 4 2 2" xfId="32015"/>
    <cellStyle name="40% - Accent2 2 3 4 4 2 2" xfId="32016"/>
    <cellStyle name="60% - Accent2 2 3 4 4 2 2" xfId="32017"/>
    <cellStyle name="20% - Accent3 2 3 4 4 2 2" xfId="32018"/>
    <cellStyle name="40% - Accent3 2 3 4 4 2 2" xfId="32019"/>
    <cellStyle name="60% - Accent3 2 3 4 4 2 2" xfId="32020"/>
    <cellStyle name="20% - Accent4 2 3 4 4 2 2" xfId="32021"/>
    <cellStyle name="40% - Accent4 2 3 4 4 2 2" xfId="32022"/>
    <cellStyle name="60% - Accent4 2 3 4 4 2 2" xfId="32023"/>
    <cellStyle name="20% - Accent5 2 3 4 4 2 2" xfId="32024"/>
    <cellStyle name="40% - Accent5 2 3 4 4 2 2" xfId="32025"/>
    <cellStyle name="60% - Accent5 2 3 4 4 2 2" xfId="32026"/>
    <cellStyle name="20% - Accent6 2 3 4 4 2 2" xfId="32027"/>
    <cellStyle name="40% - Accent6 2 3 4 4 2 2" xfId="32028"/>
    <cellStyle name="60% - Accent6 2 3 4 4 2 2" xfId="32029"/>
    <cellStyle name="Comma 2 2 4 4 5 2 2" xfId="32030"/>
    <cellStyle name="Comma 4 4 4 5 2 2" xfId="32031"/>
    <cellStyle name="Normal 3 8 3 4 4 2 2" xfId="32032"/>
    <cellStyle name="Comma 2 4 4 5 2 2" xfId="32033"/>
    <cellStyle name="Comma 3 3 4 5 2 2" xfId="32034"/>
    <cellStyle name="Comma 2 2 3 4 5 2 2" xfId="32035"/>
    <cellStyle name="Comma 4 3 4 5 2 2" xfId="32036"/>
    <cellStyle name="Normal 7 2 4 4 2 2" xfId="32037"/>
    <cellStyle name="Comma 5 2 4 5 2 2" xfId="32038"/>
    <cellStyle name="20% - Accent1 3 2 4 4 2 2" xfId="32039"/>
    <cellStyle name="40% - Accent1 3 2 4 4 2 2" xfId="32040"/>
    <cellStyle name="60% - Accent1 3 2 4 4 2 2" xfId="32041"/>
    <cellStyle name="20% - Accent2 3 2 4 4 2 2" xfId="32042"/>
    <cellStyle name="40% - Accent2 3 2 4 4 2 2" xfId="32043"/>
    <cellStyle name="60% - Accent2 3 2 4 4 2 2" xfId="32044"/>
    <cellStyle name="20% - Accent3 3 2 4 4 2 2" xfId="32045"/>
    <cellStyle name="40% - Accent3 3 2 4 4 2 2" xfId="32046"/>
    <cellStyle name="60% - Accent3 3 2 4 4 2 2" xfId="32047"/>
    <cellStyle name="20% - Accent4 3 2 4 4 2 2" xfId="32048"/>
    <cellStyle name="40% - Accent4 3 2 4 4 2 2" xfId="32049"/>
    <cellStyle name="60% - Accent4 3 2 4 4 2 2" xfId="32050"/>
    <cellStyle name="20% - Accent5 3 2 4 4 2 2" xfId="32051"/>
    <cellStyle name="40% - Accent5 3 2 4 4 2 2" xfId="32052"/>
    <cellStyle name="60% - Accent5 3 2 4 4 2 2" xfId="32053"/>
    <cellStyle name="20% - Accent6 3 2 4 4 2 2" xfId="32054"/>
    <cellStyle name="40% - Accent6 3 2 4 4 2 2" xfId="32055"/>
    <cellStyle name="60% - Accent6 3 2 4 4 2 2" xfId="32056"/>
    <cellStyle name="Normal 3 2 3 2 4 4 2 2" xfId="32057"/>
    <cellStyle name="Normal 3 3 3 2 4 4 2 2" xfId="32058"/>
    <cellStyle name="Normal 3 4 3 2 4 4 2 2" xfId="32059"/>
    <cellStyle name="Normal 3 5 3 2 4 4 2 2" xfId="32060"/>
    <cellStyle name="Normal 3 2 2 2 2 4 4 2 2" xfId="32061"/>
    <cellStyle name="Normal 3 3 2 2 2 4 4 2 2" xfId="32062"/>
    <cellStyle name="Normal 3 4 2 2 2 4 4 2 2" xfId="32063"/>
    <cellStyle name="Normal 3 5 2 2 2 4 4 2 2" xfId="32064"/>
    <cellStyle name="Normal 5 2 2 4 4 2 2" xfId="32065"/>
    <cellStyle name="Percent 3 2 2 4 4 2 2" xfId="32066"/>
    <cellStyle name="Note 2 2 2 4 4 2 2" xfId="32067"/>
    <cellStyle name="Normal 3 6 2 2 4 4 2 2" xfId="32068"/>
    <cellStyle name="Comma 2 3 2 4 5 2 2" xfId="32069"/>
    <cellStyle name="Comma 3 2 2 4 5 2 2" xfId="32070"/>
    <cellStyle name="Percent 4 2 2 4 4 2 2" xfId="32071"/>
    <cellStyle name="Normal 3 7 2 2 4 4 2 2" xfId="32072"/>
    <cellStyle name="Note 3 2 2 4 4 2 2" xfId="32073"/>
    <cellStyle name="20% - Accent1 2 2 2 4 4 2 2" xfId="32074"/>
    <cellStyle name="40% - Accent1 2 2 2 4 4 2 2" xfId="32075"/>
    <cellStyle name="60% - Accent1 2 2 2 4 4 2 2" xfId="32076"/>
    <cellStyle name="20% - Accent2 2 2 2 4 4 2 2" xfId="32077"/>
    <cellStyle name="40% - Accent2 2 2 2 4 4 2 2" xfId="32078"/>
    <cellStyle name="60% - Accent2 2 2 2 4 4 2 2" xfId="32079"/>
    <cellStyle name="20% - Accent3 2 2 2 4 4 2 2" xfId="32080"/>
    <cellStyle name="40% - Accent3 2 2 2 4 4 2 2" xfId="32081"/>
    <cellStyle name="60% - Accent3 2 2 2 4 4 2 2" xfId="32082"/>
    <cellStyle name="20% - Accent4 2 2 2 4 4 2 2" xfId="32083"/>
    <cellStyle name="40% - Accent4 2 2 2 4 4 2 2" xfId="32084"/>
    <cellStyle name="60% - Accent4 2 2 2 4 4 2 2" xfId="32085"/>
    <cellStyle name="20% - Accent5 2 2 2 4 4 2 2" xfId="32086"/>
    <cellStyle name="40% - Accent5 2 2 2 4 4 2 2" xfId="32087"/>
    <cellStyle name="60% - Accent5 2 2 2 4 4 2 2" xfId="32088"/>
    <cellStyle name="20% - Accent6 2 2 2 4 4 2 2" xfId="32089"/>
    <cellStyle name="40% - Accent6 2 2 2 4 4 2 2" xfId="32090"/>
    <cellStyle name="60% - Accent6 2 2 2 4 4 2 2" xfId="32091"/>
    <cellStyle name="Comma 2 2 2 2 4 5 2 2" xfId="32092"/>
    <cellStyle name="Comma 4 2 2 4 5 2 2" xfId="32093"/>
    <cellStyle name="Normal 3 8 2 2 4 4 2 2" xfId="32094"/>
    <cellStyle name="Normal 3 10 4 4 2 2" xfId="32095"/>
    <cellStyle name="Normal 3 11 4 4 2 2" xfId="32096"/>
    <cellStyle name="Normal 12 4 2 2" xfId="32097"/>
    <cellStyle name="Percent 8 4 2 2" xfId="32098"/>
    <cellStyle name="Note 4 4 2 2" xfId="32099"/>
    <cellStyle name="20% - Accent1 8 4 2 2" xfId="32100"/>
    <cellStyle name="40% - Accent1 8 4 2 2" xfId="32101"/>
    <cellStyle name="60% - Accent1 8 4 2 2" xfId="32102"/>
    <cellStyle name="20% - Accent2 8 4 2 2" xfId="32103"/>
    <cellStyle name="40% - Accent2 8 4 2 2" xfId="32104"/>
    <cellStyle name="60% - Accent2 8 4 2 2" xfId="32105"/>
    <cellStyle name="20% - Accent3 8 4 2 2" xfId="32106"/>
    <cellStyle name="40% - Accent3 8 4 2 2" xfId="32107"/>
    <cellStyle name="60% - Accent3 8 4 2 2" xfId="32108"/>
    <cellStyle name="20% - Accent4 8 4 2 2" xfId="32109"/>
    <cellStyle name="40% - Accent4 8 4 2 2" xfId="32110"/>
    <cellStyle name="60% - Accent4 8 4 2 2" xfId="32111"/>
    <cellStyle name="20% - Accent5 8 4 2 2" xfId="32112"/>
    <cellStyle name="40% - Accent5 8 4 2 2" xfId="32113"/>
    <cellStyle name="60% - Accent5 8 4 2 2" xfId="32114"/>
    <cellStyle name="20% - Accent6 8 4 2 2" xfId="32115"/>
    <cellStyle name="40% - Accent6 8 4 2 2" xfId="32116"/>
    <cellStyle name="60% - Accent6 8 4 2 2" xfId="32117"/>
    <cellStyle name="Comma 2 9 5 2 2" xfId="32118"/>
    <cellStyle name="Comma 7 5 2 2" xfId="32119"/>
    <cellStyle name="Normal 13 6 2 2" xfId="32120"/>
    <cellStyle name="Comma 8 4 2 2" xfId="32121"/>
    <cellStyle name="20% - Accent1 9 4 2 2" xfId="32122"/>
    <cellStyle name="40% - Accent1 9 4 2 2" xfId="32123"/>
    <cellStyle name="60% - Accent1 9 4 2 2" xfId="32124"/>
    <cellStyle name="20% - Accent2 9 4 2 2" xfId="32125"/>
    <cellStyle name="40% - Accent2 9 4 2 2" xfId="32126"/>
    <cellStyle name="60% - Accent2 9 4 2 2" xfId="32127"/>
    <cellStyle name="20% - Accent3 9 4 2 2" xfId="32128"/>
    <cellStyle name="40% - Accent3 9 4 2 2" xfId="32129"/>
    <cellStyle name="60% - Accent3 9 4 2 2" xfId="32130"/>
    <cellStyle name="20% - Accent4 9 4 2 2" xfId="32131"/>
    <cellStyle name="40% - Accent4 9 4 2 2" xfId="32132"/>
    <cellStyle name="60% - Accent4 9 4 2 2" xfId="32133"/>
    <cellStyle name="20% - Accent5 9 4 2 2" xfId="32134"/>
    <cellStyle name="40% - Accent5 9 4 2 2" xfId="32135"/>
    <cellStyle name="60% - Accent5 9 4 2 2" xfId="32136"/>
    <cellStyle name="20% - Accent6 9 4 2 2" xfId="32137"/>
    <cellStyle name="40% - Accent6 9 4 2 2" xfId="32138"/>
    <cellStyle name="60% - Accent6 9 4 2 2" xfId="32139"/>
    <cellStyle name="Normal 3 2 8 4 2 2" xfId="32140"/>
    <cellStyle name="Normal 3 3 8 4 2 2" xfId="32141"/>
    <cellStyle name="Normal 3 4 8 4 2 2" xfId="32142"/>
    <cellStyle name="Normal 3 5 8 4 2 2" xfId="32143"/>
    <cellStyle name="Normal 3 2 2 7 4 2 2" xfId="32144"/>
    <cellStyle name="Normal 3 3 2 7 4 2 2" xfId="32145"/>
    <cellStyle name="Normal 3 4 2 7 4 2 2" xfId="32146"/>
    <cellStyle name="Normal 3 5 2 7 4 2 2" xfId="32147"/>
    <cellStyle name="Normal 5 7 4 2 2" xfId="32148"/>
    <cellStyle name="Percent 3 7 4 2 2" xfId="32149"/>
    <cellStyle name="Note 2 7 4 2 2" xfId="32150"/>
    <cellStyle name="Normal 3 6 7 4 2 2" xfId="32151"/>
    <cellStyle name="Comma 2 10 4 2 2" xfId="32152"/>
    <cellStyle name="Comma 3 9 4 2 2" xfId="32153"/>
    <cellStyle name="Percent 4 7 4 2 2" xfId="32154"/>
    <cellStyle name="Normal 3 7 7 4 2 2" xfId="32155"/>
    <cellStyle name="Note 3 7 4 2 2" xfId="32156"/>
    <cellStyle name="20% - Accent1 2 7 4 2 2" xfId="32157"/>
    <cellStyle name="40% - Accent1 2 7 4 2 2" xfId="32158"/>
    <cellStyle name="60% - Accent1 2 7 4 2 2" xfId="32159"/>
    <cellStyle name="20% - Accent2 2 7 4 2 2" xfId="32160"/>
    <cellStyle name="40% - Accent2 2 7 4 2 2" xfId="32161"/>
    <cellStyle name="60% - Accent2 2 7 4 2 2" xfId="32162"/>
    <cellStyle name="20% - Accent3 2 7 4 2 2" xfId="32163"/>
    <cellStyle name="40% - Accent3 2 7 4 2 2" xfId="32164"/>
    <cellStyle name="60% - Accent3 2 7 4 2 2" xfId="32165"/>
    <cellStyle name="20% - Accent4 2 7 4 2 2" xfId="32166"/>
    <cellStyle name="40% - Accent4 2 7 4 2 2" xfId="32167"/>
    <cellStyle name="60% - Accent4 2 7 4 2 2" xfId="32168"/>
    <cellStyle name="20% - Accent5 2 7 4 2 2" xfId="32169"/>
    <cellStyle name="40% - Accent5 2 7 4 2 2" xfId="32170"/>
    <cellStyle name="60% - Accent5 2 7 4 2 2" xfId="32171"/>
    <cellStyle name="20% - Accent6 2 7 4 2 2" xfId="32172"/>
    <cellStyle name="40% - Accent6 2 7 4 2 2" xfId="32173"/>
    <cellStyle name="60% - Accent6 2 7 4 2 2" xfId="32174"/>
    <cellStyle name="Comma 2 2 8 4 2 2" xfId="32175"/>
    <cellStyle name="Comma 4 8 4 2 2" xfId="32176"/>
    <cellStyle name="Normal 3 8 7 4 2 2" xfId="32177"/>
    <cellStyle name="Comma 2 4 5 4 2 2" xfId="32178"/>
    <cellStyle name="Comma 3 3 5 4 2 2" xfId="32179"/>
    <cellStyle name="Comma 2 2 3 5 4 2 2" xfId="32180"/>
    <cellStyle name="Comma 4 3 5 4 2 2" xfId="32181"/>
    <cellStyle name="Normal 7 6 4 2 2" xfId="32182"/>
    <cellStyle name="Comma 5 6 4 2 2" xfId="32183"/>
    <cellStyle name="20% - Accent1 3 6 4 2 2" xfId="32184"/>
    <cellStyle name="40% - Accent1 3 6 4 2 2" xfId="32185"/>
    <cellStyle name="60% - Accent1 3 6 4 2 2" xfId="32186"/>
    <cellStyle name="20% - Accent2 3 6 4 2 2" xfId="32187"/>
    <cellStyle name="40% - Accent2 3 6 4 2 2" xfId="32188"/>
    <cellStyle name="60% - Accent2 3 6 4 2 2" xfId="32189"/>
    <cellStyle name="20% - Accent3 3 6 4 2 2" xfId="32190"/>
    <cellStyle name="40% - Accent3 3 6 4 2 2" xfId="32191"/>
    <cellStyle name="60% - Accent3 3 6 4 2 2" xfId="32192"/>
    <cellStyle name="20% - Accent4 3 6 4 2 2" xfId="32193"/>
    <cellStyle name="40% - Accent4 3 6 4 2 2" xfId="32194"/>
    <cellStyle name="60% - Accent4 3 6 4 2 2" xfId="32195"/>
    <cellStyle name="20% - Accent5 3 6 4 2 2" xfId="32196"/>
    <cellStyle name="40% - Accent5 3 6 4 2 2" xfId="32197"/>
    <cellStyle name="60% - Accent5 3 6 4 2 2" xfId="32198"/>
    <cellStyle name="20% - Accent6 3 6 4 2 2" xfId="32199"/>
    <cellStyle name="40% - Accent6 3 6 4 2 2" xfId="32200"/>
    <cellStyle name="60% - Accent6 3 6 4 2 2" xfId="32201"/>
    <cellStyle name="Normal 3 2 3 6 4 2 2" xfId="32202"/>
    <cellStyle name="Normal 3 3 3 6 4 2 2" xfId="32203"/>
    <cellStyle name="Normal 3 4 3 6 4 2 2" xfId="32204"/>
    <cellStyle name="Normal 3 5 3 6 4 2 2" xfId="32205"/>
    <cellStyle name="Normal 3 2 2 2 6 4 2 2" xfId="32206"/>
    <cellStyle name="Normal 3 3 2 2 6 4 2 2" xfId="32207"/>
    <cellStyle name="Normal 3 4 2 2 6 4 2 2" xfId="32208"/>
    <cellStyle name="Normal 3 5 2 2 6 4 2 2" xfId="32209"/>
    <cellStyle name="Normal 5 2 6 4 2 2" xfId="32210"/>
    <cellStyle name="Percent 3 2 6 4 2 2" xfId="32211"/>
    <cellStyle name="Note 2 2 6 4 2 2" xfId="32212"/>
    <cellStyle name="Normal 3 6 2 6 4 2 2" xfId="32213"/>
    <cellStyle name="Comma 2 3 6 4 2 2" xfId="32214"/>
    <cellStyle name="Comma 3 2 6 4 2 2" xfId="32215"/>
    <cellStyle name="Percent 4 2 6 4 2 2" xfId="32216"/>
    <cellStyle name="Normal 3 7 2 6 4 2 2" xfId="32217"/>
    <cellStyle name="Note 3 2 6 4 2 2" xfId="32218"/>
    <cellStyle name="20% - Accent1 2 2 6 4 2 2" xfId="32219"/>
    <cellStyle name="40% - Accent1 2 2 6 4 2 2" xfId="32220"/>
    <cellStyle name="60% - Accent1 2 2 6 4 2 2" xfId="32221"/>
    <cellStyle name="20% - Accent2 2 2 6 4 2 2" xfId="32222"/>
    <cellStyle name="40% - Accent2 2 2 6 4 2 2" xfId="32223"/>
    <cellStyle name="60% - Accent2 2 2 6 4 2 2" xfId="32224"/>
    <cellStyle name="20% - Accent3 2 2 6 4 2 2" xfId="32225"/>
    <cellStyle name="40% - Accent3 2 2 6 4 2 2" xfId="32226"/>
    <cellStyle name="60% - Accent3 2 2 6 4 2 2" xfId="32227"/>
    <cellStyle name="20% - Accent4 2 2 6 4 2 2" xfId="32228"/>
    <cellStyle name="40% - Accent4 2 2 6 4 2 2" xfId="32229"/>
    <cellStyle name="60% - Accent4 2 2 6 4 2 2" xfId="32230"/>
    <cellStyle name="20% - Accent5 2 2 6 4 2 2" xfId="32231"/>
    <cellStyle name="40% - Accent5 2 2 6 4 2 2" xfId="32232"/>
    <cellStyle name="60% - Accent5 2 2 6 4 2 2" xfId="32233"/>
    <cellStyle name="20% - Accent6 2 2 6 4 2 2" xfId="32234"/>
    <cellStyle name="40% - Accent6 2 2 6 4 2 2" xfId="32235"/>
    <cellStyle name="60% - Accent6 2 2 6 4 2 2" xfId="32236"/>
    <cellStyle name="Comma 2 2 2 6 4 2 2" xfId="32237"/>
    <cellStyle name="Comma 4 2 6 4 2 2" xfId="32238"/>
    <cellStyle name="Normal 3 8 2 6 4 2 2" xfId="32239"/>
    <cellStyle name="20% - Accent1 10 3 2 2" xfId="32240"/>
    <cellStyle name="40% - Accent1 10 3 2 2" xfId="32241"/>
    <cellStyle name="60% - Accent1 10 3 2 2" xfId="32242"/>
    <cellStyle name="20% - Accent2 10 3 2 2" xfId="32243"/>
    <cellStyle name="40% - Accent2 10 3 2 2" xfId="32244"/>
    <cellStyle name="60% - Accent2 10 3 2 2" xfId="32245"/>
    <cellStyle name="20% - Accent3 10 3 2 2" xfId="32246"/>
    <cellStyle name="40% - Accent3 10 3 2 2" xfId="32247"/>
    <cellStyle name="60% - Accent3 10 3 2 2" xfId="32248"/>
    <cellStyle name="20% - Accent4 10 3 2 2" xfId="32249"/>
    <cellStyle name="40% - Accent4 10 3 2 2" xfId="32250"/>
    <cellStyle name="60% - Accent4 10 3 2 2" xfId="32251"/>
    <cellStyle name="20% - Accent5 10 3 2 2" xfId="32252"/>
    <cellStyle name="40% - Accent5 10 3 2 2" xfId="32253"/>
    <cellStyle name="60% - Accent5 10 3 2 2" xfId="32254"/>
    <cellStyle name="20% - Accent6 10 3 2 2" xfId="32255"/>
    <cellStyle name="40% - Accent6 10 3 2 2" xfId="32256"/>
    <cellStyle name="60% - Accent6 10 3 2 2" xfId="32257"/>
    <cellStyle name="Normal 3 2 9 3 2 2" xfId="32258"/>
    <cellStyle name="Normal 3 3 9 3 2 2" xfId="32259"/>
    <cellStyle name="Normal 3 4 9 3 2 2" xfId="32260"/>
    <cellStyle name="Normal 3 5 9 3 2 2" xfId="32261"/>
    <cellStyle name="Normal 3 2 2 8 3 2 2" xfId="32262"/>
    <cellStyle name="Normal 3 3 2 8 3 2 2" xfId="32263"/>
    <cellStyle name="Normal 3 4 2 8 3 2 2" xfId="32264"/>
    <cellStyle name="Normal 3 5 2 8 3 2 2" xfId="32265"/>
    <cellStyle name="Normal 5 8 3 2 2" xfId="32266"/>
    <cellStyle name="Percent 3 8 3 2 2" xfId="32267"/>
    <cellStyle name="Note 2 8 3 2 2" xfId="32268"/>
    <cellStyle name="Normal 3 6 8 3 2 2" xfId="32269"/>
    <cellStyle name="Comma 2 12 3 2 2" xfId="32270"/>
    <cellStyle name="Comma 3 11 3 2 2" xfId="32271"/>
    <cellStyle name="Percent 4 8 3 2 2" xfId="32272"/>
    <cellStyle name="Normal 3 7 8 3 2 2" xfId="32273"/>
    <cellStyle name="Note 3 8 3 2 2" xfId="32274"/>
    <cellStyle name="20% - Accent1 2 8 3 2 2" xfId="32275"/>
    <cellStyle name="40% - Accent1 2 8 3 2 2" xfId="32276"/>
    <cellStyle name="60% - Accent1 2 8 3 2 2" xfId="32277"/>
    <cellStyle name="20% - Accent2 2 8 3 2 2" xfId="32278"/>
    <cellStyle name="40% - Accent2 2 8 3 2 2" xfId="32279"/>
    <cellStyle name="60% - Accent2 2 8 3 2 2" xfId="32280"/>
    <cellStyle name="20% - Accent3 2 8 3 2 2" xfId="32281"/>
    <cellStyle name="40% - Accent3 2 8 3 2 2" xfId="32282"/>
    <cellStyle name="60% - Accent3 2 8 3 2 2" xfId="32283"/>
    <cellStyle name="20% - Accent4 2 8 3 2 2" xfId="32284"/>
    <cellStyle name="40% - Accent4 2 8 3 2 2" xfId="32285"/>
    <cellStyle name="60% - Accent4 2 8 3 2 2" xfId="32286"/>
    <cellStyle name="20% - Accent5 2 8 3 2 2" xfId="32287"/>
    <cellStyle name="40% - Accent5 2 8 3 2 2" xfId="32288"/>
    <cellStyle name="60% - Accent5 2 8 3 2 2" xfId="32289"/>
    <cellStyle name="20% - Accent6 2 8 3 2 2" xfId="32290"/>
    <cellStyle name="40% - Accent6 2 8 3 2 2" xfId="32291"/>
    <cellStyle name="60% - Accent6 2 8 3 2 2" xfId="32292"/>
    <cellStyle name="Comma 2 2 10 3 2 2" xfId="32293"/>
    <cellStyle name="Comma 4 10 3 2 2" xfId="32294"/>
    <cellStyle name="Normal 3 8 8 3 2 2" xfId="32295"/>
    <cellStyle name="Normal 7 7 3 2 2" xfId="32296"/>
    <cellStyle name="Comma 5 8 3 2 2" xfId="32297"/>
    <cellStyle name="20% - Accent1 3 7 3 2 2" xfId="32298"/>
    <cellStyle name="40% - Accent1 3 7 3 2 2" xfId="32299"/>
    <cellStyle name="60% - Accent1 3 7 3 2 2" xfId="32300"/>
    <cellStyle name="20% - Accent2 3 7 3 2 2" xfId="32301"/>
    <cellStyle name="40% - Accent2 3 7 3 2 2" xfId="32302"/>
    <cellStyle name="60% - Accent2 3 7 3 2 2" xfId="32303"/>
    <cellStyle name="20% - Accent3 3 7 3 2 2" xfId="32304"/>
    <cellStyle name="40% - Accent3 3 7 3 2 2" xfId="32305"/>
    <cellStyle name="60% - Accent3 3 7 3 2 2" xfId="32306"/>
    <cellStyle name="20% - Accent4 3 7 3 2 2" xfId="32307"/>
    <cellStyle name="40% - Accent4 3 7 3 2 2" xfId="32308"/>
    <cellStyle name="60% - Accent4 3 7 3 2 2" xfId="32309"/>
    <cellStyle name="20% - Accent5 3 7 3 2 2" xfId="32310"/>
    <cellStyle name="40% - Accent5 3 7 3 2 2" xfId="32311"/>
    <cellStyle name="60% - Accent5 3 7 3 2 2" xfId="32312"/>
    <cellStyle name="20% - Accent6 3 7 3 2 2" xfId="32313"/>
    <cellStyle name="40% - Accent6 3 7 3 2 2" xfId="32314"/>
    <cellStyle name="60% - Accent6 3 7 3 2 2" xfId="32315"/>
    <cellStyle name="Normal 3 2 3 7 3 2 2" xfId="32316"/>
    <cellStyle name="Normal 3 3 3 7 3 2 2" xfId="32317"/>
    <cellStyle name="Normal 3 4 3 7 3 2 2" xfId="32318"/>
    <cellStyle name="Normal 3 5 3 7 3 2 2" xfId="32319"/>
    <cellStyle name="Normal 3 2 2 2 7 3 2 2" xfId="32320"/>
    <cellStyle name="Normal 3 3 2 2 7 3 2 2" xfId="32321"/>
    <cellStyle name="Normal 3 4 2 2 7 3 2 2" xfId="32322"/>
    <cellStyle name="Normal 3 5 2 2 7 3 2 2" xfId="32323"/>
    <cellStyle name="Normal 5 2 7 3 2 2" xfId="32324"/>
    <cellStyle name="Percent 3 2 7 3 2 2" xfId="32325"/>
    <cellStyle name="Note 2 2 7 3 2 2" xfId="32326"/>
    <cellStyle name="Normal 3 6 2 7 3 2 2" xfId="32327"/>
    <cellStyle name="Comma 2 3 8 3 2 2" xfId="32328"/>
    <cellStyle name="Comma 3 2 8 3 2 2" xfId="32329"/>
    <cellStyle name="Percent 4 2 7 3 2 2" xfId="32330"/>
    <cellStyle name="Normal 3 7 2 7 3 2 2" xfId="32331"/>
    <cellStyle name="Note 3 2 7 3 2 2" xfId="32332"/>
    <cellStyle name="20% - Accent1 2 2 7 3 2 2" xfId="32333"/>
    <cellStyle name="40% - Accent1 2 2 7 3 2 2" xfId="32334"/>
    <cellStyle name="60% - Accent1 2 2 7 3 2 2" xfId="32335"/>
    <cellStyle name="20% - Accent2 2 2 7 3 2 2" xfId="32336"/>
    <cellStyle name="40% - Accent2 2 2 7 3 2 2" xfId="32337"/>
    <cellStyle name="60% - Accent2 2 2 7 3 2 2" xfId="32338"/>
    <cellStyle name="20% - Accent3 2 2 7 3 2 2" xfId="32339"/>
    <cellStyle name="40% - Accent3 2 2 7 3 2 2" xfId="32340"/>
    <cellStyle name="60% - Accent3 2 2 7 3 2 2" xfId="32341"/>
    <cellStyle name="20% - Accent4 2 2 7 3 2 2" xfId="32342"/>
    <cellStyle name="40% - Accent4 2 2 7 3 2 2" xfId="32343"/>
    <cellStyle name="60% - Accent4 2 2 7 3 2 2" xfId="32344"/>
    <cellStyle name="20% - Accent5 2 2 7 3 2 2" xfId="32345"/>
    <cellStyle name="40% - Accent5 2 2 7 3 2 2" xfId="32346"/>
    <cellStyle name="60% - Accent5 2 2 7 3 2 2" xfId="32347"/>
    <cellStyle name="20% - Accent6 2 2 7 3 2 2" xfId="32348"/>
    <cellStyle name="40% - Accent6 2 2 7 3 2 2" xfId="32349"/>
    <cellStyle name="60% - Accent6 2 2 7 3 2 2" xfId="32350"/>
    <cellStyle name="Comma 2 2 2 8 3 2 2" xfId="32351"/>
    <cellStyle name="Comma 4 2 8 3 2 2" xfId="32352"/>
    <cellStyle name="Normal 3 8 2 7 3 2 2" xfId="32353"/>
    <cellStyle name="Normal 8 5 3 2 2" xfId="32354"/>
    <cellStyle name="Comma 6 6 3 2 2" xfId="32355"/>
    <cellStyle name="20% - Accent1 4 5 3 2 2" xfId="32356"/>
    <cellStyle name="40% - Accent1 4 5 3 2 2" xfId="32357"/>
    <cellStyle name="60% - Accent1 4 5 3 2 2" xfId="32358"/>
    <cellStyle name="20% - Accent2 4 5 3 2 2" xfId="32359"/>
    <cellStyle name="40% - Accent2 4 5 3 2 2" xfId="32360"/>
    <cellStyle name="60% - Accent2 4 5 3 2 2" xfId="32361"/>
    <cellStyle name="20% - Accent3 4 5 3 2 2" xfId="32362"/>
    <cellStyle name="40% - Accent3 4 5 3 2 2" xfId="32363"/>
    <cellStyle name="60% - Accent3 4 5 3 2 2" xfId="32364"/>
    <cellStyle name="20% - Accent4 4 5 3 2 2" xfId="32365"/>
    <cellStyle name="40% - Accent4 4 5 3 2 2" xfId="32366"/>
    <cellStyle name="60% - Accent4 4 5 3 2 2" xfId="32367"/>
    <cellStyle name="20% - Accent5 4 5 3 2 2" xfId="32368"/>
    <cellStyle name="40% - Accent5 4 5 3 2 2" xfId="32369"/>
    <cellStyle name="60% - Accent5 4 5 3 2 2" xfId="32370"/>
    <cellStyle name="20% - Accent6 4 5 3 2 2" xfId="32371"/>
    <cellStyle name="40% - Accent6 4 5 3 2 2" xfId="32372"/>
    <cellStyle name="60% - Accent6 4 5 3 2 2" xfId="32373"/>
    <cellStyle name="Normal 3 2 4 5 3 2 2" xfId="32374"/>
    <cellStyle name="Normal 3 3 4 5 3 2 2" xfId="32375"/>
    <cellStyle name="Normal 3 4 4 5 3 2 2" xfId="32376"/>
    <cellStyle name="Normal 3 5 4 5 3 2 2" xfId="32377"/>
    <cellStyle name="Normal 3 2 2 3 5 3 2 2" xfId="32378"/>
    <cellStyle name="Normal 3 3 2 3 5 3 2 2" xfId="32379"/>
    <cellStyle name="Normal 3 4 2 3 5 3 2 2" xfId="32380"/>
    <cellStyle name="Normal 3 5 2 3 5 3 2 2" xfId="32381"/>
    <cellStyle name="Normal 5 3 5 3 2 2" xfId="32382"/>
    <cellStyle name="Percent 3 3 5 3 2 2" xfId="32383"/>
    <cellStyle name="Note 2 3 5 3 2 2" xfId="32384"/>
    <cellStyle name="Normal 3 6 3 5 3 2 2" xfId="32385"/>
    <cellStyle name="Comma 2 5 6 3 2 2" xfId="32386"/>
    <cellStyle name="Comma 3 4 6 3 2 2" xfId="32387"/>
    <cellStyle name="Percent 4 3 5 3 2 2" xfId="32388"/>
    <cellStyle name="Normal 3 7 3 5 3 2 2" xfId="32389"/>
    <cellStyle name="Note 3 3 5 3 2 2" xfId="32390"/>
    <cellStyle name="20% - Accent1 2 3 5 3 2 2" xfId="32391"/>
    <cellStyle name="40% - Accent1 2 3 5 3 2 2" xfId="32392"/>
    <cellStyle name="60% - Accent1 2 3 5 3 2 2" xfId="32393"/>
    <cellStyle name="20% - Accent2 2 3 5 3 2 2" xfId="32394"/>
    <cellStyle name="40% - Accent2 2 3 5 3 2 2" xfId="32395"/>
    <cellStyle name="60% - Accent2 2 3 5 3 2 2" xfId="32396"/>
    <cellStyle name="20% - Accent3 2 3 5 3 2 2" xfId="32397"/>
    <cellStyle name="40% - Accent3 2 3 5 3 2 2" xfId="32398"/>
    <cellStyle name="60% - Accent3 2 3 5 3 2 2" xfId="32399"/>
    <cellStyle name="20% - Accent4 2 3 5 3 2 2" xfId="32400"/>
    <cellStyle name="40% - Accent4 2 3 5 3 2 2" xfId="32401"/>
    <cellStyle name="60% - Accent4 2 3 5 3 2 2" xfId="32402"/>
    <cellStyle name="20% - Accent5 2 3 5 3 2 2" xfId="32403"/>
    <cellStyle name="40% - Accent5 2 3 5 3 2 2" xfId="32404"/>
    <cellStyle name="60% - Accent5 2 3 5 3 2 2" xfId="32405"/>
    <cellStyle name="20% - Accent6 2 3 5 3 2 2" xfId="32406"/>
    <cellStyle name="40% - Accent6 2 3 5 3 2 2" xfId="32407"/>
    <cellStyle name="60% - Accent6 2 3 5 3 2 2" xfId="32408"/>
    <cellStyle name="Comma 2 2 4 6 3 2 2" xfId="32409"/>
    <cellStyle name="Comma 4 4 6 3 2 2" xfId="32410"/>
    <cellStyle name="Normal 3 8 3 5 3 2 2" xfId="32411"/>
    <cellStyle name="Comma 2 4 7 3 2 2" xfId="32412"/>
    <cellStyle name="Comma 3 3 7 3 2 2" xfId="32413"/>
    <cellStyle name="Comma 2 2 3 7 3 2 2" xfId="32414"/>
    <cellStyle name="Comma 4 3 7 3 2 2" xfId="32415"/>
    <cellStyle name="Normal 7 2 5 3 2 2" xfId="32416"/>
    <cellStyle name="Comma 5 2 6 3 2 2" xfId="32417"/>
    <cellStyle name="20% - Accent1 3 2 5 3 2 2" xfId="32418"/>
    <cellStyle name="40% - Accent1 3 2 5 3 2 2" xfId="32419"/>
    <cellStyle name="60% - Accent1 3 2 5 3 2 2" xfId="32420"/>
    <cellStyle name="20% - Accent2 3 2 5 3 2 2" xfId="32421"/>
    <cellStyle name="40% - Accent2 3 2 5 3 2 2" xfId="32422"/>
    <cellStyle name="60% - Accent2 3 2 5 3 2 2" xfId="32423"/>
    <cellStyle name="20% - Accent3 3 2 5 3 2 2" xfId="32424"/>
    <cellStyle name="40% - Accent3 3 2 5 3 2 2" xfId="32425"/>
    <cellStyle name="60% - Accent3 3 2 5 3 2 2" xfId="32426"/>
    <cellStyle name="20% - Accent4 3 2 5 3 2 2" xfId="32427"/>
    <cellStyle name="40% - Accent4 3 2 5 3 2 2" xfId="32428"/>
    <cellStyle name="60% - Accent4 3 2 5 3 2 2" xfId="32429"/>
    <cellStyle name="20% - Accent5 3 2 5 3 2 2" xfId="32430"/>
    <cellStyle name="40% - Accent5 3 2 5 3 2 2" xfId="32431"/>
    <cellStyle name="60% - Accent5 3 2 5 3 2 2" xfId="32432"/>
    <cellStyle name="20% - Accent6 3 2 5 3 2 2" xfId="32433"/>
    <cellStyle name="40% - Accent6 3 2 5 3 2 2" xfId="32434"/>
    <cellStyle name="60% - Accent6 3 2 5 3 2 2" xfId="32435"/>
    <cellStyle name="Normal 3 2 3 2 5 3 2 2" xfId="32436"/>
    <cellStyle name="Normal 3 3 3 2 5 3 2 2" xfId="32437"/>
    <cellStyle name="Normal 3 4 3 2 5 3 2 2" xfId="32438"/>
    <cellStyle name="Normal 3 5 3 2 5 3 2 2" xfId="32439"/>
    <cellStyle name="Normal 3 2 2 2 2 5 3 2 2" xfId="32440"/>
    <cellStyle name="Normal 3 3 2 2 2 5 3 2 2" xfId="32441"/>
    <cellStyle name="Normal 3 4 2 2 2 5 3 2 2" xfId="32442"/>
    <cellStyle name="Normal 3 5 2 2 2 5 3 2 2" xfId="32443"/>
    <cellStyle name="Normal 5 2 2 5 3 2 2" xfId="32444"/>
    <cellStyle name="Percent 3 2 2 5 3 2 2" xfId="32445"/>
    <cellStyle name="Note 2 2 2 5 3 2 2" xfId="32446"/>
    <cellStyle name="Normal 3 6 2 2 5 3 2 2" xfId="32447"/>
    <cellStyle name="Comma 2 3 2 6 3 2 2" xfId="32448"/>
    <cellStyle name="Comma 3 2 2 6 3 2 2" xfId="32449"/>
    <cellStyle name="Percent 4 2 2 5 3 2 2" xfId="32450"/>
    <cellStyle name="Normal 3 7 2 2 5 3 2 2" xfId="32451"/>
    <cellStyle name="Note 3 2 2 5 3 2 2" xfId="32452"/>
    <cellStyle name="20% - Accent1 2 2 2 5 3 2 2" xfId="32453"/>
    <cellStyle name="40% - Accent1 2 2 2 5 3 2 2" xfId="32454"/>
    <cellStyle name="60% - Accent1 2 2 2 5 3 2 2" xfId="32455"/>
    <cellStyle name="20% - Accent2 2 2 2 5 3 2 2" xfId="32456"/>
    <cellStyle name="40% - Accent2 2 2 2 5 3 2 2" xfId="32457"/>
    <cellStyle name="60% - Accent2 2 2 2 5 3 2 2" xfId="32458"/>
    <cellStyle name="20% - Accent3 2 2 2 5 3 2 2" xfId="32459"/>
    <cellStyle name="40% - Accent3 2 2 2 5 3 2 2" xfId="32460"/>
    <cellStyle name="60% - Accent3 2 2 2 5 3 2 2" xfId="32461"/>
    <cellStyle name="20% - Accent4 2 2 2 5 3 2 2" xfId="32462"/>
    <cellStyle name="40% - Accent4 2 2 2 5 3 2 2" xfId="32463"/>
    <cellStyle name="60% - Accent4 2 2 2 5 3 2 2" xfId="32464"/>
    <cellStyle name="20% - Accent5 2 2 2 5 3 2 2" xfId="32465"/>
    <cellStyle name="40% - Accent5 2 2 2 5 3 2 2" xfId="32466"/>
    <cellStyle name="60% - Accent5 2 2 2 5 3 2 2" xfId="32467"/>
    <cellStyle name="20% - Accent6 2 2 2 5 3 2 2" xfId="32468"/>
    <cellStyle name="40% - Accent6 2 2 2 5 3 2 2" xfId="32469"/>
    <cellStyle name="60% - Accent6 2 2 2 5 3 2 2" xfId="32470"/>
    <cellStyle name="Comma 2 2 2 2 6 3 2 2" xfId="32471"/>
    <cellStyle name="Comma 4 2 2 6 3 2 2" xfId="32472"/>
    <cellStyle name="Normal 3 8 2 2 5 3 2 2" xfId="32473"/>
    <cellStyle name="Normal 3 10 5 3 2 2" xfId="32474"/>
    <cellStyle name="Normal 3 11 5 3 2 2" xfId="32475"/>
    <cellStyle name="Normal 3 12 3 3 2 2" xfId="32476"/>
    <cellStyle name="Normal 3 2 5 3 3 2 2" xfId="32477"/>
    <cellStyle name="Normal 3 3 5 3 3 2 2" xfId="32478"/>
    <cellStyle name="Normal 3 4 5 3 3 2 2" xfId="32479"/>
    <cellStyle name="Normal 3 5 5 3 3 2 2" xfId="32480"/>
    <cellStyle name="20% - Accent1 5 3 3 2 2" xfId="32481"/>
    <cellStyle name="40% - Accent1 5 3 3 2 2" xfId="32482"/>
    <cellStyle name="60% - Accent1 5 3 3 2 2" xfId="32483"/>
    <cellStyle name="20% - Accent2 5 3 3 2 2" xfId="32484"/>
    <cellStyle name="40% - Accent2 5 3 3 2 2" xfId="32485"/>
    <cellStyle name="60% - Accent2 5 3 3 2 2" xfId="32486"/>
    <cellStyle name="20% - Accent3 5 3 3 2 2" xfId="32487"/>
    <cellStyle name="40% - Accent3 5 3 3 2 2" xfId="32488"/>
    <cellStyle name="60% - Accent3 5 3 3 2 2" xfId="32489"/>
    <cellStyle name="20% - Accent4 5 3 3 2 2" xfId="32490"/>
    <cellStyle name="40% - Accent4 5 3 3 2 2" xfId="32491"/>
    <cellStyle name="60% - Accent4 5 3 3 2 2" xfId="32492"/>
    <cellStyle name="20% - Accent5 5 3 3 2 2" xfId="32493"/>
    <cellStyle name="40% - Accent5 5 3 3 2 2" xfId="32494"/>
    <cellStyle name="60% - Accent5 5 3 3 2 2" xfId="32495"/>
    <cellStyle name="20% - Accent6 5 3 3 2 2" xfId="32496"/>
    <cellStyle name="40% - Accent6 5 3 3 2 2" xfId="32497"/>
    <cellStyle name="60% - Accent6 5 3 3 2 2" xfId="32498"/>
    <cellStyle name="Normal 3 2 2 4 3 3 2 2" xfId="32499"/>
    <cellStyle name="Normal 3 3 2 4 3 3 2 2" xfId="32500"/>
    <cellStyle name="Normal 3 4 2 4 3 3 2 2" xfId="32501"/>
    <cellStyle name="Normal 3 5 2 4 3 3 2 2" xfId="32502"/>
    <cellStyle name="Normal 5 4 3 3 2 2" xfId="32503"/>
    <cellStyle name="Percent 3 4 3 3 2 2" xfId="32504"/>
    <cellStyle name="Note 2 4 3 3 2 2" xfId="32505"/>
    <cellStyle name="Normal 3 6 4 3 3 2 2" xfId="32506"/>
    <cellStyle name="Comma 2 6 4 3 2 2" xfId="32507"/>
    <cellStyle name="Comma 3 5 4 3 2 2" xfId="32508"/>
    <cellStyle name="Percent 4 4 3 3 2 2" xfId="32509"/>
    <cellStyle name="Normal 3 7 4 3 3 2 2" xfId="32510"/>
    <cellStyle name="Note 3 4 3 3 2 2" xfId="32511"/>
    <cellStyle name="20% - Accent1 2 4 3 3 2 2" xfId="32512"/>
    <cellStyle name="40% - Accent1 2 4 3 3 2 2" xfId="32513"/>
    <cellStyle name="60% - Accent1 2 4 3 3 2 2" xfId="32514"/>
    <cellStyle name="20% - Accent2 2 4 3 3 2 2" xfId="32515"/>
    <cellStyle name="40% - Accent2 2 4 3 3 2 2" xfId="32516"/>
    <cellStyle name="60% - Accent2 2 4 3 3 2 2" xfId="32517"/>
    <cellStyle name="20% - Accent3 2 4 3 3 2 2" xfId="32518"/>
    <cellStyle name="40% - Accent3 2 4 3 3 2 2" xfId="32519"/>
    <cellStyle name="60% - Accent3 2 4 3 3 2 2" xfId="32520"/>
    <cellStyle name="20% - Accent4 2 4 3 3 2 2" xfId="32521"/>
    <cellStyle name="40% - Accent4 2 4 3 3 2 2" xfId="32522"/>
    <cellStyle name="60% - Accent4 2 4 3 3 2 2" xfId="32523"/>
    <cellStyle name="20% - Accent5 2 4 3 3 2 2" xfId="32524"/>
    <cellStyle name="40% - Accent5 2 4 3 3 2 2" xfId="32525"/>
    <cellStyle name="60% - Accent5 2 4 3 3 2 2" xfId="32526"/>
    <cellStyle name="20% - Accent6 2 4 3 3 2 2" xfId="32527"/>
    <cellStyle name="40% - Accent6 2 4 3 3 2 2" xfId="32528"/>
    <cellStyle name="60% - Accent6 2 4 3 3 2 2" xfId="32529"/>
    <cellStyle name="Comma 2 2 5 4 3 2 2" xfId="32530"/>
    <cellStyle name="Comma 4 5 4 3 2 2" xfId="32531"/>
    <cellStyle name="Normal 3 8 4 3 3 2 2" xfId="32532"/>
    <cellStyle name="Normal 7 3 3 3 2 2" xfId="32533"/>
    <cellStyle name="Comma 5 3 4 3 2 2" xfId="32534"/>
    <cellStyle name="20% - Accent1 3 3 3 3 2 2" xfId="32535"/>
    <cellStyle name="40% - Accent1 3 3 3 3 2 2" xfId="32536"/>
    <cellStyle name="60% - Accent1 3 3 3 3 2 2" xfId="32537"/>
    <cellStyle name="20% - Accent2 3 3 3 3 2 2" xfId="32538"/>
    <cellStyle name="40% - Accent2 3 3 3 3 2 2" xfId="32539"/>
    <cellStyle name="60% - Accent2 3 3 3 3 2 2" xfId="32540"/>
    <cellStyle name="20% - Accent3 3 3 3 3 2 2" xfId="32541"/>
    <cellStyle name="40% - Accent3 3 3 3 3 2 2" xfId="32542"/>
    <cellStyle name="60% - Accent3 3 3 3 3 2 2" xfId="32543"/>
    <cellStyle name="20% - Accent4 3 3 3 3 2 2" xfId="32544"/>
    <cellStyle name="40% - Accent4 3 3 3 3 2 2" xfId="32545"/>
    <cellStyle name="60% - Accent4 3 3 3 3 2 2" xfId="32546"/>
    <cellStyle name="20% - Accent5 3 3 3 3 2 2" xfId="32547"/>
    <cellStyle name="40% - Accent5 3 3 3 3 2 2" xfId="32548"/>
    <cellStyle name="60% - Accent5 3 3 3 3 2 2" xfId="32549"/>
    <cellStyle name="20% - Accent6 3 3 3 3 2 2" xfId="32550"/>
    <cellStyle name="40% - Accent6 3 3 3 3 2 2" xfId="32551"/>
    <cellStyle name="60% - Accent6 3 3 3 3 2 2" xfId="32552"/>
    <cellStyle name="Normal 3 2 3 3 3 3 2 2" xfId="32553"/>
    <cellStyle name="Normal 3 3 3 3 3 3 2 2" xfId="32554"/>
    <cellStyle name="Normal 3 4 3 3 3 3 2 2" xfId="32555"/>
    <cellStyle name="Normal 3 5 3 3 3 3 2 2" xfId="32556"/>
    <cellStyle name="Normal 3 2 2 2 3 3 3 2 2" xfId="32557"/>
    <cellStyle name="Normal 3 3 2 2 3 3 3 2 2" xfId="32558"/>
    <cellStyle name="Normal 3 4 2 2 3 3 3 2 2" xfId="32559"/>
    <cellStyle name="Normal 3 5 2 2 3 3 3 2 2" xfId="32560"/>
    <cellStyle name="Normal 5 2 3 3 3 2 2" xfId="32561"/>
    <cellStyle name="Percent 3 2 3 3 3 2 2" xfId="32562"/>
    <cellStyle name="Note 2 2 3 3 3 2 2" xfId="32563"/>
    <cellStyle name="Normal 3 6 2 3 3 3 2 2" xfId="32564"/>
    <cellStyle name="Comma 2 3 3 4 3 2 2" xfId="32565"/>
    <cellStyle name="Comma 3 2 3 4 3 2 2" xfId="32566"/>
    <cellStyle name="Percent 4 2 3 3 3 2 2" xfId="32567"/>
    <cellStyle name="Normal 3 7 2 3 3 3 2 2" xfId="32568"/>
    <cellStyle name="Note 3 2 3 3 3 2 2" xfId="32569"/>
    <cellStyle name="20% - Accent1 2 2 3 3 3 2 2" xfId="32570"/>
    <cellStyle name="40% - Accent1 2 2 3 3 3 2 2" xfId="32571"/>
    <cellStyle name="60% - Accent1 2 2 3 3 3 2 2" xfId="32572"/>
    <cellStyle name="20% - Accent2 2 2 3 3 3 2 2" xfId="32573"/>
    <cellStyle name="40% - Accent2 2 2 3 3 3 2 2" xfId="32574"/>
    <cellStyle name="60% - Accent2 2 2 3 3 3 2 2" xfId="32575"/>
    <cellStyle name="20% - Accent3 2 2 3 3 3 2 2" xfId="32576"/>
    <cellStyle name="40% - Accent3 2 2 3 3 3 2 2" xfId="32577"/>
    <cellStyle name="60% - Accent3 2 2 3 3 3 2 2" xfId="32578"/>
    <cellStyle name="20% - Accent4 2 2 3 3 3 2 2" xfId="32579"/>
    <cellStyle name="40% - Accent4 2 2 3 3 3 2 2" xfId="32580"/>
    <cellStyle name="60% - Accent4 2 2 3 3 3 2 2" xfId="32581"/>
    <cellStyle name="20% - Accent5 2 2 3 3 3 2 2" xfId="32582"/>
    <cellStyle name="40% - Accent5 2 2 3 3 3 2 2" xfId="32583"/>
    <cellStyle name="60% - Accent5 2 2 3 3 3 2 2" xfId="32584"/>
    <cellStyle name="20% - Accent6 2 2 3 3 3 2 2" xfId="32585"/>
    <cellStyle name="40% - Accent6 2 2 3 3 3 2 2" xfId="32586"/>
    <cellStyle name="60% - Accent6 2 2 3 3 3 2 2" xfId="32587"/>
    <cellStyle name="Comma 2 2 2 3 4 3 2 2" xfId="32588"/>
    <cellStyle name="Comma 4 2 3 4 3 2 2" xfId="32589"/>
    <cellStyle name="Normal 3 8 2 3 3 3 2 2" xfId="32590"/>
    <cellStyle name="Normal 8 2 3 3 2 2" xfId="32591"/>
    <cellStyle name="Comma 6 2 4 3 2 2" xfId="32592"/>
    <cellStyle name="20% - Accent1 4 2 3 3 2 2" xfId="32593"/>
    <cellStyle name="40% - Accent1 4 2 3 3 2 2" xfId="32594"/>
    <cellStyle name="60% - Accent1 4 2 3 3 2 2" xfId="32595"/>
    <cellStyle name="20% - Accent2 4 2 3 3 2 2" xfId="32596"/>
    <cellStyle name="40% - Accent2 4 2 3 3 2 2" xfId="32597"/>
    <cellStyle name="60% - Accent2 4 2 3 3 2 2" xfId="32598"/>
    <cellStyle name="20% - Accent3 4 2 3 3 2 2" xfId="32599"/>
    <cellStyle name="40% - Accent3 4 2 3 3 2 2" xfId="32600"/>
    <cellStyle name="60% - Accent3 4 2 3 3 2 2" xfId="32601"/>
    <cellStyle name="20% - Accent4 4 2 3 3 2 2" xfId="32602"/>
    <cellStyle name="40% - Accent4 4 2 3 3 2 2" xfId="32603"/>
    <cellStyle name="60% - Accent4 4 2 3 3 2 2" xfId="32604"/>
    <cellStyle name="20% - Accent5 4 2 3 3 2 2" xfId="32605"/>
    <cellStyle name="40% - Accent5 4 2 3 3 2 2" xfId="32606"/>
    <cellStyle name="60% - Accent5 4 2 3 3 2 2" xfId="32607"/>
    <cellStyle name="20% - Accent6 4 2 3 3 2 2" xfId="32608"/>
    <cellStyle name="40% - Accent6 4 2 3 3 2 2" xfId="32609"/>
    <cellStyle name="60% - Accent6 4 2 3 3 2 2" xfId="32610"/>
    <cellStyle name="Normal 3 2 4 2 3 3 2 2" xfId="32611"/>
    <cellStyle name="Normal 3 3 4 2 3 3 2 2" xfId="32612"/>
    <cellStyle name="Normal 3 4 4 2 3 3 2 2" xfId="32613"/>
    <cellStyle name="Normal 3 5 4 2 3 3 2 2" xfId="32614"/>
    <cellStyle name="Normal 3 2 2 3 2 3 3 2 2" xfId="32615"/>
    <cellStyle name="Normal 3 3 2 3 2 3 3 2 2" xfId="32616"/>
    <cellStyle name="Normal 3 4 2 3 2 3 3 2 2" xfId="32617"/>
    <cellStyle name="Normal 3 5 2 3 2 3 3 2 2" xfId="32618"/>
    <cellStyle name="Normal 5 3 2 3 3 2 2" xfId="32619"/>
    <cellStyle name="Percent 3 3 2 3 3 2 2" xfId="32620"/>
    <cellStyle name="Note 2 3 2 3 3 2 2" xfId="32621"/>
    <cellStyle name="Normal 3 6 3 2 3 3 2 2" xfId="32622"/>
    <cellStyle name="Comma 2 5 2 4 3 2 2" xfId="32623"/>
    <cellStyle name="Comma 3 4 2 4 3 2 2" xfId="32624"/>
    <cellStyle name="Percent 4 3 2 3 3 2 2" xfId="32625"/>
    <cellStyle name="Normal 3 7 3 2 3 3 2 2" xfId="32626"/>
    <cellStyle name="Note 3 3 2 3 3 2 2" xfId="32627"/>
    <cellStyle name="20% - Accent1 2 3 2 3 3 2 2" xfId="32628"/>
    <cellStyle name="40% - Accent1 2 3 2 3 3 2 2" xfId="32629"/>
    <cellStyle name="60% - Accent1 2 3 2 3 3 2 2" xfId="32630"/>
    <cellStyle name="20% - Accent2 2 3 2 3 3 2 2" xfId="32631"/>
    <cellStyle name="40% - Accent2 2 3 2 3 3 2 2" xfId="3263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4" Type="http://schemas.openxmlformats.org/officeDocument/2006/relationships/calcChain" Target="calcChain.xml" /><Relationship Id="rId1" Type="http://schemas.openxmlformats.org/officeDocument/2006/relationships/theme" Target="theme/theme1.xml" /><Relationship Id="rId5" Type="http://schemas.openxmlformats.org/officeDocument/2006/relationships/worksheet" Target="worksheets/sheet2.xml" /><Relationship Id="rId9" Type="http://schemas.openxmlformats.org/officeDocument/2006/relationships/worksheet" Target="worksheets/sheet6.xml" /><Relationship Id="rId6" Type="http://schemas.openxmlformats.org/officeDocument/2006/relationships/worksheet" Target="worksheets/sheet3.xml" /><Relationship Id="rId15" Type="http://schemas.openxmlformats.org/officeDocument/2006/relationships/sheetMetadata" Target="metadata.xml" /><Relationship Id="rId2" Type="http://schemas.microsoft.com/office/2017/10/relationships/person" Target="persons/person.xml" /><Relationship Id="rId4" Type="http://schemas.openxmlformats.org/officeDocument/2006/relationships/worksheet" Target="worksheets/sheet1.xml" /><Relationship Id="rId10" Type="http://schemas.openxmlformats.org/officeDocument/2006/relationships/worksheet" Target="worksheets/sheet7.xml" /><Relationship Id="rId11" Type="http://schemas.openxmlformats.org/officeDocument/2006/relationships/worksheet" Target="worksheets/sheet8.xml" /><Relationship Id="rId12" Type="http://schemas.openxmlformats.org/officeDocument/2006/relationships/worksheet" Target="worksheets/sheet9.xml" /><Relationship Id="rId13" Type="http://schemas.openxmlformats.org/officeDocument/2006/relationships/sharedStrings" Target="sharedStrings.xml" /><Relationship Id="rId3" Type="http://schemas.openxmlformats.org/officeDocument/2006/relationships/styles" Target="styles.xml" /><Relationship Id="rId7" Type="http://schemas.openxmlformats.org/officeDocument/2006/relationships/worksheet" Target="worksheets/sheet4.xml" /><Relationship Id="rId8" Type="http://schemas.openxmlformats.org/officeDocument/2006/relationships/worksheet" Target="worksheets/sheet5.xml" 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 w="6350">
          <a:noFill/>
        </a:ln>
        <a:effectLst/>
      </c:spPr>
      <c:txPr>
        <a:bodyPr vert="horz" rot="0" spcFirstLastPara="1" vertOverflow="ellipsis" anchor="ctr" anchorCtr="1" wrap="square"/>
        <a:lstStyle/>
        <a:p>
          <a:pPr>
            <a:defRPr lang="en-US" sz="1400" b="0" i="0" u="none" baseline="0" kern="120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 cmpd="sng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DEMANDS!$G$100:$CK$100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1.00059707820663</c:v>
                </c:pt>
                <c:pt idx="6">
                  <c:v>1.0401763110023</c:v>
                </c:pt>
                <c:pt idx="7">
                  <c:v>1.08132112469243</c:v>
                </c:pt>
                <c:pt idx="8">
                  <c:v>1.12409344679213</c:v>
                </c:pt>
                <c:pt idx="9">
                  <c:v>1.12426175834363</c:v>
                </c:pt>
                <c:pt idx="10">
                  <c:v>1.12443009509657</c:v>
                </c:pt>
                <c:pt idx="11">
                  <c:v>1.12459845705473</c:v>
                </c:pt>
                <c:pt idx="12">
                  <c:v>1.12476684422188</c:v>
                </c:pt>
                <c:pt idx="13">
                  <c:v>1.1249352566018</c:v>
                </c:pt>
                <c:pt idx="14">
                  <c:v>1.13489326138152</c:v>
                </c:pt>
                <c:pt idx="15">
                  <c:v>1.14493941510903</c:v>
                </c:pt>
                <c:pt idx="16">
                  <c:v>1.15507449808491</c:v>
                </c:pt>
                <c:pt idx="17">
                  <c:v>1.16529929751703</c:v>
                </c:pt>
                <c:pt idx="18">
                  <c:v>1.17561460758167</c:v>
                </c:pt>
                <c:pt idx="19">
                  <c:v>1.18350010709105</c:v>
                </c:pt>
                <c:pt idx="20">
                  <c:v>1.19143849902122</c:v>
                </c:pt>
                <c:pt idx="21">
                  <c:v>1.199430138151</c:v>
                </c:pt>
                <c:pt idx="22">
                  <c:v>1.20747538163889</c:v>
                </c:pt>
                <c:pt idx="23">
                  <c:v>1.21557458903909</c:v>
                </c:pt>
                <c:pt idx="24">
                  <c:v>1.22193478778574</c:v>
                </c:pt>
                <c:pt idx="25">
                  <c:v>1.2283282647273</c:v>
                </c:pt>
                <c:pt idx="26">
                  <c:v>1.23475519398384</c:v>
                </c:pt>
                <c:pt idx="27">
                  <c:v>1.24121575058647</c:v>
                </c:pt>
                <c:pt idx="28">
                  <c:v>1.2477101104821</c:v>
                </c:pt>
                <c:pt idx="29">
                  <c:v>1.25425809440087</c:v>
                </c:pt>
                <c:pt idx="30">
                  <c:v>1.26084044214586</c:v>
                </c:pt>
                <c:pt idx="31">
                  <c:v>1.26745733405845</c:v>
                </c:pt>
                <c:pt idx="32">
                  <c:v>1.27410895142647</c:v>
                </c:pt>
                <c:pt idx="33">
                  <c:v>1.27410895142647</c:v>
                </c:pt>
                <c:pt idx="34">
                  <c:v>1.27410895142647</c:v>
                </c:pt>
                <c:pt idx="35">
                  <c:v>1.27410895142647</c:v>
                </c:pt>
                <c:pt idx="36">
                  <c:v>1.27410895142647</c:v>
                </c:pt>
                <c:pt idx="37">
                  <c:v>1.27410895142647</c:v>
                </c:pt>
                <c:pt idx="38">
                  <c:v>1.27410895142647</c:v>
                </c:pt>
                <c:pt idx="39">
                  <c:v>1.27410895142647</c:v>
                </c:pt>
                <c:pt idx="40">
                  <c:v>1.27410895142647</c:v>
                </c:pt>
                <c:pt idx="41">
                  <c:v>1.27410895142647</c:v>
                </c:pt>
                <c:pt idx="42">
                  <c:v>1.27410895142647</c:v>
                </c:pt>
                <c:pt idx="43">
                  <c:v>1.27410895142647</c:v>
                </c:pt>
                <c:pt idx="44">
                  <c:v>1.27410895142647</c:v>
                </c:pt>
                <c:pt idx="45">
                  <c:v>1.27410895142647</c:v>
                </c:pt>
                <c:pt idx="46">
                  <c:v>1.27410895142647</c:v>
                </c:pt>
                <c:pt idx="47">
                  <c:v>1.27410895142647</c:v>
                </c:pt>
                <c:pt idx="48">
                  <c:v>1.27410895142647</c:v>
                </c:pt>
                <c:pt idx="49">
                  <c:v>1.27410895142647</c:v>
                </c:pt>
                <c:pt idx="50">
                  <c:v>1.27410895142647</c:v>
                </c:pt>
                <c:pt idx="51">
                  <c:v>1.27410895142647</c:v>
                </c:pt>
                <c:pt idx="52">
                  <c:v>1.27410895142647</c:v>
                </c:pt>
                <c:pt idx="53">
                  <c:v>1.27410895142647</c:v>
                </c:pt>
                <c:pt idx="54">
                  <c:v>1.27410895142647</c:v>
                </c:pt>
                <c:pt idx="55">
                  <c:v>1.27410895142647</c:v>
                </c:pt>
                <c:pt idx="56">
                  <c:v>1.27410895142647</c:v>
                </c:pt>
                <c:pt idx="57">
                  <c:v>1.27410895142647</c:v>
                </c:pt>
                <c:pt idx="58">
                  <c:v>1.27410895142647</c:v>
                </c:pt>
                <c:pt idx="59">
                  <c:v>1.27410895142647</c:v>
                </c:pt>
                <c:pt idx="60">
                  <c:v>1.27410895142647</c:v>
                </c:pt>
                <c:pt idx="61">
                  <c:v>1.27410895142647</c:v>
                </c:pt>
                <c:pt idx="62">
                  <c:v>1.27410895142647</c:v>
                </c:pt>
                <c:pt idx="63">
                  <c:v>1.27410895142647</c:v>
                </c:pt>
                <c:pt idx="64">
                  <c:v>1.27410895142647</c:v>
                </c:pt>
                <c:pt idx="65">
                  <c:v>1.27410895142647</c:v>
                </c:pt>
                <c:pt idx="66">
                  <c:v>1.27410895142647</c:v>
                </c:pt>
                <c:pt idx="67">
                  <c:v>1.27410895142647</c:v>
                </c:pt>
                <c:pt idx="68">
                  <c:v>1.27410895142647</c:v>
                </c:pt>
                <c:pt idx="69">
                  <c:v>1.27410895142647</c:v>
                </c:pt>
                <c:pt idx="70">
                  <c:v>1.27410895142647</c:v>
                </c:pt>
                <c:pt idx="71">
                  <c:v>1.27410895142647</c:v>
                </c:pt>
                <c:pt idx="72">
                  <c:v>1.27410895142647</c:v>
                </c:pt>
                <c:pt idx="73">
                  <c:v>1.27410895142647</c:v>
                </c:pt>
                <c:pt idx="74">
                  <c:v>1.27410895142647</c:v>
                </c:pt>
                <c:pt idx="75">
                  <c:v>1.27410895142647</c:v>
                </c:pt>
                <c:pt idx="76">
                  <c:v>1.27410895142647</c:v>
                </c:pt>
                <c:pt idx="77">
                  <c:v>1.27410895142647</c:v>
                </c:pt>
                <c:pt idx="78">
                  <c:v>1.27410895142647</c:v>
                </c:pt>
                <c:pt idx="79">
                  <c:v>1.27410895142647</c:v>
                </c:pt>
                <c:pt idx="80">
                  <c:v>1.27410895142647</c:v>
                </c:pt>
                <c:pt idx="81">
                  <c:v>1.27410895142647</c:v>
                </c:pt>
                <c:pt idx="82">
                  <c:v>1.27410895142647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3D-40BB-B8D7-BAA5CF42BB74}"/>
            </c:ext>
          </c:extLst>
        </c:ser>
        <c:ser>
          <c:idx val="1"/>
          <c:order val="1"/>
          <c:spPr>
            <a:ln w="28575" cap="rnd" cmpd="sng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DEMANDS!$G$101:$CK$101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1.1216977256826</c:v>
                </c:pt>
                <c:pt idx="6">
                  <c:v>1.12849071006303</c:v>
                </c:pt>
                <c:pt idx="7">
                  <c:v>1.13545144625195</c:v>
                </c:pt>
                <c:pt idx="8">
                  <c:v>1.14258407922359</c:v>
                </c:pt>
                <c:pt idx="9">
                  <c:v>1.14989285618334</c:v>
                </c:pt>
                <c:pt idx="10">
                  <c:v>1.15738212894074</c:v>
                </c:pt>
                <c:pt idx="11">
                  <c:v>1.16505635668917</c:v>
                </c:pt>
                <c:pt idx="12">
                  <c:v>1.17292010886143</c:v>
                </c:pt>
                <c:pt idx="13">
                  <c:v>1.18097463030545</c:v>
                </c:pt>
                <c:pt idx="14">
                  <c:v>1.18922857473859</c:v>
                </c:pt>
                <c:pt idx="15">
                  <c:v>1.19768690773147</c:v>
                </c:pt>
                <c:pt idx="16">
                  <c:v>1.20635472060676</c:v>
                </c:pt>
                <c:pt idx="17">
                  <c:v>1.21523723328552</c:v>
                </c:pt>
                <c:pt idx="18">
                  <c:v>1.22433979830383</c:v>
                </c:pt>
                <c:pt idx="19">
                  <c:v>1.23366790437467</c:v>
                </c:pt>
                <c:pt idx="20">
                  <c:v>1.24322718012414</c:v>
                </c:pt>
                <c:pt idx="21">
                  <c:v>1.25302339783241</c:v>
                </c:pt>
                <c:pt idx="22">
                  <c:v>1.26306247779469</c:v>
                </c:pt>
                <c:pt idx="23">
                  <c:v>1.27335049247007</c:v>
                </c:pt>
                <c:pt idx="24">
                  <c:v>1.28389367048417</c:v>
                </c:pt>
                <c:pt idx="25">
                  <c:v>1.29469840168174</c:v>
                </c:pt>
                <c:pt idx="26">
                  <c:v>1.30577124144314</c:v>
                </c:pt>
                <c:pt idx="27">
                  <c:v>1.31711891566964</c:v>
                </c:pt>
                <c:pt idx="28">
                  <c:v>1.3287483259397</c:v>
                </c:pt>
                <c:pt idx="29">
                  <c:v>1.34066655437865</c:v>
                </c:pt>
                <c:pt idx="30">
                  <c:v>1.35288086979092</c:v>
                </c:pt>
                <c:pt idx="31">
                  <c:v>1.36539873281156</c:v>
                </c:pt>
                <c:pt idx="32">
                  <c:v>1.37822780207543</c:v>
                </c:pt>
                <c:pt idx="33">
                  <c:v>1.37822780207543</c:v>
                </c:pt>
                <c:pt idx="34">
                  <c:v>1.37822780207543</c:v>
                </c:pt>
                <c:pt idx="35">
                  <c:v>1.37822780207543</c:v>
                </c:pt>
                <c:pt idx="36">
                  <c:v>1.37822780207543</c:v>
                </c:pt>
                <c:pt idx="37">
                  <c:v>1.37822780207543</c:v>
                </c:pt>
                <c:pt idx="38">
                  <c:v>1.37822780207543</c:v>
                </c:pt>
                <c:pt idx="39">
                  <c:v>1.37822780207543</c:v>
                </c:pt>
                <c:pt idx="40">
                  <c:v>1.37822780207543</c:v>
                </c:pt>
                <c:pt idx="41">
                  <c:v>1.37822780207543</c:v>
                </c:pt>
                <c:pt idx="42">
                  <c:v>1.37822780207543</c:v>
                </c:pt>
                <c:pt idx="43">
                  <c:v>1.37822780207543</c:v>
                </c:pt>
                <c:pt idx="44">
                  <c:v>1.37822780207543</c:v>
                </c:pt>
                <c:pt idx="45">
                  <c:v>1.37822780207543</c:v>
                </c:pt>
                <c:pt idx="46">
                  <c:v>1.37822780207543</c:v>
                </c:pt>
                <c:pt idx="47">
                  <c:v>1.37822780207543</c:v>
                </c:pt>
                <c:pt idx="48">
                  <c:v>1.37822780207543</c:v>
                </c:pt>
                <c:pt idx="49">
                  <c:v>1.37822780207543</c:v>
                </c:pt>
                <c:pt idx="50">
                  <c:v>1.37822780207543</c:v>
                </c:pt>
                <c:pt idx="51">
                  <c:v>1.37822780207543</c:v>
                </c:pt>
                <c:pt idx="52">
                  <c:v>1.37822780207543</c:v>
                </c:pt>
                <c:pt idx="53">
                  <c:v>1.37822780207543</c:v>
                </c:pt>
                <c:pt idx="54">
                  <c:v>1.37822780207543</c:v>
                </c:pt>
                <c:pt idx="55">
                  <c:v>1.37822780207543</c:v>
                </c:pt>
                <c:pt idx="56">
                  <c:v>1.37822780207543</c:v>
                </c:pt>
                <c:pt idx="57">
                  <c:v>1.37822780207543</c:v>
                </c:pt>
                <c:pt idx="58">
                  <c:v>1.37822780207543</c:v>
                </c:pt>
                <c:pt idx="59">
                  <c:v>1.37822780207543</c:v>
                </c:pt>
                <c:pt idx="60">
                  <c:v>1.37822780207543</c:v>
                </c:pt>
                <c:pt idx="61">
                  <c:v>1.37822780207543</c:v>
                </c:pt>
                <c:pt idx="62">
                  <c:v>1.37822780207543</c:v>
                </c:pt>
                <c:pt idx="63">
                  <c:v>1.37822780207543</c:v>
                </c:pt>
                <c:pt idx="64">
                  <c:v>1.37822780207543</c:v>
                </c:pt>
                <c:pt idx="65">
                  <c:v>1.37822780207543</c:v>
                </c:pt>
                <c:pt idx="66">
                  <c:v>1.37822780207543</c:v>
                </c:pt>
                <c:pt idx="67">
                  <c:v>1.37822780207543</c:v>
                </c:pt>
                <c:pt idx="68">
                  <c:v>1.37822780207543</c:v>
                </c:pt>
                <c:pt idx="69">
                  <c:v>1.37822780207543</c:v>
                </c:pt>
                <c:pt idx="70">
                  <c:v>1.37822780207543</c:v>
                </c:pt>
                <c:pt idx="71">
                  <c:v>1.37822780207543</c:v>
                </c:pt>
                <c:pt idx="72">
                  <c:v>1.37822780207543</c:v>
                </c:pt>
                <c:pt idx="73">
                  <c:v>1.37822780207543</c:v>
                </c:pt>
                <c:pt idx="74">
                  <c:v>1.37822780207543</c:v>
                </c:pt>
                <c:pt idx="75">
                  <c:v>1.37822780207543</c:v>
                </c:pt>
                <c:pt idx="76">
                  <c:v>1.37822780207543</c:v>
                </c:pt>
                <c:pt idx="77">
                  <c:v>1.37822780207543</c:v>
                </c:pt>
                <c:pt idx="78">
                  <c:v>1.37822780207543</c:v>
                </c:pt>
                <c:pt idx="79">
                  <c:v>1.37822780207543</c:v>
                </c:pt>
                <c:pt idx="80">
                  <c:v>1.37822780207543</c:v>
                </c:pt>
                <c:pt idx="81">
                  <c:v>1.37822780207543</c:v>
                </c:pt>
                <c:pt idx="82">
                  <c:v>1.37822780207543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3D-40BB-B8D7-BAA5CF42BB74}"/>
            </c:ext>
          </c:extLst>
        </c:ser>
        <c:ser>
          <c:idx val="2"/>
          <c:order val="2"/>
          <c:spPr>
            <a:ln w="28575" cap="rnd" cmpd="sng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DEMANDS!$G$102:$CK$102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1.20558766819588</c:v>
                </c:pt>
                <c:pt idx="6">
                  <c:v>1.22995153687222</c:v>
                </c:pt>
                <c:pt idx="7">
                  <c:v>1.25342964597439</c:v>
                </c:pt>
                <c:pt idx="8">
                  <c:v>1.27612471173357</c:v>
                </c:pt>
                <c:pt idx="9">
                  <c:v>1.29807235236264</c:v>
                </c:pt>
                <c:pt idx="10">
                  <c:v>1.31942338556552</c:v>
                </c:pt>
                <c:pt idx="11">
                  <c:v>1.34032930827238</c:v>
                </c:pt>
                <c:pt idx="12">
                  <c:v>1.36078309559388</c:v>
                </c:pt>
                <c:pt idx="13">
                  <c:v>1.38086748408386</c:v>
                </c:pt>
                <c:pt idx="14">
                  <c:v>1.40057230865239</c:v>
                </c:pt>
                <c:pt idx="15">
                  <c:v>1.41995411235504</c:v>
                </c:pt>
                <c:pt idx="16">
                  <c:v>1.43904525126385</c:v>
                </c:pt>
                <c:pt idx="17">
                  <c:v>1.45781114879647</c:v>
                </c:pt>
                <c:pt idx="18">
                  <c:v>1.47624186405174</c:v>
                </c:pt>
                <c:pt idx="19">
                  <c:v>1.49432544457004</c:v>
                </c:pt>
                <c:pt idx="20">
                  <c:v>1.51205943306912</c:v>
                </c:pt>
                <c:pt idx="21">
                  <c:v>1.52940942546881</c:v>
                </c:pt>
                <c:pt idx="22">
                  <c:v>1.54636258126306</c:v>
                </c:pt>
                <c:pt idx="23">
                  <c:v>1.56292057374946</c:v>
                </c:pt>
                <c:pt idx="24">
                  <c:v>1.57906531678529</c:v>
                </c:pt>
                <c:pt idx="25">
                  <c:v>1.59477051604178</c:v>
                </c:pt>
                <c:pt idx="26">
                  <c:v>1.60997031090846</c:v>
                </c:pt>
                <c:pt idx="27">
                  <c:v>1.62465955704049</c:v>
                </c:pt>
                <c:pt idx="28">
                  <c:v>1.63884418906275</c:v>
                </c:pt>
                <c:pt idx="29">
                  <c:v>1.65250660087975</c:v>
                </c:pt>
                <c:pt idx="30">
                  <c:v>1.66564156809683</c:v>
                </c:pt>
                <c:pt idx="31">
                  <c:v>1.6782087923105</c:v>
                </c:pt>
                <c:pt idx="32">
                  <c:v>1.69022221606312</c:v>
                </c:pt>
                <c:pt idx="33">
                  <c:v>1.69022221606312</c:v>
                </c:pt>
                <c:pt idx="34">
                  <c:v>1.69022221606312</c:v>
                </c:pt>
                <c:pt idx="35">
                  <c:v>1.69022221606312</c:v>
                </c:pt>
                <c:pt idx="36">
                  <c:v>1.69022221606312</c:v>
                </c:pt>
                <c:pt idx="37">
                  <c:v>1.69022221606312</c:v>
                </c:pt>
                <c:pt idx="38">
                  <c:v>1.69022221606312</c:v>
                </c:pt>
                <c:pt idx="39">
                  <c:v>1.69022221606312</c:v>
                </c:pt>
                <c:pt idx="40">
                  <c:v>1.69022221606312</c:v>
                </c:pt>
                <c:pt idx="41">
                  <c:v>1.69022221606312</c:v>
                </c:pt>
                <c:pt idx="42">
                  <c:v>1.69022221606312</c:v>
                </c:pt>
                <c:pt idx="43">
                  <c:v>1.69022221606312</c:v>
                </c:pt>
                <c:pt idx="44">
                  <c:v>1.69022221606312</c:v>
                </c:pt>
                <c:pt idx="45">
                  <c:v>1.69022221606312</c:v>
                </c:pt>
                <c:pt idx="46">
                  <c:v>1.69022221606312</c:v>
                </c:pt>
                <c:pt idx="47">
                  <c:v>1.69022221606312</c:v>
                </c:pt>
                <c:pt idx="48">
                  <c:v>1.69022221606312</c:v>
                </c:pt>
                <c:pt idx="49">
                  <c:v>1.69022221606312</c:v>
                </c:pt>
                <c:pt idx="50">
                  <c:v>1.69022221606312</c:v>
                </c:pt>
                <c:pt idx="51">
                  <c:v>1.69022221606312</c:v>
                </c:pt>
                <c:pt idx="52">
                  <c:v>1.69022221606312</c:v>
                </c:pt>
                <c:pt idx="53">
                  <c:v>1.69022221606312</c:v>
                </c:pt>
                <c:pt idx="54">
                  <c:v>1.69022221606312</c:v>
                </c:pt>
                <c:pt idx="55">
                  <c:v>1.69022221606312</c:v>
                </c:pt>
                <c:pt idx="56">
                  <c:v>1.69022221606312</c:v>
                </c:pt>
                <c:pt idx="57">
                  <c:v>1.69022221606312</c:v>
                </c:pt>
                <c:pt idx="58">
                  <c:v>1.69022221606312</c:v>
                </c:pt>
                <c:pt idx="59">
                  <c:v>1.69022221606312</c:v>
                </c:pt>
                <c:pt idx="60">
                  <c:v>1.69022221606312</c:v>
                </c:pt>
                <c:pt idx="61">
                  <c:v>1.69022221606312</c:v>
                </c:pt>
                <c:pt idx="62">
                  <c:v>1.69022221606312</c:v>
                </c:pt>
                <c:pt idx="63">
                  <c:v>1.69022221606312</c:v>
                </c:pt>
                <c:pt idx="64">
                  <c:v>1.69022221606312</c:v>
                </c:pt>
                <c:pt idx="65">
                  <c:v>1.69022221606312</c:v>
                </c:pt>
                <c:pt idx="66">
                  <c:v>1.69022221606312</c:v>
                </c:pt>
                <c:pt idx="67">
                  <c:v>1.69022221606312</c:v>
                </c:pt>
                <c:pt idx="68">
                  <c:v>1.69022221606312</c:v>
                </c:pt>
                <c:pt idx="69">
                  <c:v>1.69022221606312</c:v>
                </c:pt>
                <c:pt idx="70">
                  <c:v>1.69022221606312</c:v>
                </c:pt>
                <c:pt idx="71">
                  <c:v>1.69022221606312</c:v>
                </c:pt>
                <c:pt idx="72">
                  <c:v>1.69022221606312</c:v>
                </c:pt>
                <c:pt idx="73">
                  <c:v>1.69022221606312</c:v>
                </c:pt>
                <c:pt idx="74">
                  <c:v>1.69022221606312</c:v>
                </c:pt>
                <c:pt idx="75">
                  <c:v>1.69022221606312</c:v>
                </c:pt>
                <c:pt idx="76">
                  <c:v>1.69022221606312</c:v>
                </c:pt>
                <c:pt idx="77">
                  <c:v>1.69022221606312</c:v>
                </c:pt>
                <c:pt idx="78">
                  <c:v>1.69022221606312</c:v>
                </c:pt>
                <c:pt idx="79">
                  <c:v>1.69022221606312</c:v>
                </c:pt>
                <c:pt idx="80">
                  <c:v>1.69022221606312</c:v>
                </c:pt>
                <c:pt idx="81">
                  <c:v>1.69022221606312</c:v>
                </c:pt>
                <c:pt idx="82">
                  <c:v>1.69022221606312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3D-40BB-B8D7-BAA5CF42BB74}"/>
            </c:ext>
          </c:extLst>
        </c:ser>
        <c:ser>
          <c:idx val="3"/>
          <c:order val="3"/>
          <c:spPr>
            <a:ln w="28575" cap="rnd" cmpd="sng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DEMANDS!$G$103:$CK$103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1.00059707820663</c:v>
                </c:pt>
                <c:pt idx="6">
                  <c:v>1.0401763110023</c:v>
                </c:pt>
                <c:pt idx="7">
                  <c:v>1.08132112469243</c:v>
                </c:pt>
                <c:pt idx="8">
                  <c:v>1.12409344679213</c:v>
                </c:pt>
                <c:pt idx="9">
                  <c:v>1.12426175834363</c:v>
                </c:pt>
                <c:pt idx="10">
                  <c:v>1.12443009509657</c:v>
                </c:pt>
                <c:pt idx="11">
                  <c:v>1.12459845705473</c:v>
                </c:pt>
                <c:pt idx="12">
                  <c:v>1.12476684422188</c:v>
                </c:pt>
                <c:pt idx="13">
                  <c:v>1.1249352566018</c:v>
                </c:pt>
                <c:pt idx="14">
                  <c:v>1.13489326138152</c:v>
                </c:pt>
                <c:pt idx="15">
                  <c:v>1.14493941510903</c:v>
                </c:pt>
                <c:pt idx="16">
                  <c:v>1.15507449808491</c:v>
                </c:pt>
                <c:pt idx="17">
                  <c:v>1.16529929751703</c:v>
                </c:pt>
                <c:pt idx="18">
                  <c:v>1.17561460758167</c:v>
                </c:pt>
                <c:pt idx="19">
                  <c:v>1.18350010709105</c:v>
                </c:pt>
                <c:pt idx="20">
                  <c:v>1.19143849902122</c:v>
                </c:pt>
                <c:pt idx="21">
                  <c:v>1.199430138151</c:v>
                </c:pt>
                <c:pt idx="22">
                  <c:v>1.20747538163889</c:v>
                </c:pt>
                <c:pt idx="23">
                  <c:v>1.21557458903909</c:v>
                </c:pt>
                <c:pt idx="24">
                  <c:v>1.22193478778574</c:v>
                </c:pt>
                <c:pt idx="25">
                  <c:v>1.2283282647273</c:v>
                </c:pt>
                <c:pt idx="26">
                  <c:v>1.23475519398384</c:v>
                </c:pt>
                <c:pt idx="27">
                  <c:v>1.24121575058647</c:v>
                </c:pt>
                <c:pt idx="28">
                  <c:v>1.2477101104821</c:v>
                </c:pt>
                <c:pt idx="29">
                  <c:v>1.25425809440087</c:v>
                </c:pt>
                <c:pt idx="30">
                  <c:v>1.26084044214586</c:v>
                </c:pt>
                <c:pt idx="31">
                  <c:v>1.26745733405845</c:v>
                </c:pt>
                <c:pt idx="32">
                  <c:v>1.27410895142647</c:v>
                </c:pt>
                <c:pt idx="33">
                  <c:v>1.27410895142647</c:v>
                </c:pt>
                <c:pt idx="34">
                  <c:v>1.27410895142647</c:v>
                </c:pt>
                <c:pt idx="35">
                  <c:v>1.27410895142647</c:v>
                </c:pt>
                <c:pt idx="36">
                  <c:v>1.27410895142647</c:v>
                </c:pt>
                <c:pt idx="37">
                  <c:v>1.27410895142647</c:v>
                </c:pt>
                <c:pt idx="38">
                  <c:v>1.27410895142647</c:v>
                </c:pt>
                <c:pt idx="39">
                  <c:v>1.27410895142647</c:v>
                </c:pt>
                <c:pt idx="40">
                  <c:v>1.27410895142647</c:v>
                </c:pt>
                <c:pt idx="41">
                  <c:v>1.27410895142647</c:v>
                </c:pt>
                <c:pt idx="42">
                  <c:v>1.27410895142647</c:v>
                </c:pt>
                <c:pt idx="43">
                  <c:v>1.27410895142647</c:v>
                </c:pt>
                <c:pt idx="44">
                  <c:v>1.27410895142647</c:v>
                </c:pt>
                <c:pt idx="45">
                  <c:v>1.27410895142647</c:v>
                </c:pt>
                <c:pt idx="46">
                  <c:v>1.27410895142647</c:v>
                </c:pt>
                <c:pt idx="47">
                  <c:v>1.27410895142647</c:v>
                </c:pt>
                <c:pt idx="48">
                  <c:v>1.27410895142647</c:v>
                </c:pt>
                <c:pt idx="49">
                  <c:v>1.27410895142647</c:v>
                </c:pt>
                <c:pt idx="50">
                  <c:v>1.27410895142647</c:v>
                </c:pt>
                <c:pt idx="51">
                  <c:v>1.27410895142647</c:v>
                </c:pt>
                <c:pt idx="52">
                  <c:v>1.27410895142647</c:v>
                </c:pt>
                <c:pt idx="53">
                  <c:v>1.27410895142647</c:v>
                </c:pt>
                <c:pt idx="54">
                  <c:v>1.27410895142647</c:v>
                </c:pt>
                <c:pt idx="55">
                  <c:v>1.27410895142647</c:v>
                </c:pt>
                <c:pt idx="56">
                  <c:v>1.27410895142647</c:v>
                </c:pt>
                <c:pt idx="57">
                  <c:v>1.27410895142647</c:v>
                </c:pt>
                <c:pt idx="58">
                  <c:v>1.27410895142647</c:v>
                </c:pt>
                <c:pt idx="59">
                  <c:v>1.27410895142647</c:v>
                </c:pt>
                <c:pt idx="60">
                  <c:v>1.27410895142647</c:v>
                </c:pt>
                <c:pt idx="61">
                  <c:v>1.27410895142647</c:v>
                </c:pt>
                <c:pt idx="62">
                  <c:v>1.27410895142647</c:v>
                </c:pt>
                <c:pt idx="63">
                  <c:v>1.27410895142647</c:v>
                </c:pt>
                <c:pt idx="64">
                  <c:v>1.27410895142647</c:v>
                </c:pt>
                <c:pt idx="65">
                  <c:v>1.27410895142647</c:v>
                </c:pt>
                <c:pt idx="66">
                  <c:v>1.27410895142647</c:v>
                </c:pt>
                <c:pt idx="67">
                  <c:v>1.27410895142647</c:v>
                </c:pt>
                <c:pt idx="68">
                  <c:v>1.27410895142647</c:v>
                </c:pt>
                <c:pt idx="69">
                  <c:v>1.27410895142647</c:v>
                </c:pt>
                <c:pt idx="70">
                  <c:v>1.27410895142647</c:v>
                </c:pt>
                <c:pt idx="71">
                  <c:v>1.27410895142647</c:v>
                </c:pt>
                <c:pt idx="72">
                  <c:v>1.27410895142647</c:v>
                </c:pt>
                <c:pt idx="73">
                  <c:v>1.27410895142647</c:v>
                </c:pt>
                <c:pt idx="74">
                  <c:v>1.27410895142647</c:v>
                </c:pt>
                <c:pt idx="75">
                  <c:v>1.27410895142647</c:v>
                </c:pt>
                <c:pt idx="76">
                  <c:v>1.27410895142647</c:v>
                </c:pt>
                <c:pt idx="77">
                  <c:v>1.27410895142647</c:v>
                </c:pt>
                <c:pt idx="78">
                  <c:v>1.27410895142647</c:v>
                </c:pt>
                <c:pt idx="79">
                  <c:v>1.27410895142647</c:v>
                </c:pt>
                <c:pt idx="80">
                  <c:v>1.27410895142647</c:v>
                </c:pt>
                <c:pt idx="81">
                  <c:v>1.27410895142647</c:v>
                </c:pt>
                <c:pt idx="82">
                  <c:v>1.27410895142647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3D-40BB-B8D7-BAA5CF42BB74}"/>
            </c:ext>
          </c:extLst>
        </c:ser>
        <c:ser>
          <c:idx val="4"/>
          <c:order val="4"/>
          <c:spPr>
            <a:ln w="28575" cap="rnd" cmpd="sng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DEMANDS!$G$104:$CK$104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0.895184946641768</c:v>
                </c:pt>
                <c:pt idx="6">
                  <c:v>0.899746294677514</c:v>
                </c:pt>
                <c:pt idx="7">
                  <c:v>0.904422733482486</c:v>
                </c:pt>
                <c:pt idx="8">
                  <c:v>0.909217263498669</c:v>
                </c:pt>
                <c:pt idx="9">
                  <c:v>0.91413296968774</c:v>
                </c:pt>
                <c:pt idx="10">
                  <c:v>0.919173023825584</c:v>
                </c:pt>
                <c:pt idx="11">
                  <c:v>0.924340689232769</c:v>
                </c:pt>
                <c:pt idx="12">
                  <c:v>0.929639324537369</c:v>
                </c:pt>
                <c:pt idx="13">
                  <c:v>0.935125166561548</c:v>
                </c:pt>
                <c:pt idx="14">
                  <c:v>0.940747318101348</c:v>
                </c:pt>
                <c:pt idx="15">
                  <c:v>0.946509296779586</c:v>
                </c:pt>
                <c:pt idx="16">
                  <c:v>0.952414722713968</c:v>
                </c:pt>
                <c:pt idx="17">
                  <c:v>0.958467322337468</c:v>
                </c:pt>
                <c:pt idx="18">
                  <c:v>0.964670932784398</c:v>
                </c:pt>
                <c:pt idx="19">
                  <c:v>0.97102950753815</c:v>
                </c:pt>
                <c:pt idx="20">
                  <c:v>0.977547120637883</c:v>
                </c:pt>
                <c:pt idx="21">
                  <c:v>0.984227973130195</c:v>
                </c:pt>
                <c:pt idx="22">
                  <c:v>0.991076398045486</c:v>
                </c:pt>
                <c:pt idx="23">
                  <c:v>0.99809686795564</c:v>
                </c:pt>
                <c:pt idx="24">
                  <c:v>1.0052940018531</c:v>
                </c:pt>
                <c:pt idx="25">
                  <c:v>1.01267257193657</c:v>
                </c:pt>
                <c:pt idx="26">
                  <c:v>1.02023751321495</c:v>
                </c:pt>
                <c:pt idx="27">
                  <c:v>1.02799393189997</c:v>
                </c:pt>
                <c:pt idx="28">
                  <c:v>1.03594711496388</c:v>
                </c:pt>
                <c:pt idx="29">
                  <c:v>1.04410254200447</c:v>
                </c:pt>
                <c:pt idx="30">
                  <c:v>1.05246589617586</c:v>
                </c:pt>
                <c:pt idx="31">
                  <c:v>1.06104307769031</c:v>
                </c:pt>
                <c:pt idx="32">
                  <c:v>1.06984021774153</c:v>
                </c:pt>
                <c:pt idx="33">
                  <c:v>1.06984021774153</c:v>
                </c:pt>
                <c:pt idx="34">
                  <c:v>1.06984021774153</c:v>
                </c:pt>
                <c:pt idx="35">
                  <c:v>1.06984021774153</c:v>
                </c:pt>
                <c:pt idx="36">
                  <c:v>1.06984021774153</c:v>
                </c:pt>
                <c:pt idx="37">
                  <c:v>1.06984021774153</c:v>
                </c:pt>
                <c:pt idx="38">
                  <c:v>1.06984021774153</c:v>
                </c:pt>
                <c:pt idx="39">
                  <c:v>1.06984021774153</c:v>
                </c:pt>
                <c:pt idx="40">
                  <c:v>1.06984021774153</c:v>
                </c:pt>
                <c:pt idx="41">
                  <c:v>1.06984021774153</c:v>
                </c:pt>
                <c:pt idx="42">
                  <c:v>1.06984021774153</c:v>
                </c:pt>
                <c:pt idx="43">
                  <c:v>1.06984021774153</c:v>
                </c:pt>
                <c:pt idx="44">
                  <c:v>1.06984021774153</c:v>
                </c:pt>
                <c:pt idx="45">
                  <c:v>1.06984021774153</c:v>
                </c:pt>
                <c:pt idx="46">
                  <c:v>1.06984021774153</c:v>
                </c:pt>
                <c:pt idx="47">
                  <c:v>1.06984021774153</c:v>
                </c:pt>
                <c:pt idx="48">
                  <c:v>1.06984021774153</c:v>
                </c:pt>
                <c:pt idx="49">
                  <c:v>1.06984021774153</c:v>
                </c:pt>
                <c:pt idx="50">
                  <c:v>1.06984021774153</c:v>
                </c:pt>
                <c:pt idx="51">
                  <c:v>1.06984021774153</c:v>
                </c:pt>
                <c:pt idx="52">
                  <c:v>1.06984021774153</c:v>
                </c:pt>
                <c:pt idx="53">
                  <c:v>1.06984021774153</c:v>
                </c:pt>
                <c:pt idx="54">
                  <c:v>1.06984021774153</c:v>
                </c:pt>
                <c:pt idx="55">
                  <c:v>1.06984021774153</c:v>
                </c:pt>
                <c:pt idx="56">
                  <c:v>1.06984021774153</c:v>
                </c:pt>
                <c:pt idx="57">
                  <c:v>1.06984021774153</c:v>
                </c:pt>
                <c:pt idx="58">
                  <c:v>1.06984021774153</c:v>
                </c:pt>
                <c:pt idx="59">
                  <c:v>1.06984021774153</c:v>
                </c:pt>
                <c:pt idx="60">
                  <c:v>1.06984021774153</c:v>
                </c:pt>
                <c:pt idx="61">
                  <c:v>1.06984021774153</c:v>
                </c:pt>
                <c:pt idx="62">
                  <c:v>1.06984021774153</c:v>
                </c:pt>
                <c:pt idx="63">
                  <c:v>1.06984021774153</c:v>
                </c:pt>
                <c:pt idx="64">
                  <c:v>1.06984021774153</c:v>
                </c:pt>
                <c:pt idx="65">
                  <c:v>1.06984021774153</c:v>
                </c:pt>
                <c:pt idx="66">
                  <c:v>1.06984021774153</c:v>
                </c:pt>
                <c:pt idx="67">
                  <c:v>1.06984021774153</c:v>
                </c:pt>
                <c:pt idx="68">
                  <c:v>1.06984021774153</c:v>
                </c:pt>
                <c:pt idx="69">
                  <c:v>1.06984021774153</c:v>
                </c:pt>
                <c:pt idx="70">
                  <c:v>1.06984021774153</c:v>
                </c:pt>
                <c:pt idx="71">
                  <c:v>1.06984021774153</c:v>
                </c:pt>
                <c:pt idx="72">
                  <c:v>1.06984021774153</c:v>
                </c:pt>
                <c:pt idx="73">
                  <c:v>1.06984021774153</c:v>
                </c:pt>
                <c:pt idx="74">
                  <c:v>1.06984021774153</c:v>
                </c:pt>
                <c:pt idx="75">
                  <c:v>1.06984021774153</c:v>
                </c:pt>
                <c:pt idx="76">
                  <c:v>1.06984021774153</c:v>
                </c:pt>
                <c:pt idx="77">
                  <c:v>1.06984021774153</c:v>
                </c:pt>
                <c:pt idx="78">
                  <c:v>1.06984021774153</c:v>
                </c:pt>
                <c:pt idx="79">
                  <c:v>1.06984021774153</c:v>
                </c:pt>
                <c:pt idx="80">
                  <c:v>1.06984021774153</c:v>
                </c:pt>
                <c:pt idx="81">
                  <c:v>1.06984021774153</c:v>
                </c:pt>
                <c:pt idx="82">
                  <c:v>1.06984021774153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3D-40BB-B8D7-BAA5CF42BB74}"/>
            </c:ext>
          </c:extLst>
        </c:ser>
        <c:ser>
          <c:idx val="5"/>
          <c:order val="5"/>
          <c:spPr>
            <a:ln w="28575" cap="rnd" cmpd="sng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DEMANDS!$G$105:$CK$105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1.01951498672291</c:v>
                </c:pt>
                <c:pt idx="6">
                  <c:v>1.0392671840991</c:v>
                </c:pt>
                <c:pt idx="7">
                  <c:v>1.05804518681749</c:v>
                </c:pt>
                <c:pt idx="8">
                  <c:v>1.07593734779239</c:v>
                </c:pt>
                <c:pt idx="9">
                  <c:v>1.09293944935709</c:v>
                </c:pt>
                <c:pt idx="10">
                  <c:v>1.10923061461654</c:v>
                </c:pt>
                <c:pt idx="11">
                  <c:v>1.1250067014413</c:v>
                </c:pt>
                <c:pt idx="12">
                  <c:v>1.1402233293513</c:v>
                </c:pt>
                <c:pt idx="13">
                  <c:v>1.1549783774323</c:v>
                </c:pt>
                <c:pt idx="14">
                  <c:v>1.16923014506999</c:v>
                </c:pt>
                <c:pt idx="15">
                  <c:v>1.18304487557075</c:v>
                </c:pt>
                <c:pt idx="16">
                  <c:v>1.19645256741523</c:v>
                </c:pt>
                <c:pt idx="17">
                  <c:v>1.20936868768534</c:v>
                </c:pt>
                <c:pt idx="18">
                  <c:v>1.22174781927331</c:v>
                </c:pt>
                <c:pt idx="19">
                  <c:v>1.23353902379695</c:v>
                </c:pt>
                <c:pt idx="20">
                  <c:v>1.24470670203952</c:v>
                </c:pt>
                <c:pt idx="21">
                  <c:v>1.25515454558485</c:v>
                </c:pt>
                <c:pt idx="22">
                  <c:v>1.2648222787014</c:v>
                </c:pt>
                <c:pt idx="23">
                  <c:v>1.27367550766704</c:v>
                </c:pt>
                <c:pt idx="24">
                  <c:v>1.2816406945165</c:v>
                </c:pt>
                <c:pt idx="25">
                  <c:v>1.28862462603412</c:v>
                </c:pt>
                <c:pt idx="26">
                  <c:v>1.29445098987985</c:v>
                </c:pt>
                <c:pt idx="27">
                  <c:v>1.29906066187137</c:v>
                </c:pt>
                <c:pt idx="28">
                  <c:v>1.30241495716553</c:v>
                </c:pt>
                <c:pt idx="29">
                  <c:v>1.30442738137336</c:v>
                </c:pt>
                <c:pt idx="30">
                  <c:v>1.30503332796377</c:v>
                </c:pt>
                <c:pt idx="31">
                  <c:v>1.30409530708043</c:v>
                </c:pt>
                <c:pt idx="32">
                  <c:v>1.30158751584931</c:v>
                </c:pt>
                <c:pt idx="33">
                  <c:v>1.30158751584931</c:v>
                </c:pt>
                <c:pt idx="34">
                  <c:v>1.30158751584931</c:v>
                </c:pt>
                <c:pt idx="35">
                  <c:v>1.30158751584931</c:v>
                </c:pt>
                <c:pt idx="36">
                  <c:v>1.30158751584931</c:v>
                </c:pt>
                <c:pt idx="37">
                  <c:v>1.30158751584931</c:v>
                </c:pt>
                <c:pt idx="38">
                  <c:v>1.30158751584931</c:v>
                </c:pt>
                <c:pt idx="39">
                  <c:v>1.30158751584931</c:v>
                </c:pt>
                <c:pt idx="40">
                  <c:v>1.30158751584931</c:v>
                </c:pt>
                <c:pt idx="41">
                  <c:v>1.30158751584931</c:v>
                </c:pt>
                <c:pt idx="42">
                  <c:v>1.30158751584931</c:v>
                </c:pt>
                <c:pt idx="43">
                  <c:v>1.30158751584931</c:v>
                </c:pt>
                <c:pt idx="44">
                  <c:v>1.30158751584931</c:v>
                </c:pt>
                <c:pt idx="45">
                  <c:v>1.30158751584931</c:v>
                </c:pt>
                <c:pt idx="46">
                  <c:v>1.30158751584931</c:v>
                </c:pt>
                <c:pt idx="47">
                  <c:v>1.30158751584931</c:v>
                </c:pt>
                <c:pt idx="48">
                  <c:v>1.30158751584931</c:v>
                </c:pt>
                <c:pt idx="49">
                  <c:v>1.30158751584931</c:v>
                </c:pt>
                <c:pt idx="50">
                  <c:v>1.30158751584931</c:v>
                </c:pt>
                <c:pt idx="51">
                  <c:v>1.30158751584931</c:v>
                </c:pt>
                <c:pt idx="52">
                  <c:v>1.30158751584931</c:v>
                </c:pt>
                <c:pt idx="53">
                  <c:v>1.30158751584931</c:v>
                </c:pt>
                <c:pt idx="54">
                  <c:v>1.30158751584931</c:v>
                </c:pt>
                <c:pt idx="55">
                  <c:v>1.30158751584931</c:v>
                </c:pt>
                <c:pt idx="56">
                  <c:v>1.30158751584931</c:v>
                </c:pt>
                <c:pt idx="57">
                  <c:v>1.30158751584931</c:v>
                </c:pt>
                <c:pt idx="58">
                  <c:v>1.30158751584931</c:v>
                </c:pt>
                <c:pt idx="59">
                  <c:v>1.30158751584931</c:v>
                </c:pt>
                <c:pt idx="60">
                  <c:v>1.30158751584931</c:v>
                </c:pt>
                <c:pt idx="61">
                  <c:v>1.30158751584931</c:v>
                </c:pt>
                <c:pt idx="62">
                  <c:v>1.30158751584931</c:v>
                </c:pt>
                <c:pt idx="63">
                  <c:v>1.30158751584931</c:v>
                </c:pt>
                <c:pt idx="64">
                  <c:v>1.30158751584931</c:v>
                </c:pt>
                <c:pt idx="65">
                  <c:v>1.30158751584931</c:v>
                </c:pt>
                <c:pt idx="66">
                  <c:v>1.30158751584931</c:v>
                </c:pt>
                <c:pt idx="67">
                  <c:v>1.30158751584931</c:v>
                </c:pt>
                <c:pt idx="68">
                  <c:v>1.30158751584931</c:v>
                </c:pt>
                <c:pt idx="69">
                  <c:v>1.30158751584931</c:v>
                </c:pt>
                <c:pt idx="70">
                  <c:v>1.30158751584931</c:v>
                </c:pt>
                <c:pt idx="71">
                  <c:v>1.30158751584931</c:v>
                </c:pt>
                <c:pt idx="72">
                  <c:v>1.30158751584931</c:v>
                </c:pt>
                <c:pt idx="73">
                  <c:v>1.30158751584931</c:v>
                </c:pt>
                <c:pt idx="74">
                  <c:v>1.30158751584931</c:v>
                </c:pt>
                <c:pt idx="75">
                  <c:v>1.30158751584931</c:v>
                </c:pt>
                <c:pt idx="76">
                  <c:v>1.30158751584931</c:v>
                </c:pt>
                <c:pt idx="77">
                  <c:v>1.30158751584931</c:v>
                </c:pt>
                <c:pt idx="78">
                  <c:v>1.30158751584931</c:v>
                </c:pt>
                <c:pt idx="79">
                  <c:v>1.30158751584931</c:v>
                </c:pt>
                <c:pt idx="80">
                  <c:v>1.30158751584931</c:v>
                </c:pt>
                <c:pt idx="81">
                  <c:v>1.30158751584931</c:v>
                </c:pt>
                <c:pt idx="82">
                  <c:v>1.30158751584931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3D-40BB-B8D7-BAA5CF42BB74}"/>
            </c:ext>
          </c:extLst>
        </c:ser>
        <c:ser>
          <c:idx val="6"/>
          <c:order val="6"/>
          <c:spPr>
            <a:ln w="28575" cap="rnd" cmpd="sng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DEMANDS!$G$106:$CK$106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1.00059707820663</c:v>
                </c:pt>
                <c:pt idx="6">
                  <c:v>1.0401763110023</c:v>
                </c:pt>
                <c:pt idx="7">
                  <c:v>1.08132112469243</c:v>
                </c:pt>
                <c:pt idx="8">
                  <c:v>1.12409344679213</c:v>
                </c:pt>
                <c:pt idx="9">
                  <c:v>1.12426175834363</c:v>
                </c:pt>
                <c:pt idx="10">
                  <c:v>1.12443009509657</c:v>
                </c:pt>
                <c:pt idx="11">
                  <c:v>1.12459845705473</c:v>
                </c:pt>
                <c:pt idx="12">
                  <c:v>1.12476684422188</c:v>
                </c:pt>
                <c:pt idx="13">
                  <c:v>1.1249352566018</c:v>
                </c:pt>
                <c:pt idx="14">
                  <c:v>1.13489326138152</c:v>
                </c:pt>
                <c:pt idx="15">
                  <c:v>1.14493941510903</c:v>
                </c:pt>
                <c:pt idx="16">
                  <c:v>1.15507449808491</c:v>
                </c:pt>
                <c:pt idx="17">
                  <c:v>1.16529929751703</c:v>
                </c:pt>
                <c:pt idx="18">
                  <c:v>1.17561460758167</c:v>
                </c:pt>
                <c:pt idx="19">
                  <c:v>1.18350010709105</c:v>
                </c:pt>
                <c:pt idx="20">
                  <c:v>1.19143849902122</c:v>
                </c:pt>
                <c:pt idx="21">
                  <c:v>1.199430138151</c:v>
                </c:pt>
                <c:pt idx="22">
                  <c:v>1.20747538163889</c:v>
                </c:pt>
                <c:pt idx="23">
                  <c:v>1.21557458903909</c:v>
                </c:pt>
                <c:pt idx="24">
                  <c:v>1.22193478778574</c:v>
                </c:pt>
                <c:pt idx="25">
                  <c:v>1.2283282647273</c:v>
                </c:pt>
                <c:pt idx="26">
                  <c:v>1.23475519398384</c:v>
                </c:pt>
                <c:pt idx="27">
                  <c:v>1.24121575058647</c:v>
                </c:pt>
                <c:pt idx="28">
                  <c:v>1.2477101104821</c:v>
                </c:pt>
                <c:pt idx="29">
                  <c:v>1.25425809440087</c:v>
                </c:pt>
                <c:pt idx="30">
                  <c:v>1.26084044214586</c:v>
                </c:pt>
                <c:pt idx="31">
                  <c:v>1.26745733405845</c:v>
                </c:pt>
                <c:pt idx="32">
                  <c:v>1.27410895142647</c:v>
                </c:pt>
                <c:pt idx="33">
                  <c:v>1.27410895142647</c:v>
                </c:pt>
                <c:pt idx="34">
                  <c:v>1.27410895142647</c:v>
                </c:pt>
                <c:pt idx="35">
                  <c:v>1.27410895142647</c:v>
                </c:pt>
                <c:pt idx="36">
                  <c:v>1.27410895142647</c:v>
                </c:pt>
                <c:pt idx="37">
                  <c:v>1.27410895142647</c:v>
                </c:pt>
                <c:pt idx="38">
                  <c:v>1.27410895142647</c:v>
                </c:pt>
                <c:pt idx="39">
                  <c:v>1.27410895142647</c:v>
                </c:pt>
                <c:pt idx="40">
                  <c:v>1.27410895142647</c:v>
                </c:pt>
                <c:pt idx="41">
                  <c:v>1.27410895142647</c:v>
                </c:pt>
                <c:pt idx="42">
                  <c:v>1.27410895142647</c:v>
                </c:pt>
                <c:pt idx="43">
                  <c:v>1.27410895142647</c:v>
                </c:pt>
                <c:pt idx="44">
                  <c:v>1.27410895142647</c:v>
                </c:pt>
                <c:pt idx="45">
                  <c:v>1.27410895142647</c:v>
                </c:pt>
                <c:pt idx="46">
                  <c:v>1.27410895142647</c:v>
                </c:pt>
                <c:pt idx="47">
                  <c:v>1.27410895142647</c:v>
                </c:pt>
                <c:pt idx="48">
                  <c:v>1.27410895142647</c:v>
                </c:pt>
                <c:pt idx="49">
                  <c:v>1.27410895142647</c:v>
                </c:pt>
                <c:pt idx="50">
                  <c:v>1.27410895142647</c:v>
                </c:pt>
                <c:pt idx="51">
                  <c:v>1.27410895142647</c:v>
                </c:pt>
                <c:pt idx="52">
                  <c:v>1.27410895142647</c:v>
                </c:pt>
                <c:pt idx="53">
                  <c:v>1.27410895142647</c:v>
                </c:pt>
                <c:pt idx="54">
                  <c:v>1.27410895142647</c:v>
                </c:pt>
                <c:pt idx="55">
                  <c:v>1.27410895142647</c:v>
                </c:pt>
                <c:pt idx="56">
                  <c:v>1.27410895142647</c:v>
                </c:pt>
                <c:pt idx="57">
                  <c:v>1.27410895142647</c:v>
                </c:pt>
                <c:pt idx="58">
                  <c:v>1.27410895142647</c:v>
                </c:pt>
                <c:pt idx="59">
                  <c:v>1.27410895142647</c:v>
                </c:pt>
                <c:pt idx="60">
                  <c:v>1.27410895142647</c:v>
                </c:pt>
                <c:pt idx="61">
                  <c:v>1.27410895142647</c:v>
                </c:pt>
                <c:pt idx="62">
                  <c:v>1.27410895142647</c:v>
                </c:pt>
                <c:pt idx="63">
                  <c:v>1.27410895142647</c:v>
                </c:pt>
                <c:pt idx="64">
                  <c:v>1.27410895142647</c:v>
                </c:pt>
                <c:pt idx="65">
                  <c:v>1.27410895142647</c:v>
                </c:pt>
                <c:pt idx="66">
                  <c:v>1.27410895142647</c:v>
                </c:pt>
                <c:pt idx="67">
                  <c:v>1.27410895142647</c:v>
                </c:pt>
                <c:pt idx="68">
                  <c:v>1.27410895142647</c:v>
                </c:pt>
                <c:pt idx="69">
                  <c:v>1.27410895142647</c:v>
                </c:pt>
                <c:pt idx="70">
                  <c:v>1.27410895142647</c:v>
                </c:pt>
                <c:pt idx="71">
                  <c:v>1.27410895142647</c:v>
                </c:pt>
                <c:pt idx="72">
                  <c:v>1.27410895142647</c:v>
                </c:pt>
                <c:pt idx="73">
                  <c:v>1.27410895142647</c:v>
                </c:pt>
                <c:pt idx="74">
                  <c:v>1.27410895142647</c:v>
                </c:pt>
                <c:pt idx="75">
                  <c:v>1.27410895142647</c:v>
                </c:pt>
                <c:pt idx="76">
                  <c:v>1.27410895142647</c:v>
                </c:pt>
                <c:pt idx="77">
                  <c:v>1.27410895142647</c:v>
                </c:pt>
                <c:pt idx="78">
                  <c:v>1.27410895142647</c:v>
                </c:pt>
                <c:pt idx="79">
                  <c:v>1.27410895142647</c:v>
                </c:pt>
                <c:pt idx="80">
                  <c:v>1.27410895142647</c:v>
                </c:pt>
                <c:pt idx="81">
                  <c:v>1.27410895142647</c:v>
                </c:pt>
                <c:pt idx="82">
                  <c:v>1.27410895142647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3D-40BB-B8D7-BAA5CF42BB74}"/>
            </c:ext>
          </c:extLst>
        </c:ser>
        <c:ser>
          <c:idx val="7"/>
          <c:order val="7"/>
          <c:spPr>
            <a:ln w="28575" cap="rnd" cmpd="sng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DEMANDS!$G$107:$CK$107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0.84607445067019</c:v>
                </c:pt>
                <c:pt idx="6">
                  <c:v>0.852914632366455</c:v>
                </c:pt>
                <c:pt idx="7">
                  <c:v>0.859923338824327</c:v>
                </c:pt>
                <c:pt idx="8">
                  <c:v>0.867104889706217</c:v>
                </c:pt>
                <c:pt idx="9">
                  <c:v>0.874463609190812</c:v>
                </c:pt>
                <c:pt idx="10">
                  <c:v>0.882004040447325</c:v>
                </c:pt>
                <c:pt idx="11">
                  <c:v>0.889730391639352</c:v>
                </c:pt>
                <c:pt idx="12">
                  <c:v>0.897647619864201</c:v>
                </c:pt>
                <c:pt idx="13">
                  <c:v>0.905760225101111</c:v>
                </c:pt>
                <c:pt idx="14">
                  <c:v>0.914073215940123</c:v>
                </c:pt>
                <c:pt idx="15">
                  <c:v>0.922591665782379</c:v>
                </c:pt>
                <c:pt idx="16">
                  <c:v>0.931320810053228</c:v>
                </c:pt>
                <c:pt idx="17">
                  <c:v>0.940265725631528</c:v>
                </c:pt>
                <c:pt idx="18">
                  <c:v>0.949431844831002</c:v>
                </c:pt>
                <c:pt idx="19">
                  <c:v>0.958824835239766</c:v>
                </c:pt>
                <c:pt idx="20">
                  <c:v>0.968450283244041</c:v>
                </c:pt>
                <c:pt idx="21">
                  <c:v>0.978313992440898</c:v>
                </c:pt>
                <c:pt idx="22">
                  <c:v>0.988421970172415</c:v>
                </c:pt>
                <c:pt idx="23">
                  <c:v>0.998780315987631</c:v>
                </c:pt>
                <c:pt idx="24">
                  <c:v>1.00939531046117</c:v>
                </c:pt>
                <c:pt idx="25">
                  <c:v>1.02027340273837</c:v>
                </c:pt>
                <c:pt idx="26">
                  <c:v>1.03142119842505</c:v>
                </c:pt>
                <c:pt idx="27">
                  <c:v>1.04284535246584</c:v>
                </c:pt>
                <c:pt idx="28">
                  <c:v>1.0545529398555</c:v>
                </c:pt>
                <c:pt idx="29">
                  <c:v>1.0665509639927</c:v>
                </c:pt>
                <c:pt idx="30">
                  <c:v>1.07884691202872</c:v>
                </c:pt>
                <c:pt idx="31">
                  <c:v>1.091448083096</c:v>
                </c:pt>
                <c:pt idx="32">
                  <c:v>1.10436232235368</c:v>
                </c:pt>
                <c:pt idx="33">
                  <c:v>1.10436232235368</c:v>
                </c:pt>
                <c:pt idx="34">
                  <c:v>1.10436232235368</c:v>
                </c:pt>
                <c:pt idx="35">
                  <c:v>1.10436232235368</c:v>
                </c:pt>
                <c:pt idx="36">
                  <c:v>1.10436232235368</c:v>
                </c:pt>
                <c:pt idx="37">
                  <c:v>1.10436232235368</c:v>
                </c:pt>
                <c:pt idx="38">
                  <c:v>1.10436232235368</c:v>
                </c:pt>
                <c:pt idx="39">
                  <c:v>1.10436232235368</c:v>
                </c:pt>
                <c:pt idx="40">
                  <c:v>1.10436232235368</c:v>
                </c:pt>
                <c:pt idx="41">
                  <c:v>1.10436232235368</c:v>
                </c:pt>
                <c:pt idx="42">
                  <c:v>1.10436232235368</c:v>
                </c:pt>
                <c:pt idx="43">
                  <c:v>1.10436232235368</c:v>
                </c:pt>
                <c:pt idx="44">
                  <c:v>1.10436232235368</c:v>
                </c:pt>
                <c:pt idx="45">
                  <c:v>1.10436232235368</c:v>
                </c:pt>
                <c:pt idx="46">
                  <c:v>1.10436232235368</c:v>
                </c:pt>
                <c:pt idx="47">
                  <c:v>1.10436232235368</c:v>
                </c:pt>
                <c:pt idx="48">
                  <c:v>1.10436232235368</c:v>
                </c:pt>
                <c:pt idx="49">
                  <c:v>1.10436232235368</c:v>
                </c:pt>
                <c:pt idx="50">
                  <c:v>1.10436232235368</c:v>
                </c:pt>
                <c:pt idx="51">
                  <c:v>1.10436232235368</c:v>
                </c:pt>
                <c:pt idx="52">
                  <c:v>1.10436232235368</c:v>
                </c:pt>
                <c:pt idx="53">
                  <c:v>1.10436232235368</c:v>
                </c:pt>
                <c:pt idx="54">
                  <c:v>1.10436232235368</c:v>
                </c:pt>
                <c:pt idx="55">
                  <c:v>1.10436232235368</c:v>
                </c:pt>
                <c:pt idx="56">
                  <c:v>1.10436232235368</c:v>
                </c:pt>
                <c:pt idx="57">
                  <c:v>1.10436232235368</c:v>
                </c:pt>
                <c:pt idx="58">
                  <c:v>1.10436232235368</c:v>
                </c:pt>
                <c:pt idx="59">
                  <c:v>1.10436232235368</c:v>
                </c:pt>
                <c:pt idx="60">
                  <c:v>1.10436232235368</c:v>
                </c:pt>
                <c:pt idx="61">
                  <c:v>1.10436232235368</c:v>
                </c:pt>
                <c:pt idx="62">
                  <c:v>1.10436232235368</c:v>
                </c:pt>
                <c:pt idx="63">
                  <c:v>1.10436232235368</c:v>
                </c:pt>
                <c:pt idx="64">
                  <c:v>1.10436232235368</c:v>
                </c:pt>
                <c:pt idx="65">
                  <c:v>1.10436232235368</c:v>
                </c:pt>
                <c:pt idx="66">
                  <c:v>1.10436232235368</c:v>
                </c:pt>
                <c:pt idx="67">
                  <c:v>1.10436232235368</c:v>
                </c:pt>
                <c:pt idx="68">
                  <c:v>1.10436232235368</c:v>
                </c:pt>
                <c:pt idx="69">
                  <c:v>1.10436232235368</c:v>
                </c:pt>
                <c:pt idx="70">
                  <c:v>1.10436232235368</c:v>
                </c:pt>
                <c:pt idx="71">
                  <c:v>1.10436232235368</c:v>
                </c:pt>
                <c:pt idx="72">
                  <c:v>1.10436232235368</c:v>
                </c:pt>
                <c:pt idx="73">
                  <c:v>1.10436232235368</c:v>
                </c:pt>
                <c:pt idx="74">
                  <c:v>1.10436232235368</c:v>
                </c:pt>
                <c:pt idx="75">
                  <c:v>1.10436232235368</c:v>
                </c:pt>
                <c:pt idx="76">
                  <c:v>1.10436232235368</c:v>
                </c:pt>
                <c:pt idx="77">
                  <c:v>1.10436232235368</c:v>
                </c:pt>
                <c:pt idx="78">
                  <c:v>1.10436232235368</c:v>
                </c:pt>
                <c:pt idx="79">
                  <c:v>1.10436232235368</c:v>
                </c:pt>
                <c:pt idx="80">
                  <c:v>1.10436232235368</c:v>
                </c:pt>
                <c:pt idx="81">
                  <c:v>1.10436232235368</c:v>
                </c:pt>
                <c:pt idx="82">
                  <c:v>1.10436232235368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3D-40BB-B8D7-BAA5CF42BB74}"/>
            </c:ext>
          </c:extLst>
        </c:ser>
        <c:ser>
          <c:idx val="8"/>
          <c:order val="8"/>
          <c:spPr>
            <a:ln w="28575" cap="rnd" cmpd="sng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DEMANDS!$G$108:$CK$108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1.01951498672291</c:v>
                </c:pt>
                <c:pt idx="6">
                  <c:v>1.0392671840991</c:v>
                </c:pt>
                <c:pt idx="7">
                  <c:v>1.05804518681749</c:v>
                </c:pt>
                <c:pt idx="8">
                  <c:v>1.07593734779239</c:v>
                </c:pt>
                <c:pt idx="9">
                  <c:v>1.09293944935709</c:v>
                </c:pt>
                <c:pt idx="10">
                  <c:v>1.10923061461654</c:v>
                </c:pt>
                <c:pt idx="11">
                  <c:v>1.1250067014413</c:v>
                </c:pt>
                <c:pt idx="12">
                  <c:v>1.1402233293513</c:v>
                </c:pt>
                <c:pt idx="13">
                  <c:v>1.1549783774323</c:v>
                </c:pt>
                <c:pt idx="14">
                  <c:v>1.16923014506999</c:v>
                </c:pt>
                <c:pt idx="15">
                  <c:v>1.18304487557075</c:v>
                </c:pt>
                <c:pt idx="16">
                  <c:v>1.19645256741523</c:v>
                </c:pt>
                <c:pt idx="17">
                  <c:v>1.20936868768534</c:v>
                </c:pt>
                <c:pt idx="18">
                  <c:v>1.22174781927331</c:v>
                </c:pt>
                <c:pt idx="19">
                  <c:v>1.23353902379695</c:v>
                </c:pt>
                <c:pt idx="20">
                  <c:v>1.24470670203952</c:v>
                </c:pt>
                <c:pt idx="21">
                  <c:v>1.25515454558485</c:v>
                </c:pt>
                <c:pt idx="22">
                  <c:v>1.2648222787014</c:v>
                </c:pt>
                <c:pt idx="23">
                  <c:v>1.27367550766704</c:v>
                </c:pt>
                <c:pt idx="24">
                  <c:v>1.2816406945165</c:v>
                </c:pt>
                <c:pt idx="25">
                  <c:v>1.28862462603412</c:v>
                </c:pt>
                <c:pt idx="26">
                  <c:v>1.29445098987985</c:v>
                </c:pt>
                <c:pt idx="27">
                  <c:v>1.29906066187137</c:v>
                </c:pt>
                <c:pt idx="28">
                  <c:v>1.30241495716553</c:v>
                </c:pt>
                <c:pt idx="29">
                  <c:v>1.30442738137336</c:v>
                </c:pt>
                <c:pt idx="30">
                  <c:v>1.30503332796377</c:v>
                </c:pt>
                <c:pt idx="31">
                  <c:v>1.30409530708043</c:v>
                </c:pt>
                <c:pt idx="32">
                  <c:v>1.30158751584931</c:v>
                </c:pt>
                <c:pt idx="33">
                  <c:v>1.30158751584931</c:v>
                </c:pt>
                <c:pt idx="34">
                  <c:v>1.30158751584931</c:v>
                </c:pt>
                <c:pt idx="35">
                  <c:v>1.30158751584931</c:v>
                </c:pt>
                <c:pt idx="36">
                  <c:v>1.30158751584931</c:v>
                </c:pt>
                <c:pt idx="37">
                  <c:v>1.30158751584931</c:v>
                </c:pt>
                <c:pt idx="38">
                  <c:v>1.30158751584931</c:v>
                </c:pt>
                <c:pt idx="39">
                  <c:v>1.30158751584931</c:v>
                </c:pt>
                <c:pt idx="40">
                  <c:v>1.30158751584931</c:v>
                </c:pt>
                <c:pt idx="41">
                  <c:v>1.30158751584931</c:v>
                </c:pt>
                <c:pt idx="42">
                  <c:v>1.30158751584931</c:v>
                </c:pt>
                <c:pt idx="43">
                  <c:v>1.30158751584931</c:v>
                </c:pt>
                <c:pt idx="44">
                  <c:v>1.30158751584931</c:v>
                </c:pt>
                <c:pt idx="45">
                  <c:v>1.30158751584931</c:v>
                </c:pt>
                <c:pt idx="46">
                  <c:v>1.30158751584931</c:v>
                </c:pt>
                <c:pt idx="47">
                  <c:v>1.30158751584931</c:v>
                </c:pt>
                <c:pt idx="48">
                  <c:v>1.30158751584931</c:v>
                </c:pt>
                <c:pt idx="49">
                  <c:v>1.30158751584931</c:v>
                </c:pt>
                <c:pt idx="50">
                  <c:v>1.30158751584931</c:v>
                </c:pt>
                <c:pt idx="51">
                  <c:v>1.30158751584931</c:v>
                </c:pt>
                <c:pt idx="52">
                  <c:v>1.30158751584931</c:v>
                </c:pt>
                <c:pt idx="53">
                  <c:v>1.30158751584931</c:v>
                </c:pt>
                <c:pt idx="54">
                  <c:v>1.30158751584931</c:v>
                </c:pt>
                <c:pt idx="55">
                  <c:v>1.30158751584931</c:v>
                </c:pt>
                <c:pt idx="56">
                  <c:v>1.30158751584931</c:v>
                </c:pt>
                <c:pt idx="57">
                  <c:v>1.30158751584931</c:v>
                </c:pt>
                <c:pt idx="58">
                  <c:v>1.30158751584931</c:v>
                </c:pt>
                <c:pt idx="59">
                  <c:v>1.30158751584931</c:v>
                </c:pt>
                <c:pt idx="60">
                  <c:v>1.30158751584931</c:v>
                </c:pt>
                <c:pt idx="61">
                  <c:v>1.30158751584931</c:v>
                </c:pt>
                <c:pt idx="62">
                  <c:v>1.30158751584931</c:v>
                </c:pt>
                <c:pt idx="63">
                  <c:v>1.30158751584931</c:v>
                </c:pt>
                <c:pt idx="64">
                  <c:v>1.30158751584931</c:v>
                </c:pt>
                <c:pt idx="65">
                  <c:v>1.30158751584931</c:v>
                </c:pt>
                <c:pt idx="66">
                  <c:v>1.30158751584931</c:v>
                </c:pt>
                <c:pt idx="67">
                  <c:v>1.30158751584931</c:v>
                </c:pt>
                <c:pt idx="68">
                  <c:v>1.30158751584931</c:v>
                </c:pt>
                <c:pt idx="69">
                  <c:v>1.30158751584931</c:v>
                </c:pt>
                <c:pt idx="70">
                  <c:v>1.30158751584931</c:v>
                </c:pt>
                <c:pt idx="71">
                  <c:v>1.30158751584931</c:v>
                </c:pt>
                <c:pt idx="72">
                  <c:v>1.30158751584931</c:v>
                </c:pt>
                <c:pt idx="73">
                  <c:v>1.30158751584931</c:v>
                </c:pt>
                <c:pt idx="74">
                  <c:v>1.30158751584931</c:v>
                </c:pt>
                <c:pt idx="75">
                  <c:v>1.30158751584931</c:v>
                </c:pt>
                <c:pt idx="76">
                  <c:v>1.30158751584931</c:v>
                </c:pt>
                <c:pt idx="77">
                  <c:v>1.30158751584931</c:v>
                </c:pt>
                <c:pt idx="78">
                  <c:v>1.30158751584931</c:v>
                </c:pt>
                <c:pt idx="79">
                  <c:v>1.30158751584931</c:v>
                </c:pt>
                <c:pt idx="80">
                  <c:v>1.30158751584931</c:v>
                </c:pt>
                <c:pt idx="81">
                  <c:v>1.30158751584931</c:v>
                </c:pt>
                <c:pt idx="82">
                  <c:v>1.30158751584931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13D-40BB-B8D7-BAA5CF42BB74}"/>
            </c:ext>
          </c:extLst>
        </c:ser>
        <c:ser>
          <c:idx val="9"/>
          <c:order val="9"/>
          <c:spPr>
            <a:ln w="28575" cap="rnd" cmpd="sng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DEMANDS!$G$109:$CK$109</c:f>
              <c:numCache>
                <c:formatCode>0.00</c:formatCode>
                <c:ptCount val="8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13D-40BB-B8D7-BAA5CF42BB74}"/>
            </c:ext>
          </c:extLst>
        </c:ser>
        <c:ser>
          <c:idx val="10"/>
          <c:order val="10"/>
          <c:spPr>
            <a:ln w="28575" cap="rnd" cmpd="sng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DEMANDS!$G$110:$CK$110</c:f>
              <c:numCache>
                <c:formatCode>0.00</c:formatCode>
                <c:ptCount val="8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13D-40BB-B8D7-BAA5CF42BB74}"/>
            </c:ext>
          </c:extLst>
        </c:ser>
        <c:ser>
          <c:idx val="11"/>
          <c:order val="11"/>
          <c:spPr>
            <a:ln w="28575" cap="rnd" cmpd="sng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DEMANDS!$G$111:$CK$111</c:f>
              <c:numCache>
                <c:formatCode>0.00</c:formatCode>
                <c:ptCount val="8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13D-40BB-B8D7-BAA5CF42BB74}"/>
            </c:ext>
          </c:extLst>
        </c:ser>
        <c:ser>
          <c:idx val="12"/>
          <c:order val="12"/>
          <c:spPr>
            <a:ln w="28575" cap="rnd" cmpd="sng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DEMANDS!$G$112:$CK$112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13D-40BB-B8D7-BAA5CF42BB74}"/>
            </c:ext>
          </c:extLst>
        </c:ser>
        <c:ser>
          <c:idx val="13"/>
          <c:order val="13"/>
          <c:spPr>
            <a:ln w="28575" cap="rnd" cmpd="sng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DEMANDS!$G$113:$CK$113</c:f>
              <c:numCache>
                <c:formatCode>0.00</c:formatCode>
                <c:ptCount val="8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13D-40BB-B8D7-BAA5CF42BB74}"/>
            </c:ext>
          </c:extLst>
        </c:ser>
        <c:ser>
          <c:idx val="17"/>
          <c:order val="14"/>
          <c:spPr>
            <a:ln w="28575" cap="rnd" cmpd="sng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DEMANDS!$G$117:$CK$117</c:f>
              <c:numCache>
                <c:formatCode>0.00</c:formatCode>
                <c:ptCount val="83"/>
                <c:pt idx="0">
                  <c:v>1</c:v>
                </c:pt>
                <c:pt idx="1">
                  <c:v>0.994020980527052</c:v>
                </c:pt>
                <c:pt idx="2">
                  <c:v>0.966887364003726</c:v>
                </c:pt>
                <c:pt idx="3">
                  <c:v>0.997753721505381</c:v>
                </c:pt>
                <c:pt idx="4">
                  <c:v>1.01640700859568</c:v>
                </c:pt>
                <c:pt idx="5">
                  <c:v>1.14302655423305</c:v>
                </c:pt>
                <c:pt idx="6">
                  <c:v>1.3094004193492</c:v>
                </c:pt>
                <c:pt idx="7">
                  <c:v>1.34999183234902</c:v>
                </c:pt>
                <c:pt idx="8">
                  <c:v>1.376991668996</c:v>
                </c:pt>
                <c:pt idx="9">
                  <c:v>1.40453150237592</c:v>
                </c:pt>
                <c:pt idx="10">
                  <c:v>1.43262213242344</c:v>
                </c:pt>
                <c:pt idx="11">
                  <c:v>1.46127457507191</c:v>
                </c:pt>
                <c:pt idx="12">
                  <c:v>1.49050006657335</c:v>
                </c:pt>
                <c:pt idx="13">
                  <c:v>1.52478156810454</c:v>
                </c:pt>
                <c:pt idx="14">
                  <c:v>1.55985154417094</c:v>
                </c:pt>
                <c:pt idx="15">
                  <c:v>1.59572812968687</c:v>
                </c:pt>
                <c:pt idx="16">
                  <c:v>1.63242987666967</c:v>
                </c:pt>
                <c:pt idx="17">
                  <c:v>1.66997576383307</c:v>
                </c:pt>
                <c:pt idx="18">
                  <c:v>1.70838520640123</c:v>
                </c:pt>
                <c:pt idx="19">
                  <c:v>1.74767806614846</c:v>
                </c:pt>
                <c:pt idx="20">
                  <c:v>1.78787466166988</c:v>
                </c:pt>
                <c:pt idx="21">
                  <c:v>1.82899577888828</c:v>
                </c:pt>
                <c:pt idx="22">
                  <c:v>1.87106268180271</c:v>
                </c:pt>
                <c:pt idx="23">
                  <c:v>1.91409712348418</c:v>
                </c:pt>
                <c:pt idx="24">
                  <c:v>1.95812135732431</c:v>
                </c:pt>
                <c:pt idx="25">
                  <c:v>2.00315814854277</c:v>
                </c:pt>
                <c:pt idx="26">
                  <c:v>2.04923078595925</c:v>
                </c:pt>
                <c:pt idx="27">
                  <c:v>2.09636309403632</c:v>
                </c:pt>
                <c:pt idx="28">
                  <c:v>2.14457944519915</c:v>
                </c:pt>
                <c:pt idx="29">
                  <c:v>2.19390477243873</c:v>
                </c:pt>
                <c:pt idx="30">
                  <c:v>2.24436458220482</c:v>
                </c:pt>
                <c:pt idx="31">
                  <c:v>2.29598496759553</c:v>
                </c:pt>
                <c:pt idx="32">
                  <c:v>2.34879262185023</c:v>
                </c:pt>
                <c:pt idx="33">
                  <c:v>2.40281485215279</c:v>
                </c:pt>
                <c:pt idx="34">
                  <c:v>2.4580795937523</c:v>
                </c:pt>
                <c:pt idx="35">
                  <c:v>2.5146154244086</c:v>
                </c:pt>
                <c:pt idx="36">
                  <c:v>2.57245157917</c:v>
                </c:pt>
                <c:pt idx="37">
                  <c:v>2.63161796549091</c:v>
                </c:pt>
                <c:pt idx="38">
                  <c:v>2.6921451786972</c:v>
                </c:pt>
                <c:pt idx="39">
                  <c:v>2.75406451780723</c:v>
                </c:pt>
                <c:pt idx="40">
                  <c:v>2.8174080017168</c:v>
                </c:pt>
                <c:pt idx="41">
                  <c:v>2.88220838575629</c:v>
                </c:pt>
                <c:pt idx="42">
                  <c:v>2.94849917862868</c:v>
                </c:pt>
                <c:pt idx="43">
                  <c:v>3.01631465973714</c:v>
                </c:pt>
                <c:pt idx="44">
                  <c:v>3.08568989691109</c:v>
                </c:pt>
                <c:pt idx="45">
                  <c:v>3.15666076454005</c:v>
                </c:pt>
                <c:pt idx="46">
                  <c:v>3.22926396212447</c:v>
                </c:pt>
                <c:pt idx="47">
                  <c:v>3.30353703325333</c:v>
                </c:pt>
                <c:pt idx="48">
                  <c:v>3.37951838501816</c:v>
                </c:pt>
                <c:pt idx="49">
                  <c:v>3.45724730787358</c:v>
                </c:pt>
                <c:pt idx="50">
                  <c:v>3.53676399595467</c:v>
                </c:pt>
                <c:pt idx="51">
                  <c:v>3.61810956786162</c:v>
                </c:pt>
                <c:pt idx="52">
                  <c:v>3.70132608792244</c:v>
                </c:pt>
                <c:pt idx="53">
                  <c:v>3.78645658794466</c:v>
                </c:pt>
                <c:pt idx="54">
                  <c:v>3.87354508946739</c:v>
                </c:pt>
                <c:pt idx="55">
                  <c:v>3.96263662652513</c:v>
                </c:pt>
                <c:pt idx="56">
                  <c:v>4.05377726893521</c:v>
                </c:pt>
                <c:pt idx="57">
                  <c:v>4.14701414612072</c:v>
                </c:pt>
                <c:pt idx="58">
                  <c:v>4.2423954714815</c:v>
                </c:pt>
                <c:pt idx="59">
                  <c:v>4.33997056732557</c:v>
                </c:pt>
                <c:pt idx="60">
                  <c:v>4.43978989037406</c:v>
                </c:pt>
                <c:pt idx="61">
                  <c:v>4.54190505785266</c:v>
                </c:pt>
                <c:pt idx="62">
                  <c:v>4.64636887418327</c:v>
                </c:pt>
                <c:pt idx="63">
                  <c:v>4.75323535828949</c:v>
                </c:pt>
                <c:pt idx="64">
                  <c:v>4.86255977153014</c:v>
                </c:pt>
                <c:pt idx="65">
                  <c:v>4.97439864627534</c:v>
                </c:pt>
                <c:pt idx="66">
                  <c:v>5.08880981513967</c:v>
                </c:pt>
                <c:pt idx="67">
                  <c:v>5.20585244088788</c:v>
                </c:pt>
                <c:pt idx="68">
                  <c:v>5.3255870470283</c:v>
                </c:pt>
                <c:pt idx="69">
                  <c:v>5.44807554910995</c:v>
                </c:pt>
                <c:pt idx="70">
                  <c:v>5.57338128673948</c:v>
                </c:pt>
                <c:pt idx="71">
                  <c:v>5.70156905633449</c:v>
                </c:pt>
                <c:pt idx="72">
                  <c:v>5.83270514463018</c:v>
                </c:pt>
                <c:pt idx="73">
                  <c:v>5.96685736295668</c:v>
                </c:pt>
                <c:pt idx="74">
                  <c:v>6.10409508230468</c:v>
                </c:pt>
                <c:pt idx="75">
                  <c:v>6.24448926919769</c:v>
                </c:pt>
                <c:pt idx="76">
                  <c:v>6.38811252238923</c:v>
                </c:pt>
                <c:pt idx="77">
                  <c:v>6.53503911040419</c:v>
                </c:pt>
                <c:pt idx="78">
                  <c:v>6.68534500994348</c:v>
                </c:pt>
                <c:pt idx="79">
                  <c:v>6.83910794517218</c:v>
                </c:pt>
                <c:pt idx="80">
                  <c:v>6.99640742791114</c:v>
                </c:pt>
                <c:pt idx="81">
                  <c:v>7.15732479875309</c:v>
                </c:pt>
                <c:pt idx="82">
                  <c:v>7.32194326912442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13D-40BB-B8D7-BAA5CF42BB74}"/>
            </c:ext>
          </c:extLst>
        </c:ser>
        <c:ser>
          <c:idx val="18"/>
          <c:order val="15"/>
          <c:spPr>
            <a:ln w="28575" cap="rnd" cmpd="sng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DEMANDS!$G$118:$CK$118</c:f>
              <c:numCache>
                <c:formatCode>0.00</c:formatCode>
                <c:ptCount val="83"/>
                <c:pt idx="0">
                  <c:v>1</c:v>
                </c:pt>
                <c:pt idx="1">
                  <c:v>1.33286479579368</c:v>
                </c:pt>
                <c:pt idx="2">
                  <c:v>0.437138865308943</c:v>
                </c:pt>
                <c:pt idx="3">
                  <c:v>1.11738872949993</c:v>
                </c:pt>
                <c:pt idx="4">
                  <c:v>0.996219202609598</c:v>
                </c:pt>
                <c:pt idx="5">
                  <c:v>0.875049675719263</c:v>
                </c:pt>
                <c:pt idx="6">
                  <c:v>0.753880148828928</c:v>
                </c:pt>
                <c:pt idx="7">
                  <c:v>0.632710621938593</c:v>
                </c:pt>
                <c:pt idx="8">
                  <c:v>0.511541095048258</c:v>
                </c:pt>
                <c:pt idx="9">
                  <c:v>0.390371568157924</c:v>
                </c:pt>
                <c:pt idx="10">
                  <c:v>0.269202041267589</c:v>
                </c:pt>
                <c:pt idx="11">
                  <c:v>0.148032514377254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13D-40BB-B8D7-BAA5CF42BB74}"/>
            </c:ext>
          </c:extLst>
        </c:ser>
        <c:ser>
          <c:idx val="19"/>
          <c:order val="16"/>
          <c:spPr>
            <a:ln w="28575" cap="rnd" cmpd="sng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DEMANDS!$G$119:$CK$119</c:f>
              <c:numCache>
                <c:formatCode>0.00</c:formatCode>
                <c:ptCount val="83"/>
                <c:pt idx="0">
                  <c:v>1</c:v>
                </c:pt>
                <c:pt idx="1">
                  <c:v>1.06504195746703</c:v>
                </c:pt>
                <c:pt idx="2">
                  <c:v>1.30247372426179</c:v>
                </c:pt>
                <c:pt idx="3">
                  <c:v>1.43741929930144</c:v>
                </c:pt>
                <c:pt idx="4">
                  <c:v>1.32672521675756</c:v>
                </c:pt>
                <c:pt idx="5">
                  <c:v>1.36745131456133</c:v>
                </c:pt>
                <c:pt idx="6">
                  <c:v>1.4105228497432</c:v>
                </c:pt>
                <c:pt idx="7">
                  <c:v>1.455312807288</c:v>
                </c:pt>
                <c:pt idx="8">
                  <c:v>1.50149551499926</c:v>
                </c:pt>
                <c:pt idx="9">
                  <c:v>1.54880206922855</c:v>
                </c:pt>
                <c:pt idx="10">
                  <c:v>1.5972807019001</c:v>
                </c:pt>
                <c:pt idx="11">
                  <c:v>1.64696684000253</c:v>
                </c:pt>
                <c:pt idx="12">
                  <c:v>1.69770682430816</c:v>
                </c:pt>
                <c:pt idx="13">
                  <c:v>1.74928083675515</c:v>
                </c:pt>
                <c:pt idx="14">
                  <c:v>1.80170424326627</c:v>
                </c:pt>
                <c:pt idx="15">
                  <c:v>1.85478368931336</c:v>
                </c:pt>
                <c:pt idx="16">
                  <c:v>1.90835100340835</c:v>
                </c:pt>
                <c:pt idx="17">
                  <c:v>1.96229563627354</c:v>
                </c:pt>
                <c:pt idx="18">
                  <c:v>2.01658899021933</c:v>
                </c:pt>
                <c:pt idx="19">
                  <c:v>2.07102661310666</c:v>
                </c:pt>
                <c:pt idx="20">
                  <c:v>2.12571563956373</c:v>
                </c:pt>
                <c:pt idx="21">
                  <c:v>2.18080460684397</c:v>
                </c:pt>
                <c:pt idx="22">
                  <c:v>2.23645827178594</c:v>
                </c:pt>
                <c:pt idx="23">
                  <c:v>2.2928452327089</c:v>
                </c:pt>
                <c:pt idx="24">
                  <c:v>2.35012384398362</c:v>
                </c:pt>
                <c:pt idx="25">
                  <c:v>2.40843752088926</c:v>
                </c:pt>
                <c:pt idx="26">
                  <c:v>2.46792754454904</c:v>
                </c:pt>
                <c:pt idx="27">
                  <c:v>2.52875098884016</c:v>
                </c:pt>
                <c:pt idx="28">
                  <c:v>2.59110163512197</c:v>
                </c:pt>
                <c:pt idx="29">
                  <c:v>2.65487064144153</c:v>
                </c:pt>
                <c:pt idx="30">
                  <c:v>2.72032136264185</c:v>
                </c:pt>
                <c:pt idx="31">
                  <c:v>2.78776709281491</c:v>
                </c:pt>
                <c:pt idx="32">
                  <c:v>2.85754502859926</c:v>
                </c:pt>
                <c:pt idx="33">
                  <c:v>2.92996931774922</c:v>
                </c:pt>
                <c:pt idx="34">
                  <c:v>3.00526874178164</c:v>
                </c:pt>
                <c:pt idx="35">
                  <c:v>3.08361488683405</c:v>
                </c:pt>
                <c:pt idx="36">
                  <c:v>3.16515458283513</c:v>
                </c:pt>
                <c:pt idx="37">
                  <c:v>3.2500295377393</c:v>
                </c:pt>
                <c:pt idx="38">
                  <c:v>3.33835969111041</c:v>
                </c:pt>
                <c:pt idx="39">
                  <c:v>3.43016425035188</c:v>
                </c:pt>
                <c:pt idx="40">
                  <c:v>3.52537534930487</c:v>
                </c:pt>
                <c:pt idx="41">
                  <c:v>3.62387432889905</c:v>
                </c:pt>
                <c:pt idx="42">
                  <c:v>3.72554893253203</c:v>
                </c:pt>
                <c:pt idx="43">
                  <c:v>3.54697373941533</c:v>
                </c:pt>
                <c:pt idx="44">
                  <c:v>3.60531817312412</c:v>
                </c:pt>
                <c:pt idx="45">
                  <c:v>3.6636626068329</c:v>
                </c:pt>
                <c:pt idx="46">
                  <c:v>3.72200704054166</c:v>
                </c:pt>
                <c:pt idx="47">
                  <c:v>3.78035147425042</c:v>
                </c:pt>
                <c:pt idx="48">
                  <c:v>3.8386959079592</c:v>
                </c:pt>
                <c:pt idx="49">
                  <c:v>3.89704034166796</c:v>
                </c:pt>
                <c:pt idx="50">
                  <c:v>3.95538477537674</c:v>
                </c:pt>
                <c:pt idx="51">
                  <c:v>4.01372920908553</c:v>
                </c:pt>
                <c:pt idx="52">
                  <c:v>4.07207364279428</c:v>
                </c:pt>
                <c:pt idx="53">
                  <c:v>4.13041807650304</c:v>
                </c:pt>
                <c:pt idx="54">
                  <c:v>4.18876251021182</c:v>
                </c:pt>
                <c:pt idx="55">
                  <c:v>4.24710694392061</c:v>
                </c:pt>
                <c:pt idx="56">
                  <c:v>4.30545137762936</c:v>
                </c:pt>
                <c:pt idx="57">
                  <c:v>4.36379581133815</c:v>
                </c:pt>
                <c:pt idx="58">
                  <c:v>4.42214024504693</c:v>
                </c:pt>
                <c:pt idx="59">
                  <c:v>4.48048467875569</c:v>
                </c:pt>
                <c:pt idx="60">
                  <c:v>4.53882911246445</c:v>
                </c:pt>
                <c:pt idx="61">
                  <c:v>4.59717354617323</c:v>
                </c:pt>
                <c:pt idx="62">
                  <c:v>4.65551797988199</c:v>
                </c:pt>
                <c:pt idx="63">
                  <c:v>4.71386241359077</c:v>
                </c:pt>
                <c:pt idx="64">
                  <c:v>4.77220684729956</c:v>
                </c:pt>
                <c:pt idx="65">
                  <c:v>4.83055128100831</c:v>
                </c:pt>
                <c:pt idx="66">
                  <c:v>4.88889571471707</c:v>
                </c:pt>
                <c:pt idx="67">
                  <c:v>4.94724014842585</c:v>
                </c:pt>
                <c:pt idx="68">
                  <c:v>5.00558458213464</c:v>
                </c:pt>
                <c:pt idx="69">
                  <c:v>5.06392901584339</c:v>
                </c:pt>
                <c:pt idx="70">
                  <c:v>5.12227344955218</c:v>
                </c:pt>
                <c:pt idx="71">
                  <c:v>5.18061788326094</c:v>
                </c:pt>
                <c:pt idx="72">
                  <c:v>5.23896231696972</c:v>
                </c:pt>
                <c:pt idx="73">
                  <c:v>5.29730675067848</c:v>
                </c:pt>
                <c:pt idx="74">
                  <c:v>5.35565118438726</c:v>
                </c:pt>
                <c:pt idx="75">
                  <c:v>5.41399561809602</c:v>
                </c:pt>
                <c:pt idx="76">
                  <c:v>5.4723400518048</c:v>
                </c:pt>
                <c:pt idx="77">
                  <c:v>5.53068448551359</c:v>
                </c:pt>
                <c:pt idx="78">
                  <c:v>5.58902891922234</c:v>
                </c:pt>
                <c:pt idx="79">
                  <c:v>5.6473733529311</c:v>
                </c:pt>
                <c:pt idx="80">
                  <c:v>5.70571778663988</c:v>
                </c:pt>
                <c:pt idx="81">
                  <c:v>5.76406222034867</c:v>
                </c:pt>
                <c:pt idx="82">
                  <c:v>5.82240665405743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13D-40BB-B8D7-BAA5CF42BB74}"/>
            </c:ext>
          </c:extLst>
        </c:ser>
        <c:ser>
          <c:idx val="20"/>
          <c:order val="17"/>
          <c:spPr>
            <a:ln w="28575" cap="rnd" cmpd="sng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DEMANDS!$G$120:$CK$120</c:f>
              <c:numCache>
                <c:formatCode>0.00</c:formatCode>
                <c:ptCount val="83"/>
                <c:pt idx="0">
                  <c:v>1</c:v>
                </c:pt>
                <c:pt idx="1">
                  <c:v>0.799614277600496</c:v>
                </c:pt>
                <c:pt idx="2">
                  <c:v>1.09212041132354</c:v>
                </c:pt>
                <c:pt idx="3">
                  <c:v>0.726337169437279</c:v>
                </c:pt>
                <c:pt idx="4">
                  <c:v>0.63180294895931</c:v>
                </c:pt>
                <c:pt idx="5">
                  <c:v>0.599380495387455</c:v>
                </c:pt>
                <c:pt idx="6">
                  <c:v>0.532030169865687</c:v>
                </c:pt>
                <c:pt idx="7">
                  <c:v>0.416528683811961</c:v>
                </c:pt>
                <c:pt idx="8">
                  <c:v>0.27107140343777</c:v>
                </c:pt>
                <c:pt idx="9">
                  <c:v>0.145179057992602</c:v>
                </c:pt>
                <c:pt idx="10">
                  <c:v>0.0669845555825582</c:v>
                </c:pt>
                <c:pt idx="11">
                  <c:v>0.0279431658622207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13D-40BB-B8D7-BAA5CF42BB74}"/>
            </c:ext>
          </c:extLst>
        </c:ser>
        <c:ser>
          <c:idx val="21"/>
          <c:order val="18"/>
          <c:spPr>
            <a:ln w="28575" cap="rnd" cmpd="sng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DEMANDS!$G$121:$CK$121</c:f>
              <c:numCache>
                <c:formatCode>0.00</c:formatCode>
                <c:ptCount val="83"/>
                <c:pt idx="0">
                  <c:v>1</c:v>
                </c:pt>
                <c:pt idx="1">
                  <c:v>1.07458890950815</c:v>
                </c:pt>
                <c:pt idx="2">
                  <c:v>0.471306619073606</c:v>
                </c:pt>
                <c:pt idx="3">
                  <c:v>0.514209497686842</c:v>
                </c:pt>
                <c:pt idx="4">
                  <c:v>0.985039391801168</c:v>
                </c:pt>
                <c:pt idx="5">
                  <c:v>0.985039391801168</c:v>
                </c:pt>
                <c:pt idx="6">
                  <c:v>0.985039391801168</c:v>
                </c:pt>
                <c:pt idx="7">
                  <c:v>0.985039391801168</c:v>
                </c:pt>
                <c:pt idx="8">
                  <c:v>0.985039391801168</c:v>
                </c:pt>
                <c:pt idx="9">
                  <c:v>0.985039391801168</c:v>
                </c:pt>
                <c:pt idx="10">
                  <c:v>0.985039391801168</c:v>
                </c:pt>
                <c:pt idx="11">
                  <c:v>0.985039391801168</c:v>
                </c:pt>
                <c:pt idx="12">
                  <c:v>0.985039391801168</c:v>
                </c:pt>
                <c:pt idx="13">
                  <c:v>0.985039391801168</c:v>
                </c:pt>
                <c:pt idx="14">
                  <c:v>0.985039391801168</c:v>
                </c:pt>
                <c:pt idx="15">
                  <c:v>0.985039391801168</c:v>
                </c:pt>
                <c:pt idx="16">
                  <c:v>0.985039391801168</c:v>
                </c:pt>
                <c:pt idx="17">
                  <c:v>0.985039391801168</c:v>
                </c:pt>
                <c:pt idx="18">
                  <c:v>0.985039391801168</c:v>
                </c:pt>
                <c:pt idx="19">
                  <c:v>0.985039391801168</c:v>
                </c:pt>
                <c:pt idx="20">
                  <c:v>0.985039391801168</c:v>
                </c:pt>
                <c:pt idx="21">
                  <c:v>0.985039391801168</c:v>
                </c:pt>
                <c:pt idx="22">
                  <c:v>0.985039391801168</c:v>
                </c:pt>
                <c:pt idx="23">
                  <c:v>0.985039391801168</c:v>
                </c:pt>
                <c:pt idx="24">
                  <c:v>0.985039391801168</c:v>
                </c:pt>
                <c:pt idx="25">
                  <c:v>0.985039391801168</c:v>
                </c:pt>
                <c:pt idx="26">
                  <c:v>0.985039391801168</c:v>
                </c:pt>
                <c:pt idx="27">
                  <c:v>0.985039391801168</c:v>
                </c:pt>
                <c:pt idx="28">
                  <c:v>0.985039391801168</c:v>
                </c:pt>
                <c:pt idx="29">
                  <c:v>0.985039391801168</c:v>
                </c:pt>
                <c:pt idx="30">
                  <c:v>0.985039391801168</c:v>
                </c:pt>
                <c:pt idx="31">
                  <c:v>0.985039391801168</c:v>
                </c:pt>
                <c:pt idx="32">
                  <c:v>0.985039391801168</c:v>
                </c:pt>
                <c:pt idx="33">
                  <c:v>0.985039391801168</c:v>
                </c:pt>
                <c:pt idx="34">
                  <c:v>0.985039391801168</c:v>
                </c:pt>
                <c:pt idx="35">
                  <c:v>0.985039391801168</c:v>
                </c:pt>
                <c:pt idx="36">
                  <c:v>0.985039391801168</c:v>
                </c:pt>
                <c:pt idx="37">
                  <c:v>0.985039391801168</c:v>
                </c:pt>
                <c:pt idx="38">
                  <c:v>0.985039391801168</c:v>
                </c:pt>
                <c:pt idx="39">
                  <c:v>0.985039391801168</c:v>
                </c:pt>
                <c:pt idx="40">
                  <c:v>0.985039391801168</c:v>
                </c:pt>
                <c:pt idx="41">
                  <c:v>0.985039391801168</c:v>
                </c:pt>
                <c:pt idx="42">
                  <c:v>0.985039391801168</c:v>
                </c:pt>
                <c:pt idx="43">
                  <c:v>0.985039391801168</c:v>
                </c:pt>
                <c:pt idx="44">
                  <c:v>0.985039391801168</c:v>
                </c:pt>
                <c:pt idx="45">
                  <c:v>0.985039391801168</c:v>
                </c:pt>
                <c:pt idx="46">
                  <c:v>0.985039391801168</c:v>
                </c:pt>
                <c:pt idx="47">
                  <c:v>0.985039391801168</c:v>
                </c:pt>
                <c:pt idx="48">
                  <c:v>0.985039391801168</c:v>
                </c:pt>
                <c:pt idx="49">
                  <c:v>0.985039391801168</c:v>
                </c:pt>
                <c:pt idx="50">
                  <c:v>0.985039391801168</c:v>
                </c:pt>
                <c:pt idx="51">
                  <c:v>0.985039391801168</c:v>
                </c:pt>
                <c:pt idx="52">
                  <c:v>0.985039391801168</c:v>
                </c:pt>
                <c:pt idx="53">
                  <c:v>0.985039391801168</c:v>
                </c:pt>
                <c:pt idx="54">
                  <c:v>0.985039391801168</c:v>
                </c:pt>
                <c:pt idx="55">
                  <c:v>0.985039391801168</c:v>
                </c:pt>
                <c:pt idx="56">
                  <c:v>0.985039391801168</c:v>
                </c:pt>
                <c:pt idx="57">
                  <c:v>0.985039391801168</c:v>
                </c:pt>
                <c:pt idx="58">
                  <c:v>0.985039391801168</c:v>
                </c:pt>
                <c:pt idx="59">
                  <c:v>0.985039391801168</c:v>
                </c:pt>
                <c:pt idx="60">
                  <c:v>0.985039391801168</c:v>
                </c:pt>
                <c:pt idx="61">
                  <c:v>0.985039391801168</c:v>
                </c:pt>
                <c:pt idx="62">
                  <c:v>0.985039391801168</c:v>
                </c:pt>
                <c:pt idx="63">
                  <c:v>0.985039391801168</c:v>
                </c:pt>
                <c:pt idx="64">
                  <c:v>0.985039391801168</c:v>
                </c:pt>
                <c:pt idx="65">
                  <c:v>0.985039391801168</c:v>
                </c:pt>
                <c:pt idx="66">
                  <c:v>0.985039391801168</c:v>
                </c:pt>
                <c:pt idx="67">
                  <c:v>0.985039391801168</c:v>
                </c:pt>
                <c:pt idx="68">
                  <c:v>0.985039391801168</c:v>
                </c:pt>
                <c:pt idx="69">
                  <c:v>0.985039391801168</c:v>
                </c:pt>
                <c:pt idx="70">
                  <c:v>0.985039391801168</c:v>
                </c:pt>
                <c:pt idx="71">
                  <c:v>0.985039391801168</c:v>
                </c:pt>
                <c:pt idx="72">
                  <c:v>0.985039391801168</c:v>
                </c:pt>
                <c:pt idx="73">
                  <c:v>0.985039391801168</c:v>
                </c:pt>
                <c:pt idx="74">
                  <c:v>0.985039391801168</c:v>
                </c:pt>
                <c:pt idx="75">
                  <c:v>0.985039391801168</c:v>
                </c:pt>
                <c:pt idx="76">
                  <c:v>0.985039391801168</c:v>
                </c:pt>
                <c:pt idx="77">
                  <c:v>0.985039391801168</c:v>
                </c:pt>
                <c:pt idx="78">
                  <c:v>0.985039391801168</c:v>
                </c:pt>
                <c:pt idx="79">
                  <c:v>0.985039391801168</c:v>
                </c:pt>
                <c:pt idx="80">
                  <c:v>0.985039391801168</c:v>
                </c:pt>
                <c:pt idx="81">
                  <c:v>0.985039391801168</c:v>
                </c:pt>
                <c:pt idx="82">
                  <c:v>0.985039391801168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13D-40BB-B8D7-BAA5CF42BB74}"/>
            </c:ext>
          </c:extLst>
        </c:ser>
        <c:ser>
          <c:idx val="22"/>
          <c:order val="19"/>
          <c:spPr>
            <a:ln w="28575" cap="rnd" cmpd="sng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DEMANDS!$G$122:$CK$122</c:f>
              <c:numCache>
                <c:formatCode>0.00</c:formatCode>
                <c:ptCount val="83"/>
                <c:pt idx="0">
                  <c:v>1</c:v>
                </c:pt>
                <c:pt idx="1">
                  <c:v>1.01136138062027</c:v>
                </c:pt>
                <c:pt idx="2">
                  <c:v>0.360693530061878</c:v>
                </c:pt>
                <c:pt idx="3">
                  <c:v>0.404097921442817</c:v>
                </c:pt>
                <c:pt idx="4">
                  <c:v>1.04838181993436</c:v>
                </c:pt>
                <c:pt idx="5">
                  <c:v>1.06292187216685</c:v>
                </c:pt>
                <c:pt idx="6">
                  <c:v>1.07717108807391</c:v>
                </c:pt>
                <c:pt idx="7">
                  <c:v>1.09113528556981</c:v>
                </c:pt>
                <c:pt idx="8">
                  <c:v>1.10482016531429</c:v>
                </c:pt>
                <c:pt idx="9">
                  <c:v>1.11823131441071</c:v>
                </c:pt>
                <c:pt idx="10">
                  <c:v>1.13137420814641</c:v>
                </c:pt>
                <c:pt idx="11">
                  <c:v>1.14425421238564</c:v>
                </c:pt>
                <c:pt idx="12">
                  <c:v>1.15687658530992</c:v>
                </c:pt>
                <c:pt idx="13">
                  <c:v>1.16924648046357</c:v>
                </c:pt>
                <c:pt idx="14">
                  <c:v>1.18136894784142</c:v>
                </c:pt>
                <c:pt idx="15">
                  <c:v>1.19324893671688</c:v>
                </c:pt>
                <c:pt idx="16">
                  <c:v>1.20489129694715</c:v>
                </c:pt>
                <c:pt idx="17">
                  <c:v>1.21630078201881</c:v>
                </c:pt>
                <c:pt idx="18">
                  <c:v>1.22748204970043</c:v>
                </c:pt>
                <c:pt idx="19">
                  <c:v>1.23843966508815</c:v>
                </c:pt>
                <c:pt idx="20">
                  <c:v>1.24917810191092</c:v>
                </c:pt>
                <c:pt idx="21">
                  <c:v>1.25970174383577</c:v>
                </c:pt>
                <c:pt idx="22">
                  <c:v>1.27001488773089</c:v>
                </c:pt>
                <c:pt idx="23">
                  <c:v>1.28012174366563</c:v>
                </c:pt>
                <c:pt idx="24">
                  <c:v>1.29002643817366</c:v>
                </c:pt>
                <c:pt idx="25">
                  <c:v>1.29973301512307</c:v>
                </c:pt>
                <c:pt idx="26">
                  <c:v>1.30924543680413</c:v>
                </c:pt>
                <c:pt idx="27">
                  <c:v>1.31856758719238</c:v>
                </c:pt>
                <c:pt idx="28">
                  <c:v>1.32770327216614</c:v>
                </c:pt>
                <c:pt idx="29">
                  <c:v>1.3366562212469</c:v>
                </c:pt>
                <c:pt idx="30">
                  <c:v>1.34543008977469</c:v>
                </c:pt>
                <c:pt idx="31">
                  <c:v>1.35402845977825</c:v>
                </c:pt>
                <c:pt idx="32">
                  <c:v>1.36245484171535</c:v>
                </c:pt>
                <c:pt idx="33">
                  <c:v>1.37071267556051</c:v>
                </c:pt>
                <c:pt idx="34">
                  <c:v>1.3788053329804</c:v>
                </c:pt>
                <c:pt idx="35">
                  <c:v>1.38673611755139</c:v>
                </c:pt>
                <c:pt idx="36">
                  <c:v>1.39450826737002</c:v>
                </c:pt>
                <c:pt idx="37">
                  <c:v>1.40212495527057</c:v>
                </c:pt>
                <c:pt idx="38">
                  <c:v>1.40958929121799</c:v>
                </c:pt>
                <c:pt idx="39">
                  <c:v>1.41690432252544</c:v>
                </c:pt>
                <c:pt idx="40">
                  <c:v>1.42407303537708</c:v>
                </c:pt>
                <c:pt idx="41">
                  <c:v>1.43109835656843</c:v>
                </c:pt>
                <c:pt idx="42">
                  <c:v>1.43798315459399</c:v>
                </c:pt>
                <c:pt idx="43">
                  <c:v>1.44473024008243</c:v>
                </c:pt>
                <c:pt idx="44">
                  <c:v>1.45134236731928</c:v>
                </c:pt>
                <c:pt idx="45">
                  <c:v>1.45782223642242</c:v>
                </c:pt>
                <c:pt idx="46">
                  <c:v>1.4641724922543</c:v>
                </c:pt>
                <c:pt idx="47">
                  <c:v>1.47039572768512</c:v>
                </c:pt>
                <c:pt idx="48">
                  <c:v>1.47649448337525</c:v>
                </c:pt>
                <c:pt idx="49">
                  <c:v>1.48247124929802</c:v>
                </c:pt>
                <c:pt idx="50">
                  <c:v>1.48832846539236</c:v>
                </c:pt>
                <c:pt idx="51">
                  <c:v>1.49406852308556</c:v>
                </c:pt>
                <c:pt idx="52">
                  <c:v>1.49969376572838</c:v>
                </c:pt>
                <c:pt idx="53">
                  <c:v>1.50520648990029</c:v>
                </c:pt>
                <c:pt idx="54">
                  <c:v>1.51060894649714</c:v>
                </c:pt>
                <c:pt idx="55">
                  <c:v>1.51590334073122</c:v>
                </c:pt>
                <c:pt idx="56">
                  <c:v>1.52109183430661</c:v>
                </c:pt>
                <c:pt idx="57">
                  <c:v>1.52617654563677</c:v>
                </c:pt>
                <c:pt idx="58">
                  <c:v>1.53115955027958</c:v>
                </c:pt>
                <c:pt idx="59">
                  <c:v>1.53604288311279</c:v>
                </c:pt>
                <c:pt idx="60">
                  <c:v>1.54082853724626</c:v>
                </c:pt>
                <c:pt idx="61">
                  <c:v>1.54551846685006</c:v>
                </c:pt>
                <c:pt idx="62">
                  <c:v>1.5501145865018</c:v>
                </c:pt>
                <c:pt idx="63">
                  <c:v>1.55461877249188</c:v>
                </c:pt>
                <c:pt idx="64">
                  <c:v>1.55903286412876</c:v>
                </c:pt>
                <c:pt idx="65">
                  <c:v>1.56335866330386</c:v>
                </c:pt>
                <c:pt idx="66">
                  <c:v>1.56759793601433</c:v>
                </c:pt>
                <c:pt idx="67">
                  <c:v>1.57175241301571</c:v>
                </c:pt>
                <c:pt idx="68">
                  <c:v>1.575823790257</c:v>
                </c:pt>
                <c:pt idx="69">
                  <c:v>1.57981373040341</c:v>
                </c:pt>
                <c:pt idx="70">
                  <c:v>1.58372386196625</c:v>
                </c:pt>
                <c:pt idx="71">
                  <c:v>1.58755578147832</c:v>
                </c:pt>
                <c:pt idx="72">
                  <c:v>1.59131105349388</c:v>
                </c:pt>
                <c:pt idx="73">
                  <c:v>1.59499121080624</c:v>
                </c:pt>
                <c:pt idx="74">
                  <c:v>1.59859775618805</c:v>
                </c:pt>
                <c:pt idx="75">
                  <c:v>1.60213216217377</c:v>
                </c:pt>
                <c:pt idx="76">
                  <c:v>1.60559587127723</c:v>
                </c:pt>
                <c:pt idx="77">
                  <c:v>1.60899029773194</c:v>
                </c:pt>
                <c:pt idx="78">
                  <c:v>1.6123168277086</c:v>
                </c:pt>
                <c:pt idx="79">
                  <c:v>1.61557681888008</c:v>
                </c:pt>
                <c:pt idx="80">
                  <c:v>1.61877160237926</c:v>
                </c:pt>
                <c:pt idx="81">
                  <c:v>1.62190248258147</c:v>
                </c:pt>
                <c:pt idx="82">
                  <c:v>1.62497073775714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13D-40BB-B8D7-BAA5CF42BB74}"/>
            </c:ext>
          </c:extLst>
        </c:ser>
        <c:ser>
          <c:idx val="23"/>
          <c:order val="20"/>
          <c:spPr>
            <a:ln w="28575" cap="rnd" cmpd="sng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DEMANDS!$G$123:$CK$123</c:f>
              <c:numCache>
                <c:formatCode>0.00</c:formatCode>
                <c:ptCount val="83"/>
                <c:pt idx="0">
                  <c:v>1</c:v>
                </c:pt>
                <c:pt idx="1">
                  <c:v>1.07324050179258</c:v>
                </c:pt>
                <c:pt idx="2">
                  <c:v>1.10478248555401</c:v>
                </c:pt>
                <c:pt idx="3">
                  <c:v>1.18271441041696</c:v>
                </c:pt>
                <c:pt idx="4">
                  <c:v>1.25329469890534</c:v>
                </c:pt>
                <c:pt idx="5">
                  <c:v>1.31827301655888</c:v>
                </c:pt>
                <c:pt idx="6">
                  <c:v>1.37842388756202</c:v>
                </c:pt>
                <c:pt idx="7">
                  <c:v>1.43398126813928</c:v>
                </c:pt>
                <c:pt idx="8">
                  <c:v>1.48658692789413</c:v>
                </c:pt>
                <c:pt idx="9">
                  <c:v>1.5364394052834</c:v>
                </c:pt>
                <c:pt idx="10">
                  <c:v>1.58493798776827</c:v>
                </c:pt>
                <c:pt idx="11">
                  <c:v>1.63158403728111</c:v>
                </c:pt>
                <c:pt idx="12">
                  <c:v>1.67638496247601</c:v>
                </c:pt>
                <c:pt idx="13">
                  <c:v>1.75781412445606</c:v>
                </c:pt>
                <c:pt idx="14">
                  <c:v>1.81836914989698</c:v>
                </c:pt>
                <c:pt idx="15">
                  <c:v>1.88001525323392</c:v>
                </c:pt>
                <c:pt idx="16">
                  <c:v>1.94248858990599</c:v>
                </c:pt>
                <c:pt idx="17">
                  <c:v>2.00529622041329</c:v>
                </c:pt>
                <c:pt idx="18">
                  <c:v>2.06840174667374</c:v>
                </c:pt>
                <c:pt idx="19">
                  <c:v>2.13241569847461</c:v>
                </c:pt>
                <c:pt idx="20">
                  <c:v>2.19719105616939</c:v>
                </c:pt>
                <c:pt idx="21">
                  <c:v>2.26197383768392</c:v>
                </c:pt>
                <c:pt idx="22">
                  <c:v>2.32663908694458</c:v>
                </c:pt>
                <c:pt idx="23">
                  <c:v>2.34333394123382</c:v>
                </c:pt>
                <c:pt idx="24">
                  <c:v>2.42904491147056</c:v>
                </c:pt>
                <c:pt idx="25">
                  <c:v>2.50294751149671</c:v>
                </c:pt>
                <c:pt idx="26">
                  <c:v>2.56914006514177</c:v>
                </c:pt>
                <c:pt idx="27">
                  <c:v>2.63558649380639</c:v>
                </c:pt>
                <c:pt idx="28">
                  <c:v>2.7022416864454</c:v>
                </c:pt>
                <c:pt idx="29">
                  <c:v>2.76901737244538</c:v>
                </c:pt>
                <c:pt idx="30">
                  <c:v>2.83584309680365</c:v>
                </c:pt>
                <c:pt idx="31">
                  <c:v>2.90257866161782</c:v>
                </c:pt>
                <c:pt idx="32">
                  <c:v>2.96918073409549</c:v>
                </c:pt>
                <c:pt idx="33">
                  <c:v>3.03561727749078</c:v>
                </c:pt>
                <c:pt idx="34">
                  <c:v>3.10256159235562</c:v>
                </c:pt>
                <c:pt idx="35">
                  <c:v>3.16947345069336</c:v>
                </c:pt>
                <c:pt idx="36">
                  <c:v>3.2363878896364</c:v>
                </c:pt>
                <c:pt idx="37">
                  <c:v>3.30336761875006</c:v>
                </c:pt>
                <c:pt idx="38">
                  <c:v>3.37043684532716</c:v>
                </c:pt>
                <c:pt idx="39">
                  <c:v>3.43760591672645</c:v>
                </c:pt>
                <c:pt idx="40">
                  <c:v>3.5049551003737</c:v>
                </c:pt>
                <c:pt idx="41">
                  <c:v>3.57256080059667</c:v>
                </c:pt>
                <c:pt idx="42">
                  <c:v>3.64051283787317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13D-40BB-B8D7-BAA5CF42BB74}"/>
            </c:ext>
          </c:extLst>
        </c:ser>
        <c:ser>
          <c:idx val="24"/>
          <c:order val="21"/>
          <c:spPr>
            <a:ln w="28575" cap="rnd" cmpd="sng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DEMANDS!$G$124:$CK$124</c:f>
              <c:numCache>
                <c:formatCode>0.00</c:formatCode>
                <c:ptCount val="83"/>
                <c:pt idx="0">
                  <c:v>1</c:v>
                </c:pt>
                <c:pt idx="1">
                  <c:v>1.0223895855201</c:v>
                </c:pt>
                <c:pt idx="2">
                  <c:v>1.03899097919638</c:v>
                </c:pt>
                <c:pt idx="3">
                  <c:v>1.0509713994059</c:v>
                </c:pt>
                <c:pt idx="4">
                  <c:v>1.06299913593148</c:v>
                </c:pt>
                <c:pt idx="5">
                  <c:v>1.07535071677496</c:v>
                </c:pt>
                <c:pt idx="6">
                  <c:v>1.08776168640573</c:v>
                </c:pt>
                <c:pt idx="7">
                  <c:v>1.09977373524835</c:v>
                </c:pt>
                <c:pt idx="8">
                  <c:v>1.11215888044277</c:v>
                </c:pt>
                <c:pt idx="9">
                  <c:v>1.12465616602305</c:v>
                </c:pt>
                <c:pt idx="10">
                  <c:v>1.13796324125035</c:v>
                </c:pt>
                <c:pt idx="11">
                  <c:v>1.15144600204711</c:v>
                </c:pt>
                <c:pt idx="12">
                  <c:v>1.1649095900879</c:v>
                </c:pt>
                <c:pt idx="13">
                  <c:v>1.17510949318353</c:v>
                </c:pt>
                <c:pt idx="14">
                  <c:v>1.18698689241227</c:v>
                </c:pt>
                <c:pt idx="15">
                  <c:v>1.19886884369635</c:v>
                </c:pt>
                <c:pt idx="16">
                  <c:v>1.21058525063464</c:v>
                </c:pt>
                <c:pt idx="17">
                  <c:v>1.2218415508374</c:v>
                </c:pt>
                <c:pt idx="18">
                  <c:v>1.23264116371428</c:v>
                </c:pt>
                <c:pt idx="19">
                  <c:v>1.2433646843622</c:v>
                </c:pt>
                <c:pt idx="20">
                  <c:v>1.25392830595844</c:v>
                </c:pt>
                <c:pt idx="21">
                  <c:v>1.26391607926284</c:v>
                </c:pt>
                <c:pt idx="22">
                  <c:v>1.27329060086674</c:v>
                </c:pt>
                <c:pt idx="23">
                  <c:v>1.27693731427459</c:v>
                </c:pt>
                <c:pt idx="24">
                  <c:v>1.28058402768243</c:v>
                </c:pt>
                <c:pt idx="25">
                  <c:v>1.28930522274688</c:v>
                </c:pt>
                <c:pt idx="26">
                  <c:v>1.29771312548123</c:v>
                </c:pt>
                <c:pt idx="27">
                  <c:v>1.30579133974959</c:v>
                </c:pt>
                <c:pt idx="28">
                  <c:v>1.31353295528518</c:v>
                </c:pt>
                <c:pt idx="29">
                  <c:v>1.32091114951701</c:v>
                </c:pt>
                <c:pt idx="30">
                  <c:v>1.32790957993694</c:v>
                </c:pt>
                <c:pt idx="31">
                  <c:v>1.33448120590403</c:v>
                </c:pt>
                <c:pt idx="32">
                  <c:v>1.34062628501081</c:v>
                </c:pt>
                <c:pt idx="33">
                  <c:v>1.34635028194477</c:v>
                </c:pt>
                <c:pt idx="34">
                  <c:v>1.35196584964773</c:v>
                </c:pt>
                <c:pt idx="35">
                  <c:v>1.35724456728534</c:v>
                </c:pt>
                <c:pt idx="36">
                  <c:v>1.36221579223348</c:v>
                </c:pt>
                <c:pt idx="37">
                  <c:v>1.36691850937798</c:v>
                </c:pt>
                <c:pt idx="38">
                  <c:v>1.37137357647822</c:v>
                </c:pt>
                <c:pt idx="39">
                  <c:v>1.3755950484485</c:v>
                </c:pt>
                <c:pt idx="40">
                  <c:v>1.37962369338547</c:v>
                </c:pt>
                <c:pt idx="41">
                  <c:v>1.38349624860204</c:v>
                </c:pt>
                <c:pt idx="42">
                  <c:v>1.38725229216122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13D-40BB-B8D7-BAA5CF42BB74}"/>
            </c:ext>
          </c:extLst>
        </c:ser>
        <c:ser>
          <c:idx val="25"/>
          <c:order val="22"/>
          <c:spPr>
            <a:ln w="28575" cap="rnd" cmpd="sng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DEMANDS!$G$125:$CK$125</c:f>
              <c:numCache>
                <c:formatCode>0.00</c:formatCode>
                <c:ptCount val="83"/>
                <c:pt idx="0">
                  <c:v>1</c:v>
                </c:pt>
                <c:pt idx="1">
                  <c:v>1.02927077903682</c:v>
                </c:pt>
                <c:pt idx="2">
                  <c:v>1.04472047170787</c:v>
                </c:pt>
                <c:pt idx="3">
                  <c:v>1.05093148657584</c:v>
                </c:pt>
                <c:pt idx="4">
                  <c:v>1.05785263154109</c:v>
                </c:pt>
                <c:pt idx="5">
                  <c:v>1.06563166712809</c:v>
                </c:pt>
                <c:pt idx="6">
                  <c:v>1.07390818106385</c:v>
                </c:pt>
                <c:pt idx="7">
                  <c:v>1.08215677050049</c:v>
                </c:pt>
                <c:pt idx="8">
                  <c:v>1.09108023958149</c:v>
                </c:pt>
                <c:pt idx="9">
                  <c:v>1.10037357866699</c:v>
                </c:pt>
                <c:pt idx="10">
                  <c:v>1.11067943936991</c:v>
                </c:pt>
                <c:pt idx="11">
                  <c:v>1.12134449422901</c:v>
                </c:pt>
                <c:pt idx="12">
                  <c:v>1.13215360438965</c:v>
                </c:pt>
                <c:pt idx="13">
                  <c:v>1.13609882644499</c:v>
                </c:pt>
                <c:pt idx="14">
                  <c:v>1.14375329439761</c:v>
                </c:pt>
                <c:pt idx="15">
                  <c:v>1.15131514379739</c:v>
                </c:pt>
                <c:pt idx="16">
                  <c:v>1.15862076629849</c:v>
                </c:pt>
                <c:pt idx="17">
                  <c:v>1.16539005904628</c:v>
                </c:pt>
                <c:pt idx="18">
                  <c:v>1.17163004249228</c:v>
                </c:pt>
                <c:pt idx="19">
                  <c:v>1.17770498967861</c:v>
                </c:pt>
                <c:pt idx="20">
                  <c:v>1.18353581365766</c:v>
                </c:pt>
                <c:pt idx="21">
                  <c:v>1.18873216477467</c:v>
                </c:pt>
                <c:pt idx="22">
                  <c:v>1.19326405586244</c:v>
                </c:pt>
                <c:pt idx="23">
                  <c:v>1.19351050927412</c:v>
                </c:pt>
                <c:pt idx="24">
                  <c:v>1.19372190306028</c:v>
                </c:pt>
                <c:pt idx="25">
                  <c:v>1.19511464425533</c:v>
                </c:pt>
                <c:pt idx="26">
                  <c:v>1.19844596235289</c:v>
                </c:pt>
                <c:pt idx="27">
                  <c:v>1.20139169164031</c:v>
                </c:pt>
                <c:pt idx="28">
                  <c:v>1.20394826281892</c:v>
                </c:pt>
                <c:pt idx="29">
                  <c:v>1.20609405195611</c:v>
                </c:pt>
                <c:pt idx="30">
                  <c:v>1.20781737589483</c:v>
                </c:pt>
                <c:pt idx="31">
                  <c:v>1.20907900405543</c:v>
                </c:pt>
                <c:pt idx="32">
                  <c:v>1.20988309734143</c:v>
                </c:pt>
                <c:pt idx="33">
                  <c:v>1.21023853709463</c:v>
                </c:pt>
                <c:pt idx="34">
                  <c:v>1.21042919900898</c:v>
                </c:pt>
                <c:pt idx="35">
                  <c:v>1.21025201040332</c:v>
                </c:pt>
                <c:pt idx="36">
                  <c:v>1.20973614843791</c:v>
                </c:pt>
                <c:pt idx="37">
                  <c:v>1.20891891070404</c:v>
                </c:pt>
                <c:pt idx="38">
                  <c:v>1.20782108828739</c:v>
                </c:pt>
                <c:pt idx="39">
                  <c:v>1.2064572248843</c:v>
                </c:pt>
                <c:pt idx="40">
                  <c:v>1.20486500971725</c:v>
                </c:pt>
                <c:pt idx="41">
                  <c:v>1.20307804118539</c:v>
                </c:pt>
                <c:pt idx="42">
                  <c:v>1.2011318438988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13D-40BB-B8D7-BAA5CF42BB74}"/>
            </c:ext>
          </c:extLst>
        </c:ser>
        <c:ser>
          <c:idx val="26"/>
          <c:order val="23"/>
          <c:spPr>
            <a:ln w="28575" cap="rnd" cmpd="sng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DEMANDS!$G$126:$CK$126</c:f>
              <c:numCache>
                <c:formatCode>0.00</c:formatCode>
                <c:ptCount val="83"/>
                <c:pt idx="0">
                  <c:v>1</c:v>
                </c:pt>
                <c:pt idx="1">
                  <c:v>1.01327980234713</c:v>
                </c:pt>
                <c:pt idx="2">
                  <c:v>1.0247889643813</c:v>
                </c:pt>
                <c:pt idx="3">
                  <c:v>1.05848751128883</c:v>
                </c:pt>
                <c:pt idx="4">
                  <c:v>1.09329418104227</c:v>
                </c:pt>
                <c:pt idx="5">
                  <c:v>1.12924541249002</c:v>
                </c:pt>
                <c:pt idx="6">
                  <c:v>1.16637884271374</c:v>
                </c:pt>
                <c:pt idx="7">
                  <c:v>1.20473334643038</c:v>
                </c:pt>
                <c:pt idx="8">
                  <c:v>1.24434907668978</c:v>
                </c:pt>
                <c:pt idx="9">
                  <c:v>1.27025554938768</c:v>
                </c:pt>
                <c:pt idx="10">
                  <c:v>1.29670137662863</c:v>
                </c:pt>
                <c:pt idx="11">
                  <c:v>1.32369778739492</c:v>
                </c:pt>
                <c:pt idx="12">
                  <c:v>1.35125624444834</c:v>
                </c:pt>
                <c:pt idx="13">
                  <c:v>1.37938844919735</c:v>
                </c:pt>
                <c:pt idx="14">
                  <c:v>1.39636642598302</c:v>
                </c:pt>
                <c:pt idx="15">
                  <c:v>1.413553373415</c:v>
                </c:pt>
                <c:pt idx="16">
                  <c:v>1.43095186357425</c:v>
                </c:pt>
                <c:pt idx="17">
                  <c:v>1.44856450019979</c:v>
                </c:pt>
                <c:pt idx="18">
                  <c:v>1.46639391907832</c:v>
                </c:pt>
                <c:pt idx="19">
                  <c:v>1.48007024476837</c:v>
                </c:pt>
                <c:pt idx="20">
                  <c:v>1.49387412273612</c:v>
                </c:pt>
                <c:pt idx="21">
                  <c:v>1.50780674259813</c:v>
                </c:pt>
                <c:pt idx="22">
                  <c:v>1.52186930506592</c:v>
                </c:pt>
                <c:pt idx="23">
                  <c:v>1.53606302204946</c:v>
                </c:pt>
                <c:pt idx="24">
                  <c:v>1.54723815392437</c:v>
                </c:pt>
                <c:pt idx="25">
                  <c:v>1.55849458687262</c:v>
                </c:pt>
                <c:pt idx="26">
                  <c:v>1.569832912374</c:v>
                </c:pt>
                <c:pt idx="27">
                  <c:v>1.58125372621141</c:v>
                </c:pt>
                <c:pt idx="28">
                  <c:v>1.59275762850216</c:v>
                </c:pt>
                <c:pt idx="29">
                  <c:v>1.60438009095869</c:v>
                </c:pt>
                <c:pt idx="30">
                  <c:v>1.61608736332675</c:v>
                </c:pt>
                <c:pt idx="31">
                  <c:v>1.62788006447011</c:v>
                </c:pt>
                <c:pt idx="32">
                  <c:v>1.63975881776846</c:v>
                </c:pt>
                <c:pt idx="33">
                  <c:v>1.65172425115032</c:v>
                </c:pt>
                <c:pt idx="34">
                  <c:v>1.66658976941067</c:v>
                </c:pt>
                <c:pt idx="35">
                  <c:v>1.68158907733536</c:v>
                </c:pt>
                <c:pt idx="36">
                  <c:v>1.69672337903138</c:v>
                </c:pt>
                <c:pt idx="37">
                  <c:v>1.71199388944266</c:v>
                </c:pt>
                <c:pt idx="38">
                  <c:v>1.72740183444765</c:v>
                </c:pt>
                <c:pt idx="39">
                  <c:v>1.74294845095768</c:v>
                </c:pt>
                <c:pt idx="40">
                  <c:v>1.7586349870163</c:v>
                </c:pt>
                <c:pt idx="41">
                  <c:v>1.77446270189944</c:v>
                </c:pt>
                <c:pt idx="42">
                  <c:v>1.79043286621654</c:v>
                </c:pt>
                <c:pt idx="43">
                  <c:v>1.80654676201249</c:v>
                </c:pt>
                <c:pt idx="44">
                  <c:v>1.8228056828706</c:v>
                </c:pt>
                <c:pt idx="45">
                  <c:v>1.83921093401643</c:v>
                </c:pt>
                <c:pt idx="46">
                  <c:v>1.85576383242258</c:v>
                </c:pt>
                <c:pt idx="47">
                  <c:v>1.87246570691438</c:v>
                </c:pt>
                <c:pt idx="48">
                  <c:v>1.88931789827661</c:v>
                </c:pt>
                <c:pt idx="49">
                  <c:v>1.9063217593611</c:v>
                </c:pt>
                <c:pt idx="50">
                  <c:v>1.92347865519535</c:v>
                </c:pt>
                <c:pt idx="51">
                  <c:v>1.94078996309211</c:v>
                </c:pt>
                <c:pt idx="52">
                  <c:v>1.95825707275994</c:v>
                </c:pt>
                <c:pt idx="53">
                  <c:v>1.97588138641478</c:v>
                </c:pt>
                <c:pt idx="54">
                  <c:v>1.99366431889251</c:v>
                </c:pt>
                <c:pt idx="55">
                  <c:v>2.01160729776254</c:v>
                </c:pt>
                <c:pt idx="56">
                  <c:v>2.02971176344241</c:v>
                </c:pt>
                <c:pt idx="57">
                  <c:v>2.04797916931339</c:v>
                </c:pt>
                <c:pt idx="58">
                  <c:v>2.06641098183721</c:v>
                </c:pt>
                <c:pt idx="59">
                  <c:v>2.08500868067374</c:v>
                </c:pt>
                <c:pt idx="60">
                  <c:v>2.10377375879981</c:v>
                </c:pt>
                <c:pt idx="61">
                  <c:v>2.122707722629</c:v>
                </c:pt>
                <c:pt idx="62">
                  <c:v>2.14181209213266</c:v>
                </c:pt>
                <c:pt idx="63">
                  <c:v>2.16108840096186</c:v>
                </c:pt>
                <c:pt idx="64">
                  <c:v>2.18053819657051</c:v>
                </c:pt>
                <c:pt idx="65">
                  <c:v>2.20016304033965</c:v>
                </c:pt>
                <c:pt idx="66">
                  <c:v>2.21996450770271</c:v>
                </c:pt>
                <c:pt idx="67">
                  <c:v>2.23994418827203</c:v>
                </c:pt>
                <c:pt idx="68">
                  <c:v>2.26010368596648</c:v>
                </c:pt>
                <c:pt idx="69">
                  <c:v>2.28044461914018</c:v>
                </c:pt>
                <c:pt idx="70">
                  <c:v>2.30096862071244</c:v>
                </c:pt>
                <c:pt idx="71">
                  <c:v>2.32167733829885</c:v>
                </c:pt>
                <c:pt idx="72">
                  <c:v>2.34257243434354</c:v>
                </c:pt>
                <c:pt idx="73">
                  <c:v>2.36365558625263</c:v>
                </c:pt>
                <c:pt idx="74">
                  <c:v>2.3849284865289</c:v>
                </c:pt>
                <c:pt idx="75">
                  <c:v>2.40639284290766</c:v>
                </c:pt>
                <c:pt idx="76">
                  <c:v>2.42805037849383</c:v>
                </c:pt>
                <c:pt idx="77">
                  <c:v>2.44990283190028</c:v>
                </c:pt>
                <c:pt idx="78">
                  <c:v>2.47195195738738</c:v>
                </c:pt>
                <c:pt idx="79">
                  <c:v>2.49419952500386</c:v>
                </c:pt>
                <c:pt idx="80">
                  <c:v>2.5166473207289</c:v>
                </c:pt>
                <c:pt idx="81">
                  <c:v>2.53929714661546</c:v>
                </c:pt>
                <c:pt idx="82">
                  <c:v>2.562150820935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13D-40BB-B8D7-BAA5CF42BB74}"/>
            </c:ext>
          </c:extLst>
        </c:ser>
        <c:ser>
          <c:idx val="27"/>
          <c:order val="24"/>
          <c:spPr>
            <a:ln w="28575" cap="rnd" cmpd="sng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DEMANDS!$G$127:$CK$127</c:f>
              <c:numCache>
                <c:formatCode>0.00</c:formatCode>
                <c:ptCount val="83"/>
                <c:pt idx="0">
                  <c:v>1</c:v>
                </c:pt>
                <c:pt idx="1">
                  <c:v>1.01327980234713</c:v>
                </c:pt>
                <c:pt idx="2">
                  <c:v>1.02478896438131</c:v>
                </c:pt>
                <c:pt idx="3">
                  <c:v>1.05848751128883</c:v>
                </c:pt>
                <c:pt idx="4">
                  <c:v>1.09329418104227</c:v>
                </c:pt>
                <c:pt idx="5">
                  <c:v>1.12924541249002</c:v>
                </c:pt>
                <c:pt idx="6">
                  <c:v>1.16637884271375</c:v>
                </c:pt>
                <c:pt idx="7">
                  <c:v>1.20473334643038</c:v>
                </c:pt>
                <c:pt idx="8">
                  <c:v>1.24434907668978</c:v>
                </c:pt>
                <c:pt idx="9">
                  <c:v>1.27025554938768</c:v>
                </c:pt>
                <c:pt idx="10">
                  <c:v>1.29670137662863</c:v>
                </c:pt>
                <c:pt idx="11">
                  <c:v>1.32369778739492</c:v>
                </c:pt>
                <c:pt idx="12">
                  <c:v>1.35125624444834</c:v>
                </c:pt>
                <c:pt idx="13">
                  <c:v>1.37938844919735</c:v>
                </c:pt>
                <c:pt idx="14">
                  <c:v>1.39636642598302</c:v>
                </c:pt>
                <c:pt idx="15">
                  <c:v>1.413553373415</c:v>
                </c:pt>
                <c:pt idx="16">
                  <c:v>1.43095186357425</c:v>
                </c:pt>
                <c:pt idx="17">
                  <c:v>1.44856450019979</c:v>
                </c:pt>
                <c:pt idx="18">
                  <c:v>1.46639391907832</c:v>
                </c:pt>
                <c:pt idx="19">
                  <c:v>1.48007024476837</c:v>
                </c:pt>
                <c:pt idx="20">
                  <c:v>1.49387412273612</c:v>
                </c:pt>
                <c:pt idx="21">
                  <c:v>1.50780674259813</c:v>
                </c:pt>
                <c:pt idx="22">
                  <c:v>1.52186930506593</c:v>
                </c:pt>
                <c:pt idx="23">
                  <c:v>1.53606302204946</c:v>
                </c:pt>
                <c:pt idx="24">
                  <c:v>1.54723815392437</c:v>
                </c:pt>
                <c:pt idx="25">
                  <c:v>1.55849458687262</c:v>
                </c:pt>
                <c:pt idx="26">
                  <c:v>1.569832912374</c:v>
                </c:pt>
                <c:pt idx="27">
                  <c:v>1.58125372621141</c:v>
                </c:pt>
                <c:pt idx="28">
                  <c:v>1.59275762850216</c:v>
                </c:pt>
                <c:pt idx="29">
                  <c:v>1.60438009095869</c:v>
                </c:pt>
                <c:pt idx="30">
                  <c:v>1.61608736332675</c:v>
                </c:pt>
                <c:pt idx="31">
                  <c:v>1.62788006447012</c:v>
                </c:pt>
                <c:pt idx="32">
                  <c:v>1.63975881776846</c:v>
                </c:pt>
                <c:pt idx="33">
                  <c:v>1.65172425115032</c:v>
                </c:pt>
                <c:pt idx="34">
                  <c:v>1.66658976941067</c:v>
                </c:pt>
                <c:pt idx="35">
                  <c:v>1.68158907733537</c:v>
                </c:pt>
                <c:pt idx="36">
                  <c:v>1.69672337903138</c:v>
                </c:pt>
                <c:pt idx="37">
                  <c:v>1.71199388944267</c:v>
                </c:pt>
                <c:pt idx="38">
                  <c:v>1.72740183444765</c:v>
                </c:pt>
                <c:pt idx="39">
                  <c:v>1.74294845095768</c:v>
                </c:pt>
                <c:pt idx="40">
                  <c:v>1.7586349870163</c:v>
                </c:pt>
                <c:pt idx="41">
                  <c:v>1.77446270189944</c:v>
                </c:pt>
                <c:pt idx="42">
                  <c:v>1.79043286621654</c:v>
                </c:pt>
                <c:pt idx="43">
                  <c:v>1.80654676201249</c:v>
                </c:pt>
                <c:pt idx="44">
                  <c:v>1.8228056828706</c:v>
                </c:pt>
                <c:pt idx="45">
                  <c:v>1.83921093401644</c:v>
                </c:pt>
                <c:pt idx="46">
                  <c:v>1.85576383242258</c:v>
                </c:pt>
                <c:pt idx="47">
                  <c:v>1.87246570691439</c:v>
                </c:pt>
                <c:pt idx="48">
                  <c:v>1.88931789827662</c:v>
                </c:pt>
                <c:pt idx="49">
                  <c:v>1.9063217593611</c:v>
                </c:pt>
                <c:pt idx="50">
                  <c:v>1.92347865519535</c:v>
                </c:pt>
                <c:pt idx="51">
                  <c:v>1.94078996309211</c:v>
                </c:pt>
                <c:pt idx="52">
                  <c:v>1.95825707275994</c:v>
                </c:pt>
                <c:pt idx="53">
                  <c:v>1.97588138641478</c:v>
                </c:pt>
                <c:pt idx="54">
                  <c:v>1.99366431889251</c:v>
                </c:pt>
                <c:pt idx="55">
                  <c:v>2.01160729776255</c:v>
                </c:pt>
                <c:pt idx="56">
                  <c:v>2.02971176344241</c:v>
                </c:pt>
                <c:pt idx="57">
                  <c:v>2.04797916931339</c:v>
                </c:pt>
                <c:pt idx="58">
                  <c:v>2.06641098183721</c:v>
                </c:pt>
                <c:pt idx="59">
                  <c:v>2.08500868067374</c:v>
                </c:pt>
                <c:pt idx="60">
                  <c:v>2.10377375879981</c:v>
                </c:pt>
                <c:pt idx="61">
                  <c:v>2.12270772262901</c:v>
                </c:pt>
                <c:pt idx="62">
                  <c:v>2.14181209213267</c:v>
                </c:pt>
                <c:pt idx="63">
                  <c:v>2.16108840096186</c:v>
                </c:pt>
                <c:pt idx="64">
                  <c:v>2.18053819657052</c:v>
                </c:pt>
                <c:pt idx="65">
                  <c:v>2.20016304033965</c:v>
                </c:pt>
                <c:pt idx="66">
                  <c:v>2.21996450770271</c:v>
                </c:pt>
                <c:pt idx="67">
                  <c:v>2.23994418827203</c:v>
                </c:pt>
                <c:pt idx="68">
                  <c:v>2.26010368596648</c:v>
                </c:pt>
                <c:pt idx="69">
                  <c:v>2.28044461914018</c:v>
                </c:pt>
                <c:pt idx="70">
                  <c:v>2.30096862071244</c:v>
                </c:pt>
                <c:pt idx="71">
                  <c:v>2.32167733829885</c:v>
                </c:pt>
                <c:pt idx="72">
                  <c:v>2.34257243434354</c:v>
                </c:pt>
                <c:pt idx="73">
                  <c:v>2.36365558625263</c:v>
                </c:pt>
                <c:pt idx="74">
                  <c:v>2.38492848652891</c:v>
                </c:pt>
                <c:pt idx="75">
                  <c:v>2.40639284290767</c:v>
                </c:pt>
                <c:pt idx="76">
                  <c:v>2.42805037849383</c:v>
                </c:pt>
                <c:pt idx="77">
                  <c:v>2.44990283190028</c:v>
                </c:pt>
                <c:pt idx="78">
                  <c:v>2.47195195738738</c:v>
                </c:pt>
                <c:pt idx="79">
                  <c:v>2.49419952500387</c:v>
                </c:pt>
                <c:pt idx="80">
                  <c:v>2.5166473207289</c:v>
                </c:pt>
                <c:pt idx="81">
                  <c:v>2.53929714661546</c:v>
                </c:pt>
                <c:pt idx="82">
                  <c:v>2.562150820935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13D-40BB-B8D7-BAA5CF42BB74}"/>
            </c:ext>
          </c:extLst>
        </c:ser>
        <c:ser>
          <c:idx val="29"/>
          <c:order val="25"/>
          <c:spPr>
            <a:ln w="28575" cap="rnd" cmpd="sng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DEMANDS!$G$129:$CK$129</c:f>
              <c:numCache>
                <c:formatCode>0.00</c:formatCode>
                <c:ptCount val="83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1.04166666666667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1.125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1.19791666666667</c:v>
                </c:pt>
                <c:pt idx="33">
                  <c:v>1.19791666666667</c:v>
                </c:pt>
                <c:pt idx="34">
                  <c:v>1.19791666666667</c:v>
                </c:pt>
                <c:pt idx="35">
                  <c:v>1.19791666666667</c:v>
                </c:pt>
                <c:pt idx="36">
                  <c:v>1.19791666666667</c:v>
                </c:pt>
                <c:pt idx="37">
                  <c:v>1.19791666666667</c:v>
                </c:pt>
                <c:pt idx="38">
                  <c:v>1.19791666666667</c:v>
                </c:pt>
                <c:pt idx="39">
                  <c:v>1.19791666666667</c:v>
                </c:pt>
                <c:pt idx="40">
                  <c:v>1.19791666666667</c:v>
                </c:pt>
                <c:pt idx="41">
                  <c:v>1.19791666666667</c:v>
                </c:pt>
                <c:pt idx="42">
                  <c:v>1.19791666666667</c:v>
                </c:pt>
                <c:pt idx="43">
                  <c:v>1.19791666666667</c:v>
                </c:pt>
                <c:pt idx="44">
                  <c:v>1.19791666666667</c:v>
                </c:pt>
                <c:pt idx="45">
                  <c:v>1.19791666666667</c:v>
                </c:pt>
                <c:pt idx="46">
                  <c:v>1.19791666666667</c:v>
                </c:pt>
                <c:pt idx="47">
                  <c:v>1.19791666666667</c:v>
                </c:pt>
                <c:pt idx="48">
                  <c:v>1.19791666666667</c:v>
                </c:pt>
                <c:pt idx="49">
                  <c:v>1.19791666666667</c:v>
                </c:pt>
                <c:pt idx="50">
                  <c:v>1.19791666666667</c:v>
                </c:pt>
                <c:pt idx="51">
                  <c:v>1.19791666666667</c:v>
                </c:pt>
                <c:pt idx="52">
                  <c:v>1.19791666666667</c:v>
                </c:pt>
                <c:pt idx="53">
                  <c:v>1.19791666666667</c:v>
                </c:pt>
                <c:pt idx="54">
                  <c:v>1.19791666666667</c:v>
                </c:pt>
                <c:pt idx="55">
                  <c:v>1.19791666666667</c:v>
                </c:pt>
                <c:pt idx="56">
                  <c:v>1.19791666666667</c:v>
                </c:pt>
                <c:pt idx="57">
                  <c:v>1.19791666666667</c:v>
                </c:pt>
                <c:pt idx="58">
                  <c:v>1.19791666666667</c:v>
                </c:pt>
                <c:pt idx="59">
                  <c:v>1.19791666666667</c:v>
                </c:pt>
                <c:pt idx="60">
                  <c:v>1.19791666666667</c:v>
                </c:pt>
                <c:pt idx="61">
                  <c:v>1.19791666666667</c:v>
                </c:pt>
                <c:pt idx="62">
                  <c:v>1.19791666666667</c:v>
                </c:pt>
                <c:pt idx="63">
                  <c:v>1.19791666666667</c:v>
                </c:pt>
                <c:pt idx="64">
                  <c:v>1.19791666666667</c:v>
                </c:pt>
                <c:pt idx="65">
                  <c:v>1.19791666666667</c:v>
                </c:pt>
                <c:pt idx="66">
                  <c:v>1.19791666666667</c:v>
                </c:pt>
                <c:pt idx="67">
                  <c:v>1.19791666666667</c:v>
                </c:pt>
                <c:pt idx="68">
                  <c:v>1.19791666666667</c:v>
                </c:pt>
                <c:pt idx="69">
                  <c:v>1.19791666666667</c:v>
                </c:pt>
                <c:pt idx="70">
                  <c:v>1.19791666666667</c:v>
                </c:pt>
                <c:pt idx="71">
                  <c:v>1.19791666666667</c:v>
                </c:pt>
                <c:pt idx="72">
                  <c:v>1.19791666666667</c:v>
                </c:pt>
                <c:pt idx="73">
                  <c:v>1.19791666666667</c:v>
                </c:pt>
                <c:pt idx="74">
                  <c:v>1.19791666666667</c:v>
                </c:pt>
                <c:pt idx="75">
                  <c:v>1.19791666666667</c:v>
                </c:pt>
                <c:pt idx="76">
                  <c:v>1.19791666666667</c:v>
                </c:pt>
                <c:pt idx="77">
                  <c:v>1.19791666666667</c:v>
                </c:pt>
                <c:pt idx="78">
                  <c:v>1.19791666666667</c:v>
                </c:pt>
                <c:pt idx="79">
                  <c:v>1.19791666666667</c:v>
                </c:pt>
                <c:pt idx="80">
                  <c:v>1.19791666666667</c:v>
                </c:pt>
                <c:pt idx="81">
                  <c:v>1.19791666666667</c:v>
                </c:pt>
                <c:pt idx="82">
                  <c:v>1.19791666666667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13D-40BB-B8D7-BAA5CF42BB74}"/>
            </c:ext>
          </c:extLst>
        </c:ser>
        <c:ser>
          <c:idx val="30"/>
          <c:order val="26"/>
          <c:spPr>
            <a:ln w="28575" cap="rnd" cmpd="sng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DEMANDS!$G$130:$CK$130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13D-40BB-B8D7-BAA5CF42BB74}"/>
            </c:ext>
          </c:extLst>
        </c:ser>
        <c:ser>
          <c:idx val="31"/>
          <c:order val="27"/>
          <c:spPr>
            <a:ln w="28575" cap="rnd" cmpd="sng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DEMANDS!$G$131:$CK$131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13D-40BB-B8D7-BAA5CF42BB74}"/>
            </c:ext>
          </c:extLst>
        </c:ser>
        <c:ser>
          <c:idx val="32"/>
          <c:order val="28"/>
          <c:spPr>
            <a:ln w="28575" cap="rnd" cmpd="sng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DEMANDS!$G$132:$CK$132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13D-40BB-B8D7-BAA5CF42BB74}"/>
            </c:ext>
          </c:extLst>
        </c:ser>
        <c:ser>
          <c:idx val="33"/>
          <c:order val="29"/>
          <c:spPr>
            <a:ln w="28575" cap="rnd" cmpd="sng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DEMANDS!$G$133:$CK$133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C13D-40BB-B8D7-BAA5CF42BB74}"/>
            </c:ext>
          </c:extLst>
        </c:ser>
        <c:ser>
          <c:idx val="34"/>
          <c:order val="30"/>
          <c:spPr>
            <a:ln w="28575" cap="rnd" cmpd="sng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DEMANDS!$G$134:$CK$134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13D-40BB-B8D7-BAA5CF42BB74}"/>
            </c:ext>
          </c:extLst>
        </c:ser>
        <c:ser>
          <c:idx val="35"/>
          <c:order val="31"/>
          <c:spPr>
            <a:ln w="28575" cap="rnd" cmpd="sng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DEMANDS!$G$135:$CK$135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C13D-40BB-B8D7-BAA5CF42B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axId val="16644558"/>
        <c:axId val="39180565"/>
      </c:lineChart>
      <c:catAx>
        <c:axId val="166445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80565"/>
        <c:crosses val="autoZero"/>
        <c:auto val="1"/>
        <c:lblOffset val="100"/>
        <c:noMultiLvlLbl val="0"/>
      </c:catAx>
      <c:valAx>
        <c:axId val="39180565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>
            <a:noFill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4558"/>
        <c:crosses val="autoZero"/>
        <c:crossBetween val="between"/>
      </c:valAx>
      <c:spPr>
        <a:noFill/>
        <a:ln w="6350">
          <a:noFill/>
        </a:ln>
        <a:effectLst/>
      </c:spPr>
    </c:plotArea>
    <c:legend>
      <c:legendPos val="b"/>
      <c:layout/>
      <c:overlay val="0"/>
      <c:spPr>
        <a:noFill/>
        <a:ln w="6350">
          <a:noFill/>
        </a:ln>
        <a:effectLst/>
      </c:spPr>
      <c:txPr>
        <a:bodyPr vert="horz" rot="0" spcFirstLastPara="1" vertOverflow="ellipsis" anchor="ctr" anchorCtr="1" wrap="square"/>
        <a:lstStyle/>
        <a:p>
          <a:pPr algn="ctr">
            <a:defRPr lang="en-US" sz="900" b="0" i="0" u="none" baseline="0" kern="12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 w="6350">
          <a:noFill/>
        </a:ln>
        <a:effectLst/>
      </c:spPr>
      <c:txPr>
        <a:bodyPr vert="horz" rot="0" spcFirstLastPara="1" vertOverflow="ellipsis" anchor="ctr" anchorCtr="1" wrap="square"/>
        <a:lstStyle/>
        <a:p>
          <a:pPr>
            <a:defRPr lang="en-US" sz="1400" b="0" i="0" u="none" baseline="0" kern="120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Sheet1!$B$9</c:f>
              <c:strCache>
                <c:ptCount val="1"/>
                <c:pt idx="0">
                  <c:v>Dairy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 cmpd="sng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txPr>
                <a:bodyPr vert="horz" rot="0" spcFirstLastPara="1" vertOverflow="ellipsis" anchor="ctr" anchorCtr="1" wrap="square"/>
                <a:lstStyle/>
                <a:p>
                  <a:pPr algn="ctr">
                    <a:defRPr lang="en-US" sz="900" b="0" i="0" u="none" baseline="0" kern="120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numFmt formatCode="General"/>
              <c:spPr>
                <a:noFill/>
                <a:ln w="6350">
                  <a:noFill/>
                </a:ln>
                <a:effectLst/>
              </c:spPr>
            </c:trendlineLbl>
          </c:trendline>
          <c:cat>
            <c:numRef>
              <c:f>Sheet1!$C$8:$L$8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2030</c:v>
                </c:pt>
                <c:pt idx="6">
                  <c:v>2040</c:v>
                </c:pt>
                <c:pt idx="7">
                  <c:v>2050</c:v>
                </c:pt>
                <c:pt idx="8">
                  <c:v>2060</c:v>
                </c:pt>
                <c:pt idx="9">
                  <c:v>2070</c:v>
                </c:pt>
              </c:numCache>
            </c:numRef>
          </c:cat>
          <c:val>
            <c:numRef>
              <c:f>Sheet1!$C$9:$L$9</c:f>
              <c:numCache>
                <c:formatCode>General</c:formatCode>
                <c:ptCount val="10"/>
                <c:pt idx="0">
                  <c:v>8133</c:v>
                </c:pt>
                <c:pt idx="1">
                  <c:v>8373.94</c:v>
                </c:pt>
                <c:pt idx="2">
                  <c:v>8642.5</c:v>
                </c:pt>
                <c:pt idx="3">
                  <c:v>8968.4</c:v>
                </c:pt>
                <c:pt idx="4">
                  <c:v>9442</c:v>
                </c:pt>
                <c:pt idx="5">
                  <c:v>10433</c:v>
                </c:pt>
                <c:pt idx="6">
                  <c:v>12346</c:v>
                </c:pt>
                <c:pt idx="7">
                  <c:v>13003</c:v>
                </c:pt>
                <c:pt idx="8">
                  <c:v>14978.5440104165</c:v>
                </c:pt>
                <c:pt idx="9">
                  <c:v>16475.5030464929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DC-4D00-B742-BF72DBE29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axId val="50513297"/>
        <c:axId val="44438823"/>
      </c:lineChart>
      <c:lineChart>
        <c:grouping val="standard"/>
        <c:varyColors val="0"/>
        <c:ser>
          <c:idx val="1"/>
          <c:order val="1"/>
          <c:tx>
            <c:strRef>
              <c:f>Sheet1!$B$10</c:f>
              <c:strCache>
                <c:ptCount val="1"/>
                <c:pt idx="0">
                  <c:v>Non dairy 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 cmpd="sng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txPr>
                <a:bodyPr vert="horz" rot="0" spcFirstLastPara="1" vertOverflow="ellipsis" anchor="ctr" anchorCtr="1" wrap="square"/>
                <a:lstStyle/>
                <a:p>
                  <a:pPr algn="ctr">
                    <a:defRPr lang="en-US" sz="900" b="0" i="0" u="none" baseline="0" kern="120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numFmt formatCode="General"/>
              <c:spPr>
                <a:noFill/>
                <a:ln w="6350">
                  <a:noFill/>
                </a:ln>
                <a:effectLst/>
              </c:spPr>
            </c:trendlineLbl>
          </c:trendline>
          <c:cat>
            <c:numRef>
              <c:f>Sheet1!$C$8:$L$8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2030</c:v>
                </c:pt>
                <c:pt idx="6">
                  <c:v>2040</c:v>
                </c:pt>
                <c:pt idx="7">
                  <c:v>2050</c:v>
                </c:pt>
                <c:pt idx="8">
                  <c:v>2060</c:v>
                </c:pt>
                <c:pt idx="9">
                  <c:v>2070</c:v>
                </c:pt>
              </c:numCache>
            </c:numRef>
          </c:cat>
          <c:val>
            <c:numRef>
              <c:f>Sheet1!$C$10:$L$10</c:f>
              <c:numCache>
                <c:formatCode>General</c:formatCode>
                <c:ptCount val="10"/>
                <c:pt idx="0">
                  <c:v>5.836</c:v>
                </c:pt>
                <c:pt idx="1">
                  <c:v>5.68</c:v>
                </c:pt>
                <c:pt idx="2">
                  <c:v>5.71</c:v>
                </c:pt>
                <c:pt idx="3">
                  <c:v>5.72</c:v>
                </c:pt>
                <c:pt idx="4">
                  <c:v>5.742</c:v>
                </c:pt>
                <c:pt idx="5">
                  <c:v>5.256</c:v>
                </c:pt>
                <c:pt idx="6">
                  <c:v>5.125</c:v>
                </c:pt>
                <c:pt idx="7">
                  <c:v>4.993</c:v>
                </c:pt>
                <c:pt idx="8">
                  <c:v>4.64965816838968</c:v>
                </c:pt>
                <c:pt idx="9">
                  <c:v>4.40214894785395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DC-4D00-B742-BF72DBE29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upDownBars>
          <c:upBars>
            <c:spPr>
              <a:solidFill>
                <a:schemeClr val="bg1"/>
              </a:solidFill>
              <a:ln w="9525" cap="flat" cmpd="sng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tx1">
                  <a:lumMod val="65000"/>
                  <a:lumOff val="35000"/>
                </a:schemeClr>
              </a:solidFill>
              <a:ln w="9525" cap="flat" cmpd="sng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axId val="10606842"/>
        <c:axId val="17736046"/>
      </c:lineChart>
      <c:catAx>
        <c:axId val="505132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38823"/>
        <c:crosses val="autoZero"/>
        <c:auto val="1"/>
        <c:lblOffset val="100"/>
        <c:noMultiLvlLbl val="0"/>
      </c:catAx>
      <c:valAx>
        <c:axId val="44438823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>
            <a:noFill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13297"/>
        <c:crosses val="autoZero"/>
        <c:crossBetween val="between"/>
      </c:valAx>
      <c:catAx>
        <c:axId val="10606842"/>
        <c:scaling>
          <c:orientation val="minMax"/>
        </c:scaling>
        <c:delete val="1"/>
        <c:axPos val="b"/>
        <c:majorTickMark val="out"/>
        <c:minorTickMark val="none"/>
        <c:tickLblPos val="nextTo"/>
        <c:spPr>
          <a:ln w="6350" cap="flat" cmpd="sng"/>
          <a:effectLst/>
        </c:spPr>
        <c:crossAx val="17736046"/>
        <c:crosses val="autoZero"/>
        <c:auto val="1"/>
        <c:lblOffset val="100"/>
        <c:noMultiLvlLbl val="0"/>
      </c:catAx>
      <c:valAx>
        <c:axId val="1773604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>
            <a:noFill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6842"/>
        <c:crosses val="max"/>
        <c:crossBetween val="between"/>
      </c:valAx>
      <c:spPr>
        <a:noFill/>
        <a:ln w="6350">
          <a:noFill/>
        </a:ln>
        <a:effectLst/>
      </c:spPr>
    </c:plotArea>
    <c:legend>
      <c:legendPos val="b"/>
      <c:layout/>
      <c:overlay val="0"/>
      <c:spPr>
        <a:noFill/>
        <a:ln w="6350">
          <a:noFill/>
        </a:ln>
        <a:effectLst/>
      </c:spPr>
      <c:txPr>
        <a:bodyPr vert="horz" rot="0" spcFirstLastPara="1" vertOverflow="ellipsis" anchor="ctr" anchorCtr="1" wrap="square"/>
        <a:lstStyle/>
        <a:p>
          <a:pPr algn="ctr">
            <a:defRPr lang="en-US" sz="900" b="0" i="0" u="none" baseline="0" kern="12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Props/ctrProp1.xml><?xml version="1.0" encoding="utf-8"?>
<formControlPr xmlns="http://schemas.microsoft.com/office/spreadsheetml/2009/9/main" objectType="Drop" dropLines="8" dropStyle="Combo" dx="15" noThreeD="1" sel="1" fmlaLink="$A$4" fmlaRange="$A$5:$A$7"/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../media/image1.png" /><Relationship Id="rId4" Type="http://schemas.openxmlformats.org/officeDocument/2006/relationships/image" Target="../media/image2.png" /><Relationship Id="rId2" Type="http://schemas.openxmlformats.org/officeDocument/2006/relationships/image" Target="../media/image1.jpeg" /><Relationship Id="rId1" Type="http://schemas.openxmlformats.org/officeDocument/2006/relationships/image" Target="../media/image3.png" /><Relationship Id="rId6" Type="http://schemas.openxmlformats.org/officeDocument/2006/relationships/image" Target="../media/image2.jpeg" /><Relationship Id="rId5" Type="http://schemas.openxmlformats.org/officeDocument/2006/relationships/image" Target="../media/image4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0"/>
          <a:ext cx="5800725" cy="2209800"/>
        </a:xfrm>
        <a:prstGeom prst="rect"/>
      </xdr:spPr>
    </xdr:pic>
    <xdr:clientData/>
  </xdr:twoCellAnchor>
  <xdr:twoCellAnchor editAs="oneCell">
    <xdr:from>
      <xdr:col>0</xdr:col>
      <xdr:colOff>19050</xdr:colOff>
      <xdr:row>39</xdr:row>
      <xdr:rowOff>0</xdr:rowOff>
    </xdr:from>
    <xdr:to>
      <xdr:col>1</xdr:col>
      <xdr:colOff>2683</xdr:colOff>
      <xdr:row>42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r:embed="rId2"/>
        <a:srcRect l="4278" t="8593" r="7406" b="12585"/>
        <a:stretch>
          <a:fillRect/>
        </a:stretch>
      </xdr:blipFill>
      <xdr:spPr>
        <a:xfrm>
          <a:off x="19050" y="8829675"/>
          <a:ext cx="1428750" cy="542925"/>
        </a:xfrm>
        <a:prstGeom prst="rect"/>
      </xdr:spPr>
    </xdr:pic>
    <xdr:clientData/>
  </xdr:twoCellAnchor>
  <xdr:twoCellAnchor editAs="oneCell">
    <xdr:from>
      <xdr:col>1</xdr:col>
      <xdr:colOff>509323</xdr:colOff>
      <xdr:row>39</xdr:row>
      <xdr:rowOff>0</xdr:rowOff>
    </xdr:from>
    <xdr:to>
      <xdr:col>2</xdr:col>
      <xdr:colOff>312511</xdr:colOff>
      <xdr:row>42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52625" y="8829675"/>
          <a:ext cx="1247775" cy="542925"/>
        </a:xfrm>
        <a:prstGeom prst="rect"/>
      </xdr:spPr>
    </xdr:pic>
    <xdr:clientData/>
  </xdr:twoCellAnchor>
  <xdr:twoCellAnchor editAs="oneCell">
    <xdr:from>
      <xdr:col>2</xdr:col>
      <xdr:colOff>838201</xdr:colOff>
      <xdr:row>39</xdr:row>
      <xdr:rowOff>0</xdr:rowOff>
    </xdr:from>
    <xdr:to>
      <xdr:col>3</xdr:col>
      <xdr:colOff>1408474</xdr:colOff>
      <xdr:row>42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733800" y="8829675"/>
          <a:ext cx="2019300" cy="542925"/>
        </a:xfrm>
        <a:prstGeom prst="rect"/>
      </xdr:spPr>
    </xdr:pic>
    <xdr:clientData/>
  </xdr:twoCellAnchor>
  <xdr:twoCellAnchor editAs="oneCell">
    <xdr:from>
      <xdr:col>2</xdr:col>
      <xdr:colOff>732675</xdr:colOff>
      <xdr:row>34</xdr:row>
      <xdr:rowOff>104775</xdr:rowOff>
    </xdr:from>
    <xdr:to>
      <xdr:col>3</xdr:col>
      <xdr:colOff>685800</xdr:colOff>
      <xdr:row>37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r:embed="rId5"/>
        <a:srcRect l="1028" t="6250" r="3671" b="6250"/>
        <a:stretch>
          <a:fillRect/>
        </a:stretch>
      </xdr:blipFill>
      <xdr:spPr>
        <a:xfrm>
          <a:off x="3629025" y="8029575"/>
          <a:ext cx="1400175" cy="542925"/>
        </a:xfrm>
        <a:prstGeom prst="rect"/>
      </xdr:spPr>
    </xdr:pic>
    <xdr:clientData/>
  </xdr:twoCellAnchor>
  <xdr:twoCellAnchor editAs="oneCell">
    <xdr:from>
      <xdr:col>0</xdr:col>
      <xdr:colOff>666750</xdr:colOff>
      <xdr:row>35</xdr:row>
      <xdr:rowOff>28575</xdr:rowOff>
    </xdr:from>
    <xdr:to>
      <xdr:col>1</xdr:col>
      <xdr:colOff>895350</xdr:colOff>
      <xdr:row>37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rrowheads="1" noChangeAspect="1"/>
        </xdr:cNvPicPr>
      </xdr:nvPicPr>
      <xdr:blipFill>
        <a:blip r:embed="rId6"/>
        <a:srcRect l="3659" t="25914" r="3659" b="25914"/>
        <a:stretch>
          <a:fillRect/>
        </a:stretch>
      </xdr:blipFill>
      <xdr:spPr bwMode="auto">
        <a:xfrm>
          <a:off x="666750" y="8134350"/>
          <a:ext cx="1676400" cy="409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60</xdr:col>
      <xdr:colOff>324969</xdr:colOff>
      <xdr:row>107</xdr:row>
      <xdr:rowOff>11206</xdr:rowOff>
    </xdr:from>
    <xdr:to>
      <xdr:col>78</xdr:col>
      <xdr:colOff>78441</xdr:colOff>
      <xdr:row>142</xdr:row>
      <xdr:rowOff>145676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c26bd9d1-8233-e763-06c7-e3376f7a0ae3}"/>
            </a:ext>
          </a:extLst>
        </xdr:cNvPr>
        <xdr:cNvGraphicFramePr/>
      </xdr:nvGraphicFramePr>
      <xdr:xfrm>
        <a:off x="38538150" y="19411950"/>
        <a:ext cx="10210800" cy="64674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17</xdr:col>
      <xdr:colOff>303390</xdr:colOff>
      <xdr:row>9</xdr:row>
      <xdr:rowOff>25363</xdr:rowOff>
    </xdr:from>
    <xdr:to>
      <xdr:col>30</xdr:col>
      <xdr:colOff>232836</xdr:colOff>
      <xdr:row>21</xdr:row>
      <xdr:rowOff>127113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3a641f-2f06-86c6-7bb0-2330164e126d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25575" y="1885950"/>
          <a:ext cx="7858125" cy="2562225"/>
        </a:xfrm>
        <a:prstGeom prst="rect"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19</xdr:col>
      <xdr:colOff>490538</xdr:colOff>
      <xdr:row>18</xdr:row>
      <xdr:rowOff>106362</xdr:rowOff>
    </xdr:from>
    <xdr:to>
      <xdr:col>35</xdr:col>
      <xdr:colOff>114784</xdr:colOff>
      <xdr:row>34</xdr:row>
      <xdr:rowOff>36661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73fdb1-c9d4-df08-40e6-ec57310094af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49275" y="3371850"/>
          <a:ext cx="9382125" cy="2838450"/>
        </a:xfrm>
        <a:prstGeom prst="rect"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3</xdr:col>
      <xdr:colOff>409575</xdr:colOff>
      <xdr:row>16</xdr:row>
      <xdr:rowOff>177800</xdr:rowOff>
    </xdr:from>
    <xdr:to>
      <xdr:col>14</xdr:col>
      <xdr:colOff>584200</xdr:colOff>
      <xdr:row>47</xdr:row>
      <xdr:rowOff>38100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d94627c5-e18f-01f4-cbbd-7a5914c25156}"/>
            </a:ext>
          </a:extLst>
        </xdr:cNvPr>
        <xdr:cNvGraphicFramePr/>
      </xdr:nvGraphicFramePr>
      <xdr:xfrm>
        <a:off x="2238375" y="3076575"/>
        <a:ext cx="7124700" cy="54673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31750</xdr:colOff>
          <xdr:row>3</xdr:row>
          <xdr:rowOff>0</xdr:rowOff>
        </xdr:to>
        <xdr:sp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700-000001040000}"/>
                </a:ext>
              </a:extLst>
            </xdr:cNvPr>
            <xdr:cNvSpPr>
              <a:spLocks noRot="1" noTextEdit="1"/>
            </xdr:cNvSpPr>
          </xdr:nvSpPr>
          <xdr:spPr>
            <a:xfrm>
              <a:off x="0" y="361950"/>
              <a:ext cx="838200" cy="180975"/>
            </a:xfrm>
            <a:prstGeom prst="rect"/>
            <a:ln>
              <a:noFill/>
            </a:ln>
          </xdr:spPr>
          <xdr:txBody>
            <a:bodyPr lIns="91440" tIns="45720" rIns="91440" bIns="45720"/>
            <a:p/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alyk, Olexandr" id="{0A8A7407-B799-464F-972A-BE460CC4D111}" userId="Balyk, Olexandr" providerId="Non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s4.xml><?xml version="1.0" encoding="utf-8"?>
<ThreadedComments xmlns="http://schemas.microsoft.com/office/spreadsheetml/2018/threadedcomments" xmlns:x="http://schemas.openxmlformats.org/spreadsheetml/2006/main">
  <threadedComment ref="H20" dT="2022-10-12T22:37:02.29" personId="{0A8A7407-B799-464F-972A-BE460CC4D111}" id="{9B57E161-550D-4A4E-97F2-382B8393D1FF}">
    <text>Sum of Eurostat tables: 
1) ROAD_GO_TA_TOTT
2) RAIL_GO_TOTAL</text>
  </threadedComment>
  <threadedComment ref="I20" dT="2022-10-12T22:37:46.05" personId="{0A8A7407-B799-464F-972A-BE460CC4D111}" id="{FA644243-5C82-49A2-9E18-155BC945F002}">
    <text>Sum of Eurostat tables: 
1) ROAD_GO_TA_TOTT
2) RAIL_GO_TOTAL</text>
  </threadedComment>
  <threadedComment ref="J20" dT="2022-10-12T22:37:54.36" personId="{0A8A7407-B799-464F-972A-BE460CC4D111}" id="{58A128E1-0CEE-4B03-8BAC-A4332CB39BA7}">
    <text>Sum of Eurostat tables: 
1) ROAD_GO_TA_TOTT
2) RAIL_GO_TOTAL</text>
  </threadedComment>
  <threadedComment ref="H117" dT="2022-10-12T22:37:02.29" personId="{0A8A7407-B799-464F-972A-BE460CC4D111}" id="{005BD459-4167-434A-824B-E28EB95E63A1}">
    <text>Sum of Eurostat tables: 
1) ROAD_GO_TA_TOTT
2) RAIL_GO_TOTAL</text>
  </threadedComment>
  <threadedComment ref="I117" dT="2022-10-12T22:37:46.05" personId="{0A8A7407-B799-464F-972A-BE460CC4D111}" id="{B60F1593-6574-4356-A75A-A449B53F0694}">
    <text>Sum of Eurostat tables: 
1) ROAD_GO_TA_TOTT
2) RAIL_GO_TOTAL</text>
  </threadedComment>
  <threadedComment ref="J117" dT="2022-10-12T22:37:54.36" personId="{0A8A7407-B799-464F-972A-BE460CC4D111}" id="{B19ADDE3-46E4-4537-9333-0A41E976B211}">
    <text>Sum of Eurostat tables: 
1) ROAD_GO_TA_TOTT
2) RAIL_GO_TOTAL</text>
  </threadedComment>
</ThreadedComments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1.bin" /><Relationship Id="rId2" Type="http://schemas.openxmlformats.org/officeDocument/2006/relationships/hyperlink" Target="https://creativecommons.org/licenses/by-nc-sa/4.0/" TargetMode="External" /><Relationship Id="rId3" Type="http://schemas.openxmlformats.org/officeDocument/2006/relationships/drawing" Target="../drawings/drawing1.xml" /><Relationship Id="rId1" Type="http://schemas.openxmlformats.org/officeDocument/2006/relationships/hyperlink" Target="https://github.com/MaREI-EPMG/TIMES-Ireland-model" TargetMode="Externa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3.bin" /><Relationship Id="rId4" Type="http://schemas.openxmlformats.org/officeDocument/2006/relationships/vmlDrawing" Target="../drawings/vmlDrawing1.vml" /><Relationship Id="rId2" Type="http://schemas.microsoft.com/office/2017/10/relationships/threadedComment" Target="../threadedComments/threadedComments4.xml" /><Relationship Id="rId3" Type="http://schemas.openxmlformats.org/officeDocument/2006/relationships/drawing" Target="../drawings/drawing2.xml" /><Relationship Id="rId1" Type="http://schemas.openxmlformats.org/officeDocument/2006/relationships/comments" Target="../comments4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8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4.bin" /><Relationship Id="rId2" Type="http://schemas.openxmlformats.org/officeDocument/2006/relationships/drawing" Target="../drawings/drawing6.xml" /><Relationship Id="rId3" Type="http://schemas.openxmlformats.org/officeDocument/2006/relationships/vmlDrawing" Target="../drawings/vmlDrawing2.vml" /><Relationship Id="rId1" Type="http://schemas.openxmlformats.org/officeDocument/2006/relationships/ctrlProp" Target="../ctrProps/ctrProp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486604C-6682-4AD0-8EED-76C4EDF79850}">
  <sheetPr codeName="Sheet5"/>
  <dimension ref="A1:Z100"/>
  <sheetViews>
    <sheetView showGridLines="0" tabSelected="1" workbookViewId="0" topLeftCell="A18">
      <selection pane="topLeft" activeCell="I34" sqref="I34"/>
    </sheetView>
  </sheetViews>
  <sheetFormatPr defaultColWidth="8.81428571428571" defaultRowHeight="14.5"/>
  <cols>
    <col min="1" max="4" width="21.7142857142857" customWidth="1"/>
    <col min="5" max="6" width="14.1428571428571" customWidth="1"/>
    <col min="7" max="7" width="12.1428571428571" customWidth="1"/>
    <col min="8" max="10" width="8.14285714285714" customWidth="1"/>
    <col min="11" max="11" width="9.71428571428571" customWidth="1"/>
    <col min="12" max="12" width="8.14285714285714" customWidth="1"/>
    <col min="13" max="13" width="10" customWidth="1"/>
    <col min="14" max="14" width="11.4285714285714" customWidth="1"/>
    <col min="15" max="15" width="13.4285714285714" customWidth="1"/>
  </cols>
  <sheetData>
    <row r="1" spans="1:26" ht="14.5">
      <c r="A1" s="39"/>
      <c r="B1" s="39"/>
      <c r="C1" s="39"/>
      <c r="D1" s="39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14.5">
      <c r="A2" s="39"/>
      <c r="B2" s="39"/>
      <c r="C2" s="39"/>
      <c r="D2" s="39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14.5">
      <c r="A3" s="39"/>
      <c r="B3" s="39"/>
      <c r="C3" s="39"/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14.5">
      <c r="A4" s="39"/>
      <c r="B4" s="39"/>
      <c r="C4" s="39"/>
      <c r="D4" s="39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4.5">
      <c r="A5" s="39"/>
      <c r="B5" s="39"/>
      <c r="C5" s="39"/>
      <c r="D5" s="39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4.5">
      <c r="A6" s="39"/>
      <c r="B6" s="39"/>
      <c r="C6" s="39"/>
      <c r="D6" s="39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4.5">
      <c r="A7" s="39"/>
      <c r="B7" s="39"/>
      <c r="C7" s="39"/>
      <c r="D7" s="39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4.5">
      <c r="A8" s="39"/>
      <c r="B8" s="39"/>
      <c r="C8" s="39"/>
      <c r="D8" s="39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4.5">
      <c r="A9" s="39"/>
      <c r="B9" s="39"/>
      <c r="C9" s="39"/>
      <c r="D9" s="39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4.5">
      <c r="A10" s="39"/>
      <c r="B10" s="39"/>
      <c r="C10" s="39"/>
      <c r="D10" s="39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4.5">
      <c r="A11" s="39"/>
      <c r="B11" s="39"/>
      <c r="C11" s="39"/>
      <c r="D11" s="39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4.5">
      <c r="A12" s="39"/>
      <c r="B12" s="39"/>
      <c r="C12" s="39"/>
      <c r="D12" s="39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4.5">
      <c r="A13" s="39"/>
      <c r="B13" s="39"/>
      <c r="C13" s="39"/>
      <c r="D13" s="39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4.5">
      <c r="A14" s="39"/>
      <c r="B14" s="39"/>
      <c r="C14" s="39"/>
      <c r="D14" s="39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4.5">
      <c r="A15" s="39"/>
      <c r="B15" s="39"/>
      <c r="C15" s="39"/>
      <c r="D15" s="39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02.75" customHeight="1">
      <c r="A16" s="5" t="s">
        <v>143</v>
      </c>
      <c r="B16" s="5"/>
      <c r="C16" s="5"/>
      <c r="D16" s="5"/>
      <c r="E16" s="41"/>
      <c r="F16" s="41"/>
      <c r="G16" s="42"/>
      <c r="H16" s="42"/>
      <c r="I16" s="42"/>
      <c r="J16" s="42"/>
      <c r="K16" s="42"/>
      <c r="L16" s="42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7.25" customHeight="1">
      <c r="A17" s="43"/>
      <c r="B17" s="43"/>
      <c r="C17" s="43"/>
      <c r="D17" s="43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7.25" customHeight="1">
      <c r="A18" s="43"/>
      <c r="B18" s="43"/>
      <c r="C18" s="43"/>
      <c r="D18" s="43"/>
      <c r="E18" s="44"/>
      <c r="F18" s="44"/>
      <c r="G18" s="45"/>
      <c r="H18" s="45"/>
      <c r="I18" s="45"/>
      <c r="J18" s="45"/>
      <c r="K18" s="45"/>
      <c r="L18" s="45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7.25" customHeight="1">
      <c r="A19" s="46" t="s">
        <v>144</v>
      </c>
      <c r="B19" s="6" t="s">
        <v>155</v>
      </c>
      <c r="C19" s="6"/>
      <c r="D19" s="6"/>
      <c r="E19" s="47"/>
      <c r="F19" s="47"/>
      <c r="G19" s="48"/>
      <c r="H19" s="48"/>
      <c r="I19" s="48"/>
      <c r="J19" s="48"/>
      <c r="K19" s="48"/>
      <c r="L19" s="48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7.25" customHeight="1">
      <c r="A20" s="46" t="s">
        <v>145</v>
      </c>
      <c r="B20" s="6" t="s">
        <v>156</v>
      </c>
      <c r="C20" s="6"/>
      <c r="D20" s="6"/>
      <c r="E20" s="47"/>
      <c r="F20" s="47"/>
      <c r="G20" s="48"/>
      <c r="H20" s="48"/>
      <c r="I20" s="48"/>
      <c r="J20" s="48"/>
      <c r="K20" s="48"/>
      <c r="L20" s="48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7.25" customHeight="1">
      <c r="A21" s="46" t="s">
        <v>146</v>
      </c>
      <c r="B21" s="10" t="s">
        <v>157</v>
      </c>
      <c r="C21" s="10"/>
      <c r="D21" s="10"/>
      <c r="E21" s="47"/>
      <c r="F21" s="47"/>
      <c r="G21" s="48"/>
      <c r="H21" s="48"/>
      <c r="I21" s="48"/>
      <c r="J21" s="48"/>
      <c r="K21" s="48"/>
      <c r="L21" s="48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7.25" customHeight="1">
      <c r="A22" s="46"/>
      <c r="B22" s="10"/>
      <c r="C22" s="10"/>
      <c r="D22" s="10"/>
      <c r="E22" s="47"/>
      <c r="F22" s="47"/>
      <c r="G22" s="48"/>
      <c r="H22" s="48"/>
      <c r="I22" s="48"/>
      <c r="J22" s="48"/>
      <c r="K22" s="48"/>
      <c r="L22" s="48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7.25" customHeight="1">
      <c r="A23" s="46" t="s">
        <v>147</v>
      </c>
      <c r="B23" s="6" t="s">
        <v>158</v>
      </c>
      <c r="C23" s="6"/>
      <c r="D23" s="6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7.25" customHeight="1">
      <c r="A24" s="46"/>
      <c r="B24" s="6" t="s">
        <v>160</v>
      </c>
      <c r="C24" s="6"/>
      <c r="D24" s="6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7.25" customHeight="1">
      <c r="A25" s="46"/>
      <c r="B25" s="10" t="s">
        <v>159</v>
      </c>
      <c r="C25" s="10"/>
      <c r="D25" s="1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7.25" customHeight="1">
      <c r="A26" s="46" t="s">
        <v>148</v>
      </c>
      <c r="B26" s="6" t="s">
        <v>158</v>
      </c>
      <c r="C26" s="6"/>
      <c r="D26" s="6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7.25" customHeight="1">
      <c r="A27" s="46"/>
      <c r="B27" s="6" t="s">
        <v>160</v>
      </c>
      <c r="C27" s="6"/>
      <c r="D27" s="6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7.25" customHeight="1">
      <c r="A28" s="46"/>
      <c r="B28" s="10" t="s">
        <v>159</v>
      </c>
      <c r="C28" s="10"/>
      <c r="D28" s="1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7.25" customHeight="1">
      <c r="A29" s="46"/>
      <c r="B29" s="10" t="s">
        <v>261</v>
      </c>
      <c r="C29" s="10"/>
      <c r="D29" s="1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7.25" customHeight="1">
      <c r="A30" s="46" t="s">
        <v>149</v>
      </c>
      <c r="B30" s="49">
        <v>1</v>
      </c>
      <c r="C30" s="10"/>
      <c r="D30" s="1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7.25" customHeight="1">
      <c r="A31" s="46" t="s">
        <v>150</v>
      </c>
      <c r="B31" s="4" t="s">
        <v>151</v>
      </c>
      <c r="C31" s="6"/>
      <c r="D31" s="6"/>
      <c r="E31" s="50"/>
      <c r="F31" s="5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7.25" customHeight="1">
      <c r="A32" s="46" t="s">
        <v>152</v>
      </c>
      <c r="B32" s="6" t="s">
        <v>153</v>
      </c>
      <c r="C32" s="6"/>
      <c r="D32" s="6"/>
      <c r="E32" s="50"/>
      <c r="F32" s="5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7.25" customHeight="1">
      <c r="A33" s="51"/>
      <c r="B33" s="9" t="s">
        <v>154</v>
      </c>
      <c r="C33" s="51"/>
      <c r="D33" s="51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4.5">
      <c r="A34" s="39"/>
      <c r="B34" s="39"/>
      <c r="C34" s="39"/>
      <c r="D34" s="39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4.5">
      <c r="A35" s="39"/>
      <c r="B35" s="39"/>
      <c r="C35" s="39"/>
      <c r="D35" s="39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4.5">
      <c r="A36" s="39"/>
      <c r="B36" s="39"/>
      <c r="C36" s="39"/>
      <c r="D36" s="39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4.5">
      <c r="A37" s="39"/>
      <c r="B37" s="39"/>
      <c r="C37" s="39"/>
      <c r="D37" s="39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4.5">
      <c r="A38" s="39"/>
      <c r="B38" s="39"/>
      <c r="C38" s="39"/>
      <c r="D38" s="39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4.5">
      <c r="A39" s="39"/>
      <c r="B39" s="39"/>
      <c r="C39" s="39"/>
      <c r="D39" s="39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4.5">
      <c r="A40" s="39"/>
      <c r="B40" s="39"/>
      <c r="C40" s="39"/>
      <c r="D40" s="39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4.5">
      <c r="A41" s="39"/>
      <c r="B41" s="39"/>
      <c r="C41" s="39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4.5">
      <c r="A42" s="39"/>
      <c r="B42" s="39"/>
      <c r="C42" s="39"/>
      <c r="D42" s="39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4.5">
      <c r="A43" s="39"/>
      <c r="B43" s="39"/>
      <c r="C43" s="39"/>
      <c r="D43" s="39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4.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4.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4.5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4.5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4.5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4.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4.5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4.5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4.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4.5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4.5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4.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4.5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4.5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4.5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4.5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4.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4.5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4.5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4.5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4.5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4.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4.5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4.5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4.5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4.5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4.5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4.5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4.5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4.5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4.5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4.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4.5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4.5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4.5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4.5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4.5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4.5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4.5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4.5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4.5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4.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4.5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4.5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4.5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4.5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4.5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4.5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4.5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4.5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4.5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4.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4.5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4.5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4.5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4.5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4.5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</sheetData>
  <mergeCells count="9">
    <mergeCell ref="B32:D32"/>
    <mergeCell ref="A16:D16"/>
    <mergeCell ref="B19:D19"/>
    <mergeCell ref="B20:D20"/>
    <mergeCell ref="B23:D23"/>
    <mergeCell ref="B26:D26"/>
    <mergeCell ref="B31:D31"/>
    <mergeCell ref="B27:D27"/>
    <mergeCell ref="B24:D24"/>
  </mergeCells>
  <hyperlinks>
    <hyperlink ref="B31" r:id="rId1" display="https://github.com/MaREI-EPMG/TIMES-Ireland-model"/>
    <hyperlink ref="B33" r:id="rId2" display="https://creativecommons.org/licenses/by-nc-sa/4.0/"/>
  </hyperlinks>
  <pageMargins left="0.7" right="0.7" top="0.75" bottom="0.75" header="0.3" footer="0.3"/>
  <pageSetup orientation="portrait" paperSize="9" r:id="rId4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2E2D82D-0FB0-4EF7-879D-99F5301BFD03}">
  <sheetPr codeName="Sheet1"/>
  <dimension ref="C1:AK68"/>
  <sheetViews>
    <sheetView workbookViewId="0" topLeftCell="A87">
      <selection pane="topLeft" activeCell="P108" sqref="P108"/>
    </sheetView>
  </sheetViews>
  <sheetFormatPr defaultColWidth="9.18428571428571" defaultRowHeight="14.5"/>
  <cols>
    <col min="7" max="7" width="10.5714285714286" bestFit="1" customWidth="1"/>
    <col min="9" max="9" width="11.5714285714286" bestFit="1" customWidth="1"/>
  </cols>
  <sheetData>
    <row r="1" spans="11:19" ht="14.5">
      <c r="K1" s="86"/>
      <c r="L1" s="86"/>
      <c r="M1" s="86"/>
      <c r="N1" s="86"/>
      <c r="O1" s="86"/>
      <c r="P1" s="86"/>
      <c r="Q1" s="86"/>
      <c r="R1" s="86"/>
      <c r="S1" s="86"/>
    </row>
    <row r="3" spans="10:36" ht="14.5"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</row>
    <row r="4" spans="3:3" ht="14.5">
      <c r="C4" s="24" t="s">
        <v>123</v>
      </c>
    </row>
    <row r="5" spans="3:37" ht="15" thickBot="1">
      <c r="C5" s="25" t="s">
        <v>124</v>
      </c>
      <c r="D5" s="26" t="s">
        <v>125</v>
      </c>
      <c r="E5" s="27" t="s">
        <v>121</v>
      </c>
      <c r="F5" s="27" t="s">
        <v>2</v>
      </c>
      <c r="G5" s="27" t="s">
        <v>3</v>
      </c>
      <c r="H5" s="27" t="s">
        <v>120</v>
      </c>
      <c r="I5" s="28" t="s">
        <v>5</v>
      </c>
      <c r="J5" s="22" t="str">
        <f>Regions!C$3</f>
        <v>IE</v>
      </c>
      <c r="K5" s="22" t="str">
        <f>Regions!D$3</f>
        <v>National</v>
      </c>
      <c r="L5" s="22" t="str">
        <f>Regions!E$3</f>
        <v>IE-CW</v>
      </c>
      <c r="M5" s="22" t="str">
        <f>Regions!F$3</f>
        <v>IE-D</v>
      </c>
      <c r="N5" s="22" t="str">
        <f>Regions!G$3</f>
        <v>IE-KE</v>
      </c>
      <c r="O5" s="22" t="str">
        <f>Regions!H$3</f>
        <v>IE-KK</v>
      </c>
      <c r="P5" s="22" t="str">
        <f>Regions!I$3</f>
        <v>IE-LS</v>
      </c>
      <c r="Q5" s="22" t="str">
        <f>Regions!J$3</f>
        <v>IE-LD</v>
      </c>
      <c r="R5" s="22" t="str">
        <f>Regions!K$3</f>
        <v>IE-LH</v>
      </c>
      <c r="S5" s="22" t="str">
        <f>Regions!L$3</f>
        <v>IE-MH</v>
      </c>
      <c r="T5" s="22" t="str">
        <f>Regions!M$3</f>
        <v>IE-OY</v>
      </c>
      <c r="U5" s="22" t="str">
        <f>Regions!N$3</f>
        <v>IE-WH</v>
      </c>
      <c r="V5" s="22" t="str">
        <f>Regions!O$3</f>
        <v>IE-WX</v>
      </c>
      <c r="W5" s="22" t="str">
        <f>Regions!P$3</f>
        <v>IE-WW</v>
      </c>
      <c r="X5" s="22" t="str">
        <f>Regions!Q$3</f>
        <v>IE-CE</v>
      </c>
      <c r="Y5" s="22" t="str">
        <f>Regions!R$3</f>
        <v>IE-CO</v>
      </c>
      <c r="Z5" s="22" t="str">
        <f>Regions!S$3</f>
        <v>IE-KY</v>
      </c>
      <c r="AA5" s="22" t="str">
        <f>Regions!T$3</f>
        <v>IE-LK</v>
      </c>
      <c r="AB5" s="22" t="str">
        <f>Regions!U$3</f>
        <v>IE-TA</v>
      </c>
      <c r="AC5" s="22" t="str">
        <f>Regions!V$3</f>
        <v>IE-WD</v>
      </c>
      <c r="AD5" s="22" t="str">
        <f>Regions!W$3</f>
        <v>IE-G</v>
      </c>
      <c r="AE5" s="22" t="str">
        <f>Regions!X$3</f>
        <v>IE-LM</v>
      </c>
      <c r="AF5" s="22" t="str">
        <f>Regions!Y$3</f>
        <v>IE-MO</v>
      </c>
      <c r="AG5" s="22" t="str">
        <f>Regions!Z$3</f>
        <v>IE-RN</v>
      </c>
      <c r="AH5" s="22" t="str">
        <f>Regions!AA$3</f>
        <v>IE-SO</v>
      </c>
      <c r="AI5" s="22" t="str">
        <f>Regions!AB$3</f>
        <v>IE-CN</v>
      </c>
      <c r="AJ5" s="22" t="str">
        <f>Regions!AC$3</f>
        <v>IE-DL</v>
      </c>
      <c r="AK5" s="22" t="str">
        <f>Regions!AD$3</f>
        <v>IE-MN</v>
      </c>
    </row>
    <row r="6" spans="3:37" ht="14.5">
      <c r="C6" t="s">
        <v>126</v>
      </c>
      <c r="D6" s="29" t="s">
        <v>127</v>
      </c>
      <c r="G6" t="s">
        <v>6</v>
      </c>
      <c r="H6">
        <v>2018</v>
      </c>
      <c r="I6" t="s">
        <v>35</v>
      </c>
      <c r="J6" s="30">
        <v>14.5565610923972</v>
      </c>
      <c r="K6" s="31"/>
      <c r="L6" s="30">
        <v>0.19075815329593299</v>
      </c>
      <c r="M6" s="30">
        <v>3.8137077787050999</v>
      </c>
      <c r="N6" s="30">
        <v>0.70334338163959498</v>
      </c>
      <c r="O6" s="30">
        <v>0.32630593319176299</v>
      </c>
      <c r="P6" s="30">
        <v>0.25725946218495199</v>
      </c>
      <c r="Q6" s="30">
        <v>0.129264106093787</v>
      </c>
      <c r="R6" s="30">
        <v>0.37066642356770202</v>
      </c>
      <c r="S6" s="30">
        <v>0.61012642539130302</v>
      </c>
      <c r="T6" s="30">
        <v>0.25256357827040099</v>
      </c>
      <c r="U6" s="30">
        <v>0.28627808516599801</v>
      </c>
      <c r="V6" s="30">
        <v>0.49824919039150301</v>
      </c>
      <c r="W6" s="30">
        <v>0.44072764898712002</v>
      </c>
      <c r="X6" s="30">
        <v>0.38789417997018399</v>
      </c>
      <c r="Y6" s="30">
        <v>1.6403528726431</v>
      </c>
      <c r="Z6" s="30">
        <v>0.50223766282260596</v>
      </c>
      <c r="AA6" s="30">
        <v>0.59887772521592197</v>
      </c>
      <c r="AB6" s="30">
        <v>0.54597893159747002</v>
      </c>
      <c r="AC6" s="30">
        <v>0.36254754715780002</v>
      </c>
      <c r="AD6" s="30">
        <v>0.81031808544859996</v>
      </c>
      <c r="AE6" s="30">
        <v>0.103998215898054</v>
      </c>
      <c r="AF6" s="30">
        <v>0.43396473286285803</v>
      </c>
      <c r="AG6" s="30">
        <v>0.22701130303233</v>
      </c>
      <c r="AH6" s="30">
        <v>0.20014421509334299</v>
      </c>
      <c r="AI6" s="30">
        <v>0.22324073939976699</v>
      </c>
      <c r="AJ6" s="30">
        <v>0.43304852577361902</v>
      </c>
      <c r="AK6" s="30">
        <v>0.20769618859639599</v>
      </c>
    </row>
    <row r="7" spans="3:37" ht="14.5">
      <c r="C7" t="s">
        <v>126</v>
      </c>
      <c r="D7" s="29" t="s">
        <v>127</v>
      </c>
      <c r="G7" t="s">
        <v>6</v>
      </c>
      <c r="H7">
        <v>2018</v>
      </c>
      <c r="I7" t="s">
        <v>37</v>
      </c>
      <c r="J7" s="30">
        <v>31.276118540281001</v>
      </c>
      <c r="K7" s="30"/>
      <c r="L7" s="30">
        <v>0.43519149385547101</v>
      </c>
      <c r="M7" s="30">
        <v>7.6211536449989303</v>
      </c>
      <c r="N7" s="30">
        <v>1.55190938276765</v>
      </c>
      <c r="O7" s="30">
        <v>0.73703191607760699</v>
      </c>
      <c r="P7" s="30">
        <v>0.55451713599955699</v>
      </c>
      <c r="Q7" s="30">
        <v>0.28568437258778701</v>
      </c>
      <c r="R7" s="30">
        <v>0.76950577172521395</v>
      </c>
      <c r="S7" s="30">
        <v>1.33594997982505</v>
      </c>
      <c r="T7" s="30">
        <v>0.56616320344762305</v>
      </c>
      <c r="U7" s="30">
        <v>0.63911185847442997</v>
      </c>
      <c r="V7" s="30">
        <v>1.1334816009734401</v>
      </c>
      <c r="W7" s="30">
        <v>0.96185938421931305</v>
      </c>
      <c r="X7" s="30">
        <v>0.87235861089184197</v>
      </c>
      <c r="Y7" s="30">
        <v>3.5254749048173299</v>
      </c>
      <c r="Z7" s="30">
        <v>1.15388698840036</v>
      </c>
      <c r="AA7" s="30">
        <v>1.29957366713114</v>
      </c>
      <c r="AB7" s="30">
        <v>1.2604324784412999</v>
      </c>
      <c r="AC7" s="30">
        <v>0.79517788054022298</v>
      </c>
      <c r="AD7" s="30">
        <v>1.7803554187858499</v>
      </c>
      <c r="AE7" s="30">
        <v>0.23333731031609201</v>
      </c>
      <c r="AF7" s="30">
        <v>0.98601597898071303</v>
      </c>
      <c r="AG7" s="30">
        <v>0.53090140271719199</v>
      </c>
      <c r="AH7" s="30">
        <v>0.43310682655274901</v>
      </c>
      <c r="AI7" s="30">
        <v>0.47060177269377002</v>
      </c>
      <c r="AJ7" s="30">
        <v>0.86668930093951202</v>
      </c>
      <c r="AK7" s="30">
        <v>0.47664625412085698</v>
      </c>
    </row>
    <row r="8" spans="3:37" ht="14.5">
      <c r="C8" t="s">
        <v>126</v>
      </c>
      <c r="D8" s="29" t="s">
        <v>127</v>
      </c>
      <c r="G8" t="s">
        <v>6</v>
      </c>
      <c r="H8">
        <v>2018</v>
      </c>
      <c r="I8" t="s">
        <v>39</v>
      </c>
      <c r="J8" s="30">
        <v>27.131577542973599</v>
      </c>
      <c r="K8" s="31"/>
      <c r="L8" s="30">
        <v>0.373897486374975</v>
      </c>
      <c r="M8" s="30">
        <v>6.66074493403499</v>
      </c>
      <c r="N8" s="30">
        <v>1.3457957919305099</v>
      </c>
      <c r="O8" s="30">
        <v>0.64805463087287196</v>
      </c>
      <c r="P8" s="30">
        <v>0.48149946813234101</v>
      </c>
      <c r="Q8" s="30">
        <v>0.247929982488685</v>
      </c>
      <c r="R8" s="30">
        <v>0.67368745787157902</v>
      </c>
      <c r="S8" s="30">
        <v>1.1456149031137799</v>
      </c>
      <c r="T8" s="30">
        <v>0.49378011021821799</v>
      </c>
      <c r="U8" s="30">
        <v>0.54722173482691405</v>
      </c>
      <c r="V8" s="30">
        <v>0.97262646758485305</v>
      </c>
      <c r="W8" s="30">
        <v>0.83286416374941896</v>
      </c>
      <c r="X8" s="30">
        <v>0.74674766413249005</v>
      </c>
      <c r="Y8" s="30">
        <v>3.0449422514531701</v>
      </c>
      <c r="Z8" s="30">
        <v>1.0126394376791299</v>
      </c>
      <c r="AA8" s="30">
        <v>1.1217784798314201</v>
      </c>
      <c r="AB8" s="30">
        <v>1.08524276473925</v>
      </c>
      <c r="AC8" s="30">
        <v>0.68342924139985906</v>
      </c>
      <c r="AD8" s="30">
        <v>1.55274051805081</v>
      </c>
      <c r="AE8" s="30">
        <v>0.20031586047476799</v>
      </c>
      <c r="AF8" s="30">
        <v>0.86102306186829503</v>
      </c>
      <c r="AG8" s="30">
        <v>0.451316097288886</v>
      </c>
      <c r="AH8" s="30">
        <v>0.37617525772313698</v>
      </c>
      <c r="AI8" s="30">
        <v>0.40231788404487301</v>
      </c>
      <c r="AJ8" s="30">
        <v>0.74109890371757103</v>
      </c>
      <c r="AK8" s="30">
        <v>0.42809298937083901</v>
      </c>
    </row>
    <row r="9" spans="3:37" ht="14.5">
      <c r="C9" t="s">
        <v>126</v>
      </c>
      <c r="D9" s="29" t="s">
        <v>127</v>
      </c>
      <c r="G9" t="s">
        <v>6</v>
      </c>
      <c r="H9">
        <v>2018</v>
      </c>
      <c r="I9" t="s">
        <v>41</v>
      </c>
      <c r="J9" s="30">
        <v>10.702591</v>
      </c>
      <c r="K9" s="31"/>
      <c r="L9" s="30">
        <v>0.17794099599204999</v>
      </c>
      <c r="M9" s="30">
        <v>2.6576907930321299</v>
      </c>
      <c r="N9" s="30">
        <v>0.48228404218784598</v>
      </c>
      <c r="O9" s="30">
        <v>0.31014966827589202</v>
      </c>
      <c r="P9" s="30">
        <v>0.22090468018989401</v>
      </c>
      <c r="Q9" s="30">
        <v>0.106603976450188</v>
      </c>
      <c r="R9" s="30">
        <v>0.27935990585939302</v>
      </c>
      <c r="S9" s="30">
        <v>0.43225128206324598</v>
      </c>
      <c r="T9" s="30">
        <v>0.20333600685129699</v>
      </c>
      <c r="U9" s="30">
        <v>0.23152778091853199</v>
      </c>
      <c r="V9" s="30">
        <v>0.46795618987426502</v>
      </c>
      <c r="W9" s="30">
        <v>0.30871042636808299</v>
      </c>
      <c r="X9" s="30">
        <v>0.30378726686741397</v>
      </c>
      <c r="Y9" s="30">
        <v>1.6254277052660899</v>
      </c>
      <c r="Z9" s="30">
        <v>0.44225677339931202</v>
      </c>
      <c r="AA9" s="30">
        <v>0.49831113834882401</v>
      </c>
      <c r="AB9" s="30">
        <v>0.40793968700183098</v>
      </c>
      <c r="AC9" s="30">
        <v>0.3789208277735</v>
      </c>
      <c r="AD9" s="30">
        <v>0.60506096800451603</v>
      </c>
      <c r="AE9" s="30">
        <v>0.080693470189707697</v>
      </c>
      <c r="AF9" s="30">
        <v>0.34078379979033402</v>
      </c>
      <c r="AG9" s="30">
        <v>0.15133440977952001</v>
      </c>
      <c r="AH9" s="30">
        <v>0.16503078794415499</v>
      </c>
      <c r="AI9" s="30">
        <v>0.19182704360164701</v>
      </c>
      <c r="AJ9" s="30">
        <v>0.40087863270627699</v>
      </c>
      <c r="AK9" s="30">
        <v>0.154582741264056</v>
      </c>
    </row>
    <row r="10" spans="3:37" ht="14.5">
      <c r="C10" t="s">
        <v>126</v>
      </c>
      <c r="D10" s="29" t="s">
        <v>127</v>
      </c>
      <c r="G10" t="s">
        <v>6</v>
      </c>
      <c r="H10">
        <v>2018</v>
      </c>
      <c r="I10" t="s">
        <v>43</v>
      </c>
      <c r="J10" s="30">
        <v>7.7105748259750104</v>
      </c>
      <c r="K10" s="31"/>
      <c r="L10" s="30">
        <v>0.092186243413538399</v>
      </c>
      <c r="M10" s="30">
        <v>2.1816898183696698</v>
      </c>
      <c r="N10" s="30">
        <v>0.360286094015421</v>
      </c>
      <c r="O10" s="30">
        <v>0.160679851514302</v>
      </c>
      <c r="P10" s="30">
        <v>0.13714428192223099</v>
      </c>
      <c r="Q10" s="30">
        <v>0.066182960848759104</v>
      </c>
      <c r="R10" s="30">
        <v>0.20869338502266699</v>
      </c>
      <c r="S10" s="30">
        <v>0.31582192194811698</v>
      </c>
      <c r="T10" s="30">
        <v>0.12623712012159899</v>
      </c>
      <c r="U10" s="30">
        <v>0.14373942295756001</v>
      </c>
      <c r="V10" s="30">
        <v>0.24243498799202201</v>
      </c>
      <c r="W10" s="30">
        <v>0.23061943578608199</v>
      </c>
      <c r="X10" s="30">
        <v>0.19239255398837901</v>
      </c>
      <c r="Y10" s="30">
        <v>0.879030450176013</v>
      </c>
      <c r="Z10" s="30">
        <v>0.23917223101039001</v>
      </c>
      <c r="AA10" s="30">
        <v>0.31558713298417801</v>
      </c>
      <c r="AB10" s="30">
        <v>0.25835367974707202</v>
      </c>
      <c r="AC10" s="30">
        <v>0.188116156376225</v>
      </c>
      <c r="AD10" s="30">
        <v>0.41785634797321203</v>
      </c>
      <c r="AE10" s="30">
        <v>0.051886741796237999</v>
      </c>
      <c r="AF10" s="30">
        <v>0.21132140218454701</v>
      </c>
      <c r="AG10" s="30">
        <v>0.104511854403208</v>
      </c>
      <c r="AH10" s="30">
        <v>0.106116515529162</v>
      </c>
      <c r="AI10" s="30">
        <v>0.123346787013801</v>
      </c>
      <c r="AJ10" s="30">
        <v>0.257769136188576</v>
      </c>
      <c r="AK10" s="30">
        <v>0.099398312692044299</v>
      </c>
    </row>
    <row r="11" spans="3:37" ht="14.5">
      <c r="C11" t="s">
        <v>126</v>
      </c>
      <c r="D11" s="29" t="s">
        <v>127</v>
      </c>
      <c r="G11" t="s">
        <v>6</v>
      </c>
      <c r="H11">
        <v>2018</v>
      </c>
      <c r="I11" t="s">
        <v>45</v>
      </c>
      <c r="J11" s="30">
        <v>3.5132998087277101</v>
      </c>
      <c r="K11" s="31"/>
      <c r="L11" s="30">
        <v>0.042004379525771102</v>
      </c>
      <c r="M11" s="30">
        <v>0.99408028513777102</v>
      </c>
      <c r="N11" s="30">
        <v>0.16416325549782501</v>
      </c>
      <c r="O11" s="30">
        <v>0.073213282321037701</v>
      </c>
      <c r="P11" s="30">
        <v>0.062489372105217399</v>
      </c>
      <c r="Q11" s="30">
        <v>0.030156063450376601</v>
      </c>
      <c r="R11" s="30">
        <v>0.095090501840783506</v>
      </c>
      <c r="S11" s="30">
        <v>0.143903291650118</v>
      </c>
      <c r="T11" s="30">
        <v>0.0575195572298293</v>
      </c>
      <c r="U11" s="30">
        <v>0.065494427922832596</v>
      </c>
      <c r="V11" s="30">
        <v>0.110464759912835</v>
      </c>
      <c r="W11" s="30">
        <v>0.105081039730871</v>
      </c>
      <c r="X11" s="30">
        <v>0.087663078095158206</v>
      </c>
      <c r="Y11" s="30">
        <v>0.40052753292342302</v>
      </c>
      <c r="Z11" s="30">
        <v>0.108978094685117</v>
      </c>
      <c r="AA11" s="30">
        <v>0.14379631077765201</v>
      </c>
      <c r="AB11" s="30">
        <v>0.117718063066032</v>
      </c>
      <c r="AC11" s="30">
        <v>0.085714550618035304</v>
      </c>
      <c r="AD11" s="30">
        <v>0.190394965426499</v>
      </c>
      <c r="AE11" s="30">
        <v>0.0236420350158753</v>
      </c>
      <c r="AF11" s="30">
        <v>0.096287949813282703</v>
      </c>
      <c r="AG11" s="30">
        <v>0.047620506430678201</v>
      </c>
      <c r="AH11" s="30">
        <v>0.048351665359049598</v>
      </c>
      <c r="AI11" s="30">
        <v>0.056202585799816303</v>
      </c>
      <c r="AJ11" s="30">
        <v>0.117451717583548</v>
      </c>
      <c r="AK11" s="30">
        <v>0.045290536808279797</v>
      </c>
    </row>
    <row r="12" spans="3:37" ht="14.5">
      <c r="C12" t="s">
        <v>126</v>
      </c>
      <c r="D12" s="29" t="s">
        <v>127</v>
      </c>
      <c r="G12" t="s">
        <v>6</v>
      </c>
      <c r="H12">
        <v>2018</v>
      </c>
      <c r="I12" t="s">
        <v>47</v>
      </c>
      <c r="J12" s="30">
        <v>20.831454920682301</v>
      </c>
      <c r="K12" s="31"/>
      <c r="L12" s="30">
        <v>0.24905712185126699</v>
      </c>
      <c r="M12" s="30">
        <v>5.8942133534813896</v>
      </c>
      <c r="N12" s="30">
        <v>0.97337535727524804</v>
      </c>
      <c r="O12" s="30">
        <v>0.434104481057138</v>
      </c>
      <c r="P12" s="30">
        <v>0.37051905869171597</v>
      </c>
      <c r="Q12" s="30">
        <v>0.17880474498396101</v>
      </c>
      <c r="R12" s="30">
        <v>0.56382136746783496</v>
      </c>
      <c r="S12" s="30">
        <v>0.85324768626358805</v>
      </c>
      <c r="T12" s="30">
        <v>0.34105146976474798</v>
      </c>
      <c r="U12" s="30">
        <v>0.38833697580863102</v>
      </c>
      <c r="V12" s="30">
        <v>0.654980158747549</v>
      </c>
      <c r="W12" s="30">
        <v>0.62305839562402099</v>
      </c>
      <c r="X12" s="30">
        <v>0.51978184583366205</v>
      </c>
      <c r="Y12" s="30">
        <v>2.3748531866991098</v>
      </c>
      <c r="Z12" s="30">
        <v>0.64616525499341604</v>
      </c>
      <c r="AA12" s="30">
        <v>0.85261336316465597</v>
      </c>
      <c r="AB12" s="30">
        <v>0.69798726485518303</v>
      </c>
      <c r="AC12" s="30">
        <v>0.50822841614896397</v>
      </c>
      <c r="AD12" s="30">
        <v>1.1289113811335301</v>
      </c>
      <c r="AE12" s="30">
        <v>0.140181030222055</v>
      </c>
      <c r="AF12" s="30">
        <v>0.57092141153381903</v>
      </c>
      <c r="AG12" s="30">
        <v>0.28235689722420099</v>
      </c>
      <c r="AH12" s="30">
        <v>0.28669216750725102</v>
      </c>
      <c r="AI12" s="30">
        <v>0.33324273368478402</v>
      </c>
      <c r="AJ12" s="30">
        <v>0.69640801907094396</v>
      </c>
      <c r="AK12" s="30">
        <v>0.268541777593654</v>
      </c>
    </row>
    <row r="13" spans="3:37" ht="14.5">
      <c r="C13" t="s">
        <v>126</v>
      </c>
      <c r="D13" s="29" t="s">
        <v>127</v>
      </c>
      <c r="G13" t="s">
        <v>6</v>
      </c>
      <c r="H13">
        <v>2018</v>
      </c>
      <c r="I13" t="s">
        <v>49</v>
      </c>
      <c r="J13" s="30">
        <v>0.23349320028657899</v>
      </c>
      <c r="K13" s="31"/>
      <c r="L13" s="30">
        <v>0</v>
      </c>
      <c r="M13" s="30">
        <v>0.13599128494106499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0.047489540821759602</v>
      </c>
      <c r="Y13" s="30">
        <v>0.00047056267691773199</v>
      </c>
      <c r="Z13" s="30">
        <v>0.047235778638893701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9.4112535383546506E-05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</row>
    <row r="14" spans="3:37" ht="14.5">
      <c r="C14" t="s">
        <v>126</v>
      </c>
      <c r="D14" s="29" t="s">
        <v>127</v>
      </c>
      <c r="G14" t="s">
        <v>6</v>
      </c>
      <c r="H14">
        <v>2018</v>
      </c>
      <c r="I14" s="17" t="s">
        <v>51</v>
      </c>
      <c r="J14" s="30">
        <v>45.9683637522608</v>
      </c>
      <c r="K14" s="31"/>
      <c r="L14" s="30">
        <v>0</v>
      </c>
      <c r="M14" s="30">
        <v>40.4401628128524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2.39450762427477</v>
      </c>
      <c r="Y14" s="30">
        <v>2.2140070109418901</v>
      </c>
      <c r="Z14" s="30">
        <v>0.24127325087308299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0.68881548910784596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</row>
    <row r="15" spans="3:37" ht="14.5">
      <c r="C15" t="s">
        <v>126</v>
      </c>
      <c r="D15" s="32" t="s">
        <v>127</v>
      </c>
      <c r="G15" t="s">
        <v>6</v>
      </c>
      <c r="H15">
        <v>2018</v>
      </c>
      <c r="I15" t="s">
        <v>128</v>
      </c>
      <c r="J15" s="31">
        <v>1.1544546193487999</v>
      </c>
      <c r="K15" s="31">
        <v>1.1544546193487999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</row>
    <row r="16" spans="3:37" ht="14.5">
      <c r="C16" t="s">
        <v>126</v>
      </c>
      <c r="D16" s="32" t="s">
        <v>127</v>
      </c>
      <c r="G16" t="s">
        <v>6</v>
      </c>
      <c r="H16">
        <v>2018</v>
      </c>
      <c r="I16" t="s">
        <v>129</v>
      </c>
      <c r="J16" s="31">
        <v>2.0006897535500099</v>
      </c>
      <c r="K16" s="31">
        <v>2.0006897535500099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</row>
    <row r="17" spans="3:37" ht="14.5">
      <c r="C17" t="s">
        <v>126</v>
      </c>
      <c r="D17" s="32" t="s">
        <v>127</v>
      </c>
      <c r="G17" t="s">
        <v>6</v>
      </c>
      <c r="H17">
        <v>2018</v>
      </c>
      <c r="I17" t="s">
        <v>130</v>
      </c>
      <c r="J17" s="31">
        <v>0.78876799986757495</v>
      </c>
      <c r="K17" s="31">
        <v>0.78876799986757495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</row>
    <row r="18" spans="3:37" ht="14.5">
      <c r="C18" t="s">
        <v>126</v>
      </c>
      <c r="D18" s="32" t="s">
        <v>127</v>
      </c>
      <c r="G18" t="s">
        <v>6</v>
      </c>
      <c r="H18">
        <v>2018</v>
      </c>
      <c r="I18" t="s">
        <v>131</v>
      </c>
      <c r="J18" s="31">
        <v>1.05169316530962</v>
      </c>
      <c r="K18" s="31">
        <v>1.05169316530962</v>
      </c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</row>
    <row r="19" spans="3:37" ht="14.5">
      <c r="C19" t="s">
        <v>126</v>
      </c>
      <c r="D19" s="32" t="s">
        <v>127</v>
      </c>
      <c r="G19" t="s">
        <v>6</v>
      </c>
      <c r="H19">
        <v>2018</v>
      </c>
      <c r="I19" t="s">
        <v>132</v>
      </c>
      <c r="J19" s="31">
        <v>0.84878652127122001</v>
      </c>
      <c r="K19" s="31">
        <v>0.84878652127122001</v>
      </c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</row>
    <row r="20" spans="3:37" ht="14.5">
      <c r="C20" t="s">
        <v>126</v>
      </c>
      <c r="D20" s="32" t="s">
        <v>127</v>
      </c>
      <c r="G20" t="s">
        <v>6</v>
      </c>
      <c r="H20">
        <v>2018</v>
      </c>
      <c r="I20" t="s">
        <v>133</v>
      </c>
      <c r="J20" s="31">
        <v>9.2169270601308995</v>
      </c>
      <c r="K20" s="31">
        <v>9.2169270601308995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</row>
    <row r="21" spans="3:37" ht="14.5">
      <c r="C21" t="s">
        <v>126</v>
      </c>
      <c r="D21" s="32" t="s">
        <v>127</v>
      </c>
      <c r="G21" t="s">
        <v>6</v>
      </c>
      <c r="H21">
        <v>2018</v>
      </c>
      <c r="I21" t="s">
        <v>134</v>
      </c>
      <c r="J21" s="31">
        <v>0</v>
      </c>
      <c r="K21" s="31">
        <v>0</v>
      </c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</row>
    <row r="22" spans="3:37" ht="14.5">
      <c r="C22" t="s">
        <v>126</v>
      </c>
      <c r="D22" s="32" t="s">
        <v>127</v>
      </c>
      <c r="G22" t="s">
        <v>6</v>
      </c>
      <c r="H22">
        <v>2018</v>
      </c>
      <c r="I22" t="s">
        <v>53</v>
      </c>
      <c r="J22" s="31">
        <v>211.819885</v>
      </c>
      <c r="K22" s="31">
        <v>211.819885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</row>
    <row r="23" spans="3:37" ht="14.5">
      <c r="C23" t="s">
        <v>126</v>
      </c>
      <c r="D23" s="32" t="s">
        <v>127</v>
      </c>
      <c r="G23" t="s">
        <v>6</v>
      </c>
      <c r="H23">
        <v>2018</v>
      </c>
      <c r="I23" t="s">
        <v>55</v>
      </c>
      <c r="J23" s="31">
        <v>788.06472099999996</v>
      </c>
      <c r="K23" s="31">
        <v>788.06472099999996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</row>
    <row r="24" spans="3:37" ht="14.5">
      <c r="C24" t="s">
        <v>126</v>
      </c>
      <c r="D24" s="32" t="s">
        <v>127</v>
      </c>
      <c r="G24" t="s">
        <v>6</v>
      </c>
      <c r="H24">
        <v>2018</v>
      </c>
      <c r="I24" t="s">
        <v>57</v>
      </c>
      <c r="J24" s="31">
        <v>735.40672900000004</v>
      </c>
      <c r="K24" s="31">
        <v>735.40672900000004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</row>
    <row r="25" spans="3:37" ht="14.5">
      <c r="C25" t="s">
        <v>126</v>
      </c>
      <c r="D25" s="29" t="s">
        <v>127</v>
      </c>
      <c r="G25" t="s">
        <v>6</v>
      </c>
      <c r="H25">
        <v>2018</v>
      </c>
      <c r="I25" t="s">
        <v>7</v>
      </c>
      <c r="J25" s="30"/>
      <c r="K25" s="30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</row>
    <row r="26" spans="3:37" ht="14.5">
      <c r="C26" t="s">
        <v>126</v>
      </c>
      <c r="D26" s="29" t="s">
        <v>127</v>
      </c>
      <c r="G26" t="s">
        <v>6</v>
      </c>
      <c r="H26">
        <v>2018</v>
      </c>
      <c r="I26" t="s">
        <v>9</v>
      </c>
      <c r="J26" s="30"/>
      <c r="K26" s="30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</row>
    <row r="27" spans="3:37" ht="14.5">
      <c r="C27" t="s">
        <v>126</v>
      </c>
      <c r="D27" s="29" t="s">
        <v>127</v>
      </c>
      <c r="G27" t="s">
        <v>6</v>
      </c>
      <c r="H27">
        <v>2018</v>
      </c>
      <c r="I27" t="s">
        <v>11</v>
      </c>
      <c r="J27" s="30"/>
      <c r="K27" s="30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</row>
    <row r="28" spans="3:37" ht="14.5">
      <c r="C28" t="s">
        <v>126</v>
      </c>
      <c r="D28" s="29" t="s">
        <v>127</v>
      </c>
      <c r="G28" t="s">
        <v>6</v>
      </c>
      <c r="H28">
        <v>2018</v>
      </c>
      <c r="I28" t="s">
        <v>13</v>
      </c>
      <c r="J28" s="30">
        <v>5</v>
      </c>
      <c r="K28" s="30">
        <v>5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</row>
    <row r="29" spans="3:37" ht="14.5">
      <c r="C29" t="s">
        <v>126</v>
      </c>
      <c r="D29" s="29" t="s">
        <v>127</v>
      </c>
      <c r="G29" t="s">
        <v>6</v>
      </c>
      <c r="H29">
        <v>2018</v>
      </c>
      <c r="I29" t="s">
        <v>15</v>
      </c>
      <c r="J29" s="30"/>
      <c r="K29" s="30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</row>
    <row r="30" spans="3:37" ht="14.5">
      <c r="C30" t="s">
        <v>126</v>
      </c>
      <c r="D30" s="29" t="s">
        <v>127</v>
      </c>
      <c r="G30" t="s">
        <v>6</v>
      </c>
      <c r="H30">
        <v>2018</v>
      </c>
      <c r="I30" t="s">
        <v>17</v>
      </c>
      <c r="J30" s="30">
        <v>5.7000000000000002</v>
      </c>
      <c r="K30" s="30">
        <v>5.7000000000000002</v>
      </c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</row>
    <row r="31" spans="3:37" ht="14.5">
      <c r="C31" t="s">
        <v>126</v>
      </c>
      <c r="D31" s="29" t="s">
        <v>127</v>
      </c>
      <c r="G31" t="s">
        <v>6</v>
      </c>
      <c r="H31">
        <v>2018</v>
      </c>
      <c r="I31" t="s">
        <v>19</v>
      </c>
      <c r="J31" s="30"/>
      <c r="K31" s="30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</row>
    <row r="32" spans="3:37" ht="14.5">
      <c r="C32" t="s">
        <v>126</v>
      </c>
      <c r="D32" s="29" t="s">
        <v>127</v>
      </c>
      <c r="G32" t="s">
        <v>6</v>
      </c>
      <c r="H32">
        <v>2018</v>
      </c>
      <c r="I32" t="s">
        <v>21</v>
      </c>
      <c r="J32" s="30">
        <v>2.3999999999999999</v>
      </c>
      <c r="K32" s="30">
        <v>2.3999999999999999</v>
      </c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</row>
    <row r="33" spans="3:37" ht="14.5">
      <c r="C33" t="s">
        <v>126</v>
      </c>
      <c r="D33" s="29" t="s">
        <v>127</v>
      </c>
      <c r="G33" t="s">
        <v>6</v>
      </c>
      <c r="H33">
        <v>2018</v>
      </c>
      <c r="I33" t="s">
        <v>23</v>
      </c>
      <c r="J33" s="30">
        <v>16.5</v>
      </c>
      <c r="K33" s="30">
        <v>16.5</v>
      </c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</row>
    <row r="34" spans="3:37" ht="14.5">
      <c r="C34" t="s">
        <v>126</v>
      </c>
      <c r="D34" s="29" t="s">
        <v>127</v>
      </c>
      <c r="G34" t="s">
        <v>6</v>
      </c>
      <c r="H34">
        <v>2018</v>
      </c>
      <c r="I34" t="s">
        <v>25</v>
      </c>
      <c r="J34" s="30"/>
      <c r="K34" s="30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</row>
    <row r="35" spans="3:37" ht="14.5">
      <c r="C35" t="s">
        <v>126</v>
      </c>
      <c r="D35" s="29" t="s">
        <v>127</v>
      </c>
      <c r="G35" t="s">
        <v>6</v>
      </c>
      <c r="H35">
        <v>2018</v>
      </c>
      <c r="I35" t="s">
        <v>27</v>
      </c>
      <c r="J35" s="30"/>
      <c r="K35" s="30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</row>
    <row r="36" spans="3:37" ht="14.5">
      <c r="C36" t="s">
        <v>126</v>
      </c>
      <c r="D36" s="29" t="s">
        <v>127</v>
      </c>
      <c r="G36" t="s">
        <v>6</v>
      </c>
      <c r="H36">
        <v>2018</v>
      </c>
      <c r="I36" t="s">
        <v>29</v>
      </c>
      <c r="J36" s="30"/>
      <c r="K36" s="30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</row>
    <row r="37" spans="3:37" ht="14.5">
      <c r="C37" t="s">
        <v>126</v>
      </c>
      <c r="D37" s="29" t="s">
        <v>127</v>
      </c>
      <c r="G37" t="s">
        <v>6</v>
      </c>
      <c r="H37">
        <v>2018</v>
      </c>
      <c r="I37" t="s">
        <v>31</v>
      </c>
      <c r="J37" s="30">
        <v>3.7999999999999998</v>
      </c>
      <c r="K37" s="30">
        <v>3.7999999999999998</v>
      </c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</row>
    <row r="38" spans="3:37" ht="14.5">
      <c r="C38" t="s">
        <v>126</v>
      </c>
      <c r="D38" s="29" t="s">
        <v>127</v>
      </c>
      <c r="G38" t="s">
        <v>6</v>
      </c>
      <c r="H38">
        <v>2018</v>
      </c>
      <c r="I38" s="34" t="s">
        <v>33</v>
      </c>
    </row>
    <row r="39" spans="3:37" ht="14.5">
      <c r="C39" t="s">
        <v>126</v>
      </c>
      <c r="D39" s="29" t="s">
        <v>127</v>
      </c>
      <c r="G39" t="s">
        <v>6</v>
      </c>
      <c r="H39">
        <v>2018</v>
      </c>
      <c r="I39" t="s">
        <v>135</v>
      </c>
      <c r="J39">
        <v>28.901664567933999</v>
      </c>
      <c r="K39">
        <v>28.901664567933999</v>
      </c>
    </row>
    <row r="40" spans="3:37" ht="14.5">
      <c r="C40" t="s">
        <v>126</v>
      </c>
      <c r="D40" s="29" t="s">
        <v>127</v>
      </c>
      <c r="G40" t="s">
        <v>6</v>
      </c>
      <c r="H40">
        <v>2018</v>
      </c>
      <c r="I40" t="s">
        <v>137</v>
      </c>
      <c r="J40">
        <v>58.151541961987597</v>
      </c>
      <c r="K40">
        <v>58.151541961987597</v>
      </c>
    </row>
    <row r="41" spans="3:37" ht="14.5">
      <c r="C41" t="s">
        <v>126</v>
      </c>
      <c r="D41" s="29" t="s">
        <v>127</v>
      </c>
      <c r="G41" t="s">
        <v>6</v>
      </c>
      <c r="H41">
        <v>2018</v>
      </c>
      <c r="I41" t="s">
        <v>139</v>
      </c>
      <c r="J41">
        <v>5.6291760000000002</v>
      </c>
      <c r="K41">
        <v>5.6291760000000002</v>
      </c>
    </row>
    <row r="42" spans="3:37" ht="14.5">
      <c r="C42" t="s">
        <v>126</v>
      </c>
      <c r="D42" s="29" t="s">
        <v>127</v>
      </c>
      <c r="G42" t="s">
        <v>6</v>
      </c>
      <c r="H42">
        <v>2018</v>
      </c>
      <c r="I42" t="s">
        <v>141</v>
      </c>
      <c r="J42">
        <v>0.47999999999999998</v>
      </c>
      <c r="K42">
        <v>0.47999999999999998</v>
      </c>
    </row>
    <row r="47" spans="3:7" ht="14.5">
      <c r="C47" s="1" t="s">
        <v>191</v>
      </c>
      <c r="D47" s="1"/>
      <c r="E47" s="1"/>
      <c r="F47" s="1"/>
      <c r="G47" s="1"/>
    </row>
    <row r="48" spans="3:7" ht="14.5">
      <c r="C48" s="3"/>
      <c r="D48" s="2"/>
      <c r="E48" s="2"/>
      <c r="F48" s="72" t="s">
        <v>197</v>
      </c>
      <c r="G48" s="72" t="s">
        <v>192</v>
      </c>
    </row>
    <row r="49" spans="3:7" ht="32.5">
      <c r="C49" s="71" t="s">
        <v>120</v>
      </c>
      <c r="D49" s="70" t="s">
        <v>193</v>
      </c>
      <c r="E49" s="70" t="s">
        <v>194</v>
      </c>
      <c r="F49" s="69" t="s">
        <v>195</v>
      </c>
      <c r="G49" s="69" t="s">
        <v>196</v>
      </c>
    </row>
    <row r="50" spans="3:7" ht="14.5">
      <c r="C50" s="68">
        <v>2015</v>
      </c>
      <c r="D50" s="67">
        <v>1236</v>
      </c>
      <c r="E50" s="67">
        <v>23364</v>
      </c>
      <c r="F50" s="66">
        <v>24600</v>
      </c>
      <c r="G50" s="65">
        <v>5</v>
      </c>
    </row>
    <row r="51" spans="3:7" ht="14.5">
      <c r="C51" s="68">
        <v>2016</v>
      </c>
      <c r="D51" s="67">
        <v>1477</v>
      </c>
      <c r="E51" s="67">
        <v>23879</v>
      </c>
      <c r="F51" s="66">
        <v>25356</v>
      </c>
      <c r="G51" s="65">
        <v>6</v>
      </c>
    </row>
    <row r="52" spans="3:7" ht="14.5">
      <c r="C52" s="68">
        <v>2017</v>
      </c>
      <c r="D52" s="67">
        <v>1755</v>
      </c>
      <c r="E52" s="67">
        <v>23970</v>
      </c>
      <c r="F52" s="66">
        <v>25725</v>
      </c>
      <c r="G52" s="65">
        <v>7</v>
      </c>
    </row>
    <row r="53" spans="3:7" ht="14.5">
      <c r="C53" s="68">
        <v>2018</v>
      </c>
      <c r="D53" s="67">
        <v>2172</v>
      </c>
      <c r="E53" s="67">
        <v>24558</v>
      </c>
      <c r="F53" s="66">
        <v>26730</v>
      </c>
      <c r="G53" s="65">
        <v>8</v>
      </c>
    </row>
    <row r="54" spans="3:7" ht="14.5">
      <c r="C54" s="68">
        <v>2019</v>
      </c>
      <c r="D54" s="67">
        <v>2478</v>
      </c>
      <c r="E54" s="67">
        <v>24027</v>
      </c>
      <c r="F54" s="66">
        <v>26505</v>
      </c>
      <c r="G54" s="65">
        <v>9</v>
      </c>
    </row>
    <row r="55" spans="3:7" ht="14.5">
      <c r="C55" s="68">
        <v>2020</v>
      </c>
      <c r="D55" s="67">
        <v>3019</v>
      </c>
      <c r="E55" s="67">
        <v>24037</v>
      </c>
      <c r="F55" s="66">
        <v>27056</v>
      </c>
      <c r="G55" s="65">
        <v>11</v>
      </c>
    </row>
    <row r="56" spans="3:7" ht="14.5">
      <c r="C56" s="68">
        <v>2021</v>
      </c>
      <c r="D56" s="67">
        <v>4001</v>
      </c>
      <c r="E56" s="67">
        <v>24505</v>
      </c>
      <c r="F56" s="66">
        <v>28506</v>
      </c>
      <c r="G56" s="65">
        <v>14</v>
      </c>
    </row>
    <row r="57" spans="3:7" ht="14.5">
      <c r="C57" s="8">
        <v>2022</v>
      </c>
      <c r="D57" s="64">
        <v>5252</v>
      </c>
      <c r="E57" s="64">
        <v>24248</v>
      </c>
      <c r="F57" s="63">
        <v>29500</v>
      </c>
      <c r="G57" s="62">
        <v>18</v>
      </c>
    </row>
    <row r="59" spans="4:5" ht="14.5">
      <c r="D59" s="70" t="s">
        <v>193</v>
      </c>
      <c r="E59" s="17"/>
    </row>
    <row r="60" spans="3:5" ht="14.5">
      <c r="C60" s="71" t="s">
        <v>120</v>
      </c>
      <c r="D60" s="17" t="s">
        <v>197</v>
      </c>
      <c r="E60" s="17" t="s">
        <v>198</v>
      </c>
    </row>
    <row r="61" spans="3:5" ht="14.5">
      <c r="C61" s="68">
        <v>2015</v>
      </c>
      <c r="D61" s="67">
        <v>1236</v>
      </c>
      <c r="E61">
        <f>D61*3.6/1000</f>
        <v>4.4496000000000002</v>
      </c>
    </row>
    <row r="62" spans="3:5" ht="14.5">
      <c r="C62" s="68">
        <v>2016</v>
      </c>
      <c r="D62" s="67">
        <v>1477</v>
      </c>
      <c r="E62">
        <f t="shared" si="0" ref="E62:E68">D62*3.6/1000</f>
        <v>5.3171999999999997</v>
      </c>
    </row>
    <row r="63" spans="3:5" ht="14.5">
      <c r="C63" s="68">
        <v>2017</v>
      </c>
      <c r="D63" s="67">
        <v>1755</v>
      </c>
      <c r="E63">
        <f t="shared" si="0"/>
        <v>6.3179999999999996</v>
      </c>
    </row>
    <row r="64" spans="3:5" ht="14.5">
      <c r="C64" s="68">
        <v>2018</v>
      </c>
      <c r="D64" s="67">
        <v>2172</v>
      </c>
      <c r="E64">
        <f t="shared" si="0"/>
        <v>7.8191999999999995</v>
      </c>
    </row>
    <row r="65" spans="3:5" ht="14.5">
      <c r="C65" s="68">
        <v>2019</v>
      </c>
      <c r="D65" s="67">
        <v>2478</v>
      </c>
      <c r="E65">
        <f t="shared" si="0"/>
        <v>8.9208000000000016</v>
      </c>
    </row>
    <row r="66" spans="3:5" ht="14.5">
      <c r="C66" s="68">
        <v>2020</v>
      </c>
      <c r="D66" s="67">
        <v>3019</v>
      </c>
      <c r="E66">
        <f t="shared" si="0"/>
        <v>10.868399999999999</v>
      </c>
    </row>
    <row r="67" spans="3:5" ht="14.5">
      <c r="C67" s="68">
        <v>2021</v>
      </c>
      <c r="D67" s="67">
        <v>4001</v>
      </c>
      <c r="E67">
        <f t="shared" si="0"/>
        <v>14.403600000000001</v>
      </c>
    </row>
    <row r="68" spans="3:5" ht="14.5">
      <c r="C68" s="8">
        <v>2022</v>
      </c>
      <c r="D68" s="64">
        <v>5252</v>
      </c>
      <c r="E68">
        <f t="shared" si="0"/>
        <v>18.9072</v>
      </c>
    </row>
  </sheetData>
  <mergeCells count="2">
    <mergeCell ref="C48:E48"/>
    <mergeCell ref="C47:G47"/>
  </mergeCells>
  <pageMargins left="0.7" right="0.7" top="0.75" bottom="0.75" header="0.3" footer="0.3"/>
  <pageSetup orientation="portrait" paperSize="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35F79E2-0844-4822-9D59-D3ED84BB7C05}">
  <sheetPr codeName="Sheet2"/>
  <dimension ref="B2:AF246"/>
  <sheetViews>
    <sheetView zoomScale="68" zoomScaleNormal="68" workbookViewId="0" topLeftCell="A1">
      <selection pane="topLeft" activeCell="B13" sqref="B13"/>
    </sheetView>
  </sheetViews>
  <sheetFormatPr defaultColWidth="9.18428571428571" defaultRowHeight="14.5"/>
  <cols>
    <col min="4" max="4" width="11.1428571428571" bestFit="1" customWidth="1"/>
    <col min="27" max="27" width="9.14285714285714" customWidth="1"/>
  </cols>
  <sheetData>
    <row r="2" spans="2:2" ht="14.5">
      <c r="B2" t="s">
        <v>122</v>
      </c>
    </row>
    <row r="3" spans="2:32" ht="15" thickBot="1">
      <c r="B3" s="23" t="s">
        <v>121</v>
      </c>
      <c r="C3" s="23" t="s">
        <v>2</v>
      </c>
      <c r="D3" s="23" t="s">
        <v>3</v>
      </c>
      <c r="E3" s="23" t="s">
        <v>5</v>
      </c>
      <c r="F3" s="23" t="s">
        <v>120</v>
      </c>
      <c r="G3" s="22" t="str">
        <f>Regions!E$3</f>
        <v>IE-CW</v>
      </c>
      <c r="H3" s="22" t="str">
        <f>Regions!F$3</f>
        <v>IE-D</v>
      </c>
      <c r="I3" s="22" t="str">
        <f>Regions!G$3</f>
        <v>IE-KE</v>
      </c>
      <c r="J3" s="22" t="str">
        <f>Regions!H$3</f>
        <v>IE-KK</v>
      </c>
      <c r="K3" s="22" t="str">
        <f>Regions!I$3</f>
        <v>IE-LS</v>
      </c>
      <c r="L3" s="22" t="str">
        <f>Regions!J$3</f>
        <v>IE-LD</v>
      </c>
      <c r="M3" s="22" t="str">
        <f>Regions!K$3</f>
        <v>IE-LH</v>
      </c>
      <c r="N3" s="22" t="str">
        <f>Regions!L$3</f>
        <v>IE-MH</v>
      </c>
      <c r="O3" s="22" t="str">
        <f>Regions!M$3</f>
        <v>IE-OY</v>
      </c>
      <c r="P3" s="22" t="str">
        <f>Regions!N$3</f>
        <v>IE-WH</v>
      </c>
      <c r="Q3" s="22" t="str">
        <f>Regions!O$3</f>
        <v>IE-WX</v>
      </c>
      <c r="R3" s="22" t="str">
        <f>Regions!P$3</f>
        <v>IE-WW</v>
      </c>
      <c r="S3" s="22" t="str">
        <f>Regions!Q$3</f>
        <v>IE-CE</v>
      </c>
      <c r="T3" s="22" t="str">
        <f>Regions!R$3</f>
        <v>IE-CO</v>
      </c>
      <c r="U3" s="22" t="str">
        <f>Regions!S$3</f>
        <v>IE-KY</v>
      </c>
      <c r="V3" s="22" t="str">
        <f>Regions!T$3</f>
        <v>IE-LK</v>
      </c>
      <c r="W3" s="22" t="str">
        <f>Regions!U$3</f>
        <v>IE-TA</v>
      </c>
      <c r="X3" s="22" t="str">
        <f>Regions!V$3</f>
        <v>IE-WD</v>
      </c>
      <c r="Y3" s="22" t="str">
        <f>Regions!W$3</f>
        <v>IE-G</v>
      </c>
      <c r="Z3" s="22" t="str">
        <f>Regions!X$3</f>
        <v>IE-LM</v>
      </c>
      <c r="AA3" s="22" t="str">
        <f>Regions!Y$3</f>
        <v>IE-MO</v>
      </c>
      <c r="AB3" s="22" t="str">
        <f>Regions!Z$3</f>
        <v>IE-RN</v>
      </c>
      <c r="AC3" s="22" t="str">
        <f>Regions!AA$3</f>
        <v>IE-SO</v>
      </c>
      <c r="AD3" s="22" t="str">
        <f>Regions!AB$3</f>
        <v>IE-CN</v>
      </c>
      <c r="AE3" s="22" t="str">
        <f>Regions!AC$3</f>
        <v>IE-DL</v>
      </c>
      <c r="AF3" s="22" t="str">
        <f>Regions!AD$3</f>
        <v>IE-MN</v>
      </c>
    </row>
    <row r="4" spans="4:32" ht="14.5">
      <c r="D4" t="s">
        <v>6</v>
      </c>
      <c r="E4" t="str">
        <f>DEMANDS!$E$17</f>
        <v>TRAPS</v>
      </c>
      <c r="F4">
        <v>2020</v>
      </c>
      <c r="G4" s="19">
        <f>HLOOKUP(REG_TRA_DEMANDS!G$3,'BY-Demands'!$J$5:$AK$14,MATCH($E4,'BY-Demands'!$I$5:$I$14,0),FALSE)*HLOOKUP(REG_TRA_DEMANDS!$F4,DEMANDS!$G$2:$CK$25,MATCH($E4,DEMANDS!$E$2:$E$25,0),FALSE)/HLOOKUP(2018,DEMANDS!$G$2:$CK$25,MATCH($E4,DEMANDS!$E$2:$E$25,0),FALSE)</f>
        <v>0.14102260336618419</v>
      </c>
      <c r="H4" s="19">
        <f>HLOOKUP(REG_TRA_DEMANDS!H$3,'BY-Demands'!$J$5:$AK$14,MATCH($E4,'BY-Demands'!$I$5:$I$14,0),FALSE)*HLOOKUP(REG_TRA_DEMANDS!$F4,DEMANDS!$G$2:$CK$25,MATCH($E4,DEMANDS!$E$2:$E$25,0),FALSE)/HLOOKUP(2018,DEMANDS!$G$2:$CK$25,MATCH($E4,DEMANDS!$E$2:$E$25,0),FALSE)</f>
        <v>2.8193762108637852</v>
      </c>
      <c r="I4" s="19">
        <f>HLOOKUP(REG_TRA_DEMANDS!I$3,'BY-Demands'!$J$5:$AK$14,MATCH($E4,'BY-Demands'!$I$5:$I$14,0),FALSE)*HLOOKUP(REG_TRA_DEMANDS!$F4,DEMANDS!$G$2:$CK$25,MATCH($E4,DEMANDS!$E$2:$E$25,0),FALSE)/HLOOKUP(2018,DEMANDS!$G$2:$CK$25,MATCH($E4,DEMANDS!$E$2:$E$25,0),FALSE)</f>
        <v>0.51996369762144268</v>
      </c>
      <c r="J4" s="19">
        <f>HLOOKUP(REG_TRA_DEMANDS!J$3,'BY-Demands'!$J$5:$AK$14,MATCH($E4,'BY-Demands'!$I$5:$I$14,0),FALSE)*HLOOKUP(REG_TRA_DEMANDS!$F4,DEMANDS!$G$2:$CK$25,MATCH($E4,DEMANDS!$E$2:$E$25,0),FALSE)/HLOOKUP(2018,DEMANDS!$G$2:$CK$25,MATCH($E4,DEMANDS!$E$2:$E$25,0),FALSE)</f>
        <v>0.2412295956815371</v>
      </c>
      <c r="K4" s="19">
        <f>HLOOKUP(REG_TRA_DEMANDS!K$3,'BY-Demands'!$J$5:$AK$14,MATCH($E4,'BY-Demands'!$I$5:$I$14,0),FALSE)*HLOOKUP(REG_TRA_DEMANDS!$F4,DEMANDS!$G$2:$CK$25,MATCH($E4,DEMANDS!$E$2:$E$25,0),FALSE)/HLOOKUP(2018,DEMANDS!$G$2:$CK$25,MATCH($E4,DEMANDS!$E$2:$E$25,0),FALSE)</f>
        <v>0.19018531303154435</v>
      </c>
      <c r="L4" s="19">
        <f>HLOOKUP(REG_TRA_DEMANDS!L$3,'BY-Demands'!$J$5:$AK$14,MATCH($E4,'BY-Demands'!$I$5:$I$14,0),FALSE)*HLOOKUP(REG_TRA_DEMANDS!$F4,DEMANDS!$G$2:$CK$25,MATCH($E4,DEMANDS!$E$2:$E$25,0),FALSE)/HLOOKUP(2018,DEMANDS!$G$2:$CK$25,MATCH($E4,DEMANDS!$E$2:$E$25,0),FALSE)</f>
        <v>0.095561633661176384</v>
      </c>
      <c r="M4" s="19">
        <f>HLOOKUP(REG_TRA_DEMANDS!M$3,'BY-Demands'!$J$5:$AK$14,MATCH($E4,'BY-Demands'!$I$5:$I$14,0),FALSE)*HLOOKUP(REG_TRA_DEMANDS!$F4,DEMANDS!$G$2:$CK$25,MATCH($E4,DEMANDS!$E$2:$E$25,0),FALSE)/HLOOKUP(2018,DEMANDS!$G$2:$CK$25,MATCH($E4,DEMANDS!$E$2:$E$25,0),FALSE)</f>
        <v>0.27402416687719383</v>
      </c>
      <c r="N4" s="19">
        <f>HLOOKUP(REG_TRA_DEMANDS!N$3,'BY-Demands'!$J$5:$AK$14,MATCH($E4,'BY-Demands'!$I$5:$I$14,0),FALSE)*HLOOKUP(REG_TRA_DEMANDS!$F4,DEMANDS!$G$2:$CK$25,MATCH($E4,DEMANDS!$E$2:$E$25,0),FALSE)/HLOOKUP(2018,DEMANDS!$G$2:$CK$25,MATCH($E4,DEMANDS!$E$2:$E$25,0),FALSE)</f>
        <v>0.45105079601868803</v>
      </c>
      <c r="O4" s="19">
        <f>HLOOKUP(REG_TRA_DEMANDS!O$3,'BY-Demands'!$J$5:$AK$14,MATCH($E4,'BY-Demands'!$I$5:$I$14,0),FALSE)*HLOOKUP(REG_TRA_DEMANDS!$F4,DEMANDS!$G$2:$CK$25,MATCH($E4,DEMANDS!$E$2:$E$25,0),FALSE)/HLOOKUP(2018,DEMANDS!$G$2:$CK$25,MATCH($E4,DEMANDS!$E$2:$E$25,0),FALSE)</f>
        <v>0.18671376666095213</v>
      </c>
      <c r="P4" s="19">
        <f>HLOOKUP(REG_TRA_DEMANDS!P$3,'BY-Demands'!$J$5:$AK$14,MATCH($E4,'BY-Demands'!$I$5:$I$14,0),FALSE)*HLOOKUP(REG_TRA_DEMANDS!$F4,DEMANDS!$G$2:$CK$25,MATCH($E4,DEMANDS!$E$2:$E$25,0),FALSE)/HLOOKUP(2018,DEMANDS!$G$2:$CK$25,MATCH($E4,DEMANDS!$E$2:$E$25,0),FALSE)</f>
        <v>0.21163803569729758</v>
      </c>
      <c r="Q4" s="19">
        <f>HLOOKUP(REG_TRA_DEMANDS!Q$3,'BY-Demands'!$J$5:$AK$14,MATCH($E4,'BY-Demands'!$I$5:$I$14,0),FALSE)*HLOOKUP(REG_TRA_DEMANDS!$F4,DEMANDS!$G$2:$CK$25,MATCH($E4,DEMANDS!$E$2:$E$25,0),FALSE)/HLOOKUP(2018,DEMANDS!$G$2:$CK$25,MATCH($E4,DEMANDS!$E$2:$E$25,0),FALSE)</f>
        <v>0.36834282959899767</v>
      </c>
      <c r="R4" s="19">
        <f>HLOOKUP(REG_TRA_DEMANDS!R$3,'BY-Demands'!$J$5:$AK$14,MATCH($E4,'BY-Demands'!$I$5:$I$14,0),FALSE)*HLOOKUP(REG_TRA_DEMANDS!$F4,DEMANDS!$G$2:$CK$25,MATCH($E4,DEMANDS!$E$2:$E$25,0),FALSE)/HLOOKUP(2018,DEMANDS!$G$2:$CK$25,MATCH($E4,DEMANDS!$E$2:$E$25,0),FALSE)</f>
        <v>0.32581863140183054</v>
      </c>
      <c r="S4" s="19">
        <f>HLOOKUP(REG_TRA_DEMANDS!S$3,'BY-Demands'!$J$5:$AK$14,MATCH($E4,'BY-Demands'!$I$5:$I$14,0),FALSE)*HLOOKUP(REG_TRA_DEMANDS!$F4,DEMANDS!$G$2:$CK$25,MATCH($E4,DEMANDS!$E$2:$E$25,0),FALSE)/HLOOKUP(2018,DEMANDS!$G$2:$CK$25,MATCH($E4,DEMANDS!$E$2:$E$25,0),FALSE)</f>
        <v>0.28676020471389613</v>
      </c>
      <c r="T4" s="19">
        <f>HLOOKUP(REG_TRA_DEMANDS!T$3,'BY-Demands'!$J$5:$AK$14,MATCH($E4,'BY-Demands'!$I$5:$I$14,0),FALSE)*HLOOKUP(REG_TRA_DEMANDS!$F4,DEMANDS!$G$2:$CK$25,MATCH($E4,DEMANDS!$E$2:$E$25,0),FALSE)/HLOOKUP(2018,DEMANDS!$G$2:$CK$25,MATCH($E4,DEMANDS!$E$2:$E$25,0),FALSE)</f>
        <v>1.2126707484972317</v>
      </c>
      <c r="U4" s="19">
        <f>HLOOKUP(REG_TRA_DEMANDS!U$3,'BY-Demands'!$J$5:$AK$14,MATCH($E4,'BY-Demands'!$I$5:$I$14,0),FALSE)*HLOOKUP(REG_TRA_DEMANDS!$F4,DEMANDS!$G$2:$CK$25,MATCH($E4,DEMANDS!$E$2:$E$25,0),FALSE)/HLOOKUP(2018,DEMANDS!$G$2:$CK$25,MATCH($E4,DEMANDS!$E$2:$E$25,0),FALSE)</f>
        <v>0.37129140482878509</v>
      </c>
      <c r="V4" s="19">
        <f>HLOOKUP(REG_TRA_DEMANDS!V$3,'BY-Demands'!$J$5:$AK$14,MATCH($E4,'BY-Demands'!$I$5:$I$14,0),FALSE)*HLOOKUP(REG_TRA_DEMANDS!$F4,DEMANDS!$G$2:$CK$25,MATCH($E4,DEMANDS!$E$2:$E$25,0),FALSE)/HLOOKUP(2018,DEMANDS!$G$2:$CK$25,MATCH($E4,DEMANDS!$E$2:$E$25,0),FALSE)</f>
        <v>0.44273492088669852</v>
      </c>
      <c r="W4" s="19">
        <f>HLOOKUP(REG_TRA_DEMANDS!W$3,'BY-Demands'!$J$5:$AK$14,MATCH($E4,'BY-Demands'!$I$5:$I$14,0),FALSE)*HLOOKUP(REG_TRA_DEMANDS!$F4,DEMANDS!$G$2:$CK$25,MATCH($E4,DEMANDS!$E$2:$E$25,0),FALSE)/HLOOKUP(2018,DEMANDS!$G$2:$CK$25,MATCH($E4,DEMANDS!$E$2:$E$25,0),FALSE)</f>
        <v>0.40362820139863753</v>
      </c>
      <c r="X4" s="19">
        <f>HLOOKUP(REG_TRA_DEMANDS!X$3,'BY-Demands'!$J$5:$AK$14,MATCH($E4,'BY-Demands'!$I$5:$I$14,0),FALSE)*HLOOKUP(REG_TRA_DEMANDS!$F4,DEMANDS!$G$2:$CK$25,MATCH($E4,DEMANDS!$E$2:$E$25,0),FALSE)/HLOOKUP(2018,DEMANDS!$G$2:$CK$25,MATCH($E4,DEMANDS!$E$2:$E$25,0),FALSE)</f>
        <v>0.26802209006972721</v>
      </c>
      <c r="Y4" s="19">
        <f>HLOOKUP(REG_TRA_DEMANDS!Y$3,'BY-Demands'!$J$5:$AK$14,MATCH($E4,'BY-Demands'!$I$5:$I$14,0),FALSE)*HLOOKUP(REG_TRA_DEMANDS!$F4,DEMANDS!$G$2:$CK$25,MATCH($E4,DEMANDS!$E$2:$E$25,0),FALSE)/HLOOKUP(2018,DEMANDS!$G$2:$CK$25,MATCH($E4,DEMANDS!$E$2:$E$25,0),FALSE)</f>
        <v>0.59904734864666986</v>
      </c>
      <c r="Z4" s="19">
        <f>HLOOKUP(REG_TRA_DEMANDS!Z$3,'BY-Demands'!$J$5:$AK$14,MATCH($E4,'BY-Demands'!$I$5:$I$14,0),FALSE)*HLOOKUP(REG_TRA_DEMANDS!$F4,DEMANDS!$G$2:$CK$25,MATCH($E4,DEMANDS!$E$2:$E$25,0),FALSE)/HLOOKUP(2018,DEMANDS!$G$2:$CK$25,MATCH($E4,DEMANDS!$E$2:$E$25,0),FALSE)</f>
        <v>0.076883209959732524</v>
      </c>
      <c r="AA4" s="19">
        <f>HLOOKUP(REG_TRA_DEMANDS!AA$3,'BY-Demands'!$J$5:$AK$14,MATCH($E4,'BY-Demands'!$I$5:$I$14,0),FALSE)*HLOOKUP(REG_TRA_DEMANDS!$F4,DEMANDS!$G$2:$CK$25,MATCH($E4,DEMANDS!$E$2:$E$25,0),FALSE)/HLOOKUP(2018,DEMANDS!$G$2:$CK$25,MATCH($E4,DEMANDS!$E$2:$E$25,0),FALSE)</f>
        <v>0.32081898120752922</v>
      </c>
      <c r="AB4" s="19">
        <f>HLOOKUP(REG_TRA_DEMANDS!AB$3,'BY-Demands'!$J$5:$AK$14,MATCH($E4,'BY-Demands'!$I$5:$I$14,0),FALSE)*HLOOKUP(REG_TRA_DEMANDS!$F4,DEMANDS!$G$2:$CK$25,MATCH($E4,DEMANDS!$E$2:$E$25,0),FALSE)/HLOOKUP(2018,DEMANDS!$G$2:$CK$25,MATCH($E4,DEMANDS!$E$2:$E$25,0),FALSE)</f>
        <v>0.1678236258531208</v>
      </c>
      <c r="AC4" s="19">
        <f>HLOOKUP(REG_TRA_DEMANDS!AC$3,'BY-Demands'!$J$5:$AK$14,MATCH($E4,'BY-Demands'!$I$5:$I$14,0),FALSE)*HLOOKUP(REG_TRA_DEMANDS!$F4,DEMANDS!$G$2:$CK$25,MATCH($E4,DEMANDS!$E$2:$E$25,0),FALSE)/HLOOKUP(2018,DEMANDS!$G$2:$CK$25,MATCH($E4,DEMANDS!$E$2:$E$25,0),FALSE)</f>
        <v>0.14796147778469043</v>
      </c>
      <c r="AD4" s="19">
        <f>HLOOKUP(REG_TRA_DEMANDS!AD$3,'BY-Demands'!$J$5:$AK$14,MATCH($E4,'BY-Demands'!$I$5:$I$14,0),FALSE)*HLOOKUP(REG_TRA_DEMANDS!$F4,DEMANDS!$G$2:$CK$25,MATCH($E4,DEMANDS!$E$2:$E$25,0),FALSE)/HLOOKUP(2018,DEMANDS!$G$2:$CK$25,MATCH($E4,DEMANDS!$E$2:$E$25,0),FALSE)</f>
        <v>0.16503614500140071</v>
      </c>
      <c r="AE4" s="19">
        <f>HLOOKUP(REG_TRA_DEMANDS!AE$3,'BY-Demands'!$J$5:$AK$14,MATCH($E4,'BY-Demands'!$I$5:$I$14,0),FALSE)*HLOOKUP(REG_TRA_DEMANDS!$F4,DEMANDS!$G$2:$CK$25,MATCH($E4,DEMANDS!$E$2:$E$25,0),FALSE)/HLOOKUP(2018,DEMANDS!$G$2:$CK$25,MATCH($E4,DEMANDS!$E$2:$E$25,0),FALSE)</f>
        <v>0.32014165283799628</v>
      </c>
      <c r="AF4" s="19">
        <f>HLOOKUP(REG_TRA_DEMANDS!AF$3,'BY-Demands'!$J$5:$AK$14,MATCH($E4,'BY-Demands'!$I$5:$I$14,0),FALSE)*HLOOKUP(REG_TRA_DEMANDS!$F4,DEMANDS!$G$2:$CK$25,MATCH($E4,DEMANDS!$E$2:$E$25,0),FALSE)/HLOOKUP(2018,DEMANDS!$G$2:$CK$25,MATCH($E4,DEMANDS!$E$2:$E$25,0),FALSE)</f>
        <v>0.15354445783325901</v>
      </c>
    </row>
    <row r="5" spans="4:32" ht="14.5">
      <c r="D5" t="s">
        <v>6</v>
      </c>
      <c r="E5" t="str">
        <f>DEMANDS!$E$17</f>
        <v>TRAPS</v>
      </c>
      <c r="F5">
        <v>2021</v>
      </c>
      <c r="G5" s="19">
        <f>HLOOKUP(REG_TRA_DEMANDS!G$3,'BY-Demands'!$J$5:$AK$14,MATCH($E5,'BY-Demands'!$I$5:$I$14,0),FALSE)*HLOOKUP(REG_TRA_DEMANDS!$F5,DEMANDS!$G$2:$CK$25,MATCH($E5,DEMANDS!$E$2:$E$25,0),FALSE)/HLOOKUP(2018,DEMANDS!$G$2:$CK$25,MATCH($E5,DEMANDS!$E$2:$E$25,0),FALSE)</f>
        <v>0.17786261806237494</v>
      </c>
      <c r="H5" s="19">
        <f>HLOOKUP(REG_TRA_DEMANDS!H$3,'BY-Demands'!$J$5:$AK$14,MATCH($E5,'BY-Demands'!$I$5:$I$14,0),FALSE)*HLOOKUP(REG_TRA_DEMANDS!$F5,DEMANDS!$G$2:$CK$25,MATCH($E5,DEMANDS!$E$2:$E$25,0),FALSE)/HLOOKUP(2018,DEMANDS!$G$2:$CK$25,MATCH($E5,DEMANDS!$E$2:$E$25,0),FALSE)</f>
        <v>3.5558954536167411</v>
      </c>
      <c r="I5" s="19">
        <f>HLOOKUP(REG_TRA_DEMANDS!I$3,'BY-Demands'!$J$5:$AK$14,MATCH($E5,'BY-Demands'!$I$5:$I$14,0),FALSE)*HLOOKUP(REG_TRA_DEMANDS!$F5,DEMANDS!$G$2:$CK$25,MATCH($E5,DEMANDS!$E$2:$E$25,0),FALSE)/HLOOKUP(2018,DEMANDS!$G$2:$CK$25,MATCH($E5,DEMANDS!$E$2:$E$25,0),FALSE)</f>
        <v>0.65579632164498214</v>
      </c>
      <c r="J5" s="19">
        <f>HLOOKUP(REG_TRA_DEMANDS!J$3,'BY-Demands'!$J$5:$AK$14,MATCH($E5,'BY-Demands'!$I$5:$I$14,0),FALSE)*HLOOKUP(REG_TRA_DEMANDS!$F5,DEMANDS!$G$2:$CK$25,MATCH($E5,DEMANDS!$E$2:$E$25,0),FALSE)/HLOOKUP(2018,DEMANDS!$G$2:$CK$25,MATCH($E5,DEMANDS!$E$2:$E$25,0),FALSE)</f>
        <v>0.30424716618396175</v>
      </c>
      <c r="K5" s="19">
        <f>HLOOKUP(REG_TRA_DEMANDS!K$3,'BY-Demands'!$J$5:$AK$14,MATCH($E5,'BY-Demands'!$I$5:$I$14,0),FALSE)*HLOOKUP(REG_TRA_DEMANDS!$F5,DEMANDS!$G$2:$CK$25,MATCH($E5,DEMANDS!$E$2:$E$25,0),FALSE)/HLOOKUP(2018,DEMANDS!$G$2:$CK$25,MATCH($E5,DEMANDS!$E$2:$E$25,0),FALSE)</f>
        <v>0.23986833943893945</v>
      </c>
      <c r="L5" s="19">
        <f>HLOOKUP(REG_TRA_DEMANDS!L$3,'BY-Demands'!$J$5:$AK$14,MATCH($E5,'BY-Demands'!$I$5:$I$14,0),FALSE)*HLOOKUP(REG_TRA_DEMANDS!$F5,DEMANDS!$G$2:$CK$25,MATCH($E5,DEMANDS!$E$2:$E$25,0),FALSE)/HLOOKUP(2018,DEMANDS!$G$2:$CK$25,MATCH($E5,DEMANDS!$E$2:$E$25,0),FALSE)</f>
        <v>0.12052566002600176</v>
      </c>
      <c r="M5" s="19">
        <f>HLOOKUP(REG_TRA_DEMANDS!M$3,'BY-Demands'!$J$5:$AK$14,MATCH($E5,'BY-Demands'!$I$5:$I$14,0),FALSE)*HLOOKUP(REG_TRA_DEMANDS!$F5,DEMANDS!$G$2:$CK$25,MATCH($E5,DEMANDS!$E$2:$E$25,0),FALSE)/HLOOKUP(2018,DEMANDS!$G$2:$CK$25,MATCH($E5,DEMANDS!$E$2:$E$25,0),FALSE)</f>
        <v>0.34560882135030752</v>
      </c>
      <c r="N5" s="19">
        <f>HLOOKUP(REG_TRA_DEMANDS!N$3,'BY-Demands'!$J$5:$AK$14,MATCH($E5,'BY-Demands'!$I$5:$I$14,0),FALSE)*HLOOKUP(REG_TRA_DEMANDS!$F5,DEMANDS!$G$2:$CK$25,MATCH($E5,DEMANDS!$E$2:$E$25,0),FALSE)/HLOOKUP(2018,DEMANDS!$G$2:$CK$25,MATCH($E5,DEMANDS!$E$2:$E$25,0),FALSE)</f>
        <v>0.56888097045469288</v>
      </c>
      <c r="O5" s="19">
        <f>HLOOKUP(REG_TRA_DEMANDS!O$3,'BY-Demands'!$J$5:$AK$14,MATCH($E5,'BY-Demands'!$I$5:$I$14,0),FALSE)*HLOOKUP(REG_TRA_DEMANDS!$F5,DEMANDS!$G$2:$CK$25,MATCH($E5,DEMANDS!$E$2:$E$25,0),FALSE)/HLOOKUP(2018,DEMANDS!$G$2:$CK$25,MATCH($E5,DEMANDS!$E$2:$E$25,0),FALSE)</f>
        <v>0.2354899042699676</v>
      </c>
      <c r="P5" s="19">
        <f>HLOOKUP(REG_TRA_DEMANDS!P$3,'BY-Demands'!$J$5:$AK$14,MATCH($E5,'BY-Demands'!$I$5:$I$14,0),FALSE)*HLOOKUP(REG_TRA_DEMANDS!$F5,DEMANDS!$G$2:$CK$25,MATCH($E5,DEMANDS!$E$2:$E$25,0),FALSE)/HLOOKUP(2018,DEMANDS!$G$2:$CK$25,MATCH($E5,DEMANDS!$E$2:$E$25,0),FALSE)</f>
        <v>0.2669252602928901</v>
      </c>
      <c r="Q5" s="19">
        <f>HLOOKUP(REG_TRA_DEMANDS!Q$3,'BY-Demands'!$J$5:$AK$14,MATCH($E5,'BY-Demands'!$I$5:$I$14,0),FALSE)*HLOOKUP(REG_TRA_DEMANDS!$F5,DEMANDS!$G$2:$CK$25,MATCH($E5,DEMANDS!$E$2:$E$25,0),FALSE)/HLOOKUP(2018,DEMANDS!$G$2:$CK$25,MATCH($E5,DEMANDS!$E$2:$E$25,0),FALSE)</f>
        <v>0.46456680314476934</v>
      </c>
      <c r="R5" s="19">
        <f>HLOOKUP(REG_TRA_DEMANDS!R$3,'BY-Demands'!$J$5:$AK$14,MATCH($E5,'BY-Demands'!$I$5:$I$14,0),FALSE)*HLOOKUP(REG_TRA_DEMANDS!$F5,DEMANDS!$G$2:$CK$25,MATCH($E5,DEMANDS!$E$2:$E$25,0),FALSE)/HLOOKUP(2018,DEMANDS!$G$2:$CK$25,MATCH($E5,DEMANDS!$E$2:$E$25,0),FALSE)</f>
        <v>0.41093380359850573</v>
      </c>
      <c r="S5" s="19">
        <f>HLOOKUP(REG_TRA_DEMANDS!S$3,'BY-Demands'!$J$5:$AK$14,MATCH($E5,'BY-Demands'!$I$5:$I$14,0),FALSE)*HLOOKUP(REG_TRA_DEMANDS!$F5,DEMANDS!$G$2:$CK$25,MATCH($E5,DEMANDS!$E$2:$E$25,0),FALSE)/HLOOKUP(2018,DEMANDS!$G$2:$CK$25,MATCH($E5,DEMANDS!$E$2:$E$25,0),FALSE)</f>
        <v>0.3616719557649748</v>
      </c>
      <c r="T5" s="19">
        <f>HLOOKUP(REG_TRA_DEMANDS!T$3,'BY-Demands'!$J$5:$AK$14,MATCH($E5,'BY-Demands'!$I$5:$I$14,0),FALSE)*HLOOKUP(REG_TRA_DEMANDS!$F5,DEMANDS!$G$2:$CK$25,MATCH($E5,DEMANDS!$E$2:$E$25,0),FALSE)/HLOOKUP(2018,DEMANDS!$G$2:$CK$25,MATCH($E5,DEMANDS!$E$2:$E$25,0),FALSE)</f>
        <v>1.5294625756930076</v>
      </c>
      <c r="U5" s="19">
        <f>HLOOKUP(REG_TRA_DEMANDS!U$3,'BY-Demands'!$J$5:$AK$14,MATCH($E5,'BY-Demands'!$I$5:$I$14,0),FALSE)*HLOOKUP(REG_TRA_DEMANDS!$F5,DEMANDS!$G$2:$CK$25,MATCH($E5,DEMANDS!$E$2:$E$25,0),FALSE)/HLOOKUP(2018,DEMANDS!$G$2:$CK$25,MATCH($E5,DEMANDS!$E$2:$E$25,0),FALSE)</f>
        <v>0.46828564890002805</v>
      </c>
      <c r="V5" s="19">
        <f>HLOOKUP(REG_TRA_DEMANDS!V$3,'BY-Demands'!$J$5:$AK$14,MATCH($E5,'BY-Demands'!$I$5:$I$14,0),FALSE)*HLOOKUP(REG_TRA_DEMANDS!$F5,DEMANDS!$G$2:$CK$25,MATCH($E5,DEMANDS!$E$2:$E$25,0),FALSE)/HLOOKUP(2018,DEMANDS!$G$2:$CK$25,MATCH($E5,DEMANDS!$E$2:$E$25,0),FALSE)</f>
        <v>0.55839269916236101</v>
      </c>
      <c r="W5" s="19">
        <f>HLOOKUP(REG_TRA_DEMANDS!W$3,'BY-Demands'!$J$5:$AK$14,MATCH($E5,'BY-Demands'!$I$5:$I$14,0),FALSE)*HLOOKUP(REG_TRA_DEMANDS!$F5,DEMANDS!$G$2:$CK$25,MATCH($E5,DEMANDS!$E$2:$E$25,0),FALSE)/HLOOKUP(2018,DEMANDS!$G$2:$CK$25,MATCH($E5,DEMANDS!$E$2:$E$25,0),FALSE)</f>
        <v>0.50906994276765594</v>
      </c>
      <c r="X5" s="19">
        <f>HLOOKUP(REG_TRA_DEMANDS!X$3,'BY-Demands'!$J$5:$AK$14,MATCH($E5,'BY-Demands'!$I$5:$I$14,0),FALSE)*HLOOKUP(REG_TRA_DEMANDS!$F5,DEMANDS!$G$2:$CK$25,MATCH($E5,DEMANDS!$E$2:$E$25,0),FALSE)/HLOOKUP(2018,DEMANDS!$G$2:$CK$25,MATCH($E5,DEMANDS!$E$2:$E$25,0),FALSE)</f>
        <v>0.33803879307607798</v>
      </c>
      <c r="Y5" s="19">
        <f>HLOOKUP(REG_TRA_DEMANDS!Y$3,'BY-Demands'!$J$5:$AK$14,MATCH($E5,'BY-Demands'!$I$5:$I$14,0),FALSE)*HLOOKUP(REG_TRA_DEMANDS!$F5,DEMANDS!$G$2:$CK$25,MATCH($E5,DEMANDS!$E$2:$E$25,0),FALSE)/HLOOKUP(2018,DEMANDS!$G$2:$CK$25,MATCH($E5,DEMANDS!$E$2:$E$25,0),FALSE)</f>
        <v>0.75553937617329625</v>
      </c>
      <c r="Z5" s="19">
        <f>HLOOKUP(REG_TRA_DEMANDS!Z$3,'BY-Demands'!$J$5:$AK$14,MATCH($E5,'BY-Demands'!$I$5:$I$14,0),FALSE)*HLOOKUP(REG_TRA_DEMANDS!$F5,DEMANDS!$G$2:$CK$25,MATCH($E5,DEMANDS!$E$2:$E$25,0),FALSE)/HLOOKUP(2018,DEMANDS!$G$2:$CK$25,MATCH($E5,DEMANDS!$E$2:$E$25,0),FALSE)</f>
        <v>0.096967781632631034</v>
      </c>
      <c r="AA5" s="19">
        <f>HLOOKUP(REG_TRA_DEMANDS!AA$3,'BY-Demands'!$J$5:$AK$14,MATCH($E5,'BY-Demands'!$I$5:$I$14,0),FALSE)*HLOOKUP(REG_TRA_DEMANDS!$F5,DEMANDS!$G$2:$CK$25,MATCH($E5,DEMANDS!$E$2:$E$25,0),FALSE)/HLOOKUP(2018,DEMANDS!$G$2:$CK$25,MATCH($E5,DEMANDS!$E$2:$E$25,0),FALSE)</f>
        <v>0.40462807067535556</v>
      </c>
      <c r="AB5" s="19">
        <f>HLOOKUP(REG_TRA_DEMANDS!AB$3,'BY-Demands'!$J$5:$AK$14,MATCH($E5,'BY-Demands'!$I$5:$I$14,0),FALSE)*HLOOKUP(REG_TRA_DEMANDS!$F5,DEMANDS!$G$2:$CK$25,MATCH($E5,DEMANDS!$E$2:$E$25,0),FALSE)/HLOOKUP(2018,DEMANDS!$G$2:$CK$25,MATCH($E5,DEMANDS!$E$2:$E$25,0),FALSE)</f>
        <v>0.21166500088959611</v>
      </c>
      <c r="AC5" s="19">
        <f>HLOOKUP(REG_TRA_DEMANDS!AC$3,'BY-Demands'!$J$5:$AK$14,MATCH($E5,'BY-Demands'!$I$5:$I$14,0),FALSE)*HLOOKUP(REG_TRA_DEMANDS!$F5,DEMANDS!$G$2:$CK$25,MATCH($E5,DEMANDS!$E$2:$E$25,0),FALSE)/HLOOKUP(2018,DEMANDS!$G$2:$CK$25,MATCH($E5,DEMANDS!$E$2:$E$25,0),FALSE)</f>
        <v>0.18661416810486622</v>
      </c>
      <c r="AD5" s="19">
        <f>HLOOKUP(REG_TRA_DEMANDS!AD$3,'BY-Demands'!$J$5:$AK$14,MATCH($E5,'BY-Demands'!$I$5:$I$14,0),FALSE)*HLOOKUP(REG_TRA_DEMANDS!$F5,DEMANDS!$G$2:$CK$25,MATCH($E5,DEMANDS!$E$2:$E$25,0),FALSE)/HLOOKUP(2018,DEMANDS!$G$2:$CK$25,MATCH($E5,DEMANDS!$E$2:$E$25,0),FALSE)</f>
        <v>0.20814933297359342</v>
      </c>
      <c r="AE5" s="19">
        <f>HLOOKUP(REG_TRA_DEMANDS!AE$3,'BY-Demands'!$J$5:$AK$14,MATCH($E5,'BY-Demands'!$I$5:$I$14,0),FALSE)*HLOOKUP(REG_TRA_DEMANDS!$F5,DEMANDS!$G$2:$CK$25,MATCH($E5,DEMANDS!$E$2:$E$25,0),FALSE)/HLOOKUP(2018,DEMANDS!$G$2:$CK$25,MATCH($E5,DEMANDS!$E$2:$E$25,0),FALSE)</f>
        <v>0.4037738005497345</v>
      </c>
      <c r="AF5" s="19">
        <f>HLOOKUP(REG_TRA_DEMANDS!AF$3,'BY-Demands'!$J$5:$AK$14,MATCH($E5,'BY-Demands'!$I$5:$I$14,0),FALSE)*HLOOKUP(REG_TRA_DEMANDS!$F5,DEMANDS!$G$2:$CK$25,MATCH($E5,DEMANDS!$E$2:$E$25,0),FALSE)/HLOOKUP(2018,DEMANDS!$G$2:$CK$25,MATCH($E5,DEMANDS!$E$2:$E$25,0),FALSE)</f>
        <v>0.19365561695296288</v>
      </c>
    </row>
    <row r="6" spans="4:32" ht="14.5">
      <c r="D6" t="s">
        <v>6</v>
      </c>
      <c r="E6" t="str">
        <f>DEMANDS!$E$17</f>
        <v>TRAPS</v>
      </c>
      <c r="F6">
        <v>2022</v>
      </c>
      <c r="G6" s="19">
        <f>HLOOKUP(REG_TRA_DEMANDS!G$3,'BY-Demands'!$J$5:$AK$14,MATCH($E6,'BY-Demands'!$I$5:$I$14,0),FALSE)*HLOOKUP(REG_TRA_DEMANDS!$F6,DEMANDS!$G$2:$CK$25,MATCH($E6,DEMANDS!$E$2:$E$25,0),FALSE)/HLOOKUP(2018,DEMANDS!$G$2:$CK$25,MATCH($E6,DEMANDS!$E$2:$E$25,0),FALSE)</f>
        <v>0.18420817729466035</v>
      </c>
      <c r="H6" s="19">
        <f>HLOOKUP(REG_TRA_DEMANDS!H$3,'BY-Demands'!$J$5:$AK$14,MATCH($E6,'BY-Demands'!$I$5:$I$14,0),FALSE)*HLOOKUP(REG_TRA_DEMANDS!$F6,DEMANDS!$G$2:$CK$25,MATCH($E6,DEMANDS!$E$2:$E$25,0),FALSE)/HLOOKUP(2018,DEMANDS!$G$2:$CK$25,MATCH($E6,DEMANDS!$E$2:$E$25,0),FALSE)</f>
        <v>3.6827582282152043</v>
      </c>
      <c r="I6" s="19">
        <f>HLOOKUP(REG_TRA_DEMANDS!I$3,'BY-Demands'!$J$5:$AK$14,MATCH($E6,'BY-Demands'!$I$5:$I$14,0),FALSE)*HLOOKUP(REG_TRA_DEMANDS!$F6,DEMANDS!$G$2:$CK$25,MATCH($E6,DEMANDS!$E$2:$E$25,0),FALSE)/HLOOKUP(2018,DEMANDS!$G$2:$CK$25,MATCH($E6,DEMANDS!$E$2:$E$25,0),FALSE)</f>
        <v>0.6791929996465047</v>
      </c>
      <c r="J6" s="19">
        <f>HLOOKUP(REG_TRA_DEMANDS!J$3,'BY-Demands'!$J$5:$AK$14,MATCH($E6,'BY-Demands'!$I$5:$I$14,0),FALSE)*HLOOKUP(REG_TRA_DEMANDS!$F6,DEMANDS!$G$2:$CK$25,MATCH($E6,DEMANDS!$E$2:$E$25,0),FALSE)/HLOOKUP(2018,DEMANDS!$G$2:$CK$25,MATCH($E6,DEMANDS!$E$2:$E$25,0),FALSE)</f>
        <v>0.31510171468497544</v>
      </c>
      <c r="K6" s="19">
        <f>HLOOKUP(REG_TRA_DEMANDS!K$3,'BY-Demands'!$J$5:$AK$14,MATCH($E6,'BY-Demands'!$I$5:$I$14,0),FALSE)*HLOOKUP(REG_TRA_DEMANDS!$F6,DEMANDS!$G$2:$CK$25,MATCH($E6,DEMANDS!$E$2:$E$25,0),FALSE)/HLOOKUP(2018,DEMANDS!$G$2:$CK$25,MATCH($E6,DEMANDS!$E$2:$E$25,0),FALSE)</f>
        <v>0.24842606096829398</v>
      </c>
      <c r="L6" s="19">
        <f>HLOOKUP(REG_TRA_DEMANDS!L$3,'BY-Demands'!$J$5:$AK$14,MATCH($E6,'BY-Demands'!$I$5:$I$14,0),FALSE)*HLOOKUP(REG_TRA_DEMANDS!$F6,DEMANDS!$G$2:$CK$25,MATCH($E6,DEMANDS!$E$2:$E$25,0),FALSE)/HLOOKUP(2018,DEMANDS!$G$2:$CK$25,MATCH($E6,DEMANDS!$E$2:$E$25,0),FALSE)</f>
        <v>0.12482562323939091</v>
      </c>
      <c r="M6" s="19">
        <f>HLOOKUP(REG_TRA_DEMANDS!M$3,'BY-Demands'!$J$5:$AK$14,MATCH($E6,'BY-Demands'!$I$5:$I$14,0),FALSE)*HLOOKUP(REG_TRA_DEMANDS!$F6,DEMANDS!$G$2:$CK$25,MATCH($E6,DEMANDS!$E$2:$E$25,0),FALSE)/HLOOKUP(2018,DEMANDS!$G$2:$CK$25,MATCH($E6,DEMANDS!$E$2:$E$25,0),FALSE)</f>
        <v>0.35793901906678122</v>
      </c>
      <c r="N6" s="19">
        <f>HLOOKUP(REG_TRA_DEMANDS!N$3,'BY-Demands'!$J$5:$AK$14,MATCH($E6,'BY-Demands'!$I$5:$I$14,0),FALSE)*HLOOKUP(REG_TRA_DEMANDS!$F6,DEMANDS!$G$2:$CK$25,MATCH($E6,DEMANDS!$E$2:$E$25,0),FALSE)/HLOOKUP(2018,DEMANDS!$G$2:$CK$25,MATCH($E6,DEMANDS!$E$2:$E$25,0),FALSE)</f>
        <v>0.58917679165346959</v>
      </c>
      <c r="O6" s="19">
        <f>HLOOKUP(REG_TRA_DEMANDS!O$3,'BY-Demands'!$J$5:$AK$14,MATCH($E6,'BY-Demands'!$I$5:$I$14,0),FALSE)*HLOOKUP(REG_TRA_DEMANDS!$F6,DEMANDS!$G$2:$CK$25,MATCH($E6,DEMANDS!$E$2:$E$25,0),FALSE)/HLOOKUP(2018,DEMANDS!$G$2:$CK$25,MATCH($E6,DEMANDS!$E$2:$E$25,0),FALSE)</f>
        <v>0.24389141748521931</v>
      </c>
      <c r="P6" s="19">
        <f>HLOOKUP(REG_TRA_DEMANDS!P$3,'BY-Demands'!$J$5:$AK$14,MATCH($E6,'BY-Demands'!$I$5:$I$14,0),FALSE)*HLOOKUP(REG_TRA_DEMANDS!$F6,DEMANDS!$G$2:$CK$25,MATCH($E6,DEMANDS!$E$2:$E$25,0),FALSE)/HLOOKUP(2018,DEMANDS!$G$2:$CK$25,MATCH($E6,DEMANDS!$E$2:$E$25,0),FALSE)</f>
        <v>0.27644828468235316</v>
      </c>
      <c r="Q6" s="19">
        <f>HLOOKUP(REG_TRA_DEMANDS!Q$3,'BY-Demands'!$J$5:$AK$14,MATCH($E6,'BY-Demands'!$I$5:$I$14,0),FALSE)*HLOOKUP(REG_TRA_DEMANDS!$F6,DEMANDS!$G$2:$CK$25,MATCH($E6,DEMANDS!$E$2:$E$25,0),FALSE)/HLOOKUP(2018,DEMANDS!$G$2:$CK$25,MATCH($E6,DEMANDS!$E$2:$E$25,0),FALSE)</f>
        <v>0.4811410344184528</v>
      </c>
      <c r="R6" s="19">
        <f>HLOOKUP(REG_TRA_DEMANDS!R$3,'BY-Demands'!$J$5:$AK$14,MATCH($E6,'BY-Demands'!$I$5:$I$14,0),FALSE)*HLOOKUP(REG_TRA_DEMANDS!$F6,DEMANDS!$G$2:$CK$25,MATCH($E6,DEMANDS!$E$2:$E$25,0),FALSE)/HLOOKUP(2018,DEMANDS!$G$2:$CK$25,MATCH($E6,DEMANDS!$E$2:$E$25,0),FALSE)</f>
        <v>0.42559458403505707</v>
      </c>
      <c r="S6" s="19">
        <f>HLOOKUP(REG_TRA_DEMANDS!S$3,'BY-Demands'!$J$5:$AK$14,MATCH($E6,'BY-Demands'!$I$5:$I$14,0),FALSE)*HLOOKUP(REG_TRA_DEMANDS!$F6,DEMANDS!$G$2:$CK$25,MATCH($E6,DEMANDS!$E$2:$E$25,0),FALSE)/HLOOKUP(2018,DEMANDS!$G$2:$CK$25,MATCH($E6,DEMANDS!$E$2:$E$25,0),FALSE)</f>
        <v>0.37457523382848745</v>
      </c>
      <c r="T6" s="19">
        <f>HLOOKUP(REG_TRA_DEMANDS!T$3,'BY-Demands'!$J$5:$AK$14,MATCH($E6,'BY-Demands'!$I$5:$I$14,0),FALSE)*HLOOKUP(REG_TRA_DEMANDS!$F6,DEMANDS!$G$2:$CK$25,MATCH($E6,DEMANDS!$E$2:$E$25,0),FALSE)/HLOOKUP(2018,DEMANDS!$G$2:$CK$25,MATCH($E6,DEMANDS!$E$2:$E$25,0),FALSE)</f>
        <v>1.5840288216718015</v>
      </c>
      <c r="U6" s="19">
        <f>HLOOKUP(REG_TRA_DEMANDS!U$3,'BY-Demands'!$J$5:$AK$14,MATCH($E6,'BY-Demands'!$I$5:$I$14,0),FALSE)*HLOOKUP(REG_TRA_DEMANDS!$F6,DEMANDS!$G$2:$CK$25,MATCH($E6,DEMANDS!$E$2:$E$25,0),FALSE)/HLOOKUP(2018,DEMANDS!$G$2:$CK$25,MATCH($E6,DEMANDS!$E$2:$E$25,0),FALSE)</f>
        <v>0.48499255648463507</v>
      </c>
      <c r="V6" s="19">
        <f>HLOOKUP(REG_TRA_DEMANDS!V$3,'BY-Demands'!$J$5:$AK$14,MATCH($E6,'BY-Demands'!$I$5:$I$14,0),FALSE)*HLOOKUP(REG_TRA_DEMANDS!$F6,DEMANDS!$G$2:$CK$25,MATCH($E6,DEMANDS!$E$2:$E$25,0),FALSE)/HLOOKUP(2018,DEMANDS!$G$2:$CK$25,MATCH($E6,DEMANDS!$E$2:$E$25,0),FALSE)</f>
        <v>0.57831433298295343</v>
      </c>
      <c r="W6" s="19">
        <f>HLOOKUP(REG_TRA_DEMANDS!W$3,'BY-Demands'!$J$5:$AK$14,MATCH($E6,'BY-Demands'!$I$5:$I$14,0),FALSE)*HLOOKUP(REG_TRA_DEMANDS!$F6,DEMANDS!$G$2:$CK$25,MATCH($E6,DEMANDS!$E$2:$E$25,0),FALSE)/HLOOKUP(2018,DEMANDS!$G$2:$CK$25,MATCH($E6,DEMANDS!$E$2:$E$25,0),FALSE)</f>
        <v>0.52723190119601704</v>
      </c>
      <c r="X6" s="19">
        <f>HLOOKUP(REG_TRA_DEMANDS!X$3,'BY-Demands'!$J$5:$AK$14,MATCH($E6,'BY-Demands'!$I$5:$I$14,0),FALSE)*HLOOKUP(REG_TRA_DEMANDS!$F6,DEMANDS!$G$2:$CK$25,MATCH($E6,DEMANDS!$E$2:$E$25,0),FALSE)/HLOOKUP(2018,DEMANDS!$G$2:$CK$25,MATCH($E6,DEMANDS!$E$2:$E$25,0),FALSE)</f>
        <v>0.35009891682575922</v>
      </c>
      <c r="Y6" s="19">
        <f>HLOOKUP(REG_TRA_DEMANDS!Y$3,'BY-Demands'!$J$5:$AK$14,MATCH($E6,'BY-Demands'!$I$5:$I$14,0),FALSE)*HLOOKUP(REG_TRA_DEMANDS!$F6,DEMANDS!$G$2:$CK$25,MATCH($E6,DEMANDS!$E$2:$E$25,0),FALSE)/HLOOKUP(2018,DEMANDS!$G$2:$CK$25,MATCH($E6,DEMANDS!$E$2:$E$25,0),FALSE)</f>
        <v>0.78249456167579645</v>
      </c>
      <c r="Z6" s="19">
        <f>HLOOKUP(REG_TRA_DEMANDS!Z$3,'BY-Demands'!$J$5:$AK$14,MATCH($E6,'BY-Demands'!$I$5:$I$14,0),FALSE)*HLOOKUP(REG_TRA_DEMANDS!$F6,DEMANDS!$G$2:$CK$25,MATCH($E6,DEMANDS!$E$2:$E$25,0),FALSE)/HLOOKUP(2018,DEMANDS!$G$2:$CK$25,MATCH($E6,DEMANDS!$E$2:$E$25,0),FALSE)</f>
        <v>0.10042727643078697</v>
      </c>
      <c r="AA6" s="19">
        <f>HLOOKUP(REG_TRA_DEMANDS!AA$3,'BY-Demands'!$J$5:$AK$14,MATCH($E6,'BY-Demands'!$I$5:$I$14,0),FALSE)*HLOOKUP(REG_TRA_DEMANDS!$F6,DEMANDS!$G$2:$CK$25,MATCH($E6,DEMANDS!$E$2:$E$25,0),FALSE)/HLOOKUP(2018,DEMANDS!$G$2:$CK$25,MATCH($E6,DEMANDS!$E$2:$E$25,0),FALSE)</f>
        <v>0.41906388308769404</v>
      </c>
      <c r="AB6" s="19">
        <f>HLOOKUP(REG_TRA_DEMANDS!AB$3,'BY-Demands'!$J$5:$AK$14,MATCH($E6,'BY-Demands'!$I$5:$I$14,0),FALSE)*HLOOKUP(REG_TRA_DEMANDS!$F6,DEMANDS!$G$2:$CK$25,MATCH($E6,DEMANDS!$E$2:$E$25,0),FALSE)/HLOOKUP(2018,DEMANDS!$G$2:$CK$25,MATCH($E6,DEMANDS!$E$2:$E$25,0),FALSE)</f>
        <v>0.21921651910730083</v>
      </c>
      <c r="AC6" s="19">
        <f>HLOOKUP(REG_TRA_DEMANDS!AC$3,'BY-Demands'!$J$5:$AK$14,MATCH($E6,'BY-Demands'!$I$5:$I$14,0),FALSE)*HLOOKUP(REG_TRA_DEMANDS!$F6,DEMANDS!$G$2:$CK$25,MATCH($E6,DEMANDS!$E$2:$E$25,0),FALSE)/HLOOKUP(2018,DEMANDS!$G$2:$CK$25,MATCH($E6,DEMANDS!$E$2:$E$25,0),FALSE)</f>
        <v>0.19327195415453419</v>
      </c>
      <c r="AD6" s="19">
        <f>HLOOKUP(REG_TRA_DEMANDS!AD$3,'BY-Demands'!$J$5:$AK$14,MATCH($E6,'BY-Demands'!$I$5:$I$14,0),FALSE)*HLOOKUP(REG_TRA_DEMANDS!$F6,DEMANDS!$G$2:$CK$25,MATCH($E6,DEMANDS!$E$2:$E$25,0),FALSE)/HLOOKUP(2018,DEMANDS!$G$2:$CK$25,MATCH($E6,DEMANDS!$E$2:$E$25,0),FALSE)</f>
        <v>0.21557542360429266</v>
      </c>
      <c r="AE6" s="19">
        <f>HLOOKUP(REG_TRA_DEMANDS!AE$3,'BY-Demands'!$J$5:$AK$14,MATCH($E6,'BY-Demands'!$I$5:$I$14,0),FALSE)*HLOOKUP(REG_TRA_DEMANDS!$F6,DEMANDS!$G$2:$CK$25,MATCH($E6,DEMANDS!$E$2:$E$25,0),FALSE)/HLOOKUP(2018,DEMANDS!$G$2:$CK$25,MATCH($E6,DEMANDS!$E$2:$E$25,0),FALSE)</f>
        <v>0.41817913538481949</v>
      </c>
      <c r="AF6" s="19">
        <f>HLOOKUP(REG_TRA_DEMANDS!AF$3,'BY-Demands'!$J$5:$AK$14,MATCH($E6,'BY-Demands'!$I$5:$I$14,0),FALSE)*HLOOKUP(REG_TRA_DEMANDS!$F6,DEMANDS!$G$2:$CK$25,MATCH($E6,DEMANDS!$E$2:$E$25,0),FALSE)/HLOOKUP(2018,DEMANDS!$G$2:$CK$25,MATCH($E6,DEMANDS!$E$2:$E$25,0),FALSE)</f>
        <v>0.20056461897613595</v>
      </c>
    </row>
    <row r="7" spans="4:32" ht="14.5">
      <c r="D7" t="s">
        <v>6</v>
      </c>
      <c r="E7" t="str">
        <f>DEMANDS!$E$17</f>
        <v>TRAPS</v>
      </c>
      <c r="F7">
        <v>2023</v>
      </c>
      <c r="G7" s="19">
        <f>HLOOKUP(REG_TRA_DEMANDS!G$3,'BY-Demands'!$J$5:$AK$14,MATCH($E7,'BY-Demands'!$I$5:$I$14,0),FALSE)*HLOOKUP(REG_TRA_DEMANDS!$F7,DEMANDS!$G$2:$CK$25,MATCH($E7,DEMANDS!$E$2:$E$25,0),FALSE)/HLOOKUP(2018,DEMANDS!$G$2:$CK$25,MATCH($E7,DEMANDS!$E$2:$E$25,0),FALSE)</f>
        <v>0.18487918530821282</v>
      </c>
      <c r="H7" s="19">
        <f>HLOOKUP(REG_TRA_DEMANDS!H$3,'BY-Demands'!$J$5:$AK$14,MATCH($E7,'BY-Demands'!$I$5:$I$14,0),FALSE)*HLOOKUP(REG_TRA_DEMANDS!$F7,DEMANDS!$G$2:$CK$25,MATCH($E7,DEMANDS!$E$2:$E$25,0),FALSE)/HLOOKUP(2018,DEMANDS!$G$2:$CK$25,MATCH($E7,DEMANDS!$E$2:$E$25,0),FALSE)</f>
        <v>3.6961732693898188</v>
      </c>
      <c r="I7" s="19">
        <f>HLOOKUP(REG_TRA_DEMANDS!I$3,'BY-Demands'!$J$5:$AK$14,MATCH($E7,'BY-Demands'!$I$5:$I$14,0),FALSE)*HLOOKUP(REG_TRA_DEMANDS!$F7,DEMANDS!$G$2:$CK$25,MATCH($E7,DEMANDS!$E$2:$E$25,0),FALSE)/HLOOKUP(2018,DEMANDS!$G$2:$CK$25,MATCH($E7,DEMANDS!$E$2:$E$25,0),FALSE)</f>
        <v>0.68166706975677194</v>
      </c>
      <c r="J7" s="19">
        <f>HLOOKUP(REG_TRA_DEMANDS!J$3,'BY-Demands'!$J$5:$AK$14,MATCH($E7,'BY-Demands'!$I$5:$I$14,0),FALSE)*HLOOKUP(REG_TRA_DEMANDS!$F7,DEMANDS!$G$2:$CK$25,MATCH($E7,DEMANDS!$E$2:$E$25,0),FALSE)/HLOOKUP(2018,DEMANDS!$G$2:$CK$25,MATCH($E7,DEMANDS!$E$2:$E$25,0),FALSE)</f>
        <v>0.31624952353224239</v>
      </c>
      <c r="K7" s="19">
        <f>HLOOKUP(REG_TRA_DEMANDS!K$3,'BY-Demands'!$J$5:$AK$14,MATCH($E7,'BY-Demands'!$I$5:$I$14,0),FALSE)*HLOOKUP(REG_TRA_DEMANDS!$F7,DEMANDS!$G$2:$CK$25,MATCH($E7,DEMANDS!$E$2:$E$25,0),FALSE)/HLOOKUP(2018,DEMANDS!$G$2:$CK$25,MATCH($E7,DEMANDS!$E$2:$E$25,0),FALSE)</f>
        <v>0.24933099298669367</v>
      </c>
      <c r="L7" s="19">
        <f>HLOOKUP(REG_TRA_DEMANDS!L$3,'BY-Demands'!$J$5:$AK$14,MATCH($E7,'BY-Demands'!$I$5:$I$14,0),FALSE)*HLOOKUP(REG_TRA_DEMANDS!$F7,DEMANDS!$G$2:$CK$25,MATCH($E7,DEMANDS!$E$2:$E$25,0),FALSE)/HLOOKUP(2018,DEMANDS!$G$2:$CK$25,MATCH($E7,DEMANDS!$E$2:$E$25,0),FALSE)</f>
        <v>0.12528032071656275</v>
      </c>
      <c r="M7" s="19">
        <f>HLOOKUP(REG_TRA_DEMANDS!M$3,'BY-Demands'!$J$5:$AK$14,MATCH($E7,'BY-Demands'!$I$5:$I$14,0),FALSE)*HLOOKUP(REG_TRA_DEMANDS!$F7,DEMANDS!$G$2:$CK$25,MATCH($E7,DEMANDS!$E$2:$E$25,0),FALSE)/HLOOKUP(2018,DEMANDS!$G$2:$CK$25,MATCH($E7,DEMANDS!$E$2:$E$25,0),FALSE)</f>
        <v>0.35924286970839914</v>
      </c>
      <c r="N7" s="19">
        <f>HLOOKUP(REG_TRA_DEMANDS!N$3,'BY-Demands'!$J$5:$AK$14,MATCH($E7,'BY-Demands'!$I$5:$I$14,0),FALSE)*HLOOKUP(REG_TRA_DEMANDS!$F7,DEMANDS!$G$2:$CK$25,MATCH($E7,DEMANDS!$E$2:$E$25,0),FALSE)/HLOOKUP(2018,DEMANDS!$G$2:$CK$25,MATCH($E7,DEMANDS!$E$2:$E$25,0),FALSE)</f>
        <v>0.59132296319918887</v>
      </c>
      <c r="O7" s="19">
        <f>HLOOKUP(REG_TRA_DEMANDS!O$3,'BY-Demands'!$J$5:$AK$14,MATCH($E7,'BY-Demands'!$I$5:$I$14,0),FALSE)*HLOOKUP(REG_TRA_DEMANDS!$F7,DEMANDS!$G$2:$CK$25,MATCH($E7,DEMANDS!$E$2:$E$25,0),FALSE)/HLOOKUP(2018,DEMANDS!$G$2:$CK$25,MATCH($E7,DEMANDS!$E$2:$E$25,0),FALSE)</f>
        <v>0.24477983133292525</v>
      </c>
      <c r="P7" s="19">
        <f>HLOOKUP(REG_TRA_DEMANDS!P$3,'BY-Demands'!$J$5:$AK$14,MATCH($E7,'BY-Demands'!$I$5:$I$14,0),FALSE)*HLOOKUP(REG_TRA_DEMANDS!$F7,DEMANDS!$G$2:$CK$25,MATCH($E7,DEMANDS!$E$2:$E$25,0),FALSE)/HLOOKUP(2018,DEMANDS!$G$2:$CK$25,MATCH($E7,DEMANDS!$E$2:$E$25,0),FALSE)</f>
        <v>0.27745529217289444</v>
      </c>
      <c r="Q7" s="19">
        <f>HLOOKUP(REG_TRA_DEMANDS!Q$3,'BY-Demands'!$J$5:$AK$14,MATCH($E7,'BY-Demands'!$I$5:$I$14,0),FALSE)*HLOOKUP(REG_TRA_DEMANDS!$F7,DEMANDS!$G$2:$CK$25,MATCH($E7,DEMANDS!$E$2:$E$25,0),FALSE)/HLOOKUP(2018,DEMANDS!$G$2:$CK$25,MATCH($E7,DEMANDS!$E$2:$E$25,0),FALSE)</f>
        <v>0.48289366828349151</v>
      </c>
      <c r="R7" s="19">
        <f>HLOOKUP(REG_TRA_DEMANDS!R$3,'BY-Demands'!$J$5:$AK$14,MATCH($E7,'BY-Demands'!$I$5:$I$14,0),FALSE)*HLOOKUP(REG_TRA_DEMANDS!$F7,DEMANDS!$G$2:$CK$25,MATCH($E7,DEMANDS!$E$2:$E$25,0),FALSE)/HLOOKUP(2018,DEMANDS!$G$2:$CK$25,MATCH($E7,DEMANDS!$E$2:$E$25,0),FALSE)</f>
        <v>0.42714488099041553</v>
      </c>
      <c r="S7" s="19">
        <f>HLOOKUP(REG_TRA_DEMANDS!S$3,'BY-Demands'!$J$5:$AK$14,MATCH($E7,'BY-Demands'!$I$5:$I$14,0),FALSE)*HLOOKUP(REG_TRA_DEMANDS!$F7,DEMANDS!$G$2:$CK$25,MATCH($E7,DEMANDS!$E$2:$E$25,0),FALSE)/HLOOKUP(2018,DEMANDS!$G$2:$CK$25,MATCH($E7,DEMANDS!$E$2:$E$25,0),FALSE)</f>
        <v>0.37593968456714894</v>
      </c>
      <c r="T7" s="19">
        <f>HLOOKUP(REG_TRA_DEMANDS!T$3,'BY-Demands'!$J$5:$AK$14,MATCH($E7,'BY-Demands'!$I$5:$I$14,0),FALSE)*HLOOKUP(REG_TRA_DEMANDS!$F7,DEMANDS!$G$2:$CK$25,MATCH($E7,DEMANDS!$E$2:$E$25,0),FALSE)/HLOOKUP(2018,DEMANDS!$G$2:$CK$25,MATCH($E7,DEMANDS!$E$2:$E$25,0),FALSE)</f>
        <v>1.5897989022873846</v>
      </c>
      <c r="U7" s="19">
        <f>HLOOKUP(REG_TRA_DEMANDS!U$3,'BY-Demands'!$J$5:$AK$14,MATCH($E7,'BY-Demands'!$I$5:$I$14,0),FALSE)*HLOOKUP(REG_TRA_DEMANDS!$F7,DEMANDS!$G$2:$CK$25,MATCH($E7,DEMANDS!$E$2:$E$25,0),FALSE)/HLOOKUP(2018,DEMANDS!$G$2:$CK$25,MATCH($E7,DEMANDS!$E$2:$E$25,0),FALSE)</f>
        <v>0.4867592201403636</v>
      </c>
      <c r="V7" s="19">
        <f>HLOOKUP(REG_TRA_DEMANDS!V$3,'BY-Demands'!$J$5:$AK$14,MATCH($E7,'BY-Demands'!$I$5:$I$14,0),FALSE)*HLOOKUP(REG_TRA_DEMANDS!$F7,DEMANDS!$G$2:$CK$25,MATCH($E7,DEMANDS!$E$2:$E$25,0),FALSE)/HLOOKUP(2018,DEMANDS!$G$2:$CK$25,MATCH($E7,DEMANDS!$E$2:$E$25,0),FALSE)</f>
        <v>0.58042093626996749</v>
      </c>
      <c r="W7" s="19">
        <f>HLOOKUP(REG_TRA_DEMANDS!W$3,'BY-Demands'!$J$5:$AK$14,MATCH($E7,'BY-Demands'!$I$5:$I$14,0),FALSE)*HLOOKUP(REG_TRA_DEMANDS!$F7,DEMANDS!$G$2:$CK$25,MATCH($E7,DEMANDS!$E$2:$E$25,0),FALSE)/HLOOKUP(2018,DEMANDS!$G$2:$CK$25,MATCH($E7,DEMANDS!$E$2:$E$25,0),FALSE)</f>
        <v>0.52915242848149746</v>
      </c>
      <c r="X7" s="19">
        <f>HLOOKUP(REG_TRA_DEMANDS!X$3,'BY-Demands'!$J$5:$AK$14,MATCH($E7,'BY-Demands'!$I$5:$I$14,0),FALSE)*HLOOKUP(REG_TRA_DEMANDS!$F7,DEMANDS!$G$2:$CK$25,MATCH($E7,DEMANDS!$E$2:$E$25,0),FALSE)/HLOOKUP(2018,DEMANDS!$G$2:$CK$25,MATCH($E7,DEMANDS!$E$2:$E$25,0),FALSE)</f>
        <v>0.35137420862971824</v>
      </c>
      <c r="Y7" s="19">
        <f>HLOOKUP(REG_TRA_DEMANDS!Y$3,'BY-Demands'!$J$5:$AK$14,MATCH($E7,'BY-Demands'!$I$5:$I$14,0),FALSE)*HLOOKUP(REG_TRA_DEMANDS!$F7,DEMANDS!$G$2:$CK$25,MATCH($E7,DEMANDS!$E$2:$E$25,0),FALSE)/HLOOKUP(2018,DEMANDS!$G$2:$CK$25,MATCH($E7,DEMANDS!$E$2:$E$25,0),FALSE)</f>
        <v>0.78534492439669645</v>
      </c>
      <c r="Z7" s="19">
        <f>HLOOKUP(REG_TRA_DEMANDS!Z$3,'BY-Demands'!$J$5:$AK$14,MATCH($E7,'BY-Demands'!$I$5:$I$14,0),FALSE)*HLOOKUP(REG_TRA_DEMANDS!$F7,DEMANDS!$G$2:$CK$25,MATCH($E7,DEMANDS!$E$2:$E$25,0),FALSE)/HLOOKUP(2018,DEMANDS!$G$2:$CK$25,MATCH($E7,DEMANDS!$E$2:$E$25,0),FALSE)</f>
        <v>0.10079309899227136</v>
      </c>
      <c r="AA7" s="19">
        <f>HLOOKUP(REG_TRA_DEMANDS!AA$3,'BY-Demands'!$J$5:$AK$14,MATCH($E7,'BY-Demands'!$I$5:$I$14,0),FALSE)*HLOOKUP(REG_TRA_DEMANDS!$F7,DEMANDS!$G$2:$CK$25,MATCH($E7,DEMANDS!$E$2:$E$25,0),FALSE)/HLOOKUP(2018,DEMANDS!$G$2:$CK$25,MATCH($E7,DEMANDS!$E$2:$E$25,0),FALSE)</f>
        <v>0.42059039091091865</v>
      </c>
      <c r="AB7" s="19">
        <f>HLOOKUP(REG_TRA_DEMANDS!AB$3,'BY-Demands'!$J$5:$AK$14,MATCH($E7,'BY-Demands'!$I$5:$I$14,0),FALSE)*HLOOKUP(REG_TRA_DEMANDS!$F7,DEMANDS!$G$2:$CK$25,MATCH($E7,DEMANDS!$E$2:$E$25,0),FALSE)/HLOOKUP(2018,DEMANDS!$G$2:$CK$25,MATCH($E7,DEMANDS!$E$2:$E$25,0),FALSE)</f>
        <v>0.22001505065559782</v>
      </c>
      <c r="AC7" s="19">
        <f>HLOOKUP(REG_TRA_DEMANDS!AC$3,'BY-Demands'!$J$5:$AK$14,MATCH($E7,'BY-Demands'!$I$5:$I$14,0),FALSE)*HLOOKUP(REG_TRA_DEMANDS!$F7,DEMANDS!$G$2:$CK$25,MATCH($E7,DEMANDS!$E$2:$E$25,0),FALSE)/HLOOKUP(2018,DEMANDS!$G$2:$CK$25,MATCH($E7,DEMANDS!$E$2:$E$25,0),FALSE)</f>
        <v>0.19397597843802289</v>
      </c>
      <c r="AD7" s="19">
        <f>HLOOKUP(REG_TRA_DEMANDS!AD$3,'BY-Demands'!$J$5:$AK$14,MATCH($E7,'BY-Demands'!$I$5:$I$14,0),FALSE)*HLOOKUP(REG_TRA_DEMANDS!$F7,DEMANDS!$G$2:$CK$25,MATCH($E7,DEMANDS!$E$2:$E$25,0),FALSE)/HLOOKUP(2018,DEMANDS!$G$2:$CK$25,MATCH($E7,DEMANDS!$E$2:$E$25,0),FALSE)</f>
        <v>0.21636069187461518</v>
      </c>
      <c r="AE7" s="19">
        <f>HLOOKUP(REG_TRA_DEMANDS!AE$3,'BY-Demands'!$J$5:$AK$14,MATCH($E7,'BY-Demands'!$I$5:$I$14,0),FALSE)*HLOOKUP(REG_TRA_DEMANDS!$F7,DEMANDS!$G$2:$CK$25,MATCH($E7,DEMANDS!$E$2:$E$25,0),FALSE)/HLOOKUP(2018,DEMANDS!$G$2:$CK$25,MATCH($E7,DEMANDS!$E$2:$E$25,0),FALSE)</f>
        <v>0.41970242037175465</v>
      </c>
      <c r="AF7" s="19">
        <f>HLOOKUP(REG_TRA_DEMANDS!AF$3,'BY-Demands'!$J$5:$AK$14,MATCH($E7,'BY-Demands'!$I$5:$I$14,0),FALSE)*HLOOKUP(REG_TRA_DEMANDS!$F7,DEMANDS!$G$2:$CK$25,MATCH($E7,DEMANDS!$E$2:$E$25,0),FALSE)/HLOOKUP(2018,DEMANDS!$G$2:$CK$25,MATCH($E7,DEMANDS!$E$2:$E$25,0),FALSE)</f>
        <v>0.20129520796813713</v>
      </c>
    </row>
    <row r="8" spans="4:32" ht="14.5">
      <c r="D8" t="s">
        <v>6</v>
      </c>
      <c r="E8" t="str">
        <f>DEMANDS!$E$17</f>
        <v>TRAPS</v>
      </c>
      <c r="F8">
        <v>2024</v>
      </c>
      <c r="G8" s="19">
        <f>HLOOKUP(REG_TRA_DEMANDS!G$3,'BY-Demands'!$J$5:$AK$14,MATCH($E8,'BY-Demands'!$I$5:$I$14,0),FALSE)*HLOOKUP(REG_TRA_DEMANDS!$F8,DEMANDS!$G$2:$CK$25,MATCH($E8,DEMANDS!$E$2:$E$25,0),FALSE)/HLOOKUP(2018,DEMANDS!$G$2:$CK$25,MATCH($E8,DEMANDS!$E$2:$E$25,0),FALSE)</f>
        <v>0.18719017512456546</v>
      </c>
      <c r="H8" s="19">
        <f>HLOOKUP(REG_TRA_DEMANDS!H$3,'BY-Demands'!$J$5:$AK$14,MATCH($E8,'BY-Demands'!$I$5:$I$14,0),FALSE)*HLOOKUP(REG_TRA_DEMANDS!$F8,DEMANDS!$G$2:$CK$25,MATCH($E8,DEMANDS!$E$2:$E$25,0),FALSE)/HLOOKUP(2018,DEMANDS!$G$2:$CK$25,MATCH($E8,DEMANDS!$E$2:$E$25,0),FALSE)</f>
        <v>3.7423754352571907</v>
      </c>
      <c r="I8" s="19">
        <f>HLOOKUP(REG_TRA_DEMANDS!I$3,'BY-Demands'!$J$5:$AK$14,MATCH($E8,'BY-Demands'!$I$5:$I$14,0),FALSE)*HLOOKUP(REG_TRA_DEMANDS!$F8,DEMANDS!$G$2:$CK$25,MATCH($E8,DEMANDS!$E$2:$E$25,0),FALSE)/HLOOKUP(2018,DEMANDS!$G$2:$CK$25,MATCH($E8,DEMANDS!$E$2:$E$25,0),FALSE)</f>
        <v>0.69018790812873143</v>
      </c>
      <c r="J8" s="19">
        <f>HLOOKUP(REG_TRA_DEMANDS!J$3,'BY-Demands'!$J$5:$AK$14,MATCH($E8,'BY-Demands'!$I$5:$I$14,0),FALSE)*HLOOKUP(REG_TRA_DEMANDS!$F8,DEMANDS!$G$2:$CK$25,MATCH($E8,DEMANDS!$E$2:$E$25,0),FALSE)/HLOOKUP(2018,DEMANDS!$G$2:$CK$25,MATCH($E8,DEMANDS!$E$2:$E$25,0),FALSE)</f>
        <v>0.32020264257639541</v>
      </c>
      <c r="K8" s="19">
        <f>HLOOKUP(REG_TRA_DEMANDS!K$3,'BY-Demands'!$J$5:$AK$14,MATCH($E8,'BY-Demands'!$I$5:$I$14,0),FALSE)*HLOOKUP(REG_TRA_DEMANDS!$F8,DEMANDS!$G$2:$CK$25,MATCH($E8,DEMANDS!$E$2:$E$25,0),FALSE)/HLOOKUP(2018,DEMANDS!$G$2:$CK$25,MATCH($E8,DEMANDS!$E$2:$E$25,0),FALSE)</f>
        <v>0.25244763039902735</v>
      </c>
      <c r="L8" s="19">
        <f>HLOOKUP(REG_TRA_DEMANDS!L$3,'BY-Demands'!$J$5:$AK$14,MATCH($E8,'BY-Demands'!$I$5:$I$14,0),FALSE)*HLOOKUP(REG_TRA_DEMANDS!$F8,DEMANDS!$G$2:$CK$25,MATCH($E8,DEMANDS!$E$2:$E$25,0),FALSE)/HLOOKUP(2018,DEMANDS!$G$2:$CK$25,MATCH($E8,DEMANDS!$E$2:$E$25,0),FALSE)</f>
        <v>0.12684632472551979</v>
      </c>
      <c r="M8" s="19">
        <f>HLOOKUP(REG_TRA_DEMANDS!M$3,'BY-Demands'!$J$5:$AK$14,MATCH($E8,'BY-Demands'!$I$5:$I$14,0),FALSE)*HLOOKUP(REG_TRA_DEMANDS!$F8,DEMANDS!$G$2:$CK$25,MATCH($E8,DEMANDS!$E$2:$E$25,0),FALSE)/HLOOKUP(2018,DEMANDS!$G$2:$CK$25,MATCH($E8,DEMANDS!$E$2:$E$25,0),FALSE)</f>
        <v>0.36373340557975409</v>
      </c>
      <c r="N8" s="19">
        <f>HLOOKUP(REG_TRA_DEMANDS!N$3,'BY-Demands'!$J$5:$AK$14,MATCH($E8,'BY-Demands'!$I$5:$I$14,0),FALSE)*HLOOKUP(REG_TRA_DEMANDS!$F8,DEMANDS!$G$2:$CK$25,MATCH($E8,DEMANDS!$E$2:$E$25,0),FALSE)/HLOOKUP(2018,DEMANDS!$G$2:$CK$25,MATCH($E8,DEMANDS!$E$2:$E$25,0),FALSE)</f>
        <v>0.59871450023917849</v>
      </c>
      <c r="O8" s="19">
        <f>HLOOKUP(REG_TRA_DEMANDS!O$3,'BY-Demands'!$J$5:$AK$14,MATCH($E8,'BY-Demands'!$I$5:$I$14,0),FALSE)*HLOOKUP(REG_TRA_DEMANDS!$F8,DEMANDS!$G$2:$CK$25,MATCH($E8,DEMANDS!$E$2:$E$25,0),FALSE)/HLOOKUP(2018,DEMANDS!$G$2:$CK$25,MATCH($E8,DEMANDS!$E$2:$E$25,0),FALSE)</f>
        <v>0.2478395792245868</v>
      </c>
      <c r="P8" s="19">
        <f>HLOOKUP(REG_TRA_DEMANDS!P$3,'BY-Demands'!$J$5:$AK$14,MATCH($E8,'BY-Demands'!$I$5:$I$14,0),FALSE)*HLOOKUP(REG_TRA_DEMANDS!$F8,DEMANDS!$G$2:$CK$25,MATCH($E8,DEMANDS!$E$2:$E$25,0),FALSE)/HLOOKUP(2018,DEMANDS!$G$2:$CK$25,MATCH($E8,DEMANDS!$E$2:$E$25,0),FALSE)</f>
        <v>0.28092348332505562</v>
      </c>
      <c r="Q8" s="19">
        <f>HLOOKUP(REG_TRA_DEMANDS!Q$3,'BY-Demands'!$J$5:$AK$14,MATCH($E8,'BY-Demands'!$I$5:$I$14,0),FALSE)*HLOOKUP(REG_TRA_DEMANDS!$F8,DEMANDS!$G$2:$CK$25,MATCH($E8,DEMANDS!$E$2:$E$25,0),FALSE)/HLOOKUP(2018,DEMANDS!$G$2:$CK$25,MATCH($E8,DEMANDS!$E$2:$E$25,0),FALSE)</f>
        <v>0.48892983913703514</v>
      </c>
      <c r="R8" s="19">
        <f>HLOOKUP(REG_TRA_DEMANDS!R$3,'BY-Demands'!$J$5:$AK$14,MATCH($E8,'BY-Demands'!$I$5:$I$14,0),FALSE)*HLOOKUP(REG_TRA_DEMANDS!$F8,DEMANDS!$G$2:$CK$25,MATCH($E8,DEMANDS!$E$2:$E$25,0),FALSE)/HLOOKUP(2018,DEMANDS!$G$2:$CK$25,MATCH($E8,DEMANDS!$E$2:$E$25,0),FALSE)</f>
        <v>0.4324841920027957</v>
      </c>
      <c r="S8" s="19">
        <f>HLOOKUP(REG_TRA_DEMANDS!S$3,'BY-Demands'!$J$5:$AK$14,MATCH($E8,'BY-Demands'!$I$5:$I$14,0),FALSE)*HLOOKUP(REG_TRA_DEMANDS!$F8,DEMANDS!$G$2:$CK$25,MATCH($E8,DEMANDS!$E$2:$E$25,0),FALSE)/HLOOKUP(2018,DEMANDS!$G$2:$CK$25,MATCH($E8,DEMANDS!$E$2:$E$25,0),FALSE)</f>
        <v>0.38063893062423831</v>
      </c>
      <c r="T8" s="19">
        <f>HLOOKUP(REG_TRA_DEMANDS!T$3,'BY-Demands'!$J$5:$AK$14,MATCH($E8,'BY-Demands'!$I$5:$I$14,0),FALSE)*HLOOKUP(REG_TRA_DEMANDS!$F8,DEMANDS!$G$2:$CK$25,MATCH($E8,DEMANDS!$E$2:$E$25,0),FALSE)/HLOOKUP(2018,DEMANDS!$G$2:$CK$25,MATCH($E8,DEMANDS!$E$2:$E$25,0),FALSE)</f>
        <v>1.6096713885659768</v>
      </c>
      <c r="U8" s="19">
        <f>HLOOKUP(REG_TRA_DEMANDS!U$3,'BY-Demands'!$J$5:$AK$14,MATCH($E8,'BY-Demands'!$I$5:$I$14,0),FALSE)*HLOOKUP(REG_TRA_DEMANDS!$F8,DEMANDS!$G$2:$CK$25,MATCH($E8,DEMANDS!$E$2:$E$25,0),FALSE)/HLOOKUP(2018,DEMANDS!$G$2:$CK$25,MATCH($E8,DEMANDS!$E$2:$E$25,0),FALSE)</f>
        <v>0.49284371039211811</v>
      </c>
      <c r="V8" s="19">
        <f>HLOOKUP(REG_TRA_DEMANDS!V$3,'BY-Demands'!$J$5:$AK$14,MATCH($E8,'BY-Demands'!$I$5:$I$14,0),FALSE)*HLOOKUP(REG_TRA_DEMANDS!$F8,DEMANDS!$G$2:$CK$25,MATCH($E8,DEMANDS!$E$2:$E$25,0),FALSE)/HLOOKUP(2018,DEMANDS!$G$2:$CK$25,MATCH($E8,DEMANDS!$E$2:$E$25,0),FALSE)</f>
        <v>0.58767619797334192</v>
      </c>
      <c r="W8" s="19">
        <f>HLOOKUP(REG_TRA_DEMANDS!W$3,'BY-Demands'!$J$5:$AK$14,MATCH($E8,'BY-Demands'!$I$5:$I$14,0),FALSE)*HLOOKUP(REG_TRA_DEMANDS!$F8,DEMANDS!$G$2:$CK$25,MATCH($E8,DEMANDS!$E$2:$E$25,0),FALSE)/HLOOKUP(2018,DEMANDS!$G$2:$CK$25,MATCH($E8,DEMANDS!$E$2:$E$25,0),FALSE)</f>
        <v>0.53576683383751611</v>
      </c>
      <c r="X8" s="19">
        <f>HLOOKUP(REG_TRA_DEMANDS!X$3,'BY-Demands'!$J$5:$AK$14,MATCH($E8,'BY-Demands'!$I$5:$I$14,0),FALSE)*HLOOKUP(REG_TRA_DEMANDS!$F8,DEMANDS!$G$2:$CK$25,MATCH($E8,DEMANDS!$E$2:$E$25,0),FALSE)/HLOOKUP(2018,DEMANDS!$G$2:$CK$25,MATCH($E8,DEMANDS!$E$2:$E$25,0),FALSE)</f>
        <v>0.35576638623758972</v>
      </c>
      <c r="Y8" s="19">
        <f>HLOOKUP(REG_TRA_DEMANDS!Y$3,'BY-Demands'!$J$5:$AK$14,MATCH($E8,'BY-Demands'!$I$5:$I$14,0),FALSE)*HLOOKUP(REG_TRA_DEMANDS!$F8,DEMANDS!$G$2:$CK$25,MATCH($E8,DEMANDS!$E$2:$E$25,0),FALSE)/HLOOKUP(2018,DEMANDS!$G$2:$CK$25,MATCH($E8,DEMANDS!$E$2:$E$25,0),FALSE)</f>
        <v>0.79516173595165518</v>
      </c>
      <c r="Z8" s="19">
        <f>HLOOKUP(REG_TRA_DEMANDS!Z$3,'BY-Demands'!$J$5:$AK$14,MATCH($E8,'BY-Demands'!$I$5:$I$14,0),FALSE)*HLOOKUP(REG_TRA_DEMANDS!$F8,DEMANDS!$G$2:$CK$25,MATCH($E8,DEMANDS!$E$2:$E$25,0),FALSE)/HLOOKUP(2018,DEMANDS!$G$2:$CK$25,MATCH($E8,DEMANDS!$E$2:$E$25,0),FALSE)</f>
        <v>0.10205301272967474</v>
      </c>
      <c r="AA8" s="19">
        <f>HLOOKUP(REG_TRA_DEMANDS!AA$3,'BY-Demands'!$J$5:$AK$14,MATCH($E8,'BY-Demands'!$I$5:$I$14,0),FALSE)*HLOOKUP(REG_TRA_DEMANDS!$F8,DEMANDS!$G$2:$CK$25,MATCH($E8,DEMANDS!$E$2:$E$25,0),FALSE)/HLOOKUP(2018,DEMANDS!$G$2:$CK$25,MATCH($E8,DEMANDS!$E$2:$E$25,0),FALSE)</f>
        <v>0.42584777079730513</v>
      </c>
      <c r="AB8" s="19">
        <f>HLOOKUP(REG_TRA_DEMANDS!AB$3,'BY-Demands'!$J$5:$AK$14,MATCH($E8,'BY-Demands'!$I$5:$I$14,0),FALSE)*HLOOKUP(REG_TRA_DEMANDS!$F8,DEMANDS!$G$2:$CK$25,MATCH($E8,DEMANDS!$E$2:$E$25,0),FALSE)/HLOOKUP(2018,DEMANDS!$G$2:$CK$25,MATCH($E8,DEMANDS!$E$2:$E$25,0),FALSE)</f>
        <v>0.22276523878879279</v>
      </c>
      <c r="AC8" s="19">
        <f>HLOOKUP(REG_TRA_DEMANDS!AC$3,'BY-Demands'!$J$5:$AK$14,MATCH($E8,'BY-Demands'!$I$5:$I$14,0),FALSE)*HLOOKUP(REG_TRA_DEMANDS!$F8,DEMANDS!$G$2:$CK$25,MATCH($E8,DEMANDS!$E$2:$E$25,0),FALSE)/HLOOKUP(2018,DEMANDS!$G$2:$CK$25,MATCH($E8,DEMANDS!$E$2:$E$25,0),FALSE)</f>
        <v>0.19640067816849818</v>
      </c>
      <c r="AD8" s="19">
        <f>HLOOKUP(REG_TRA_DEMANDS!AD$3,'BY-Demands'!$J$5:$AK$14,MATCH($E8,'BY-Demands'!$I$5:$I$14,0),FALSE)*HLOOKUP(REG_TRA_DEMANDS!$F8,DEMANDS!$G$2:$CK$25,MATCH($E8,DEMANDS!$E$2:$E$25,0),FALSE)/HLOOKUP(2018,DEMANDS!$G$2:$CK$25,MATCH($E8,DEMANDS!$E$2:$E$25,0),FALSE)</f>
        <v>0.21906520052304787</v>
      </c>
      <c r="AE8" s="19">
        <f>HLOOKUP(REG_TRA_DEMANDS!AE$3,'BY-Demands'!$J$5:$AK$14,MATCH($E8,'BY-Demands'!$I$5:$I$14,0),FALSE)*HLOOKUP(REG_TRA_DEMANDS!$F8,DEMANDS!$G$2:$CK$25,MATCH($E8,DEMANDS!$E$2:$E$25,0),FALSE)/HLOOKUP(2018,DEMANDS!$G$2:$CK$25,MATCH($E8,DEMANDS!$E$2:$E$25,0),FALSE)</f>
        <v>0.42494870062640161</v>
      </c>
      <c r="AF8" s="19">
        <f>HLOOKUP(REG_TRA_DEMANDS!AF$3,'BY-Demands'!$J$5:$AK$14,MATCH($E8,'BY-Demands'!$I$5:$I$14,0),FALSE)*HLOOKUP(REG_TRA_DEMANDS!$F8,DEMANDS!$G$2:$CK$25,MATCH($E8,DEMANDS!$E$2:$E$25,0),FALSE)/HLOOKUP(2018,DEMANDS!$G$2:$CK$25,MATCH($E8,DEMANDS!$E$2:$E$25,0),FALSE)</f>
        <v>0.20381139806773882</v>
      </c>
    </row>
    <row r="9" spans="4:32" ht="14.5">
      <c r="D9" t="s">
        <v>6</v>
      </c>
      <c r="E9" t="str">
        <f>DEMANDS!$E$17</f>
        <v>TRAPS</v>
      </c>
      <c r="F9">
        <v>2025</v>
      </c>
      <c r="G9" s="19">
        <f>HLOOKUP(REG_TRA_DEMANDS!G$3,'BY-Demands'!$J$5:$AK$14,MATCH($E9,'BY-Demands'!$I$5:$I$14,0),FALSE)*HLOOKUP(REG_TRA_DEMANDS!$F9,DEMANDS!$G$2:$CK$25,MATCH($E9,DEMANDS!$E$2:$E$25,0),FALSE)/HLOOKUP(2018,DEMANDS!$G$2:$CK$25,MATCH($E9,DEMANDS!$E$2:$E$25,0),FALSE)</f>
        <v>0.18953005231362252</v>
      </c>
      <c r="H9" s="19">
        <f>HLOOKUP(REG_TRA_DEMANDS!H$3,'BY-Demands'!$J$5:$AK$14,MATCH($E9,'BY-Demands'!$I$5:$I$14,0),FALSE)*HLOOKUP(REG_TRA_DEMANDS!$F9,DEMANDS!$G$2:$CK$25,MATCH($E9,DEMANDS!$E$2:$E$25,0),FALSE)/HLOOKUP(2018,DEMANDS!$G$2:$CK$25,MATCH($E9,DEMANDS!$E$2:$E$25,0),FALSE)</f>
        <v>3.7891551281979061</v>
      </c>
      <c r="I9" s="19">
        <f>HLOOKUP(REG_TRA_DEMANDS!I$3,'BY-Demands'!$J$5:$AK$14,MATCH($E9,'BY-Demands'!$I$5:$I$14,0),FALSE)*HLOOKUP(REG_TRA_DEMANDS!$F9,DEMANDS!$G$2:$CK$25,MATCH($E9,DEMANDS!$E$2:$E$25,0),FALSE)/HLOOKUP(2018,DEMANDS!$G$2:$CK$25,MATCH($E9,DEMANDS!$E$2:$E$25,0),FALSE)</f>
        <v>0.69881525698034064</v>
      </c>
      <c r="J9" s="19">
        <f>HLOOKUP(REG_TRA_DEMANDS!J$3,'BY-Demands'!$J$5:$AK$14,MATCH($E9,'BY-Demands'!$I$5:$I$14,0),FALSE)*HLOOKUP(REG_TRA_DEMANDS!$F9,DEMANDS!$G$2:$CK$25,MATCH($E9,DEMANDS!$E$2:$E$25,0),FALSE)/HLOOKUP(2018,DEMANDS!$G$2:$CK$25,MATCH($E9,DEMANDS!$E$2:$E$25,0),FALSE)</f>
        <v>0.32420517560860035</v>
      </c>
      <c r="K9" s="19">
        <f>HLOOKUP(REG_TRA_DEMANDS!K$3,'BY-Demands'!$J$5:$AK$14,MATCH($E9,'BY-Demands'!$I$5:$I$14,0),FALSE)*HLOOKUP(REG_TRA_DEMANDS!$F9,DEMANDS!$G$2:$CK$25,MATCH($E9,DEMANDS!$E$2:$E$25,0),FALSE)/HLOOKUP(2018,DEMANDS!$G$2:$CK$25,MATCH($E9,DEMANDS!$E$2:$E$25,0),FALSE)</f>
        <v>0.25560322577901518</v>
      </c>
      <c r="L9" s="19">
        <f>HLOOKUP(REG_TRA_DEMANDS!L$3,'BY-Demands'!$J$5:$AK$14,MATCH($E9,'BY-Demands'!$I$5:$I$14,0),FALSE)*HLOOKUP(REG_TRA_DEMANDS!$F9,DEMANDS!$G$2:$CK$25,MATCH($E9,DEMANDS!$E$2:$E$25,0),FALSE)/HLOOKUP(2018,DEMANDS!$G$2:$CK$25,MATCH($E9,DEMANDS!$E$2:$E$25,0),FALSE)</f>
        <v>0.12843190378458877</v>
      </c>
      <c r="M9" s="19">
        <f>HLOOKUP(REG_TRA_DEMANDS!M$3,'BY-Demands'!$J$5:$AK$14,MATCH($E9,'BY-Demands'!$I$5:$I$14,0),FALSE)*HLOOKUP(REG_TRA_DEMANDS!$F9,DEMANDS!$G$2:$CK$25,MATCH($E9,DEMANDS!$E$2:$E$25,0),FALSE)/HLOOKUP(2018,DEMANDS!$G$2:$CK$25,MATCH($E9,DEMANDS!$E$2:$E$25,0),FALSE)</f>
        <v>0.36828007314950106</v>
      </c>
      <c r="N9" s="19">
        <f>HLOOKUP(REG_TRA_DEMANDS!N$3,'BY-Demands'!$J$5:$AK$14,MATCH($E9,'BY-Demands'!$I$5:$I$14,0),FALSE)*HLOOKUP(REG_TRA_DEMANDS!$F9,DEMANDS!$G$2:$CK$25,MATCH($E9,DEMANDS!$E$2:$E$25,0),FALSE)/HLOOKUP(2018,DEMANDS!$G$2:$CK$25,MATCH($E9,DEMANDS!$E$2:$E$25,0),FALSE)</f>
        <v>0.60619843149216834</v>
      </c>
      <c r="O9" s="19">
        <f>HLOOKUP(REG_TRA_DEMANDS!O$3,'BY-Demands'!$J$5:$AK$14,MATCH($E9,'BY-Demands'!$I$5:$I$14,0),FALSE)*HLOOKUP(REG_TRA_DEMANDS!$F9,DEMANDS!$G$2:$CK$25,MATCH($E9,DEMANDS!$E$2:$E$25,0),FALSE)/HLOOKUP(2018,DEMANDS!$G$2:$CK$25,MATCH($E9,DEMANDS!$E$2:$E$25,0),FALSE)</f>
        <v>0.25093757396489413</v>
      </c>
      <c r="P9" s="19">
        <f>HLOOKUP(REG_TRA_DEMANDS!P$3,'BY-Demands'!$J$5:$AK$14,MATCH($E9,'BY-Demands'!$I$5:$I$14,0),FALSE)*HLOOKUP(REG_TRA_DEMANDS!$F9,DEMANDS!$G$2:$CK$25,MATCH($E9,DEMANDS!$E$2:$E$25,0),FALSE)/HLOOKUP(2018,DEMANDS!$G$2:$CK$25,MATCH($E9,DEMANDS!$E$2:$E$25,0),FALSE)</f>
        <v>0.28443502686661881</v>
      </c>
      <c r="Q9" s="19">
        <f>HLOOKUP(REG_TRA_DEMANDS!Q$3,'BY-Demands'!$J$5:$AK$14,MATCH($E9,'BY-Demands'!$I$5:$I$14,0),FALSE)*HLOOKUP(REG_TRA_DEMANDS!$F9,DEMANDS!$G$2:$CK$25,MATCH($E9,DEMANDS!$E$2:$E$25,0),FALSE)/HLOOKUP(2018,DEMANDS!$G$2:$CK$25,MATCH($E9,DEMANDS!$E$2:$E$25,0),FALSE)</f>
        <v>0.49504146212624811</v>
      </c>
      <c r="R9" s="19">
        <f>HLOOKUP(REG_TRA_DEMANDS!R$3,'BY-Demands'!$J$5:$AK$14,MATCH($E9,'BY-Demands'!$I$5:$I$14,0),FALSE)*HLOOKUP(REG_TRA_DEMANDS!$F9,DEMANDS!$G$2:$CK$25,MATCH($E9,DEMANDS!$E$2:$E$25,0),FALSE)/HLOOKUP(2018,DEMANDS!$G$2:$CK$25,MATCH($E9,DEMANDS!$E$2:$E$25,0),FALSE)</f>
        <v>0.43789024440283064</v>
      </c>
      <c r="S9" s="19">
        <f>HLOOKUP(REG_TRA_DEMANDS!S$3,'BY-Demands'!$J$5:$AK$14,MATCH($E9,'BY-Demands'!$I$5:$I$14,0),FALSE)*HLOOKUP(REG_TRA_DEMANDS!$F9,DEMANDS!$G$2:$CK$25,MATCH($E9,DEMANDS!$E$2:$E$25,0),FALSE)/HLOOKUP(2018,DEMANDS!$G$2:$CK$25,MATCH($E9,DEMANDS!$E$2:$E$25,0),FALSE)</f>
        <v>0.38539691725704134</v>
      </c>
      <c r="T9" s="19">
        <f>HLOOKUP(REG_TRA_DEMANDS!T$3,'BY-Demands'!$J$5:$AK$14,MATCH($E9,'BY-Demands'!$I$5:$I$14,0),FALSE)*HLOOKUP(REG_TRA_DEMANDS!$F9,DEMANDS!$G$2:$CK$25,MATCH($E9,DEMANDS!$E$2:$E$25,0),FALSE)/HLOOKUP(2018,DEMANDS!$G$2:$CK$25,MATCH($E9,DEMANDS!$E$2:$E$25,0),FALSE)</f>
        <v>1.6297922809230516</v>
      </c>
      <c r="U9" s="19">
        <f>HLOOKUP(REG_TRA_DEMANDS!U$3,'BY-Demands'!$J$5:$AK$14,MATCH($E9,'BY-Demands'!$I$5:$I$14,0),FALSE)*HLOOKUP(REG_TRA_DEMANDS!$F9,DEMANDS!$G$2:$CK$25,MATCH($E9,DEMANDS!$E$2:$E$25,0),FALSE)/HLOOKUP(2018,DEMANDS!$G$2:$CK$25,MATCH($E9,DEMANDS!$E$2:$E$25,0),FALSE)</f>
        <v>0.49900425677201959</v>
      </c>
      <c r="V9" s="19">
        <f>HLOOKUP(REG_TRA_DEMANDS!V$3,'BY-Demands'!$J$5:$AK$14,MATCH($E9,'BY-Demands'!$I$5:$I$14,0),FALSE)*HLOOKUP(REG_TRA_DEMANDS!$F9,DEMANDS!$G$2:$CK$25,MATCH($E9,DEMANDS!$E$2:$E$25,0),FALSE)/HLOOKUP(2018,DEMANDS!$G$2:$CK$25,MATCH($E9,DEMANDS!$E$2:$E$25,0),FALSE)</f>
        <v>0.59502215044800866</v>
      </c>
      <c r="W9" s="19">
        <f>HLOOKUP(REG_TRA_DEMANDS!W$3,'BY-Demands'!$J$5:$AK$14,MATCH($E9,'BY-Demands'!$I$5:$I$14,0),FALSE)*HLOOKUP(REG_TRA_DEMANDS!$F9,DEMANDS!$G$2:$CK$25,MATCH($E9,DEMANDS!$E$2:$E$25,0),FALSE)/HLOOKUP(2018,DEMANDS!$G$2:$CK$25,MATCH($E9,DEMANDS!$E$2:$E$25,0),FALSE)</f>
        <v>0.54246391926048509</v>
      </c>
      <c r="X9" s="19">
        <f>HLOOKUP(REG_TRA_DEMANDS!X$3,'BY-Demands'!$J$5:$AK$14,MATCH($E9,'BY-Demands'!$I$5:$I$14,0),FALSE)*HLOOKUP(REG_TRA_DEMANDS!$F9,DEMANDS!$G$2:$CK$25,MATCH($E9,DEMANDS!$E$2:$E$25,0),FALSE)/HLOOKUP(2018,DEMANDS!$G$2:$CK$25,MATCH($E9,DEMANDS!$E$2:$E$25,0),FALSE)</f>
        <v>0.3602134660655596</v>
      </c>
      <c r="Y9" s="19">
        <f>HLOOKUP(REG_TRA_DEMANDS!Y$3,'BY-Demands'!$J$5:$AK$14,MATCH($E9,'BY-Demands'!$I$5:$I$14,0),FALSE)*HLOOKUP(REG_TRA_DEMANDS!$F9,DEMANDS!$G$2:$CK$25,MATCH($E9,DEMANDS!$E$2:$E$25,0),FALSE)/HLOOKUP(2018,DEMANDS!$G$2:$CK$25,MATCH($E9,DEMANDS!$E$2:$E$25,0),FALSE)</f>
        <v>0.80510125765105089</v>
      </c>
      <c r="Z9" s="19">
        <f>HLOOKUP(REG_TRA_DEMANDS!Z$3,'BY-Demands'!$J$5:$AK$14,MATCH($E9,'BY-Demands'!$I$5:$I$14,0),FALSE)*HLOOKUP(REG_TRA_DEMANDS!$F9,DEMANDS!$G$2:$CK$25,MATCH($E9,DEMANDS!$E$2:$E$25,0),FALSE)/HLOOKUP(2018,DEMANDS!$G$2:$CK$25,MATCH($E9,DEMANDS!$E$2:$E$25,0),FALSE)</f>
        <v>0.10332867538879568</v>
      </c>
      <c r="AA9" s="19">
        <f>HLOOKUP(REG_TRA_DEMANDS!AA$3,'BY-Demands'!$J$5:$AK$14,MATCH($E9,'BY-Demands'!$I$5:$I$14,0),FALSE)*HLOOKUP(REG_TRA_DEMANDS!$F9,DEMANDS!$G$2:$CK$25,MATCH($E9,DEMANDS!$E$2:$E$25,0),FALSE)/HLOOKUP(2018,DEMANDS!$G$2:$CK$25,MATCH($E9,DEMANDS!$E$2:$E$25,0),FALSE)</f>
        <v>0.43117086793227138</v>
      </c>
      <c r="AB9" s="19">
        <f>HLOOKUP(REG_TRA_DEMANDS!AB$3,'BY-Demands'!$J$5:$AK$14,MATCH($E9,'BY-Demands'!$I$5:$I$14,0),FALSE)*HLOOKUP(REG_TRA_DEMANDS!$F9,DEMANDS!$G$2:$CK$25,MATCH($E9,DEMANDS!$E$2:$E$25,0),FALSE)/HLOOKUP(2018,DEMANDS!$G$2:$CK$25,MATCH($E9,DEMANDS!$E$2:$E$25,0),FALSE)</f>
        <v>0.2255498042736527</v>
      </c>
      <c r="AC9" s="19">
        <f>HLOOKUP(REG_TRA_DEMANDS!AC$3,'BY-Demands'!$J$5:$AK$14,MATCH($E9,'BY-Demands'!$I$5:$I$14,0),FALSE)*HLOOKUP(REG_TRA_DEMANDS!$F9,DEMANDS!$G$2:$CK$25,MATCH($E9,DEMANDS!$E$2:$E$25,0),FALSE)/HLOOKUP(2018,DEMANDS!$G$2:$CK$25,MATCH($E9,DEMANDS!$E$2:$E$25,0),FALSE)</f>
        <v>0.19885568664560441</v>
      </c>
      <c r="AD9" s="19">
        <f>HLOOKUP(REG_TRA_DEMANDS!AD$3,'BY-Demands'!$J$5:$AK$14,MATCH($E9,'BY-Demands'!$I$5:$I$14,0),FALSE)*HLOOKUP(REG_TRA_DEMANDS!$F9,DEMANDS!$G$2:$CK$25,MATCH($E9,DEMANDS!$E$2:$E$25,0),FALSE)/HLOOKUP(2018,DEMANDS!$G$2:$CK$25,MATCH($E9,DEMANDS!$E$2:$E$25,0),FALSE)</f>
        <v>0.22180351552958597</v>
      </c>
      <c r="AE9" s="19">
        <f>HLOOKUP(REG_TRA_DEMANDS!AE$3,'BY-Demands'!$J$5:$AK$14,MATCH($E9,'BY-Demands'!$I$5:$I$14,0),FALSE)*HLOOKUP(REG_TRA_DEMANDS!$F9,DEMANDS!$G$2:$CK$25,MATCH($E9,DEMANDS!$E$2:$E$25,0),FALSE)/HLOOKUP(2018,DEMANDS!$G$2:$CK$25,MATCH($E9,DEMANDS!$E$2:$E$25,0),FALSE)</f>
        <v>0.43026055938423163</v>
      </c>
      <c r="AF9" s="19">
        <f>HLOOKUP(REG_TRA_DEMANDS!AF$3,'BY-Demands'!$J$5:$AK$14,MATCH($E9,'BY-Demands'!$I$5:$I$14,0),FALSE)*HLOOKUP(REG_TRA_DEMANDS!$F9,DEMANDS!$G$2:$CK$25,MATCH($E9,DEMANDS!$E$2:$E$25,0),FALSE)/HLOOKUP(2018,DEMANDS!$G$2:$CK$25,MATCH($E9,DEMANDS!$E$2:$E$25,0),FALSE)</f>
        <v>0.20635904054358556</v>
      </c>
    </row>
    <row r="10" spans="4:32" ht="14.5">
      <c r="D10" t="s">
        <v>6</v>
      </c>
      <c r="E10" t="str">
        <f>DEMANDS!$E$17</f>
        <v>TRAPS</v>
      </c>
      <c r="F10">
        <v>2026</v>
      </c>
      <c r="G10" s="19">
        <f>HLOOKUP(REG_TRA_DEMANDS!G$3,'BY-Demands'!$J$5:$AK$14,MATCH($E10,'BY-Demands'!$I$5:$I$14,0),FALSE)*HLOOKUP(REG_TRA_DEMANDS!$F10,DEMANDS!$G$2:$CK$25,MATCH($E10,DEMANDS!$E$2:$E$25,0),FALSE)/HLOOKUP(2018,DEMANDS!$G$2:$CK$25,MATCH($E10,DEMANDS!$E$2:$E$25,0),FALSE)</f>
        <v>0.19189917796754283</v>
      </c>
      <c r="H10" s="19">
        <f>HLOOKUP(REG_TRA_DEMANDS!H$3,'BY-Demands'!$J$5:$AK$14,MATCH($E10,'BY-Demands'!$I$5:$I$14,0),FALSE)*HLOOKUP(REG_TRA_DEMANDS!$F10,DEMANDS!$G$2:$CK$25,MATCH($E10,DEMANDS!$E$2:$E$25,0),FALSE)/HLOOKUP(2018,DEMANDS!$G$2:$CK$25,MATCH($E10,DEMANDS!$E$2:$E$25,0),FALSE)</f>
        <v>3.8365195673003796</v>
      </c>
      <c r="I10" s="19">
        <f>HLOOKUP(REG_TRA_DEMANDS!I$3,'BY-Demands'!$J$5:$AK$14,MATCH($E10,'BY-Demands'!$I$5:$I$14,0),FALSE)*HLOOKUP(REG_TRA_DEMANDS!$F10,DEMANDS!$G$2:$CK$25,MATCH($E10,DEMANDS!$E$2:$E$25,0),FALSE)/HLOOKUP(2018,DEMANDS!$G$2:$CK$25,MATCH($E10,DEMANDS!$E$2:$E$25,0),FALSE)</f>
        <v>0.70755044769259479</v>
      </c>
      <c r="J10" s="19">
        <f>HLOOKUP(REG_TRA_DEMANDS!J$3,'BY-Demands'!$J$5:$AK$14,MATCH($E10,'BY-Demands'!$I$5:$I$14,0),FALSE)*HLOOKUP(REG_TRA_DEMANDS!$F10,DEMANDS!$G$2:$CK$25,MATCH($E10,DEMANDS!$E$2:$E$25,0),FALSE)/HLOOKUP(2018,DEMANDS!$G$2:$CK$25,MATCH($E10,DEMANDS!$E$2:$E$25,0),FALSE)</f>
        <v>0.3282577403037078</v>
      </c>
      <c r="K10" s="19">
        <f>HLOOKUP(REG_TRA_DEMANDS!K$3,'BY-Demands'!$J$5:$AK$14,MATCH($E10,'BY-Demands'!$I$5:$I$14,0),FALSE)*HLOOKUP(REG_TRA_DEMANDS!$F10,DEMANDS!$G$2:$CK$25,MATCH($E10,DEMANDS!$E$2:$E$25,0),FALSE)/HLOOKUP(2018,DEMANDS!$G$2:$CK$25,MATCH($E10,DEMANDS!$E$2:$E$25,0),FALSE)</f>
        <v>0.25879826610125284</v>
      </c>
      <c r="L10" s="19">
        <f>HLOOKUP(REG_TRA_DEMANDS!L$3,'BY-Demands'!$J$5:$AK$14,MATCH($E10,'BY-Demands'!$I$5:$I$14,0),FALSE)*HLOOKUP(REG_TRA_DEMANDS!$F10,DEMANDS!$G$2:$CK$25,MATCH($E10,DEMANDS!$E$2:$E$25,0),FALSE)/HLOOKUP(2018,DEMANDS!$G$2:$CK$25,MATCH($E10,DEMANDS!$E$2:$E$25,0),FALSE)</f>
        <v>0.13003730258189614</v>
      </c>
      <c r="M10" s="19">
        <f>HLOOKUP(REG_TRA_DEMANDS!M$3,'BY-Demands'!$J$5:$AK$14,MATCH($E10,'BY-Demands'!$I$5:$I$14,0),FALSE)*HLOOKUP(REG_TRA_DEMANDS!$F10,DEMANDS!$G$2:$CK$25,MATCH($E10,DEMANDS!$E$2:$E$25,0),FALSE)/HLOOKUP(2018,DEMANDS!$G$2:$CK$25,MATCH($E10,DEMANDS!$E$2:$E$25,0),FALSE)</f>
        <v>0.37288357406386979</v>
      </c>
      <c r="N10" s="19">
        <f>HLOOKUP(REG_TRA_DEMANDS!N$3,'BY-Demands'!$J$5:$AK$14,MATCH($E10,'BY-Demands'!$I$5:$I$14,0),FALSE)*HLOOKUP(REG_TRA_DEMANDS!$F10,DEMANDS!$G$2:$CK$25,MATCH($E10,DEMANDS!$E$2:$E$25,0),FALSE)/HLOOKUP(2018,DEMANDS!$G$2:$CK$25,MATCH($E10,DEMANDS!$E$2:$E$25,0),FALSE)</f>
        <v>0.61377591188582037</v>
      </c>
      <c r="O10" s="19">
        <f>HLOOKUP(REG_TRA_DEMANDS!O$3,'BY-Demands'!$J$5:$AK$14,MATCH($E10,'BY-Demands'!$I$5:$I$14,0),FALSE)*HLOOKUP(REG_TRA_DEMANDS!$F10,DEMANDS!$G$2:$CK$25,MATCH($E10,DEMANDS!$E$2:$E$25,0),FALSE)/HLOOKUP(2018,DEMANDS!$G$2:$CK$25,MATCH($E10,DEMANDS!$E$2:$E$25,0),FALSE)</f>
        <v>0.25407429363945533</v>
      </c>
      <c r="P10" s="19">
        <f>HLOOKUP(REG_TRA_DEMANDS!P$3,'BY-Demands'!$J$5:$AK$14,MATCH($E10,'BY-Demands'!$I$5:$I$14,0),FALSE)*HLOOKUP(REG_TRA_DEMANDS!$F10,DEMANDS!$G$2:$CK$25,MATCH($E10,DEMANDS!$E$2:$E$25,0),FALSE)/HLOOKUP(2018,DEMANDS!$G$2:$CK$25,MATCH($E10,DEMANDS!$E$2:$E$25,0),FALSE)</f>
        <v>0.28799046470245149</v>
      </c>
      <c r="Q10" s="19">
        <f>HLOOKUP(REG_TRA_DEMANDS!Q$3,'BY-Demands'!$J$5:$AK$14,MATCH($E10,'BY-Demands'!$I$5:$I$14,0),FALSE)*HLOOKUP(REG_TRA_DEMANDS!$F10,DEMANDS!$G$2:$CK$25,MATCH($E10,DEMANDS!$E$2:$E$25,0),FALSE)/HLOOKUP(2018,DEMANDS!$G$2:$CK$25,MATCH($E10,DEMANDS!$E$2:$E$25,0),FALSE)</f>
        <v>0.50122948040282622</v>
      </c>
      <c r="R10" s="19">
        <f>HLOOKUP(REG_TRA_DEMANDS!R$3,'BY-Demands'!$J$5:$AK$14,MATCH($E10,'BY-Demands'!$I$5:$I$14,0),FALSE)*HLOOKUP(REG_TRA_DEMANDS!$F10,DEMANDS!$G$2:$CK$25,MATCH($E10,DEMANDS!$E$2:$E$25,0),FALSE)/HLOOKUP(2018,DEMANDS!$G$2:$CK$25,MATCH($E10,DEMANDS!$E$2:$E$25,0),FALSE)</f>
        <v>0.44336387245786596</v>
      </c>
      <c r="S10" s="19">
        <f>HLOOKUP(REG_TRA_DEMANDS!S$3,'BY-Demands'!$J$5:$AK$14,MATCH($E10,'BY-Demands'!$I$5:$I$14,0),FALSE)*HLOOKUP(REG_TRA_DEMANDS!$F10,DEMANDS!$G$2:$CK$25,MATCH($E10,DEMANDS!$E$2:$E$25,0),FALSE)/HLOOKUP(2018,DEMANDS!$G$2:$CK$25,MATCH($E10,DEMANDS!$E$2:$E$25,0),FALSE)</f>
        <v>0.39021437872275427</v>
      </c>
      <c r="T10" s="19">
        <f>HLOOKUP(REG_TRA_DEMANDS!T$3,'BY-Demands'!$J$5:$AK$14,MATCH($E10,'BY-Demands'!$I$5:$I$14,0),FALSE)*HLOOKUP(REG_TRA_DEMANDS!$F10,DEMANDS!$G$2:$CK$25,MATCH($E10,DEMANDS!$E$2:$E$25,0),FALSE)/HLOOKUP(2018,DEMANDS!$G$2:$CK$25,MATCH($E10,DEMANDS!$E$2:$E$25,0),FALSE)</f>
        <v>1.6501646844345894</v>
      </c>
      <c r="U10" s="19">
        <f>HLOOKUP(REG_TRA_DEMANDS!U$3,'BY-Demands'!$J$5:$AK$14,MATCH($E10,'BY-Demands'!$I$5:$I$14,0),FALSE)*HLOOKUP(REG_TRA_DEMANDS!$F10,DEMANDS!$G$2:$CK$25,MATCH($E10,DEMANDS!$E$2:$E$25,0),FALSE)/HLOOKUP(2018,DEMANDS!$G$2:$CK$25,MATCH($E10,DEMANDS!$E$2:$E$25,0),FALSE)</f>
        <v>0.50524180998166979</v>
      </c>
      <c r="V10" s="19">
        <f>HLOOKUP(REG_TRA_DEMANDS!V$3,'BY-Demands'!$J$5:$AK$14,MATCH($E10,'BY-Demands'!$I$5:$I$14,0),FALSE)*HLOOKUP(REG_TRA_DEMANDS!$F10,DEMANDS!$G$2:$CK$25,MATCH($E10,DEMANDS!$E$2:$E$25,0),FALSE)/HLOOKUP(2018,DEMANDS!$G$2:$CK$25,MATCH($E10,DEMANDS!$E$2:$E$25,0),FALSE)</f>
        <v>0.60245992732860876</v>
      </c>
      <c r="W10" s="19">
        <f>HLOOKUP(REG_TRA_DEMANDS!W$3,'BY-Demands'!$J$5:$AK$14,MATCH($E10,'BY-Demands'!$I$5:$I$14,0),FALSE)*HLOOKUP(REG_TRA_DEMANDS!$F10,DEMANDS!$G$2:$CK$25,MATCH($E10,DEMANDS!$E$2:$E$25,0),FALSE)/HLOOKUP(2018,DEMANDS!$G$2:$CK$25,MATCH($E10,DEMANDS!$E$2:$E$25,0),FALSE)</f>
        <v>0.54924471825124122</v>
      </c>
      <c r="X10" s="19">
        <f>HLOOKUP(REG_TRA_DEMANDS!X$3,'BY-Demands'!$J$5:$AK$14,MATCH($E10,'BY-Demands'!$I$5:$I$14,0),FALSE)*HLOOKUP(REG_TRA_DEMANDS!$F10,DEMANDS!$G$2:$CK$25,MATCH($E10,DEMANDS!$E$2:$E$25,0),FALSE)/HLOOKUP(2018,DEMANDS!$G$2:$CK$25,MATCH($E10,DEMANDS!$E$2:$E$25,0),FALSE)</f>
        <v>0.36471613439137907</v>
      </c>
      <c r="Y10" s="19">
        <f>HLOOKUP(REG_TRA_DEMANDS!Y$3,'BY-Demands'!$J$5:$AK$14,MATCH($E10,'BY-Demands'!$I$5:$I$14,0),FALSE)*HLOOKUP(REG_TRA_DEMANDS!$F10,DEMANDS!$G$2:$CK$25,MATCH($E10,DEMANDS!$E$2:$E$25,0),FALSE)/HLOOKUP(2018,DEMANDS!$G$2:$CK$25,MATCH($E10,DEMANDS!$E$2:$E$25,0),FALSE)</f>
        <v>0.81516502337168895</v>
      </c>
      <c r="Z10" s="19">
        <f>HLOOKUP(REG_TRA_DEMANDS!Z$3,'BY-Demands'!$J$5:$AK$14,MATCH($E10,'BY-Demands'!$I$5:$I$14,0),FALSE)*HLOOKUP(REG_TRA_DEMANDS!$F10,DEMANDS!$G$2:$CK$25,MATCH($E10,DEMANDS!$E$2:$E$25,0),FALSE)/HLOOKUP(2018,DEMANDS!$G$2:$CK$25,MATCH($E10,DEMANDS!$E$2:$E$25,0),FALSE)</f>
        <v>0.10462028383115562</v>
      </c>
      <c r="AA10" s="19">
        <f>HLOOKUP(REG_TRA_DEMANDS!AA$3,'BY-Demands'!$J$5:$AK$14,MATCH($E10,'BY-Demands'!$I$5:$I$14,0),FALSE)*HLOOKUP(REG_TRA_DEMANDS!$F10,DEMANDS!$G$2:$CK$25,MATCH($E10,DEMANDS!$E$2:$E$25,0),FALSE)/HLOOKUP(2018,DEMANDS!$G$2:$CK$25,MATCH($E10,DEMANDS!$E$2:$E$25,0),FALSE)</f>
        <v>0.4365605037814248</v>
      </c>
      <c r="AB10" s="19">
        <f>HLOOKUP(REG_TRA_DEMANDS!AB$3,'BY-Demands'!$J$5:$AK$14,MATCH($E10,'BY-Demands'!$I$5:$I$14,0),FALSE)*HLOOKUP(REG_TRA_DEMANDS!$F10,DEMANDS!$G$2:$CK$25,MATCH($E10,DEMANDS!$E$2:$E$25,0),FALSE)/HLOOKUP(2018,DEMANDS!$G$2:$CK$25,MATCH($E10,DEMANDS!$E$2:$E$25,0),FALSE)</f>
        <v>0.22836917682707336</v>
      </c>
      <c r="AC10" s="19">
        <f>HLOOKUP(REG_TRA_DEMANDS!AC$3,'BY-Demands'!$J$5:$AK$14,MATCH($E10,'BY-Demands'!$I$5:$I$14,0),FALSE)*HLOOKUP(REG_TRA_DEMANDS!$F10,DEMANDS!$G$2:$CK$25,MATCH($E10,DEMANDS!$E$2:$E$25,0),FALSE)/HLOOKUP(2018,DEMANDS!$G$2:$CK$25,MATCH($E10,DEMANDS!$E$2:$E$25,0),FALSE)</f>
        <v>0.20134138272867444</v>
      </c>
      <c r="AD10" s="19">
        <f>HLOOKUP(REG_TRA_DEMANDS!AD$3,'BY-Demands'!$J$5:$AK$14,MATCH($E10,'BY-Demands'!$I$5:$I$14,0),FALSE)*HLOOKUP(REG_TRA_DEMANDS!$F10,DEMANDS!$G$2:$CK$25,MATCH($E10,DEMANDS!$E$2:$E$25,0),FALSE)/HLOOKUP(2018,DEMANDS!$G$2:$CK$25,MATCH($E10,DEMANDS!$E$2:$E$25,0),FALSE)</f>
        <v>0.22457605947370579</v>
      </c>
      <c r="AE10" s="19">
        <f>HLOOKUP(REG_TRA_DEMANDS!AE$3,'BY-Demands'!$J$5:$AK$14,MATCH($E10,'BY-Demands'!$I$5:$I$14,0),FALSE)*HLOOKUP(REG_TRA_DEMANDS!$F10,DEMANDS!$G$2:$CK$25,MATCH($E10,DEMANDS!$E$2:$E$25,0),FALSE)/HLOOKUP(2018,DEMANDS!$G$2:$CK$25,MATCH($E10,DEMANDS!$E$2:$E$25,0),FALSE)</f>
        <v>0.43563881637653451</v>
      </c>
      <c r="AF10" s="19">
        <f>HLOOKUP(REG_TRA_DEMANDS!AF$3,'BY-Demands'!$J$5:$AK$14,MATCH($E10,'BY-Demands'!$I$5:$I$14,0),FALSE)*HLOOKUP(REG_TRA_DEMANDS!$F10,DEMANDS!$G$2:$CK$25,MATCH($E10,DEMANDS!$E$2:$E$25,0),FALSE)/HLOOKUP(2018,DEMANDS!$G$2:$CK$25,MATCH($E10,DEMANDS!$E$2:$E$25,0),FALSE)</f>
        <v>0.20893852855038036</v>
      </c>
    </row>
    <row r="11" spans="4:32" ht="14.5">
      <c r="D11" t="s">
        <v>6</v>
      </c>
      <c r="E11" t="str">
        <f>DEMANDS!$E$17</f>
        <v>TRAPS</v>
      </c>
      <c r="F11">
        <v>2027</v>
      </c>
      <c r="G11" s="19">
        <f>HLOOKUP(REG_TRA_DEMANDS!G$3,'BY-Demands'!$J$5:$AK$14,MATCH($E11,'BY-Demands'!$I$5:$I$14,0),FALSE)*HLOOKUP(REG_TRA_DEMANDS!$F11,DEMANDS!$G$2:$CK$25,MATCH($E11,DEMANDS!$E$2:$E$25,0),FALSE)/HLOOKUP(2018,DEMANDS!$G$2:$CK$25,MATCH($E11,DEMANDS!$E$2:$E$25,0),FALSE)</f>
        <v>0.19429791769213708</v>
      </c>
      <c r="H11" s="19">
        <f>HLOOKUP(REG_TRA_DEMANDS!H$3,'BY-Demands'!$J$5:$AK$14,MATCH($E11,'BY-Demands'!$I$5:$I$14,0),FALSE)*HLOOKUP(REG_TRA_DEMANDS!$F11,DEMANDS!$G$2:$CK$25,MATCH($E11,DEMANDS!$E$2:$E$25,0),FALSE)/HLOOKUP(2018,DEMANDS!$G$2:$CK$25,MATCH($E11,DEMANDS!$E$2:$E$25,0),FALSE)</f>
        <v>3.8844760618916347</v>
      </c>
      <c r="I11" s="19">
        <f>HLOOKUP(REG_TRA_DEMANDS!I$3,'BY-Demands'!$J$5:$AK$14,MATCH($E11,'BY-Demands'!$I$5:$I$14,0),FALSE)*HLOOKUP(REG_TRA_DEMANDS!$F11,DEMANDS!$G$2:$CK$25,MATCH($E11,DEMANDS!$E$2:$E$25,0),FALSE)/HLOOKUP(2018,DEMANDS!$G$2:$CK$25,MATCH($E11,DEMANDS!$E$2:$E$25,0),FALSE)</f>
        <v>0.71639482828875223</v>
      </c>
      <c r="J11" s="19">
        <f>HLOOKUP(REG_TRA_DEMANDS!J$3,'BY-Demands'!$J$5:$AK$14,MATCH($E11,'BY-Demands'!$I$5:$I$14,0),FALSE)*HLOOKUP(REG_TRA_DEMANDS!$F11,DEMANDS!$G$2:$CK$25,MATCH($E11,DEMANDS!$E$2:$E$25,0),FALSE)/HLOOKUP(2018,DEMANDS!$G$2:$CK$25,MATCH($E11,DEMANDS!$E$2:$E$25,0),FALSE)</f>
        <v>0.33236096205750421</v>
      </c>
      <c r="K11" s="19">
        <f>HLOOKUP(REG_TRA_DEMANDS!K$3,'BY-Demands'!$J$5:$AK$14,MATCH($E11,'BY-Demands'!$I$5:$I$14,0),FALSE)*HLOOKUP(REG_TRA_DEMANDS!$F11,DEMANDS!$G$2:$CK$25,MATCH($E11,DEMANDS!$E$2:$E$25,0),FALSE)/HLOOKUP(2018,DEMANDS!$G$2:$CK$25,MATCH($E11,DEMANDS!$E$2:$E$25,0),FALSE)</f>
        <v>0.26203324442751852</v>
      </c>
      <c r="L11" s="19">
        <f>HLOOKUP(REG_TRA_DEMANDS!L$3,'BY-Demands'!$J$5:$AK$14,MATCH($E11,'BY-Demands'!$I$5:$I$14,0),FALSE)*HLOOKUP(REG_TRA_DEMANDS!$F11,DEMANDS!$G$2:$CK$25,MATCH($E11,DEMANDS!$E$2:$E$25,0),FALSE)/HLOOKUP(2018,DEMANDS!$G$2:$CK$25,MATCH($E11,DEMANDS!$E$2:$E$25,0),FALSE)</f>
        <v>0.13166276886416983</v>
      </c>
      <c r="M11" s="19">
        <f>HLOOKUP(REG_TRA_DEMANDS!M$3,'BY-Demands'!$J$5:$AK$14,MATCH($E11,'BY-Demands'!$I$5:$I$14,0),FALSE)*HLOOKUP(REG_TRA_DEMANDS!$F11,DEMANDS!$G$2:$CK$25,MATCH($E11,DEMANDS!$E$2:$E$25,0),FALSE)/HLOOKUP(2018,DEMANDS!$G$2:$CK$25,MATCH($E11,DEMANDS!$E$2:$E$25,0),FALSE)</f>
        <v>0.3775446187396681</v>
      </c>
      <c r="N11" s="19">
        <f>HLOOKUP(REG_TRA_DEMANDS!N$3,'BY-Demands'!$J$5:$AK$14,MATCH($E11,'BY-Demands'!$I$5:$I$14,0),FALSE)*HLOOKUP(REG_TRA_DEMANDS!$F11,DEMANDS!$G$2:$CK$25,MATCH($E11,DEMANDS!$E$2:$E$25,0),FALSE)/HLOOKUP(2018,DEMANDS!$G$2:$CK$25,MATCH($E11,DEMANDS!$E$2:$E$25,0),FALSE)</f>
        <v>0.62144811078439322</v>
      </c>
      <c r="O11" s="19">
        <f>HLOOKUP(REG_TRA_DEMANDS!O$3,'BY-Demands'!$J$5:$AK$14,MATCH($E11,'BY-Demands'!$I$5:$I$14,0),FALSE)*HLOOKUP(REG_TRA_DEMANDS!$F11,DEMANDS!$G$2:$CK$25,MATCH($E11,DEMANDS!$E$2:$E$25,0),FALSE)/HLOOKUP(2018,DEMANDS!$G$2:$CK$25,MATCH($E11,DEMANDS!$E$2:$E$25,0),FALSE)</f>
        <v>0.25725022230994848</v>
      </c>
      <c r="P11" s="19">
        <f>HLOOKUP(REG_TRA_DEMANDS!P$3,'BY-Demands'!$J$5:$AK$14,MATCH($E11,'BY-Demands'!$I$5:$I$14,0),FALSE)*HLOOKUP(REG_TRA_DEMANDS!$F11,DEMANDS!$G$2:$CK$25,MATCH($E11,DEMANDS!$E$2:$E$25,0),FALSE)/HLOOKUP(2018,DEMANDS!$G$2:$CK$25,MATCH($E11,DEMANDS!$E$2:$E$25,0),FALSE)</f>
        <v>0.2915903455112322</v>
      </c>
      <c r="Q11" s="19">
        <f>HLOOKUP(REG_TRA_DEMANDS!Q$3,'BY-Demands'!$J$5:$AK$14,MATCH($E11,'BY-Demands'!$I$5:$I$14,0),FALSE)*HLOOKUP(REG_TRA_DEMANDS!$F11,DEMANDS!$G$2:$CK$25,MATCH($E11,DEMANDS!$E$2:$E$25,0),FALSE)/HLOOKUP(2018,DEMANDS!$G$2:$CK$25,MATCH($E11,DEMANDS!$E$2:$E$25,0),FALSE)</f>
        <v>0.50749484890786145</v>
      </c>
      <c r="R11" s="19">
        <f>HLOOKUP(REG_TRA_DEMANDS!R$3,'BY-Demands'!$J$5:$AK$14,MATCH($E11,'BY-Demands'!$I$5:$I$14,0),FALSE)*HLOOKUP(REG_TRA_DEMANDS!$F11,DEMANDS!$G$2:$CK$25,MATCH($E11,DEMANDS!$E$2:$E$25,0),FALSE)/HLOOKUP(2018,DEMANDS!$G$2:$CK$25,MATCH($E11,DEMANDS!$E$2:$E$25,0),FALSE)</f>
        <v>0.44890592086358932</v>
      </c>
      <c r="S11" s="19">
        <f>HLOOKUP(REG_TRA_DEMANDS!S$3,'BY-Demands'!$J$5:$AK$14,MATCH($E11,'BY-Demands'!$I$5:$I$14,0),FALSE)*HLOOKUP(REG_TRA_DEMANDS!$F11,DEMANDS!$G$2:$CK$25,MATCH($E11,DEMANDS!$E$2:$E$25,0),FALSE)/HLOOKUP(2018,DEMANDS!$G$2:$CK$25,MATCH($E11,DEMANDS!$E$2:$E$25,0),FALSE)</f>
        <v>0.39509205845678874</v>
      </c>
      <c r="T11" s="19">
        <f>HLOOKUP(REG_TRA_DEMANDS!T$3,'BY-Demands'!$J$5:$AK$14,MATCH($E11,'BY-Demands'!$I$5:$I$14,0),FALSE)*HLOOKUP(REG_TRA_DEMANDS!$F11,DEMANDS!$G$2:$CK$25,MATCH($E11,DEMANDS!$E$2:$E$25,0),FALSE)/HLOOKUP(2018,DEMANDS!$G$2:$CK$25,MATCH($E11,DEMANDS!$E$2:$E$25,0),FALSE)</f>
        <v>1.6707917429900219</v>
      </c>
      <c r="U11" s="19">
        <f>HLOOKUP(REG_TRA_DEMANDS!U$3,'BY-Demands'!$J$5:$AK$14,MATCH($E11,'BY-Demands'!$I$5:$I$14,0),FALSE)*HLOOKUP(REG_TRA_DEMANDS!$F11,DEMANDS!$G$2:$CK$25,MATCH($E11,DEMANDS!$E$2:$E$25,0),FALSE)/HLOOKUP(2018,DEMANDS!$G$2:$CK$25,MATCH($E11,DEMANDS!$E$2:$E$25,0),FALSE)</f>
        <v>0.51155733260644065</v>
      </c>
      <c r="V11" s="19">
        <f>HLOOKUP(REG_TRA_DEMANDS!V$3,'BY-Demands'!$J$5:$AK$14,MATCH($E11,'BY-Demands'!$I$5:$I$14,0),FALSE)*HLOOKUP(REG_TRA_DEMANDS!$F11,DEMANDS!$G$2:$CK$25,MATCH($E11,DEMANDS!$E$2:$E$25,0),FALSE)/HLOOKUP(2018,DEMANDS!$G$2:$CK$25,MATCH($E11,DEMANDS!$E$2:$E$25,0),FALSE)</f>
        <v>0.60999067642021643</v>
      </c>
      <c r="W11" s="19">
        <f>HLOOKUP(REG_TRA_DEMANDS!W$3,'BY-Demands'!$J$5:$AK$14,MATCH($E11,'BY-Demands'!$I$5:$I$14,0),FALSE)*HLOOKUP(REG_TRA_DEMANDS!$F11,DEMANDS!$G$2:$CK$25,MATCH($E11,DEMANDS!$E$2:$E$25,0),FALSE)/HLOOKUP(2018,DEMANDS!$G$2:$CK$25,MATCH($E11,DEMANDS!$E$2:$E$25,0),FALSE)</f>
        <v>0.55611027722938167</v>
      </c>
      <c r="X11" s="19">
        <f>HLOOKUP(REG_TRA_DEMANDS!X$3,'BY-Demands'!$J$5:$AK$14,MATCH($E11,'BY-Demands'!$I$5:$I$14,0),FALSE)*HLOOKUP(REG_TRA_DEMANDS!$F11,DEMANDS!$G$2:$CK$25,MATCH($E11,DEMANDS!$E$2:$E$25,0),FALSE)/HLOOKUP(2018,DEMANDS!$G$2:$CK$25,MATCH($E11,DEMANDS!$E$2:$E$25,0),FALSE)</f>
        <v>0.3692750860712713</v>
      </c>
      <c r="Y11" s="19">
        <f>HLOOKUP(REG_TRA_DEMANDS!Y$3,'BY-Demands'!$J$5:$AK$14,MATCH($E11,'BY-Demands'!$I$5:$I$14,0),FALSE)*HLOOKUP(REG_TRA_DEMANDS!$F11,DEMANDS!$G$2:$CK$25,MATCH($E11,DEMANDS!$E$2:$E$25,0),FALSE)/HLOOKUP(2018,DEMANDS!$G$2:$CK$25,MATCH($E11,DEMANDS!$E$2:$E$25,0),FALSE)</f>
        <v>0.82535458616383506</v>
      </c>
      <c r="Z11" s="19">
        <f>HLOOKUP(REG_TRA_DEMANDS!Z$3,'BY-Demands'!$J$5:$AK$14,MATCH($E11,'BY-Demands'!$I$5:$I$14,0),FALSE)*HLOOKUP(REG_TRA_DEMANDS!$F11,DEMANDS!$G$2:$CK$25,MATCH($E11,DEMANDS!$E$2:$E$25,0),FALSE)/HLOOKUP(2018,DEMANDS!$G$2:$CK$25,MATCH($E11,DEMANDS!$E$2:$E$25,0),FALSE)</f>
        <v>0.10592803737904506</v>
      </c>
      <c r="AA11" s="19">
        <f>HLOOKUP(REG_TRA_DEMANDS!AA$3,'BY-Demands'!$J$5:$AK$14,MATCH($E11,'BY-Demands'!$I$5:$I$14,0),FALSE)*HLOOKUP(REG_TRA_DEMANDS!$F11,DEMANDS!$G$2:$CK$25,MATCH($E11,DEMANDS!$E$2:$E$25,0),FALSE)/HLOOKUP(2018,DEMANDS!$G$2:$CK$25,MATCH($E11,DEMANDS!$E$2:$E$25,0),FALSE)</f>
        <v>0.44201751007869261</v>
      </c>
      <c r="AB11" s="19">
        <f>HLOOKUP(REG_TRA_DEMANDS!AB$3,'BY-Demands'!$J$5:$AK$14,MATCH($E11,'BY-Demands'!$I$5:$I$14,0),FALSE)*HLOOKUP(REG_TRA_DEMANDS!$F11,DEMANDS!$G$2:$CK$25,MATCH($E11,DEMANDS!$E$2:$E$25,0),FALSE)/HLOOKUP(2018,DEMANDS!$G$2:$CK$25,MATCH($E11,DEMANDS!$E$2:$E$25,0),FALSE)</f>
        <v>0.23122379153741174</v>
      </c>
      <c r="AC11" s="19">
        <f>HLOOKUP(REG_TRA_DEMANDS!AC$3,'BY-Demands'!$J$5:$AK$14,MATCH($E11,'BY-Demands'!$I$5:$I$14,0),FALSE)*HLOOKUP(REG_TRA_DEMANDS!$F11,DEMANDS!$G$2:$CK$25,MATCH($E11,DEMANDS!$E$2:$E$25,0),FALSE)/HLOOKUP(2018,DEMANDS!$G$2:$CK$25,MATCH($E11,DEMANDS!$E$2:$E$25,0),FALSE)</f>
        <v>0.20385815001278287</v>
      </c>
      <c r="AD11" s="19">
        <f>HLOOKUP(REG_TRA_DEMANDS!AD$3,'BY-Demands'!$J$5:$AK$14,MATCH($E11,'BY-Demands'!$I$5:$I$14,0),FALSE)*HLOOKUP(REG_TRA_DEMANDS!$F11,DEMANDS!$G$2:$CK$25,MATCH($E11,DEMANDS!$E$2:$E$25,0),FALSE)/HLOOKUP(2018,DEMANDS!$G$2:$CK$25,MATCH($E11,DEMANDS!$E$2:$E$25,0),FALSE)</f>
        <v>0.2273832602171271</v>
      </c>
      <c r="AE11" s="19">
        <f>HLOOKUP(REG_TRA_DEMANDS!AE$3,'BY-Demands'!$J$5:$AK$14,MATCH($E11,'BY-Demands'!$I$5:$I$14,0),FALSE)*HLOOKUP(REG_TRA_DEMANDS!$F11,DEMANDS!$G$2:$CK$25,MATCH($E11,DEMANDS!$E$2:$E$25,0),FALSE)/HLOOKUP(2018,DEMANDS!$G$2:$CK$25,MATCH($E11,DEMANDS!$E$2:$E$25,0),FALSE)</f>
        <v>0.44108430158124118</v>
      </c>
      <c r="AF11" s="19">
        <f>HLOOKUP(REG_TRA_DEMANDS!AF$3,'BY-Demands'!$J$5:$AK$14,MATCH($E11,'BY-Demands'!$I$5:$I$14,0),FALSE)*HLOOKUP(REG_TRA_DEMANDS!$F11,DEMANDS!$G$2:$CK$25,MATCH($E11,DEMANDS!$E$2:$E$25,0),FALSE)/HLOOKUP(2018,DEMANDS!$G$2:$CK$25,MATCH($E11,DEMANDS!$E$2:$E$25,0),FALSE)</f>
        <v>0.21155026015726011</v>
      </c>
    </row>
    <row r="12" spans="4:32" ht="14.5">
      <c r="D12" t="s">
        <v>6</v>
      </c>
      <c r="E12" t="str">
        <f>DEMANDS!$E$17</f>
        <v>TRAPS</v>
      </c>
      <c r="F12">
        <v>2028</v>
      </c>
      <c r="G12" s="19">
        <f>HLOOKUP(REG_TRA_DEMANDS!G$3,'BY-Demands'!$J$5:$AK$14,MATCH($E12,'BY-Demands'!$I$5:$I$14,0),FALSE)*HLOOKUP(REG_TRA_DEMANDS!$F12,DEMANDS!$G$2:$CK$25,MATCH($E12,DEMANDS!$E$2:$E$25,0),FALSE)/HLOOKUP(2018,DEMANDS!$G$2:$CK$25,MATCH($E12,DEMANDS!$E$2:$E$25,0),FALSE)</f>
        <v>0.19672664166328876</v>
      </c>
      <c r="H12" s="19">
        <f>HLOOKUP(REG_TRA_DEMANDS!H$3,'BY-Demands'!$J$5:$AK$14,MATCH($E12,'BY-Demands'!$I$5:$I$14,0),FALSE)*HLOOKUP(REG_TRA_DEMANDS!$F12,DEMANDS!$G$2:$CK$25,MATCH($E12,DEMANDS!$E$2:$E$25,0),FALSE)/HLOOKUP(2018,DEMANDS!$G$2:$CK$25,MATCH($E12,DEMANDS!$E$2:$E$25,0),FALSE)</f>
        <v>3.9330320126652798</v>
      </c>
      <c r="I12" s="19">
        <f>HLOOKUP(REG_TRA_DEMANDS!I$3,'BY-Demands'!$J$5:$AK$14,MATCH($E12,'BY-Demands'!$I$5:$I$14,0),FALSE)*HLOOKUP(REG_TRA_DEMANDS!$F12,DEMANDS!$G$2:$CK$25,MATCH($E12,DEMANDS!$E$2:$E$25,0),FALSE)/HLOOKUP(2018,DEMANDS!$G$2:$CK$25,MATCH($E12,DEMANDS!$E$2:$E$25,0),FALSE)</f>
        <v>0.72534976364236159</v>
      </c>
      <c r="J12" s="19">
        <f>HLOOKUP(REG_TRA_DEMANDS!J$3,'BY-Demands'!$J$5:$AK$14,MATCH($E12,'BY-Demands'!$I$5:$I$14,0),FALSE)*HLOOKUP(REG_TRA_DEMANDS!$F12,DEMANDS!$G$2:$CK$25,MATCH($E12,DEMANDS!$E$2:$E$25,0),FALSE)/HLOOKUP(2018,DEMANDS!$G$2:$CK$25,MATCH($E12,DEMANDS!$E$2:$E$25,0),FALSE)</f>
        <v>0.33651547408322297</v>
      </c>
      <c r="K12" s="19">
        <f>HLOOKUP(REG_TRA_DEMANDS!K$3,'BY-Demands'!$J$5:$AK$14,MATCH($E12,'BY-Demands'!$I$5:$I$14,0),FALSE)*HLOOKUP(REG_TRA_DEMANDS!$F12,DEMANDS!$G$2:$CK$25,MATCH($E12,DEMANDS!$E$2:$E$25,0),FALSE)/HLOOKUP(2018,DEMANDS!$G$2:$CK$25,MATCH($E12,DEMANDS!$E$2:$E$25,0),FALSE)</f>
        <v>0.26530865998286246</v>
      </c>
      <c r="L12" s="19">
        <f>HLOOKUP(REG_TRA_DEMANDS!L$3,'BY-Demands'!$J$5:$AK$14,MATCH($E12,'BY-Demands'!$I$5:$I$14,0),FALSE)*HLOOKUP(REG_TRA_DEMANDS!$F12,DEMANDS!$G$2:$CK$25,MATCH($E12,DEMANDS!$E$2:$E$25,0),FALSE)/HLOOKUP(2018,DEMANDS!$G$2:$CK$25,MATCH($E12,DEMANDS!$E$2:$E$25,0),FALSE)</f>
        <v>0.13330855347497195</v>
      </c>
      <c r="M12" s="19">
        <f>HLOOKUP(REG_TRA_DEMANDS!M$3,'BY-Demands'!$J$5:$AK$14,MATCH($E12,'BY-Demands'!$I$5:$I$14,0),FALSE)*HLOOKUP(REG_TRA_DEMANDS!$F12,DEMANDS!$G$2:$CK$25,MATCH($E12,DEMANDS!$E$2:$E$25,0),FALSE)/HLOOKUP(2018,DEMANDS!$G$2:$CK$25,MATCH($E12,DEMANDS!$E$2:$E$25,0),FALSE)</f>
        <v>0.38226392647391394</v>
      </c>
      <c r="N12" s="19">
        <f>HLOOKUP(REG_TRA_DEMANDS!N$3,'BY-Demands'!$J$5:$AK$14,MATCH($E12,'BY-Demands'!$I$5:$I$14,0),FALSE)*HLOOKUP(REG_TRA_DEMANDS!$F12,DEMANDS!$G$2:$CK$25,MATCH($E12,DEMANDS!$E$2:$E$25,0),FALSE)/HLOOKUP(2018,DEMANDS!$G$2:$CK$25,MATCH($E12,DEMANDS!$E$2:$E$25,0),FALSE)</f>
        <v>0.6292162121691981</v>
      </c>
      <c r="O12" s="19">
        <f>HLOOKUP(REG_TRA_DEMANDS!O$3,'BY-Demands'!$J$5:$AK$14,MATCH($E12,'BY-Demands'!$I$5:$I$14,0),FALSE)*HLOOKUP(REG_TRA_DEMANDS!$F12,DEMANDS!$G$2:$CK$25,MATCH($E12,DEMANDS!$E$2:$E$25,0),FALSE)/HLOOKUP(2018,DEMANDS!$G$2:$CK$25,MATCH($E12,DEMANDS!$E$2:$E$25,0),FALSE)</f>
        <v>0.26046585008882284</v>
      </c>
      <c r="P12" s="19">
        <f>HLOOKUP(REG_TRA_DEMANDS!P$3,'BY-Demands'!$J$5:$AK$14,MATCH($E12,'BY-Demands'!$I$5:$I$14,0),FALSE)*HLOOKUP(REG_TRA_DEMANDS!$F12,DEMANDS!$G$2:$CK$25,MATCH($E12,DEMANDS!$E$2:$E$25,0),FALSE)/HLOOKUP(2018,DEMANDS!$G$2:$CK$25,MATCH($E12,DEMANDS!$E$2:$E$25,0),FALSE)</f>
        <v>0.2952352248301226</v>
      </c>
      <c r="Q12" s="19">
        <f>HLOOKUP(REG_TRA_DEMANDS!Q$3,'BY-Demands'!$J$5:$AK$14,MATCH($E12,'BY-Demands'!$I$5:$I$14,0),FALSE)*HLOOKUP(REG_TRA_DEMANDS!$F12,DEMANDS!$G$2:$CK$25,MATCH($E12,DEMANDS!$E$2:$E$25,0),FALSE)/HLOOKUP(2018,DEMANDS!$G$2:$CK$25,MATCH($E12,DEMANDS!$E$2:$E$25,0),FALSE)</f>
        <v>0.5138385345192098</v>
      </c>
      <c r="R12" s="19">
        <f>HLOOKUP(REG_TRA_DEMANDS!R$3,'BY-Demands'!$J$5:$AK$14,MATCH($E12,'BY-Demands'!$I$5:$I$14,0),FALSE)*HLOOKUP(REG_TRA_DEMANDS!$F12,DEMANDS!$G$2:$CK$25,MATCH($E12,DEMANDS!$E$2:$E$25,0),FALSE)/HLOOKUP(2018,DEMANDS!$G$2:$CK$25,MATCH($E12,DEMANDS!$E$2:$E$25,0),FALSE)</f>
        <v>0.45451724487438416</v>
      </c>
      <c r="S12" s="19">
        <f>HLOOKUP(REG_TRA_DEMANDS!S$3,'BY-Demands'!$J$5:$AK$14,MATCH($E12,'BY-Demands'!$I$5:$I$14,0),FALSE)*HLOOKUP(REG_TRA_DEMANDS!$F12,DEMANDS!$G$2:$CK$25,MATCH($E12,DEMANDS!$E$2:$E$25,0),FALSE)/HLOOKUP(2018,DEMANDS!$G$2:$CK$25,MATCH($E12,DEMANDS!$E$2:$E$25,0),FALSE)</f>
        <v>0.40003070918749856</v>
      </c>
      <c r="T12" s="19">
        <f>HLOOKUP(REG_TRA_DEMANDS!T$3,'BY-Demands'!$J$5:$AK$14,MATCH($E12,'BY-Demands'!$I$5:$I$14,0),FALSE)*HLOOKUP(REG_TRA_DEMANDS!$F12,DEMANDS!$G$2:$CK$25,MATCH($E12,DEMANDS!$E$2:$E$25,0),FALSE)/HLOOKUP(2018,DEMANDS!$G$2:$CK$25,MATCH($E12,DEMANDS!$E$2:$E$25,0),FALSE)</f>
        <v>1.6916766397773972</v>
      </c>
      <c r="U12" s="19">
        <f>HLOOKUP(REG_TRA_DEMANDS!U$3,'BY-Demands'!$J$5:$AK$14,MATCH($E12,'BY-Demands'!$I$5:$I$14,0),FALSE)*HLOOKUP(REG_TRA_DEMANDS!$F12,DEMANDS!$G$2:$CK$25,MATCH($E12,DEMANDS!$E$2:$E$25,0),FALSE)/HLOOKUP(2018,DEMANDS!$G$2:$CK$25,MATCH($E12,DEMANDS!$E$2:$E$25,0),FALSE)</f>
        <v>0.51795179926402113</v>
      </c>
      <c r="V12" s="19">
        <f>HLOOKUP(REG_TRA_DEMANDS!V$3,'BY-Demands'!$J$5:$AK$14,MATCH($E12,'BY-Demands'!$I$5:$I$14,0),FALSE)*HLOOKUP(REG_TRA_DEMANDS!$F12,DEMANDS!$G$2:$CK$25,MATCH($E12,DEMANDS!$E$2:$E$25,0),FALSE)/HLOOKUP(2018,DEMANDS!$G$2:$CK$25,MATCH($E12,DEMANDS!$E$2:$E$25,0),FALSE)</f>
        <v>0.61761555987546901</v>
      </c>
      <c r="W12" s="19">
        <f>HLOOKUP(REG_TRA_DEMANDS!W$3,'BY-Demands'!$J$5:$AK$14,MATCH($E12,'BY-Demands'!$I$5:$I$14,0),FALSE)*HLOOKUP(REG_TRA_DEMANDS!$F12,DEMANDS!$G$2:$CK$25,MATCH($E12,DEMANDS!$E$2:$E$25,0),FALSE)/HLOOKUP(2018,DEMANDS!$G$2:$CK$25,MATCH($E12,DEMANDS!$E$2:$E$25,0),FALSE)</f>
        <v>0.56306165569474886</v>
      </c>
      <c r="X12" s="19">
        <f>HLOOKUP(REG_TRA_DEMANDS!X$3,'BY-Demands'!$J$5:$AK$14,MATCH($E12,'BY-Demands'!$I$5:$I$14,0),FALSE)*HLOOKUP(REG_TRA_DEMANDS!$F12,DEMANDS!$G$2:$CK$25,MATCH($E12,DEMANDS!$E$2:$E$25,0),FALSE)/HLOOKUP(2018,DEMANDS!$G$2:$CK$25,MATCH($E12,DEMANDS!$E$2:$E$25,0),FALSE)</f>
        <v>0.37389102464716212</v>
      </c>
      <c r="Y12" s="19">
        <f>HLOOKUP(REG_TRA_DEMANDS!Y$3,'BY-Demands'!$J$5:$AK$14,MATCH($E12,'BY-Demands'!$I$5:$I$14,0),FALSE)*HLOOKUP(REG_TRA_DEMANDS!$F12,DEMANDS!$G$2:$CK$25,MATCH($E12,DEMANDS!$E$2:$E$25,0),FALSE)/HLOOKUP(2018,DEMANDS!$G$2:$CK$25,MATCH($E12,DEMANDS!$E$2:$E$25,0),FALSE)</f>
        <v>0.83567151849088295</v>
      </c>
      <c r="Z12" s="19">
        <f>HLOOKUP(REG_TRA_DEMANDS!Z$3,'BY-Demands'!$J$5:$AK$14,MATCH($E12,'BY-Demands'!$I$5:$I$14,0),FALSE)*HLOOKUP(REG_TRA_DEMANDS!$F12,DEMANDS!$G$2:$CK$25,MATCH($E12,DEMANDS!$E$2:$E$25,0),FALSE)/HLOOKUP(2018,DEMANDS!$G$2:$CK$25,MATCH($E12,DEMANDS!$E$2:$E$25,0),FALSE)</f>
        <v>0.10725213784628312</v>
      </c>
      <c r="AA12" s="19">
        <f>HLOOKUP(REG_TRA_DEMANDS!AA$3,'BY-Demands'!$J$5:$AK$14,MATCH($E12,'BY-Demands'!$I$5:$I$14,0),FALSE)*HLOOKUP(REG_TRA_DEMANDS!$F12,DEMANDS!$G$2:$CK$25,MATCH($E12,DEMANDS!$E$2:$E$25,0),FALSE)/HLOOKUP(2018,DEMANDS!$G$2:$CK$25,MATCH($E12,DEMANDS!$E$2:$E$25,0),FALSE)</f>
        <v>0.44754272895467623</v>
      </c>
      <c r="AB12" s="19">
        <f>HLOOKUP(REG_TRA_DEMANDS!AB$3,'BY-Demands'!$J$5:$AK$14,MATCH($E12,'BY-Demands'!$I$5:$I$14,0),FALSE)*HLOOKUP(REG_TRA_DEMANDS!$F12,DEMANDS!$G$2:$CK$25,MATCH($E12,DEMANDS!$E$2:$E$25,0),FALSE)/HLOOKUP(2018,DEMANDS!$G$2:$CK$25,MATCH($E12,DEMANDS!$E$2:$E$25,0),FALSE)</f>
        <v>0.23411408893162938</v>
      </c>
      <c r="AC12" s="19">
        <f>HLOOKUP(REG_TRA_DEMANDS!AC$3,'BY-Demands'!$J$5:$AK$14,MATCH($E12,'BY-Demands'!$I$5:$I$14,0),FALSE)*HLOOKUP(REG_TRA_DEMANDS!$F12,DEMANDS!$G$2:$CK$25,MATCH($E12,DEMANDS!$E$2:$E$25,0),FALSE)/HLOOKUP(2018,DEMANDS!$G$2:$CK$25,MATCH($E12,DEMANDS!$E$2:$E$25,0),FALSE)</f>
        <v>0.20640637688794264</v>
      </c>
      <c r="AD12" s="19">
        <f>HLOOKUP(REG_TRA_DEMANDS!AD$3,'BY-Demands'!$J$5:$AK$14,MATCH($E12,'BY-Demands'!$I$5:$I$14,0),FALSE)*HLOOKUP(REG_TRA_DEMANDS!$F12,DEMANDS!$G$2:$CK$25,MATCH($E12,DEMANDS!$E$2:$E$25,0),FALSE)/HLOOKUP(2018,DEMANDS!$G$2:$CK$25,MATCH($E12,DEMANDS!$E$2:$E$25,0),FALSE)</f>
        <v>0.23022555096984118</v>
      </c>
      <c r="AE12" s="19">
        <f>HLOOKUP(REG_TRA_DEMANDS!AE$3,'BY-Demands'!$J$5:$AK$14,MATCH($E12,'BY-Demands'!$I$5:$I$14,0),FALSE)*HLOOKUP(REG_TRA_DEMANDS!$F12,DEMANDS!$G$2:$CK$25,MATCH($E12,DEMANDS!$E$2:$E$25,0),FALSE)/HLOOKUP(2018,DEMANDS!$G$2:$CK$25,MATCH($E12,DEMANDS!$E$2:$E$25,0),FALSE)</f>
        <v>0.44659785535100666</v>
      </c>
      <c r="AF12" s="19">
        <f>HLOOKUP(REG_TRA_DEMANDS!AF$3,'BY-Demands'!$J$5:$AK$14,MATCH($E12,'BY-Demands'!$I$5:$I$14,0),FALSE)*HLOOKUP(REG_TRA_DEMANDS!$F12,DEMANDS!$G$2:$CK$25,MATCH($E12,DEMANDS!$E$2:$E$25,0),FALSE)/HLOOKUP(2018,DEMANDS!$G$2:$CK$25,MATCH($E12,DEMANDS!$E$2:$E$25,0),FALSE)</f>
        <v>0.21419463840922584</v>
      </c>
    </row>
    <row r="13" spans="4:32" ht="14.5">
      <c r="D13" t="s">
        <v>6</v>
      </c>
      <c r="E13" t="str">
        <f>DEMANDS!$E$17</f>
        <v>TRAPS</v>
      </c>
      <c r="F13">
        <v>2029</v>
      </c>
      <c r="G13" s="19">
        <f>HLOOKUP(REG_TRA_DEMANDS!G$3,'BY-Demands'!$J$5:$AK$14,MATCH($E13,'BY-Demands'!$I$5:$I$14,0),FALSE)*HLOOKUP(REG_TRA_DEMANDS!$F13,DEMANDS!$G$2:$CK$25,MATCH($E13,DEMANDS!$E$2:$E$25,0),FALSE)/HLOOKUP(2018,DEMANDS!$G$2:$CK$25,MATCH($E13,DEMANDS!$E$2:$E$25,0),FALSE)</f>
        <v>0.19918572468407988</v>
      </c>
      <c r="H13" s="19">
        <f>HLOOKUP(REG_TRA_DEMANDS!H$3,'BY-Demands'!$J$5:$AK$14,MATCH($E13,'BY-Demands'!$I$5:$I$14,0),FALSE)*HLOOKUP(REG_TRA_DEMANDS!$F13,DEMANDS!$G$2:$CK$25,MATCH($E13,DEMANDS!$E$2:$E$25,0),FALSE)/HLOOKUP(2018,DEMANDS!$G$2:$CK$25,MATCH($E13,DEMANDS!$E$2:$E$25,0),FALSE)</f>
        <v>3.9821949128235952</v>
      </c>
      <c r="I13" s="19">
        <f>HLOOKUP(REG_TRA_DEMANDS!I$3,'BY-Demands'!$J$5:$AK$14,MATCH($E13,'BY-Demands'!$I$5:$I$14,0),FALSE)*HLOOKUP(REG_TRA_DEMANDS!$F13,DEMANDS!$G$2:$CK$25,MATCH($E13,DEMANDS!$E$2:$E$25,0),FALSE)/HLOOKUP(2018,DEMANDS!$G$2:$CK$25,MATCH($E13,DEMANDS!$E$2:$E$25,0),FALSE)</f>
        <v>0.73441663568789106</v>
      </c>
      <c r="J13" s="19">
        <f>HLOOKUP(REG_TRA_DEMANDS!J$3,'BY-Demands'!$J$5:$AK$14,MATCH($E13,'BY-Demands'!$I$5:$I$14,0),FALSE)*HLOOKUP(REG_TRA_DEMANDS!$F13,DEMANDS!$G$2:$CK$25,MATCH($E13,DEMANDS!$E$2:$E$25,0),FALSE)/HLOOKUP(2018,DEMANDS!$G$2:$CK$25,MATCH($E13,DEMANDS!$E$2:$E$25,0),FALSE)</f>
        <v>0.34072191750926323</v>
      </c>
      <c r="K13" s="19">
        <f>HLOOKUP(REG_TRA_DEMANDS!K$3,'BY-Demands'!$J$5:$AK$14,MATCH($E13,'BY-Demands'!$I$5:$I$14,0),FALSE)*HLOOKUP(REG_TRA_DEMANDS!$F13,DEMANDS!$G$2:$CK$25,MATCH($E13,DEMANDS!$E$2:$E$25,0),FALSE)/HLOOKUP(2018,DEMANDS!$G$2:$CK$25,MATCH($E13,DEMANDS!$E$2:$E$25,0),FALSE)</f>
        <v>0.26862501823264828</v>
      </c>
      <c r="L13" s="19">
        <f>HLOOKUP(REG_TRA_DEMANDS!L$3,'BY-Demands'!$J$5:$AK$14,MATCH($E13,'BY-Demands'!$I$5:$I$14,0),FALSE)*HLOOKUP(REG_TRA_DEMANDS!$F13,DEMANDS!$G$2:$CK$25,MATCH($E13,DEMANDS!$E$2:$E$25,0),FALSE)/HLOOKUP(2018,DEMANDS!$G$2:$CK$25,MATCH($E13,DEMANDS!$E$2:$E$25,0),FALSE)</f>
        <v>0.13497491039340909</v>
      </c>
      <c r="M13" s="19">
        <f>HLOOKUP(REG_TRA_DEMANDS!M$3,'BY-Demands'!$J$5:$AK$14,MATCH($E13,'BY-Demands'!$I$5:$I$14,0),FALSE)*HLOOKUP(REG_TRA_DEMANDS!$F13,DEMANDS!$G$2:$CK$25,MATCH($E13,DEMANDS!$E$2:$E$25,0),FALSE)/HLOOKUP(2018,DEMANDS!$G$2:$CK$25,MATCH($E13,DEMANDS!$E$2:$E$25,0),FALSE)</f>
        <v>0.38704222555483786</v>
      </c>
      <c r="N13" s="19">
        <f>HLOOKUP(REG_TRA_DEMANDS!N$3,'BY-Demands'!$J$5:$AK$14,MATCH($E13,'BY-Demands'!$I$5:$I$14,0),FALSE)*HLOOKUP(REG_TRA_DEMANDS!$F13,DEMANDS!$G$2:$CK$25,MATCH($E13,DEMANDS!$E$2:$E$25,0),FALSE)/HLOOKUP(2018,DEMANDS!$G$2:$CK$25,MATCH($E13,DEMANDS!$E$2:$E$25,0),FALSE)</f>
        <v>0.63708141482131297</v>
      </c>
      <c r="O13" s="19">
        <f>HLOOKUP(REG_TRA_DEMANDS!O$3,'BY-Demands'!$J$5:$AK$14,MATCH($E13,'BY-Demands'!$I$5:$I$14,0),FALSE)*HLOOKUP(REG_TRA_DEMANDS!$F13,DEMANDS!$G$2:$CK$25,MATCH($E13,DEMANDS!$E$2:$E$25,0),FALSE)/HLOOKUP(2018,DEMANDS!$G$2:$CK$25,MATCH($E13,DEMANDS!$E$2:$E$25,0),FALSE)</f>
        <v>0.26372167321493312</v>
      </c>
      <c r="P13" s="19">
        <f>HLOOKUP(REG_TRA_DEMANDS!P$3,'BY-Demands'!$J$5:$AK$14,MATCH($E13,'BY-Demands'!$I$5:$I$14,0),FALSE)*HLOOKUP(REG_TRA_DEMANDS!$F13,DEMANDS!$G$2:$CK$25,MATCH($E13,DEMANDS!$E$2:$E$25,0),FALSE)/HLOOKUP(2018,DEMANDS!$G$2:$CK$25,MATCH($E13,DEMANDS!$E$2:$E$25,0),FALSE)</f>
        <v>0.29892566514049906</v>
      </c>
      <c r="Q13" s="19">
        <f>HLOOKUP(REG_TRA_DEMANDS!Q$3,'BY-Demands'!$J$5:$AK$14,MATCH($E13,'BY-Demands'!$I$5:$I$14,0),FALSE)*HLOOKUP(REG_TRA_DEMANDS!$F13,DEMANDS!$G$2:$CK$25,MATCH($E13,DEMANDS!$E$2:$E$25,0),FALSE)/HLOOKUP(2018,DEMANDS!$G$2:$CK$25,MATCH($E13,DEMANDS!$E$2:$E$25,0),FALSE)</f>
        <v>0.52026151620069983</v>
      </c>
      <c r="R13" s="19">
        <f>HLOOKUP(REG_TRA_DEMANDS!R$3,'BY-Demands'!$J$5:$AK$14,MATCH($E13,'BY-Demands'!$I$5:$I$14,0),FALSE)*HLOOKUP(REG_TRA_DEMANDS!$F13,DEMANDS!$G$2:$CK$25,MATCH($E13,DEMANDS!$E$2:$E$25,0),FALSE)/HLOOKUP(2018,DEMANDS!$G$2:$CK$25,MATCH($E13,DEMANDS!$E$2:$E$25,0),FALSE)</f>
        <v>0.46019871043531396</v>
      </c>
      <c r="S13" s="19">
        <f>HLOOKUP(REG_TRA_DEMANDS!S$3,'BY-Demands'!$J$5:$AK$14,MATCH($E13,'BY-Demands'!$I$5:$I$14,0),FALSE)*HLOOKUP(REG_TRA_DEMANDS!$F13,DEMANDS!$G$2:$CK$25,MATCH($E13,DEMANDS!$E$2:$E$25,0),FALSE)/HLOOKUP(2018,DEMANDS!$G$2:$CK$25,MATCH($E13,DEMANDS!$E$2:$E$25,0),FALSE)</f>
        <v>0.40503109305234231</v>
      </c>
      <c r="T13" s="19">
        <f>HLOOKUP(REG_TRA_DEMANDS!T$3,'BY-Demands'!$J$5:$AK$14,MATCH($E13,'BY-Demands'!$I$5:$I$14,0),FALSE)*HLOOKUP(REG_TRA_DEMANDS!$F13,DEMANDS!$G$2:$CK$25,MATCH($E13,DEMANDS!$E$2:$E$25,0),FALSE)/HLOOKUP(2018,DEMANDS!$G$2:$CK$25,MATCH($E13,DEMANDS!$E$2:$E$25,0),FALSE)</f>
        <v>1.7128225977746145</v>
      </c>
      <c r="U13" s="19">
        <f>HLOOKUP(REG_TRA_DEMANDS!U$3,'BY-Demands'!$J$5:$AK$14,MATCH($E13,'BY-Demands'!$I$5:$I$14,0),FALSE)*HLOOKUP(REG_TRA_DEMANDS!$F13,DEMANDS!$G$2:$CK$25,MATCH($E13,DEMANDS!$E$2:$E$25,0),FALSE)/HLOOKUP(2018,DEMANDS!$G$2:$CK$25,MATCH($E13,DEMANDS!$E$2:$E$25,0),FALSE)</f>
        <v>0.52442619675482149</v>
      </c>
      <c r="V13" s="19">
        <f>HLOOKUP(REG_TRA_DEMANDS!V$3,'BY-Demands'!$J$5:$AK$14,MATCH($E13,'BY-Demands'!$I$5:$I$14,0),FALSE)*HLOOKUP(REG_TRA_DEMANDS!$F13,DEMANDS!$G$2:$CK$25,MATCH($E13,DEMANDS!$E$2:$E$25,0),FALSE)/HLOOKUP(2018,DEMANDS!$G$2:$CK$25,MATCH($E13,DEMANDS!$E$2:$E$25,0),FALSE)</f>
        <v>0.62533575437391242</v>
      </c>
      <c r="W13" s="19">
        <f>HLOOKUP(REG_TRA_DEMANDS!W$3,'BY-Demands'!$J$5:$AK$14,MATCH($E13,'BY-Demands'!$I$5:$I$14,0),FALSE)*HLOOKUP(REG_TRA_DEMANDS!$F13,DEMANDS!$G$2:$CK$25,MATCH($E13,DEMANDS!$E$2:$E$25,0),FALSE)/HLOOKUP(2018,DEMANDS!$G$2:$CK$25,MATCH($E13,DEMANDS!$E$2:$E$25,0),FALSE)</f>
        <v>0.57009992639093332</v>
      </c>
      <c r="X13" s="19">
        <f>HLOOKUP(REG_TRA_DEMANDS!X$3,'BY-Demands'!$J$5:$AK$14,MATCH($E13,'BY-Demands'!$I$5:$I$14,0),FALSE)*HLOOKUP(REG_TRA_DEMANDS!$F13,DEMANDS!$G$2:$CK$25,MATCH($E13,DEMANDS!$E$2:$E$25,0),FALSE)/HLOOKUP(2018,DEMANDS!$G$2:$CK$25,MATCH($E13,DEMANDS!$E$2:$E$25,0),FALSE)</f>
        <v>0.37856466245525167</v>
      </c>
      <c r="Y13" s="19">
        <f>HLOOKUP(REG_TRA_DEMANDS!Y$3,'BY-Demands'!$J$5:$AK$14,MATCH($E13,'BY-Demands'!$I$5:$I$14,0),FALSE)*HLOOKUP(REG_TRA_DEMANDS!$F13,DEMANDS!$G$2:$CK$25,MATCH($E13,DEMANDS!$E$2:$E$25,0),FALSE)/HLOOKUP(2018,DEMANDS!$G$2:$CK$25,MATCH($E13,DEMANDS!$E$2:$E$25,0),FALSE)</f>
        <v>0.84611741247201899</v>
      </c>
      <c r="Z13" s="19">
        <f>HLOOKUP(REG_TRA_DEMANDS!Z$3,'BY-Demands'!$J$5:$AK$14,MATCH($E13,'BY-Demands'!$I$5:$I$14,0),FALSE)*HLOOKUP(REG_TRA_DEMANDS!$F13,DEMANDS!$G$2:$CK$25,MATCH($E13,DEMANDS!$E$2:$E$25,0),FALSE)/HLOOKUP(2018,DEMANDS!$G$2:$CK$25,MATCH($E13,DEMANDS!$E$2:$E$25,0),FALSE)</f>
        <v>0.10859278956936166</v>
      </c>
      <c r="AA13" s="19">
        <f>HLOOKUP(REG_TRA_DEMANDS!AA$3,'BY-Demands'!$J$5:$AK$14,MATCH($E13,'BY-Demands'!$I$5:$I$14,0),FALSE)*HLOOKUP(REG_TRA_DEMANDS!$F13,DEMANDS!$G$2:$CK$25,MATCH($E13,DEMANDS!$E$2:$E$25,0),FALSE)/HLOOKUP(2018,DEMANDS!$G$2:$CK$25,MATCH($E13,DEMANDS!$E$2:$E$25,0),FALSE)</f>
        <v>0.45313701306660964</v>
      </c>
      <c r="AB13" s="19">
        <f>HLOOKUP(REG_TRA_DEMANDS!AB$3,'BY-Demands'!$J$5:$AK$14,MATCH($E13,'BY-Demands'!$I$5:$I$14,0),FALSE)*HLOOKUP(REG_TRA_DEMANDS!$F13,DEMANDS!$G$2:$CK$25,MATCH($E13,DEMANDS!$E$2:$E$25,0),FALSE)/HLOOKUP(2018,DEMANDS!$G$2:$CK$25,MATCH($E13,DEMANDS!$E$2:$E$25,0),FALSE)</f>
        <v>0.23704051504327475</v>
      </c>
      <c r="AC13" s="19">
        <f>HLOOKUP(REG_TRA_DEMANDS!AC$3,'BY-Demands'!$J$5:$AK$14,MATCH($E13,'BY-Demands'!$I$5:$I$14,0),FALSE)*HLOOKUP(REG_TRA_DEMANDS!$F13,DEMANDS!$G$2:$CK$25,MATCH($E13,DEMANDS!$E$2:$E$25,0),FALSE)/HLOOKUP(2018,DEMANDS!$G$2:$CK$25,MATCH($E13,DEMANDS!$E$2:$E$25,0),FALSE)</f>
        <v>0.20898645659904189</v>
      </c>
      <c r="AD13" s="19">
        <f>HLOOKUP(REG_TRA_DEMANDS!AD$3,'BY-Demands'!$J$5:$AK$14,MATCH($E13,'BY-Demands'!$I$5:$I$14,0),FALSE)*HLOOKUP(REG_TRA_DEMANDS!$F13,DEMANDS!$G$2:$CK$25,MATCH($E13,DEMANDS!$E$2:$E$25,0),FALSE)/HLOOKUP(2018,DEMANDS!$G$2:$CK$25,MATCH($E13,DEMANDS!$E$2:$E$25,0),FALSE)</f>
        <v>0.23310337035696418</v>
      </c>
      <c r="AE13" s="19">
        <f>HLOOKUP(REG_TRA_DEMANDS!AE$3,'BY-Demands'!$J$5:$AK$14,MATCH($E13,'BY-Demands'!$I$5:$I$14,0),FALSE)*HLOOKUP(REG_TRA_DEMANDS!$F13,DEMANDS!$G$2:$CK$25,MATCH($E13,DEMANDS!$E$2:$E$25,0),FALSE)/HLOOKUP(2018,DEMANDS!$G$2:$CK$25,MATCH($E13,DEMANDS!$E$2:$E$25,0),FALSE)</f>
        <v>0.45218032854289419</v>
      </c>
      <c r="AF13" s="19">
        <f>HLOOKUP(REG_TRA_DEMANDS!AF$3,'BY-Demands'!$J$5:$AK$14,MATCH($E13,'BY-Demands'!$I$5:$I$14,0),FALSE)*HLOOKUP(REG_TRA_DEMANDS!$F13,DEMANDS!$G$2:$CK$25,MATCH($E13,DEMANDS!$E$2:$E$25,0),FALSE)/HLOOKUP(2018,DEMANDS!$G$2:$CK$25,MATCH($E13,DEMANDS!$E$2:$E$25,0),FALSE)</f>
        <v>0.21687207138934117</v>
      </c>
    </row>
    <row r="14" spans="4:32" ht="14.5">
      <c r="D14" t="s">
        <v>6</v>
      </c>
      <c r="E14" t="str">
        <f>DEMANDS!$E$17</f>
        <v>TRAPS</v>
      </c>
      <c r="F14">
        <v>2030</v>
      </c>
      <c r="G14" s="19">
        <f>HLOOKUP(REG_TRA_DEMANDS!G$3,'BY-Demands'!$J$5:$AK$14,MATCH($E14,'BY-Demands'!$I$5:$I$14,0),FALSE)*HLOOKUP(REG_TRA_DEMANDS!$F14,DEMANDS!$G$2:$CK$25,MATCH($E14,DEMANDS!$E$2:$E$25,0),FALSE)/HLOOKUP(2018,DEMANDS!$G$2:$CK$25,MATCH($E14,DEMANDS!$E$2:$E$25,0),FALSE)</f>
        <v>0.20167554624263084</v>
      </c>
      <c r="H14" s="19">
        <f>HLOOKUP(REG_TRA_DEMANDS!H$3,'BY-Demands'!$J$5:$AK$14,MATCH($E14,'BY-Demands'!$I$5:$I$14,0),FALSE)*HLOOKUP(REG_TRA_DEMANDS!$F14,DEMANDS!$G$2:$CK$25,MATCH($E14,DEMANDS!$E$2:$E$25,0),FALSE)/HLOOKUP(2018,DEMANDS!$G$2:$CK$25,MATCH($E14,DEMANDS!$E$2:$E$25,0),FALSE)</f>
        <v>4.0319723492338904</v>
      </c>
      <c r="I14" s="19">
        <f>HLOOKUP(REG_TRA_DEMANDS!I$3,'BY-Demands'!$J$5:$AK$14,MATCH($E14,'BY-Demands'!$I$5:$I$14,0),FALSE)*HLOOKUP(REG_TRA_DEMANDS!$F14,DEMANDS!$G$2:$CK$25,MATCH($E14,DEMANDS!$E$2:$E$25,0),FALSE)/HLOOKUP(2018,DEMANDS!$G$2:$CK$25,MATCH($E14,DEMANDS!$E$2:$E$25,0),FALSE)</f>
        <v>0.74359684363398959</v>
      </c>
      <c r="J14" s="19">
        <f>HLOOKUP(REG_TRA_DEMANDS!J$3,'BY-Demands'!$J$5:$AK$14,MATCH($E14,'BY-Demands'!$I$5:$I$14,0),FALSE)*HLOOKUP(REG_TRA_DEMANDS!$F14,DEMANDS!$G$2:$CK$25,MATCH($E14,DEMANDS!$E$2:$E$25,0),FALSE)/HLOOKUP(2018,DEMANDS!$G$2:$CK$25,MATCH($E14,DEMANDS!$E$2:$E$25,0),FALSE)</f>
        <v>0.34498094147812897</v>
      </c>
      <c r="K14" s="19">
        <f>HLOOKUP(REG_TRA_DEMANDS!K$3,'BY-Demands'!$J$5:$AK$14,MATCH($E14,'BY-Demands'!$I$5:$I$14,0),FALSE)*HLOOKUP(REG_TRA_DEMANDS!$F14,DEMANDS!$G$2:$CK$25,MATCH($E14,DEMANDS!$E$2:$E$25,0),FALSE)/HLOOKUP(2018,DEMANDS!$G$2:$CK$25,MATCH($E14,DEMANDS!$E$2:$E$25,0),FALSE)</f>
        <v>0.27198283096055631</v>
      </c>
      <c r="L14" s="19">
        <f>HLOOKUP(REG_TRA_DEMANDS!L$3,'BY-Demands'!$J$5:$AK$14,MATCH($E14,'BY-Demands'!$I$5:$I$14,0),FALSE)*HLOOKUP(REG_TRA_DEMANDS!$F14,DEMANDS!$G$2:$CK$25,MATCH($E14,DEMANDS!$E$2:$E$25,0),FALSE)/HLOOKUP(2018,DEMANDS!$G$2:$CK$25,MATCH($E14,DEMANDS!$E$2:$E$25,0),FALSE)</f>
        <v>0.13666209677332669</v>
      </c>
      <c r="M14" s="19">
        <f>HLOOKUP(REG_TRA_DEMANDS!M$3,'BY-Demands'!$J$5:$AK$14,MATCH($E14,'BY-Demands'!$I$5:$I$14,0),FALSE)*HLOOKUP(REG_TRA_DEMANDS!$F14,DEMANDS!$G$2:$CK$25,MATCH($E14,DEMANDS!$E$2:$E$25,0),FALSE)/HLOOKUP(2018,DEMANDS!$G$2:$CK$25,MATCH($E14,DEMANDS!$E$2:$E$25,0),FALSE)</f>
        <v>0.39188025337427329</v>
      </c>
      <c r="N14" s="19">
        <f>HLOOKUP(REG_TRA_DEMANDS!N$3,'BY-Demands'!$J$5:$AK$14,MATCH($E14,'BY-Demands'!$I$5:$I$14,0),FALSE)*HLOOKUP(REG_TRA_DEMANDS!$F14,DEMANDS!$G$2:$CK$25,MATCH($E14,DEMANDS!$E$2:$E$25,0),FALSE)/HLOOKUP(2018,DEMANDS!$G$2:$CK$25,MATCH($E14,DEMANDS!$E$2:$E$25,0),FALSE)</f>
        <v>0.64504493250657935</v>
      </c>
      <c r="O14" s="19">
        <f>HLOOKUP(REG_TRA_DEMANDS!O$3,'BY-Demands'!$J$5:$AK$14,MATCH($E14,'BY-Demands'!$I$5:$I$14,0),FALSE)*HLOOKUP(REG_TRA_DEMANDS!$F14,DEMANDS!$G$2:$CK$25,MATCH($E14,DEMANDS!$E$2:$E$25,0),FALSE)/HLOOKUP(2018,DEMANDS!$G$2:$CK$25,MATCH($E14,DEMANDS!$E$2:$E$25,0),FALSE)</f>
        <v>0.26701819413011973</v>
      </c>
      <c r="P14" s="19">
        <f>HLOOKUP(REG_TRA_DEMANDS!P$3,'BY-Demands'!$J$5:$AK$14,MATCH($E14,'BY-Demands'!$I$5:$I$14,0),FALSE)*HLOOKUP(REG_TRA_DEMANDS!$F14,DEMANDS!$G$2:$CK$25,MATCH($E14,DEMANDS!$E$2:$E$25,0),FALSE)/HLOOKUP(2018,DEMANDS!$G$2:$CK$25,MATCH($E14,DEMANDS!$E$2:$E$25,0),FALSE)</f>
        <v>0.30266223595475528</v>
      </c>
      <c r="Q14" s="19">
        <f>HLOOKUP(REG_TRA_DEMANDS!Q$3,'BY-Demands'!$J$5:$AK$14,MATCH($E14,'BY-Demands'!$I$5:$I$14,0),FALSE)*HLOOKUP(REG_TRA_DEMANDS!$F14,DEMANDS!$G$2:$CK$25,MATCH($E14,DEMANDS!$E$2:$E$25,0),FALSE)/HLOOKUP(2018,DEMANDS!$G$2:$CK$25,MATCH($E14,DEMANDS!$E$2:$E$25,0),FALSE)</f>
        <v>0.52676478515320846</v>
      </c>
      <c r="R14" s="19">
        <f>HLOOKUP(REG_TRA_DEMANDS!R$3,'BY-Demands'!$J$5:$AK$14,MATCH($E14,'BY-Demands'!$I$5:$I$14,0),FALSE)*HLOOKUP(REG_TRA_DEMANDS!$F14,DEMANDS!$G$2:$CK$25,MATCH($E14,DEMANDS!$E$2:$E$25,0),FALSE)/HLOOKUP(2018,DEMANDS!$G$2:$CK$25,MATCH($E14,DEMANDS!$E$2:$E$25,0),FALSE)</f>
        <v>0.46595119431575527</v>
      </c>
      <c r="S14" s="19">
        <f>HLOOKUP(REG_TRA_DEMANDS!S$3,'BY-Demands'!$J$5:$AK$14,MATCH($E14,'BY-Demands'!$I$5:$I$14,0),FALSE)*HLOOKUP(REG_TRA_DEMANDS!$F14,DEMANDS!$G$2:$CK$25,MATCH($E14,DEMANDS!$E$2:$E$25,0),FALSE)/HLOOKUP(2018,DEMANDS!$G$2:$CK$25,MATCH($E14,DEMANDS!$E$2:$E$25,0),FALSE)</f>
        <v>0.41009398171549655</v>
      </c>
      <c r="T14" s="19">
        <f>HLOOKUP(REG_TRA_DEMANDS!T$3,'BY-Demands'!$J$5:$AK$14,MATCH($E14,'BY-Demands'!$I$5:$I$14,0),FALSE)*HLOOKUP(REG_TRA_DEMANDS!$F14,DEMANDS!$G$2:$CK$25,MATCH($E14,DEMANDS!$E$2:$E$25,0),FALSE)/HLOOKUP(2018,DEMANDS!$G$2:$CK$25,MATCH($E14,DEMANDS!$E$2:$E$25,0),FALSE)</f>
        <v>1.734232880246797</v>
      </c>
      <c r="U14" s="19">
        <f>HLOOKUP(REG_TRA_DEMANDS!U$3,'BY-Demands'!$J$5:$AK$14,MATCH($E14,'BY-Demands'!$I$5:$I$14,0),FALSE)*HLOOKUP(REG_TRA_DEMANDS!$F14,DEMANDS!$G$2:$CK$25,MATCH($E14,DEMANDS!$E$2:$E$25,0),FALSE)/HLOOKUP(2018,DEMANDS!$G$2:$CK$25,MATCH($E14,DEMANDS!$E$2:$E$25,0),FALSE)</f>
        <v>0.53098152421425659</v>
      </c>
      <c r="V14" s="19">
        <f>HLOOKUP(REG_TRA_DEMANDS!V$3,'BY-Demands'!$J$5:$AK$14,MATCH($E14,'BY-Demands'!$I$5:$I$14,0),FALSE)*HLOOKUP(REG_TRA_DEMANDS!$F14,DEMANDS!$G$2:$CK$25,MATCH($E14,DEMANDS!$E$2:$E$25,0),FALSE)/HLOOKUP(2018,DEMANDS!$G$2:$CK$25,MATCH($E14,DEMANDS!$E$2:$E$25,0),FALSE)</f>
        <v>0.63315245130358633</v>
      </c>
      <c r="W14" s="19">
        <f>HLOOKUP(REG_TRA_DEMANDS!W$3,'BY-Demands'!$J$5:$AK$14,MATCH($E14,'BY-Demands'!$I$5:$I$14,0),FALSE)*HLOOKUP(REG_TRA_DEMANDS!$F14,DEMANDS!$G$2:$CK$25,MATCH($E14,DEMANDS!$E$2:$E$25,0),FALSE)/HLOOKUP(2018,DEMANDS!$G$2:$CK$25,MATCH($E14,DEMANDS!$E$2:$E$25,0),FALSE)</f>
        <v>0.57722617547081978</v>
      </c>
      <c r="X14" s="19">
        <f>HLOOKUP(REG_TRA_DEMANDS!X$3,'BY-Demands'!$J$5:$AK$14,MATCH($E14,'BY-Demands'!$I$5:$I$14,0),FALSE)*HLOOKUP(REG_TRA_DEMANDS!$F14,DEMANDS!$G$2:$CK$25,MATCH($E14,DEMANDS!$E$2:$E$25,0),FALSE)/HLOOKUP(2018,DEMANDS!$G$2:$CK$25,MATCH($E14,DEMANDS!$E$2:$E$25,0),FALSE)</f>
        <v>0.38329672073594223</v>
      </c>
      <c r="Y14" s="19">
        <f>HLOOKUP(REG_TRA_DEMANDS!Y$3,'BY-Demands'!$J$5:$AK$14,MATCH($E14,'BY-Demands'!$I$5:$I$14,0),FALSE)*HLOOKUP(REG_TRA_DEMANDS!$F14,DEMANDS!$G$2:$CK$25,MATCH($E14,DEMANDS!$E$2:$E$25,0),FALSE)/HLOOKUP(2018,DEMANDS!$G$2:$CK$25,MATCH($E14,DEMANDS!$E$2:$E$25,0),FALSE)</f>
        <v>0.85669388012791903</v>
      </c>
      <c r="Z14" s="19">
        <f>HLOOKUP(REG_TRA_DEMANDS!Z$3,'BY-Demands'!$J$5:$AK$14,MATCH($E14,'BY-Demands'!$I$5:$I$14,0),FALSE)*HLOOKUP(REG_TRA_DEMANDS!$F14,DEMANDS!$G$2:$CK$25,MATCH($E14,DEMANDS!$E$2:$E$25,0),FALSE)/HLOOKUP(2018,DEMANDS!$G$2:$CK$25,MATCH($E14,DEMANDS!$E$2:$E$25,0),FALSE)</f>
        <v>0.10995019943897867</v>
      </c>
      <c r="AA14" s="19">
        <f>HLOOKUP(REG_TRA_DEMANDS!AA$3,'BY-Demands'!$J$5:$AK$14,MATCH($E14,'BY-Demands'!$I$5:$I$14,0),FALSE)*HLOOKUP(REG_TRA_DEMANDS!$F14,DEMANDS!$G$2:$CK$25,MATCH($E14,DEMANDS!$E$2:$E$25,0),FALSE)/HLOOKUP(2018,DEMANDS!$G$2:$CK$25,MATCH($E14,DEMANDS!$E$2:$E$25,0),FALSE)</f>
        <v>0.45880122572994225</v>
      </c>
      <c r="AB14" s="19">
        <f>HLOOKUP(REG_TRA_DEMANDS!AB$3,'BY-Demands'!$J$5:$AK$14,MATCH($E14,'BY-Demands'!$I$5:$I$14,0),FALSE)*HLOOKUP(REG_TRA_DEMANDS!$F14,DEMANDS!$G$2:$CK$25,MATCH($E14,DEMANDS!$E$2:$E$25,0),FALSE)/HLOOKUP(2018,DEMANDS!$G$2:$CK$25,MATCH($E14,DEMANDS!$E$2:$E$25,0),FALSE)</f>
        <v>0.24000352148131565</v>
      </c>
      <c r="AC14" s="19">
        <f>HLOOKUP(REG_TRA_DEMANDS!AC$3,'BY-Demands'!$J$5:$AK$14,MATCH($E14,'BY-Demands'!$I$5:$I$14,0),FALSE)*HLOOKUP(REG_TRA_DEMANDS!$F14,DEMANDS!$G$2:$CK$25,MATCH($E14,DEMANDS!$E$2:$E$25,0),FALSE)/HLOOKUP(2018,DEMANDS!$G$2:$CK$25,MATCH($E14,DEMANDS!$E$2:$E$25,0),FALSE)</f>
        <v>0.21159878730652992</v>
      </c>
      <c r="AD14" s="19">
        <f>HLOOKUP(REG_TRA_DEMANDS!AD$3,'BY-Demands'!$J$5:$AK$14,MATCH($E14,'BY-Demands'!$I$5:$I$14,0),FALSE)*HLOOKUP(REG_TRA_DEMANDS!$F14,DEMANDS!$G$2:$CK$25,MATCH($E14,DEMANDS!$E$2:$E$25,0),FALSE)/HLOOKUP(2018,DEMANDS!$G$2:$CK$25,MATCH($E14,DEMANDS!$E$2:$E$25,0),FALSE)</f>
        <v>0.23601716248642621</v>
      </c>
      <c r="AE14" s="19">
        <f>HLOOKUP(REG_TRA_DEMANDS!AE$3,'BY-Demands'!$J$5:$AK$14,MATCH($E14,'BY-Demands'!$I$5:$I$14,0),FALSE)*HLOOKUP(REG_TRA_DEMANDS!$F14,DEMANDS!$G$2:$CK$25,MATCH($E14,DEMANDS!$E$2:$E$25,0),FALSE)/HLOOKUP(2018,DEMANDS!$G$2:$CK$25,MATCH($E14,DEMANDS!$E$2:$E$25,0),FALSE)</f>
        <v>0.4578325826496803</v>
      </c>
      <c r="AF14" s="19">
        <f>HLOOKUP(REG_TRA_DEMANDS!AF$3,'BY-Demands'!$J$5:$AK$14,MATCH($E14,'BY-Demands'!$I$5:$I$14,0),FALSE)*HLOOKUP(REG_TRA_DEMANDS!$F14,DEMANDS!$G$2:$CK$25,MATCH($E14,DEMANDS!$E$2:$E$25,0),FALSE)/HLOOKUP(2018,DEMANDS!$G$2:$CK$25,MATCH($E14,DEMANDS!$E$2:$E$25,0),FALSE)</f>
        <v>0.21958297228170792</v>
      </c>
    </row>
    <row r="15" spans="4:32" ht="14.5">
      <c r="D15" t="s">
        <v>6</v>
      </c>
      <c r="E15" t="str">
        <f>DEMANDS!$E$17</f>
        <v>TRAPS</v>
      </c>
      <c r="F15">
        <v>2031</v>
      </c>
      <c r="G15" s="19">
        <f>HLOOKUP(REG_TRA_DEMANDS!G$3,'BY-Demands'!$J$5:$AK$14,MATCH($E15,'BY-Demands'!$I$5:$I$14,0),FALSE)*HLOOKUP(REG_TRA_DEMANDS!$F15,DEMANDS!$G$2:$CK$25,MATCH($E15,DEMANDS!$E$2:$E$25,0),FALSE)/HLOOKUP(2018,DEMANDS!$G$2:$CK$25,MATCH($E15,DEMANDS!$E$2:$E$25,0),FALSE)</f>
        <v>0.20419649057066375</v>
      </c>
      <c r="H15" s="19">
        <f>HLOOKUP(REG_TRA_DEMANDS!H$3,'BY-Demands'!$J$5:$AK$14,MATCH($E15,'BY-Demands'!$I$5:$I$14,0),FALSE)*HLOOKUP(REG_TRA_DEMANDS!$F15,DEMANDS!$G$2:$CK$25,MATCH($E15,DEMANDS!$E$2:$E$25,0),FALSE)/HLOOKUP(2018,DEMANDS!$G$2:$CK$25,MATCH($E15,DEMANDS!$E$2:$E$25,0),FALSE)</f>
        <v>4.0823720035993132</v>
      </c>
      <c r="I15" s="19">
        <f>HLOOKUP(REG_TRA_DEMANDS!I$3,'BY-Demands'!$J$5:$AK$14,MATCH($E15,'BY-Demands'!$I$5:$I$14,0),FALSE)*HLOOKUP(REG_TRA_DEMANDS!$F15,DEMANDS!$G$2:$CK$25,MATCH($E15,DEMANDS!$E$2:$E$25,0),FALSE)/HLOOKUP(2018,DEMANDS!$G$2:$CK$25,MATCH($E15,DEMANDS!$E$2:$E$25,0),FALSE)</f>
        <v>0.75289180417941448</v>
      </c>
      <c r="J15" s="19">
        <f>HLOOKUP(REG_TRA_DEMANDS!J$3,'BY-Demands'!$J$5:$AK$14,MATCH($E15,'BY-Demands'!$I$5:$I$14,0),FALSE)*HLOOKUP(REG_TRA_DEMANDS!$F15,DEMANDS!$G$2:$CK$25,MATCH($E15,DEMANDS!$E$2:$E$25,0),FALSE)/HLOOKUP(2018,DEMANDS!$G$2:$CK$25,MATCH($E15,DEMANDS!$E$2:$E$25,0),FALSE)</f>
        <v>0.34929320324660557</v>
      </c>
      <c r="K15" s="19">
        <f>HLOOKUP(REG_TRA_DEMANDS!K$3,'BY-Demands'!$J$5:$AK$14,MATCH($E15,'BY-Demands'!$I$5:$I$14,0),FALSE)*HLOOKUP(REG_TRA_DEMANDS!$F15,DEMANDS!$G$2:$CK$25,MATCH($E15,DEMANDS!$E$2:$E$25,0),FALSE)/HLOOKUP(2018,DEMANDS!$G$2:$CK$25,MATCH($E15,DEMANDS!$E$2:$E$25,0),FALSE)</f>
        <v>0.27538261634756328</v>
      </c>
      <c r="L15" s="19">
        <f>HLOOKUP(REG_TRA_DEMANDS!L$3,'BY-Demands'!$J$5:$AK$14,MATCH($E15,'BY-Demands'!$I$5:$I$14,0),FALSE)*HLOOKUP(REG_TRA_DEMANDS!$F15,DEMANDS!$G$2:$CK$25,MATCH($E15,DEMANDS!$E$2:$E$25,0),FALSE)/HLOOKUP(2018,DEMANDS!$G$2:$CK$25,MATCH($E15,DEMANDS!$E$2:$E$25,0),FALSE)</f>
        <v>0.13837037298299326</v>
      </c>
      <c r="M15" s="19">
        <f>HLOOKUP(REG_TRA_DEMANDS!M$3,'BY-Demands'!$J$5:$AK$14,MATCH($E15,'BY-Demands'!$I$5:$I$14,0),FALSE)*HLOOKUP(REG_TRA_DEMANDS!$F15,DEMANDS!$G$2:$CK$25,MATCH($E15,DEMANDS!$E$2:$E$25,0),FALSE)/HLOOKUP(2018,DEMANDS!$G$2:$CK$25,MATCH($E15,DEMANDS!$E$2:$E$25,0),FALSE)</f>
        <v>0.39677875654145173</v>
      </c>
      <c r="N15" s="19">
        <f>HLOOKUP(REG_TRA_DEMANDS!N$3,'BY-Demands'!$J$5:$AK$14,MATCH($E15,'BY-Demands'!$I$5:$I$14,0),FALSE)*HLOOKUP(REG_TRA_DEMANDS!$F15,DEMANDS!$G$2:$CK$25,MATCH($E15,DEMANDS!$E$2:$E$25,0),FALSE)/HLOOKUP(2018,DEMANDS!$G$2:$CK$25,MATCH($E15,DEMANDS!$E$2:$E$25,0),FALSE)</f>
        <v>0.65310799416291154</v>
      </c>
      <c r="O15" s="19">
        <f>HLOOKUP(REG_TRA_DEMANDS!O$3,'BY-Demands'!$J$5:$AK$14,MATCH($E15,'BY-Demands'!$I$5:$I$14,0),FALSE)*HLOOKUP(REG_TRA_DEMANDS!$F15,DEMANDS!$G$2:$CK$25,MATCH($E15,DEMANDS!$E$2:$E$25,0),FALSE)/HLOOKUP(2018,DEMANDS!$G$2:$CK$25,MATCH($E15,DEMANDS!$E$2:$E$25,0),FALSE)</f>
        <v>0.2703559215567462</v>
      </c>
      <c r="P15" s="19">
        <f>HLOOKUP(REG_TRA_DEMANDS!P$3,'BY-Demands'!$J$5:$AK$14,MATCH($E15,'BY-Demands'!$I$5:$I$14,0),FALSE)*HLOOKUP(REG_TRA_DEMANDS!$F15,DEMANDS!$G$2:$CK$25,MATCH($E15,DEMANDS!$E$2:$E$25,0),FALSE)/HLOOKUP(2018,DEMANDS!$G$2:$CK$25,MATCH($E15,DEMANDS!$E$2:$E$25,0),FALSE)</f>
        <v>0.30644551390418967</v>
      </c>
      <c r="Q15" s="19">
        <f>HLOOKUP(REG_TRA_DEMANDS!Q$3,'BY-Demands'!$J$5:$AK$14,MATCH($E15,'BY-Demands'!$I$5:$I$14,0),FALSE)*HLOOKUP(REG_TRA_DEMANDS!$F15,DEMANDS!$G$2:$CK$25,MATCH($E15,DEMANDS!$E$2:$E$25,0),FALSE)/HLOOKUP(2018,DEMANDS!$G$2:$CK$25,MATCH($E15,DEMANDS!$E$2:$E$25,0),FALSE)</f>
        <v>0.53334934496762365</v>
      </c>
      <c r="R15" s="19">
        <f>HLOOKUP(REG_TRA_DEMANDS!R$3,'BY-Demands'!$J$5:$AK$14,MATCH($E15,'BY-Demands'!$I$5:$I$14,0),FALSE)*HLOOKUP(REG_TRA_DEMANDS!$F15,DEMANDS!$G$2:$CK$25,MATCH($E15,DEMANDS!$E$2:$E$25,0),FALSE)/HLOOKUP(2018,DEMANDS!$G$2:$CK$25,MATCH($E15,DEMANDS!$E$2:$E$25,0),FALSE)</f>
        <v>0.47177558424470217</v>
      </c>
      <c r="S15" s="19">
        <f>HLOOKUP(REG_TRA_DEMANDS!S$3,'BY-Demands'!$J$5:$AK$14,MATCH($E15,'BY-Demands'!$I$5:$I$14,0),FALSE)*HLOOKUP(REG_TRA_DEMANDS!$F15,DEMANDS!$G$2:$CK$25,MATCH($E15,DEMANDS!$E$2:$E$25,0),FALSE)/HLOOKUP(2018,DEMANDS!$G$2:$CK$25,MATCH($E15,DEMANDS!$E$2:$E$25,0),FALSE)</f>
        <v>0.41522015648694016</v>
      </c>
      <c r="T15" s="19">
        <f>HLOOKUP(REG_TRA_DEMANDS!T$3,'BY-Demands'!$J$5:$AK$14,MATCH($E15,'BY-Demands'!$I$5:$I$14,0),FALSE)*HLOOKUP(REG_TRA_DEMANDS!$F15,DEMANDS!$G$2:$CK$25,MATCH($E15,DEMANDS!$E$2:$E$25,0),FALSE)/HLOOKUP(2018,DEMANDS!$G$2:$CK$25,MATCH($E15,DEMANDS!$E$2:$E$25,0),FALSE)</f>
        <v>1.7559107912498819</v>
      </c>
      <c r="U15" s="19">
        <f>HLOOKUP(REG_TRA_DEMANDS!U$3,'BY-Demands'!$J$5:$AK$14,MATCH($E15,'BY-Demands'!$I$5:$I$14,0),FALSE)*HLOOKUP(REG_TRA_DEMANDS!$F15,DEMANDS!$G$2:$CK$25,MATCH($E15,DEMANDS!$E$2:$E$25,0),FALSE)/HLOOKUP(2018,DEMANDS!$G$2:$CK$25,MATCH($E15,DEMANDS!$E$2:$E$25,0),FALSE)</f>
        <v>0.53761879326693485</v>
      </c>
      <c r="V15" s="19">
        <f>HLOOKUP(REG_TRA_DEMANDS!V$3,'BY-Demands'!$J$5:$AK$14,MATCH($E15,'BY-Demands'!$I$5:$I$14,0),FALSE)*HLOOKUP(REG_TRA_DEMANDS!$F15,DEMANDS!$G$2:$CK$25,MATCH($E15,DEMANDS!$E$2:$E$25,0),FALSE)/HLOOKUP(2018,DEMANDS!$G$2:$CK$25,MATCH($E15,DEMANDS!$E$2:$E$25,0),FALSE)</f>
        <v>0.64106685694488097</v>
      </c>
      <c r="W15" s="19">
        <f>HLOOKUP(REG_TRA_DEMANDS!W$3,'BY-Demands'!$J$5:$AK$14,MATCH($E15,'BY-Demands'!$I$5:$I$14,0),FALSE)*HLOOKUP(REG_TRA_DEMANDS!$F15,DEMANDS!$G$2:$CK$25,MATCH($E15,DEMANDS!$E$2:$E$25,0),FALSE)/HLOOKUP(2018,DEMANDS!$G$2:$CK$25,MATCH($E15,DEMANDS!$E$2:$E$25,0),FALSE)</f>
        <v>0.58444150266420503</v>
      </c>
      <c r="X15" s="19">
        <f>HLOOKUP(REG_TRA_DEMANDS!X$3,'BY-Demands'!$J$5:$AK$14,MATCH($E15,'BY-Demands'!$I$5:$I$14,0),FALSE)*HLOOKUP(REG_TRA_DEMANDS!$F15,DEMANDS!$G$2:$CK$25,MATCH($E15,DEMANDS!$E$2:$E$25,0),FALSE)/HLOOKUP(2018,DEMANDS!$G$2:$CK$25,MATCH($E15,DEMANDS!$E$2:$E$25,0),FALSE)</f>
        <v>0.38808792974514156</v>
      </c>
      <c r="Y15" s="19">
        <f>HLOOKUP(REG_TRA_DEMANDS!Y$3,'BY-Demands'!$J$5:$AK$14,MATCH($E15,'BY-Demands'!$I$5:$I$14,0),FALSE)*HLOOKUP(REG_TRA_DEMANDS!$F15,DEMANDS!$G$2:$CK$25,MATCH($E15,DEMANDS!$E$2:$E$25,0),FALSE)/HLOOKUP(2018,DEMANDS!$G$2:$CK$25,MATCH($E15,DEMANDS!$E$2:$E$25,0),FALSE)</f>
        <v>0.86740255362951801</v>
      </c>
      <c r="Z15" s="19">
        <f>HLOOKUP(REG_TRA_DEMANDS!Z$3,'BY-Demands'!$J$5:$AK$14,MATCH($E15,'BY-Demands'!$I$5:$I$14,0),FALSE)*HLOOKUP(REG_TRA_DEMANDS!$F15,DEMANDS!$G$2:$CK$25,MATCH($E15,DEMANDS!$E$2:$E$25,0),FALSE)/HLOOKUP(2018,DEMANDS!$G$2:$CK$25,MATCH($E15,DEMANDS!$E$2:$E$25,0),FALSE)</f>
        <v>0.11132457693196589</v>
      </c>
      <c r="AA15" s="19">
        <f>HLOOKUP(REG_TRA_DEMANDS!AA$3,'BY-Demands'!$J$5:$AK$14,MATCH($E15,'BY-Demands'!$I$5:$I$14,0),FALSE)*HLOOKUP(REG_TRA_DEMANDS!$F15,DEMANDS!$G$2:$CK$25,MATCH($E15,DEMANDS!$E$2:$E$25,0),FALSE)/HLOOKUP(2018,DEMANDS!$G$2:$CK$25,MATCH($E15,DEMANDS!$E$2:$E$25,0),FALSE)</f>
        <v>0.46453624105156649</v>
      </c>
      <c r="AB15" s="19">
        <f>HLOOKUP(REG_TRA_DEMANDS!AB$3,'BY-Demands'!$J$5:$AK$14,MATCH($E15,'BY-Demands'!$I$5:$I$14,0),FALSE)*HLOOKUP(REG_TRA_DEMANDS!$F15,DEMANDS!$G$2:$CK$25,MATCH($E15,DEMANDS!$E$2:$E$25,0),FALSE)/HLOOKUP(2018,DEMANDS!$G$2:$CK$25,MATCH($E15,DEMANDS!$E$2:$E$25,0),FALSE)</f>
        <v>0.24300356549983207</v>
      </c>
      <c r="AC15" s="19">
        <f>HLOOKUP(REG_TRA_DEMANDS!AC$3,'BY-Demands'!$J$5:$AK$14,MATCH($E15,'BY-Demands'!$I$5:$I$14,0),FALSE)*HLOOKUP(REG_TRA_DEMANDS!$F15,DEMANDS!$G$2:$CK$25,MATCH($E15,DEMANDS!$E$2:$E$25,0),FALSE)/HLOOKUP(2018,DEMANDS!$G$2:$CK$25,MATCH($E15,DEMANDS!$E$2:$E$25,0),FALSE)</f>
        <v>0.2142437721478615</v>
      </c>
      <c r="AD15" s="19">
        <f>HLOOKUP(REG_TRA_DEMANDS!AD$3,'BY-Demands'!$J$5:$AK$14,MATCH($E15,'BY-Demands'!$I$5:$I$14,0),FALSE)*HLOOKUP(REG_TRA_DEMANDS!$F15,DEMANDS!$G$2:$CK$25,MATCH($E15,DEMANDS!$E$2:$E$25,0),FALSE)/HLOOKUP(2018,DEMANDS!$G$2:$CK$25,MATCH($E15,DEMANDS!$E$2:$E$25,0),FALSE)</f>
        <v>0.23896737701750653</v>
      </c>
      <c r="AE15" s="19">
        <f>HLOOKUP(REG_TRA_DEMANDS!AE$3,'BY-Demands'!$J$5:$AK$14,MATCH($E15,'BY-Demands'!$I$5:$I$14,0),FALSE)*HLOOKUP(REG_TRA_DEMANDS!$F15,DEMANDS!$G$2:$CK$25,MATCH($E15,DEMANDS!$E$2:$E$25,0),FALSE)/HLOOKUP(2018,DEMANDS!$G$2:$CK$25,MATCH($E15,DEMANDS!$E$2:$E$25,0),FALSE)</f>
        <v>0.46355548993280132</v>
      </c>
      <c r="AF15" s="19">
        <f>HLOOKUP(REG_TRA_DEMANDS!AF$3,'BY-Demands'!$J$5:$AK$14,MATCH($E15,'BY-Demands'!$I$5:$I$14,0),FALSE)*HLOOKUP(REG_TRA_DEMANDS!$F15,DEMANDS!$G$2:$CK$25,MATCH($E15,DEMANDS!$E$2:$E$25,0),FALSE)/HLOOKUP(2018,DEMANDS!$G$2:$CK$25,MATCH($E15,DEMANDS!$E$2:$E$25,0),FALSE)</f>
        <v>0.22232775943522923</v>
      </c>
    </row>
    <row r="16" spans="4:32" ht="14.5">
      <c r="D16" t="s">
        <v>6</v>
      </c>
      <c r="E16" t="str">
        <f>DEMANDS!$E$17</f>
        <v>TRAPS</v>
      </c>
      <c r="F16">
        <v>2032</v>
      </c>
      <c r="G16" s="19">
        <f>HLOOKUP(REG_TRA_DEMANDS!G$3,'BY-Demands'!$J$5:$AK$14,MATCH($E16,'BY-Demands'!$I$5:$I$14,0),FALSE)*HLOOKUP(REG_TRA_DEMANDS!$F16,DEMANDS!$G$2:$CK$25,MATCH($E16,DEMANDS!$E$2:$E$25,0),FALSE)/HLOOKUP(2018,DEMANDS!$G$2:$CK$25,MATCH($E16,DEMANDS!$E$2:$E$25,0),FALSE)</f>
        <v>0.20674894670279703</v>
      </c>
      <c r="H16" s="19">
        <f>HLOOKUP(REG_TRA_DEMANDS!H$3,'BY-Demands'!$J$5:$AK$14,MATCH($E16,'BY-Demands'!$I$5:$I$14,0),FALSE)*HLOOKUP(REG_TRA_DEMANDS!$F16,DEMANDS!$G$2:$CK$25,MATCH($E16,DEMANDS!$E$2:$E$25,0),FALSE)/HLOOKUP(2018,DEMANDS!$G$2:$CK$25,MATCH($E16,DEMANDS!$E$2:$E$25,0),FALSE)</f>
        <v>4.1334016536443041</v>
      </c>
      <c r="I16" s="19">
        <f>HLOOKUP(REG_TRA_DEMANDS!I$3,'BY-Demands'!$J$5:$AK$14,MATCH($E16,'BY-Demands'!$I$5:$I$14,0),FALSE)*HLOOKUP(REG_TRA_DEMANDS!$F16,DEMANDS!$G$2:$CK$25,MATCH($E16,DEMANDS!$E$2:$E$25,0),FALSE)/HLOOKUP(2018,DEMANDS!$G$2:$CK$25,MATCH($E16,DEMANDS!$E$2:$E$25,0),FALSE)</f>
        <v>0.76230295173165719</v>
      </c>
      <c r="J16" s="19">
        <f>HLOOKUP(REG_TRA_DEMANDS!J$3,'BY-Demands'!$J$5:$AK$14,MATCH($E16,'BY-Demands'!$I$5:$I$14,0),FALSE)*HLOOKUP(REG_TRA_DEMANDS!$F16,DEMANDS!$G$2:$CK$25,MATCH($E16,DEMANDS!$E$2:$E$25,0),FALSE)/HLOOKUP(2018,DEMANDS!$G$2:$CK$25,MATCH($E16,DEMANDS!$E$2:$E$25,0),FALSE)</f>
        <v>0.35365936828718814</v>
      </c>
      <c r="K16" s="19">
        <f>HLOOKUP(REG_TRA_DEMANDS!K$3,'BY-Demands'!$J$5:$AK$14,MATCH($E16,'BY-Demands'!$I$5:$I$14,0),FALSE)*HLOOKUP(REG_TRA_DEMANDS!$F16,DEMANDS!$G$2:$CK$25,MATCH($E16,DEMANDS!$E$2:$E$25,0),FALSE)/HLOOKUP(2018,DEMANDS!$G$2:$CK$25,MATCH($E16,DEMANDS!$E$2:$E$25,0),FALSE)</f>
        <v>0.27882489905190783</v>
      </c>
      <c r="L16" s="19">
        <f>HLOOKUP(REG_TRA_DEMANDS!L$3,'BY-Demands'!$J$5:$AK$14,MATCH($E16,'BY-Demands'!$I$5:$I$14,0),FALSE)*HLOOKUP(REG_TRA_DEMANDS!$F16,DEMANDS!$G$2:$CK$25,MATCH($E16,DEMANDS!$E$2:$E$25,0),FALSE)/HLOOKUP(2018,DEMANDS!$G$2:$CK$25,MATCH($E16,DEMANDS!$E$2:$E$25,0),FALSE)</f>
        <v>0.14010000264528069</v>
      </c>
      <c r="M16" s="19">
        <f>HLOOKUP(REG_TRA_DEMANDS!M$3,'BY-Demands'!$J$5:$AK$14,MATCH($E16,'BY-Demands'!$I$5:$I$14,0),FALSE)*HLOOKUP(REG_TRA_DEMANDS!$F16,DEMANDS!$G$2:$CK$25,MATCH($E16,DEMANDS!$E$2:$E$25,0),FALSE)/HLOOKUP(2018,DEMANDS!$G$2:$CK$25,MATCH($E16,DEMANDS!$E$2:$E$25,0),FALSE)</f>
        <v>0.40173849099821984</v>
      </c>
      <c r="N16" s="19">
        <f>HLOOKUP(REG_TRA_DEMANDS!N$3,'BY-Demands'!$J$5:$AK$14,MATCH($E16,'BY-Demands'!$I$5:$I$14,0),FALSE)*HLOOKUP(REG_TRA_DEMANDS!$F16,DEMANDS!$G$2:$CK$25,MATCH($E16,DEMANDS!$E$2:$E$25,0),FALSE)/HLOOKUP(2018,DEMANDS!$G$2:$CK$25,MATCH($E16,DEMANDS!$E$2:$E$25,0),FALSE)</f>
        <v>0.66127184408994788</v>
      </c>
      <c r="O16" s="19">
        <f>HLOOKUP(REG_TRA_DEMANDS!O$3,'BY-Demands'!$J$5:$AK$14,MATCH($E16,'BY-Demands'!$I$5:$I$14,0),FALSE)*HLOOKUP(REG_TRA_DEMANDS!$F16,DEMANDS!$G$2:$CK$25,MATCH($E16,DEMANDS!$E$2:$E$25,0),FALSE)/HLOOKUP(2018,DEMANDS!$G$2:$CK$25,MATCH($E16,DEMANDS!$E$2:$E$25,0),FALSE)</f>
        <v>0.27373537057620556</v>
      </c>
      <c r="P16" s="19">
        <f>HLOOKUP(REG_TRA_DEMANDS!P$3,'BY-Demands'!$J$5:$AK$14,MATCH($E16,'BY-Demands'!$I$5:$I$14,0),FALSE)*HLOOKUP(REG_TRA_DEMANDS!$F16,DEMANDS!$G$2:$CK$25,MATCH($E16,DEMANDS!$E$2:$E$25,0),FALSE)/HLOOKUP(2018,DEMANDS!$G$2:$CK$25,MATCH($E16,DEMANDS!$E$2:$E$25,0),FALSE)</f>
        <v>0.31027608282799207</v>
      </c>
      <c r="Q16" s="19">
        <f>HLOOKUP(REG_TRA_DEMANDS!Q$3,'BY-Demands'!$J$5:$AK$14,MATCH($E16,'BY-Demands'!$I$5:$I$14,0),FALSE)*HLOOKUP(REG_TRA_DEMANDS!$F16,DEMANDS!$G$2:$CK$25,MATCH($E16,DEMANDS!$E$2:$E$25,0),FALSE)/HLOOKUP(2018,DEMANDS!$G$2:$CK$25,MATCH($E16,DEMANDS!$E$2:$E$25,0),FALSE)</f>
        <v>0.54001621177971892</v>
      </c>
      <c r="R16" s="19">
        <f>HLOOKUP(REG_TRA_DEMANDS!R$3,'BY-Demands'!$J$5:$AK$14,MATCH($E16,'BY-Demands'!$I$5:$I$14,0),FALSE)*HLOOKUP(REG_TRA_DEMANDS!$F16,DEMANDS!$G$2:$CK$25,MATCH($E16,DEMANDS!$E$2:$E$25,0),FALSE)/HLOOKUP(2018,DEMANDS!$G$2:$CK$25,MATCH($E16,DEMANDS!$E$2:$E$25,0),FALSE)</f>
        <v>0.47767277904776095</v>
      </c>
      <c r="S16" s="19">
        <f>HLOOKUP(REG_TRA_DEMANDS!S$3,'BY-Demands'!$J$5:$AK$14,MATCH($E16,'BY-Demands'!$I$5:$I$14,0),FALSE)*HLOOKUP(REG_TRA_DEMANDS!$F16,DEMANDS!$G$2:$CK$25,MATCH($E16,DEMANDS!$E$2:$E$25,0),FALSE)/HLOOKUP(2018,DEMANDS!$G$2:$CK$25,MATCH($E16,DEMANDS!$E$2:$E$25,0),FALSE)</f>
        <v>0.42041040844302696</v>
      </c>
      <c r="T16" s="19">
        <f>HLOOKUP(REG_TRA_DEMANDS!T$3,'BY-Demands'!$J$5:$AK$14,MATCH($E16,'BY-Demands'!$I$5:$I$14,0),FALSE)*HLOOKUP(REG_TRA_DEMANDS!$F16,DEMANDS!$G$2:$CK$25,MATCH($E16,DEMANDS!$E$2:$E$25,0),FALSE)/HLOOKUP(2018,DEMANDS!$G$2:$CK$25,MATCH($E16,DEMANDS!$E$2:$E$25,0),FALSE)</f>
        <v>1.7778596761405054</v>
      </c>
      <c r="U16" s="19">
        <f>HLOOKUP(REG_TRA_DEMANDS!U$3,'BY-Demands'!$J$5:$AK$14,MATCH($E16,'BY-Demands'!$I$5:$I$14,0),FALSE)*HLOOKUP(REG_TRA_DEMANDS!$F16,DEMANDS!$G$2:$CK$25,MATCH($E16,DEMANDS!$E$2:$E$25,0),FALSE)/HLOOKUP(2018,DEMANDS!$G$2:$CK$25,MATCH($E16,DEMANDS!$E$2:$E$25,0),FALSE)</f>
        <v>0.54433902818277147</v>
      </c>
      <c r="V16" s="19">
        <f>HLOOKUP(REG_TRA_DEMANDS!V$3,'BY-Demands'!$J$5:$AK$14,MATCH($E16,'BY-Demands'!$I$5:$I$14,0),FALSE)*HLOOKUP(REG_TRA_DEMANDS!$F16,DEMANDS!$G$2:$CK$25,MATCH($E16,DEMANDS!$E$2:$E$25,0),FALSE)/HLOOKUP(2018,DEMANDS!$G$2:$CK$25,MATCH($E16,DEMANDS!$E$2:$E$25,0),FALSE)</f>
        <v>0.64908019265669203</v>
      </c>
      <c r="W16" s="19">
        <f>HLOOKUP(REG_TRA_DEMANDS!W$3,'BY-Demands'!$J$5:$AK$14,MATCH($E16,'BY-Demands'!$I$5:$I$14,0),FALSE)*HLOOKUP(REG_TRA_DEMANDS!$F16,DEMANDS!$G$2:$CK$25,MATCH($E16,DEMANDS!$E$2:$E$25,0),FALSE)/HLOOKUP(2018,DEMANDS!$G$2:$CK$25,MATCH($E16,DEMANDS!$E$2:$E$25,0),FALSE)</f>
        <v>0.59174702144750757</v>
      </c>
      <c r="X16" s="19">
        <f>HLOOKUP(REG_TRA_DEMANDS!X$3,'BY-Demands'!$J$5:$AK$14,MATCH($E16,'BY-Demands'!$I$5:$I$14,0),FALSE)*HLOOKUP(REG_TRA_DEMANDS!$F16,DEMANDS!$G$2:$CK$25,MATCH($E16,DEMANDS!$E$2:$E$25,0),FALSE)/HLOOKUP(2018,DEMANDS!$G$2:$CK$25,MATCH($E16,DEMANDS!$E$2:$E$25,0),FALSE)</f>
        <v>0.39293902886695581</v>
      </c>
      <c r="Y16" s="19">
        <f>HLOOKUP(REG_TRA_DEMANDS!Y$3,'BY-Demands'!$J$5:$AK$14,MATCH($E16,'BY-Demands'!$I$5:$I$14,0),FALSE)*HLOOKUP(REG_TRA_DEMANDS!$F16,DEMANDS!$G$2:$CK$25,MATCH($E16,DEMANDS!$E$2:$E$25,0),FALSE)/HLOOKUP(2018,DEMANDS!$G$2:$CK$25,MATCH($E16,DEMANDS!$E$2:$E$25,0),FALSE)</f>
        <v>0.87824508554988689</v>
      </c>
      <c r="Z16" s="19">
        <f>HLOOKUP(REG_TRA_DEMANDS!Z$3,'BY-Demands'!$J$5:$AK$14,MATCH($E16,'BY-Demands'!$I$5:$I$14,0),FALSE)*HLOOKUP(REG_TRA_DEMANDS!$F16,DEMANDS!$G$2:$CK$25,MATCH($E16,DEMANDS!$E$2:$E$25,0),FALSE)/HLOOKUP(2018,DEMANDS!$G$2:$CK$25,MATCH($E16,DEMANDS!$E$2:$E$25,0),FALSE)</f>
        <v>0.11271613414361546</v>
      </c>
      <c r="AA16" s="19">
        <f>HLOOKUP(REG_TRA_DEMANDS!AA$3,'BY-Demands'!$J$5:$AK$14,MATCH($E16,'BY-Demands'!$I$5:$I$14,0),FALSE)*HLOOKUP(REG_TRA_DEMANDS!$F16,DEMANDS!$G$2:$CK$25,MATCH($E16,DEMANDS!$E$2:$E$25,0),FALSE)/HLOOKUP(2018,DEMANDS!$G$2:$CK$25,MATCH($E16,DEMANDS!$E$2:$E$25,0),FALSE)</f>
        <v>0.47034294406471105</v>
      </c>
      <c r="AB16" s="19">
        <f>HLOOKUP(REG_TRA_DEMANDS!AB$3,'BY-Demands'!$J$5:$AK$14,MATCH($E16,'BY-Demands'!$I$5:$I$14,0),FALSE)*HLOOKUP(REG_TRA_DEMANDS!$F16,DEMANDS!$G$2:$CK$25,MATCH($E16,DEMANDS!$E$2:$E$25,0),FALSE)/HLOOKUP(2018,DEMANDS!$G$2:$CK$25,MATCH($E16,DEMANDS!$E$2:$E$25,0),FALSE)</f>
        <v>0.24604111006857998</v>
      </c>
      <c r="AC16" s="19">
        <f>HLOOKUP(REG_TRA_DEMANDS!AC$3,'BY-Demands'!$J$5:$AK$14,MATCH($E16,'BY-Demands'!$I$5:$I$14,0),FALSE)*HLOOKUP(REG_TRA_DEMANDS!$F16,DEMANDS!$G$2:$CK$25,MATCH($E16,DEMANDS!$E$2:$E$25,0),FALSE)/HLOOKUP(2018,DEMANDS!$G$2:$CK$25,MATCH($E16,DEMANDS!$E$2:$E$25,0),FALSE)</f>
        <v>0.2169218192997098</v>
      </c>
      <c r="AD16" s="19">
        <f>HLOOKUP(REG_TRA_DEMANDS!AD$3,'BY-Demands'!$J$5:$AK$14,MATCH($E16,'BY-Demands'!$I$5:$I$14,0),FALSE)*HLOOKUP(REG_TRA_DEMANDS!$F16,DEMANDS!$G$2:$CK$25,MATCH($E16,DEMANDS!$E$2:$E$25,0),FALSE)/HLOOKUP(2018,DEMANDS!$G$2:$CK$25,MATCH($E16,DEMANDS!$E$2:$E$25,0),FALSE)</f>
        <v>0.24195446923022534</v>
      </c>
      <c r="AE16" s="19">
        <f>HLOOKUP(REG_TRA_DEMANDS!AE$3,'BY-Demands'!$J$5:$AK$14,MATCH($E16,'BY-Demands'!$I$5:$I$14,0),FALSE)*HLOOKUP(REG_TRA_DEMANDS!$F16,DEMANDS!$G$2:$CK$25,MATCH($E16,DEMANDS!$E$2:$E$25,0),FALSE)/HLOOKUP(2018,DEMANDS!$G$2:$CK$25,MATCH($E16,DEMANDS!$E$2:$E$25,0),FALSE)</f>
        <v>0.46934993355696131</v>
      </c>
      <c r="AF16" s="19">
        <f>HLOOKUP(REG_TRA_DEMANDS!AF$3,'BY-Demands'!$J$5:$AK$14,MATCH($E16,'BY-Demands'!$I$5:$I$14,0),FALSE)*HLOOKUP(REG_TRA_DEMANDS!$F16,DEMANDS!$G$2:$CK$25,MATCH($E16,DEMANDS!$E$2:$E$25,0),FALSE)/HLOOKUP(2018,DEMANDS!$G$2:$CK$25,MATCH($E16,DEMANDS!$E$2:$E$25,0),FALSE)</f>
        <v>0.2251068564281696</v>
      </c>
    </row>
    <row r="17" spans="4:32" ht="14.5">
      <c r="D17" t="s">
        <v>6</v>
      </c>
      <c r="E17" t="str">
        <f>DEMANDS!$E$17</f>
        <v>TRAPS</v>
      </c>
      <c r="F17">
        <v>2033</v>
      </c>
      <c r="G17" s="19">
        <f>HLOOKUP(REG_TRA_DEMANDS!G$3,'BY-Demands'!$J$5:$AK$14,MATCH($E17,'BY-Demands'!$I$5:$I$14,0),FALSE)*HLOOKUP(REG_TRA_DEMANDS!$F17,DEMANDS!$G$2:$CK$25,MATCH($E17,DEMANDS!$E$2:$E$25,0),FALSE)/HLOOKUP(2018,DEMANDS!$G$2:$CK$25,MATCH($E17,DEMANDS!$E$2:$E$25,0),FALSE)</f>
        <v>0.209333308536582</v>
      </c>
      <c r="H17" s="19">
        <f>HLOOKUP(REG_TRA_DEMANDS!H$3,'BY-Demands'!$J$5:$AK$14,MATCH($E17,'BY-Demands'!$I$5:$I$14,0),FALSE)*HLOOKUP(REG_TRA_DEMANDS!$F17,DEMANDS!$G$2:$CK$25,MATCH($E17,DEMANDS!$E$2:$E$25,0),FALSE)/HLOOKUP(2018,DEMANDS!$G$2:$CK$25,MATCH($E17,DEMANDS!$E$2:$E$25,0),FALSE)</f>
        <v>4.1850691743148589</v>
      </c>
      <c r="I17" s="19">
        <f>HLOOKUP(REG_TRA_DEMANDS!I$3,'BY-Demands'!$J$5:$AK$14,MATCH($E17,'BY-Demands'!$I$5:$I$14,0),FALSE)*HLOOKUP(REG_TRA_DEMANDS!$F17,DEMANDS!$G$2:$CK$25,MATCH($E17,DEMANDS!$E$2:$E$25,0),FALSE)/HLOOKUP(2018,DEMANDS!$G$2:$CK$25,MATCH($E17,DEMANDS!$E$2:$E$25,0),FALSE)</f>
        <v>0.77183173862830279</v>
      </c>
      <c r="J17" s="19">
        <f>HLOOKUP(REG_TRA_DEMANDS!J$3,'BY-Demands'!$J$5:$AK$14,MATCH($E17,'BY-Demands'!$I$5:$I$14,0),FALSE)*HLOOKUP(REG_TRA_DEMANDS!$F17,DEMANDS!$G$2:$CK$25,MATCH($E17,DEMANDS!$E$2:$E$25,0),FALSE)/HLOOKUP(2018,DEMANDS!$G$2:$CK$25,MATCH($E17,DEMANDS!$E$2:$E$25,0),FALSE)</f>
        <v>0.35808011039077797</v>
      </c>
      <c r="K17" s="19">
        <f>HLOOKUP(REG_TRA_DEMANDS!K$3,'BY-Demands'!$J$5:$AK$14,MATCH($E17,'BY-Demands'!$I$5:$I$14,0),FALSE)*HLOOKUP(REG_TRA_DEMANDS!$F17,DEMANDS!$G$2:$CK$25,MATCH($E17,DEMANDS!$E$2:$E$25,0),FALSE)/HLOOKUP(2018,DEMANDS!$G$2:$CK$25,MATCH($E17,DEMANDS!$E$2:$E$25,0),FALSE)</f>
        <v>0.28231021029005665</v>
      </c>
      <c r="L17" s="19">
        <f>HLOOKUP(REG_TRA_DEMANDS!L$3,'BY-Demands'!$J$5:$AK$14,MATCH($E17,'BY-Demands'!$I$5:$I$14,0),FALSE)*HLOOKUP(REG_TRA_DEMANDS!$F17,DEMANDS!$G$2:$CK$25,MATCH($E17,DEMANDS!$E$2:$E$25,0),FALSE)/HLOOKUP(2018,DEMANDS!$G$2:$CK$25,MATCH($E17,DEMANDS!$E$2:$E$25,0),FALSE)</f>
        <v>0.1418512526783467</v>
      </c>
      <c r="M17" s="19">
        <f>HLOOKUP(REG_TRA_DEMANDS!M$3,'BY-Demands'!$J$5:$AK$14,MATCH($E17,'BY-Demands'!$I$5:$I$14,0),FALSE)*HLOOKUP(REG_TRA_DEMANDS!$F17,DEMANDS!$G$2:$CK$25,MATCH($E17,DEMANDS!$E$2:$E$25,0),FALSE)/HLOOKUP(2018,DEMANDS!$G$2:$CK$25,MATCH($E17,DEMANDS!$E$2:$E$25,0),FALSE)</f>
        <v>0.40676022213569757</v>
      </c>
      <c r="N17" s="19">
        <f>HLOOKUP(REG_TRA_DEMANDS!N$3,'BY-Demands'!$J$5:$AK$14,MATCH($E17,'BY-Demands'!$I$5:$I$14,0),FALSE)*HLOOKUP(REG_TRA_DEMANDS!$F17,DEMANDS!$G$2:$CK$25,MATCH($E17,DEMANDS!$E$2:$E$25,0),FALSE)/HLOOKUP(2018,DEMANDS!$G$2:$CK$25,MATCH($E17,DEMANDS!$E$2:$E$25,0),FALSE)</f>
        <v>0.6695377421410722</v>
      </c>
      <c r="O17" s="19">
        <f>HLOOKUP(REG_TRA_DEMANDS!O$3,'BY-Demands'!$J$5:$AK$14,MATCH($E17,'BY-Demands'!$I$5:$I$14,0),FALSE)*HLOOKUP(REG_TRA_DEMANDS!$F17,DEMANDS!$G$2:$CK$25,MATCH($E17,DEMANDS!$E$2:$E$25,0),FALSE)/HLOOKUP(2018,DEMANDS!$G$2:$CK$25,MATCH($E17,DEMANDS!$E$2:$E$25,0),FALSE)</f>
        <v>0.27715706270840806</v>
      </c>
      <c r="P17" s="19">
        <f>HLOOKUP(REG_TRA_DEMANDS!P$3,'BY-Demands'!$J$5:$AK$14,MATCH($E17,'BY-Demands'!$I$5:$I$14,0),FALSE)*HLOOKUP(REG_TRA_DEMANDS!$F17,DEMANDS!$G$2:$CK$25,MATCH($E17,DEMANDS!$E$2:$E$25,0),FALSE)/HLOOKUP(2018,DEMANDS!$G$2:$CK$25,MATCH($E17,DEMANDS!$E$2:$E$25,0),FALSE)</f>
        <v>0.31415453386334197</v>
      </c>
      <c r="Q17" s="19">
        <f>HLOOKUP(REG_TRA_DEMANDS!Q$3,'BY-Demands'!$J$5:$AK$14,MATCH($E17,'BY-Demands'!$I$5:$I$14,0),FALSE)*HLOOKUP(REG_TRA_DEMANDS!$F17,DEMANDS!$G$2:$CK$25,MATCH($E17,DEMANDS!$E$2:$E$25,0),FALSE)/HLOOKUP(2018,DEMANDS!$G$2:$CK$25,MATCH($E17,DEMANDS!$E$2:$E$25,0),FALSE)</f>
        <v>0.54676641442696539</v>
      </c>
      <c r="R17" s="19">
        <f>HLOOKUP(REG_TRA_DEMANDS!R$3,'BY-Demands'!$J$5:$AK$14,MATCH($E17,'BY-Demands'!$I$5:$I$14,0),FALSE)*HLOOKUP(REG_TRA_DEMANDS!$F17,DEMANDS!$G$2:$CK$25,MATCH($E17,DEMANDS!$E$2:$E$25,0),FALSE)/HLOOKUP(2018,DEMANDS!$G$2:$CK$25,MATCH($E17,DEMANDS!$E$2:$E$25,0),FALSE)</f>
        <v>0.48364368878585801</v>
      </c>
      <c r="S17" s="19">
        <f>HLOOKUP(REG_TRA_DEMANDS!S$3,'BY-Demands'!$J$5:$AK$14,MATCH($E17,'BY-Demands'!$I$5:$I$14,0),FALSE)*HLOOKUP(REG_TRA_DEMANDS!$F17,DEMANDS!$G$2:$CK$25,MATCH($E17,DEMANDS!$E$2:$E$25,0),FALSE)/HLOOKUP(2018,DEMANDS!$G$2:$CK$25,MATCH($E17,DEMANDS!$E$2:$E$25,0),FALSE)</f>
        <v>0.42566553854856476</v>
      </c>
      <c r="T17" s="19">
        <f>HLOOKUP(REG_TRA_DEMANDS!T$3,'BY-Demands'!$J$5:$AK$14,MATCH($E17,'BY-Demands'!$I$5:$I$14,0),FALSE)*HLOOKUP(REG_TRA_DEMANDS!$F17,DEMANDS!$G$2:$CK$25,MATCH($E17,DEMANDS!$E$2:$E$25,0),FALSE)/HLOOKUP(2018,DEMANDS!$G$2:$CK$25,MATCH($E17,DEMANDS!$E$2:$E$25,0),FALSE)</f>
        <v>1.8000829220922618</v>
      </c>
      <c r="U17" s="19">
        <f>HLOOKUP(REG_TRA_DEMANDS!U$3,'BY-Demands'!$J$5:$AK$14,MATCH($E17,'BY-Demands'!$I$5:$I$14,0),FALSE)*HLOOKUP(REG_TRA_DEMANDS!$F17,DEMANDS!$G$2:$CK$25,MATCH($E17,DEMANDS!$E$2:$E$25,0),FALSE)/HLOOKUP(2018,DEMANDS!$G$2:$CK$25,MATCH($E17,DEMANDS!$E$2:$E$25,0),FALSE)</f>
        <v>0.55114326603505615</v>
      </c>
      <c r="V17" s="19">
        <f>HLOOKUP(REG_TRA_DEMANDS!V$3,'BY-Demands'!$J$5:$AK$14,MATCH($E17,'BY-Demands'!$I$5:$I$14,0),FALSE)*HLOOKUP(REG_TRA_DEMANDS!$F17,DEMANDS!$G$2:$CK$25,MATCH($E17,DEMANDS!$E$2:$E$25,0),FALSE)/HLOOKUP(2018,DEMANDS!$G$2:$CK$25,MATCH($E17,DEMANDS!$E$2:$E$25,0),FALSE)</f>
        <v>0.65719369506490066</v>
      </c>
      <c r="W17" s="19">
        <f>HLOOKUP(REG_TRA_DEMANDS!W$3,'BY-Demands'!$J$5:$AK$14,MATCH($E17,'BY-Demands'!$I$5:$I$14,0),FALSE)*HLOOKUP(REG_TRA_DEMANDS!$F17,DEMANDS!$G$2:$CK$25,MATCH($E17,DEMANDS!$E$2:$E$25,0),FALSE)/HLOOKUP(2018,DEMANDS!$G$2:$CK$25,MATCH($E17,DEMANDS!$E$2:$E$25,0),FALSE)</f>
        <v>0.59914385921560143</v>
      </c>
      <c r="X17" s="19">
        <f>HLOOKUP(REG_TRA_DEMANDS!X$3,'BY-Demands'!$J$5:$AK$14,MATCH($E17,'BY-Demands'!$I$5:$I$14,0),FALSE)*HLOOKUP(REG_TRA_DEMANDS!$F17,DEMANDS!$G$2:$CK$25,MATCH($E17,DEMANDS!$E$2:$E$25,0),FALSE)/HLOOKUP(2018,DEMANDS!$G$2:$CK$25,MATCH($E17,DEMANDS!$E$2:$E$25,0),FALSE)</f>
        <v>0.39785076672779274</v>
      </c>
      <c r="Y17" s="19">
        <f>HLOOKUP(REG_TRA_DEMANDS!Y$3,'BY-Demands'!$J$5:$AK$14,MATCH($E17,'BY-Demands'!$I$5:$I$14,0),FALSE)*HLOOKUP(REG_TRA_DEMANDS!$F17,DEMANDS!$G$2:$CK$25,MATCH($E17,DEMANDS!$E$2:$E$25,0),FALSE)/HLOOKUP(2018,DEMANDS!$G$2:$CK$25,MATCH($E17,DEMANDS!$E$2:$E$25,0),FALSE)</f>
        <v>0.88922314911926059</v>
      </c>
      <c r="Z17" s="19">
        <f>HLOOKUP(REG_TRA_DEMANDS!Z$3,'BY-Demands'!$J$5:$AK$14,MATCH($E17,'BY-Demands'!$I$5:$I$14,0),FALSE)*HLOOKUP(REG_TRA_DEMANDS!$F17,DEMANDS!$G$2:$CK$25,MATCH($E17,DEMANDS!$E$2:$E$25,0),FALSE)/HLOOKUP(2018,DEMANDS!$G$2:$CK$25,MATCH($E17,DEMANDS!$E$2:$E$25,0),FALSE)</f>
        <v>0.11412508582041064</v>
      </c>
      <c r="AA17" s="19">
        <f>HLOOKUP(REG_TRA_DEMANDS!AA$3,'BY-Demands'!$J$5:$AK$14,MATCH($E17,'BY-Demands'!$I$5:$I$14,0),FALSE)*HLOOKUP(REG_TRA_DEMANDS!$F17,DEMANDS!$G$2:$CK$25,MATCH($E17,DEMANDS!$E$2:$E$25,0),FALSE)/HLOOKUP(2018,DEMANDS!$G$2:$CK$25,MATCH($E17,DEMANDS!$E$2:$E$25,0),FALSE)</f>
        <v>0.47622223086551996</v>
      </c>
      <c r="AB17" s="19">
        <f>HLOOKUP(REG_TRA_DEMANDS!AB$3,'BY-Demands'!$J$5:$AK$14,MATCH($E17,'BY-Demands'!$I$5:$I$14,0),FALSE)*HLOOKUP(REG_TRA_DEMANDS!$F17,DEMANDS!$G$2:$CK$25,MATCH($E17,DEMANDS!$E$2:$E$25,0),FALSE)/HLOOKUP(2018,DEMANDS!$G$2:$CK$25,MATCH($E17,DEMANDS!$E$2:$E$25,0),FALSE)</f>
        <v>0.24911662394443723</v>
      </c>
      <c r="AC17" s="19">
        <f>HLOOKUP(REG_TRA_DEMANDS!AC$3,'BY-Demands'!$J$5:$AK$14,MATCH($E17,'BY-Demands'!$I$5:$I$14,0),FALSE)*HLOOKUP(REG_TRA_DEMANDS!$F17,DEMANDS!$G$2:$CK$25,MATCH($E17,DEMANDS!$E$2:$E$25,0),FALSE)/HLOOKUP(2018,DEMANDS!$G$2:$CK$25,MATCH($E17,DEMANDS!$E$2:$E$25,0),FALSE)</f>
        <v>0.21963334204095614</v>
      </c>
      <c r="AD17" s="19">
        <f>HLOOKUP(REG_TRA_DEMANDS!AD$3,'BY-Demands'!$J$5:$AK$14,MATCH($E17,'BY-Demands'!$I$5:$I$14,0),FALSE)*HLOOKUP(REG_TRA_DEMANDS!$F17,DEMANDS!$G$2:$CK$25,MATCH($E17,DEMANDS!$E$2:$E$25,0),FALSE)/HLOOKUP(2018,DEMANDS!$G$2:$CK$25,MATCH($E17,DEMANDS!$E$2:$E$25,0),FALSE)</f>
        <v>0.24497890009560316</v>
      </c>
      <c r="AE17" s="19">
        <f>HLOOKUP(REG_TRA_DEMANDS!AE$3,'BY-Demands'!$J$5:$AK$14,MATCH($E17,'BY-Demands'!$I$5:$I$14,0),FALSE)*HLOOKUP(REG_TRA_DEMANDS!$F17,DEMANDS!$G$2:$CK$25,MATCH($E17,DEMANDS!$E$2:$E$25,0),FALSE)/HLOOKUP(2018,DEMANDS!$G$2:$CK$25,MATCH($E17,DEMANDS!$E$2:$E$25,0),FALSE)</f>
        <v>0.47521680772642333</v>
      </c>
      <c r="AF17" s="19">
        <f>HLOOKUP(REG_TRA_DEMANDS!AF$3,'BY-Demands'!$J$5:$AK$14,MATCH($E17,'BY-Demands'!$I$5:$I$14,0),FALSE)*HLOOKUP(REG_TRA_DEMANDS!$F17,DEMANDS!$G$2:$CK$25,MATCH($E17,DEMANDS!$E$2:$E$25,0),FALSE)/HLOOKUP(2018,DEMANDS!$G$2:$CK$25,MATCH($E17,DEMANDS!$E$2:$E$25,0),FALSE)</f>
        <v>0.22792069213352173</v>
      </c>
    </row>
    <row r="18" spans="4:32" ht="14.5">
      <c r="D18" t="s">
        <v>6</v>
      </c>
      <c r="E18" t="str">
        <f>DEMANDS!$E$17</f>
        <v>TRAPS</v>
      </c>
      <c r="F18">
        <v>2034</v>
      </c>
      <c r="G18" s="19">
        <f>HLOOKUP(REG_TRA_DEMANDS!G$3,'BY-Demands'!$J$5:$AK$14,MATCH($E18,'BY-Demands'!$I$5:$I$14,0),FALSE)*HLOOKUP(REG_TRA_DEMANDS!$F18,DEMANDS!$G$2:$CK$25,MATCH($E18,DEMANDS!$E$2:$E$25,0),FALSE)/HLOOKUP(2018,DEMANDS!$G$2:$CK$25,MATCH($E18,DEMANDS!$E$2:$E$25,0),FALSE)</f>
        <v>0.21194997489328923</v>
      </c>
      <c r="H18" s="19">
        <f>HLOOKUP(REG_TRA_DEMANDS!H$3,'BY-Demands'!$J$5:$AK$14,MATCH($E18,'BY-Demands'!$I$5:$I$14,0),FALSE)*HLOOKUP(REG_TRA_DEMANDS!$F18,DEMANDS!$G$2:$CK$25,MATCH($E18,DEMANDS!$E$2:$E$25,0),FALSE)/HLOOKUP(2018,DEMANDS!$G$2:$CK$25,MATCH($E18,DEMANDS!$E$2:$E$25,0),FALSE)</f>
        <v>4.2373825389937938</v>
      </c>
      <c r="I18" s="19">
        <f>HLOOKUP(REG_TRA_DEMANDS!I$3,'BY-Demands'!$J$5:$AK$14,MATCH($E18,'BY-Demands'!$I$5:$I$14,0),FALSE)*HLOOKUP(REG_TRA_DEMANDS!$F18,DEMANDS!$G$2:$CK$25,MATCH($E18,DEMANDS!$E$2:$E$25,0),FALSE)/HLOOKUP(2018,DEMANDS!$G$2:$CK$25,MATCH($E18,DEMANDS!$E$2:$E$25,0),FALSE)</f>
        <v>0.7814796353611565</v>
      </c>
      <c r="J18" s="19">
        <f>HLOOKUP(REG_TRA_DEMANDS!J$3,'BY-Demands'!$J$5:$AK$14,MATCH($E18,'BY-Demands'!$I$5:$I$14,0),FALSE)*HLOOKUP(REG_TRA_DEMANDS!$F18,DEMANDS!$G$2:$CK$25,MATCH($E18,DEMANDS!$E$2:$E$25,0),FALSE)/HLOOKUP(2018,DEMANDS!$G$2:$CK$25,MATCH($E18,DEMANDS!$E$2:$E$25,0),FALSE)</f>
        <v>0.36255611177066266</v>
      </c>
      <c r="K18" s="19">
        <f>HLOOKUP(REG_TRA_DEMANDS!K$3,'BY-Demands'!$J$5:$AK$14,MATCH($E18,'BY-Demands'!$I$5:$I$14,0),FALSE)*HLOOKUP(REG_TRA_DEMANDS!$F18,DEMANDS!$G$2:$CK$25,MATCH($E18,DEMANDS!$E$2:$E$25,0),FALSE)/HLOOKUP(2018,DEMANDS!$G$2:$CK$25,MATCH($E18,DEMANDS!$E$2:$E$25,0),FALSE)</f>
        <v>0.28583908791868234</v>
      </c>
      <c r="L18" s="19">
        <f>HLOOKUP(REG_TRA_DEMANDS!L$3,'BY-Demands'!$J$5:$AK$14,MATCH($E18,'BY-Demands'!$I$5:$I$14,0),FALSE)*HLOOKUP(REG_TRA_DEMANDS!$F18,DEMANDS!$G$2:$CK$25,MATCH($E18,DEMANDS!$E$2:$E$25,0),FALSE)/HLOOKUP(2018,DEMANDS!$G$2:$CK$25,MATCH($E18,DEMANDS!$E$2:$E$25,0),FALSE)</f>
        <v>0.14362439333682597</v>
      </c>
      <c r="M18" s="19">
        <f>HLOOKUP(REG_TRA_DEMANDS!M$3,'BY-Demands'!$J$5:$AK$14,MATCH($E18,'BY-Demands'!$I$5:$I$14,0),FALSE)*HLOOKUP(REG_TRA_DEMANDS!$F18,DEMANDS!$G$2:$CK$25,MATCH($E18,DEMANDS!$E$2:$E$25,0),FALSE)/HLOOKUP(2018,DEMANDS!$G$2:$CK$25,MATCH($E18,DEMANDS!$E$2:$E$25,0),FALSE)</f>
        <v>0.41184472491239371</v>
      </c>
      <c r="N18" s="19">
        <f>HLOOKUP(REG_TRA_DEMANDS!N$3,'BY-Demands'!$J$5:$AK$14,MATCH($E18,'BY-Demands'!$I$5:$I$14,0),FALSE)*HLOOKUP(REG_TRA_DEMANDS!$F18,DEMANDS!$G$2:$CK$25,MATCH($E18,DEMANDS!$E$2:$E$25,0),FALSE)/HLOOKUP(2018,DEMANDS!$G$2:$CK$25,MATCH($E18,DEMANDS!$E$2:$E$25,0),FALSE)</f>
        <v>0.67790696391783556</v>
      </c>
      <c r="O18" s="19">
        <f>HLOOKUP(REG_TRA_DEMANDS!O$3,'BY-Demands'!$J$5:$AK$14,MATCH($E18,'BY-Demands'!$I$5:$I$14,0),FALSE)*HLOOKUP(REG_TRA_DEMANDS!$F18,DEMANDS!$G$2:$CK$25,MATCH($E18,DEMANDS!$E$2:$E$25,0),FALSE)/HLOOKUP(2018,DEMANDS!$G$2:$CK$25,MATCH($E18,DEMANDS!$E$2:$E$25,0),FALSE)</f>
        <v>0.28062152599226314</v>
      </c>
      <c r="P18" s="19">
        <f>HLOOKUP(REG_TRA_DEMANDS!P$3,'BY-Demands'!$J$5:$AK$14,MATCH($E18,'BY-Demands'!$I$5:$I$14,0),FALSE)*HLOOKUP(REG_TRA_DEMANDS!$F18,DEMANDS!$G$2:$CK$25,MATCH($E18,DEMANDS!$E$2:$E$25,0),FALSE)/HLOOKUP(2018,DEMANDS!$G$2:$CK$25,MATCH($E18,DEMANDS!$E$2:$E$25,0),FALSE)</f>
        <v>0.31808146553663375</v>
      </c>
      <c r="Q18" s="19">
        <f>HLOOKUP(REG_TRA_DEMANDS!Q$3,'BY-Demands'!$J$5:$AK$14,MATCH($E18,'BY-Demands'!$I$5:$I$14,0),FALSE)*HLOOKUP(REG_TRA_DEMANDS!$F18,DEMANDS!$G$2:$CK$25,MATCH($E18,DEMANDS!$E$2:$E$25,0),FALSE)/HLOOKUP(2018,DEMANDS!$G$2:$CK$25,MATCH($E18,DEMANDS!$E$2:$E$25,0),FALSE)</f>
        <v>0.55360099460730228</v>
      </c>
      <c r="R18" s="19">
        <f>HLOOKUP(REG_TRA_DEMANDS!R$3,'BY-Demands'!$J$5:$AK$14,MATCH($E18,'BY-Demands'!$I$5:$I$14,0),FALSE)*HLOOKUP(REG_TRA_DEMANDS!$F18,DEMANDS!$G$2:$CK$25,MATCH($E18,DEMANDS!$E$2:$E$25,0),FALSE)/HLOOKUP(2018,DEMANDS!$G$2:$CK$25,MATCH($E18,DEMANDS!$E$2:$E$25,0),FALSE)</f>
        <v>0.48968923489568117</v>
      </c>
      <c r="S18" s="19">
        <f>HLOOKUP(REG_TRA_DEMANDS!S$3,'BY-Demands'!$J$5:$AK$14,MATCH($E18,'BY-Demands'!$I$5:$I$14,0),FALSE)*HLOOKUP(REG_TRA_DEMANDS!$F18,DEMANDS!$G$2:$CK$25,MATCH($E18,DEMANDS!$E$2:$E$25,0),FALSE)/HLOOKUP(2018,DEMANDS!$G$2:$CK$25,MATCH($E18,DEMANDS!$E$2:$E$25,0),FALSE)</f>
        <v>0.43098635778042177</v>
      </c>
      <c r="T18" s="19">
        <f>HLOOKUP(REG_TRA_DEMANDS!T$3,'BY-Demands'!$J$5:$AK$14,MATCH($E18,'BY-Demands'!$I$5:$I$14,0),FALSE)*HLOOKUP(REG_TRA_DEMANDS!$F18,DEMANDS!$G$2:$CK$25,MATCH($E18,DEMANDS!$E$2:$E$25,0),FALSE)/HLOOKUP(2018,DEMANDS!$G$2:$CK$25,MATCH($E18,DEMANDS!$E$2:$E$25,0),FALSE)</f>
        <v>1.8225839586184147</v>
      </c>
      <c r="U18" s="19">
        <f>HLOOKUP(REG_TRA_DEMANDS!U$3,'BY-Demands'!$J$5:$AK$14,MATCH($E18,'BY-Demands'!$I$5:$I$14,0),FALSE)*HLOOKUP(REG_TRA_DEMANDS!$F18,DEMANDS!$G$2:$CK$25,MATCH($E18,DEMANDS!$E$2:$E$25,0),FALSE)/HLOOKUP(2018,DEMANDS!$G$2:$CK$25,MATCH($E18,DEMANDS!$E$2:$E$25,0),FALSE)</f>
        <v>0.55803255686049424</v>
      </c>
      <c r="V18" s="19">
        <f>HLOOKUP(REG_TRA_DEMANDS!V$3,'BY-Demands'!$J$5:$AK$14,MATCH($E18,'BY-Demands'!$I$5:$I$14,0),FALSE)*HLOOKUP(REG_TRA_DEMANDS!$F18,DEMANDS!$G$2:$CK$25,MATCH($E18,DEMANDS!$E$2:$E$25,0),FALSE)/HLOOKUP(2018,DEMANDS!$G$2:$CK$25,MATCH($E18,DEMANDS!$E$2:$E$25,0),FALSE)</f>
        <v>0.6654086162532119</v>
      </c>
      <c r="W18" s="19">
        <f>HLOOKUP(REG_TRA_DEMANDS!W$3,'BY-Demands'!$J$5:$AK$14,MATCH($E18,'BY-Demands'!$I$5:$I$14,0),FALSE)*HLOOKUP(REG_TRA_DEMANDS!$F18,DEMANDS!$G$2:$CK$25,MATCH($E18,DEMANDS!$E$2:$E$25,0),FALSE)/HLOOKUP(2018,DEMANDS!$G$2:$CK$25,MATCH($E18,DEMANDS!$E$2:$E$25,0),FALSE)</f>
        <v>0.60663315745579638</v>
      </c>
      <c r="X18" s="19">
        <f>HLOOKUP(REG_TRA_DEMANDS!X$3,'BY-Demands'!$J$5:$AK$14,MATCH($E18,'BY-Demands'!$I$5:$I$14,0),FALSE)*HLOOKUP(REG_TRA_DEMANDS!$F18,DEMANDS!$G$2:$CK$25,MATCH($E18,DEMANDS!$E$2:$E$25,0),FALSE)/HLOOKUP(2018,DEMANDS!$G$2:$CK$25,MATCH($E18,DEMANDS!$E$2:$E$25,0),FALSE)</f>
        <v>0.40282390131189011</v>
      </c>
      <c r="Y18" s="19">
        <f>HLOOKUP(REG_TRA_DEMANDS!Y$3,'BY-Demands'!$J$5:$AK$14,MATCH($E18,'BY-Demands'!$I$5:$I$14,0),FALSE)*HLOOKUP(REG_TRA_DEMANDS!$F18,DEMANDS!$G$2:$CK$25,MATCH($E18,DEMANDS!$E$2:$E$25,0),FALSE)/HLOOKUP(2018,DEMANDS!$G$2:$CK$25,MATCH($E18,DEMANDS!$E$2:$E$25,0),FALSE)</f>
        <v>0.90033843848325124</v>
      </c>
      <c r="Z18" s="19">
        <f>HLOOKUP(REG_TRA_DEMANDS!Z$3,'BY-Demands'!$J$5:$AK$14,MATCH($E18,'BY-Demands'!$I$5:$I$14,0),FALSE)*HLOOKUP(REG_TRA_DEMANDS!$F18,DEMANDS!$G$2:$CK$25,MATCH($E18,DEMANDS!$E$2:$E$25,0),FALSE)/HLOOKUP(2018,DEMANDS!$G$2:$CK$25,MATCH($E18,DEMANDS!$E$2:$E$25,0),FALSE)</f>
        <v>0.11555164939316577</v>
      </c>
      <c r="AA18" s="19">
        <f>HLOOKUP(REG_TRA_DEMANDS!AA$3,'BY-Demands'!$J$5:$AK$14,MATCH($E18,'BY-Demands'!$I$5:$I$14,0),FALSE)*HLOOKUP(REG_TRA_DEMANDS!$F18,DEMANDS!$G$2:$CK$25,MATCH($E18,DEMANDS!$E$2:$E$25,0),FALSE)/HLOOKUP(2018,DEMANDS!$G$2:$CK$25,MATCH($E18,DEMANDS!$E$2:$E$25,0),FALSE)</f>
        <v>0.4821750087513389</v>
      </c>
      <c r="AB18" s="19">
        <f>HLOOKUP(REG_TRA_DEMANDS!AB$3,'BY-Demands'!$J$5:$AK$14,MATCH($E18,'BY-Demands'!$I$5:$I$14,0),FALSE)*HLOOKUP(REG_TRA_DEMANDS!$F18,DEMANDS!$G$2:$CK$25,MATCH($E18,DEMANDS!$E$2:$E$25,0),FALSE)/HLOOKUP(2018,DEMANDS!$G$2:$CK$25,MATCH($E18,DEMANDS!$E$2:$E$25,0),FALSE)</f>
        <v>0.25223058174374263</v>
      </c>
      <c r="AC18" s="19">
        <f>HLOOKUP(REG_TRA_DEMANDS!AC$3,'BY-Demands'!$J$5:$AK$14,MATCH($E18,'BY-Demands'!$I$5:$I$14,0),FALSE)*HLOOKUP(REG_TRA_DEMANDS!$F18,DEMANDS!$G$2:$CK$25,MATCH($E18,DEMANDS!$E$2:$E$25,0),FALSE)/HLOOKUP(2018,DEMANDS!$G$2:$CK$25,MATCH($E18,DEMANDS!$E$2:$E$25,0),FALSE)</f>
        <v>0.22237875881646807</v>
      </c>
      <c r="AD18" s="19">
        <f>HLOOKUP(REG_TRA_DEMANDS!AD$3,'BY-Demands'!$J$5:$AK$14,MATCH($E18,'BY-Demands'!$I$5:$I$14,0),FALSE)*HLOOKUP(REG_TRA_DEMANDS!$F18,DEMANDS!$G$2:$CK$25,MATCH($E18,DEMANDS!$E$2:$E$25,0),FALSE)/HLOOKUP(2018,DEMANDS!$G$2:$CK$25,MATCH($E18,DEMANDS!$E$2:$E$25,0),FALSE)</f>
        <v>0.24804113634679817</v>
      </c>
      <c r="AE18" s="19">
        <f>HLOOKUP(REG_TRA_DEMANDS!AE$3,'BY-Demands'!$J$5:$AK$14,MATCH($E18,'BY-Demands'!$I$5:$I$14,0),FALSE)*HLOOKUP(REG_TRA_DEMANDS!$F18,DEMANDS!$G$2:$CK$25,MATCH($E18,DEMANDS!$E$2:$E$25,0),FALSE)/HLOOKUP(2018,DEMANDS!$G$2:$CK$25,MATCH($E18,DEMANDS!$E$2:$E$25,0),FALSE)</f>
        <v>0.48115701782300357</v>
      </c>
      <c r="AF18" s="19">
        <f>HLOOKUP(REG_TRA_DEMANDS!AF$3,'BY-Demands'!$J$5:$AK$14,MATCH($E18,'BY-Demands'!$I$5:$I$14,0),FALSE)*HLOOKUP(REG_TRA_DEMANDS!$F18,DEMANDS!$G$2:$CK$25,MATCH($E18,DEMANDS!$E$2:$E$25,0),FALSE)/HLOOKUP(2018,DEMANDS!$G$2:$CK$25,MATCH($E18,DEMANDS!$E$2:$E$25,0),FALSE)</f>
        <v>0.23076970078519071</v>
      </c>
    </row>
    <row r="19" spans="4:32" ht="14.5">
      <c r="D19" t="s">
        <v>6</v>
      </c>
      <c r="E19" t="str">
        <f>DEMANDS!$E$17</f>
        <v>TRAPS</v>
      </c>
      <c r="F19">
        <v>2035</v>
      </c>
      <c r="G19" s="19">
        <f>HLOOKUP(REG_TRA_DEMANDS!G$3,'BY-Demands'!$J$5:$AK$14,MATCH($E19,'BY-Demands'!$I$5:$I$14,0),FALSE)*HLOOKUP(REG_TRA_DEMANDS!$F19,DEMANDS!$G$2:$CK$25,MATCH($E19,DEMANDS!$E$2:$E$25,0),FALSE)/HLOOKUP(2018,DEMANDS!$G$2:$CK$25,MATCH($E19,DEMANDS!$E$2:$E$25,0),FALSE)</f>
        <v>0.21459934957945534</v>
      </c>
      <c r="H19" s="19">
        <f>HLOOKUP(REG_TRA_DEMANDS!H$3,'BY-Demands'!$J$5:$AK$14,MATCH($E19,'BY-Demands'!$I$5:$I$14,0),FALSE)*HLOOKUP(REG_TRA_DEMANDS!$F19,DEMANDS!$G$2:$CK$25,MATCH($E19,DEMANDS!$E$2:$E$25,0),FALSE)/HLOOKUP(2018,DEMANDS!$G$2:$CK$25,MATCH($E19,DEMANDS!$E$2:$E$25,0),FALSE)</f>
        <v>4.2903498207312163</v>
      </c>
      <c r="I19" s="19">
        <f>HLOOKUP(REG_TRA_DEMANDS!I$3,'BY-Demands'!$J$5:$AK$14,MATCH($E19,'BY-Demands'!$I$5:$I$14,0),FALSE)*HLOOKUP(REG_TRA_DEMANDS!$F19,DEMANDS!$G$2:$CK$25,MATCH($E19,DEMANDS!$E$2:$E$25,0),FALSE)/HLOOKUP(2018,DEMANDS!$G$2:$CK$25,MATCH($E19,DEMANDS!$E$2:$E$25,0),FALSE)</f>
        <v>0.79124813080317091</v>
      </c>
      <c r="J19" s="19">
        <f>HLOOKUP(REG_TRA_DEMANDS!J$3,'BY-Demands'!$J$5:$AK$14,MATCH($E19,'BY-Demands'!$I$5:$I$14,0),FALSE)*HLOOKUP(REG_TRA_DEMANDS!$F19,DEMANDS!$G$2:$CK$25,MATCH($E19,DEMANDS!$E$2:$E$25,0),FALSE)/HLOOKUP(2018,DEMANDS!$G$2:$CK$25,MATCH($E19,DEMANDS!$E$2:$E$25,0),FALSE)</f>
        <v>0.36708806316779596</v>
      </c>
      <c r="K19" s="19">
        <f>HLOOKUP(REG_TRA_DEMANDS!K$3,'BY-Demands'!$J$5:$AK$14,MATCH($E19,'BY-Demands'!$I$5:$I$14,0),FALSE)*HLOOKUP(REG_TRA_DEMANDS!$F19,DEMANDS!$G$2:$CK$25,MATCH($E19,DEMANDS!$E$2:$E$25,0),FALSE)/HLOOKUP(2018,DEMANDS!$G$2:$CK$25,MATCH($E19,DEMANDS!$E$2:$E$25,0),FALSE)</f>
        <v>0.28941207651766582</v>
      </c>
      <c r="L19" s="19">
        <f>HLOOKUP(REG_TRA_DEMANDS!L$3,'BY-Demands'!$J$5:$AK$14,MATCH($E19,'BY-Demands'!$I$5:$I$14,0),FALSE)*HLOOKUP(REG_TRA_DEMANDS!$F19,DEMANDS!$G$2:$CK$25,MATCH($E19,DEMANDS!$E$2:$E$25,0),FALSE)/HLOOKUP(2018,DEMANDS!$G$2:$CK$25,MATCH($E19,DEMANDS!$E$2:$E$25,0),FALSE)</f>
        <v>0.14541969825353632</v>
      </c>
      <c r="M19" s="19">
        <f>HLOOKUP(REG_TRA_DEMANDS!M$3,'BY-Demands'!$J$5:$AK$14,MATCH($E19,'BY-Demands'!$I$5:$I$14,0),FALSE)*HLOOKUP(REG_TRA_DEMANDS!$F19,DEMANDS!$G$2:$CK$25,MATCH($E19,DEMANDS!$E$2:$E$25,0),FALSE)/HLOOKUP(2018,DEMANDS!$G$2:$CK$25,MATCH($E19,DEMANDS!$E$2:$E$25,0),FALSE)</f>
        <v>0.41699278397379869</v>
      </c>
      <c r="N19" s="19">
        <f>HLOOKUP(REG_TRA_DEMANDS!N$3,'BY-Demands'!$J$5:$AK$14,MATCH($E19,'BY-Demands'!$I$5:$I$14,0),FALSE)*HLOOKUP(REG_TRA_DEMANDS!$F19,DEMANDS!$G$2:$CK$25,MATCH($E19,DEMANDS!$E$2:$E$25,0),FALSE)/HLOOKUP(2018,DEMANDS!$G$2:$CK$25,MATCH($E19,DEMANDS!$E$2:$E$25,0),FALSE)</f>
        <v>0.68638080096680842</v>
      </c>
      <c r="O19" s="19">
        <f>HLOOKUP(REG_TRA_DEMANDS!O$3,'BY-Demands'!$J$5:$AK$14,MATCH($E19,'BY-Demands'!$I$5:$I$14,0),FALSE)*HLOOKUP(REG_TRA_DEMANDS!$F19,DEMANDS!$G$2:$CK$25,MATCH($E19,DEMANDS!$E$2:$E$25,0),FALSE)/HLOOKUP(2018,DEMANDS!$G$2:$CK$25,MATCH($E19,DEMANDS!$E$2:$E$25,0),FALSE)</f>
        <v>0.2841292950671665</v>
      </c>
      <c r="P19" s="19">
        <f>HLOOKUP(REG_TRA_DEMANDS!P$3,'BY-Demands'!$J$5:$AK$14,MATCH($E19,'BY-Demands'!$I$5:$I$14,0),FALSE)*HLOOKUP(REG_TRA_DEMANDS!$F19,DEMANDS!$G$2:$CK$25,MATCH($E19,DEMANDS!$E$2:$E$25,0),FALSE)/HLOOKUP(2018,DEMANDS!$G$2:$CK$25,MATCH($E19,DEMANDS!$E$2:$E$25,0),FALSE)</f>
        <v>0.32205748385584165</v>
      </c>
      <c r="Q19" s="19">
        <f>HLOOKUP(REG_TRA_DEMANDS!Q$3,'BY-Demands'!$J$5:$AK$14,MATCH($E19,'BY-Demands'!$I$5:$I$14,0),FALSE)*HLOOKUP(REG_TRA_DEMANDS!$F19,DEMANDS!$G$2:$CK$25,MATCH($E19,DEMANDS!$E$2:$E$25,0),FALSE)/HLOOKUP(2018,DEMANDS!$G$2:$CK$25,MATCH($E19,DEMANDS!$E$2:$E$25,0),FALSE)</f>
        <v>0.5605210070398936</v>
      </c>
      <c r="R19" s="19">
        <f>HLOOKUP(REG_TRA_DEMANDS!R$3,'BY-Demands'!$J$5:$AK$14,MATCH($E19,'BY-Demands'!$I$5:$I$14,0),FALSE)*HLOOKUP(REG_TRA_DEMANDS!$F19,DEMANDS!$G$2:$CK$25,MATCH($E19,DEMANDS!$E$2:$E$25,0),FALSE)/HLOOKUP(2018,DEMANDS!$G$2:$CK$25,MATCH($E19,DEMANDS!$E$2:$E$25,0),FALSE)</f>
        <v>0.4958103503318772</v>
      </c>
      <c r="S19" s="19">
        <f>HLOOKUP(REG_TRA_DEMANDS!S$3,'BY-Demands'!$J$5:$AK$14,MATCH($E19,'BY-Demands'!$I$5:$I$14,0),FALSE)*HLOOKUP(REG_TRA_DEMANDS!$F19,DEMANDS!$G$2:$CK$25,MATCH($E19,DEMANDS!$E$2:$E$25,0),FALSE)/HLOOKUP(2018,DEMANDS!$G$2:$CK$25,MATCH($E19,DEMANDS!$E$2:$E$25,0),FALSE)</f>
        <v>0.436373687252677</v>
      </c>
      <c r="T19" s="19">
        <f>HLOOKUP(REG_TRA_DEMANDS!T$3,'BY-Demands'!$J$5:$AK$14,MATCH($E19,'BY-Demands'!$I$5:$I$14,0),FALSE)*HLOOKUP(REG_TRA_DEMANDS!$F19,DEMANDS!$G$2:$CK$25,MATCH($E19,DEMANDS!$E$2:$E$25,0),FALSE)/HLOOKUP(2018,DEMANDS!$G$2:$CK$25,MATCH($E19,DEMANDS!$E$2:$E$25,0),FALSE)</f>
        <v>1.845366258101145</v>
      </c>
      <c r="U19" s="19">
        <f>HLOOKUP(REG_TRA_DEMANDS!U$3,'BY-Demands'!$J$5:$AK$14,MATCH($E19,'BY-Demands'!$I$5:$I$14,0),FALSE)*HLOOKUP(REG_TRA_DEMANDS!$F19,DEMANDS!$G$2:$CK$25,MATCH($E19,DEMANDS!$E$2:$E$25,0),FALSE)/HLOOKUP(2018,DEMANDS!$G$2:$CK$25,MATCH($E19,DEMANDS!$E$2:$E$25,0),FALSE)</f>
        <v>0.5650079638212504</v>
      </c>
      <c r="V19" s="19">
        <f>HLOOKUP(REG_TRA_DEMANDS!V$3,'BY-Demands'!$J$5:$AK$14,MATCH($E19,'BY-Demands'!$I$5:$I$14,0),FALSE)*HLOOKUP(REG_TRA_DEMANDS!$F19,DEMANDS!$G$2:$CK$25,MATCH($E19,DEMANDS!$E$2:$E$25,0),FALSE)/HLOOKUP(2018,DEMANDS!$G$2:$CK$25,MATCH($E19,DEMANDS!$E$2:$E$25,0),FALSE)</f>
        <v>0.67372622395637705</v>
      </c>
      <c r="W19" s="19">
        <f>HLOOKUP(REG_TRA_DEMANDS!W$3,'BY-Demands'!$J$5:$AK$14,MATCH($E19,'BY-Demands'!$I$5:$I$14,0),FALSE)*HLOOKUP(REG_TRA_DEMANDS!$F19,DEMANDS!$G$2:$CK$25,MATCH($E19,DEMANDS!$E$2:$E$25,0),FALSE)/HLOOKUP(2018,DEMANDS!$G$2:$CK$25,MATCH($E19,DEMANDS!$E$2:$E$25,0),FALSE)</f>
        <v>0.61421607192399386</v>
      </c>
      <c r="X19" s="19">
        <f>HLOOKUP(REG_TRA_DEMANDS!X$3,'BY-Demands'!$J$5:$AK$14,MATCH($E19,'BY-Demands'!$I$5:$I$14,0),FALSE)*HLOOKUP(REG_TRA_DEMANDS!$F19,DEMANDS!$G$2:$CK$25,MATCH($E19,DEMANDS!$E$2:$E$25,0),FALSE)/HLOOKUP(2018,DEMANDS!$G$2:$CK$25,MATCH($E19,DEMANDS!$E$2:$E$25,0),FALSE)</f>
        <v>0.40785920007828869</v>
      </c>
      <c r="Y19" s="19">
        <f>HLOOKUP(REG_TRA_DEMANDS!Y$3,'BY-Demands'!$J$5:$AK$14,MATCH($E19,'BY-Demands'!$I$5:$I$14,0),FALSE)*HLOOKUP(REG_TRA_DEMANDS!$F19,DEMANDS!$G$2:$CK$25,MATCH($E19,DEMANDS!$E$2:$E$25,0),FALSE)/HLOOKUP(2018,DEMANDS!$G$2:$CK$25,MATCH($E19,DEMANDS!$E$2:$E$25,0),FALSE)</f>
        <v>0.91159266896429192</v>
      </c>
      <c r="Z19" s="19">
        <f>HLOOKUP(REG_TRA_DEMANDS!Z$3,'BY-Demands'!$J$5:$AK$14,MATCH($E19,'BY-Demands'!$I$5:$I$14,0),FALSE)*HLOOKUP(REG_TRA_DEMANDS!$F19,DEMANDS!$G$2:$CK$25,MATCH($E19,DEMANDS!$E$2:$E$25,0),FALSE)/HLOOKUP(2018,DEMANDS!$G$2:$CK$25,MATCH($E19,DEMANDS!$E$2:$E$25,0),FALSE)</f>
        <v>0.11699604501058035</v>
      </c>
      <c r="AA19" s="19">
        <f>HLOOKUP(REG_TRA_DEMANDS!AA$3,'BY-Demands'!$J$5:$AK$14,MATCH($E19,'BY-Demands'!$I$5:$I$14,0),FALSE)*HLOOKUP(REG_TRA_DEMANDS!$F19,DEMANDS!$G$2:$CK$25,MATCH($E19,DEMANDS!$E$2:$E$25,0),FALSE)/HLOOKUP(2018,DEMANDS!$G$2:$CK$25,MATCH($E19,DEMANDS!$E$2:$E$25,0),FALSE)</f>
        <v>0.48820219636073064</v>
      </c>
      <c r="AB19" s="19">
        <f>HLOOKUP(REG_TRA_DEMANDS!AB$3,'BY-Demands'!$J$5:$AK$14,MATCH($E19,'BY-Demands'!$I$5:$I$14,0),FALSE)*HLOOKUP(REG_TRA_DEMANDS!$F19,DEMANDS!$G$2:$CK$25,MATCH($E19,DEMANDS!$E$2:$E$25,0),FALSE)/HLOOKUP(2018,DEMANDS!$G$2:$CK$25,MATCH($E19,DEMANDS!$E$2:$E$25,0),FALSE)</f>
        <v>0.25538346401553946</v>
      </c>
      <c r="AC19" s="19">
        <f>HLOOKUP(REG_TRA_DEMANDS!AC$3,'BY-Demands'!$J$5:$AK$14,MATCH($E19,'BY-Demands'!$I$5:$I$14,0),FALSE)*HLOOKUP(REG_TRA_DEMANDS!$F19,DEMANDS!$G$2:$CK$25,MATCH($E19,DEMANDS!$E$2:$E$25,0),FALSE)/HLOOKUP(2018,DEMANDS!$G$2:$CK$25,MATCH($E19,DEMANDS!$E$2:$E$25,0),FALSE)</f>
        <v>0.22515849330167395</v>
      </c>
      <c r="AD19" s="19">
        <f>HLOOKUP(REG_TRA_DEMANDS!AD$3,'BY-Demands'!$J$5:$AK$14,MATCH($E19,'BY-Demands'!$I$5:$I$14,0),FALSE)*HLOOKUP(REG_TRA_DEMANDS!$F19,DEMANDS!$G$2:$CK$25,MATCH($E19,DEMANDS!$E$2:$E$25,0),FALSE)/HLOOKUP(2018,DEMANDS!$G$2:$CK$25,MATCH($E19,DEMANDS!$E$2:$E$25,0),FALSE)</f>
        <v>0.25114165055113313</v>
      </c>
      <c r="AE19" s="19">
        <f>HLOOKUP(REG_TRA_DEMANDS!AE$3,'BY-Demands'!$J$5:$AK$14,MATCH($E19,'BY-Demands'!$I$5:$I$14,0),FALSE)*HLOOKUP(REG_TRA_DEMANDS!$F19,DEMANDS!$G$2:$CK$25,MATCH($E19,DEMANDS!$E$2:$E$25,0),FALSE)/HLOOKUP(2018,DEMANDS!$G$2:$CK$25,MATCH($E19,DEMANDS!$E$2:$E$25,0),FALSE)</f>
        <v>0.48717148054579107</v>
      </c>
      <c r="AF19" s="19">
        <f>HLOOKUP(REG_TRA_DEMANDS!AF$3,'BY-Demands'!$J$5:$AK$14,MATCH($E19,'BY-Demands'!$I$5:$I$14,0),FALSE)*HLOOKUP(REG_TRA_DEMANDS!$F19,DEMANDS!$G$2:$CK$25,MATCH($E19,DEMANDS!$E$2:$E$25,0),FALSE)/HLOOKUP(2018,DEMANDS!$G$2:$CK$25,MATCH($E19,DEMANDS!$E$2:$E$25,0),FALSE)</f>
        <v>0.23365432204500561</v>
      </c>
    </row>
    <row r="20" spans="4:32" ht="14.5">
      <c r="D20" t="s">
        <v>6</v>
      </c>
      <c r="E20" t="str">
        <f>DEMANDS!$E$17</f>
        <v>TRAPS</v>
      </c>
      <c r="F20">
        <v>2036</v>
      </c>
      <c r="G20" s="19">
        <f>HLOOKUP(REG_TRA_DEMANDS!G$3,'BY-Demands'!$J$5:$AK$14,MATCH($E20,'BY-Demands'!$I$5:$I$14,0),FALSE)*HLOOKUP(REG_TRA_DEMANDS!$F20,DEMANDS!$G$2:$CK$25,MATCH($E20,DEMANDS!$E$2:$E$25,0),FALSE)/HLOOKUP(2018,DEMANDS!$G$2:$CK$25,MATCH($E20,DEMANDS!$E$2:$E$25,0),FALSE)</f>
        <v>0.21728184144919854</v>
      </c>
      <c r="H20" s="19">
        <f>HLOOKUP(REG_TRA_DEMANDS!H$3,'BY-Demands'!$J$5:$AK$14,MATCH($E20,'BY-Demands'!$I$5:$I$14,0),FALSE)*HLOOKUP(REG_TRA_DEMANDS!$F20,DEMANDS!$G$2:$CK$25,MATCH($E20,DEMANDS!$E$2:$E$25,0),FALSE)/HLOOKUP(2018,DEMANDS!$G$2:$CK$25,MATCH($E20,DEMANDS!$E$2:$E$25,0),FALSE)</f>
        <v>4.3439791934903562</v>
      </c>
      <c r="I20" s="19">
        <f>HLOOKUP(REG_TRA_DEMANDS!I$3,'BY-Demands'!$J$5:$AK$14,MATCH($E20,'BY-Demands'!$I$5:$I$14,0),FALSE)*HLOOKUP(REG_TRA_DEMANDS!$F20,DEMANDS!$G$2:$CK$25,MATCH($E20,DEMANDS!$E$2:$E$25,0),FALSE)/HLOOKUP(2018,DEMANDS!$G$2:$CK$25,MATCH($E20,DEMANDS!$E$2:$E$25,0),FALSE)</f>
        <v>0.80113873243821065</v>
      </c>
      <c r="J20" s="19">
        <f>HLOOKUP(REG_TRA_DEMANDS!J$3,'BY-Demands'!$J$5:$AK$14,MATCH($E20,'BY-Demands'!$I$5:$I$14,0),FALSE)*HLOOKUP(REG_TRA_DEMANDS!$F20,DEMANDS!$G$2:$CK$25,MATCH($E20,DEMANDS!$E$2:$E$25,0),FALSE)/HLOOKUP(2018,DEMANDS!$G$2:$CK$25,MATCH($E20,DEMANDS!$E$2:$E$25,0),FALSE)</f>
        <v>0.37167666395739335</v>
      </c>
      <c r="K20" s="19">
        <f>HLOOKUP(REG_TRA_DEMANDS!K$3,'BY-Demands'!$J$5:$AK$14,MATCH($E20,'BY-Demands'!$I$5:$I$14,0),FALSE)*HLOOKUP(REG_TRA_DEMANDS!$F20,DEMANDS!$G$2:$CK$25,MATCH($E20,DEMANDS!$E$2:$E$25,0),FALSE)/HLOOKUP(2018,DEMANDS!$G$2:$CK$25,MATCH($E20,DEMANDS!$E$2:$E$25,0),FALSE)</f>
        <v>0.29302972747413664</v>
      </c>
      <c r="L20" s="19">
        <f>HLOOKUP(REG_TRA_DEMANDS!L$3,'BY-Demands'!$J$5:$AK$14,MATCH($E20,'BY-Demands'!$I$5:$I$14,0),FALSE)*HLOOKUP(REG_TRA_DEMANDS!$F20,DEMANDS!$G$2:$CK$25,MATCH($E20,DEMANDS!$E$2:$E$25,0),FALSE)/HLOOKUP(2018,DEMANDS!$G$2:$CK$25,MATCH($E20,DEMANDS!$E$2:$E$25,0),FALSE)</f>
        <v>0.14723744448170553</v>
      </c>
      <c r="M20" s="19">
        <f>HLOOKUP(REG_TRA_DEMANDS!M$3,'BY-Demands'!$J$5:$AK$14,MATCH($E20,'BY-Demands'!$I$5:$I$14,0),FALSE)*HLOOKUP(REG_TRA_DEMANDS!$F20,DEMANDS!$G$2:$CK$25,MATCH($E20,DEMANDS!$E$2:$E$25,0),FALSE)/HLOOKUP(2018,DEMANDS!$G$2:$CK$25,MATCH($E20,DEMANDS!$E$2:$E$25,0),FALSE)</f>
        <v>0.4222051937734711</v>
      </c>
      <c r="N20" s="19">
        <f>HLOOKUP(REG_TRA_DEMANDS!N$3,'BY-Demands'!$J$5:$AK$14,MATCH($E20,'BY-Demands'!$I$5:$I$14,0),FALSE)*HLOOKUP(REG_TRA_DEMANDS!$F20,DEMANDS!$G$2:$CK$25,MATCH($E20,DEMANDS!$E$2:$E$25,0),FALSE)/HLOOKUP(2018,DEMANDS!$G$2:$CK$25,MATCH($E20,DEMANDS!$E$2:$E$25,0),FALSE)</f>
        <v>0.69496056097889358</v>
      </c>
      <c r="O20" s="19">
        <f>HLOOKUP(REG_TRA_DEMANDS!O$3,'BY-Demands'!$J$5:$AK$14,MATCH($E20,'BY-Demands'!$I$5:$I$14,0),FALSE)*HLOOKUP(REG_TRA_DEMANDS!$F20,DEMANDS!$G$2:$CK$25,MATCH($E20,DEMANDS!$E$2:$E$25,0),FALSE)/HLOOKUP(2018,DEMANDS!$G$2:$CK$25,MATCH($E20,DEMANDS!$E$2:$E$25,0),FALSE)</f>
        <v>0.28768091125550604</v>
      </c>
      <c r="P20" s="19">
        <f>HLOOKUP(REG_TRA_DEMANDS!P$3,'BY-Demands'!$J$5:$AK$14,MATCH($E20,'BY-Demands'!$I$5:$I$14,0),FALSE)*HLOOKUP(REG_TRA_DEMANDS!$F20,DEMANDS!$G$2:$CK$25,MATCH($E20,DEMANDS!$E$2:$E$25,0),FALSE)/HLOOKUP(2018,DEMANDS!$G$2:$CK$25,MATCH($E20,DEMANDS!$E$2:$E$25,0),FALSE)</f>
        <v>0.32608320240403965</v>
      </c>
      <c r="Q20" s="19">
        <f>HLOOKUP(REG_TRA_DEMANDS!Q$3,'BY-Demands'!$J$5:$AK$14,MATCH($E20,'BY-Demands'!$I$5:$I$14,0),FALSE)*HLOOKUP(REG_TRA_DEMANDS!$F20,DEMANDS!$G$2:$CK$25,MATCH($E20,DEMANDS!$E$2:$E$25,0),FALSE)/HLOOKUP(2018,DEMANDS!$G$2:$CK$25,MATCH($E20,DEMANDS!$E$2:$E$25,0),FALSE)</f>
        <v>0.56752751962789227</v>
      </c>
      <c r="R20" s="19">
        <f>HLOOKUP(REG_TRA_DEMANDS!R$3,'BY-Demands'!$J$5:$AK$14,MATCH($E20,'BY-Demands'!$I$5:$I$14,0),FALSE)*HLOOKUP(REG_TRA_DEMANDS!$F20,DEMANDS!$G$2:$CK$25,MATCH($E20,DEMANDS!$E$2:$E$25,0),FALSE)/HLOOKUP(2018,DEMANDS!$G$2:$CK$25,MATCH($E20,DEMANDS!$E$2:$E$25,0),FALSE)</f>
        <v>0.50200797971102562</v>
      </c>
      <c r="S20" s="19">
        <f>HLOOKUP(REG_TRA_DEMANDS!S$3,'BY-Demands'!$J$5:$AK$14,MATCH($E20,'BY-Demands'!$I$5:$I$14,0),FALSE)*HLOOKUP(REG_TRA_DEMANDS!$F20,DEMANDS!$G$2:$CK$25,MATCH($E20,DEMANDS!$E$2:$E$25,0),FALSE)/HLOOKUP(2018,DEMANDS!$G$2:$CK$25,MATCH($E20,DEMANDS!$E$2:$E$25,0),FALSE)</f>
        <v>0.44182835834333545</v>
      </c>
      <c r="T20" s="19">
        <f>HLOOKUP(REG_TRA_DEMANDS!T$3,'BY-Demands'!$J$5:$AK$14,MATCH($E20,'BY-Demands'!$I$5:$I$14,0),FALSE)*HLOOKUP(REG_TRA_DEMANDS!$F20,DEMANDS!$G$2:$CK$25,MATCH($E20,DEMANDS!$E$2:$E$25,0),FALSE)/HLOOKUP(2018,DEMANDS!$G$2:$CK$25,MATCH($E20,DEMANDS!$E$2:$E$25,0),FALSE)</f>
        <v>1.8684333363274093</v>
      </c>
      <c r="U20" s="19">
        <f>HLOOKUP(REG_TRA_DEMANDS!U$3,'BY-Demands'!$J$5:$AK$14,MATCH($E20,'BY-Demands'!$I$5:$I$14,0),FALSE)*HLOOKUP(REG_TRA_DEMANDS!$F20,DEMANDS!$G$2:$CK$25,MATCH($E20,DEMANDS!$E$2:$E$25,0),FALSE)/HLOOKUP(2018,DEMANDS!$G$2:$CK$25,MATCH($E20,DEMANDS!$E$2:$E$25,0),FALSE)</f>
        <v>0.57207056336901596</v>
      </c>
      <c r="V20" s="19">
        <f>HLOOKUP(REG_TRA_DEMANDS!V$3,'BY-Demands'!$J$5:$AK$14,MATCH($E20,'BY-Demands'!$I$5:$I$14,0),FALSE)*HLOOKUP(REG_TRA_DEMANDS!$F20,DEMANDS!$G$2:$CK$25,MATCH($E20,DEMANDS!$E$2:$E$25,0),FALSE)/HLOOKUP(2018,DEMANDS!$G$2:$CK$25,MATCH($E20,DEMANDS!$E$2:$E$25,0),FALSE)</f>
        <v>0.68214780175583167</v>
      </c>
      <c r="W20" s="19">
        <f>HLOOKUP(REG_TRA_DEMANDS!W$3,'BY-Demands'!$J$5:$AK$14,MATCH($E20,'BY-Demands'!$I$5:$I$14,0),FALSE)*HLOOKUP(REG_TRA_DEMANDS!$F20,DEMANDS!$G$2:$CK$25,MATCH($E20,DEMANDS!$E$2:$E$25,0),FALSE)/HLOOKUP(2018,DEMANDS!$G$2:$CK$25,MATCH($E20,DEMANDS!$E$2:$E$25,0),FALSE)</f>
        <v>0.6218937728230437</v>
      </c>
      <c r="X20" s="19">
        <f>HLOOKUP(REG_TRA_DEMANDS!X$3,'BY-Demands'!$J$5:$AK$14,MATCH($E20,'BY-Demands'!$I$5:$I$14,0),FALSE)*HLOOKUP(REG_TRA_DEMANDS!$F20,DEMANDS!$G$2:$CK$25,MATCH($E20,DEMANDS!$E$2:$E$25,0),FALSE)/HLOOKUP(2018,DEMANDS!$G$2:$CK$25,MATCH($E20,DEMANDS!$E$2:$E$25,0),FALSE)</f>
        <v>0.41295744007926732</v>
      </c>
      <c r="Y20" s="19">
        <f>HLOOKUP(REG_TRA_DEMANDS!Y$3,'BY-Demands'!$J$5:$AK$14,MATCH($E20,'BY-Demands'!$I$5:$I$14,0),FALSE)*HLOOKUP(REG_TRA_DEMANDS!$F20,DEMANDS!$G$2:$CK$25,MATCH($E20,DEMANDS!$E$2:$E$25,0),FALSE)/HLOOKUP(2018,DEMANDS!$G$2:$CK$25,MATCH($E20,DEMANDS!$E$2:$E$25,0),FALSE)</f>
        <v>0.9229875773263454</v>
      </c>
      <c r="Z20" s="19">
        <f>HLOOKUP(REG_TRA_DEMANDS!Z$3,'BY-Demands'!$J$5:$AK$14,MATCH($E20,'BY-Demands'!$I$5:$I$14,0),FALSE)*HLOOKUP(REG_TRA_DEMANDS!$F20,DEMANDS!$G$2:$CK$25,MATCH($E20,DEMANDS!$E$2:$E$25,0),FALSE)/HLOOKUP(2018,DEMANDS!$G$2:$CK$25,MATCH($E20,DEMANDS!$E$2:$E$25,0),FALSE)</f>
        <v>0.11845849557321259</v>
      </c>
      <c r="AA20" s="19">
        <f>HLOOKUP(REG_TRA_DEMANDS!AA$3,'BY-Demands'!$J$5:$AK$14,MATCH($E20,'BY-Demands'!$I$5:$I$14,0),FALSE)*HLOOKUP(REG_TRA_DEMANDS!$F20,DEMANDS!$G$2:$CK$25,MATCH($E20,DEMANDS!$E$2:$E$25,0),FALSE)/HLOOKUP(2018,DEMANDS!$G$2:$CK$25,MATCH($E20,DEMANDS!$E$2:$E$25,0),FALSE)</f>
        <v>0.49430472381523977</v>
      </c>
      <c r="AB20" s="19">
        <f>HLOOKUP(REG_TRA_DEMANDS!AB$3,'BY-Demands'!$J$5:$AK$14,MATCH($E20,'BY-Demands'!$I$5:$I$14,0),FALSE)*HLOOKUP(REG_TRA_DEMANDS!$F20,DEMANDS!$G$2:$CK$25,MATCH($E20,DEMANDS!$E$2:$E$25,0),FALSE)/HLOOKUP(2018,DEMANDS!$G$2:$CK$25,MATCH($E20,DEMANDS!$E$2:$E$25,0),FALSE)</f>
        <v>0.25857575731573368</v>
      </c>
      <c r="AC20" s="19">
        <f>HLOOKUP(REG_TRA_DEMANDS!AC$3,'BY-Demands'!$J$5:$AK$14,MATCH($E20,'BY-Demands'!$I$5:$I$14,0),FALSE)*HLOOKUP(REG_TRA_DEMANDS!$F20,DEMANDS!$G$2:$CK$25,MATCH($E20,DEMANDS!$E$2:$E$25,0),FALSE)/HLOOKUP(2018,DEMANDS!$G$2:$CK$25,MATCH($E20,DEMANDS!$E$2:$E$25,0),FALSE)</f>
        <v>0.22797297446794484</v>
      </c>
      <c r="AD20" s="19">
        <f>HLOOKUP(REG_TRA_DEMANDS!AD$3,'BY-Demands'!$J$5:$AK$14,MATCH($E20,'BY-Demands'!$I$5:$I$14,0),FALSE)*HLOOKUP(REG_TRA_DEMANDS!$F20,DEMANDS!$G$2:$CK$25,MATCH($E20,DEMANDS!$E$2:$E$25,0),FALSE)/HLOOKUP(2018,DEMANDS!$G$2:$CK$25,MATCH($E20,DEMANDS!$E$2:$E$25,0),FALSE)</f>
        <v>0.25428092118302231</v>
      </c>
      <c r="AE20" s="19">
        <f>HLOOKUP(REG_TRA_DEMANDS!AE$3,'BY-Demands'!$J$5:$AK$14,MATCH($E20,'BY-Demands'!$I$5:$I$14,0),FALSE)*HLOOKUP(REG_TRA_DEMANDS!$F20,DEMANDS!$G$2:$CK$25,MATCH($E20,DEMANDS!$E$2:$E$25,0),FALSE)/HLOOKUP(2018,DEMANDS!$G$2:$CK$25,MATCH($E20,DEMANDS!$E$2:$E$25,0),FALSE)</f>
        <v>0.49326112405261346</v>
      </c>
      <c r="AF20" s="19">
        <f>HLOOKUP(REG_TRA_DEMANDS!AF$3,'BY-Demands'!$J$5:$AK$14,MATCH($E20,'BY-Demands'!$I$5:$I$14,0),FALSE)*HLOOKUP(REG_TRA_DEMANDS!$F20,DEMANDS!$G$2:$CK$25,MATCH($E20,DEMANDS!$E$2:$E$25,0),FALSE)/HLOOKUP(2018,DEMANDS!$G$2:$CK$25,MATCH($E20,DEMANDS!$E$2:$E$25,0),FALSE)</f>
        <v>0.23657500107056817</v>
      </c>
    </row>
    <row r="21" spans="4:32" ht="14.5">
      <c r="D21" t="s">
        <v>6</v>
      </c>
      <c r="E21" t="str">
        <f>DEMANDS!$E$17</f>
        <v>TRAPS</v>
      </c>
      <c r="F21">
        <v>2037</v>
      </c>
      <c r="G21" s="19">
        <f>HLOOKUP(REG_TRA_DEMANDS!G$3,'BY-Demands'!$J$5:$AK$14,MATCH($E21,'BY-Demands'!$I$5:$I$14,0),FALSE)*HLOOKUP(REG_TRA_DEMANDS!$F21,DEMANDS!$G$2:$CK$25,MATCH($E21,DEMANDS!$E$2:$E$25,0),FALSE)/HLOOKUP(2018,DEMANDS!$G$2:$CK$25,MATCH($E21,DEMANDS!$E$2:$E$25,0),FALSE)</f>
        <v>0.21999786446731348</v>
      </c>
      <c r="H21" s="19">
        <f>HLOOKUP(REG_TRA_DEMANDS!H$3,'BY-Demands'!$J$5:$AK$14,MATCH($E21,'BY-Demands'!$I$5:$I$14,0),FALSE)*HLOOKUP(REG_TRA_DEMANDS!$F21,DEMANDS!$G$2:$CK$25,MATCH($E21,DEMANDS!$E$2:$E$25,0),FALSE)/HLOOKUP(2018,DEMANDS!$G$2:$CK$25,MATCH($E21,DEMANDS!$E$2:$E$25,0),FALSE)</f>
        <v>4.3982789334089851</v>
      </c>
      <c r="I21" s="19">
        <f>HLOOKUP(REG_TRA_DEMANDS!I$3,'BY-Demands'!$J$5:$AK$14,MATCH($E21,'BY-Demands'!$I$5:$I$14,0),FALSE)*HLOOKUP(REG_TRA_DEMANDS!$F21,DEMANDS!$G$2:$CK$25,MATCH($E21,DEMANDS!$E$2:$E$25,0),FALSE)/HLOOKUP(2018,DEMANDS!$G$2:$CK$25,MATCH($E21,DEMANDS!$E$2:$E$25,0),FALSE)</f>
        <v>0.81115296659368807</v>
      </c>
      <c r="J21" s="19">
        <f>HLOOKUP(REG_TRA_DEMANDS!J$3,'BY-Demands'!$J$5:$AK$14,MATCH($E21,'BY-Demands'!$I$5:$I$14,0),FALSE)*HLOOKUP(REG_TRA_DEMANDS!$F21,DEMANDS!$G$2:$CK$25,MATCH($E21,DEMANDS!$E$2:$E$25,0),FALSE)/HLOOKUP(2018,DEMANDS!$G$2:$CK$25,MATCH($E21,DEMANDS!$E$2:$E$25,0),FALSE)</f>
        <v>0.37632262225686069</v>
      </c>
      <c r="K21" s="19">
        <f>HLOOKUP(REG_TRA_DEMANDS!K$3,'BY-Demands'!$J$5:$AK$14,MATCH($E21,'BY-Demands'!$I$5:$I$14,0),FALSE)*HLOOKUP(REG_TRA_DEMANDS!$F21,DEMANDS!$G$2:$CK$25,MATCH($E21,DEMANDS!$E$2:$E$25,0),FALSE)/HLOOKUP(2018,DEMANDS!$G$2:$CK$25,MATCH($E21,DEMANDS!$E$2:$E$25,0),FALSE)</f>
        <v>0.29669259906756335</v>
      </c>
      <c r="L21" s="19">
        <f>HLOOKUP(REG_TRA_DEMANDS!L$3,'BY-Demands'!$J$5:$AK$14,MATCH($E21,'BY-Demands'!$I$5:$I$14,0),FALSE)*HLOOKUP(REG_TRA_DEMANDS!$F21,DEMANDS!$G$2:$CK$25,MATCH($E21,DEMANDS!$E$2:$E$25,0),FALSE)/HLOOKUP(2018,DEMANDS!$G$2:$CK$25,MATCH($E21,DEMANDS!$E$2:$E$25,0),FALSE)</f>
        <v>0.14907791253772681</v>
      </c>
      <c r="M21" s="19">
        <f>HLOOKUP(REG_TRA_DEMANDS!M$3,'BY-Demands'!$J$5:$AK$14,MATCH($E21,'BY-Demands'!$I$5:$I$14,0),FALSE)*HLOOKUP(REG_TRA_DEMANDS!$F21,DEMANDS!$G$2:$CK$25,MATCH($E21,DEMANDS!$E$2:$E$25,0),FALSE)/HLOOKUP(2018,DEMANDS!$G$2:$CK$25,MATCH($E21,DEMANDS!$E$2:$E$25,0),FALSE)</f>
        <v>0.42748275869563945</v>
      </c>
      <c r="N21" s="19">
        <f>HLOOKUP(REG_TRA_DEMANDS!N$3,'BY-Demands'!$J$5:$AK$14,MATCH($E21,'BY-Demands'!$I$5:$I$14,0),FALSE)*HLOOKUP(REG_TRA_DEMANDS!$F21,DEMANDS!$G$2:$CK$25,MATCH($E21,DEMANDS!$E$2:$E$25,0),FALSE)/HLOOKUP(2018,DEMANDS!$G$2:$CK$25,MATCH($E21,DEMANDS!$E$2:$E$25,0),FALSE)</f>
        <v>0.7036475679911296</v>
      </c>
      <c r="O21" s="19">
        <f>HLOOKUP(REG_TRA_DEMANDS!O$3,'BY-Demands'!$J$5:$AK$14,MATCH($E21,'BY-Demands'!$I$5:$I$14,0),FALSE)*HLOOKUP(REG_TRA_DEMANDS!$F21,DEMANDS!$G$2:$CK$25,MATCH($E21,DEMANDS!$E$2:$E$25,0),FALSE)/HLOOKUP(2018,DEMANDS!$G$2:$CK$25,MATCH($E21,DEMANDS!$E$2:$E$25,0),FALSE)</f>
        <v>0.29127692264619987</v>
      </c>
      <c r="P21" s="19">
        <f>HLOOKUP(REG_TRA_DEMANDS!P$3,'BY-Demands'!$J$5:$AK$14,MATCH($E21,'BY-Demands'!$I$5:$I$14,0),FALSE)*HLOOKUP(REG_TRA_DEMANDS!$F21,DEMANDS!$G$2:$CK$25,MATCH($E21,DEMANDS!$E$2:$E$25,0),FALSE)/HLOOKUP(2018,DEMANDS!$G$2:$CK$25,MATCH($E21,DEMANDS!$E$2:$E$25,0),FALSE)</f>
        <v>0.33015924243409006</v>
      </c>
      <c r="Q21" s="19">
        <f>HLOOKUP(REG_TRA_DEMANDS!Q$3,'BY-Demands'!$J$5:$AK$14,MATCH($E21,'BY-Demands'!$I$5:$I$14,0),FALSE)*HLOOKUP(REG_TRA_DEMANDS!$F21,DEMANDS!$G$2:$CK$25,MATCH($E21,DEMANDS!$E$2:$E$25,0),FALSE)/HLOOKUP(2018,DEMANDS!$G$2:$CK$25,MATCH($E21,DEMANDS!$E$2:$E$25,0),FALSE)</f>
        <v>0.57462161362324082</v>
      </c>
      <c r="R21" s="19">
        <f>HLOOKUP(REG_TRA_DEMANDS!R$3,'BY-Demands'!$J$5:$AK$14,MATCH($E21,'BY-Demands'!$I$5:$I$14,0),FALSE)*HLOOKUP(REG_TRA_DEMANDS!$F21,DEMANDS!$G$2:$CK$25,MATCH($E21,DEMANDS!$E$2:$E$25,0),FALSE)/HLOOKUP(2018,DEMANDS!$G$2:$CK$25,MATCH($E21,DEMANDS!$E$2:$E$25,0),FALSE)</f>
        <v>0.50828307945741336</v>
      </c>
      <c r="S21" s="19">
        <f>HLOOKUP(REG_TRA_DEMANDS!S$3,'BY-Demands'!$J$5:$AK$14,MATCH($E21,'BY-Demands'!$I$5:$I$14,0),FALSE)*HLOOKUP(REG_TRA_DEMANDS!$F21,DEMANDS!$G$2:$CK$25,MATCH($E21,DEMANDS!$E$2:$E$25,0),FALSE)/HLOOKUP(2018,DEMANDS!$G$2:$CK$25,MATCH($E21,DEMANDS!$E$2:$E$25,0),FALSE)</f>
        <v>0.44735121282262708</v>
      </c>
      <c r="T21" s="19">
        <f>HLOOKUP(REG_TRA_DEMANDS!T$3,'BY-Demands'!$J$5:$AK$14,MATCH($E21,'BY-Demands'!$I$5:$I$14,0),FALSE)*HLOOKUP(REG_TRA_DEMANDS!$F21,DEMANDS!$G$2:$CK$25,MATCH($E21,DEMANDS!$E$2:$E$25,0),FALSE)/HLOOKUP(2018,DEMANDS!$G$2:$CK$25,MATCH($E21,DEMANDS!$E$2:$E$25,0),FALSE)</f>
        <v>1.8917887530315014</v>
      </c>
      <c r="U21" s="19">
        <f>HLOOKUP(REG_TRA_DEMANDS!U$3,'BY-Demands'!$J$5:$AK$14,MATCH($E21,'BY-Demands'!$I$5:$I$14,0),FALSE)*HLOOKUP(REG_TRA_DEMANDS!$F21,DEMANDS!$G$2:$CK$25,MATCH($E21,DEMANDS!$E$2:$E$25,0),FALSE)/HLOOKUP(2018,DEMANDS!$G$2:$CK$25,MATCH($E21,DEMANDS!$E$2:$E$25,0),FALSE)</f>
        <v>0.57922144541112863</v>
      </c>
      <c r="V21" s="19">
        <f>HLOOKUP(REG_TRA_DEMANDS!V$3,'BY-Demands'!$J$5:$AK$14,MATCH($E21,'BY-Demands'!$I$5:$I$14,0),FALSE)*HLOOKUP(REG_TRA_DEMANDS!$F21,DEMANDS!$G$2:$CK$25,MATCH($E21,DEMANDS!$E$2:$E$25,0),FALSE)/HLOOKUP(2018,DEMANDS!$G$2:$CK$25,MATCH($E21,DEMANDS!$E$2:$E$25,0),FALSE)</f>
        <v>0.69067464927777944</v>
      </c>
      <c r="W21" s="19">
        <f>HLOOKUP(REG_TRA_DEMANDS!W$3,'BY-Demands'!$J$5:$AK$14,MATCH($E21,'BY-Demands'!$I$5:$I$14,0),FALSE)*HLOOKUP(REG_TRA_DEMANDS!$F21,DEMANDS!$G$2:$CK$25,MATCH($E21,DEMANDS!$E$2:$E$25,0),FALSE)/HLOOKUP(2018,DEMANDS!$G$2:$CK$25,MATCH($E21,DEMANDS!$E$2:$E$25,0),FALSE)</f>
        <v>0.62966744498333171</v>
      </c>
      <c r="X21" s="19">
        <f>HLOOKUP(REG_TRA_DEMANDS!X$3,'BY-Demands'!$J$5:$AK$14,MATCH($E21,'BY-Demands'!$I$5:$I$14,0),FALSE)*HLOOKUP(REG_TRA_DEMANDS!$F21,DEMANDS!$G$2:$CK$25,MATCH($E21,DEMANDS!$E$2:$E$25,0),FALSE)/HLOOKUP(2018,DEMANDS!$G$2:$CK$25,MATCH($E21,DEMANDS!$E$2:$E$25,0),FALSE)</f>
        <v>0.4181194080802581</v>
      </c>
      <c r="Y21" s="19">
        <f>HLOOKUP(REG_TRA_DEMANDS!Y$3,'BY-Demands'!$J$5:$AK$14,MATCH($E21,'BY-Demands'!$I$5:$I$14,0),FALSE)*HLOOKUP(REG_TRA_DEMANDS!$F21,DEMANDS!$G$2:$CK$25,MATCH($E21,DEMANDS!$E$2:$E$25,0),FALSE)/HLOOKUP(2018,DEMANDS!$G$2:$CK$25,MATCH($E21,DEMANDS!$E$2:$E$25,0),FALSE)</f>
        <v>0.9345249220429247</v>
      </c>
      <c r="Z21" s="19">
        <f>HLOOKUP(REG_TRA_DEMANDS!Z$3,'BY-Demands'!$J$5:$AK$14,MATCH($E21,'BY-Demands'!$I$5:$I$14,0),FALSE)*HLOOKUP(REG_TRA_DEMANDS!$F21,DEMANDS!$G$2:$CK$25,MATCH($E21,DEMANDS!$E$2:$E$25,0),FALSE)/HLOOKUP(2018,DEMANDS!$G$2:$CK$25,MATCH($E21,DEMANDS!$E$2:$E$25,0),FALSE)</f>
        <v>0.11993922676787773</v>
      </c>
      <c r="AA21" s="19">
        <f>HLOOKUP(REG_TRA_DEMANDS!AA$3,'BY-Demands'!$J$5:$AK$14,MATCH($E21,'BY-Demands'!$I$5:$I$14,0),FALSE)*HLOOKUP(REG_TRA_DEMANDS!$F21,DEMANDS!$G$2:$CK$25,MATCH($E21,DEMANDS!$E$2:$E$25,0),FALSE)/HLOOKUP(2018,DEMANDS!$G$2:$CK$25,MATCH($E21,DEMANDS!$E$2:$E$25,0),FALSE)</f>
        <v>0.50048353286293012</v>
      </c>
      <c r="AB21" s="19">
        <f>HLOOKUP(REG_TRA_DEMANDS!AB$3,'BY-Demands'!$J$5:$AK$14,MATCH($E21,'BY-Demands'!$I$5:$I$14,0),FALSE)*HLOOKUP(REG_TRA_DEMANDS!$F21,DEMANDS!$G$2:$CK$25,MATCH($E21,DEMANDS!$E$2:$E$25,0),FALSE)/HLOOKUP(2018,DEMANDS!$G$2:$CK$25,MATCH($E21,DEMANDS!$E$2:$E$25,0),FALSE)</f>
        <v>0.26180795428218034</v>
      </c>
      <c r="AC21" s="19">
        <f>HLOOKUP(REG_TRA_DEMANDS!AC$3,'BY-Demands'!$J$5:$AK$14,MATCH($E21,'BY-Demands'!$I$5:$I$14,0),FALSE)*HLOOKUP(REG_TRA_DEMANDS!$F21,DEMANDS!$G$2:$CK$25,MATCH($E21,DEMANDS!$E$2:$E$25,0),FALSE)/HLOOKUP(2018,DEMANDS!$G$2:$CK$25,MATCH($E21,DEMANDS!$E$2:$E$25,0),FALSE)</f>
        <v>0.23082263664879413</v>
      </c>
      <c r="AD21" s="19">
        <f>HLOOKUP(REG_TRA_DEMANDS!AD$3,'BY-Demands'!$J$5:$AK$14,MATCH($E21,'BY-Demands'!$I$5:$I$14,0),FALSE)*HLOOKUP(REG_TRA_DEMANDS!$F21,DEMANDS!$G$2:$CK$25,MATCH($E21,DEMANDS!$E$2:$E$25,0),FALSE)/HLOOKUP(2018,DEMANDS!$G$2:$CK$25,MATCH($E21,DEMANDS!$E$2:$E$25,0),FALSE)</f>
        <v>0.25745943269781002</v>
      </c>
      <c r="AE21" s="19">
        <f>HLOOKUP(REG_TRA_DEMANDS!AE$3,'BY-Demands'!$J$5:$AK$14,MATCH($E21,'BY-Demands'!$I$5:$I$14,0),FALSE)*HLOOKUP(REG_TRA_DEMANDS!$F21,DEMANDS!$G$2:$CK$25,MATCH($E21,DEMANDS!$E$2:$E$25,0),FALSE)/HLOOKUP(2018,DEMANDS!$G$2:$CK$25,MATCH($E21,DEMANDS!$E$2:$E$25,0),FALSE)</f>
        <v>0.49942688810327102</v>
      </c>
      <c r="AF21" s="19">
        <f>HLOOKUP(REG_TRA_DEMANDS!AF$3,'BY-Demands'!$J$5:$AK$14,MATCH($E21,'BY-Demands'!$I$5:$I$14,0),FALSE)*HLOOKUP(REG_TRA_DEMANDS!$F21,DEMANDS!$G$2:$CK$25,MATCH($E21,DEMANDS!$E$2:$E$25,0),FALSE)/HLOOKUP(2018,DEMANDS!$G$2:$CK$25,MATCH($E21,DEMANDS!$E$2:$E$25,0),FALSE)</f>
        <v>0.23953218858395023</v>
      </c>
    </row>
    <row r="22" spans="4:32" ht="14.5">
      <c r="D22" t="s">
        <v>6</v>
      </c>
      <c r="E22" t="str">
        <f>DEMANDS!$E$17</f>
        <v>TRAPS</v>
      </c>
      <c r="F22">
        <v>2038</v>
      </c>
      <c r="G22" s="19">
        <f>HLOOKUP(REG_TRA_DEMANDS!G$3,'BY-Demands'!$J$5:$AK$14,MATCH($E22,'BY-Demands'!$I$5:$I$14,0),FALSE)*HLOOKUP(REG_TRA_DEMANDS!$F22,DEMANDS!$G$2:$CK$25,MATCH($E22,DEMANDS!$E$2:$E$25,0),FALSE)/HLOOKUP(2018,DEMANDS!$G$2:$CK$25,MATCH($E22,DEMANDS!$E$2:$E$25,0),FALSE)</f>
        <v>0.22274783777315491</v>
      </c>
      <c r="H22" s="19">
        <f>HLOOKUP(REG_TRA_DEMANDS!H$3,'BY-Demands'!$J$5:$AK$14,MATCH($E22,'BY-Demands'!$I$5:$I$14,0),FALSE)*HLOOKUP(REG_TRA_DEMANDS!$F22,DEMANDS!$G$2:$CK$25,MATCH($E22,DEMANDS!$E$2:$E$25,0),FALSE)/HLOOKUP(2018,DEMANDS!$G$2:$CK$25,MATCH($E22,DEMANDS!$E$2:$E$25,0),FALSE)</f>
        <v>4.4532574200765964</v>
      </c>
      <c r="I22" s="19">
        <f>HLOOKUP(REG_TRA_DEMANDS!I$3,'BY-Demands'!$J$5:$AK$14,MATCH($E22,'BY-Demands'!$I$5:$I$14,0),FALSE)*HLOOKUP(REG_TRA_DEMANDS!$F22,DEMANDS!$G$2:$CK$25,MATCH($E22,DEMANDS!$E$2:$E$25,0),FALSE)/HLOOKUP(2018,DEMANDS!$G$2:$CK$25,MATCH($E22,DEMANDS!$E$2:$E$25,0),FALSE)</f>
        <v>0.82129237867610916</v>
      </c>
      <c r="J22" s="19">
        <f>HLOOKUP(REG_TRA_DEMANDS!J$3,'BY-Demands'!$J$5:$AK$14,MATCH($E22,'BY-Demands'!$I$5:$I$14,0),FALSE)*HLOOKUP(REG_TRA_DEMANDS!$F22,DEMANDS!$G$2:$CK$25,MATCH($E22,DEMANDS!$E$2:$E$25,0),FALSE)/HLOOKUP(2018,DEMANDS!$G$2:$CK$25,MATCH($E22,DEMANDS!$E$2:$E$25,0),FALSE)</f>
        <v>0.38102665503507144</v>
      </c>
      <c r="K22" s="19">
        <f>HLOOKUP(REG_TRA_DEMANDS!K$3,'BY-Demands'!$J$5:$AK$14,MATCH($E22,'BY-Demands'!$I$5:$I$14,0),FALSE)*HLOOKUP(REG_TRA_DEMANDS!$F22,DEMANDS!$G$2:$CK$25,MATCH($E22,DEMANDS!$E$2:$E$25,0),FALSE)/HLOOKUP(2018,DEMANDS!$G$2:$CK$25,MATCH($E22,DEMANDS!$E$2:$E$25,0),FALSE)</f>
        <v>0.30040125655590783</v>
      </c>
      <c r="L22" s="19">
        <f>HLOOKUP(REG_TRA_DEMANDS!L$3,'BY-Demands'!$J$5:$AK$14,MATCH($E22,'BY-Demands'!$I$5:$I$14,0),FALSE)*HLOOKUP(REG_TRA_DEMANDS!$F22,DEMANDS!$G$2:$CK$25,MATCH($E22,DEMANDS!$E$2:$E$25,0),FALSE)/HLOOKUP(2018,DEMANDS!$G$2:$CK$25,MATCH($E22,DEMANDS!$E$2:$E$25,0),FALSE)</f>
        <v>0.15094138644444841</v>
      </c>
      <c r="M22" s="19">
        <f>HLOOKUP(REG_TRA_DEMANDS!M$3,'BY-Demands'!$J$5:$AK$14,MATCH($E22,'BY-Demands'!$I$5:$I$14,0),FALSE)*HLOOKUP(REG_TRA_DEMANDS!$F22,DEMANDS!$G$2:$CK$25,MATCH($E22,DEMANDS!$E$2:$E$25,0),FALSE)/HLOOKUP(2018,DEMANDS!$G$2:$CK$25,MATCH($E22,DEMANDS!$E$2:$E$25,0),FALSE)</f>
        <v>0.43282629317933491</v>
      </c>
      <c r="N22" s="19">
        <f>HLOOKUP(REG_TRA_DEMANDS!N$3,'BY-Demands'!$J$5:$AK$14,MATCH($E22,'BY-Demands'!$I$5:$I$14,0),FALSE)*HLOOKUP(REG_TRA_DEMANDS!$F22,DEMANDS!$G$2:$CK$25,MATCH($E22,DEMANDS!$E$2:$E$25,0),FALSE)/HLOOKUP(2018,DEMANDS!$G$2:$CK$25,MATCH($E22,DEMANDS!$E$2:$E$25,0),FALSE)</f>
        <v>0.7124431625910187</v>
      </c>
      <c r="O22" s="19">
        <f>HLOOKUP(REG_TRA_DEMANDS!O$3,'BY-Demands'!$J$5:$AK$14,MATCH($E22,'BY-Demands'!$I$5:$I$14,0),FALSE)*HLOOKUP(REG_TRA_DEMANDS!$F22,DEMANDS!$G$2:$CK$25,MATCH($E22,DEMANDS!$E$2:$E$25,0),FALSE)/HLOOKUP(2018,DEMANDS!$G$2:$CK$25,MATCH($E22,DEMANDS!$E$2:$E$25,0),FALSE)</f>
        <v>0.29491788417927728</v>
      </c>
      <c r="P22" s="19">
        <f>HLOOKUP(REG_TRA_DEMANDS!P$3,'BY-Demands'!$J$5:$AK$14,MATCH($E22,'BY-Demands'!$I$5:$I$14,0),FALSE)*HLOOKUP(REG_TRA_DEMANDS!$F22,DEMANDS!$G$2:$CK$25,MATCH($E22,DEMANDS!$E$2:$E$25,0),FALSE)/HLOOKUP(2018,DEMANDS!$G$2:$CK$25,MATCH($E22,DEMANDS!$E$2:$E$25,0),FALSE)</f>
        <v>0.33428623296451621</v>
      </c>
      <c r="Q22" s="19">
        <f>HLOOKUP(REG_TRA_DEMANDS!Q$3,'BY-Demands'!$J$5:$AK$14,MATCH($E22,'BY-Demands'!$I$5:$I$14,0),FALSE)*HLOOKUP(REG_TRA_DEMANDS!$F22,DEMANDS!$G$2:$CK$25,MATCH($E22,DEMANDS!$E$2:$E$25,0),FALSE)/HLOOKUP(2018,DEMANDS!$G$2:$CK$25,MATCH($E22,DEMANDS!$E$2:$E$25,0),FALSE)</f>
        <v>0.58180438379353139</v>
      </c>
      <c r="R22" s="19">
        <f>HLOOKUP(REG_TRA_DEMANDS!R$3,'BY-Demands'!$J$5:$AK$14,MATCH($E22,'BY-Demands'!$I$5:$I$14,0),FALSE)*HLOOKUP(REG_TRA_DEMANDS!$F22,DEMANDS!$G$2:$CK$25,MATCH($E22,DEMANDS!$E$2:$E$25,0),FALSE)/HLOOKUP(2018,DEMANDS!$G$2:$CK$25,MATCH($E22,DEMANDS!$E$2:$E$25,0),FALSE)</f>
        <v>0.51463661795063098</v>
      </c>
      <c r="S22" s="19">
        <f>HLOOKUP(REG_TRA_DEMANDS!S$3,'BY-Demands'!$J$5:$AK$14,MATCH($E22,'BY-Demands'!$I$5:$I$14,0),FALSE)*HLOOKUP(REG_TRA_DEMANDS!$F22,DEMANDS!$G$2:$CK$25,MATCH($E22,DEMANDS!$E$2:$E$25,0),FALSE)/HLOOKUP(2018,DEMANDS!$G$2:$CK$25,MATCH($E22,DEMANDS!$E$2:$E$25,0),FALSE)</f>
        <v>0.45294310298290991</v>
      </c>
      <c r="T22" s="19">
        <f>HLOOKUP(REG_TRA_DEMANDS!T$3,'BY-Demands'!$J$5:$AK$14,MATCH($E22,'BY-Demands'!$I$5:$I$14,0),FALSE)*HLOOKUP(REG_TRA_DEMANDS!$F22,DEMANDS!$G$2:$CK$25,MATCH($E22,DEMANDS!$E$2:$E$25,0),FALSE)/HLOOKUP(2018,DEMANDS!$G$2:$CK$25,MATCH($E22,DEMANDS!$E$2:$E$25,0),FALSE)</f>
        <v>1.915436112444395</v>
      </c>
      <c r="U22" s="19">
        <f>HLOOKUP(REG_TRA_DEMANDS!U$3,'BY-Demands'!$J$5:$AK$14,MATCH($E22,'BY-Demands'!$I$5:$I$14,0),FALSE)*HLOOKUP(REG_TRA_DEMANDS!$F22,DEMANDS!$G$2:$CK$25,MATCH($E22,DEMANDS!$E$2:$E$25,0),FALSE)/HLOOKUP(2018,DEMANDS!$G$2:$CK$25,MATCH($E22,DEMANDS!$E$2:$E$25,0),FALSE)</f>
        <v>0.58646171347876763</v>
      </c>
      <c r="V22" s="19">
        <f>HLOOKUP(REG_TRA_DEMANDS!V$3,'BY-Demands'!$J$5:$AK$14,MATCH($E22,'BY-Demands'!$I$5:$I$14,0),FALSE)*HLOOKUP(REG_TRA_DEMANDS!$F22,DEMANDS!$G$2:$CK$25,MATCH($E22,DEMANDS!$E$2:$E$25,0),FALSE)/HLOOKUP(2018,DEMANDS!$G$2:$CK$25,MATCH($E22,DEMANDS!$E$2:$E$25,0),FALSE)</f>
        <v>0.69930808239375175</v>
      </c>
      <c r="W22" s="19">
        <f>HLOOKUP(REG_TRA_DEMANDS!W$3,'BY-Demands'!$J$5:$AK$14,MATCH($E22,'BY-Demands'!$I$5:$I$14,0),FALSE)*HLOOKUP(REG_TRA_DEMANDS!$F22,DEMANDS!$G$2:$CK$25,MATCH($E22,DEMANDS!$E$2:$E$25,0),FALSE)/HLOOKUP(2018,DEMANDS!$G$2:$CK$25,MATCH($E22,DEMANDS!$E$2:$E$25,0),FALSE)</f>
        <v>0.63753828804562329</v>
      </c>
      <c r="X22" s="19">
        <f>HLOOKUP(REG_TRA_DEMANDS!X$3,'BY-Demands'!$J$5:$AK$14,MATCH($E22,'BY-Demands'!$I$5:$I$14,0),FALSE)*HLOOKUP(REG_TRA_DEMANDS!$F22,DEMANDS!$G$2:$CK$25,MATCH($E22,DEMANDS!$E$2:$E$25,0),FALSE)/HLOOKUP(2018,DEMANDS!$G$2:$CK$25,MATCH($E22,DEMANDS!$E$2:$E$25,0),FALSE)</f>
        <v>0.42334590068126127</v>
      </c>
      <c r="Y22" s="19">
        <f>HLOOKUP(REG_TRA_DEMANDS!Y$3,'BY-Demands'!$J$5:$AK$14,MATCH($E22,'BY-Demands'!$I$5:$I$14,0),FALSE)*HLOOKUP(REG_TRA_DEMANDS!$F22,DEMANDS!$G$2:$CK$25,MATCH($E22,DEMANDS!$E$2:$E$25,0),FALSE)/HLOOKUP(2018,DEMANDS!$G$2:$CK$25,MATCH($E22,DEMANDS!$E$2:$E$25,0),FALSE)</f>
        <v>0.94620648356846115</v>
      </c>
      <c r="Z22" s="19">
        <f>HLOOKUP(REG_TRA_DEMANDS!Z$3,'BY-Demands'!$J$5:$AK$14,MATCH($E22,'BY-Demands'!$I$5:$I$14,0),FALSE)*HLOOKUP(REG_TRA_DEMANDS!$F22,DEMANDS!$G$2:$CK$25,MATCH($E22,DEMANDS!$E$2:$E$25,0),FALSE)/HLOOKUP(2018,DEMANDS!$G$2:$CK$25,MATCH($E22,DEMANDS!$E$2:$E$25,0),FALSE)</f>
        <v>0.1214384671024762</v>
      </c>
      <c r="AA22" s="19">
        <f>HLOOKUP(REG_TRA_DEMANDS!AA$3,'BY-Demands'!$J$5:$AK$14,MATCH($E22,'BY-Demands'!$I$5:$I$14,0),FALSE)*HLOOKUP(REG_TRA_DEMANDS!$F22,DEMANDS!$G$2:$CK$25,MATCH($E22,DEMANDS!$E$2:$E$25,0),FALSE)/HLOOKUP(2018,DEMANDS!$G$2:$CK$25,MATCH($E22,DEMANDS!$E$2:$E$25,0),FALSE)</f>
        <v>0.50673957702371675</v>
      </c>
      <c r="AB22" s="19">
        <f>HLOOKUP(REG_TRA_DEMANDS!AB$3,'BY-Demands'!$J$5:$AK$14,MATCH($E22,'BY-Demands'!$I$5:$I$14,0),FALSE)*HLOOKUP(REG_TRA_DEMANDS!$F22,DEMANDS!$G$2:$CK$25,MATCH($E22,DEMANDS!$E$2:$E$25,0),FALSE)/HLOOKUP(2018,DEMANDS!$G$2:$CK$25,MATCH($E22,DEMANDS!$E$2:$E$25,0),FALSE)</f>
        <v>0.26508055371070754</v>
      </c>
      <c r="AC22" s="19">
        <f>HLOOKUP(REG_TRA_DEMANDS!AC$3,'BY-Demands'!$J$5:$AK$14,MATCH($E22,'BY-Demands'!$I$5:$I$14,0),FALSE)*HLOOKUP(REG_TRA_DEMANDS!$F22,DEMANDS!$G$2:$CK$25,MATCH($E22,DEMANDS!$E$2:$E$25,0),FALSE)/HLOOKUP(2018,DEMANDS!$G$2:$CK$25,MATCH($E22,DEMANDS!$E$2:$E$25,0),FALSE)</f>
        <v>0.23370791960690404</v>
      </c>
      <c r="AD22" s="19">
        <f>HLOOKUP(REG_TRA_DEMANDS!AD$3,'BY-Demands'!$J$5:$AK$14,MATCH($E22,'BY-Demands'!$I$5:$I$14,0),FALSE)*HLOOKUP(REG_TRA_DEMANDS!$F22,DEMANDS!$G$2:$CK$25,MATCH($E22,DEMANDS!$E$2:$E$25,0),FALSE)/HLOOKUP(2018,DEMANDS!$G$2:$CK$25,MATCH($E22,DEMANDS!$E$2:$E$25,0),FALSE)</f>
        <v>0.26067767560653266</v>
      </c>
      <c r="AE22" s="19">
        <f>HLOOKUP(REG_TRA_DEMANDS!AE$3,'BY-Demands'!$J$5:$AK$14,MATCH($E22,'BY-Demands'!$I$5:$I$14,0),FALSE)*HLOOKUP(REG_TRA_DEMANDS!$F22,DEMANDS!$G$2:$CK$25,MATCH($E22,DEMANDS!$E$2:$E$25,0),FALSE)/HLOOKUP(2018,DEMANDS!$G$2:$CK$25,MATCH($E22,DEMANDS!$E$2:$E$25,0),FALSE)</f>
        <v>0.50566972420456191</v>
      </c>
      <c r="AF22" s="19">
        <f>HLOOKUP(REG_TRA_DEMANDS!AF$3,'BY-Demands'!$J$5:$AK$14,MATCH($E22,'BY-Demands'!$I$5:$I$14,0),FALSE)*HLOOKUP(REG_TRA_DEMANDS!$F22,DEMANDS!$G$2:$CK$25,MATCH($E22,DEMANDS!$E$2:$E$25,0),FALSE)/HLOOKUP(2018,DEMANDS!$G$2:$CK$25,MATCH($E22,DEMANDS!$E$2:$E$25,0),FALSE)</f>
        <v>0.24252634094124961</v>
      </c>
    </row>
    <row r="23" spans="4:32" ht="14.5">
      <c r="D23" t="s">
        <v>6</v>
      </c>
      <c r="E23" t="str">
        <f>DEMANDS!$E$17</f>
        <v>TRAPS</v>
      </c>
      <c r="F23">
        <v>2039</v>
      </c>
      <c r="G23" s="19">
        <f>HLOOKUP(REG_TRA_DEMANDS!G$3,'BY-Demands'!$J$5:$AK$14,MATCH($E23,'BY-Demands'!$I$5:$I$14,0),FALSE)*HLOOKUP(REG_TRA_DEMANDS!$F23,DEMANDS!$G$2:$CK$25,MATCH($E23,DEMANDS!$E$2:$E$25,0),FALSE)/HLOOKUP(2018,DEMANDS!$G$2:$CK$25,MATCH($E23,DEMANDS!$E$2:$E$25,0),FALSE)</f>
        <v>0.22553218574531933</v>
      </c>
      <c r="H23" s="19">
        <f>HLOOKUP(REG_TRA_DEMANDS!H$3,'BY-Demands'!$J$5:$AK$14,MATCH($E23,'BY-Demands'!$I$5:$I$14,0),FALSE)*HLOOKUP(REG_TRA_DEMANDS!$F23,DEMANDS!$G$2:$CK$25,MATCH($E23,DEMANDS!$E$2:$E$25,0),FALSE)/HLOOKUP(2018,DEMANDS!$G$2:$CK$25,MATCH($E23,DEMANDS!$E$2:$E$25,0),FALSE)</f>
        <v>4.5089231378275541</v>
      </c>
      <c r="I23" s="19">
        <f>HLOOKUP(REG_TRA_DEMANDS!I$3,'BY-Demands'!$J$5:$AK$14,MATCH($E23,'BY-Demands'!$I$5:$I$14,0),FALSE)*HLOOKUP(REG_TRA_DEMANDS!$F23,DEMANDS!$G$2:$CK$25,MATCH($E23,DEMANDS!$E$2:$E$25,0),FALSE)/HLOOKUP(2018,DEMANDS!$G$2:$CK$25,MATCH($E23,DEMANDS!$E$2:$E$25,0),FALSE)</f>
        <v>0.83155853340956043</v>
      </c>
      <c r="J23" s="19">
        <f>HLOOKUP(REG_TRA_DEMANDS!J$3,'BY-Demands'!$J$5:$AK$14,MATCH($E23,'BY-Demands'!$I$5:$I$14,0),FALSE)*HLOOKUP(REG_TRA_DEMANDS!$F23,DEMANDS!$G$2:$CK$25,MATCH($E23,DEMANDS!$E$2:$E$25,0),FALSE)/HLOOKUP(2018,DEMANDS!$G$2:$CK$25,MATCH($E23,DEMANDS!$E$2:$E$25,0),FALSE)</f>
        <v>0.38578948822300985</v>
      </c>
      <c r="K23" s="19">
        <f>HLOOKUP(REG_TRA_DEMANDS!K$3,'BY-Demands'!$J$5:$AK$14,MATCH($E23,'BY-Demands'!$I$5:$I$14,0),FALSE)*HLOOKUP(REG_TRA_DEMANDS!$F23,DEMANDS!$G$2:$CK$25,MATCH($E23,DEMANDS!$E$2:$E$25,0),FALSE)/HLOOKUP(2018,DEMANDS!$G$2:$CK$25,MATCH($E23,DEMANDS!$E$2:$E$25,0),FALSE)</f>
        <v>0.30415627226285669</v>
      </c>
      <c r="L23" s="19">
        <f>HLOOKUP(REG_TRA_DEMANDS!L$3,'BY-Demands'!$J$5:$AK$14,MATCH($E23,'BY-Demands'!$I$5:$I$14,0),FALSE)*HLOOKUP(REG_TRA_DEMANDS!$F23,DEMANDS!$G$2:$CK$25,MATCH($E23,DEMANDS!$E$2:$E$25,0),FALSE)/HLOOKUP(2018,DEMANDS!$G$2:$CK$25,MATCH($E23,DEMANDS!$E$2:$E$25,0),FALSE)</f>
        <v>0.152828153775004</v>
      </c>
      <c r="M23" s="19">
        <f>HLOOKUP(REG_TRA_DEMANDS!M$3,'BY-Demands'!$J$5:$AK$14,MATCH($E23,'BY-Demands'!$I$5:$I$14,0),FALSE)*HLOOKUP(REG_TRA_DEMANDS!$F23,DEMANDS!$G$2:$CK$25,MATCH($E23,DEMANDS!$E$2:$E$25,0),FALSE)/HLOOKUP(2018,DEMANDS!$G$2:$CK$25,MATCH($E23,DEMANDS!$E$2:$E$25,0),FALSE)</f>
        <v>0.43823662184407658</v>
      </c>
      <c r="N23" s="19">
        <f>HLOOKUP(REG_TRA_DEMANDS!N$3,'BY-Demands'!$J$5:$AK$14,MATCH($E23,'BY-Demands'!$I$5:$I$14,0),FALSE)*HLOOKUP(REG_TRA_DEMANDS!$F23,DEMANDS!$G$2:$CK$25,MATCH($E23,DEMANDS!$E$2:$E$25,0),FALSE)/HLOOKUP(2018,DEMANDS!$G$2:$CK$25,MATCH($E23,DEMANDS!$E$2:$E$25,0),FALSE)</f>
        <v>0.7213487021234064</v>
      </c>
      <c r="O23" s="19">
        <f>HLOOKUP(REG_TRA_DEMANDS!O$3,'BY-Demands'!$J$5:$AK$14,MATCH($E23,'BY-Demands'!$I$5:$I$14,0),FALSE)*HLOOKUP(REG_TRA_DEMANDS!$F23,DEMANDS!$G$2:$CK$25,MATCH($E23,DEMANDS!$E$2:$E$25,0),FALSE)/HLOOKUP(2018,DEMANDS!$G$2:$CK$25,MATCH($E23,DEMANDS!$E$2:$E$25,0),FALSE)</f>
        <v>0.29860435773151822</v>
      </c>
      <c r="P23" s="19">
        <f>HLOOKUP(REG_TRA_DEMANDS!P$3,'BY-Demands'!$J$5:$AK$14,MATCH($E23,'BY-Demands'!$I$5:$I$14,0),FALSE)*HLOOKUP(REG_TRA_DEMANDS!$F23,DEMANDS!$G$2:$CK$25,MATCH($E23,DEMANDS!$E$2:$E$25,0),FALSE)/HLOOKUP(2018,DEMANDS!$G$2:$CK$25,MATCH($E23,DEMANDS!$E$2:$E$25,0),FALSE)</f>
        <v>0.3384648108765726</v>
      </c>
      <c r="Q23" s="19">
        <f>HLOOKUP(REG_TRA_DEMANDS!Q$3,'BY-Demands'!$J$5:$AK$14,MATCH($E23,'BY-Demands'!$I$5:$I$14,0),FALSE)*HLOOKUP(REG_TRA_DEMANDS!$F23,DEMANDS!$G$2:$CK$25,MATCH($E23,DEMANDS!$E$2:$E$25,0),FALSE)/HLOOKUP(2018,DEMANDS!$G$2:$CK$25,MATCH($E23,DEMANDS!$E$2:$E$25,0),FALSE)</f>
        <v>0.58907693859095045</v>
      </c>
      <c r="R23" s="19">
        <f>HLOOKUP(REG_TRA_DEMANDS!R$3,'BY-Demands'!$J$5:$AK$14,MATCH($E23,'BY-Demands'!$I$5:$I$14,0),FALSE)*HLOOKUP(REG_TRA_DEMANDS!$F23,DEMANDS!$G$2:$CK$25,MATCH($E23,DEMANDS!$E$2:$E$25,0),FALSE)/HLOOKUP(2018,DEMANDS!$G$2:$CK$25,MATCH($E23,DEMANDS!$E$2:$E$25,0),FALSE)</f>
        <v>0.52106957567501389</v>
      </c>
      <c r="S23" s="19">
        <f>HLOOKUP(REG_TRA_DEMANDS!S$3,'BY-Demands'!$J$5:$AK$14,MATCH($E23,'BY-Demands'!$I$5:$I$14,0),FALSE)*HLOOKUP(REG_TRA_DEMANDS!$F23,DEMANDS!$G$2:$CK$25,MATCH($E23,DEMANDS!$E$2:$E$25,0),FALSE)/HLOOKUP(2018,DEMANDS!$G$2:$CK$25,MATCH($E23,DEMANDS!$E$2:$E$25,0),FALSE)</f>
        <v>0.45860489177019625</v>
      </c>
      <c r="T23" s="19">
        <f>HLOOKUP(REG_TRA_DEMANDS!T$3,'BY-Demands'!$J$5:$AK$14,MATCH($E23,'BY-Demands'!$I$5:$I$14,0),FALSE)*HLOOKUP(REG_TRA_DEMANDS!$F23,DEMANDS!$G$2:$CK$25,MATCH($E23,DEMANDS!$E$2:$E$25,0),FALSE)/HLOOKUP(2018,DEMANDS!$G$2:$CK$25,MATCH($E23,DEMANDS!$E$2:$E$25,0),FALSE)</f>
        <v>1.93937906384995</v>
      </c>
      <c r="U23" s="19">
        <f>HLOOKUP(REG_TRA_DEMANDS!U$3,'BY-Demands'!$J$5:$AK$14,MATCH($E23,'BY-Demands'!$I$5:$I$14,0),FALSE)*HLOOKUP(REG_TRA_DEMANDS!$F23,DEMANDS!$G$2:$CK$25,MATCH($E23,DEMANDS!$E$2:$E$25,0),FALSE)/HLOOKUP(2018,DEMANDS!$G$2:$CK$25,MATCH($E23,DEMANDS!$E$2:$E$25,0),FALSE)</f>
        <v>0.59379248489725234</v>
      </c>
      <c r="V23" s="19">
        <f>HLOOKUP(REG_TRA_DEMANDS!V$3,'BY-Demands'!$J$5:$AK$14,MATCH($E23,'BY-Demands'!$I$5:$I$14,0),FALSE)*HLOOKUP(REG_TRA_DEMANDS!$F23,DEMANDS!$G$2:$CK$25,MATCH($E23,DEMANDS!$E$2:$E$25,0),FALSE)/HLOOKUP(2018,DEMANDS!$G$2:$CK$25,MATCH($E23,DEMANDS!$E$2:$E$25,0),FALSE)</f>
        <v>0.70804943342367355</v>
      </c>
      <c r="W23" s="19">
        <f>HLOOKUP(REG_TRA_DEMANDS!W$3,'BY-Demands'!$J$5:$AK$14,MATCH($E23,'BY-Demands'!$I$5:$I$14,0),FALSE)*HLOOKUP(REG_TRA_DEMANDS!$F23,DEMANDS!$G$2:$CK$25,MATCH($E23,DEMANDS!$E$2:$E$25,0),FALSE)/HLOOKUP(2018,DEMANDS!$G$2:$CK$25,MATCH($E23,DEMANDS!$E$2:$E$25,0),FALSE)</f>
        <v>0.64550751664619355</v>
      </c>
      <c r="X23" s="19">
        <f>HLOOKUP(REG_TRA_DEMANDS!X$3,'BY-Demands'!$J$5:$AK$14,MATCH($E23,'BY-Demands'!$I$5:$I$14,0),FALSE)*HLOOKUP(REG_TRA_DEMANDS!$F23,DEMANDS!$G$2:$CK$25,MATCH($E23,DEMANDS!$E$2:$E$25,0),FALSE)/HLOOKUP(2018,DEMANDS!$G$2:$CK$25,MATCH($E23,DEMANDS!$E$2:$E$25,0),FALSE)</f>
        <v>0.42863772443977699</v>
      </c>
      <c r="Y23" s="19">
        <f>HLOOKUP(REG_TRA_DEMANDS!Y$3,'BY-Demands'!$J$5:$AK$14,MATCH($E23,'BY-Demands'!$I$5:$I$14,0),FALSE)*HLOOKUP(REG_TRA_DEMANDS!$F23,DEMANDS!$G$2:$CK$25,MATCH($E23,DEMANDS!$E$2:$E$25,0),FALSE)/HLOOKUP(2018,DEMANDS!$G$2:$CK$25,MATCH($E23,DEMANDS!$E$2:$E$25,0),FALSE)</f>
        <v>0.95803406461306684</v>
      </c>
      <c r="Z23" s="19">
        <f>HLOOKUP(REG_TRA_DEMANDS!Z$3,'BY-Demands'!$J$5:$AK$14,MATCH($E23,'BY-Demands'!$I$5:$I$14,0),FALSE)*HLOOKUP(REG_TRA_DEMANDS!$F23,DEMANDS!$G$2:$CK$25,MATCH($E23,DEMANDS!$E$2:$E$25,0),FALSE)/HLOOKUP(2018,DEMANDS!$G$2:$CK$25,MATCH($E23,DEMANDS!$E$2:$E$25,0),FALSE)</f>
        <v>0.12295644794125715</v>
      </c>
      <c r="AA23" s="19">
        <f>HLOOKUP(REG_TRA_DEMANDS!AA$3,'BY-Demands'!$J$5:$AK$14,MATCH($E23,'BY-Demands'!$I$5:$I$14,0),FALSE)*HLOOKUP(REG_TRA_DEMANDS!$F23,DEMANDS!$G$2:$CK$25,MATCH($E23,DEMANDS!$E$2:$E$25,0),FALSE)/HLOOKUP(2018,DEMANDS!$G$2:$CK$25,MATCH($E23,DEMANDS!$E$2:$E$25,0),FALSE)</f>
        <v>0.51307382173651317</v>
      </c>
      <c r="AB23" s="19">
        <f>HLOOKUP(REG_TRA_DEMANDS!AB$3,'BY-Demands'!$J$5:$AK$14,MATCH($E23,'BY-Demands'!$I$5:$I$14,0),FALSE)*HLOOKUP(REG_TRA_DEMANDS!$F23,DEMANDS!$G$2:$CK$25,MATCH($E23,DEMANDS!$E$2:$E$25,0),FALSE)/HLOOKUP(2018,DEMANDS!$G$2:$CK$25,MATCH($E23,DEMANDS!$E$2:$E$25,0),FALSE)</f>
        <v>0.26839406063209137</v>
      </c>
      <c r="AC23" s="19">
        <f>HLOOKUP(REG_TRA_DEMANDS!AC$3,'BY-Demands'!$J$5:$AK$14,MATCH($E23,'BY-Demands'!$I$5:$I$14,0),FALSE)*HLOOKUP(REG_TRA_DEMANDS!$F23,DEMANDS!$G$2:$CK$25,MATCH($E23,DEMANDS!$E$2:$E$25,0),FALSE)/HLOOKUP(2018,DEMANDS!$G$2:$CK$25,MATCH($E23,DEMANDS!$E$2:$E$25,0),FALSE)</f>
        <v>0.23662926860199032</v>
      </c>
      <c r="AD23" s="19">
        <f>HLOOKUP(REG_TRA_DEMANDS!AD$3,'BY-Demands'!$J$5:$AK$14,MATCH($E23,'BY-Demands'!$I$5:$I$14,0),FALSE)*HLOOKUP(REG_TRA_DEMANDS!$F23,DEMANDS!$G$2:$CK$25,MATCH($E23,DEMANDS!$E$2:$E$25,0),FALSE)/HLOOKUP(2018,DEMANDS!$G$2:$CK$25,MATCH($E23,DEMANDS!$E$2:$E$25,0),FALSE)</f>
        <v>0.26393614655161429</v>
      </c>
      <c r="AE23" s="19">
        <f>HLOOKUP(REG_TRA_DEMANDS!AE$3,'BY-Demands'!$J$5:$AK$14,MATCH($E23,'BY-Demands'!$I$5:$I$14,0),FALSE)*HLOOKUP(REG_TRA_DEMANDS!$F23,DEMANDS!$G$2:$CK$25,MATCH($E23,DEMANDS!$E$2:$E$25,0),FALSE)/HLOOKUP(2018,DEMANDS!$G$2:$CK$25,MATCH($E23,DEMANDS!$E$2:$E$25,0),FALSE)</f>
        <v>0.51199059575711892</v>
      </c>
      <c r="AF23" s="19">
        <f>HLOOKUP(REG_TRA_DEMANDS!AF$3,'BY-Demands'!$J$5:$AK$14,MATCH($E23,'BY-Demands'!$I$5:$I$14,0),FALSE)*HLOOKUP(REG_TRA_DEMANDS!$F23,DEMANDS!$G$2:$CK$25,MATCH($E23,DEMANDS!$E$2:$E$25,0),FALSE)/HLOOKUP(2018,DEMANDS!$G$2:$CK$25,MATCH($E23,DEMANDS!$E$2:$E$25,0),FALSE)</f>
        <v>0.24555792020301517</v>
      </c>
    </row>
    <row r="24" spans="4:32" ht="14.5">
      <c r="D24" t="s">
        <v>6</v>
      </c>
      <c r="E24" t="str">
        <f>DEMANDS!$E$17</f>
        <v>TRAPS</v>
      </c>
      <c r="F24">
        <v>2040</v>
      </c>
      <c r="G24" s="19">
        <f>HLOOKUP(REG_TRA_DEMANDS!G$3,'BY-Demands'!$J$5:$AK$14,MATCH($E24,'BY-Demands'!$I$5:$I$14,0),FALSE)*HLOOKUP(REG_TRA_DEMANDS!$F24,DEMANDS!$G$2:$CK$25,MATCH($E24,DEMANDS!$E$2:$E$25,0),FALSE)/HLOOKUP(2018,DEMANDS!$G$2:$CK$25,MATCH($E24,DEMANDS!$E$2:$E$25,0),FALSE)</f>
        <v>0.22835133806713581</v>
      </c>
      <c r="H24" s="19">
        <f>HLOOKUP(REG_TRA_DEMANDS!H$3,'BY-Demands'!$J$5:$AK$14,MATCH($E24,'BY-Demands'!$I$5:$I$14,0),FALSE)*HLOOKUP(REG_TRA_DEMANDS!$F24,DEMANDS!$G$2:$CK$25,MATCH($E24,DEMANDS!$E$2:$E$25,0),FALSE)/HLOOKUP(2018,DEMANDS!$G$2:$CK$25,MATCH($E24,DEMANDS!$E$2:$E$25,0),FALSE)</f>
        <v>4.5652846770503981</v>
      </c>
      <c r="I24" s="19">
        <f>HLOOKUP(REG_TRA_DEMANDS!I$3,'BY-Demands'!$J$5:$AK$14,MATCH($E24,'BY-Demands'!$I$5:$I$14,0),FALSE)*HLOOKUP(REG_TRA_DEMANDS!$F24,DEMANDS!$G$2:$CK$25,MATCH($E24,DEMANDS!$E$2:$E$25,0),FALSE)/HLOOKUP(2018,DEMANDS!$G$2:$CK$25,MATCH($E24,DEMANDS!$E$2:$E$25,0),FALSE)</f>
        <v>0.84195301507718001</v>
      </c>
      <c r="J24" s="19">
        <f>HLOOKUP(REG_TRA_DEMANDS!J$3,'BY-Demands'!$J$5:$AK$14,MATCH($E24,'BY-Demands'!$I$5:$I$14,0),FALSE)*HLOOKUP(REG_TRA_DEMANDS!$F24,DEMANDS!$G$2:$CK$25,MATCH($E24,DEMANDS!$E$2:$E$25,0),FALSE)/HLOOKUP(2018,DEMANDS!$G$2:$CK$25,MATCH($E24,DEMANDS!$E$2:$E$25,0),FALSE)</f>
        <v>0.39061185682579747</v>
      </c>
      <c r="K24" s="19">
        <f>HLOOKUP(REG_TRA_DEMANDS!K$3,'BY-Demands'!$J$5:$AK$14,MATCH($E24,'BY-Demands'!$I$5:$I$14,0),FALSE)*HLOOKUP(REG_TRA_DEMANDS!$F24,DEMANDS!$G$2:$CK$25,MATCH($E24,DEMANDS!$E$2:$E$25,0),FALSE)/HLOOKUP(2018,DEMANDS!$G$2:$CK$25,MATCH($E24,DEMANDS!$E$2:$E$25,0),FALSE)</f>
        <v>0.30795822566614239</v>
      </c>
      <c r="L24" s="19">
        <f>HLOOKUP(REG_TRA_DEMANDS!L$3,'BY-Demands'!$J$5:$AK$14,MATCH($E24,'BY-Demands'!$I$5:$I$14,0),FALSE)*HLOOKUP(REG_TRA_DEMANDS!$F24,DEMANDS!$G$2:$CK$25,MATCH($E24,DEMANDS!$E$2:$E$25,0),FALSE)/HLOOKUP(2018,DEMANDS!$G$2:$CK$25,MATCH($E24,DEMANDS!$E$2:$E$25,0),FALSE)</f>
        <v>0.15473850569719155</v>
      </c>
      <c r="M24" s="19">
        <f>HLOOKUP(REG_TRA_DEMANDS!M$3,'BY-Demands'!$J$5:$AK$14,MATCH($E24,'BY-Demands'!$I$5:$I$14,0),FALSE)*HLOOKUP(REG_TRA_DEMANDS!$F24,DEMANDS!$G$2:$CK$25,MATCH($E24,DEMANDS!$E$2:$E$25,0),FALSE)/HLOOKUP(2018,DEMANDS!$G$2:$CK$25,MATCH($E24,DEMANDS!$E$2:$E$25,0),FALSE)</f>
        <v>0.44371457961712757</v>
      </c>
      <c r="N24" s="19">
        <f>HLOOKUP(REG_TRA_DEMANDS!N$3,'BY-Demands'!$J$5:$AK$14,MATCH($E24,'BY-Demands'!$I$5:$I$14,0),FALSE)*HLOOKUP(REG_TRA_DEMANDS!$F24,DEMANDS!$G$2:$CK$25,MATCH($E24,DEMANDS!$E$2:$E$25,0),FALSE)/HLOOKUP(2018,DEMANDS!$G$2:$CK$25,MATCH($E24,DEMANDS!$E$2:$E$25,0),FALSE)</f>
        <v>0.73036556089994897</v>
      </c>
      <c r="O24" s="19">
        <f>HLOOKUP(REG_TRA_DEMANDS!O$3,'BY-Demands'!$J$5:$AK$14,MATCH($E24,'BY-Demands'!$I$5:$I$14,0),FALSE)*HLOOKUP(REG_TRA_DEMANDS!$F24,DEMANDS!$G$2:$CK$25,MATCH($E24,DEMANDS!$E$2:$E$25,0),FALSE)/HLOOKUP(2018,DEMANDS!$G$2:$CK$25,MATCH($E24,DEMANDS!$E$2:$E$25,0),FALSE)</f>
        <v>0.30233691220316222</v>
      </c>
      <c r="P24" s="19">
        <f>HLOOKUP(REG_TRA_DEMANDS!P$3,'BY-Demands'!$J$5:$AK$14,MATCH($E24,'BY-Demands'!$I$5:$I$14,0),FALSE)*HLOOKUP(REG_TRA_DEMANDS!$F24,DEMANDS!$G$2:$CK$25,MATCH($E24,DEMANDS!$E$2:$E$25,0),FALSE)/HLOOKUP(2018,DEMANDS!$G$2:$CK$25,MATCH($E24,DEMANDS!$E$2:$E$25,0),FALSE)</f>
        <v>0.34269562101252982</v>
      </c>
      <c r="Q24" s="19">
        <f>HLOOKUP(REG_TRA_DEMANDS!Q$3,'BY-Demands'!$J$5:$AK$14,MATCH($E24,'BY-Demands'!$I$5:$I$14,0),FALSE)*HLOOKUP(REG_TRA_DEMANDS!$F24,DEMANDS!$G$2:$CK$25,MATCH($E24,DEMANDS!$E$2:$E$25,0),FALSE)/HLOOKUP(2018,DEMANDS!$G$2:$CK$25,MATCH($E24,DEMANDS!$E$2:$E$25,0),FALSE)</f>
        <v>0.59644040032333734</v>
      </c>
      <c r="R24" s="19">
        <f>HLOOKUP(REG_TRA_DEMANDS!R$3,'BY-Demands'!$J$5:$AK$14,MATCH($E24,'BY-Demands'!$I$5:$I$14,0),FALSE)*HLOOKUP(REG_TRA_DEMANDS!$F24,DEMANDS!$G$2:$CK$25,MATCH($E24,DEMANDS!$E$2:$E$25,0),FALSE)/HLOOKUP(2018,DEMANDS!$G$2:$CK$25,MATCH($E24,DEMANDS!$E$2:$E$25,0),FALSE)</f>
        <v>0.52758294537095152</v>
      </c>
      <c r="S24" s="19">
        <f>HLOOKUP(REG_TRA_DEMANDS!S$3,'BY-Demands'!$J$5:$AK$14,MATCH($E24,'BY-Demands'!$I$5:$I$14,0),FALSE)*HLOOKUP(REG_TRA_DEMANDS!$F24,DEMANDS!$G$2:$CK$25,MATCH($E24,DEMANDS!$E$2:$E$25,0),FALSE)/HLOOKUP(2018,DEMANDS!$G$2:$CK$25,MATCH($E24,DEMANDS!$E$2:$E$25,0),FALSE)</f>
        <v>0.4643374529173237</v>
      </c>
      <c r="T24" s="19">
        <f>HLOOKUP(REG_TRA_DEMANDS!T$3,'BY-Demands'!$J$5:$AK$14,MATCH($E24,'BY-Demands'!$I$5:$I$14,0),FALSE)*HLOOKUP(REG_TRA_DEMANDS!$F24,DEMANDS!$G$2:$CK$25,MATCH($E24,DEMANDS!$E$2:$E$25,0),FALSE)/HLOOKUP(2018,DEMANDS!$G$2:$CK$25,MATCH($E24,DEMANDS!$E$2:$E$25,0),FALSE)</f>
        <v>1.9636213021480744</v>
      </c>
      <c r="U24" s="19">
        <f>HLOOKUP(REG_TRA_DEMANDS!U$3,'BY-Demands'!$J$5:$AK$14,MATCH($E24,'BY-Demands'!$I$5:$I$14,0),FALSE)*HLOOKUP(REG_TRA_DEMANDS!$F24,DEMANDS!$G$2:$CK$25,MATCH($E24,DEMANDS!$E$2:$E$25,0),FALSE)/HLOOKUP(2018,DEMANDS!$G$2:$CK$25,MATCH($E24,DEMANDS!$E$2:$E$25,0),FALSE)</f>
        <v>0.60121489095846792</v>
      </c>
      <c r="V24" s="19">
        <f>HLOOKUP(REG_TRA_DEMANDS!V$3,'BY-Demands'!$J$5:$AK$14,MATCH($E24,'BY-Demands'!$I$5:$I$14,0),FALSE)*HLOOKUP(REG_TRA_DEMANDS!$F24,DEMANDS!$G$2:$CK$25,MATCH($E24,DEMANDS!$E$2:$E$25,0),FALSE)/HLOOKUP(2018,DEMANDS!$G$2:$CK$25,MATCH($E24,DEMANDS!$E$2:$E$25,0),FALSE)</f>
        <v>0.71690005134146939</v>
      </c>
      <c r="W24" s="19">
        <f>HLOOKUP(REG_TRA_DEMANDS!W$3,'BY-Demands'!$J$5:$AK$14,MATCH($E24,'BY-Demands'!$I$5:$I$14,0),FALSE)*HLOOKUP(REG_TRA_DEMANDS!$F24,DEMANDS!$G$2:$CK$25,MATCH($E24,DEMANDS!$E$2:$E$25,0),FALSE)/HLOOKUP(2018,DEMANDS!$G$2:$CK$25,MATCH($E24,DEMANDS!$E$2:$E$25,0),FALSE)</f>
        <v>0.65357636060427104</v>
      </c>
      <c r="X24" s="19">
        <f>HLOOKUP(REG_TRA_DEMANDS!X$3,'BY-Demands'!$J$5:$AK$14,MATCH($E24,'BY-Demands'!$I$5:$I$14,0),FALSE)*HLOOKUP(REG_TRA_DEMANDS!$F24,DEMANDS!$G$2:$CK$25,MATCH($E24,DEMANDS!$E$2:$E$25,0),FALSE)/HLOOKUP(2018,DEMANDS!$G$2:$CK$25,MATCH($E24,DEMANDS!$E$2:$E$25,0),FALSE)</f>
        <v>0.43399569599527421</v>
      </c>
      <c r="Y24" s="19">
        <f>HLOOKUP(REG_TRA_DEMANDS!Y$3,'BY-Demands'!$J$5:$AK$14,MATCH($E24,'BY-Demands'!$I$5:$I$14,0),FALSE)*HLOOKUP(REG_TRA_DEMANDS!$F24,DEMANDS!$G$2:$CK$25,MATCH($E24,DEMANDS!$E$2:$E$25,0),FALSE)/HLOOKUP(2018,DEMANDS!$G$2:$CK$25,MATCH($E24,DEMANDS!$E$2:$E$25,0),FALSE)</f>
        <v>0.97000949042073026</v>
      </c>
      <c r="Z24" s="19">
        <f>HLOOKUP(REG_TRA_DEMANDS!Z$3,'BY-Demands'!$J$5:$AK$14,MATCH($E24,'BY-Demands'!$I$5:$I$14,0),FALSE)*HLOOKUP(REG_TRA_DEMANDS!$F24,DEMANDS!$G$2:$CK$25,MATCH($E24,DEMANDS!$E$2:$E$25,0),FALSE)/HLOOKUP(2018,DEMANDS!$G$2:$CK$25,MATCH($E24,DEMANDS!$E$2:$E$25,0),FALSE)</f>
        <v>0.12449340354052287</v>
      </c>
      <c r="AA24" s="19">
        <f>HLOOKUP(REG_TRA_DEMANDS!AA$3,'BY-Demands'!$J$5:$AK$14,MATCH($E24,'BY-Demands'!$I$5:$I$14,0),FALSE)*HLOOKUP(REG_TRA_DEMANDS!$F24,DEMANDS!$G$2:$CK$25,MATCH($E24,DEMANDS!$E$2:$E$25,0),FALSE)/HLOOKUP(2018,DEMANDS!$G$2:$CK$25,MATCH($E24,DEMANDS!$E$2:$E$25,0),FALSE)</f>
        <v>0.51948724450821959</v>
      </c>
      <c r="AB24" s="19">
        <f>HLOOKUP(REG_TRA_DEMANDS!AB$3,'BY-Demands'!$J$5:$AK$14,MATCH($E24,'BY-Demands'!$I$5:$I$14,0),FALSE)*HLOOKUP(REG_TRA_DEMANDS!$F24,DEMANDS!$G$2:$CK$25,MATCH($E24,DEMANDS!$E$2:$E$25,0),FALSE)/HLOOKUP(2018,DEMANDS!$G$2:$CK$25,MATCH($E24,DEMANDS!$E$2:$E$25,0),FALSE)</f>
        <v>0.27174898638999251</v>
      </c>
      <c r="AC24" s="19">
        <f>HLOOKUP(REG_TRA_DEMANDS!AC$3,'BY-Demands'!$J$5:$AK$14,MATCH($E24,'BY-Demands'!$I$5:$I$14,0),FALSE)*HLOOKUP(REG_TRA_DEMANDS!$F24,DEMANDS!$G$2:$CK$25,MATCH($E24,DEMANDS!$E$2:$E$25,0),FALSE)/HLOOKUP(2018,DEMANDS!$G$2:$CK$25,MATCH($E24,DEMANDS!$E$2:$E$25,0),FALSE)</f>
        <v>0.23958713445951518</v>
      </c>
      <c r="AD24" s="19">
        <f>HLOOKUP(REG_TRA_DEMANDS!AD$3,'BY-Demands'!$J$5:$AK$14,MATCH($E24,'BY-Demands'!$I$5:$I$14,0),FALSE)*HLOOKUP(REG_TRA_DEMANDS!$F24,DEMANDS!$G$2:$CK$25,MATCH($E24,DEMANDS!$E$2:$E$25,0),FALSE)/HLOOKUP(2018,DEMANDS!$G$2:$CK$25,MATCH($E24,DEMANDS!$E$2:$E$25,0),FALSE)</f>
        <v>0.26723534838350949</v>
      </c>
      <c r="AE24" s="19">
        <f>HLOOKUP(REG_TRA_DEMANDS!AE$3,'BY-Demands'!$J$5:$AK$14,MATCH($E24,'BY-Demands'!$I$5:$I$14,0),FALSE)*HLOOKUP(REG_TRA_DEMANDS!$F24,DEMANDS!$G$2:$CK$25,MATCH($E24,DEMANDS!$E$2:$E$25,0),FALSE)/HLOOKUP(2018,DEMANDS!$G$2:$CK$25,MATCH($E24,DEMANDS!$E$2:$E$25,0),FALSE)</f>
        <v>0.51839047820408291</v>
      </c>
      <c r="AF24" s="19">
        <f>HLOOKUP(REG_TRA_DEMANDS!AF$3,'BY-Demands'!$J$5:$AK$14,MATCH($E24,'BY-Demands'!$I$5:$I$14,0),FALSE)*HLOOKUP(REG_TRA_DEMANDS!$F24,DEMANDS!$G$2:$CK$25,MATCH($E24,DEMANDS!$E$2:$E$25,0),FALSE)/HLOOKUP(2018,DEMANDS!$G$2:$CK$25,MATCH($E24,DEMANDS!$E$2:$E$25,0),FALSE)</f>
        <v>0.24862739420555288</v>
      </c>
    </row>
    <row r="25" spans="4:32" ht="14.5">
      <c r="D25" t="s">
        <v>6</v>
      </c>
      <c r="E25" t="str">
        <f>DEMANDS!$E$17</f>
        <v>TRAPS</v>
      </c>
      <c r="F25">
        <v>2045</v>
      </c>
      <c r="G25" s="19">
        <f>HLOOKUP(REG_TRA_DEMANDS!G$3,'BY-Demands'!$J$5:$AK$14,MATCH($E25,'BY-Demands'!$I$5:$I$14,0),FALSE)*HLOOKUP(REG_TRA_DEMANDS!$F25,DEMANDS!$G$2:$CK$25,MATCH($E25,DEMANDS!$E$2:$E$25,0),FALSE)/HLOOKUP(2018,DEMANDS!$G$2:$CK$25,MATCH($E25,DEMANDS!$E$2:$E$25,0),FALSE)</f>
        <v>0.24298458359373973</v>
      </c>
      <c r="H25" s="19">
        <f>HLOOKUP(REG_TRA_DEMANDS!H$3,'BY-Demands'!$J$5:$AK$14,MATCH($E25,'BY-Demands'!$I$5:$I$14,0),FALSE)*HLOOKUP(REG_TRA_DEMANDS!$F25,DEMANDS!$G$2:$CK$25,MATCH($E25,DEMANDS!$E$2:$E$25,0),FALSE)/HLOOKUP(2018,DEMANDS!$G$2:$CK$25,MATCH($E25,DEMANDS!$E$2:$E$25,0),FALSE)</f>
        <v>4.8578379510692287</v>
      </c>
      <c r="I25" s="19">
        <f>HLOOKUP(REG_TRA_DEMANDS!I$3,'BY-Demands'!$J$5:$AK$14,MATCH($E25,'BY-Demands'!$I$5:$I$14,0),FALSE)*HLOOKUP(REG_TRA_DEMANDS!$F25,DEMANDS!$G$2:$CK$25,MATCH($E25,DEMANDS!$E$2:$E$25,0),FALSE)/HLOOKUP(2018,DEMANDS!$G$2:$CK$25,MATCH($E25,DEMANDS!$E$2:$E$25,0),FALSE)</f>
        <v>0.89590717753479854</v>
      </c>
      <c r="J25" s="19">
        <f>HLOOKUP(REG_TRA_DEMANDS!J$3,'BY-Demands'!$J$5:$AK$14,MATCH($E25,'BY-Demands'!$I$5:$I$14,0),FALSE)*HLOOKUP(REG_TRA_DEMANDS!$F25,DEMANDS!$G$2:$CK$25,MATCH($E25,DEMANDS!$E$2:$E$25,0),FALSE)/HLOOKUP(2018,DEMANDS!$G$2:$CK$25,MATCH($E25,DEMANDS!$E$2:$E$25,0),FALSE)</f>
        <v>0.41564310584284525</v>
      </c>
      <c r="K25" s="19">
        <f>HLOOKUP(REG_TRA_DEMANDS!K$3,'BY-Demands'!$J$5:$AK$14,MATCH($E25,'BY-Demands'!$I$5:$I$14,0),FALSE)*HLOOKUP(REG_TRA_DEMANDS!$F25,DEMANDS!$G$2:$CK$25,MATCH($E25,DEMANDS!$E$2:$E$25,0),FALSE)/HLOOKUP(2018,DEMANDS!$G$2:$CK$25,MATCH($E25,DEMANDS!$E$2:$E$25,0),FALSE)</f>
        <v>0.32769285199351278</v>
      </c>
      <c r="L25" s="19">
        <f>HLOOKUP(REG_TRA_DEMANDS!L$3,'BY-Demands'!$J$5:$AK$14,MATCH($E25,'BY-Demands'!$I$5:$I$14,0),FALSE)*HLOOKUP(REG_TRA_DEMANDS!$F25,DEMANDS!$G$2:$CK$25,MATCH($E25,DEMANDS!$E$2:$E$25,0),FALSE)/HLOOKUP(2018,DEMANDS!$G$2:$CK$25,MATCH($E25,DEMANDS!$E$2:$E$25,0),FALSE)</f>
        <v>0.16465448239105743</v>
      </c>
      <c r="M25" s="19">
        <f>HLOOKUP(REG_TRA_DEMANDS!M$3,'BY-Demands'!$J$5:$AK$14,MATCH($E25,'BY-Demands'!$I$5:$I$14,0),FALSE)*HLOOKUP(REG_TRA_DEMANDS!$F25,DEMANDS!$G$2:$CK$25,MATCH($E25,DEMANDS!$E$2:$E$25,0),FALSE)/HLOOKUP(2018,DEMANDS!$G$2:$CK$25,MATCH($E25,DEMANDS!$E$2:$E$25,0),FALSE)</f>
        <v>0.47214876547402107</v>
      </c>
      <c r="N25" s="19">
        <f>HLOOKUP(REG_TRA_DEMANDS!N$3,'BY-Demands'!$J$5:$AK$14,MATCH($E25,'BY-Demands'!$I$5:$I$14,0),FALSE)*HLOOKUP(REG_TRA_DEMANDS!$F25,DEMANDS!$G$2:$CK$25,MATCH($E25,DEMANDS!$E$2:$E$25,0),FALSE)/HLOOKUP(2018,DEMANDS!$G$2:$CK$25,MATCH($E25,DEMANDS!$E$2:$E$25,0),FALSE)</f>
        <v>0.77716895897630511</v>
      </c>
      <c r="O25" s="19">
        <f>HLOOKUP(REG_TRA_DEMANDS!O$3,'BY-Demands'!$J$5:$AK$14,MATCH($E25,'BY-Demands'!$I$5:$I$14,0),FALSE)*HLOOKUP(REG_TRA_DEMANDS!$F25,DEMANDS!$G$2:$CK$25,MATCH($E25,DEMANDS!$E$2:$E$25,0),FALSE)/HLOOKUP(2018,DEMANDS!$G$2:$CK$25,MATCH($E25,DEMANDS!$E$2:$E$25,0),FALSE)</f>
        <v>0.32171131265762093</v>
      </c>
      <c r="P25" s="19">
        <f>HLOOKUP(REG_TRA_DEMANDS!P$3,'BY-Demands'!$J$5:$AK$14,MATCH($E25,'BY-Demands'!$I$5:$I$14,0),FALSE)*HLOOKUP(REG_TRA_DEMANDS!$F25,DEMANDS!$G$2:$CK$25,MATCH($E25,DEMANDS!$E$2:$E$25,0),FALSE)/HLOOKUP(2018,DEMANDS!$G$2:$CK$25,MATCH($E25,DEMANDS!$E$2:$E$25,0),FALSE)</f>
        <v>0.36465629444503667</v>
      </c>
      <c r="Q25" s="19">
        <f>HLOOKUP(REG_TRA_DEMANDS!Q$3,'BY-Demands'!$J$5:$AK$14,MATCH($E25,'BY-Demands'!$I$5:$I$14,0),FALSE)*HLOOKUP(REG_TRA_DEMANDS!$F25,DEMANDS!$G$2:$CK$25,MATCH($E25,DEMANDS!$E$2:$E$25,0),FALSE)/HLOOKUP(2018,DEMANDS!$G$2:$CK$25,MATCH($E25,DEMANDS!$E$2:$E$25,0),FALSE)</f>
        <v>0.63466158568530495</v>
      </c>
      <c r="R25" s="19">
        <f>HLOOKUP(REG_TRA_DEMANDS!R$3,'BY-Demands'!$J$5:$AK$14,MATCH($E25,'BY-Demands'!$I$5:$I$14,0),FALSE)*HLOOKUP(REG_TRA_DEMANDS!$F25,DEMANDS!$G$2:$CK$25,MATCH($E25,DEMANDS!$E$2:$E$25,0),FALSE)/HLOOKUP(2018,DEMANDS!$G$2:$CK$25,MATCH($E25,DEMANDS!$E$2:$E$25,0),FALSE)</f>
        <v>0.56139159672640015</v>
      </c>
      <c r="S25" s="19">
        <f>HLOOKUP(REG_TRA_DEMANDS!S$3,'BY-Demands'!$J$5:$AK$14,MATCH($E25,'BY-Demands'!$I$5:$I$14,0),FALSE)*HLOOKUP(REG_TRA_DEMANDS!$F25,DEMANDS!$G$2:$CK$25,MATCH($E25,DEMANDS!$E$2:$E$25,0),FALSE)/HLOOKUP(2018,DEMANDS!$G$2:$CK$25,MATCH($E25,DEMANDS!$E$2:$E$25,0),FALSE)</f>
        <v>0.49409319690923942</v>
      </c>
      <c r="T25" s="19">
        <f>HLOOKUP(REG_TRA_DEMANDS!T$3,'BY-Demands'!$J$5:$AK$14,MATCH($E25,'BY-Demands'!$I$5:$I$14,0),FALSE)*HLOOKUP(REG_TRA_DEMANDS!$F25,DEMANDS!$G$2:$CK$25,MATCH($E25,DEMANDS!$E$2:$E$25,0),FALSE)/HLOOKUP(2018,DEMANDS!$G$2:$CK$25,MATCH($E25,DEMANDS!$E$2:$E$25,0),FALSE)</f>
        <v>2.0894543840946076</v>
      </c>
      <c r="U25" s="19">
        <f>HLOOKUP(REG_TRA_DEMANDS!U$3,'BY-Demands'!$J$5:$AK$14,MATCH($E25,'BY-Demands'!$I$5:$I$14,0),FALSE)*HLOOKUP(REG_TRA_DEMANDS!$F25,DEMANDS!$G$2:$CK$25,MATCH($E25,DEMANDS!$E$2:$E$25,0),FALSE)/HLOOKUP(2018,DEMANDS!$G$2:$CK$25,MATCH($E25,DEMANDS!$E$2:$E$25,0),FALSE)</f>
        <v>0.63974203596279944</v>
      </c>
      <c r="V25" s="19">
        <f>HLOOKUP(REG_TRA_DEMANDS!V$3,'BY-Demands'!$J$5:$AK$14,MATCH($E25,'BY-Demands'!$I$5:$I$14,0),FALSE)*HLOOKUP(REG_TRA_DEMANDS!$F25,DEMANDS!$G$2:$CK$25,MATCH($E25,DEMANDS!$E$2:$E$25,0),FALSE)/HLOOKUP(2018,DEMANDS!$G$2:$CK$25,MATCH($E25,DEMANDS!$E$2:$E$25,0),FALSE)</f>
        <v>0.7628405505656537</v>
      </c>
      <c r="W25" s="19">
        <f>HLOOKUP(REG_TRA_DEMANDS!W$3,'BY-Demands'!$J$5:$AK$14,MATCH($E25,'BY-Demands'!$I$5:$I$14,0),FALSE)*HLOOKUP(REG_TRA_DEMANDS!$F25,DEMANDS!$G$2:$CK$25,MATCH($E25,DEMANDS!$E$2:$E$25,0),FALSE)/HLOOKUP(2018,DEMANDS!$G$2:$CK$25,MATCH($E25,DEMANDS!$E$2:$E$25,0),FALSE)</f>
        <v>0.69545894135050113</v>
      </c>
      <c r="X25" s="19">
        <f>HLOOKUP(REG_TRA_DEMANDS!X$3,'BY-Demands'!$J$5:$AK$14,MATCH($E25,'BY-Demands'!$I$5:$I$14,0),FALSE)*HLOOKUP(REG_TRA_DEMANDS!$F25,DEMANDS!$G$2:$CK$25,MATCH($E25,DEMANDS!$E$2:$E$25,0),FALSE)/HLOOKUP(2018,DEMANDS!$G$2:$CK$25,MATCH($E25,DEMANDS!$E$2:$E$25,0),FALSE)</f>
        <v>0.46180707485884398</v>
      </c>
      <c r="Y25" s="19">
        <f>HLOOKUP(REG_TRA_DEMANDS!Y$3,'BY-Demands'!$J$5:$AK$14,MATCH($E25,'BY-Demands'!$I$5:$I$14,0),FALSE)*HLOOKUP(REG_TRA_DEMANDS!$F25,DEMANDS!$G$2:$CK$25,MATCH($E25,DEMANDS!$E$2:$E$25,0),FALSE)/HLOOKUP(2018,DEMANDS!$G$2:$CK$25,MATCH($E25,DEMANDS!$E$2:$E$25,0),FALSE)</f>
        <v>1.0321697876040528</v>
      </c>
      <c r="Z25" s="19">
        <f>HLOOKUP(REG_TRA_DEMANDS!Z$3,'BY-Demands'!$J$5:$AK$14,MATCH($E25,'BY-Demands'!$I$5:$I$14,0),FALSE)*HLOOKUP(REG_TRA_DEMANDS!$F25,DEMANDS!$G$2:$CK$25,MATCH($E25,DEMANDS!$E$2:$E$25,0),FALSE)/HLOOKUP(2018,DEMANDS!$G$2:$CK$25,MATCH($E25,DEMANDS!$E$2:$E$25,0),FALSE)</f>
        <v>0.1324712089515665</v>
      </c>
      <c r="AA25" s="19">
        <f>HLOOKUP(REG_TRA_DEMANDS!AA$3,'BY-Demands'!$J$5:$AK$14,MATCH($E25,'BY-Demands'!$I$5:$I$14,0),FALSE)*HLOOKUP(REG_TRA_DEMANDS!$F25,DEMANDS!$G$2:$CK$25,MATCH($E25,DEMANDS!$E$2:$E$25,0),FALSE)/HLOOKUP(2018,DEMANDS!$G$2:$CK$25,MATCH($E25,DEMANDS!$E$2:$E$25,0),FALSE)</f>
        <v>0.55277710591727669</v>
      </c>
      <c r="AB25" s="19">
        <f>HLOOKUP(REG_TRA_DEMANDS!AB$3,'BY-Demands'!$J$5:$AK$14,MATCH($E25,'BY-Demands'!$I$5:$I$14,0),FALSE)*HLOOKUP(REG_TRA_DEMANDS!$F25,DEMANDS!$G$2:$CK$25,MATCH($E25,DEMANDS!$E$2:$E$25,0),FALSE)/HLOOKUP(2018,DEMANDS!$G$2:$CK$25,MATCH($E25,DEMANDS!$E$2:$E$25,0),FALSE)</f>
        <v>0.28916324668340665</v>
      </c>
      <c r="AC25" s="19">
        <f>HLOOKUP(REG_TRA_DEMANDS!AC$3,'BY-Demands'!$J$5:$AK$14,MATCH($E25,'BY-Demands'!$I$5:$I$14,0),FALSE)*HLOOKUP(REG_TRA_DEMANDS!$F25,DEMANDS!$G$2:$CK$25,MATCH($E25,DEMANDS!$E$2:$E$25,0),FALSE)/HLOOKUP(2018,DEMANDS!$G$2:$CK$25,MATCH($E25,DEMANDS!$E$2:$E$25,0),FALSE)</f>
        <v>0.25494039401664026</v>
      </c>
      <c r="AD25" s="19">
        <f>HLOOKUP(REG_TRA_DEMANDS!AD$3,'BY-Demands'!$J$5:$AK$14,MATCH($E25,'BY-Demands'!$I$5:$I$14,0),FALSE)*HLOOKUP(REG_TRA_DEMANDS!$F25,DEMANDS!$G$2:$CK$25,MATCH($E25,DEMANDS!$E$2:$E$25,0),FALSE)/HLOOKUP(2018,DEMANDS!$G$2:$CK$25,MATCH($E25,DEMANDS!$E$2:$E$25,0),FALSE)</f>
        <v>0.28436036503278228</v>
      </c>
      <c r="AE25" s="19">
        <f>HLOOKUP(REG_TRA_DEMANDS!AE$3,'BY-Demands'!$J$5:$AK$14,MATCH($E25,'BY-Demands'!$I$5:$I$14,0),FALSE)*HLOOKUP(REG_TRA_DEMANDS!$F25,DEMANDS!$G$2:$CK$25,MATCH($E25,DEMANDS!$E$2:$E$25,0),FALSE)/HLOOKUP(2018,DEMANDS!$G$2:$CK$25,MATCH($E25,DEMANDS!$E$2:$E$25,0),FALSE)</f>
        <v>0.55161005646634698</v>
      </c>
      <c r="AF25" s="19">
        <f>HLOOKUP(REG_TRA_DEMANDS!AF$3,'BY-Demands'!$J$5:$AK$14,MATCH($E25,'BY-Demands'!$I$5:$I$14,0),FALSE)*HLOOKUP(REG_TRA_DEMANDS!$F25,DEMANDS!$G$2:$CK$25,MATCH($E25,DEMANDS!$E$2:$E$25,0),FALSE)/HLOOKUP(2018,DEMANDS!$G$2:$CK$25,MATCH($E25,DEMANDS!$E$2:$E$25,0),FALSE)</f>
        <v>0.26455997307653784</v>
      </c>
    </row>
    <row r="26" spans="4:32" ht="14.5">
      <c r="D26" t="s">
        <v>6</v>
      </c>
      <c r="E26" t="str">
        <f>DEMANDS!$E$17</f>
        <v>TRAPS</v>
      </c>
      <c r="F26">
        <v>2050</v>
      </c>
      <c r="G26" s="19">
        <f>HLOOKUP(REG_TRA_DEMANDS!G$3,'BY-Demands'!$J$5:$AK$14,MATCH($E26,'BY-Demands'!$I$5:$I$14,0),FALSE)*HLOOKUP(REG_TRA_DEMANDS!$F26,DEMANDS!$G$2:$CK$25,MATCH($E26,DEMANDS!$E$2:$E$25,0),FALSE)/HLOOKUP(2018,DEMANDS!$G$2:$CK$25,MATCH($E26,DEMANDS!$E$2:$E$25,0),FALSE)</f>
        <v>0.25855555900821897</v>
      </c>
      <c r="H26" s="19">
        <f>HLOOKUP(REG_TRA_DEMANDS!H$3,'BY-Demands'!$J$5:$AK$14,MATCH($E26,'BY-Demands'!$I$5:$I$14,0),FALSE)*HLOOKUP(REG_TRA_DEMANDS!$F26,DEMANDS!$G$2:$CK$25,MATCH($E26,DEMANDS!$E$2:$E$25,0),FALSE)/HLOOKUP(2018,DEMANDS!$G$2:$CK$25,MATCH($E26,DEMANDS!$E$2:$E$25,0),FALSE)</f>
        <v>5.1691386689373724</v>
      </c>
      <c r="I26" s="19">
        <f>HLOOKUP(REG_TRA_DEMANDS!I$3,'BY-Demands'!$J$5:$AK$14,MATCH($E26,'BY-Demands'!$I$5:$I$14,0),FALSE)*HLOOKUP(REG_TRA_DEMANDS!$F26,DEMANDS!$G$2:$CK$25,MATCH($E26,DEMANDS!$E$2:$E$25,0),FALSE)/HLOOKUP(2018,DEMANDS!$G$2:$CK$25,MATCH($E26,DEMANDS!$E$2:$E$25,0),FALSE)</f>
        <v>0.95331883891976077</v>
      </c>
      <c r="J26" s="19">
        <f>HLOOKUP(REG_TRA_DEMANDS!J$3,'BY-Demands'!$J$5:$AK$14,MATCH($E26,'BY-Demands'!$I$5:$I$14,0),FALSE)*HLOOKUP(REG_TRA_DEMANDS!$F26,DEMANDS!$G$2:$CK$25,MATCH($E26,DEMANDS!$E$2:$E$25,0),FALSE)/HLOOKUP(2018,DEMANDS!$G$2:$CK$25,MATCH($E26,DEMANDS!$E$2:$E$25,0),FALSE)</f>
        <v>0.44227841120484146</v>
      </c>
      <c r="K26" s="19">
        <f>HLOOKUP(REG_TRA_DEMANDS!K$3,'BY-Demands'!$J$5:$AK$14,MATCH($E26,'BY-Demands'!$I$5:$I$14,0),FALSE)*HLOOKUP(REG_TRA_DEMANDS!$F26,DEMANDS!$G$2:$CK$25,MATCH($E26,DEMANDS!$E$2:$E$25,0),FALSE)/HLOOKUP(2018,DEMANDS!$G$2:$CK$25,MATCH($E26,DEMANDS!$E$2:$E$25,0),FALSE)</f>
        <v>0.34869211567693537</v>
      </c>
      <c r="L26" s="19">
        <f>HLOOKUP(REG_TRA_DEMANDS!L$3,'BY-Demands'!$J$5:$AK$14,MATCH($E26,'BY-Demands'!$I$5:$I$14,0),FALSE)*HLOOKUP(REG_TRA_DEMANDS!$F26,DEMANDS!$G$2:$CK$25,MATCH($E26,DEMANDS!$E$2:$E$25,0),FALSE)/HLOOKUP(2018,DEMANDS!$G$2:$CK$25,MATCH($E26,DEMANDS!$E$2:$E$25,0),FALSE)</f>
        <v>0.17520589622676636</v>
      </c>
      <c r="M26" s="19">
        <f>HLOOKUP(REG_TRA_DEMANDS!M$3,'BY-Demands'!$J$5:$AK$14,MATCH($E26,'BY-Demands'!$I$5:$I$14,0),FALSE)*HLOOKUP(REG_TRA_DEMANDS!$F26,DEMANDS!$G$2:$CK$25,MATCH($E26,DEMANDS!$E$2:$E$25,0),FALSE)/HLOOKUP(2018,DEMANDS!$G$2:$CK$25,MATCH($E26,DEMANDS!$E$2:$E$25,0),FALSE)</f>
        <v>0.50240507519721178</v>
      </c>
      <c r="N26" s="19">
        <f>HLOOKUP(REG_TRA_DEMANDS!N$3,'BY-Demands'!$J$5:$AK$14,MATCH($E26,'BY-Demands'!$I$5:$I$14,0),FALSE)*HLOOKUP(REG_TRA_DEMANDS!$F26,DEMANDS!$G$2:$CK$25,MATCH($E26,DEMANDS!$E$2:$E$25,0),FALSE)/HLOOKUP(2018,DEMANDS!$G$2:$CK$25,MATCH($E26,DEMANDS!$E$2:$E$25,0),FALSE)</f>
        <v>0.82697161959838528</v>
      </c>
      <c r="O26" s="19">
        <f>HLOOKUP(REG_TRA_DEMANDS!O$3,'BY-Demands'!$J$5:$AK$14,MATCH($E26,'BY-Demands'!$I$5:$I$14,0),FALSE)*HLOOKUP(REG_TRA_DEMANDS!$F26,DEMANDS!$G$2:$CK$25,MATCH($E26,DEMANDS!$E$2:$E$25,0),FALSE)/HLOOKUP(2018,DEMANDS!$G$2:$CK$25,MATCH($E26,DEMANDS!$E$2:$E$25,0),FALSE)</f>
        <v>0.342327266418404</v>
      </c>
      <c r="P26" s="19">
        <f>HLOOKUP(REG_TRA_DEMANDS!P$3,'BY-Demands'!$J$5:$AK$14,MATCH($E26,'BY-Demands'!$I$5:$I$14,0),FALSE)*HLOOKUP(REG_TRA_DEMANDS!$F26,DEMANDS!$G$2:$CK$25,MATCH($E26,DEMANDS!$E$2:$E$25,0),FALSE)/HLOOKUP(2018,DEMANDS!$G$2:$CK$25,MATCH($E26,DEMANDS!$E$2:$E$25,0),FALSE)</f>
        <v>0.38802425512616467</v>
      </c>
      <c r="Q26" s="19">
        <f>HLOOKUP(REG_TRA_DEMANDS!Q$3,'BY-Demands'!$J$5:$AK$14,MATCH($E26,'BY-Demands'!$I$5:$I$14,0),FALSE)*HLOOKUP(REG_TRA_DEMANDS!$F26,DEMANDS!$G$2:$CK$25,MATCH($E26,DEMANDS!$E$2:$E$25,0),FALSE)/HLOOKUP(2018,DEMANDS!$G$2:$CK$25,MATCH($E26,DEMANDS!$E$2:$E$25,0),FALSE)</f>
        <v>0.67533206691938641</v>
      </c>
      <c r="R26" s="19">
        <f>HLOOKUP(REG_TRA_DEMANDS!R$3,'BY-Demands'!$J$5:$AK$14,MATCH($E26,'BY-Demands'!$I$5:$I$14,0),FALSE)*HLOOKUP(REG_TRA_DEMANDS!$F26,DEMANDS!$G$2:$CK$25,MATCH($E26,DEMANDS!$E$2:$E$25,0),FALSE)/HLOOKUP(2018,DEMANDS!$G$2:$CK$25,MATCH($E26,DEMANDS!$E$2:$E$25,0),FALSE)</f>
        <v>0.59736677927187942</v>
      </c>
      <c r="S26" s="19">
        <f>HLOOKUP(REG_TRA_DEMANDS!S$3,'BY-Demands'!$J$5:$AK$14,MATCH($E26,'BY-Demands'!$I$5:$I$14,0),FALSE)*HLOOKUP(REG_TRA_DEMANDS!$F26,DEMANDS!$G$2:$CK$25,MATCH($E26,DEMANDS!$E$2:$E$25,0),FALSE)/HLOOKUP(2018,DEMANDS!$G$2:$CK$25,MATCH($E26,DEMANDS!$E$2:$E$25,0),FALSE)</f>
        <v>0.52575575305888578</v>
      </c>
      <c r="T26" s="19">
        <f>HLOOKUP(REG_TRA_DEMANDS!T$3,'BY-Demands'!$J$5:$AK$14,MATCH($E26,'BY-Demands'!$I$5:$I$14,0),FALSE)*HLOOKUP(REG_TRA_DEMANDS!$F26,DEMANDS!$G$2:$CK$25,MATCH($E26,DEMANDS!$E$2:$E$25,0),FALSE)/HLOOKUP(2018,DEMANDS!$G$2:$CK$25,MATCH($E26,DEMANDS!$E$2:$E$25,0),FALSE)</f>
        <v>2.2233511209296077</v>
      </c>
      <c r="U26" s="19">
        <f>HLOOKUP(REG_TRA_DEMANDS!U$3,'BY-Demands'!$J$5:$AK$14,MATCH($E26,'BY-Demands'!$I$5:$I$14,0),FALSE)*HLOOKUP(REG_TRA_DEMANDS!$F26,DEMANDS!$G$2:$CK$25,MATCH($E26,DEMANDS!$E$2:$E$25,0),FALSE)/HLOOKUP(2018,DEMANDS!$G$2:$CK$25,MATCH($E26,DEMANDS!$E$2:$E$25,0),FALSE)</f>
        <v>0.68073808339205</v>
      </c>
      <c r="V26" s="19">
        <f>HLOOKUP(REG_TRA_DEMANDS!V$3,'BY-Demands'!$J$5:$AK$14,MATCH($E26,'BY-Demands'!$I$5:$I$14,0),FALSE)*HLOOKUP(REG_TRA_DEMANDS!$F26,DEMANDS!$G$2:$CK$25,MATCH($E26,DEMANDS!$E$2:$E$25,0),FALSE)/HLOOKUP(2018,DEMANDS!$G$2:$CK$25,MATCH($E26,DEMANDS!$E$2:$E$25,0),FALSE)</f>
        <v>0.81172501591875379</v>
      </c>
      <c r="W26" s="19">
        <f>HLOOKUP(REG_TRA_DEMANDS!W$3,'BY-Demands'!$J$5:$AK$14,MATCH($E26,'BY-Demands'!$I$5:$I$14,0),FALSE)*HLOOKUP(REG_TRA_DEMANDS!$F26,DEMANDS!$G$2:$CK$25,MATCH($E26,DEMANDS!$E$2:$E$25,0),FALSE)/HLOOKUP(2018,DEMANDS!$G$2:$CK$25,MATCH($E26,DEMANDS!$E$2:$E$25,0),FALSE)</f>
        <v>0.74002544807034321</v>
      </c>
      <c r="X26" s="19">
        <f>HLOOKUP(REG_TRA_DEMANDS!X$3,'BY-Demands'!$J$5:$AK$14,MATCH($E26,'BY-Demands'!$I$5:$I$14,0),FALSE)*HLOOKUP(REG_TRA_DEMANDS!$F26,DEMANDS!$G$2:$CK$25,MATCH($E26,DEMANDS!$E$2:$E$25,0),FALSE)/HLOOKUP(2018,DEMANDS!$G$2:$CK$25,MATCH($E26,DEMANDS!$E$2:$E$25,0),FALSE)</f>
        <v>0.49140066677528565</v>
      </c>
      <c r="Y26" s="19">
        <f>HLOOKUP(REG_TRA_DEMANDS!Y$3,'BY-Demands'!$J$5:$AK$14,MATCH($E26,'BY-Demands'!$I$5:$I$14,0),FALSE)*HLOOKUP(REG_TRA_DEMANDS!$F26,DEMANDS!$G$2:$CK$25,MATCH($E26,DEMANDS!$E$2:$E$25,0),FALSE)/HLOOKUP(2018,DEMANDS!$G$2:$CK$25,MATCH($E26,DEMANDS!$E$2:$E$25,0),FALSE)</f>
        <v>1.0983134505008829</v>
      </c>
      <c r="Z26" s="19">
        <f>HLOOKUP(REG_TRA_DEMANDS!Z$3,'BY-Demands'!$J$5:$AK$14,MATCH($E26,'BY-Demands'!$I$5:$I$14,0),FALSE)*HLOOKUP(REG_TRA_DEMANDS!$F26,DEMANDS!$G$2:$CK$25,MATCH($E26,DEMANDS!$E$2:$E$25,0),FALSE)/HLOOKUP(2018,DEMANDS!$G$2:$CK$25,MATCH($E26,DEMANDS!$E$2:$E$25,0),FALSE)</f>
        <v>0.14096024931455489</v>
      </c>
      <c r="AA26" s="19">
        <f>HLOOKUP(REG_TRA_DEMANDS!AA$3,'BY-Demands'!$J$5:$AK$14,MATCH($E26,'BY-Demands'!$I$5:$I$14,0),FALSE)*HLOOKUP(REG_TRA_DEMANDS!$F26,DEMANDS!$G$2:$CK$25,MATCH($E26,DEMANDS!$E$2:$E$25,0),FALSE)/HLOOKUP(2018,DEMANDS!$G$2:$CK$25,MATCH($E26,DEMANDS!$E$2:$E$25,0),FALSE)</f>
        <v>0.58820025333932024</v>
      </c>
      <c r="AB26" s="19">
        <f>HLOOKUP(REG_TRA_DEMANDS!AB$3,'BY-Demands'!$J$5:$AK$14,MATCH($E26,'BY-Demands'!$I$5:$I$14,0),FALSE)*HLOOKUP(REG_TRA_DEMANDS!$F26,DEMANDS!$G$2:$CK$25,MATCH($E26,DEMANDS!$E$2:$E$25,0),FALSE)/HLOOKUP(2018,DEMANDS!$G$2:$CK$25,MATCH($E26,DEMANDS!$E$2:$E$25,0),FALSE)</f>
        <v>0.30769345028021755</v>
      </c>
      <c r="AC26" s="19">
        <f>HLOOKUP(REG_TRA_DEMANDS!AC$3,'BY-Demands'!$J$5:$AK$14,MATCH($E26,'BY-Demands'!$I$5:$I$14,0),FALSE)*HLOOKUP(REG_TRA_DEMANDS!$F26,DEMANDS!$G$2:$CK$25,MATCH($E26,DEMANDS!$E$2:$E$25,0),FALSE)/HLOOKUP(2018,DEMANDS!$G$2:$CK$25,MATCH($E26,DEMANDS!$E$2:$E$25,0),FALSE)</f>
        <v>0.27127752351135703</v>
      </c>
      <c r="AD26" s="19">
        <f>HLOOKUP(REG_TRA_DEMANDS!AD$3,'BY-Demands'!$J$5:$AK$14,MATCH($E26,'BY-Demands'!$I$5:$I$14,0),FALSE)*HLOOKUP(REG_TRA_DEMANDS!$F26,DEMANDS!$G$2:$CK$25,MATCH($E26,DEMANDS!$E$2:$E$25,0),FALSE)/HLOOKUP(2018,DEMANDS!$G$2:$CK$25,MATCH($E26,DEMANDS!$E$2:$E$25,0),FALSE)</f>
        <v>0.30258278962981289</v>
      </c>
      <c r="AE26" s="19">
        <f>HLOOKUP(REG_TRA_DEMANDS!AE$3,'BY-Demands'!$J$5:$AK$14,MATCH($E26,'BY-Demands'!$I$5:$I$14,0),FALSE)*HLOOKUP(REG_TRA_DEMANDS!$F26,DEMANDS!$G$2:$CK$25,MATCH($E26,DEMANDS!$E$2:$E$25,0),FALSE)/HLOOKUP(2018,DEMANDS!$G$2:$CK$25,MATCH($E26,DEMANDS!$E$2:$E$25,0),FALSE)</f>
        <v>0.58695841684618766</v>
      </c>
      <c r="AF26" s="19">
        <f>HLOOKUP(REG_TRA_DEMANDS!AF$3,'BY-Demands'!$J$5:$AK$14,MATCH($E26,'BY-Demands'!$I$5:$I$14,0),FALSE)*HLOOKUP(REG_TRA_DEMANDS!$F26,DEMANDS!$G$2:$CK$25,MATCH($E26,DEMANDS!$E$2:$E$25,0),FALSE)/HLOOKUP(2018,DEMANDS!$G$2:$CK$25,MATCH($E26,DEMANDS!$E$2:$E$25,0),FALSE)</f>
        <v>0.28151354591438355</v>
      </c>
    </row>
    <row r="27" spans="4:32" ht="14.5">
      <c r="D27" t="s">
        <v>6</v>
      </c>
      <c r="E27" t="str">
        <f>DEMANDS!$E$17</f>
        <v>TRAPS</v>
      </c>
      <c r="F27">
        <v>2055</v>
      </c>
      <c r="G27" s="19">
        <f>HLOOKUP(REG_TRA_DEMANDS!G$3,'BY-Demands'!$J$5:$AK$14,MATCH($E27,'BY-Demands'!$I$5:$I$14,0),FALSE)*HLOOKUP(REG_TRA_DEMANDS!$F27,DEMANDS!$G$2:$CK$25,MATCH($E27,DEMANDS!$E$2:$E$25,0),FALSE)/HLOOKUP(2018,DEMANDS!$G$2:$CK$25,MATCH($E27,DEMANDS!$E$2:$E$25,0),FALSE)</f>
        <v>0.28448685008043495</v>
      </c>
      <c r="H27" s="19">
        <f>HLOOKUP(REG_TRA_DEMANDS!H$3,'BY-Demands'!$J$5:$AK$14,MATCH($E27,'BY-Demands'!$I$5:$I$14,0),FALSE)*HLOOKUP(REG_TRA_DEMANDS!$F27,DEMANDS!$G$2:$CK$25,MATCH($E27,DEMANDS!$E$2:$E$25,0),FALSE)/HLOOKUP(2018,DEMANDS!$G$2:$CK$25,MATCH($E27,DEMANDS!$E$2:$E$25,0),FALSE)</f>
        <v>5.6875666614780425</v>
      </c>
      <c r="I27" s="19">
        <f>HLOOKUP(REG_TRA_DEMANDS!I$3,'BY-Demands'!$J$5:$AK$14,MATCH($E27,'BY-Demands'!$I$5:$I$14,0),FALSE)*HLOOKUP(REG_TRA_DEMANDS!$F27,DEMANDS!$G$2:$CK$25,MATCH($E27,DEMANDS!$E$2:$E$25,0),FALSE)/HLOOKUP(2018,DEMANDS!$G$2:$CK$25,MATCH($E27,DEMANDS!$E$2:$E$25,0),FALSE)</f>
        <v>1.0489299655630266</v>
      </c>
      <c r="J27" s="19">
        <f>HLOOKUP(REG_TRA_DEMANDS!J$3,'BY-Demands'!$J$5:$AK$14,MATCH($E27,'BY-Demands'!$I$5:$I$14,0),FALSE)*HLOOKUP(REG_TRA_DEMANDS!$F27,DEMANDS!$G$2:$CK$25,MATCH($E27,DEMANDS!$E$2:$E$25,0),FALSE)/HLOOKUP(2018,DEMANDS!$G$2:$CK$25,MATCH($E27,DEMANDS!$E$2:$E$25,0),FALSE)</f>
        <v>0.48663580293876041</v>
      </c>
      <c r="K27" s="19">
        <f>HLOOKUP(REG_TRA_DEMANDS!K$3,'BY-Demands'!$J$5:$AK$14,MATCH($E27,'BY-Demands'!$I$5:$I$14,0),FALSE)*HLOOKUP(REG_TRA_DEMANDS!$F27,DEMANDS!$G$2:$CK$25,MATCH($E27,DEMANDS!$E$2:$E$25,0),FALSE)/HLOOKUP(2018,DEMANDS!$G$2:$CK$25,MATCH($E27,DEMANDS!$E$2:$E$25,0),FALSE)</f>
        <v>0.38366346489444708</v>
      </c>
      <c r="L27" s="19">
        <f>HLOOKUP(REG_TRA_DEMANDS!L$3,'BY-Demands'!$J$5:$AK$14,MATCH($E27,'BY-Demands'!$I$5:$I$14,0),FALSE)*HLOOKUP(REG_TRA_DEMANDS!$F27,DEMANDS!$G$2:$CK$25,MATCH($E27,DEMANDS!$E$2:$E$25,0),FALSE)/HLOOKUP(2018,DEMANDS!$G$2:$CK$25,MATCH($E27,DEMANDS!$E$2:$E$25,0),FALSE)</f>
        <v>0.19277780653514348</v>
      </c>
      <c r="M27" s="19">
        <f>HLOOKUP(REG_TRA_DEMANDS!M$3,'BY-Demands'!$J$5:$AK$14,MATCH($E27,'BY-Demands'!$I$5:$I$14,0),FALSE)*HLOOKUP(REG_TRA_DEMANDS!$F27,DEMANDS!$G$2:$CK$25,MATCH($E27,DEMANDS!$E$2:$E$25,0),FALSE)/HLOOKUP(2018,DEMANDS!$G$2:$CK$25,MATCH($E27,DEMANDS!$E$2:$E$25,0),FALSE)</f>
        <v>0.55279274541815371</v>
      </c>
      <c r="N27" s="19">
        <f>HLOOKUP(REG_TRA_DEMANDS!N$3,'BY-Demands'!$J$5:$AK$14,MATCH($E27,'BY-Demands'!$I$5:$I$14,0),FALSE)*HLOOKUP(REG_TRA_DEMANDS!$F27,DEMANDS!$G$2:$CK$25,MATCH($E27,DEMANDS!$E$2:$E$25,0),FALSE)/HLOOKUP(2018,DEMANDS!$G$2:$CK$25,MATCH($E27,DEMANDS!$E$2:$E$25,0),FALSE)</f>
        <v>0.9099110151330444</v>
      </c>
      <c r="O27" s="19">
        <f>HLOOKUP(REG_TRA_DEMANDS!O$3,'BY-Demands'!$J$5:$AK$14,MATCH($E27,'BY-Demands'!$I$5:$I$14,0),FALSE)*HLOOKUP(REG_TRA_DEMANDS!$F27,DEMANDS!$G$2:$CK$25,MATCH($E27,DEMANDS!$E$2:$E$25,0),FALSE)/HLOOKUP(2018,DEMANDS!$G$2:$CK$25,MATCH($E27,DEMANDS!$E$2:$E$25,0),FALSE)</f>
        <v>0.37666026634113803</v>
      </c>
      <c r="P27" s="19">
        <f>HLOOKUP(REG_TRA_DEMANDS!P$3,'BY-Demands'!$J$5:$AK$14,MATCH($E27,'BY-Demands'!$I$5:$I$14,0),FALSE)*HLOOKUP(REG_TRA_DEMANDS!$F27,DEMANDS!$G$2:$CK$25,MATCH($E27,DEMANDS!$E$2:$E$25,0),FALSE)/HLOOKUP(2018,DEMANDS!$G$2:$CK$25,MATCH($E27,DEMANDS!$E$2:$E$25,0),FALSE)</f>
        <v>0.42694033931848524</v>
      </c>
      <c r="Q27" s="19">
        <f>HLOOKUP(REG_TRA_DEMANDS!Q$3,'BY-Demands'!$J$5:$AK$14,MATCH($E27,'BY-Demands'!$I$5:$I$14,0),FALSE)*HLOOKUP(REG_TRA_DEMANDS!$F27,DEMANDS!$G$2:$CK$25,MATCH($E27,DEMANDS!$E$2:$E$25,0),FALSE)/HLOOKUP(2018,DEMANDS!$G$2:$CK$25,MATCH($E27,DEMANDS!$E$2:$E$25,0),FALSE)</f>
        <v>0.7430630894696737</v>
      </c>
      <c r="R27" s="19">
        <f>HLOOKUP(REG_TRA_DEMANDS!R$3,'BY-Demands'!$J$5:$AK$14,MATCH($E27,'BY-Demands'!$I$5:$I$14,0),FALSE)*HLOOKUP(REG_TRA_DEMANDS!$F27,DEMANDS!$G$2:$CK$25,MATCH($E27,DEMANDS!$E$2:$E$25,0),FALSE)/HLOOKUP(2018,DEMANDS!$G$2:$CK$25,MATCH($E27,DEMANDS!$E$2:$E$25,0),FALSE)</f>
        <v>0.6572784357436664</v>
      </c>
      <c r="S27" s="19">
        <f>HLOOKUP(REG_TRA_DEMANDS!S$3,'BY-Demands'!$J$5:$AK$14,MATCH($E27,'BY-Demands'!$I$5:$I$14,0),FALSE)*HLOOKUP(REG_TRA_DEMANDS!$F27,DEMANDS!$G$2:$CK$25,MATCH($E27,DEMANDS!$E$2:$E$25,0),FALSE)/HLOOKUP(2018,DEMANDS!$G$2:$CK$25,MATCH($E27,DEMANDS!$E$2:$E$25,0),FALSE)</f>
        <v>0.57848533086320075</v>
      </c>
      <c r="T27" s="19">
        <f>HLOOKUP(REG_TRA_DEMANDS!T$3,'BY-Demands'!$J$5:$AK$14,MATCH($E27,'BY-Demands'!$I$5:$I$14,0),FALSE)*HLOOKUP(REG_TRA_DEMANDS!$F27,DEMANDS!$G$2:$CK$25,MATCH($E27,DEMANDS!$E$2:$E$25,0),FALSE)/HLOOKUP(2018,DEMANDS!$G$2:$CK$25,MATCH($E27,DEMANDS!$E$2:$E$25,0),FALSE)</f>
        <v>2.4463374890963445</v>
      </c>
      <c r="U27" s="19">
        <f>HLOOKUP(REG_TRA_DEMANDS!U$3,'BY-Demands'!$J$5:$AK$14,MATCH($E27,'BY-Demands'!$I$5:$I$14,0),FALSE)*HLOOKUP(REG_TRA_DEMANDS!$F27,DEMANDS!$G$2:$CK$25,MATCH($E27,DEMANDS!$E$2:$E$25,0),FALSE)/HLOOKUP(2018,DEMANDS!$G$2:$CK$25,MATCH($E27,DEMANDS!$E$2:$E$25,0),FALSE)</f>
        <v>0.74901129110065123</v>
      </c>
      <c r="V27" s="19">
        <f>HLOOKUP(REG_TRA_DEMANDS!V$3,'BY-Demands'!$J$5:$AK$14,MATCH($E27,'BY-Demands'!$I$5:$I$14,0),FALSE)*HLOOKUP(REG_TRA_DEMANDS!$F27,DEMANDS!$G$2:$CK$25,MATCH($E27,DEMANDS!$E$2:$E$25,0),FALSE)/HLOOKUP(2018,DEMANDS!$G$2:$CK$25,MATCH($E27,DEMANDS!$E$2:$E$25,0),FALSE)</f>
        <v>0.89313528510472462</v>
      </c>
      <c r="W27" s="19">
        <f>HLOOKUP(REG_TRA_DEMANDS!W$3,'BY-Demands'!$J$5:$AK$14,MATCH($E27,'BY-Demands'!$I$5:$I$14,0),FALSE)*HLOOKUP(REG_TRA_DEMANDS!$F27,DEMANDS!$G$2:$CK$25,MATCH($E27,DEMANDS!$E$2:$E$25,0),FALSE)/HLOOKUP(2018,DEMANDS!$G$2:$CK$25,MATCH($E27,DEMANDS!$E$2:$E$25,0),FALSE)</f>
        <v>0.81424475849000066</v>
      </c>
      <c r="X27" s="19">
        <f>HLOOKUP(REG_TRA_DEMANDS!X$3,'BY-Demands'!$J$5:$AK$14,MATCH($E27,'BY-Demands'!$I$5:$I$14,0),FALSE)*HLOOKUP(REG_TRA_DEMANDS!$F27,DEMANDS!$G$2:$CK$25,MATCH($E27,DEMANDS!$E$2:$E$25,0),FALSE)/HLOOKUP(2018,DEMANDS!$G$2:$CK$25,MATCH($E27,DEMANDS!$E$2:$E$25,0),FALSE)</f>
        <v>0.54068467278200172</v>
      </c>
      <c r="Y27" s="19">
        <f>HLOOKUP(REG_TRA_DEMANDS!Y$3,'BY-Demands'!$J$5:$AK$14,MATCH($E27,'BY-Demands'!$I$5:$I$14,0),FALSE)*HLOOKUP(REG_TRA_DEMANDS!$F27,DEMANDS!$G$2:$CK$25,MATCH($E27,DEMANDS!$E$2:$E$25,0),FALSE)/HLOOKUP(2018,DEMANDS!$G$2:$CK$25,MATCH($E27,DEMANDS!$E$2:$E$25,0),FALSE)</f>
        <v>1.2084665096063065</v>
      </c>
      <c r="Z27" s="19">
        <f>HLOOKUP(REG_TRA_DEMANDS!Z$3,'BY-Demands'!$J$5:$AK$14,MATCH($E27,'BY-Demands'!$I$5:$I$14,0),FALSE)*HLOOKUP(REG_TRA_DEMANDS!$F27,DEMANDS!$G$2:$CK$25,MATCH($E27,DEMANDS!$E$2:$E$25,0),FALSE)/HLOOKUP(2018,DEMANDS!$G$2:$CK$25,MATCH($E27,DEMANDS!$E$2:$E$25,0),FALSE)</f>
        <v>0.15509756381906206</v>
      </c>
      <c r="AA27" s="19">
        <f>HLOOKUP(REG_TRA_DEMANDS!AA$3,'BY-Demands'!$J$5:$AK$14,MATCH($E27,'BY-Demands'!$I$5:$I$14,0),FALSE)*HLOOKUP(REG_TRA_DEMANDS!$F27,DEMANDS!$G$2:$CK$25,MATCH($E27,DEMANDS!$E$2:$E$25,0),FALSE)/HLOOKUP(2018,DEMANDS!$G$2:$CK$25,MATCH($E27,DEMANDS!$E$2:$E$25,0),FALSE)</f>
        <v>0.64719257219179638</v>
      </c>
      <c r="AB27" s="19">
        <f>HLOOKUP(REG_TRA_DEMANDS!AB$3,'BY-Demands'!$J$5:$AK$14,MATCH($E27,'BY-Demands'!$I$5:$I$14,0),FALSE)*HLOOKUP(REG_TRA_DEMANDS!$F27,DEMANDS!$G$2:$CK$25,MATCH($E27,DEMANDS!$E$2:$E$25,0),FALSE)/HLOOKUP(2018,DEMANDS!$G$2:$CK$25,MATCH($E27,DEMANDS!$E$2:$E$25,0),FALSE)</f>
        <v>0.33855292377534008</v>
      </c>
      <c r="AC27" s="19">
        <f>HLOOKUP(REG_TRA_DEMANDS!AC$3,'BY-Demands'!$J$5:$AK$14,MATCH($E27,'BY-Demands'!$I$5:$I$14,0),FALSE)*HLOOKUP(REG_TRA_DEMANDS!$F27,DEMANDS!$G$2:$CK$25,MATCH($E27,DEMANDS!$E$2:$E$25,0),FALSE)/HLOOKUP(2018,DEMANDS!$G$2:$CK$25,MATCH($E27,DEMANDS!$E$2:$E$25,0),FALSE)</f>
        <v>0.29848473750631616</v>
      </c>
      <c r="AD27" s="19">
        <f>HLOOKUP(REG_TRA_DEMANDS!AD$3,'BY-Demands'!$J$5:$AK$14,MATCH($E27,'BY-Demands'!$I$5:$I$14,0),FALSE)*HLOOKUP(REG_TRA_DEMANDS!$F27,DEMANDS!$G$2:$CK$25,MATCH($E27,DEMANDS!$E$2:$E$25,0),FALSE)/HLOOKUP(2018,DEMANDS!$G$2:$CK$25,MATCH($E27,DEMANDS!$E$2:$E$25,0),FALSE)</f>
        <v>0.33292970006342043</v>
      </c>
      <c r="AE27" s="19">
        <f>HLOOKUP(REG_TRA_DEMANDS!AE$3,'BY-Demands'!$J$5:$AK$14,MATCH($E27,'BY-Demands'!$I$5:$I$14,0),FALSE)*HLOOKUP(REG_TRA_DEMANDS!$F27,DEMANDS!$G$2:$CK$25,MATCH($E27,DEMANDS!$E$2:$E$25,0),FALSE)/HLOOKUP(2018,DEMANDS!$G$2:$CK$25,MATCH($E27,DEMANDS!$E$2:$E$25,0),FALSE)</f>
        <v>0.6458261882950378</v>
      </c>
      <c r="AF27" s="19">
        <f>HLOOKUP(REG_TRA_DEMANDS!AF$3,'BY-Demands'!$J$5:$AK$14,MATCH($E27,'BY-Demands'!$I$5:$I$14,0),FALSE)*HLOOKUP(REG_TRA_DEMANDS!$F27,DEMANDS!$G$2:$CK$25,MATCH($E27,DEMANDS!$E$2:$E$25,0),FALSE)/HLOOKUP(2018,DEMANDS!$G$2:$CK$25,MATCH($E27,DEMANDS!$E$2:$E$25,0),FALSE)</f>
        <v>0.30974736044878864</v>
      </c>
    </row>
    <row r="28" spans="4:32" ht="14.5">
      <c r="D28" t="s">
        <v>6</v>
      </c>
      <c r="E28" t="str">
        <f>DEMANDS!$E$17</f>
        <v>TRAPS</v>
      </c>
      <c r="F28">
        <v>2060</v>
      </c>
      <c r="G28" s="19">
        <f>HLOOKUP(REG_TRA_DEMANDS!G$3,'BY-Demands'!$J$5:$AK$14,MATCH($E28,'BY-Demands'!$I$5:$I$14,0),FALSE)*HLOOKUP(REG_TRA_DEMANDS!$F28,DEMANDS!$G$2:$CK$25,MATCH($E28,DEMANDS!$E$2:$E$25,0),FALSE)/HLOOKUP(2018,DEMANDS!$G$2:$CK$25,MATCH($E28,DEMANDS!$E$2:$E$25,0),FALSE)</f>
        <v>0.29215821612002379</v>
      </c>
      <c r="H28" s="19">
        <f>HLOOKUP(REG_TRA_DEMANDS!H$3,'BY-Demands'!$J$5:$AK$14,MATCH($E28,'BY-Demands'!$I$5:$I$14,0),FALSE)*HLOOKUP(REG_TRA_DEMANDS!$F28,DEMANDS!$G$2:$CK$25,MATCH($E28,DEMANDS!$E$2:$E$25,0),FALSE)/HLOOKUP(2018,DEMANDS!$G$2:$CK$25,MATCH($E28,DEMANDS!$E$2:$E$25,0),FALSE)</f>
        <v>5.8409354576892714</v>
      </c>
      <c r="I28" s="19">
        <f>HLOOKUP(REG_TRA_DEMANDS!I$3,'BY-Demands'!$J$5:$AK$14,MATCH($E28,'BY-Demands'!$I$5:$I$14,0),FALSE)*HLOOKUP(REG_TRA_DEMANDS!$F28,DEMANDS!$G$2:$CK$25,MATCH($E28,DEMANDS!$E$2:$E$25,0),FALSE)/HLOOKUP(2018,DEMANDS!$G$2:$CK$25,MATCH($E28,DEMANDS!$E$2:$E$25,0),FALSE)</f>
        <v>1.0772150188561833</v>
      </c>
      <c r="J28" s="19">
        <f>HLOOKUP(REG_TRA_DEMANDS!J$3,'BY-Demands'!$J$5:$AK$14,MATCH($E28,'BY-Demands'!$I$5:$I$14,0),FALSE)*HLOOKUP(REG_TRA_DEMANDS!$F28,DEMANDS!$G$2:$CK$25,MATCH($E28,DEMANDS!$E$2:$E$25,0),FALSE)/HLOOKUP(2018,DEMANDS!$G$2:$CK$25,MATCH($E28,DEMANDS!$E$2:$E$25,0),FALSE)</f>
        <v>0.49975824206470582</v>
      </c>
      <c r="K28" s="19">
        <f>HLOOKUP(REG_TRA_DEMANDS!K$3,'BY-Demands'!$J$5:$AK$14,MATCH($E28,'BY-Demands'!$I$5:$I$14,0),FALSE)*HLOOKUP(REG_TRA_DEMANDS!$F28,DEMANDS!$G$2:$CK$25,MATCH($E28,DEMANDS!$E$2:$E$25,0),FALSE)/HLOOKUP(2018,DEMANDS!$G$2:$CK$25,MATCH($E28,DEMANDS!$E$2:$E$25,0),FALSE)</f>
        <v>0.39400919045044425</v>
      </c>
      <c r="L28" s="19">
        <f>HLOOKUP(REG_TRA_DEMANDS!L$3,'BY-Demands'!$J$5:$AK$14,MATCH($E28,'BY-Demands'!$I$5:$I$14,0),FALSE)*HLOOKUP(REG_TRA_DEMANDS!$F28,DEMANDS!$G$2:$CK$25,MATCH($E28,DEMANDS!$E$2:$E$25,0),FALSE)/HLOOKUP(2018,DEMANDS!$G$2:$CK$25,MATCH($E28,DEMANDS!$E$2:$E$25,0),FALSE)</f>
        <v>0.19797618079329288</v>
      </c>
      <c r="M28" s="19">
        <f>HLOOKUP(REG_TRA_DEMANDS!M$3,'BY-Demands'!$J$5:$AK$14,MATCH($E28,'BY-Demands'!$I$5:$I$14,0),FALSE)*HLOOKUP(REG_TRA_DEMANDS!$F28,DEMANDS!$G$2:$CK$25,MATCH($E28,DEMANDS!$E$2:$E$25,0),FALSE)/HLOOKUP(2018,DEMANDS!$G$2:$CK$25,MATCH($E28,DEMANDS!$E$2:$E$25,0),FALSE)</f>
        <v>0.56769914792123233</v>
      </c>
      <c r="N28" s="19">
        <f>HLOOKUP(REG_TRA_DEMANDS!N$3,'BY-Demands'!$J$5:$AK$14,MATCH($E28,'BY-Demands'!$I$5:$I$14,0),FALSE)*HLOOKUP(REG_TRA_DEMANDS!$F28,DEMANDS!$G$2:$CK$25,MATCH($E28,DEMANDS!$E$2:$E$25,0),FALSE)/HLOOKUP(2018,DEMANDS!$G$2:$CK$25,MATCH($E28,DEMANDS!$E$2:$E$25,0),FALSE)</f>
        <v>0.93444733538322788</v>
      </c>
      <c r="O28" s="19">
        <f>HLOOKUP(REG_TRA_DEMANDS!O$3,'BY-Demands'!$J$5:$AK$14,MATCH($E28,'BY-Demands'!$I$5:$I$14,0),FALSE)*HLOOKUP(REG_TRA_DEMANDS!$F28,DEMANDS!$G$2:$CK$25,MATCH($E28,DEMANDS!$E$2:$E$25,0),FALSE)/HLOOKUP(2018,DEMANDS!$G$2:$CK$25,MATCH($E28,DEMANDS!$E$2:$E$25,0),FALSE)</f>
        <v>0.38681714626319746</v>
      </c>
      <c r="P28" s="19">
        <f>HLOOKUP(REG_TRA_DEMANDS!P$3,'BY-Demands'!$J$5:$AK$14,MATCH($E28,'BY-Demands'!$I$5:$I$14,0),FALSE)*HLOOKUP(REG_TRA_DEMANDS!$F28,DEMANDS!$G$2:$CK$25,MATCH($E28,DEMANDS!$E$2:$E$25,0),FALSE)/HLOOKUP(2018,DEMANDS!$G$2:$CK$25,MATCH($E28,DEMANDS!$E$2:$E$25,0),FALSE)</f>
        <v>0.43845305289049169</v>
      </c>
      <c r="Q28" s="19">
        <f>HLOOKUP(REG_TRA_DEMANDS!Q$3,'BY-Demands'!$J$5:$AK$14,MATCH($E28,'BY-Demands'!$I$5:$I$14,0),FALSE)*HLOOKUP(REG_TRA_DEMANDS!$F28,DEMANDS!$G$2:$CK$25,MATCH($E28,DEMANDS!$E$2:$E$25,0),FALSE)/HLOOKUP(2018,DEMANDS!$G$2:$CK$25,MATCH($E28,DEMANDS!$E$2:$E$25,0),FALSE)</f>
        <v>0.76310025093502065</v>
      </c>
      <c r="R28" s="19">
        <f>HLOOKUP(REG_TRA_DEMANDS!R$3,'BY-Demands'!$J$5:$AK$14,MATCH($E28,'BY-Demands'!$I$5:$I$14,0),FALSE)*HLOOKUP(REG_TRA_DEMANDS!$F28,DEMANDS!$G$2:$CK$25,MATCH($E28,DEMANDS!$E$2:$E$25,0),FALSE)/HLOOKUP(2018,DEMANDS!$G$2:$CK$25,MATCH($E28,DEMANDS!$E$2:$E$25,0),FALSE)</f>
        <v>0.67500236030851868</v>
      </c>
      <c r="S28" s="19">
        <f>HLOOKUP(REG_TRA_DEMANDS!S$3,'BY-Demands'!$J$5:$AK$14,MATCH($E28,'BY-Demands'!$I$5:$I$14,0),FALSE)*HLOOKUP(REG_TRA_DEMANDS!$F28,DEMANDS!$G$2:$CK$25,MATCH($E28,DEMANDS!$E$2:$E$25,0),FALSE)/HLOOKUP(2018,DEMANDS!$G$2:$CK$25,MATCH($E28,DEMANDS!$E$2:$E$25,0),FALSE)</f>
        <v>0.59408455001983174</v>
      </c>
      <c r="T28" s="19">
        <f>HLOOKUP(REG_TRA_DEMANDS!T$3,'BY-Demands'!$J$5:$AK$14,MATCH($E28,'BY-Demands'!$I$5:$I$14,0),FALSE)*HLOOKUP(REG_TRA_DEMANDS!$F28,DEMANDS!$G$2:$CK$25,MATCH($E28,DEMANDS!$E$2:$E$25,0),FALSE)/HLOOKUP(2018,DEMANDS!$G$2:$CK$25,MATCH($E28,DEMANDS!$E$2:$E$25,0),FALSE)</f>
        <v>2.5123045112273177</v>
      </c>
      <c r="U28" s="19">
        <f>HLOOKUP(REG_TRA_DEMANDS!U$3,'BY-Demands'!$J$5:$AK$14,MATCH($E28,'BY-Demands'!$I$5:$I$14,0),FALSE)*HLOOKUP(REG_TRA_DEMANDS!$F28,DEMANDS!$G$2:$CK$25,MATCH($E28,DEMANDS!$E$2:$E$25,0),FALSE)/HLOOKUP(2018,DEMANDS!$G$2:$CK$25,MATCH($E28,DEMANDS!$E$2:$E$25,0),FALSE)</f>
        <v>0.7692088495473548</v>
      </c>
      <c r="V28" s="19">
        <f>HLOOKUP(REG_TRA_DEMANDS!V$3,'BY-Demands'!$J$5:$AK$14,MATCH($E28,'BY-Demands'!$I$5:$I$14,0),FALSE)*HLOOKUP(REG_TRA_DEMANDS!$F28,DEMANDS!$G$2:$CK$25,MATCH($E28,DEMANDS!$E$2:$E$25,0),FALSE)/HLOOKUP(2018,DEMANDS!$G$2:$CK$25,MATCH($E28,DEMANDS!$E$2:$E$25,0),FALSE)</f>
        <v>0.91721923729082311</v>
      </c>
      <c r="W28" s="19">
        <f>HLOOKUP(REG_TRA_DEMANDS!W$3,'BY-Demands'!$J$5:$AK$14,MATCH($E28,'BY-Demands'!$I$5:$I$14,0),FALSE)*HLOOKUP(REG_TRA_DEMANDS!$F28,DEMANDS!$G$2:$CK$25,MATCH($E28,DEMANDS!$E$2:$E$25,0),FALSE)/HLOOKUP(2018,DEMANDS!$G$2:$CK$25,MATCH($E28,DEMANDS!$E$2:$E$25,0),FALSE)</f>
        <v>0.83620137822981422</v>
      </c>
      <c r="X28" s="19">
        <f>HLOOKUP(REG_TRA_DEMANDS!X$3,'BY-Demands'!$J$5:$AK$14,MATCH($E28,'BY-Demands'!$I$5:$I$14,0),FALSE)*HLOOKUP(REG_TRA_DEMANDS!$F28,DEMANDS!$G$2:$CK$25,MATCH($E28,DEMANDS!$E$2:$E$25,0),FALSE)/HLOOKUP(2018,DEMANDS!$G$2:$CK$25,MATCH($E28,DEMANDS!$E$2:$E$25,0),FALSE)</f>
        <v>0.55526457352515857</v>
      </c>
      <c r="Y28" s="19">
        <f>HLOOKUP(REG_TRA_DEMANDS!Y$3,'BY-Demands'!$J$5:$AK$14,MATCH($E28,'BY-Demands'!$I$5:$I$14,0),FALSE)*HLOOKUP(REG_TRA_DEMANDS!$F28,DEMANDS!$G$2:$CK$25,MATCH($E28,DEMANDS!$E$2:$E$25,0),FALSE)/HLOOKUP(2018,DEMANDS!$G$2:$CK$25,MATCH($E28,DEMANDS!$E$2:$E$25,0),FALSE)</f>
        <v>1.241053565701002</v>
      </c>
      <c r="Z28" s="19">
        <f>HLOOKUP(REG_TRA_DEMANDS!Z$3,'BY-Demands'!$J$5:$AK$14,MATCH($E28,'BY-Demands'!$I$5:$I$14,0),FALSE)*HLOOKUP(REG_TRA_DEMANDS!$F28,DEMANDS!$G$2:$CK$25,MATCH($E28,DEMANDS!$E$2:$E$25,0),FALSE)/HLOOKUP(2018,DEMANDS!$G$2:$CK$25,MATCH($E28,DEMANDS!$E$2:$E$25,0),FALSE)</f>
        <v>0.15927986673945405</v>
      </c>
      <c r="AA28" s="19">
        <f>HLOOKUP(REG_TRA_DEMANDS!AA$3,'BY-Demands'!$J$5:$AK$14,MATCH($E28,'BY-Demands'!$I$5:$I$14,0),FALSE)*HLOOKUP(REG_TRA_DEMANDS!$F28,DEMANDS!$G$2:$CK$25,MATCH($E28,DEMANDS!$E$2:$E$25,0),FALSE)/HLOOKUP(2018,DEMANDS!$G$2:$CK$25,MATCH($E28,DEMANDS!$E$2:$E$25,0),FALSE)</f>
        <v>0.66464452513086048</v>
      </c>
      <c r="AB28" s="19">
        <f>HLOOKUP(REG_TRA_DEMANDS!AB$3,'BY-Demands'!$J$5:$AK$14,MATCH($E28,'BY-Demands'!$I$5:$I$14,0),FALSE)*HLOOKUP(REG_TRA_DEMANDS!$F28,DEMANDS!$G$2:$CK$25,MATCH($E28,DEMANDS!$E$2:$E$25,0),FALSE)/HLOOKUP(2018,DEMANDS!$G$2:$CK$25,MATCH($E28,DEMANDS!$E$2:$E$25,0),FALSE)</f>
        <v>0.34768221534477245</v>
      </c>
      <c r="AC28" s="19">
        <f>HLOOKUP(REG_TRA_DEMANDS!AC$3,'BY-Demands'!$J$5:$AK$14,MATCH($E28,'BY-Demands'!$I$5:$I$14,0),FALSE)*HLOOKUP(REG_TRA_DEMANDS!$F28,DEMANDS!$G$2:$CK$25,MATCH($E28,DEMANDS!$E$2:$E$25,0),FALSE)/HLOOKUP(2018,DEMANDS!$G$2:$CK$25,MATCH($E28,DEMANDS!$E$2:$E$25,0),FALSE)</f>
        <v>0.30653356534491105</v>
      </c>
      <c r="AD28" s="19">
        <f>HLOOKUP(REG_TRA_DEMANDS!AD$3,'BY-Demands'!$J$5:$AK$14,MATCH($E28,'BY-Demands'!$I$5:$I$14,0),FALSE)*HLOOKUP(REG_TRA_DEMANDS!$F28,DEMANDS!$G$2:$CK$25,MATCH($E28,DEMANDS!$E$2:$E$25,0),FALSE)/HLOOKUP(2018,DEMANDS!$G$2:$CK$25,MATCH($E28,DEMANDS!$E$2:$E$25,0),FALSE)</f>
        <v>0.34190735788456378</v>
      </c>
      <c r="AE28" s="19">
        <f>HLOOKUP(REG_TRA_DEMANDS!AE$3,'BY-Demands'!$J$5:$AK$14,MATCH($E28,'BY-Demands'!$I$5:$I$14,0),FALSE)*HLOOKUP(REG_TRA_DEMANDS!$F28,DEMANDS!$G$2:$CK$25,MATCH($E28,DEMANDS!$E$2:$E$25,0),FALSE)/HLOOKUP(2018,DEMANDS!$G$2:$CK$25,MATCH($E28,DEMANDS!$E$2:$E$25,0),FALSE)</f>
        <v>0.66324129583678504</v>
      </c>
      <c r="AF28" s="19">
        <f>HLOOKUP(REG_TRA_DEMANDS!AF$3,'BY-Demands'!$J$5:$AK$14,MATCH($E28,'BY-Demands'!$I$5:$I$14,0),FALSE)*HLOOKUP(REG_TRA_DEMANDS!$F28,DEMANDS!$G$2:$CK$25,MATCH($E28,DEMANDS!$E$2:$E$25,0),FALSE)/HLOOKUP(2018,DEMANDS!$G$2:$CK$25,MATCH($E28,DEMANDS!$E$2:$E$25,0),FALSE)</f>
        <v>0.31809989196694954</v>
      </c>
    </row>
    <row r="29" spans="4:32" ht="14.5">
      <c r="D29" t="s">
        <v>6</v>
      </c>
      <c r="E29" t="str">
        <f>DEMANDS!$E$17</f>
        <v>TRAPS</v>
      </c>
      <c r="F29">
        <v>2065</v>
      </c>
      <c r="G29" s="19">
        <f>HLOOKUP(REG_TRA_DEMANDS!G$3,'BY-Demands'!$J$5:$AK$14,MATCH($E29,'BY-Demands'!$I$5:$I$14,0),FALSE)*HLOOKUP(REG_TRA_DEMANDS!$F29,DEMANDS!$G$2:$CK$25,MATCH($E29,DEMANDS!$E$2:$E$25,0),FALSE)/HLOOKUP(2018,DEMANDS!$G$2:$CK$25,MATCH($E29,DEMANDS!$E$2:$E$25,0),FALSE)</f>
        <v>0.29660941591165296</v>
      </c>
      <c r="H29" s="19">
        <f>HLOOKUP(REG_TRA_DEMANDS!H$3,'BY-Demands'!$J$5:$AK$14,MATCH($E29,'BY-Demands'!$I$5:$I$14,0),FALSE)*HLOOKUP(REG_TRA_DEMANDS!$F29,DEMANDS!$G$2:$CK$25,MATCH($E29,DEMANDS!$E$2:$E$25,0),FALSE)/HLOOKUP(2018,DEMANDS!$G$2:$CK$25,MATCH($E29,DEMANDS!$E$2:$E$25,0),FALSE)</f>
        <v>5.9299254954758691</v>
      </c>
      <c r="I29" s="19">
        <f>HLOOKUP(REG_TRA_DEMANDS!I$3,'BY-Demands'!$J$5:$AK$14,MATCH($E29,'BY-Demands'!$I$5:$I$14,0),FALSE)*HLOOKUP(REG_TRA_DEMANDS!$F29,DEMANDS!$G$2:$CK$25,MATCH($E29,DEMANDS!$E$2:$E$25,0),FALSE)/HLOOKUP(2018,DEMANDS!$G$2:$CK$25,MATCH($E29,DEMANDS!$E$2:$E$25,0),FALSE)</f>
        <v>1.0936270141481543</v>
      </c>
      <c r="J29" s="19">
        <f>HLOOKUP(REG_TRA_DEMANDS!J$3,'BY-Demands'!$J$5:$AK$14,MATCH($E29,'BY-Demands'!$I$5:$I$14,0),FALSE)*HLOOKUP(REG_TRA_DEMANDS!$F29,DEMANDS!$G$2:$CK$25,MATCH($E29,DEMANDS!$E$2:$E$25,0),FALSE)/HLOOKUP(2018,DEMANDS!$G$2:$CK$25,MATCH($E29,DEMANDS!$E$2:$E$25,0),FALSE)</f>
        <v>0.50737234860083524</v>
      </c>
      <c r="K29" s="19">
        <f>HLOOKUP(REG_TRA_DEMANDS!K$3,'BY-Demands'!$J$5:$AK$14,MATCH($E29,'BY-Demands'!$I$5:$I$14,0),FALSE)*HLOOKUP(REG_TRA_DEMANDS!$F29,DEMANDS!$G$2:$CK$25,MATCH($E29,DEMANDS!$E$2:$E$25,0),FALSE)/HLOOKUP(2018,DEMANDS!$G$2:$CK$25,MATCH($E29,DEMANDS!$E$2:$E$25,0),FALSE)</f>
        <v>0.40001214888072328</v>
      </c>
      <c r="L29" s="19">
        <f>HLOOKUP(REG_TRA_DEMANDS!L$3,'BY-Demands'!$J$5:$AK$14,MATCH($E29,'BY-Demands'!$I$5:$I$14,0),FALSE)*HLOOKUP(REG_TRA_DEMANDS!$F29,DEMANDS!$G$2:$CK$25,MATCH($E29,DEMANDS!$E$2:$E$25,0),FALSE)/HLOOKUP(2018,DEMANDS!$G$2:$CK$25,MATCH($E29,DEMANDS!$E$2:$E$25,0),FALSE)</f>
        <v>0.20099246267780652</v>
      </c>
      <c r="M29" s="19">
        <f>HLOOKUP(REG_TRA_DEMANDS!M$3,'BY-Demands'!$J$5:$AK$14,MATCH($E29,'BY-Demands'!$I$5:$I$14,0),FALSE)*HLOOKUP(REG_TRA_DEMANDS!$F29,DEMANDS!$G$2:$CK$25,MATCH($E29,DEMANDS!$E$2:$E$25,0),FALSE)/HLOOKUP(2018,DEMANDS!$G$2:$CK$25,MATCH($E29,DEMANDS!$E$2:$E$25,0),FALSE)</f>
        <v>0.5763483735445738</v>
      </c>
      <c r="N29" s="19">
        <f>HLOOKUP(REG_TRA_DEMANDS!N$3,'BY-Demands'!$J$5:$AK$14,MATCH($E29,'BY-Demands'!$I$5:$I$14,0),FALSE)*HLOOKUP(REG_TRA_DEMANDS!$F29,DEMANDS!$G$2:$CK$25,MATCH($E29,DEMANDS!$E$2:$E$25,0),FALSE)/HLOOKUP(2018,DEMANDS!$G$2:$CK$25,MATCH($E29,DEMANDS!$E$2:$E$25,0),FALSE)</f>
        <v>0.9486841822526566</v>
      </c>
      <c r="O29" s="19">
        <f>HLOOKUP(REG_TRA_DEMANDS!O$3,'BY-Demands'!$J$5:$AK$14,MATCH($E29,'BY-Demands'!$I$5:$I$14,0),FALSE)*HLOOKUP(REG_TRA_DEMANDS!$F29,DEMANDS!$G$2:$CK$25,MATCH($E29,DEMANDS!$E$2:$E$25,0),FALSE)/HLOOKUP(2018,DEMANDS!$G$2:$CK$25,MATCH($E29,DEMANDS!$E$2:$E$25,0),FALSE)</f>
        <v>0.39271052973093468</v>
      </c>
      <c r="P29" s="19">
        <f>HLOOKUP(REG_TRA_DEMANDS!P$3,'BY-Demands'!$J$5:$AK$14,MATCH($E29,'BY-Demands'!$I$5:$I$14,0),FALSE)*HLOOKUP(REG_TRA_DEMANDS!$F29,DEMANDS!$G$2:$CK$25,MATCH($E29,DEMANDS!$E$2:$E$25,0),FALSE)/HLOOKUP(2018,DEMANDS!$G$2:$CK$25,MATCH($E29,DEMANDS!$E$2:$E$25,0),FALSE)</f>
        <v>0.44513313932990078</v>
      </c>
      <c r="Q29" s="19">
        <f>HLOOKUP(REG_TRA_DEMANDS!Q$3,'BY-Demands'!$J$5:$AK$14,MATCH($E29,'BY-Demands'!$I$5:$I$14,0),FALSE)*HLOOKUP(REG_TRA_DEMANDS!$F29,DEMANDS!$G$2:$CK$25,MATCH($E29,DEMANDS!$E$2:$E$25,0),FALSE)/HLOOKUP(2018,DEMANDS!$G$2:$CK$25,MATCH($E29,DEMANDS!$E$2:$E$25,0),FALSE)</f>
        <v>0.77472652564008915</v>
      </c>
      <c r="R29" s="19">
        <f>HLOOKUP(REG_TRA_DEMANDS!R$3,'BY-Demands'!$J$5:$AK$14,MATCH($E29,'BY-Demands'!$I$5:$I$14,0),FALSE)*HLOOKUP(REG_TRA_DEMANDS!$F29,DEMANDS!$G$2:$CK$25,MATCH($E29,DEMANDS!$E$2:$E$25,0),FALSE)/HLOOKUP(2018,DEMANDS!$G$2:$CK$25,MATCH($E29,DEMANDS!$E$2:$E$25,0),FALSE)</f>
        <v>0.68528641257806067</v>
      </c>
      <c r="S29" s="19">
        <f>HLOOKUP(REG_TRA_DEMANDS!S$3,'BY-Demands'!$J$5:$AK$14,MATCH($E29,'BY-Demands'!$I$5:$I$14,0),FALSE)*HLOOKUP(REG_TRA_DEMANDS!$F29,DEMANDS!$G$2:$CK$25,MATCH($E29,DEMANDS!$E$2:$E$25,0),FALSE)/HLOOKUP(2018,DEMANDS!$G$2:$CK$25,MATCH($E29,DEMANDS!$E$2:$E$25,0),FALSE)</f>
        <v>0.60313577254020756</v>
      </c>
      <c r="T29" s="19">
        <f>HLOOKUP(REG_TRA_DEMANDS!T$3,'BY-Demands'!$J$5:$AK$14,MATCH($E29,'BY-Demands'!$I$5:$I$14,0),FALSE)*HLOOKUP(REG_TRA_DEMANDS!$F29,DEMANDS!$G$2:$CK$25,MATCH($E29,DEMANDS!$E$2:$E$25,0),FALSE)/HLOOKUP(2018,DEMANDS!$G$2:$CK$25,MATCH($E29,DEMANDS!$E$2:$E$25,0),FALSE)</f>
        <v>2.5505809268811226</v>
      </c>
      <c r="U29" s="19">
        <f>HLOOKUP(REG_TRA_DEMANDS!U$3,'BY-Demands'!$J$5:$AK$14,MATCH($E29,'BY-Demands'!$I$5:$I$14,0),FALSE)*HLOOKUP(REG_TRA_DEMANDS!$F29,DEMANDS!$G$2:$CK$25,MATCH($E29,DEMANDS!$E$2:$E$25,0),FALSE)/HLOOKUP(2018,DEMANDS!$G$2:$CK$25,MATCH($E29,DEMANDS!$E$2:$E$25,0),FALSE)</f>
        <v>0.7809281922935396</v>
      </c>
      <c r="V29" s="19">
        <f>HLOOKUP(REG_TRA_DEMANDS!V$3,'BY-Demands'!$J$5:$AK$14,MATCH($E29,'BY-Demands'!$I$5:$I$14,0),FALSE)*HLOOKUP(REG_TRA_DEMANDS!$F29,DEMANDS!$G$2:$CK$25,MATCH($E29,DEMANDS!$E$2:$E$25,0),FALSE)/HLOOKUP(2018,DEMANDS!$G$2:$CK$25,MATCH($E29,DEMANDS!$E$2:$E$25,0),FALSE)</f>
        <v>0.93119360409839536</v>
      </c>
      <c r="W29" s="19">
        <f>HLOOKUP(REG_TRA_DEMANDS!W$3,'BY-Demands'!$J$5:$AK$14,MATCH($E29,'BY-Demands'!$I$5:$I$14,0),FALSE)*HLOOKUP(REG_TRA_DEMANDS!$F29,DEMANDS!$G$2:$CK$25,MATCH($E29,DEMANDS!$E$2:$E$25,0),FALSE)/HLOOKUP(2018,DEMANDS!$G$2:$CK$25,MATCH($E29,DEMANDS!$E$2:$E$25,0),FALSE)</f>
        <v>0.84894139098717403</v>
      </c>
      <c r="X29" s="19">
        <f>HLOOKUP(REG_TRA_DEMANDS!X$3,'BY-Demands'!$J$5:$AK$14,MATCH($E29,'BY-Demands'!$I$5:$I$14,0),FALSE)*HLOOKUP(REG_TRA_DEMANDS!$F29,DEMANDS!$G$2:$CK$25,MATCH($E29,DEMANDS!$E$2:$E$25,0),FALSE)/HLOOKUP(2018,DEMANDS!$G$2:$CK$25,MATCH($E29,DEMANDS!$E$2:$E$25,0),FALSE)</f>
        <v>0.56372435119904363</v>
      </c>
      <c r="Y29" s="19">
        <f>HLOOKUP(REG_TRA_DEMANDS!Y$3,'BY-Demands'!$J$5:$AK$14,MATCH($E29,'BY-Demands'!$I$5:$I$14,0),FALSE)*HLOOKUP(REG_TRA_DEMANDS!$F29,DEMANDS!$G$2:$CK$25,MATCH($E29,DEMANDS!$E$2:$E$25,0),FALSE)/HLOOKUP(2018,DEMANDS!$G$2:$CK$25,MATCH($E29,DEMANDS!$E$2:$E$25,0),FALSE)</f>
        <v>1.25996173623412</v>
      </c>
      <c r="Z29" s="19">
        <f>HLOOKUP(REG_TRA_DEMANDS!Z$3,'BY-Demands'!$J$5:$AK$14,MATCH($E29,'BY-Demands'!$I$5:$I$14,0),FALSE)*HLOOKUP(REG_TRA_DEMANDS!$F29,DEMANDS!$G$2:$CK$25,MATCH($E29,DEMANDS!$E$2:$E$25,0),FALSE)/HLOOKUP(2018,DEMANDS!$G$2:$CK$25,MATCH($E29,DEMANDS!$E$2:$E$25,0),FALSE)</f>
        <v>0.1617065878464522</v>
      </c>
      <c r="AA29" s="19">
        <f>HLOOKUP(REG_TRA_DEMANDS!AA$3,'BY-Demands'!$J$5:$AK$14,MATCH($E29,'BY-Demands'!$I$5:$I$14,0),FALSE)*HLOOKUP(REG_TRA_DEMANDS!$F29,DEMANDS!$G$2:$CK$25,MATCH($E29,DEMANDS!$E$2:$E$25,0),FALSE)/HLOOKUP(2018,DEMANDS!$G$2:$CK$25,MATCH($E29,DEMANDS!$E$2:$E$25,0),FALSE)</f>
        <v>0.67477076977685935</v>
      </c>
      <c r="AB29" s="19">
        <f>HLOOKUP(REG_TRA_DEMANDS!AB$3,'BY-Demands'!$J$5:$AK$14,MATCH($E29,'BY-Demands'!$I$5:$I$14,0),FALSE)*HLOOKUP(REG_TRA_DEMANDS!$F29,DEMANDS!$G$2:$CK$25,MATCH($E29,DEMANDS!$E$2:$E$25,0),FALSE)/HLOOKUP(2018,DEMANDS!$G$2:$CK$25,MATCH($E29,DEMANDS!$E$2:$E$25,0),FALSE)</f>
        <v>0.35297935545278858</v>
      </c>
      <c r="AC29" s="19">
        <f>HLOOKUP(REG_TRA_DEMANDS!AC$3,'BY-Demands'!$J$5:$AK$14,MATCH($E29,'BY-Demands'!$I$5:$I$14,0),FALSE)*HLOOKUP(REG_TRA_DEMANDS!$F29,DEMANDS!$G$2:$CK$25,MATCH($E29,DEMANDS!$E$2:$E$25,0),FALSE)/HLOOKUP(2018,DEMANDS!$G$2:$CK$25,MATCH($E29,DEMANDS!$E$2:$E$25,0),FALSE)</f>
        <v>0.31120378191561354</v>
      </c>
      <c r="AD29" s="19">
        <f>HLOOKUP(REG_TRA_DEMANDS!AD$3,'BY-Demands'!$J$5:$AK$14,MATCH($E29,'BY-Demands'!$I$5:$I$14,0),FALSE)*HLOOKUP(REG_TRA_DEMANDS!$F29,DEMANDS!$G$2:$CK$25,MATCH($E29,DEMANDS!$E$2:$E$25,0),FALSE)/HLOOKUP(2018,DEMANDS!$G$2:$CK$25,MATCH($E29,DEMANDS!$E$2:$E$25,0),FALSE)</f>
        <v>0.34711651469139143</v>
      </c>
      <c r="AE29" s="19">
        <f>HLOOKUP(REG_TRA_DEMANDS!AE$3,'BY-Demands'!$J$5:$AK$14,MATCH($E29,'BY-Demands'!$I$5:$I$14,0),FALSE)*HLOOKUP(REG_TRA_DEMANDS!$F29,DEMANDS!$G$2:$CK$25,MATCH($E29,DEMANDS!$E$2:$E$25,0),FALSE)/HLOOKUP(2018,DEMANDS!$G$2:$CK$25,MATCH($E29,DEMANDS!$E$2:$E$25,0),FALSE)</f>
        <v>0.673346161471013</v>
      </c>
      <c r="AF29" s="19">
        <f>HLOOKUP(REG_TRA_DEMANDS!AF$3,'BY-Demands'!$J$5:$AK$14,MATCH($E29,'BY-Demands'!$I$5:$I$14,0),FALSE)*HLOOKUP(REG_TRA_DEMANDS!$F29,DEMANDS!$G$2:$CK$25,MATCH($E29,DEMANDS!$E$2:$E$25,0),FALSE)/HLOOKUP(2018,DEMANDS!$G$2:$CK$25,MATCH($E29,DEMANDS!$E$2:$E$25,0),FALSE)</f>
        <v>0.32294632822893321</v>
      </c>
    </row>
    <row r="30" spans="4:32" ht="14.5">
      <c r="D30" t="s">
        <v>6</v>
      </c>
      <c r="E30" t="str">
        <f>DEMANDS!$E$17</f>
        <v>TRAPS</v>
      </c>
      <c r="F30">
        <v>2070</v>
      </c>
      <c r="G30" s="19">
        <f>HLOOKUP(REG_TRA_DEMANDS!G$3,'BY-Demands'!$J$5:$AK$14,MATCH($E30,'BY-Demands'!$I$5:$I$14,0),FALSE)*HLOOKUP(REG_TRA_DEMANDS!$F30,DEMANDS!$G$2:$CK$25,MATCH($E30,DEMANDS!$E$2:$E$25,0),FALSE)/HLOOKUP(2018,DEMANDS!$G$2:$CK$25,MATCH($E30,DEMANDS!$E$2:$E$25,0),FALSE)</f>
        <v>0.30138686240335427</v>
      </c>
      <c r="H30" s="19">
        <f>HLOOKUP(REG_TRA_DEMANDS!H$3,'BY-Demands'!$J$5:$AK$14,MATCH($E30,'BY-Demands'!$I$5:$I$14,0),FALSE)*HLOOKUP(REG_TRA_DEMANDS!$F30,DEMANDS!$G$2:$CK$25,MATCH($E30,DEMANDS!$E$2:$E$25,0),FALSE)/HLOOKUP(2018,DEMANDS!$G$2:$CK$25,MATCH($E30,DEMANDS!$E$2:$E$25,0),FALSE)</f>
        <v>6.0254379783393581</v>
      </c>
      <c r="I30" s="19">
        <f>HLOOKUP(REG_TRA_DEMANDS!I$3,'BY-Demands'!$J$5:$AK$14,MATCH($E30,'BY-Demands'!$I$5:$I$14,0),FALSE)*HLOOKUP(REG_TRA_DEMANDS!$F30,DEMANDS!$G$2:$CK$25,MATCH($E30,DEMANDS!$E$2:$E$25,0),FALSE)/HLOOKUP(2018,DEMANDS!$G$2:$CK$25,MATCH($E30,DEMANDS!$E$2:$E$25,0),FALSE)</f>
        <v>1.1112419119285002</v>
      </c>
      <c r="J30" s="19">
        <f>HLOOKUP(REG_TRA_DEMANDS!J$3,'BY-Demands'!$J$5:$AK$14,MATCH($E30,'BY-Demands'!$I$5:$I$14,0),FALSE)*HLOOKUP(REG_TRA_DEMANDS!$F30,DEMANDS!$G$2:$CK$25,MATCH($E30,DEMANDS!$E$2:$E$25,0),FALSE)/HLOOKUP(2018,DEMANDS!$G$2:$CK$25,MATCH($E30,DEMANDS!$E$2:$E$25,0),FALSE)</f>
        <v>0.51554452425264019</v>
      </c>
      <c r="K30" s="19">
        <f>HLOOKUP(REG_TRA_DEMANDS!K$3,'BY-Demands'!$J$5:$AK$14,MATCH($E30,'BY-Demands'!$I$5:$I$14,0),FALSE)*HLOOKUP(REG_TRA_DEMANDS!$F30,DEMANDS!$G$2:$CK$25,MATCH($E30,DEMANDS!$E$2:$E$25,0),FALSE)/HLOOKUP(2018,DEMANDS!$G$2:$CK$25,MATCH($E30,DEMANDS!$E$2:$E$25,0),FALSE)</f>
        <v>0.40645508876998604</v>
      </c>
      <c r="L30" s="19">
        <f>HLOOKUP(REG_TRA_DEMANDS!L$3,'BY-Demands'!$J$5:$AK$14,MATCH($E30,'BY-Demands'!$I$5:$I$14,0),FALSE)*HLOOKUP(REG_TRA_DEMANDS!$F30,DEMANDS!$G$2:$CK$25,MATCH($E30,DEMANDS!$E$2:$E$25,0),FALSE)/HLOOKUP(2018,DEMANDS!$G$2:$CK$25,MATCH($E30,DEMANDS!$E$2:$E$25,0),FALSE)</f>
        <v>0.20422982024019926</v>
      </c>
      <c r="M30" s="19">
        <f>HLOOKUP(REG_TRA_DEMANDS!M$3,'BY-Demands'!$J$5:$AK$14,MATCH($E30,'BY-Demands'!$I$5:$I$14,0),FALSE)*HLOOKUP(REG_TRA_DEMANDS!$F30,DEMANDS!$G$2:$CK$25,MATCH($E30,DEMANDS!$E$2:$E$25,0),FALSE)/HLOOKUP(2018,DEMANDS!$G$2:$CK$25,MATCH($E30,DEMANDS!$E$2:$E$25,0),FALSE)</f>
        <v>0.58563153640953292</v>
      </c>
      <c r="N30" s="19">
        <f>HLOOKUP(REG_TRA_DEMANDS!N$3,'BY-Demands'!$J$5:$AK$14,MATCH($E30,'BY-Demands'!$I$5:$I$14,0),FALSE)*HLOOKUP(REG_TRA_DEMANDS!$F30,DEMANDS!$G$2:$CK$25,MATCH($E30,DEMANDS!$E$2:$E$25,0),FALSE)/HLOOKUP(2018,DEMANDS!$G$2:$CK$25,MATCH($E30,DEMANDS!$E$2:$E$25,0),FALSE)</f>
        <v>0.96396450605594897</v>
      </c>
      <c r="O30" s="19">
        <f>HLOOKUP(REG_TRA_DEMANDS!O$3,'BY-Demands'!$J$5:$AK$14,MATCH($E30,'BY-Demands'!$I$5:$I$14,0),FALSE)*HLOOKUP(REG_TRA_DEMANDS!$F30,DEMANDS!$G$2:$CK$25,MATCH($E30,DEMANDS!$E$2:$E$25,0),FALSE)/HLOOKUP(2018,DEMANDS!$G$2:$CK$25,MATCH($E30,DEMANDS!$E$2:$E$25,0),FALSE)</f>
        <v>0.39903586345896452</v>
      </c>
      <c r="P30" s="19">
        <f>HLOOKUP(REG_TRA_DEMANDS!P$3,'BY-Demands'!$J$5:$AK$14,MATCH($E30,'BY-Demands'!$I$5:$I$14,0),FALSE)*HLOOKUP(REG_TRA_DEMANDS!$F30,DEMANDS!$G$2:$CK$25,MATCH($E30,DEMANDS!$E$2:$E$25,0),FALSE)/HLOOKUP(2018,DEMANDS!$G$2:$CK$25,MATCH($E30,DEMANDS!$E$2:$E$25,0),FALSE)</f>
        <v>0.45230283671895821</v>
      </c>
      <c r="Q30" s="19">
        <f>HLOOKUP(REG_TRA_DEMANDS!Q$3,'BY-Demands'!$J$5:$AK$14,MATCH($E30,'BY-Demands'!$I$5:$I$14,0),FALSE)*HLOOKUP(REG_TRA_DEMANDS!$F30,DEMANDS!$G$2:$CK$25,MATCH($E30,DEMANDS!$E$2:$E$25,0),FALSE)/HLOOKUP(2018,DEMANDS!$G$2:$CK$25,MATCH($E30,DEMANDS!$E$2:$E$25,0),FALSE)</f>
        <v>0.78720493773153011</v>
      </c>
      <c r="R30" s="19">
        <f>HLOOKUP(REG_TRA_DEMANDS!R$3,'BY-Demands'!$J$5:$AK$14,MATCH($E30,'BY-Demands'!$I$5:$I$14,0),FALSE)*HLOOKUP(REG_TRA_DEMANDS!$F30,DEMANDS!$G$2:$CK$25,MATCH($E30,DEMANDS!$E$2:$E$25,0),FALSE)/HLOOKUP(2018,DEMANDS!$G$2:$CK$25,MATCH($E30,DEMANDS!$E$2:$E$25,0),FALSE)</f>
        <v>0.69632422524330928</v>
      </c>
      <c r="S30" s="19">
        <f>HLOOKUP(REG_TRA_DEMANDS!S$3,'BY-Demands'!$J$5:$AK$14,MATCH($E30,'BY-Demands'!$I$5:$I$14,0),FALSE)*HLOOKUP(REG_TRA_DEMANDS!$F30,DEMANDS!$G$2:$CK$25,MATCH($E30,DEMANDS!$E$2:$E$25,0),FALSE)/HLOOKUP(2018,DEMANDS!$G$2:$CK$25,MATCH($E30,DEMANDS!$E$2:$E$25,0),FALSE)</f>
        <v>0.61285039630454563</v>
      </c>
      <c r="T30" s="19">
        <f>HLOOKUP(REG_TRA_DEMANDS!T$3,'BY-Demands'!$J$5:$AK$14,MATCH($E30,'BY-Demands'!$I$5:$I$14,0),FALSE)*HLOOKUP(REG_TRA_DEMANDS!$F30,DEMANDS!$G$2:$CK$25,MATCH($E30,DEMANDS!$E$2:$E$25,0),FALSE)/HLOOKUP(2018,DEMANDS!$G$2:$CK$25,MATCH($E30,DEMANDS!$E$2:$E$25,0),FALSE)</f>
        <v>2.5916627781213335</v>
      </c>
      <c r="U30" s="19">
        <f>HLOOKUP(REG_TRA_DEMANDS!U$3,'BY-Demands'!$J$5:$AK$14,MATCH($E30,'BY-Demands'!$I$5:$I$14,0),FALSE)*HLOOKUP(REG_TRA_DEMANDS!$F30,DEMANDS!$G$2:$CK$25,MATCH($E30,DEMANDS!$E$2:$E$25,0),FALSE)/HLOOKUP(2018,DEMANDS!$G$2:$CK$25,MATCH($E30,DEMANDS!$E$2:$E$25,0),FALSE)</f>
        <v>0.79350649376477356</v>
      </c>
      <c r="V30" s="19">
        <f>HLOOKUP(REG_TRA_DEMANDS!V$3,'BY-Demands'!$J$5:$AK$14,MATCH($E30,'BY-Demands'!$I$5:$I$14,0),FALSE)*HLOOKUP(REG_TRA_DEMANDS!$F30,DEMANDS!$G$2:$CK$25,MATCH($E30,DEMANDS!$E$2:$E$25,0),FALSE)/HLOOKUP(2018,DEMANDS!$G$2:$CK$25,MATCH($E30,DEMANDS!$E$2:$E$25,0),FALSE)</f>
        <v>0.94619220959890193</v>
      </c>
      <c r="W30" s="19">
        <f>HLOOKUP(REG_TRA_DEMANDS!W$3,'BY-Demands'!$J$5:$AK$14,MATCH($E30,'BY-Demands'!$I$5:$I$14,0),FALSE)*HLOOKUP(REG_TRA_DEMANDS!$F30,DEMANDS!$G$2:$CK$25,MATCH($E30,DEMANDS!$E$2:$E$25,0),FALSE)/HLOOKUP(2018,DEMANDS!$G$2:$CK$25,MATCH($E30,DEMANDS!$E$2:$E$25,0),FALSE)</f>
        <v>0.86261517156344447</v>
      </c>
      <c r="X30" s="19">
        <f>HLOOKUP(REG_TRA_DEMANDS!X$3,'BY-Demands'!$J$5:$AK$14,MATCH($E30,'BY-Demands'!$I$5:$I$14,0),FALSE)*HLOOKUP(REG_TRA_DEMANDS!$F30,DEMANDS!$G$2:$CK$25,MATCH($E30,DEMANDS!$E$2:$E$25,0),FALSE)/HLOOKUP(2018,DEMANDS!$G$2:$CK$25,MATCH($E30,DEMANDS!$E$2:$E$25,0),FALSE)</f>
        <v>0.57280418069685246</v>
      </c>
      <c r="Y30" s="19">
        <f>HLOOKUP(REG_TRA_DEMANDS!Y$3,'BY-Demands'!$J$5:$AK$14,MATCH($E30,'BY-Demands'!$I$5:$I$14,0),FALSE)*HLOOKUP(REG_TRA_DEMANDS!$F30,DEMANDS!$G$2:$CK$25,MATCH($E30,DEMANDS!$E$2:$E$25,0),FALSE)/HLOOKUP(2018,DEMANDS!$G$2:$CK$25,MATCH($E30,DEMANDS!$E$2:$E$25,0),FALSE)</f>
        <v>1.2802557641831265</v>
      </c>
      <c r="Z30" s="19">
        <f>HLOOKUP(REG_TRA_DEMANDS!Z$3,'BY-Demands'!$J$5:$AK$14,MATCH($E30,'BY-Demands'!$I$5:$I$14,0),FALSE)*HLOOKUP(REG_TRA_DEMANDS!$F30,DEMANDS!$G$2:$CK$25,MATCH($E30,DEMANDS!$E$2:$E$25,0),FALSE)/HLOOKUP(2018,DEMANDS!$G$2:$CK$25,MATCH($E30,DEMANDS!$E$2:$E$25,0),FALSE)</f>
        <v>0.16431117330243827</v>
      </c>
      <c r="AA30" s="19">
        <f>HLOOKUP(REG_TRA_DEMANDS!AA$3,'BY-Demands'!$J$5:$AK$14,MATCH($E30,'BY-Demands'!$I$5:$I$14,0),FALSE)*HLOOKUP(REG_TRA_DEMANDS!$F30,DEMANDS!$G$2:$CK$25,MATCH($E30,DEMANDS!$E$2:$E$25,0),FALSE)/HLOOKUP(2018,DEMANDS!$G$2:$CK$25,MATCH($E30,DEMANDS!$E$2:$E$25,0),FALSE)</f>
        <v>0.68563920845020621</v>
      </c>
      <c r="AB30" s="19">
        <f>HLOOKUP(REG_TRA_DEMANDS!AB$3,'BY-Demands'!$J$5:$AK$14,MATCH($E30,'BY-Demands'!$I$5:$I$14,0),FALSE)*HLOOKUP(REG_TRA_DEMANDS!$F30,DEMANDS!$G$2:$CK$25,MATCH($E30,DEMANDS!$E$2:$E$25,0),FALSE)/HLOOKUP(2018,DEMANDS!$G$2:$CK$25,MATCH($E30,DEMANDS!$E$2:$E$25,0),FALSE)</f>
        <v>0.35866474469833159</v>
      </c>
      <c r="AC30" s="19">
        <f>HLOOKUP(REG_TRA_DEMANDS!AC$3,'BY-Demands'!$J$5:$AK$14,MATCH($E30,'BY-Demands'!$I$5:$I$14,0),FALSE)*HLOOKUP(REG_TRA_DEMANDS!$F30,DEMANDS!$G$2:$CK$25,MATCH($E30,DEMANDS!$E$2:$E$25,0),FALSE)/HLOOKUP(2018,DEMANDS!$G$2:$CK$25,MATCH($E30,DEMANDS!$E$2:$E$25,0),FALSE)</f>
        <v>0.31621629782495259</v>
      </c>
      <c r="AD30" s="19">
        <f>HLOOKUP(REG_TRA_DEMANDS!AD$3,'BY-Demands'!$J$5:$AK$14,MATCH($E30,'BY-Demands'!$I$5:$I$14,0),FALSE)*HLOOKUP(REG_TRA_DEMANDS!$F30,DEMANDS!$G$2:$CK$25,MATCH($E30,DEMANDS!$E$2:$E$25,0),FALSE)/HLOOKUP(2018,DEMANDS!$G$2:$CK$25,MATCH($E30,DEMANDS!$E$2:$E$25,0),FALSE)</f>
        <v>0.35270747197852598</v>
      </c>
      <c r="AE30" s="19">
        <f>HLOOKUP(REG_TRA_DEMANDS!AE$3,'BY-Demands'!$J$5:$AK$14,MATCH($E30,'BY-Demands'!$I$5:$I$14,0),FALSE)*HLOOKUP(REG_TRA_DEMANDS!$F30,DEMANDS!$G$2:$CK$25,MATCH($E30,DEMANDS!$E$2:$E$25,0),FALSE)/HLOOKUP(2018,DEMANDS!$G$2:$CK$25,MATCH($E30,DEMANDS!$E$2:$E$25,0),FALSE)</f>
        <v>0.68419165417707861</v>
      </c>
      <c r="AF30" s="19">
        <f>HLOOKUP(REG_TRA_DEMANDS!AF$3,'BY-Demands'!$J$5:$AK$14,MATCH($E30,'BY-Demands'!$I$5:$I$14,0),FALSE)*HLOOKUP(REG_TRA_DEMANDS!$F30,DEMANDS!$G$2:$CK$25,MATCH($E30,DEMANDS!$E$2:$E$25,0),FALSE)/HLOOKUP(2018,DEMANDS!$G$2:$CK$25,MATCH($E30,DEMANDS!$E$2:$E$25,0),FALSE)</f>
        <v>0.32814797969391801</v>
      </c>
    </row>
    <row r="31" spans="4:32" ht="14.5">
      <c r="D31" s="20" t="s">
        <v>6</v>
      </c>
      <c r="E31" s="20" t="str">
        <f>DEMANDS!$E$18</f>
        <v>TRAPM</v>
      </c>
      <c r="F31" s="20">
        <v>2020</v>
      </c>
      <c r="G31" s="21">
        <f>HLOOKUP(REG_TRA_DEMANDS!G$3,'BY-Demands'!$J$5:$AK$14,MATCH($E31,'BY-Demands'!$I$5:$I$14,0),FALSE)*HLOOKUP(REG_TRA_DEMANDS!$F31,DEMANDS!$G$2:$CK$25,MATCH($E31,DEMANDS!$E$2:$E$25,0),FALSE)/HLOOKUP(2018,DEMANDS!$G$2:$CK$25,MATCH($E31,DEMANDS!$E$2:$E$25,0),FALSE)</f>
        <v>0.32193664473309486</v>
      </c>
      <c r="H31" s="21">
        <f>HLOOKUP(REG_TRA_DEMANDS!H$3,'BY-Demands'!$J$5:$AK$14,MATCH($E31,'BY-Demands'!$I$5:$I$14,0),FALSE)*HLOOKUP(REG_TRA_DEMANDS!$F31,DEMANDS!$G$2:$CK$25,MATCH($E31,DEMANDS!$E$2:$E$25,0),FALSE)/HLOOKUP(2018,DEMANDS!$G$2:$CK$25,MATCH($E31,DEMANDS!$E$2:$E$25,0),FALSE)</f>
        <v>5.637813854608976</v>
      </c>
      <c r="I31" s="21">
        <f>HLOOKUP(REG_TRA_DEMANDS!I$3,'BY-Demands'!$J$5:$AK$14,MATCH($E31,'BY-Demands'!$I$5:$I$14,0),FALSE)*HLOOKUP(REG_TRA_DEMANDS!$F31,DEMANDS!$G$2:$CK$25,MATCH($E31,DEMANDS!$E$2:$E$25,0),FALSE)/HLOOKUP(2018,DEMANDS!$G$2:$CK$25,MATCH($E31,DEMANDS!$E$2:$E$25,0),FALSE)</f>
        <v>1.1480382927336128</v>
      </c>
      <c r="J31" s="21">
        <f>HLOOKUP(REG_TRA_DEMANDS!J$3,'BY-Demands'!$J$5:$AK$14,MATCH($E31,'BY-Demands'!$I$5:$I$14,0),FALSE)*HLOOKUP(REG_TRA_DEMANDS!$F31,DEMANDS!$G$2:$CK$25,MATCH($E31,DEMANDS!$E$2:$E$25,0),FALSE)/HLOOKUP(2018,DEMANDS!$G$2:$CK$25,MATCH($E31,DEMANDS!$E$2:$E$25,0),FALSE)</f>
        <v>0.54522568908947855</v>
      </c>
      <c r="K31" s="21">
        <f>HLOOKUP(REG_TRA_DEMANDS!K$3,'BY-Demands'!$J$5:$AK$14,MATCH($E31,'BY-Demands'!$I$5:$I$14,0),FALSE)*HLOOKUP(REG_TRA_DEMANDS!$F31,DEMANDS!$G$2:$CK$25,MATCH($E31,DEMANDS!$E$2:$E$25,0),FALSE)/HLOOKUP(2018,DEMANDS!$G$2:$CK$25,MATCH($E31,DEMANDS!$E$2:$E$25,0),FALSE)</f>
        <v>0.41020881320348074</v>
      </c>
      <c r="L31" s="21">
        <f>HLOOKUP(REG_TRA_DEMANDS!L$3,'BY-Demands'!$J$5:$AK$14,MATCH($E31,'BY-Demands'!$I$5:$I$14,0),FALSE)*HLOOKUP(REG_TRA_DEMANDS!$F31,DEMANDS!$G$2:$CK$25,MATCH($E31,DEMANDS!$E$2:$E$25,0),FALSE)/HLOOKUP(2018,DEMANDS!$G$2:$CK$25,MATCH($E31,DEMANDS!$E$2:$E$25,0),FALSE)</f>
        <v>0.21133746790128183</v>
      </c>
      <c r="M31" s="21">
        <f>HLOOKUP(REG_TRA_DEMANDS!M$3,'BY-Demands'!$J$5:$AK$14,MATCH($E31,'BY-Demands'!$I$5:$I$14,0),FALSE)*HLOOKUP(REG_TRA_DEMANDS!$F31,DEMANDS!$G$2:$CK$25,MATCH($E31,DEMANDS!$E$2:$E$25,0),FALSE)/HLOOKUP(2018,DEMANDS!$G$2:$CK$25,MATCH($E31,DEMANDS!$E$2:$E$25,0),FALSE)</f>
        <v>0.56924850267004323</v>
      </c>
      <c r="N31" s="21">
        <f>HLOOKUP(REG_TRA_DEMANDS!N$3,'BY-Demands'!$J$5:$AK$14,MATCH($E31,'BY-Demands'!$I$5:$I$14,0),FALSE)*HLOOKUP(REG_TRA_DEMANDS!$F31,DEMANDS!$G$2:$CK$25,MATCH($E31,DEMANDS!$E$2:$E$25,0),FALSE)/HLOOKUP(2018,DEMANDS!$G$2:$CK$25,MATCH($E31,DEMANDS!$E$2:$E$25,0),FALSE)</f>
        <v>0.98828046988197249</v>
      </c>
      <c r="O31" s="21">
        <f>HLOOKUP(REG_TRA_DEMANDS!O$3,'BY-Demands'!$J$5:$AK$14,MATCH($E31,'BY-Demands'!$I$5:$I$14,0),FALSE)*HLOOKUP(REG_TRA_DEMANDS!$F31,DEMANDS!$G$2:$CK$25,MATCH($E31,DEMANDS!$E$2:$E$25,0),FALSE)/HLOOKUP(2018,DEMANDS!$G$2:$CK$25,MATCH($E31,DEMANDS!$E$2:$E$25,0),FALSE)</f>
        <v>0.41882409160736161</v>
      </c>
      <c r="P31" s="21">
        <f>HLOOKUP(REG_TRA_DEMANDS!P$3,'BY-Demands'!$J$5:$AK$14,MATCH($E31,'BY-Demands'!$I$5:$I$14,0),FALSE)*HLOOKUP(REG_TRA_DEMANDS!$F31,DEMANDS!$G$2:$CK$25,MATCH($E31,DEMANDS!$E$2:$E$25,0),FALSE)/HLOOKUP(2018,DEMANDS!$G$2:$CK$25,MATCH($E31,DEMANDS!$E$2:$E$25,0),FALSE)</f>
        <v>0.47278848560105868</v>
      </c>
      <c r="Q31" s="21">
        <f>HLOOKUP(REG_TRA_DEMANDS!Q$3,'BY-Demands'!$J$5:$AK$14,MATCH($E31,'BY-Demands'!$I$5:$I$14,0),FALSE)*HLOOKUP(REG_TRA_DEMANDS!$F31,DEMANDS!$G$2:$CK$25,MATCH($E31,DEMANDS!$E$2:$E$25,0),FALSE)/HLOOKUP(2018,DEMANDS!$G$2:$CK$25,MATCH($E31,DEMANDS!$E$2:$E$25,0),FALSE)</f>
        <v>0.83850274795415447</v>
      </c>
      <c r="R31" s="21">
        <f>HLOOKUP(REG_TRA_DEMANDS!R$3,'BY-Demands'!$J$5:$AK$14,MATCH($E31,'BY-Demands'!$I$5:$I$14,0),FALSE)*HLOOKUP(REG_TRA_DEMANDS!$F31,DEMANDS!$G$2:$CK$25,MATCH($E31,DEMANDS!$E$2:$E$25,0),FALSE)/HLOOKUP(2018,DEMANDS!$G$2:$CK$25,MATCH($E31,DEMANDS!$E$2:$E$25,0),FALSE)</f>
        <v>0.71154373932557857</v>
      </c>
      <c r="S31" s="21">
        <f>HLOOKUP(REG_TRA_DEMANDS!S$3,'BY-Demands'!$J$5:$AK$14,MATCH($E31,'BY-Demands'!$I$5:$I$14,0),FALSE)*HLOOKUP(REG_TRA_DEMANDS!$F31,DEMANDS!$G$2:$CK$25,MATCH($E31,DEMANDS!$E$2:$E$25,0),FALSE)/HLOOKUP(2018,DEMANDS!$G$2:$CK$25,MATCH($E31,DEMANDS!$E$2:$E$25,0),FALSE)</f>
        <v>0.64533477367968184</v>
      </c>
      <c r="T31" s="21">
        <f>HLOOKUP(REG_TRA_DEMANDS!T$3,'BY-Demands'!$J$5:$AK$14,MATCH($E31,'BY-Demands'!$I$5:$I$14,0),FALSE)*HLOOKUP(REG_TRA_DEMANDS!$F31,DEMANDS!$G$2:$CK$25,MATCH($E31,DEMANDS!$E$2:$E$25,0),FALSE)/HLOOKUP(2018,DEMANDS!$G$2:$CK$25,MATCH($E31,DEMANDS!$E$2:$E$25,0),FALSE)</f>
        <v>2.6080003354214218</v>
      </c>
      <c r="U31" s="21">
        <f>HLOOKUP(REG_TRA_DEMANDS!U$3,'BY-Demands'!$J$5:$AK$14,MATCH($E31,'BY-Demands'!$I$5:$I$14,0),FALSE)*HLOOKUP(REG_TRA_DEMANDS!$F31,DEMANDS!$G$2:$CK$25,MATCH($E31,DEMANDS!$E$2:$E$25,0),FALSE)/HLOOKUP(2018,DEMANDS!$G$2:$CK$25,MATCH($E31,DEMANDS!$E$2:$E$25,0),FALSE)</f>
        <v>0.8535978085319772</v>
      </c>
      <c r="V31" s="21">
        <f>HLOOKUP(REG_TRA_DEMANDS!V$3,'BY-Demands'!$J$5:$AK$14,MATCH($E31,'BY-Demands'!$I$5:$I$14,0),FALSE)*HLOOKUP(REG_TRA_DEMANDS!$F31,DEMANDS!$G$2:$CK$25,MATCH($E31,DEMANDS!$E$2:$E$25,0),FALSE)/HLOOKUP(2018,DEMANDS!$G$2:$CK$25,MATCH($E31,DEMANDS!$E$2:$E$25,0),FALSE)</f>
        <v>0.96137078018953437</v>
      </c>
      <c r="W31" s="21">
        <f>HLOOKUP(REG_TRA_DEMANDS!W$3,'BY-Demands'!$J$5:$AK$14,MATCH($E31,'BY-Demands'!$I$5:$I$14,0),FALSE)*HLOOKUP(REG_TRA_DEMANDS!$F31,DEMANDS!$G$2:$CK$25,MATCH($E31,DEMANDS!$E$2:$E$25,0),FALSE)/HLOOKUP(2018,DEMANDS!$G$2:$CK$25,MATCH($E31,DEMANDS!$E$2:$E$25,0),FALSE)</f>
        <v>0.932415749736074</v>
      </c>
      <c r="X31" s="21">
        <f>HLOOKUP(REG_TRA_DEMANDS!X$3,'BY-Demands'!$J$5:$AK$14,MATCH($E31,'BY-Demands'!$I$5:$I$14,0),FALSE)*HLOOKUP(REG_TRA_DEMANDS!$F31,DEMANDS!$G$2:$CK$25,MATCH($E31,DEMANDS!$E$2:$E$25,0),FALSE)/HLOOKUP(2018,DEMANDS!$G$2:$CK$25,MATCH($E31,DEMANDS!$E$2:$E$25,0),FALSE)</f>
        <v>0.58823966562202801</v>
      </c>
      <c r="Y31" s="21">
        <f>HLOOKUP(REG_TRA_DEMANDS!Y$3,'BY-Demands'!$J$5:$AK$14,MATCH($E31,'BY-Demands'!$I$5:$I$14,0),FALSE)*HLOOKUP(REG_TRA_DEMANDS!$F31,DEMANDS!$G$2:$CK$25,MATCH($E31,DEMANDS!$E$2:$E$25,0),FALSE)/HLOOKUP(2018,DEMANDS!$G$2:$CK$25,MATCH($E31,DEMANDS!$E$2:$E$25,0),FALSE)</f>
        <v>1.3170332096303565</v>
      </c>
      <c r="Z31" s="21">
        <f>HLOOKUP(REG_TRA_DEMANDS!Z$3,'BY-Demands'!$J$5:$AK$14,MATCH($E31,'BY-Demands'!$I$5:$I$14,0),FALSE)*HLOOKUP(REG_TRA_DEMANDS!$F31,DEMANDS!$G$2:$CK$25,MATCH($E31,DEMANDS!$E$2:$E$25,0),FALSE)/HLOOKUP(2018,DEMANDS!$G$2:$CK$25,MATCH($E31,DEMANDS!$E$2:$E$25,0),FALSE)</f>
        <v>0.17261327906182664</v>
      </c>
      <c r="AA31" s="21">
        <f>HLOOKUP(REG_TRA_DEMANDS!AA$3,'BY-Demands'!$J$5:$AK$14,MATCH($E31,'BY-Demands'!$I$5:$I$14,0),FALSE)*HLOOKUP(REG_TRA_DEMANDS!$F31,DEMANDS!$G$2:$CK$25,MATCH($E31,DEMANDS!$E$2:$E$25,0),FALSE)/HLOOKUP(2018,DEMANDS!$G$2:$CK$25,MATCH($E31,DEMANDS!$E$2:$E$25,0),FALSE)</f>
        <v>0.72941378774211518</v>
      </c>
      <c r="AB31" s="21">
        <f>HLOOKUP(REG_TRA_DEMANDS!AB$3,'BY-Demands'!$J$5:$AK$14,MATCH($E31,'BY-Demands'!$I$5:$I$14,0),FALSE)*HLOOKUP(REG_TRA_DEMANDS!$F31,DEMANDS!$G$2:$CK$25,MATCH($E31,DEMANDS!$E$2:$E$25,0),FALSE)/HLOOKUP(2018,DEMANDS!$G$2:$CK$25,MATCH($E31,DEMANDS!$E$2:$E$25,0),FALSE)</f>
        <v>0.39273887171064176</v>
      </c>
      <c r="AC31" s="21">
        <f>HLOOKUP(REG_TRA_DEMANDS!AC$3,'BY-Demands'!$J$5:$AK$14,MATCH($E31,'BY-Demands'!$I$5:$I$14,0),FALSE)*HLOOKUP(REG_TRA_DEMANDS!$F31,DEMANDS!$G$2:$CK$25,MATCH($E31,DEMANDS!$E$2:$E$25,0),FALSE)/HLOOKUP(2018,DEMANDS!$G$2:$CK$25,MATCH($E31,DEMANDS!$E$2:$E$25,0),FALSE)</f>
        <v>0.32039449419408184</v>
      </c>
      <c r="AD31" s="21">
        <f>HLOOKUP(REG_TRA_DEMANDS!AD$3,'BY-Demands'!$J$5:$AK$14,MATCH($E31,'BY-Demands'!$I$5:$I$14,0),FALSE)*HLOOKUP(REG_TRA_DEMANDS!$F31,DEMANDS!$G$2:$CK$25,MATCH($E31,DEMANDS!$E$2:$E$25,0),FALSE)/HLOOKUP(2018,DEMANDS!$G$2:$CK$25,MATCH($E31,DEMANDS!$E$2:$E$25,0),FALSE)</f>
        <v>0.34813170258514758</v>
      </c>
      <c r="AE31" s="21">
        <f>HLOOKUP(REG_TRA_DEMANDS!AE$3,'BY-Demands'!$J$5:$AK$14,MATCH($E31,'BY-Demands'!$I$5:$I$14,0),FALSE)*HLOOKUP(REG_TRA_DEMANDS!$F31,DEMANDS!$G$2:$CK$25,MATCH($E31,DEMANDS!$E$2:$E$25,0),FALSE)/HLOOKUP(2018,DEMANDS!$G$2:$CK$25,MATCH($E31,DEMANDS!$E$2:$E$25,0),FALSE)</f>
        <v>0.64114085295794276</v>
      </c>
      <c r="AF31" s="21">
        <f>HLOOKUP(REG_TRA_DEMANDS!AF$3,'BY-Demands'!$J$5:$AK$14,MATCH($E31,'BY-Demands'!$I$5:$I$14,0),FALSE)*HLOOKUP(REG_TRA_DEMANDS!$F31,DEMANDS!$G$2:$CK$25,MATCH($E31,DEMANDS!$E$2:$E$25,0),FALSE)/HLOOKUP(2018,DEMANDS!$G$2:$CK$25,MATCH($E31,DEMANDS!$E$2:$E$25,0),FALSE)</f>
        <v>0.35260315962707711</v>
      </c>
    </row>
    <row r="32" spans="4:32" ht="14.5">
      <c r="D32" t="s">
        <v>6</v>
      </c>
      <c r="E32" t="str">
        <f>DEMANDS!$E$18</f>
        <v>TRAPM</v>
      </c>
      <c r="F32">
        <v>2021</v>
      </c>
      <c r="G32" s="19">
        <f>HLOOKUP(REG_TRA_DEMANDS!G$3,'BY-Demands'!$J$5:$AK$14,MATCH($E32,'BY-Demands'!$I$5:$I$14,0),FALSE)*HLOOKUP(REG_TRA_DEMANDS!$F32,DEMANDS!$G$2:$CK$25,MATCH($E32,DEMANDS!$E$2:$E$25,0),FALSE)/HLOOKUP(2018,DEMANDS!$G$2:$CK$25,MATCH($E32,DEMANDS!$E$2:$E$25,0),FALSE)</f>
        <v>0.38548330575811507</v>
      </c>
      <c r="H32" s="19">
        <f>HLOOKUP(REG_TRA_DEMANDS!H$3,'BY-Demands'!$J$5:$AK$14,MATCH($E32,'BY-Demands'!$I$5:$I$14,0),FALSE)*HLOOKUP(REG_TRA_DEMANDS!$F32,DEMANDS!$G$2:$CK$25,MATCH($E32,DEMANDS!$E$2:$E$25,0),FALSE)/HLOOKUP(2018,DEMANDS!$G$2:$CK$25,MATCH($E32,DEMANDS!$E$2:$E$25,0),FALSE)</f>
        <v>6.7506546939549352</v>
      </c>
      <c r="I32" s="19">
        <f>HLOOKUP(REG_TRA_DEMANDS!I$3,'BY-Demands'!$J$5:$AK$14,MATCH($E32,'BY-Demands'!$I$5:$I$14,0),FALSE)*HLOOKUP(REG_TRA_DEMANDS!$F32,DEMANDS!$G$2:$CK$25,MATCH($E32,DEMANDS!$E$2:$E$25,0),FALSE)/HLOOKUP(2018,DEMANDS!$G$2:$CK$25,MATCH($E32,DEMANDS!$E$2:$E$25,0),FALSE)</f>
        <v>1.3746480975682538</v>
      </c>
      <c r="J32" s="19">
        <f>HLOOKUP(REG_TRA_DEMANDS!J$3,'BY-Demands'!$J$5:$AK$14,MATCH($E32,'BY-Demands'!$I$5:$I$14,0),FALSE)*HLOOKUP(REG_TRA_DEMANDS!$F32,DEMANDS!$G$2:$CK$25,MATCH($E32,DEMANDS!$E$2:$E$25,0),FALSE)/HLOOKUP(2018,DEMANDS!$G$2:$CK$25,MATCH($E32,DEMANDS!$E$2:$E$25,0),FALSE)</f>
        <v>0.65284708793777324</v>
      </c>
      <c r="K32" s="19">
        <f>HLOOKUP(REG_TRA_DEMANDS!K$3,'BY-Demands'!$J$5:$AK$14,MATCH($E32,'BY-Demands'!$I$5:$I$14,0),FALSE)*HLOOKUP(REG_TRA_DEMANDS!$F32,DEMANDS!$G$2:$CK$25,MATCH($E32,DEMANDS!$E$2:$E$25,0),FALSE)/HLOOKUP(2018,DEMANDS!$G$2:$CK$25,MATCH($E32,DEMANDS!$E$2:$E$25,0),FALSE)</f>
        <v>0.49117940424548179</v>
      </c>
      <c r="L32" s="19">
        <f>HLOOKUP(REG_TRA_DEMANDS!L$3,'BY-Demands'!$J$5:$AK$14,MATCH($E32,'BY-Demands'!$I$5:$I$14,0),FALSE)*HLOOKUP(REG_TRA_DEMANDS!$F32,DEMANDS!$G$2:$CK$25,MATCH($E32,DEMANDS!$E$2:$E$25,0),FALSE)/HLOOKUP(2018,DEMANDS!$G$2:$CK$25,MATCH($E32,DEMANDS!$E$2:$E$25,0),FALSE)</f>
        <v>0.25305309939064818</v>
      </c>
      <c r="M32" s="19">
        <f>HLOOKUP(REG_TRA_DEMANDS!M$3,'BY-Demands'!$J$5:$AK$14,MATCH($E32,'BY-Demands'!$I$5:$I$14,0),FALSE)*HLOOKUP(REG_TRA_DEMANDS!$F32,DEMANDS!$G$2:$CK$25,MATCH($E32,DEMANDS!$E$2:$E$25,0),FALSE)/HLOOKUP(2018,DEMANDS!$G$2:$CK$25,MATCH($E32,DEMANDS!$E$2:$E$25,0),FALSE)</f>
        <v>0.68161173385226503</v>
      </c>
      <c r="N32" s="19">
        <f>HLOOKUP(REG_TRA_DEMANDS!N$3,'BY-Demands'!$J$5:$AK$14,MATCH($E32,'BY-Demands'!$I$5:$I$14,0),FALSE)*HLOOKUP(REG_TRA_DEMANDS!$F32,DEMANDS!$G$2:$CK$25,MATCH($E32,DEMANDS!$E$2:$E$25,0),FALSE)/HLOOKUP(2018,DEMANDS!$G$2:$CK$25,MATCH($E32,DEMANDS!$E$2:$E$25,0),FALSE)</f>
        <v>1.1833558831493995</v>
      </c>
      <c r="O32" s="19">
        <f>HLOOKUP(REG_TRA_DEMANDS!O$3,'BY-Demands'!$J$5:$AK$14,MATCH($E32,'BY-Demands'!$I$5:$I$14,0),FALSE)*HLOOKUP(REG_TRA_DEMANDS!$F32,DEMANDS!$G$2:$CK$25,MATCH($E32,DEMANDS!$E$2:$E$25,0),FALSE)/HLOOKUP(2018,DEMANDS!$G$2:$CK$25,MATCH($E32,DEMANDS!$E$2:$E$25,0),FALSE)</f>
        <v>0.50149524139383705</v>
      </c>
      <c r="P32" s="19">
        <f>HLOOKUP(REG_TRA_DEMANDS!P$3,'BY-Demands'!$J$5:$AK$14,MATCH($E32,'BY-Demands'!$I$5:$I$14,0),FALSE)*HLOOKUP(REG_TRA_DEMANDS!$F32,DEMANDS!$G$2:$CK$25,MATCH($E32,DEMANDS!$E$2:$E$25,0),FALSE)/HLOOKUP(2018,DEMANDS!$G$2:$CK$25,MATCH($E32,DEMANDS!$E$2:$E$25,0),FALSE)</f>
        <v>0.56611159784238663</v>
      </c>
      <c r="Q32" s="19">
        <f>HLOOKUP(REG_TRA_DEMANDS!Q$3,'BY-Demands'!$J$5:$AK$14,MATCH($E32,'BY-Demands'!$I$5:$I$14,0),FALSE)*HLOOKUP(REG_TRA_DEMANDS!$F32,DEMANDS!$G$2:$CK$25,MATCH($E32,DEMANDS!$E$2:$E$25,0),FALSE)/HLOOKUP(2018,DEMANDS!$G$2:$CK$25,MATCH($E32,DEMANDS!$E$2:$E$25,0),FALSE)</f>
        <v>1.0040137289639937</v>
      </c>
      <c r="R32" s="19">
        <f>HLOOKUP(REG_TRA_DEMANDS!R$3,'BY-Demands'!$J$5:$AK$14,MATCH($E32,'BY-Demands'!$I$5:$I$14,0),FALSE)*HLOOKUP(REG_TRA_DEMANDS!$F32,DEMANDS!$G$2:$CK$25,MATCH($E32,DEMANDS!$E$2:$E$25,0),FALSE)/HLOOKUP(2018,DEMANDS!$G$2:$CK$25,MATCH($E32,DEMANDS!$E$2:$E$25,0),FALSE)</f>
        <v>0.85199444460296281</v>
      </c>
      <c r="S32" s="19">
        <f>HLOOKUP(REG_TRA_DEMANDS!S$3,'BY-Demands'!$J$5:$AK$14,MATCH($E32,'BY-Demands'!$I$5:$I$14,0),FALSE)*HLOOKUP(REG_TRA_DEMANDS!$F32,DEMANDS!$G$2:$CK$25,MATCH($E32,DEMANDS!$E$2:$E$25,0),FALSE)/HLOOKUP(2018,DEMANDS!$G$2:$CK$25,MATCH($E32,DEMANDS!$E$2:$E$25,0),FALSE)</f>
        <v>0.77271657622247636</v>
      </c>
      <c r="T32" s="19">
        <f>HLOOKUP(REG_TRA_DEMANDS!T$3,'BY-Demands'!$J$5:$AK$14,MATCH($E32,'BY-Demands'!$I$5:$I$14,0),FALSE)*HLOOKUP(REG_TRA_DEMANDS!$F32,DEMANDS!$G$2:$CK$25,MATCH($E32,DEMANDS!$E$2:$E$25,0),FALSE)/HLOOKUP(2018,DEMANDS!$G$2:$CK$25,MATCH($E32,DEMANDS!$E$2:$E$25,0),FALSE)</f>
        <v>3.1227901736691437</v>
      </c>
      <c r="U32" s="19">
        <f>HLOOKUP(REG_TRA_DEMANDS!U$3,'BY-Demands'!$J$5:$AK$14,MATCH($E32,'BY-Demands'!$I$5:$I$14,0),FALSE)*HLOOKUP(REG_TRA_DEMANDS!$F32,DEMANDS!$G$2:$CK$25,MATCH($E32,DEMANDS!$E$2:$E$25,0),FALSE)/HLOOKUP(2018,DEMANDS!$G$2:$CK$25,MATCH($E32,DEMANDS!$E$2:$E$25,0),FALSE)</f>
        <v>1.022088384171332</v>
      </c>
      <c r="V32" s="19">
        <f>HLOOKUP(REG_TRA_DEMANDS!V$3,'BY-Demands'!$J$5:$AK$14,MATCH($E32,'BY-Demands'!$I$5:$I$14,0),FALSE)*HLOOKUP(REG_TRA_DEMANDS!$F32,DEMANDS!$G$2:$CK$25,MATCH($E32,DEMANDS!$E$2:$E$25,0),FALSE)/HLOOKUP(2018,DEMANDS!$G$2:$CK$25,MATCH($E32,DEMANDS!$E$2:$E$25,0),FALSE)</f>
        <v>1.1511345243532731</v>
      </c>
      <c r="W32" s="19">
        <f>HLOOKUP(REG_TRA_DEMANDS!W$3,'BY-Demands'!$J$5:$AK$14,MATCH($E32,'BY-Demands'!$I$5:$I$14,0),FALSE)*HLOOKUP(REG_TRA_DEMANDS!$F32,DEMANDS!$G$2:$CK$25,MATCH($E32,DEMANDS!$E$2:$E$25,0),FALSE)/HLOOKUP(2018,DEMANDS!$G$2:$CK$25,MATCH($E32,DEMANDS!$E$2:$E$25,0),FALSE)</f>
        <v>1.1164640976089664</v>
      </c>
      <c r="X32" s="19">
        <f>HLOOKUP(REG_TRA_DEMANDS!X$3,'BY-Demands'!$J$5:$AK$14,MATCH($E32,'BY-Demands'!$I$5:$I$14,0),FALSE)*HLOOKUP(REG_TRA_DEMANDS!$F32,DEMANDS!$G$2:$CK$25,MATCH($E32,DEMANDS!$E$2:$E$25,0),FALSE)/HLOOKUP(2018,DEMANDS!$G$2:$CK$25,MATCH($E32,DEMANDS!$E$2:$E$25,0),FALSE)</f>
        <v>0.70435153807986861</v>
      </c>
      <c r="Y32" s="19">
        <f>HLOOKUP(REG_TRA_DEMANDS!Y$3,'BY-Demands'!$J$5:$AK$14,MATCH($E32,'BY-Demands'!$I$5:$I$14,0),FALSE)*HLOOKUP(REG_TRA_DEMANDS!$F32,DEMANDS!$G$2:$CK$25,MATCH($E32,DEMANDS!$E$2:$E$25,0),FALSE)/HLOOKUP(2018,DEMANDS!$G$2:$CK$25,MATCH($E32,DEMANDS!$E$2:$E$25,0),FALSE)</f>
        <v>1.5770007041678646</v>
      </c>
      <c r="Z32" s="19">
        <f>HLOOKUP(REG_TRA_DEMANDS!Z$3,'BY-Demands'!$J$5:$AK$14,MATCH($E32,'BY-Demands'!$I$5:$I$14,0),FALSE)*HLOOKUP(REG_TRA_DEMANDS!$F32,DEMANDS!$G$2:$CK$25,MATCH($E32,DEMANDS!$E$2:$E$25,0),FALSE)/HLOOKUP(2018,DEMANDS!$G$2:$CK$25,MATCH($E32,DEMANDS!$E$2:$E$25,0),FALSE)</f>
        <v>0.20668519262746957</v>
      </c>
      <c r="AA32" s="19">
        <f>HLOOKUP(REG_TRA_DEMANDS!AA$3,'BY-Demands'!$J$5:$AK$14,MATCH($E32,'BY-Demands'!$I$5:$I$14,0),FALSE)*HLOOKUP(REG_TRA_DEMANDS!$F32,DEMANDS!$G$2:$CK$25,MATCH($E32,DEMANDS!$E$2:$E$25,0),FALSE)/HLOOKUP(2018,DEMANDS!$G$2:$CK$25,MATCH($E32,DEMANDS!$E$2:$E$25,0),FALSE)</f>
        <v>0.87339183893617134</v>
      </c>
      <c r="AB32" s="19">
        <f>HLOOKUP(REG_TRA_DEMANDS!AB$3,'BY-Demands'!$J$5:$AK$14,MATCH($E32,'BY-Demands'!$I$5:$I$14,0),FALSE)*HLOOKUP(REG_TRA_DEMANDS!$F32,DEMANDS!$G$2:$CK$25,MATCH($E32,DEMANDS!$E$2:$E$25,0),FALSE)/HLOOKUP(2018,DEMANDS!$G$2:$CK$25,MATCH($E32,DEMANDS!$E$2:$E$25,0),FALSE)</f>
        <v>0.47026109342801142</v>
      </c>
      <c r="AC32" s="19">
        <f>HLOOKUP(REG_TRA_DEMANDS!AC$3,'BY-Demands'!$J$5:$AK$14,MATCH($E32,'BY-Demands'!$I$5:$I$14,0),FALSE)*HLOOKUP(REG_TRA_DEMANDS!$F32,DEMANDS!$G$2:$CK$25,MATCH($E32,DEMANDS!$E$2:$E$25,0),FALSE)/HLOOKUP(2018,DEMANDS!$G$2:$CK$25,MATCH($E32,DEMANDS!$E$2:$E$25,0),FALSE)</f>
        <v>0.38363675210390691</v>
      </c>
      <c r="AD32" s="19">
        <f>HLOOKUP(REG_TRA_DEMANDS!AD$3,'BY-Demands'!$J$5:$AK$14,MATCH($E32,'BY-Demands'!$I$5:$I$14,0),FALSE)*HLOOKUP(REG_TRA_DEMANDS!$F32,DEMANDS!$G$2:$CK$25,MATCH($E32,DEMANDS!$E$2:$E$25,0),FALSE)/HLOOKUP(2018,DEMANDS!$G$2:$CK$25,MATCH($E32,DEMANDS!$E$2:$E$25,0),FALSE)</f>
        <v>0.4168489724522747</v>
      </c>
      <c r="AE32" s="19">
        <f>HLOOKUP(REG_TRA_DEMANDS!AE$3,'BY-Demands'!$J$5:$AK$14,MATCH($E32,'BY-Demands'!$I$5:$I$14,0),FALSE)*HLOOKUP(REG_TRA_DEMANDS!$F32,DEMANDS!$G$2:$CK$25,MATCH($E32,DEMANDS!$E$2:$E$25,0),FALSE)/HLOOKUP(2018,DEMANDS!$G$2:$CK$25,MATCH($E32,DEMANDS!$E$2:$E$25,0),FALSE)</f>
        <v>0.76769482287332358</v>
      </c>
      <c r="AF32" s="19">
        <f>HLOOKUP(REG_TRA_DEMANDS!AF$3,'BY-Demands'!$J$5:$AK$14,MATCH($E32,'BY-Demands'!$I$5:$I$14,0),FALSE)*HLOOKUP(REG_TRA_DEMANDS!$F32,DEMANDS!$G$2:$CK$25,MATCH($E32,DEMANDS!$E$2:$E$25,0),FALSE)/HLOOKUP(2018,DEMANDS!$G$2:$CK$25,MATCH($E32,DEMANDS!$E$2:$E$25,0),FALSE)</f>
        <v>0.42220304465957942</v>
      </c>
    </row>
    <row r="33" spans="4:32" ht="14.5">
      <c r="D33" t="s">
        <v>6</v>
      </c>
      <c r="E33" t="str">
        <f>DEMANDS!$E$18</f>
        <v>TRAPM</v>
      </c>
      <c r="F33">
        <v>2022</v>
      </c>
      <c r="G33" s="19">
        <f>HLOOKUP(REG_TRA_DEMANDS!G$3,'BY-Demands'!$J$5:$AK$14,MATCH($E33,'BY-Demands'!$I$5:$I$14,0),FALSE)*HLOOKUP(REG_TRA_DEMANDS!$F33,DEMANDS!$G$2:$CK$25,MATCH($E33,DEMANDS!$E$2:$E$25,0),FALSE)/HLOOKUP(2018,DEMANDS!$G$2:$CK$25,MATCH($E33,DEMANDS!$E$2:$E$25,0),FALSE)</f>
        <v>0.42024852134572355</v>
      </c>
      <c r="H33" s="19">
        <f>HLOOKUP(REG_TRA_DEMANDS!H$3,'BY-Demands'!$J$5:$AK$14,MATCH($E33,'BY-Demands'!$I$5:$I$14,0),FALSE)*HLOOKUP(REG_TRA_DEMANDS!$F33,DEMANDS!$G$2:$CK$25,MATCH($E33,DEMANDS!$E$2:$E$25,0),FALSE)/HLOOKUP(2018,DEMANDS!$G$2:$CK$25,MATCH($E33,DEMANDS!$E$2:$E$25,0),FALSE)</f>
        <v>7.359469556459274</v>
      </c>
      <c r="I33" s="19">
        <f>HLOOKUP(REG_TRA_DEMANDS!I$3,'BY-Demands'!$J$5:$AK$14,MATCH($E33,'BY-Demands'!$I$5:$I$14,0),FALSE)*HLOOKUP(REG_TRA_DEMANDS!$F33,DEMANDS!$G$2:$CK$25,MATCH($E33,DEMANDS!$E$2:$E$25,0),FALSE)/HLOOKUP(2018,DEMANDS!$G$2:$CK$25,MATCH($E33,DEMANDS!$E$2:$E$25,0),FALSE)</f>
        <v>1.4986221757065266</v>
      </c>
      <c r="J33" s="19">
        <f>HLOOKUP(REG_TRA_DEMANDS!J$3,'BY-Demands'!$J$5:$AK$14,MATCH($E33,'BY-Demands'!$I$5:$I$14,0),FALSE)*HLOOKUP(REG_TRA_DEMANDS!$F33,DEMANDS!$G$2:$CK$25,MATCH($E33,DEMANDS!$E$2:$E$25,0),FALSE)/HLOOKUP(2018,DEMANDS!$G$2:$CK$25,MATCH($E33,DEMANDS!$E$2:$E$25,0),FALSE)</f>
        <v>0.71172478619052382</v>
      </c>
      <c r="K33" s="19">
        <f>HLOOKUP(REG_TRA_DEMANDS!K$3,'BY-Demands'!$J$5:$AK$14,MATCH($E33,'BY-Demands'!$I$5:$I$14,0),FALSE)*HLOOKUP(REG_TRA_DEMANDS!$F33,DEMANDS!$G$2:$CK$25,MATCH($E33,DEMANDS!$E$2:$E$25,0),FALSE)/HLOOKUP(2018,DEMANDS!$G$2:$CK$25,MATCH($E33,DEMANDS!$E$2:$E$25,0),FALSE)</f>
        <v>0.53547693315456046</v>
      </c>
      <c r="L33" s="19">
        <f>HLOOKUP(REG_TRA_DEMANDS!L$3,'BY-Demands'!$J$5:$AK$14,MATCH($E33,'BY-Demands'!$I$5:$I$14,0),FALSE)*HLOOKUP(REG_TRA_DEMANDS!$F33,DEMANDS!$G$2:$CK$25,MATCH($E33,DEMANDS!$E$2:$E$25,0),FALSE)/HLOOKUP(2018,DEMANDS!$G$2:$CK$25,MATCH($E33,DEMANDS!$E$2:$E$25,0),FALSE)</f>
        <v>0.27587495814307017</v>
      </c>
      <c r="M33" s="19">
        <f>HLOOKUP(REG_TRA_DEMANDS!M$3,'BY-Demands'!$J$5:$AK$14,MATCH($E33,'BY-Demands'!$I$5:$I$14,0),FALSE)*HLOOKUP(REG_TRA_DEMANDS!$F33,DEMANDS!$G$2:$CK$25,MATCH($E33,DEMANDS!$E$2:$E$25,0),FALSE)/HLOOKUP(2018,DEMANDS!$G$2:$CK$25,MATCH($E33,DEMANDS!$E$2:$E$25,0),FALSE)</f>
        <v>0.74308360181763611</v>
      </c>
      <c r="N33" s="19">
        <f>HLOOKUP(REG_TRA_DEMANDS!N$3,'BY-Demands'!$J$5:$AK$14,MATCH($E33,'BY-Demands'!$I$5:$I$14,0),FALSE)*HLOOKUP(REG_TRA_DEMANDS!$F33,DEMANDS!$G$2:$CK$25,MATCH($E33,DEMANDS!$E$2:$E$25,0),FALSE)/HLOOKUP(2018,DEMANDS!$G$2:$CK$25,MATCH($E33,DEMANDS!$E$2:$E$25,0),FALSE)</f>
        <v>1.2900780726191772</v>
      </c>
      <c r="O33" s="19">
        <f>HLOOKUP(REG_TRA_DEMANDS!O$3,'BY-Demands'!$J$5:$AK$14,MATCH($E33,'BY-Demands'!$I$5:$I$14,0),FALSE)*HLOOKUP(REG_TRA_DEMANDS!$F33,DEMANDS!$G$2:$CK$25,MATCH($E33,DEMANDS!$E$2:$E$25,0),FALSE)/HLOOKUP(2018,DEMANDS!$G$2:$CK$25,MATCH($E33,DEMANDS!$E$2:$E$25,0),FALSE)</f>
        <v>0.54672311487834135</v>
      </c>
      <c r="P33" s="19">
        <f>HLOOKUP(REG_TRA_DEMANDS!P$3,'BY-Demands'!$J$5:$AK$14,MATCH($E33,'BY-Demands'!$I$5:$I$14,0),FALSE)*HLOOKUP(REG_TRA_DEMANDS!$F33,DEMANDS!$G$2:$CK$25,MATCH($E33,DEMANDS!$E$2:$E$25,0),FALSE)/HLOOKUP(2018,DEMANDS!$G$2:$CK$25,MATCH($E33,DEMANDS!$E$2:$E$25,0),FALSE)</f>
        <v>0.61716696509604818</v>
      </c>
      <c r="Q33" s="19">
        <f>HLOOKUP(REG_TRA_DEMANDS!Q$3,'BY-Demands'!$J$5:$AK$14,MATCH($E33,'BY-Demands'!$I$5:$I$14,0),FALSE)*HLOOKUP(REG_TRA_DEMANDS!$F33,DEMANDS!$G$2:$CK$25,MATCH($E33,DEMANDS!$E$2:$E$25,0),FALSE)/HLOOKUP(2018,DEMANDS!$G$2:$CK$25,MATCH($E33,DEMANDS!$E$2:$E$25,0),FALSE)</f>
        <v>1.0945617584609031</v>
      </c>
      <c r="R33" s="19">
        <f>HLOOKUP(REG_TRA_DEMANDS!R$3,'BY-Demands'!$J$5:$AK$14,MATCH($E33,'BY-Demands'!$I$5:$I$14,0),FALSE)*HLOOKUP(REG_TRA_DEMANDS!$F33,DEMANDS!$G$2:$CK$25,MATCH($E33,DEMANDS!$E$2:$E$25,0),FALSE)/HLOOKUP(2018,DEMANDS!$G$2:$CK$25,MATCH($E33,DEMANDS!$E$2:$E$25,0),FALSE)</f>
        <v>0.92883245575318552</v>
      </c>
      <c r="S33" s="19">
        <f>HLOOKUP(REG_TRA_DEMANDS!S$3,'BY-Demands'!$J$5:$AK$14,MATCH($E33,'BY-Demands'!$I$5:$I$14,0),FALSE)*HLOOKUP(REG_TRA_DEMANDS!$F33,DEMANDS!$G$2:$CK$25,MATCH($E33,DEMANDS!$E$2:$E$25,0),FALSE)/HLOOKUP(2018,DEMANDS!$G$2:$CK$25,MATCH($E33,DEMANDS!$E$2:$E$25,0),FALSE)</f>
        <v>0.84240482979719711</v>
      </c>
      <c r="T33" s="19">
        <f>HLOOKUP(REG_TRA_DEMANDS!T$3,'BY-Demands'!$J$5:$AK$14,MATCH($E33,'BY-Demands'!$I$5:$I$14,0),FALSE)*HLOOKUP(REG_TRA_DEMANDS!$F33,DEMANDS!$G$2:$CK$25,MATCH($E33,DEMANDS!$E$2:$E$25,0),FALSE)/HLOOKUP(2018,DEMANDS!$G$2:$CK$25,MATCH($E33,DEMANDS!$E$2:$E$25,0),FALSE)</f>
        <v>3.4044222755028759</v>
      </c>
      <c r="U33" s="19">
        <f>HLOOKUP(REG_TRA_DEMANDS!U$3,'BY-Demands'!$J$5:$AK$14,MATCH($E33,'BY-Demands'!$I$5:$I$14,0),FALSE)*HLOOKUP(REG_TRA_DEMANDS!$F33,DEMANDS!$G$2:$CK$25,MATCH($E33,DEMANDS!$E$2:$E$25,0),FALSE)/HLOOKUP(2018,DEMANDS!$G$2:$CK$25,MATCH($E33,DEMANDS!$E$2:$E$25,0),FALSE)</f>
        <v>1.1142664953749422</v>
      </c>
      <c r="V33" s="19">
        <f>HLOOKUP(REG_TRA_DEMANDS!V$3,'BY-Demands'!$J$5:$AK$14,MATCH($E33,'BY-Demands'!$I$5:$I$14,0),FALSE)*HLOOKUP(REG_TRA_DEMANDS!$F33,DEMANDS!$G$2:$CK$25,MATCH($E33,DEMANDS!$E$2:$E$25,0),FALSE)/HLOOKUP(2018,DEMANDS!$G$2:$CK$25,MATCH($E33,DEMANDS!$E$2:$E$25,0),FALSE)</f>
        <v>1.2549507968395124</v>
      </c>
      <c r="W33" s="19">
        <f>HLOOKUP(REG_TRA_DEMANDS!W$3,'BY-Demands'!$J$5:$AK$14,MATCH($E33,'BY-Demands'!$I$5:$I$14,0),FALSE)*HLOOKUP(REG_TRA_DEMANDS!$F33,DEMANDS!$G$2:$CK$25,MATCH($E33,DEMANDS!$E$2:$E$25,0),FALSE)/HLOOKUP(2018,DEMANDS!$G$2:$CK$25,MATCH($E33,DEMANDS!$E$2:$E$25,0),FALSE)</f>
        <v>1.2171535813542254</v>
      </c>
      <c r="X33" s="19">
        <f>HLOOKUP(REG_TRA_DEMANDS!X$3,'BY-Demands'!$J$5:$AK$14,MATCH($E33,'BY-Demands'!$I$5:$I$14,0),FALSE)*HLOOKUP(REG_TRA_DEMANDS!$F33,DEMANDS!$G$2:$CK$25,MATCH($E33,DEMANDS!$E$2:$E$25,0),FALSE)/HLOOKUP(2018,DEMANDS!$G$2:$CK$25,MATCH($E33,DEMANDS!$E$2:$E$25,0),FALSE)</f>
        <v>0.76787421910143128</v>
      </c>
      <c r="Y33" s="19">
        <f>HLOOKUP(REG_TRA_DEMANDS!Y$3,'BY-Demands'!$J$5:$AK$14,MATCH($E33,'BY-Demands'!$I$5:$I$14,0),FALSE)*HLOOKUP(REG_TRA_DEMANDS!$F33,DEMANDS!$G$2:$CK$25,MATCH($E33,DEMANDS!$E$2:$E$25,0),FALSE)/HLOOKUP(2018,DEMANDS!$G$2:$CK$25,MATCH($E33,DEMANDS!$E$2:$E$25,0),FALSE)</f>
        <v>1.7192241640253143</v>
      </c>
      <c r="Z33" s="19">
        <f>HLOOKUP(REG_TRA_DEMANDS!Z$3,'BY-Demands'!$J$5:$AK$14,MATCH($E33,'BY-Demands'!$I$5:$I$14,0),FALSE)*HLOOKUP(REG_TRA_DEMANDS!$F33,DEMANDS!$G$2:$CK$25,MATCH($E33,DEMANDS!$E$2:$E$25,0),FALSE)/HLOOKUP(2018,DEMANDS!$G$2:$CK$25,MATCH($E33,DEMANDS!$E$2:$E$25,0),FALSE)</f>
        <v>0.22532531315442475</v>
      </c>
      <c r="AA33" s="19">
        <f>HLOOKUP(REG_TRA_DEMANDS!AA$3,'BY-Demands'!$J$5:$AK$14,MATCH($E33,'BY-Demands'!$I$5:$I$14,0),FALSE)*HLOOKUP(REG_TRA_DEMANDS!$F33,DEMANDS!$G$2:$CK$25,MATCH($E33,DEMANDS!$E$2:$E$25,0),FALSE)/HLOOKUP(2018,DEMANDS!$G$2:$CK$25,MATCH($E33,DEMANDS!$E$2:$E$25,0),FALSE)</f>
        <v>0.95215959650055881</v>
      </c>
      <c r="AB33" s="19">
        <f>HLOOKUP(REG_TRA_DEMANDS!AB$3,'BY-Demands'!$J$5:$AK$14,MATCH($E33,'BY-Demands'!$I$5:$I$14,0),FALSE)*HLOOKUP(REG_TRA_DEMANDS!$F33,DEMANDS!$G$2:$CK$25,MATCH($E33,DEMANDS!$E$2:$E$25,0),FALSE)/HLOOKUP(2018,DEMANDS!$G$2:$CK$25,MATCH($E33,DEMANDS!$E$2:$E$25,0),FALSE)</f>
        <v>0.51267208257146324</v>
      </c>
      <c r="AC33" s="19">
        <f>HLOOKUP(REG_TRA_DEMANDS!AC$3,'BY-Demands'!$J$5:$AK$14,MATCH($E33,'BY-Demands'!$I$5:$I$14,0),FALSE)*HLOOKUP(REG_TRA_DEMANDS!$F33,DEMANDS!$G$2:$CK$25,MATCH($E33,DEMANDS!$E$2:$E$25,0),FALSE)/HLOOKUP(2018,DEMANDS!$G$2:$CK$25,MATCH($E33,DEMANDS!$E$2:$E$25,0),FALSE)</f>
        <v>0.41823543431659693</v>
      </c>
      <c r="AD33" s="19">
        <f>HLOOKUP(REG_TRA_DEMANDS!AD$3,'BY-Demands'!$J$5:$AK$14,MATCH($E33,'BY-Demands'!$I$5:$I$14,0),FALSE)*HLOOKUP(REG_TRA_DEMANDS!$F33,DEMANDS!$G$2:$CK$25,MATCH($E33,DEMANDS!$E$2:$E$25,0),FALSE)/HLOOKUP(2018,DEMANDS!$G$2:$CK$25,MATCH($E33,DEMANDS!$E$2:$E$25,0),FALSE)</f>
        <v>0.45444293353517001</v>
      </c>
      <c r="AE33" s="19">
        <f>HLOOKUP(REG_TRA_DEMANDS!AE$3,'BY-Demands'!$J$5:$AK$14,MATCH($E33,'BY-Demands'!$I$5:$I$14,0),FALSE)*HLOOKUP(REG_TRA_DEMANDS!$F33,DEMANDS!$G$2:$CK$25,MATCH($E33,DEMANDS!$E$2:$E$25,0),FALSE)/HLOOKUP(2018,DEMANDS!$G$2:$CK$25,MATCH($E33,DEMANDS!$E$2:$E$25,0),FALSE)</f>
        <v>0.83693018436373534</v>
      </c>
      <c r="AF33" s="19">
        <f>HLOOKUP(REG_TRA_DEMANDS!AF$3,'BY-Demands'!$J$5:$AK$14,MATCH($E33,'BY-Demands'!$I$5:$I$14,0),FALSE)*HLOOKUP(REG_TRA_DEMANDS!$F33,DEMANDS!$G$2:$CK$25,MATCH($E33,DEMANDS!$E$2:$E$25,0),FALSE)/HLOOKUP(2018,DEMANDS!$G$2:$CK$25,MATCH($E33,DEMANDS!$E$2:$E$25,0),FALSE)</f>
        <v>0.46027986835099294</v>
      </c>
    </row>
    <row r="34" spans="4:32" ht="14.5">
      <c r="D34" t="s">
        <v>6</v>
      </c>
      <c r="E34" t="str">
        <f>DEMANDS!$E$18</f>
        <v>TRAPM</v>
      </c>
      <c r="F34">
        <v>2023</v>
      </c>
      <c r="G34" s="19">
        <f>HLOOKUP(REG_TRA_DEMANDS!G$3,'BY-Demands'!$J$5:$AK$14,MATCH($E34,'BY-Demands'!$I$5:$I$14,0),FALSE)*HLOOKUP(REG_TRA_DEMANDS!$F34,DEMANDS!$G$2:$CK$25,MATCH($E34,DEMANDS!$E$2:$E$25,0),FALSE)/HLOOKUP(2018,DEMANDS!$G$2:$CK$25,MATCH($E34,DEMANDS!$E$2:$E$25,0),FALSE)</f>
        <v>0.42177934440498155</v>
      </c>
      <c r="H34" s="19">
        <f>HLOOKUP(REG_TRA_DEMANDS!H$3,'BY-Demands'!$J$5:$AK$14,MATCH($E34,'BY-Demands'!$I$5:$I$14,0),FALSE)*HLOOKUP(REG_TRA_DEMANDS!$F34,DEMANDS!$G$2:$CK$25,MATCH($E34,DEMANDS!$E$2:$E$25,0),FALSE)/HLOOKUP(2018,DEMANDS!$G$2:$CK$25,MATCH($E34,DEMANDS!$E$2:$E$25,0),FALSE)</f>
        <v>7.3862776119995015</v>
      </c>
      <c r="I34" s="19">
        <f>HLOOKUP(REG_TRA_DEMANDS!I$3,'BY-Demands'!$J$5:$AK$14,MATCH($E34,'BY-Demands'!$I$5:$I$14,0),FALSE)*HLOOKUP(REG_TRA_DEMANDS!$F34,DEMANDS!$G$2:$CK$25,MATCH($E34,DEMANDS!$E$2:$E$25,0),FALSE)/HLOOKUP(2018,DEMANDS!$G$2:$CK$25,MATCH($E34,DEMANDS!$E$2:$E$25,0),FALSE)</f>
        <v>1.5040811488311447</v>
      </c>
      <c r="J34" s="19">
        <f>HLOOKUP(REG_TRA_DEMANDS!J$3,'BY-Demands'!$J$5:$AK$14,MATCH($E34,'BY-Demands'!$I$5:$I$14,0),FALSE)*HLOOKUP(REG_TRA_DEMANDS!$F34,DEMANDS!$G$2:$CK$25,MATCH($E34,DEMANDS!$E$2:$E$25,0),FALSE)/HLOOKUP(2018,DEMANDS!$G$2:$CK$25,MATCH($E34,DEMANDS!$E$2:$E$25,0),FALSE)</f>
        <v>0.71431735858329992</v>
      </c>
      <c r="K34" s="19">
        <f>HLOOKUP(REG_TRA_DEMANDS!K$3,'BY-Demands'!$J$5:$AK$14,MATCH($E34,'BY-Demands'!$I$5:$I$14,0),FALSE)*HLOOKUP(REG_TRA_DEMANDS!$F34,DEMANDS!$G$2:$CK$25,MATCH($E34,DEMANDS!$E$2:$E$25,0),FALSE)/HLOOKUP(2018,DEMANDS!$G$2:$CK$25,MATCH($E34,DEMANDS!$E$2:$E$25,0),FALSE)</f>
        <v>0.53742749429954384</v>
      </c>
      <c r="L34" s="19">
        <f>HLOOKUP(REG_TRA_DEMANDS!L$3,'BY-Demands'!$J$5:$AK$14,MATCH($E34,'BY-Demands'!$I$5:$I$14,0),FALSE)*HLOOKUP(REG_TRA_DEMANDS!$F34,DEMANDS!$G$2:$CK$25,MATCH($E34,DEMANDS!$E$2:$E$25,0),FALSE)/HLOOKUP(2018,DEMANDS!$G$2:$CK$25,MATCH($E34,DEMANDS!$E$2:$E$25,0),FALSE)</f>
        <v>0.27687987719916796</v>
      </c>
      <c r="M34" s="19">
        <f>HLOOKUP(REG_TRA_DEMANDS!M$3,'BY-Demands'!$J$5:$AK$14,MATCH($E34,'BY-Demands'!$I$5:$I$14,0),FALSE)*HLOOKUP(REG_TRA_DEMANDS!$F34,DEMANDS!$G$2:$CK$25,MATCH($E34,DEMANDS!$E$2:$E$25,0),FALSE)/HLOOKUP(2018,DEMANDS!$G$2:$CK$25,MATCH($E34,DEMANDS!$E$2:$E$25,0),FALSE)</f>
        <v>0.74579040375706074</v>
      </c>
      <c r="N34" s="19">
        <f>HLOOKUP(REG_TRA_DEMANDS!N$3,'BY-Demands'!$J$5:$AK$14,MATCH($E34,'BY-Demands'!$I$5:$I$14,0),FALSE)*HLOOKUP(REG_TRA_DEMANDS!$F34,DEMANDS!$G$2:$CK$25,MATCH($E34,DEMANDS!$E$2:$E$25,0),FALSE)/HLOOKUP(2018,DEMANDS!$G$2:$CK$25,MATCH($E34,DEMANDS!$E$2:$E$25,0),FALSE)</f>
        <v>1.2947773901931796</v>
      </c>
      <c r="O34" s="19">
        <f>HLOOKUP(REG_TRA_DEMANDS!O$3,'BY-Demands'!$J$5:$AK$14,MATCH($E34,'BY-Demands'!$I$5:$I$14,0),FALSE)*HLOOKUP(REG_TRA_DEMANDS!$F34,DEMANDS!$G$2:$CK$25,MATCH($E34,DEMANDS!$E$2:$E$25,0),FALSE)/HLOOKUP(2018,DEMANDS!$G$2:$CK$25,MATCH($E34,DEMANDS!$E$2:$E$25,0),FALSE)</f>
        <v>0.54871464205517728</v>
      </c>
      <c r="P34" s="19">
        <f>HLOOKUP(REG_TRA_DEMANDS!P$3,'BY-Demands'!$J$5:$AK$14,MATCH($E34,'BY-Demands'!$I$5:$I$14,0),FALSE)*HLOOKUP(REG_TRA_DEMANDS!$F34,DEMANDS!$G$2:$CK$25,MATCH($E34,DEMANDS!$E$2:$E$25,0),FALSE)/HLOOKUP(2018,DEMANDS!$G$2:$CK$25,MATCH($E34,DEMANDS!$E$2:$E$25,0),FALSE)</f>
        <v>0.61941509536562278</v>
      </c>
      <c r="Q34" s="19">
        <f>HLOOKUP(REG_TRA_DEMANDS!Q$3,'BY-Demands'!$J$5:$AK$14,MATCH($E34,'BY-Demands'!$I$5:$I$14,0),FALSE)*HLOOKUP(REG_TRA_DEMANDS!$F34,DEMANDS!$G$2:$CK$25,MATCH($E34,DEMANDS!$E$2:$E$25,0),FALSE)/HLOOKUP(2018,DEMANDS!$G$2:$CK$25,MATCH($E34,DEMANDS!$E$2:$E$25,0),FALSE)</f>
        <v>1.0985488763079054</v>
      </c>
      <c r="R34" s="19">
        <f>HLOOKUP(REG_TRA_DEMANDS!R$3,'BY-Demands'!$J$5:$AK$14,MATCH($E34,'BY-Demands'!$I$5:$I$14,0),FALSE)*HLOOKUP(REG_TRA_DEMANDS!$F34,DEMANDS!$G$2:$CK$25,MATCH($E34,DEMANDS!$E$2:$E$25,0),FALSE)/HLOOKUP(2018,DEMANDS!$G$2:$CK$25,MATCH($E34,DEMANDS!$E$2:$E$25,0),FALSE)</f>
        <v>0.93221587786946347</v>
      </c>
      <c r="S34" s="19">
        <f>HLOOKUP(REG_TRA_DEMANDS!S$3,'BY-Demands'!$J$5:$AK$14,MATCH($E34,'BY-Demands'!$I$5:$I$14,0),FALSE)*HLOOKUP(REG_TRA_DEMANDS!$F34,DEMANDS!$G$2:$CK$25,MATCH($E34,DEMANDS!$E$2:$E$25,0),FALSE)/HLOOKUP(2018,DEMANDS!$G$2:$CK$25,MATCH($E34,DEMANDS!$E$2:$E$25,0),FALSE)</f>
        <v>0.84547342533812686</v>
      </c>
      <c r="T34" s="19">
        <f>HLOOKUP(REG_TRA_DEMANDS!T$3,'BY-Demands'!$J$5:$AK$14,MATCH($E34,'BY-Demands'!$I$5:$I$14,0),FALSE)*HLOOKUP(REG_TRA_DEMANDS!$F34,DEMANDS!$G$2:$CK$25,MATCH($E34,DEMANDS!$E$2:$E$25,0),FALSE)/HLOOKUP(2018,DEMANDS!$G$2:$CK$25,MATCH($E34,DEMANDS!$E$2:$E$25,0),FALSE)</f>
        <v>3.4168234330515159</v>
      </c>
      <c r="U34" s="19">
        <f>HLOOKUP(REG_TRA_DEMANDS!U$3,'BY-Demands'!$J$5:$AK$14,MATCH($E34,'BY-Demands'!$I$5:$I$14,0),FALSE)*HLOOKUP(REG_TRA_DEMANDS!$F34,DEMANDS!$G$2:$CK$25,MATCH($E34,DEMANDS!$E$2:$E$25,0),FALSE)/HLOOKUP(2018,DEMANDS!$G$2:$CK$25,MATCH($E34,DEMANDS!$E$2:$E$25,0),FALSE)</f>
        <v>1.1183253909061304</v>
      </c>
      <c r="V34" s="19">
        <f>HLOOKUP(REG_TRA_DEMANDS!V$3,'BY-Demands'!$J$5:$AK$14,MATCH($E34,'BY-Demands'!$I$5:$I$14,0),FALSE)*HLOOKUP(REG_TRA_DEMANDS!$F34,DEMANDS!$G$2:$CK$25,MATCH($E34,DEMANDS!$E$2:$E$25,0),FALSE)/HLOOKUP(2018,DEMANDS!$G$2:$CK$25,MATCH($E34,DEMANDS!$E$2:$E$25,0),FALSE)</f>
        <v>1.2595221576426017</v>
      </c>
      <c r="W34" s="19">
        <f>HLOOKUP(REG_TRA_DEMANDS!W$3,'BY-Demands'!$J$5:$AK$14,MATCH($E34,'BY-Demands'!$I$5:$I$14,0),FALSE)*HLOOKUP(REG_TRA_DEMANDS!$F34,DEMANDS!$G$2:$CK$25,MATCH($E34,DEMANDS!$E$2:$E$25,0),FALSE)/HLOOKUP(2018,DEMANDS!$G$2:$CK$25,MATCH($E34,DEMANDS!$E$2:$E$25,0),FALSE)</f>
        <v>1.2215872597001454</v>
      </c>
      <c r="X34" s="19">
        <f>HLOOKUP(REG_TRA_DEMANDS!X$3,'BY-Demands'!$J$5:$AK$14,MATCH($E34,'BY-Demands'!$I$5:$I$14,0),FALSE)*HLOOKUP(REG_TRA_DEMANDS!$F34,DEMANDS!$G$2:$CK$25,MATCH($E34,DEMANDS!$E$2:$E$25,0),FALSE)/HLOOKUP(2018,DEMANDS!$G$2:$CK$25,MATCH($E34,DEMANDS!$E$2:$E$25,0),FALSE)</f>
        <v>0.7706713248650543</v>
      </c>
      <c r="Y34" s="19">
        <f>HLOOKUP(REG_TRA_DEMANDS!Y$3,'BY-Demands'!$J$5:$AK$14,MATCH($E34,'BY-Demands'!$I$5:$I$14,0),FALSE)*HLOOKUP(REG_TRA_DEMANDS!$F34,DEMANDS!$G$2:$CK$25,MATCH($E34,DEMANDS!$E$2:$E$25,0),FALSE)/HLOOKUP(2018,DEMANDS!$G$2:$CK$25,MATCH($E34,DEMANDS!$E$2:$E$25,0),FALSE)</f>
        <v>1.7254867154934213</v>
      </c>
      <c r="Z34" s="19">
        <f>HLOOKUP(REG_TRA_DEMANDS!Z$3,'BY-Demands'!$J$5:$AK$14,MATCH($E34,'BY-Demands'!$I$5:$I$14,0),FALSE)*HLOOKUP(REG_TRA_DEMANDS!$F34,DEMANDS!$G$2:$CK$25,MATCH($E34,DEMANDS!$E$2:$E$25,0),FALSE)/HLOOKUP(2018,DEMANDS!$G$2:$CK$25,MATCH($E34,DEMANDS!$E$2:$E$25,0),FALSE)</f>
        <v>0.22614609697088356</v>
      </c>
      <c r="AA34" s="19">
        <f>HLOOKUP(REG_TRA_DEMANDS!AA$3,'BY-Demands'!$J$5:$AK$14,MATCH($E34,'BY-Demands'!$I$5:$I$14,0),FALSE)*HLOOKUP(REG_TRA_DEMANDS!$F34,DEMANDS!$G$2:$CK$25,MATCH($E34,DEMANDS!$E$2:$E$25,0),FALSE)/HLOOKUP(2018,DEMANDS!$G$2:$CK$25,MATCH($E34,DEMANDS!$E$2:$E$25,0),FALSE)</f>
        <v>0.95562799149157351</v>
      </c>
      <c r="AB34" s="19">
        <f>HLOOKUP(REG_TRA_DEMANDS!AB$3,'BY-Demands'!$J$5:$AK$14,MATCH($E34,'BY-Demands'!$I$5:$I$14,0),FALSE)*HLOOKUP(REG_TRA_DEMANDS!$F34,DEMANDS!$G$2:$CK$25,MATCH($E34,DEMANDS!$E$2:$E$25,0),FALSE)/HLOOKUP(2018,DEMANDS!$G$2:$CK$25,MATCH($E34,DEMANDS!$E$2:$E$25,0),FALSE)</f>
        <v>0.51453957336792111</v>
      </c>
      <c r="AC34" s="19">
        <f>HLOOKUP(REG_TRA_DEMANDS!AC$3,'BY-Demands'!$J$5:$AK$14,MATCH($E34,'BY-Demands'!$I$5:$I$14,0),FALSE)*HLOOKUP(REG_TRA_DEMANDS!$F34,DEMANDS!$G$2:$CK$25,MATCH($E34,DEMANDS!$E$2:$E$25,0),FALSE)/HLOOKUP(2018,DEMANDS!$G$2:$CK$25,MATCH($E34,DEMANDS!$E$2:$E$25,0),FALSE)</f>
        <v>0.41975892438147666</v>
      </c>
      <c r="AD34" s="19">
        <f>HLOOKUP(REG_TRA_DEMANDS!AD$3,'BY-Demands'!$J$5:$AK$14,MATCH($E34,'BY-Demands'!$I$5:$I$14,0),FALSE)*HLOOKUP(REG_TRA_DEMANDS!$F34,DEMANDS!$G$2:$CK$25,MATCH($E34,DEMANDS!$E$2:$E$25,0),FALSE)/HLOOKUP(2018,DEMANDS!$G$2:$CK$25,MATCH($E34,DEMANDS!$E$2:$E$25,0),FALSE)</f>
        <v>0.456098315259167</v>
      </c>
      <c r="AE34" s="19">
        <f>HLOOKUP(REG_TRA_DEMANDS!AE$3,'BY-Demands'!$J$5:$AK$14,MATCH($E34,'BY-Demands'!$I$5:$I$14,0),FALSE)*HLOOKUP(REG_TRA_DEMANDS!$F34,DEMANDS!$G$2:$CK$25,MATCH($E34,DEMANDS!$E$2:$E$25,0),FALSE)/HLOOKUP(2018,DEMANDS!$G$2:$CK$25,MATCH($E34,DEMANDS!$E$2:$E$25,0),FALSE)</f>
        <v>0.83997883762516834</v>
      </c>
      <c r="AF34" s="19">
        <f>HLOOKUP(REG_TRA_DEMANDS!AF$3,'BY-Demands'!$J$5:$AK$14,MATCH($E34,'BY-Demands'!$I$5:$I$14,0),FALSE)*HLOOKUP(REG_TRA_DEMANDS!$F34,DEMANDS!$G$2:$CK$25,MATCH($E34,DEMANDS!$E$2:$E$25,0),FALSE)/HLOOKUP(2018,DEMANDS!$G$2:$CK$25,MATCH($E34,DEMANDS!$E$2:$E$25,0),FALSE)</f>
        <v>0.4619565120520287</v>
      </c>
    </row>
    <row r="35" spans="4:32" ht="14.5">
      <c r="D35" t="s">
        <v>6</v>
      </c>
      <c r="E35" t="str">
        <f>DEMANDS!$E$18</f>
        <v>TRAPM</v>
      </c>
      <c r="F35">
        <v>2024</v>
      </c>
      <c r="G35" s="19">
        <f>HLOOKUP(REG_TRA_DEMANDS!G$3,'BY-Demands'!$J$5:$AK$14,MATCH($E35,'BY-Demands'!$I$5:$I$14,0),FALSE)*HLOOKUP(REG_TRA_DEMANDS!$F35,DEMANDS!$G$2:$CK$25,MATCH($E35,DEMANDS!$E$2:$E$25,0),FALSE)/HLOOKUP(2018,DEMANDS!$G$2:$CK$25,MATCH($E35,DEMANDS!$E$2:$E$25,0),FALSE)</f>
        <v>0.42810603457105623</v>
      </c>
      <c r="H35" s="19">
        <f>HLOOKUP(REG_TRA_DEMANDS!H$3,'BY-Demands'!$J$5:$AK$14,MATCH($E35,'BY-Demands'!$I$5:$I$14,0),FALSE)*HLOOKUP(REG_TRA_DEMANDS!$F35,DEMANDS!$G$2:$CK$25,MATCH($E35,DEMANDS!$E$2:$E$25,0),FALSE)/HLOOKUP(2018,DEMANDS!$G$2:$CK$25,MATCH($E35,DEMANDS!$E$2:$E$25,0),FALSE)</f>
        <v>7.4970717761794932</v>
      </c>
      <c r="I35" s="19">
        <f>HLOOKUP(REG_TRA_DEMANDS!I$3,'BY-Demands'!$J$5:$AK$14,MATCH($E35,'BY-Demands'!$I$5:$I$14,0),FALSE)*HLOOKUP(REG_TRA_DEMANDS!$F35,DEMANDS!$G$2:$CK$25,MATCH($E35,DEMANDS!$E$2:$E$25,0),FALSE)/HLOOKUP(2018,DEMANDS!$G$2:$CK$25,MATCH($E35,DEMANDS!$E$2:$E$25,0),FALSE)</f>
        <v>1.5266423660636119</v>
      </c>
      <c r="J35" s="19">
        <f>HLOOKUP(REG_TRA_DEMANDS!J$3,'BY-Demands'!$J$5:$AK$14,MATCH($E35,'BY-Demands'!$I$5:$I$14,0),FALSE)*HLOOKUP(REG_TRA_DEMANDS!$F35,DEMANDS!$G$2:$CK$25,MATCH($E35,DEMANDS!$E$2:$E$25,0),FALSE)/HLOOKUP(2018,DEMANDS!$G$2:$CK$25,MATCH($E35,DEMANDS!$E$2:$E$25,0),FALSE)</f>
        <v>0.72503211896204933</v>
      </c>
      <c r="K35" s="19">
        <f>HLOOKUP(REG_TRA_DEMANDS!K$3,'BY-Demands'!$J$5:$AK$14,MATCH($E35,'BY-Demands'!$I$5:$I$14,0),FALSE)*HLOOKUP(REG_TRA_DEMANDS!$F35,DEMANDS!$G$2:$CK$25,MATCH($E35,DEMANDS!$E$2:$E$25,0),FALSE)/HLOOKUP(2018,DEMANDS!$G$2:$CK$25,MATCH($E35,DEMANDS!$E$2:$E$25,0),FALSE)</f>
        <v>0.54548890671403694</v>
      </c>
      <c r="L35" s="19">
        <f>HLOOKUP(REG_TRA_DEMANDS!L$3,'BY-Demands'!$J$5:$AK$14,MATCH($E35,'BY-Demands'!$I$5:$I$14,0),FALSE)*HLOOKUP(REG_TRA_DEMANDS!$F35,DEMANDS!$G$2:$CK$25,MATCH($E35,DEMANDS!$E$2:$E$25,0),FALSE)/HLOOKUP(2018,DEMANDS!$G$2:$CK$25,MATCH($E35,DEMANDS!$E$2:$E$25,0),FALSE)</f>
        <v>0.28103307535715544</v>
      </c>
      <c r="M35" s="19">
        <f>HLOOKUP(REG_TRA_DEMANDS!M$3,'BY-Demands'!$J$5:$AK$14,MATCH($E35,'BY-Demands'!$I$5:$I$14,0),FALSE)*HLOOKUP(REG_TRA_DEMANDS!$F35,DEMANDS!$G$2:$CK$25,MATCH($E35,DEMANDS!$E$2:$E$25,0),FALSE)/HLOOKUP(2018,DEMANDS!$G$2:$CK$25,MATCH($E35,DEMANDS!$E$2:$E$25,0),FALSE)</f>
        <v>0.75697725981341646</v>
      </c>
      <c r="N35" s="19">
        <f>HLOOKUP(REG_TRA_DEMANDS!N$3,'BY-Demands'!$J$5:$AK$14,MATCH($E35,'BY-Demands'!$I$5:$I$14,0),FALSE)*HLOOKUP(REG_TRA_DEMANDS!$F35,DEMANDS!$G$2:$CK$25,MATCH($E35,DEMANDS!$E$2:$E$25,0),FALSE)/HLOOKUP(2018,DEMANDS!$G$2:$CK$25,MATCH($E35,DEMANDS!$E$2:$E$25,0),FALSE)</f>
        <v>1.3141990510460773</v>
      </c>
      <c r="O35" s="19">
        <f>HLOOKUP(REG_TRA_DEMANDS!O$3,'BY-Demands'!$J$5:$AK$14,MATCH($E35,'BY-Demands'!$I$5:$I$14,0),FALSE)*HLOOKUP(REG_TRA_DEMANDS!$F35,DEMANDS!$G$2:$CK$25,MATCH($E35,DEMANDS!$E$2:$E$25,0),FALSE)/HLOOKUP(2018,DEMANDS!$G$2:$CK$25,MATCH($E35,DEMANDS!$E$2:$E$25,0),FALSE)</f>
        <v>0.55694536168600484</v>
      </c>
      <c r="P35" s="19">
        <f>HLOOKUP(REG_TRA_DEMANDS!P$3,'BY-Demands'!$J$5:$AK$14,MATCH($E35,'BY-Demands'!$I$5:$I$14,0),FALSE)*HLOOKUP(REG_TRA_DEMANDS!$F35,DEMANDS!$G$2:$CK$25,MATCH($E35,DEMANDS!$E$2:$E$25,0),FALSE)/HLOOKUP(2018,DEMANDS!$G$2:$CK$25,MATCH($E35,DEMANDS!$E$2:$E$25,0),FALSE)</f>
        <v>0.62870632179610697</v>
      </c>
      <c r="Q35" s="19">
        <f>HLOOKUP(REG_TRA_DEMANDS!Q$3,'BY-Demands'!$J$5:$AK$14,MATCH($E35,'BY-Demands'!$I$5:$I$14,0),FALSE)*HLOOKUP(REG_TRA_DEMANDS!$F35,DEMANDS!$G$2:$CK$25,MATCH($E35,DEMANDS!$E$2:$E$25,0),FALSE)/HLOOKUP(2018,DEMANDS!$G$2:$CK$25,MATCH($E35,DEMANDS!$E$2:$E$25,0),FALSE)</f>
        <v>1.1150271094525239</v>
      </c>
      <c r="R35" s="19">
        <f>HLOOKUP(REG_TRA_DEMANDS!R$3,'BY-Demands'!$J$5:$AK$14,MATCH($E35,'BY-Demands'!$I$5:$I$14,0),FALSE)*HLOOKUP(REG_TRA_DEMANDS!$F35,DEMANDS!$G$2:$CK$25,MATCH($E35,DEMANDS!$E$2:$E$25,0),FALSE)/HLOOKUP(2018,DEMANDS!$G$2:$CK$25,MATCH($E35,DEMANDS!$E$2:$E$25,0),FALSE)</f>
        <v>0.94619911603750517</v>
      </c>
      <c r="S35" s="19">
        <f>HLOOKUP(REG_TRA_DEMANDS!S$3,'BY-Demands'!$J$5:$AK$14,MATCH($E35,'BY-Demands'!$I$5:$I$14,0),FALSE)*HLOOKUP(REG_TRA_DEMANDS!$F35,DEMANDS!$G$2:$CK$25,MATCH($E35,DEMANDS!$E$2:$E$25,0),FALSE)/HLOOKUP(2018,DEMANDS!$G$2:$CK$25,MATCH($E35,DEMANDS!$E$2:$E$25,0),FALSE)</f>
        <v>0.85815552671819872</v>
      </c>
      <c r="T35" s="19">
        <f>HLOOKUP(REG_TRA_DEMANDS!T$3,'BY-Demands'!$J$5:$AK$14,MATCH($E35,'BY-Demands'!$I$5:$I$14,0),FALSE)*HLOOKUP(REG_TRA_DEMANDS!$F35,DEMANDS!$G$2:$CK$25,MATCH($E35,DEMANDS!$E$2:$E$25,0),FALSE)/HLOOKUP(2018,DEMANDS!$G$2:$CK$25,MATCH($E35,DEMANDS!$E$2:$E$25,0),FALSE)</f>
        <v>3.4680757845472883</v>
      </c>
      <c r="U35" s="19">
        <f>HLOOKUP(REG_TRA_DEMANDS!U$3,'BY-Demands'!$J$5:$AK$14,MATCH($E35,'BY-Demands'!$I$5:$I$14,0),FALSE)*HLOOKUP(REG_TRA_DEMANDS!$F35,DEMANDS!$G$2:$CK$25,MATCH($E35,DEMANDS!$E$2:$E$25,0),FALSE)/HLOOKUP(2018,DEMANDS!$G$2:$CK$25,MATCH($E35,DEMANDS!$E$2:$E$25,0),FALSE)</f>
        <v>1.1351002717697221</v>
      </c>
      <c r="V35" s="19">
        <f>HLOOKUP(REG_TRA_DEMANDS!V$3,'BY-Demands'!$J$5:$AK$14,MATCH($E35,'BY-Demands'!$I$5:$I$14,0),FALSE)*HLOOKUP(REG_TRA_DEMANDS!$F35,DEMANDS!$G$2:$CK$25,MATCH($E35,DEMANDS!$E$2:$E$25,0),FALSE)/HLOOKUP(2018,DEMANDS!$G$2:$CK$25,MATCH($E35,DEMANDS!$E$2:$E$25,0),FALSE)</f>
        <v>1.2784149900072406</v>
      </c>
      <c r="W35" s="19">
        <f>HLOOKUP(REG_TRA_DEMANDS!W$3,'BY-Demands'!$J$5:$AK$14,MATCH($E35,'BY-Demands'!$I$5:$I$14,0),FALSE)*HLOOKUP(REG_TRA_DEMANDS!$F35,DEMANDS!$G$2:$CK$25,MATCH($E35,DEMANDS!$E$2:$E$25,0),FALSE)/HLOOKUP(2018,DEMANDS!$G$2:$CK$25,MATCH($E35,DEMANDS!$E$2:$E$25,0),FALSE)</f>
        <v>1.2399110685956476</v>
      </c>
      <c r="X35" s="19">
        <f>HLOOKUP(REG_TRA_DEMANDS!X$3,'BY-Demands'!$J$5:$AK$14,MATCH($E35,'BY-Demands'!$I$5:$I$14,0),FALSE)*HLOOKUP(REG_TRA_DEMANDS!$F35,DEMANDS!$G$2:$CK$25,MATCH($E35,DEMANDS!$E$2:$E$25,0),FALSE)/HLOOKUP(2018,DEMANDS!$G$2:$CK$25,MATCH($E35,DEMANDS!$E$2:$E$25,0),FALSE)</f>
        <v>0.78223139473803005</v>
      </c>
      <c r="Y35" s="19">
        <f>HLOOKUP(REG_TRA_DEMANDS!Y$3,'BY-Demands'!$J$5:$AK$14,MATCH($E35,'BY-Demands'!$I$5:$I$14,0),FALSE)*HLOOKUP(REG_TRA_DEMANDS!$F35,DEMANDS!$G$2:$CK$25,MATCH($E35,DEMANDS!$E$2:$E$25,0),FALSE)/HLOOKUP(2018,DEMANDS!$G$2:$CK$25,MATCH($E35,DEMANDS!$E$2:$E$25,0),FALSE)</f>
        <v>1.7513690162258224</v>
      </c>
      <c r="Z35" s="19">
        <f>HLOOKUP(REG_TRA_DEMANDS!Z$3,'BY-Demands'!$J$5:$AK$14,MATCH($E35,'BY-Demands'!$I$5:$I$14,0),FALSE)*HLOOKUP(REG_TRA_DEMANDS!$F35,DEMANDS!$G$2:$CK$25,MATCH($E35,DEMANDS!$E$2:$E$25,0),FALSE)/HLOOKUP(2018,DEMANDS!$G$2:$CK$25,MATCH($E35,DEMANDS!$E$2:$E$25,0),FALSE)</f>
        <v>0.22953828842544677</v>
      </c>
      <c r="AA35" s="19">
        <f>HLOOKUP(REG_TRA_DEMANDS!AA$3,'BY-Demands'!$J$5:$AK$14,MATCH($E35,'BY-Demands'!$I$5:$I$14,0),FALSE)*HLOOKUP(REG_TRA_DEMANDS!$F35,DEMANDS!$G$2:$CK$25,MATCH($E35,DEMANDS!$E$2:$E$25,0),FALSE)/HLOOKUP(2018,DEMANDS!$G$2:$CK$25,MATCH($E35,DEMANDS!$E$2:$E$25,0),FALSE)</f>
        <v>0.9699624113639469</v>
      </c>
      <c r="AB35" s="19">
        <f>HLOOKUP(REG_TRA_DEMANDS!AB$3,'BY-Demands'!$J$5:$AK$14,MATCH($E35,'BY-Demands'!$I$5:$I$14,0),FALSE)*HLOOKUP(REG_TRA_DEMANDS!$F35,DEMANDS!$G$2:$CK$25,MATCH($E35,DEMANDS!$E$2:$E$25,0),FALSE)/HLOOKUP(2018,DEMANDS!$G$2:$CK$25,MATCH($E35,DEMANDS!$E$2:$E$25,0),FALSE)</f>
        <v>0.52225766696843989</v>
      </c>
      <c r="AC35" s="19">
        <f>HLOOKUP(REG_TRA_DEMANDS!AC$3,'BY-Demands'!$J$5:$AK$14,MATCH($E35,'BY-Demands'!$I$5:$I$14,0),FALSE)*HLOOKUP(REG_TRA_DEMANDS!$F35,DEMANDS!$G$2:$CK$25,MATCH($E35,DEMANDS!$E$2:$E$25,0),FALSE)/HLOOKUP(2018,DEMANDS!$G$2:$CK$25,MATCH($E35,DEMANDS!$E$2:$E$25,0),FALSE)</f>
        <v>0.42605530824719878</v>
      </c>
      <c r="AD35" s="19">
        <f>HLOOKUP(REG_TRA_DEMANDS!AD$3,'BY-Demands'!$J$5:$AK$14,MATCH($E35,'BY-Demands'!$I$5:$I$14,0),FALSE)*HLOOKUP(REG_TRA_DEMANDS!$F35,DEMANDS!$G$2:$CK$25,MATCH($E35,DEMANDS!$E$2:$E$25,0),FALSE)/HLOOKUP(2018,DEMANDS!$G$2:$CK$25,MATCH($E35,DEMANDS!$E$2:$E$25,0),FALSE)</f>
        <v>0.46293978998805446</v>
      </c>
      <c r="AE35" s="19">
        <f>HLOOKUP(REG_TRA_DEMANDS!AE$3,'BY-Demands'!$J$5:$AK$14,MATCH($E35,'BY-Demands'!$I$5:$I$14,0),FALSE)*HLOOKUP(REG_TRA_DEMANDS!$F35,DEMANDS!$G$2:$CK$25,MATCH($E35,DEMANDS!$E$2:$E$25,0),FALSE)/HLOOKUP(2018,DEMANDS!$G$2:$CK$25,MATCH($E35,DEMANDS!$E$2:$E$25,0),FALSE)</f>
        <v>0.85257852018954572</v>
      </c>
      <c r="AF35" s="19">
        <f>HLOOKUP(REG_TRA_DEMANDS!AF$3,'BY-Demands'!$J$5:$AK$14,MATCH($E35,'BY-Demands'!$I$5:$I$14,0),FALSE)*HLOOKUP(REG_TRA_DEMANDS!$F35,DEMANDS!$G$2:$CK$25,MATCH($E35,DEMANDS!$E$2:$E$25,0),FALSE)/HLOOKUP(2018,DEMANDS!$G$2:$CK$25,MATCH($E35,DEMANDS!$E$2:$E$25,0),FALSE)</f>
        <v>0.46888585973280911</v>
      </c>
    </row>
    <row r="36" spans="4:32" ht="14.5">
      <c r="D36" t="s">
        <v>6</v>
      </c>
      <c r="E36" t="str">
        <f>DEMANDS!$E$18</f>
        <v>TRAPM</v>
      </c>
      <c r="F36">
        <v>2025</v>
      </c>
      <c r="G36" s="19">
        <f>HLOOKUP(REG_TRA_DEMANDS!G$3,'BY-Demands'!$J$5:$AK$14,MATCH($E36,'BY-Demands'!$I$5:$I$14,0),FALSE)*HLOOKUP(REG_TRA_DEMANDS!$F36,DEMANDS!$G$2:$CK$25,MATCH($E36,DEMANDS!$E$2:$E$25,0),FALSE)/HLOOKUP(2018,DEMANDS!$G$2:$CK$25,MATCH($E36,DEMANDS!$E$2:$E$25,0),FALSE)</f>
        <v>0.43452762508962206</v>
      </c>
      <c r="H36" s="19">
        <f>HLOOKUP(REG_TRA_DEMANDS!H$3,'BY-Demands'!$J$5:$AK$14,MATCH($E36,'BY-Demands'!$I$5:$I$14,0),FALSE)*HLOOKUP(REG_TRA_DEMANDS!$F36,DEMANDS!$G$2:$CK$25,MATCH($E36,DEMANDS!$E$2:$E$25,0),FALSE)/HLOOKUP(2018,DEMANDS!$G$2:$CK$25,MATCH($E36,DEMANDS!$E$2:$E$25,0),FALSE)</f>
        <v>7.6095278528221852</v>
      </c>
      <c r="I36" s="19">
        <f>HLOOKUP(REG_TRA_DEMANDS!I$3,'BY-Demands'!$J$5:$AK$14,MATCH($E36,'BY-Demands'!$I$5:$I$14,0),FALSE)*HLOOKUP(REG_TRA_DEMANDS!$F36,DEMANDS!$G$2:$CK$25,MATCH($E36,DEMANDS!$E$2:$E$25,0),FALSE)/HLOOKUP(2018,DEMANDS!$G$2:$CK$25,MATCH($E36,DEMANDS!$E$2:$E$25,0),FALSE)</f>
        <v>1.549542001554566</v>
      </c>
      <c r="J36" s="19">
        <f>HLOOKUP(REG_TRA_DEMANDS!J$3,'BY-Demands'!$J$5:$AK$14,MATCH($E36,'BY-Demands'!$I$5:$I$14,0),FALSE)*HLOOKUP(REG_TRA_DEMANDS!$F36,DEMANDS!$G$2:$CK$25,MATCH($E36,DEMANDS!$E$2:$E$25,0),FALSE)/HLOOKUP(2018,DEMANDS!$G$2:$CK$25,MATCH($E36,DEMANDS!$E$2:$E$25,0),FALSE)</f>
        <v>0.7359076007464801</v>
      </c>
      <c r="K36" s="19">
        <f>HLOOKUP(REG_TRA_DEMANDS!K$3,'BY-Demands'!$J$5:$AK$14,MATCH($E36,'BY-Demands'!$I$5:$I$14,0),FALSE)*HLOOKUP(REG_TRA_DEMANDS!$F36,DEMANDS!$G$2:$CK$25,MATCH($E36,DEMANDS!$E$2:$E$25,0),FALSE)/HLOOKUP(2018,DEMANDS!$G$2:$CK$25,MATCH($E36,DEMANDS!$E$2:$E$25,0),FALSE)</f>
        <v>0.55367124031474746</v>
      </c>
      <c r="L36" s="19">
        <f>HLOOKUP(REG_TRA_DEMANDS!L$3,'BY-Demands'!$J$5:$AK$14,MATCH($E36,'BY-Demands'!$I$5:$I$14,0),FALSE)*HLOOKUP(REG_TRA_DEMANDS!$F36,DEMANDS!$G$2:$CK$25,MATCH($E36,DEMANDS!$E$2:$E$25,0),FALSE)/HLOOKUP(2018,DEMANDS!$G$2:$CK$25,MATCH($E36,DEMANDS!$E$2:$E$25,0),FALSE)</f>
        <v>0.28524857148751276</v>
      </c>
      <c r="M36" s="19">
        <f>HLOOKUP(REG_TRA_DEMANDS!M$3,'BY-Demands'!$J$5:$AK$14,MATCH($E36,'BY-Demands'!$I$5:$I$14,0),FALSE)*HLOOKUP(REG_TRA_DEMANDS!$F36,DEMANDS!$G$2:$CK$25,MATCH($E36,DEMANDS!$E$2:$E$25,0),FALSE)/HLOOKUP(2018,DEMANDS!$G$2:$CK$25,MATCH($E36,DEMANDS!$E$2:$E$25,0),FALSE)</f>
        <v>0.76833191871061768</v>
      </c>
      <c r="N36" s="19">
        <f>HLOOKUP(REG_TRA_DEMANDS!N$3,'BY-Demands'!$J$5:$AK$14,MATCH($E36,'BY-Demands'!$I$5:$I$14,0),FALSE)*HLOOKUP(REG_TRA_DEMANDS!$F36,DEMANDS!$G$2:$CK$25,MATCH($E36,DEMANDS!$E$2:$E$25,0),FALSE)/HLOOKUP(2018,DEMANDS!$G$2:$CK$25,MATCH($E36,DEMANDS!$E$2:$E$25,0),FALSE)</f>
        <v>1.3339120368117683</v>
      </c>
      <c r="O36" s="19">
        <f>HLOOKUP(REG_TRA_DEMANDS!O$3,'BY-Demands'!$J$5:$AK$14,MATCH($E36,'BY-Demands'!$I$5:$I$14,0),FALSE)*HLOOKUP(REG_TRA_DEMANDS!$F36,DEMANDS!$G$2:$CK$25,MATCH($E36,DEMANDS!$E$2:$E$25,0),FALSE)/HLOOKUP(2018,DEMANDS!$G$2:$CK$25,MATCH($E36,DEMANDS!$E$2:$E$25,0),FALSE)</f>
        <v>0.56529954211129496</v>
      </c>
      <c r="P36" s="19">
        <f>HLOOKUP(REG_TRA_DEMANDS!P$3,'BY-Demands'!$J$5:$AK$14,MATCH($E36,'BY-Demands'!$I$5:$I$14,0),FALSE)*HLOOKUP(REG_TRA_DEMANDS!$F36,DEMANDS!$G$2:$CK$25,MATCH($E36,DEMANDS!$E$2:$E$25,0),FALSE)/HLOOKUP(2018,DEMANDS!$G$2:$CK$25,MATCH($E36,DEMANDS!$E$2:$E$25,0),FALSE)</f>
        <v>0.63813691662304861</v>
      </c>
      <c r="Q36" s="19">
        <f>HLOOKUP(REG_TRA_DEMANDS!Q$3,'BY-Demands'!$J$5:$AK$14,MATCH($E36,'BY-Demands'!$I$5:$I$14,0),FALSE)*HLOOKUP(REG_TRA_DEMANDS!$F36,DEMANDS!$G$2:$CK$25,MATCH($E36,DEMANDS!$E$2:$E$25,0),FALSE)/HLOOKUP(2018,DEMANDS!$G$2:$CK$25,MATCH($E36,DEMANDS!$E$2:$E$25,0),FALSE)</f>
        <v>1.1317525160943118</v>
      </c>
      <c r="R36" s="19">
        <f>HLOOKUP(REG_TRA_DEMANDS!R$3,'BY-Demands'!$J$5:$AK$14,MATCH($E36,'BY-Demands'!$I$5:$I$14,0),FALSE)*HLOOKUP(REG_TRA_DEMANDS!$F36,DEMANDS!$G$2:$CK$25,MATCH($E36,DEMANDS!$E$2:$E$25,0),FALSE)/HLOOKUP(2018,DEMANDS!$G$2:$CK$25,MATCH($E36,DEMANDS!$E$2:$E$25,0),FALSE)</f>
        <v>0.96039210277806775</v>
      </c>
      <c r="S36" s="19">
        <f>HLOOKUP(REG_TRA_DEMANDS!S$3,'BY-Demands'!$J$5:$AK$14,MATCH($E36,'BY-Demands'!$I$5:$I$14,0),FALSE)*HLOOKUP(REG_TRA_DEMANDS!$F36,DEMANDS!$G$2:$CK$25,MATCH($E36,DEMANDS!$E$2:$E$25,0),FALSE)/HLOOKUP(2018,DEMANDS!$G$2:$CK$25,MATCH($E36,DEMANDS!$E$2:$E$25,0),FALSE)</f>
        <v>0.87102785961897167</v>
      </c>
      <c r="T36" s="19">
        <f>HLOOKUP(REG_TRA_DEMANDS!T$3,'BY-Demands'!$J$5:$AK$14,MATCH($E36,'BY-Demands'!$I$5:$I$14,0),FALSE)*HLOOKUP(REG_TRA_DEMANDS!$F36,DEMANDS!$G$2:$CK$25,MATCH($E36,DEMANDS!$E$2:$E$25,0),FALSE)/HLOOKUP(2018,DEMANDS!$G$2:$CK$25,MATCH($E36,DEMANDS!$E$2:$E$25,0),FALSE)</f>
        <v>3.5200969213154973</v>
      </c>
      <c r="U36" s="19">
        <f>HLOOKUP(REG_TRA_DEMANDS!U$3,'BY-Demands'!$J$5:$AK$14,MATCH($E36,'BY-Demands'!$I$5:$I$14,0),FALSE)*HLOOKUP(REG_TRA_DEMANDS!$F36,DEMANDS!$G$2:$CK$25,MATCH($E36,DEMANDS!$E$2:$E$25,0),FALSE)/HLOOKUP(2018,DEMANDS!$G$2:$CK$25,MATCH($E36,DEMANDS!$E$2:$E$25,0),FALSE)</f>
        <v>1.1521267758462677</v>
      </c>
      <c r="V36" s="19">
        <f>HLOOKUP(REG_TRA_DEMANDS!V$3,'BY-Demands'!$J$5:$AK$14,MATCH($E36,'BY-Demands'!$I$5:$I$14,0),FALSE)*HLOOKUP(REG_TRA_DEMANDS!$F36,DEMANDS!$G$2:$CK$25,MATCH($E36,DEMANDS!$E$2:$E$25,0),FALSE)/HLOOKUP(2018,DEMANDS!$G$2:$CK$25,MATCH($E36,DEMANDS!$E$2:$E$25,0),FALSE)</f>
        <v>1.2975912148573492</v>
      </c>
      <c r="W36" s="19">
        <f>HLOOKUP(REG_TRA_DEMANDS!W$3,'BY-Demands'!$J$5:$AK$14,MATCH($E36,'BY-Demands'!$I$5:$I$14,0),FALSE)*HLOOKUP(REG_TRA_DEMANDS!$F36,DEMANDS!$G$2:$CK$25,MATCH($E36,DEMANDS!$E$2:$E$25,0),FALSE)/HLOOKUP(2018,DEMANDS!$G$2:$CK$25,MATCH($E36,DEMANDS!$E$2:$E$25,0),FALSE)</f>
        <v>1.2585097346245819</v>
      </c>
      <c r="X36" s="19">
        <f>HLOOKUP(REG_TRA_DEMANDS!X$3,'BY-Demands'!$J$5:$AK$14,MATCH($E36,'BY-Demands'!$I$5:$I$14,0),FALSE)*HLOOKUP(REG_TRA_DEMANDS!$F36,DEMANDS!$G$2:$CK$25,MATCH($E36,DEMANDS!$E$2:$E$25,0),FALSE)/HLOOKUP(2018,DEMANDS!$G$2:$CK$25,MATCH($E36,DEMANDS!$E$2:$E$25,0),FALSE)</f>
        <v>0.79396486565910041</v>
      </c>
      <c r="Y36" s="19">
        <f>HLOOKUP(REG_TRA_DEMANDS!Y$3,'BY-Demands'!$J$5:$AK$14,MATCH($E36,'BY-Demands'!$I$5:$I$14,0),FALSE)*HLOOKUP(REG_TRA_DEMANDS!$F36,DEMANDS!$G$2:$CK$25,MATCH($E36,DEMANDS!$E$2:$E$25,0),FALSE)/HLOOKUP(2018,DEMANDS!$G$2:$CK$25,MATCH($E36,DEMANDS!$E$2:$E$25,0),FALSE)</f>
        <v>1.7776395514692096</v>
      </c>
      <c r="Z36" s="19">
        <f>HLOOKUP(REG_TRA_DEMANDS!Z$3,'BY-Demands'!$J$5:$AK$14,MATCH($E36,'BY-Demands'!$I$5:$I$14,0),FALSE)*HLOOKUP(REG_TRA_DEMANDS!$F36,DEMANDS!$G$2:$CK$25,MATCH($E36,DEMANDS!$E$2:$E$25,0),FALSE)/HLOOKUP(2018,DEMANDS!$G$2:$CK$25,MATCH($E36,DEMANDS!$E$2:$E$25,0),FALSE)</f>
        <v>0.23298136275182846</v>
      </c>
      <c r="AA36" s="19">
        <f>HLOOKUP(REG_TRA_DEMANDS!AA$3,'BY-Demands'!$J$5:$AK$14,MATCH($E36,'BY-Demands'!$I$5:$I$14,0),FALSE)*HLOOKUP(REG_TRA_DEMANDS!$F36,DEMANDS!$G$2:$CK$25,MATCH($E36,DEMANDS!$E$2:$E$25,0),FALSE)/HLOOKUP(2018,DEMANDS!$G$2:$CK$25,MATCH($E36,DEMANDS!$E$2:$E$25,0),FALSE)</f>
        <v>0.98451184753440613</v>
      </c>
      <c r="AB36" s="19">
        <f>HLOOKUP(REG_TRA_DEMANDS!AB$3,'BY-Demands'!$J$5:$AK$14,MATCH($E36,'BY-Demands'!$I$5:$I$14,0),FALSE)*HLOOKUP(REG_TRA_DEMANDS!$F36,DEMANDS!$G$2:$CK$25,MATCH($E36,DEMANDS!$E$2:$E$25,0),FALSE)/HLOOKUP(2018,DEMANDS!$G$2:$CK$25,MATCH($E36,DEMANDS!$E$2:$E$25,0),FALSE)</f>
        <v>0.53009153197296643</v>
      </c>
      <c r="AC36" s="19">
        <f>HLOOKUP(REG_TRA_DEMANDS!AC$3,'BY-Demands'!$J$5:$AK$14,MATCH($E36,'BY-Demands'!$I$5:$I$14,0),FALSE)*HLOOKUP(REG_TRA_DEMANDS!$F36,DEMANDS!$G$2:$CK$25,MATCH($E36,DEMANDS!$E$2:$E$25,0),FALSE)/HLOOKUP(2018,DEMANDS!$G$2:$CK$25,MATCH($E36,DEMANDS!$E$2:$E$25,0),FALSE)</f>
        <v>0.43244613787090669</v>
      </c>
      <c r="AD36" s="19">
        <f>HLOOKUP(REG_TRA_DEMANDS!AD$3,'BY-Demands'!$J$5:$AK$14,MATCH($E36,'BY-Demands'!$I$5:$I$14,0),FALSE)*HLOOKUP(REG_TRA_DEMANDS!$F36,DEMANDS!$G$2:$CK$25,MATCH($E36,DEMANDS!$E$2:$E$25,0),FALSE)/HLOOKUP(2018,DEMANDS!$G$2:$CK$25,MATCH($E36,DEMANDS!$E$2:$E$25,0),FALSE)</f>
        <v>0.46988388683787524</v>
      </c>
      <c r="AE36" s="19">
        <f>HLOOKUP(REG_TRA_DEMANDS!AE$3,'BY-Demands'!$J$5:$AK$14,MATCH($E36,'BY-Demands'!$I$5:$I$14,0),FALSE)*HLOOKUP(REG_TRA_DEMANDS!$F36,DEMANDS!$G$2:$CK$25,MATCH($E36,DEMANDS!$E$2:$E$25,0),FALSE)/HLOOKUP(2018,DEMANDS!$G$2:$CK$25,MATCH($E36,DEMANDS!$E$2:$E$25,0),FALSE)</f>
        <v>0.86536719799238881</v>
      </c>
      <c r="AF36" s="19">
        <f>HLOOKUP(REG_TRA_DEMANDS!AF$3,'BY-Demands'!$J$5:$AK$14,MATCH($E36,'BY-Demands'!$I$5:$I$14,0),FALSE)*HLOOKUP(REG_TRA_DEMANDS!$F36,DEMANDS!$G$2:$CK$25,MATCH($E36,DEMANDS!$E$2:$E$25,0),FALSE)/HLOOKUP(2018,DEMANDS!$G$2:$CK$25,MATCH($E36,DEMANDS!$E$2:$E$25,0),FALSE)</f>
        <v>0.47591914762880122</v>
      </c>
    </row>
    <row r="37" spans="4:32" ht="14.5">
      <c r="D37" t="s">
        <v>6</v>
      </c>
      <c r="E37" t="str">
        <f>DEMANDS!$E$18</f>
        <v>TRAPM</v>
      </c>
      <c r="F37">
        <v>2026</v>
      </c>
      <c r="G37" s="19">
        <f>HLOOKUP(REG_TRA_DEMANDS!G$3,'BY-Demands'!$J$5:$AK$14,MATCH($E37,'BY-Demands'!$I$5:$I$14,0),FALSE)*HLOOKUP(REG_TRA_DEMANDS!$F37,DEMANDS!$G$2:$CK$25,MATCH($E37,DEMANDS!$E$2:$E$25,0),FALSE)/HLOOKUP(2018,DEMANDS!$G$2:$CK$25,MATCH($E37,DEMANDS!$E$2:$E$25,0),FALSE)</f>
        <v>0.44104553946596631</v>
      </c>
      <c r="H37" s="19">
        <f>HLOOKUP(REG_TRA_DEMANDS!H$3,'BY-Demands'!$J$5:$AK$14,MATCH($E37,'BY-Demands'!$I$5:$I$14,0),FALSE)*HLOOKUP(REG_TRA_DEMANDS!$F37,DEMANDS!$G$2:$CK$25,MATCH($E37,DEMANDS!$E$2:$E$25,0),FALSE)/HLOOKUP(2018,DEMANDS!$G$2:$CK$25,MATCH($E37,DEMANDS!$E$2:$E$25,0),FALSE)</f>
        <v>7.7236707706145173</v>
      </c>
      <c r="I37" s="19">
        <f>HLOOKUP(REG_TRA_DEMANDS!I$3,'BY-Demands'!$J$5:$AK$14,MATCH($E37,'BY-Demands'!$I$5:$I$14,0),FALSE)*HLOOKUP(REG_TRA_DEMANDS!$F37,DEMANDS!$G$2:$CK$25,MATCH($E37,DEMANDS!$E$2:$E$25,0),FALSE)/HLOOKUP(2018,DEMANDS!$G$2:$CK$25,MATCH($E37,DEMANDS!$E$2:$E$25,0),FALSE)</f>
        <v>1.5727851315778842</v>
      </c>
      <c r="J37" s="19">
        <f>HLOOKUP(REG_TRA_DEMANDS!J$3,'BY-Demands'!$J$5:$AK$14,MATCH($E37,'BY-Demands'!$I$5:$I$14,0),FALSE)*HLOOKUP(REG_TRA_DEMANDS!$F37,DEMANDS!$G$2:$CK$25,MATCH($E37,DEMANDS!$E$2:$E$25,0),FALSE)/HLOOKUP(2018,DEMANDS!$G$2:$CK$25,MATCH($E37,DEMANDS!$E$2:$E$25,0),FALSE)</f>
        <v>0.7469462147576772</v>
      </c>
      <c r="K37" s="19">
        <f>HLOOKUP(REG_TRA_DEMANDS!K$3,'BY-Demands'!$J$5:$AK$14,MATCH($E37,'BY-Demands'!$I$5:$I$14,0),FALSE)*HLOOKUP(REG_TRA_DEMANDS!$F37,DEMANDS!$G$2:$CK$25,MATCH($E37,DEMANDS!$E$2:$E$25,0),FALSE)/HLOOKUP(2018,DEMANDS!$G$2:$CK$25,MATCH($E37,DEMANDS!$E$2:$E$25,0),FALSE)</f>
        <v>0.56197630891946859</v>
      </c>
      <c r="L37" s="19">
        <f>HLOOKUP(REG_TRA_DEMANDS!L$3,'BY-Demands'!$J$5:$AK$14,MATCH($E37,'BY-Demands'!$I$5:$I$14,0),FALSE)*HLOOKUP(REG_TRA_DEMANDS!$F37,DEMANDS!$G$2:$CK$25,MATCH($E37,DEMANDS!$E$2:$E$25,0),FALSE)/HLOOKUP(2018,DEMANDS!$G$2:$CK$25,MATCH($E37,DEMANDS!$E$2:$E$25,0),FALSE)</f>
        <v>0.28952730005982547</v>
      </c>
      <c r="M37" s="19">
        <f>HLOOKUP(REG_TRA_DEMANDS!M$3,'BY-Demands'!$J$5:$AK$14,MATCH($E37,'BY-Demands'!$I$5:$I$14,0),FALSE)*HLOOKUP(REG_TRA_DEMANDS!$F37,DEMANDS!$G$2:$CK$25,MATCH($E37,DEMANDS!$E$2:$E$25,0),FALSE)/HLOOKUP(2018,DEMANDS!$G$2:$CK$25,MATCH($E37,DEMANDS!$E$2:$E$25,0),FALSE)</f>
        <v>0.77985689749127696</v>
      </c>
      <c r="N37" s="19">
        <f>HLOOKUP(REG_TRA_DEMANDS!N$3,'BY-Demands'!$J$5:$AK$14,MATCH($E37,'BY-Demands'!$I$5:$I$14,0),FALSE)*HLOOKUP(REG_TRA_DEMANDS!$F37,DEMANDS!$G$2:$CK$25,MATCH($E37,DEMANDS!$E$2:$E$25,0),FALSE)/HLOOKUP(2018,DEMANDS!$G$2:$CK$25,MATCH($E37,DEMANDS!$E$2:$E$25,0),FALSE)</f>
        <v>1.3539207173639445</v>
      </c>
      <c r="O37" s="19">
        <f>HLOOKUP(REG_TRA_DEMANDS!O$3,'BY-Demands'!$J$5:$AK$14,MATCH($E37,'BY-Demands'!$I$5:$I$14,0),FALSE)*HLOOKUP(REG_TRA_DEMANDS!$F37,DEMANDS!$G$2:$CK$25,MATCH($E37,DEMANDS!$E$2:$E$25,0),FALSE)/HLOOKUP(2018,DEMANDS!$G$2:$CK$25,MATCH($E37,DEMANDS!$E$2:$E$25,0),FALSE)</f>
        <v>0.57377903524296425</v>
      </c>
      <c r="P37" s="19">
        <f>HLOOKUP(REG_TRA_DEMANDS!P$3,'BY-Demands'!$J$5:$AK$14,MATCH($E37,'BY-Demands'!$I$5:$I$14,0),FALSE)*HLOOKUP(REG_TRA_DEMANDS!$F37,DEMANDS!$G$2:$CK$25,MATCH($E37,DEMANDS!$E$2:$E$25,0),FALSE)/HLOOKUP(2018,DEMANDS!$G$2:$CK$25,MATCH($E37,DEMANDS!$E$2:$E$25,0),FALSE)</f>
        <v>0.64770897037239428</v>
      </c>
      <c r="Q37" s="19">
        <f>HLOOKUP(REG_TRA_DEMANDS!Q$3,'BY-Demands'!$J$5:$AK$14,MATCH($E37,'BY-Demands'!$I$5:$I$14,0),FALSE)*HLOOKUP(REG_TRA_DEMANDS!$F37,DEMANDS!$G$2:$CK$25,MATCH($E37,DEMANDS!$E$2:$E$25,0),FALSE)/HLOOKUP(2018,DEMANDS!$G$2:$CK$25,MATCH($E37,DEMANDS!$E$2:$E$25,0),FALSE)</f>
        <v>1.1487288038357264</v>
      </c>
      <c r="R37" s="19">
        <f>HLOOKUP(REG_TRA_DEMANDS!R$3,'BY-Demands'!$J$5:$AK$14,MATCH($E37,'BY-Demands'!$I$5:$I$14,0),FALSE)*HLOOKUP(REG_TRA_DEMANDS!$F37,DEMANDS!$G$2:$CK$25,MATCH($E37,DEMANDS!$E$2:$E$25,0),FALSE)/HLOOKUP(2018,DEMANDS!$G$2:$CK$25,MATCH($E37,DEMANDS!$E$2:$E$25,0),FALSE)</f>
        <v>0.97479798431973863</v>
      </c>
      <c r="S37" s="19">
        <f>HLOOKUP(REG_TRA_DEMANDS!S$3,'BY-Demands'!$J$5:$AK$14,MATCH($E37,'BY-Demands'!$I$5:$I$14,0),FALSE)*HLOOKUP(REG_TRA_DEMANDS!$F37,DEMANDS!$G$2:$CK$25,MATCH($E37,DEMANDS!$E$2:$E$25,0),FALSE)/HLOOKUP(2018,DEMANDS!$G$2:$CK$25,MATCH($E37,DEMANDS!$E$2:$E$25,0),FALSE)</f>
        <v>0.88409327751325606</v>
      </c>
      <c r="T37" s="19">
        <f>HLOOKUP(REG_TRA_DEMANDS!T$3,'BY-Demands'!$J$5:$AK$14,MATCH($E37,'BY-Demands'!$I$5:$I$14,0),FALSE)*HLOOKUP(REG_TRA_DEMANDS!$F37,DEMANDS!$G$2:$CK$25,MATCH($E37,DEMANDS!$E$2:$E$25,0),FALSE)/HLOOKUP(2018,DEMANDS!$G$2:$CK$25,MATCH($E37,DEMANDS!$E$2:$E$25,0),FALSE)</f>
        <v>3.5728983751352295</v>
      </c>
      <c r="U37" s="19">
        <f>HLOOKUP(REG_TRA_DEMANDS!U$3,'BY-Demands'!$J$5:$AK$14,MATCH($E37,'BY-Demands'!$I$5:$I$14,0),FALSE)*HLOOKUP(REG_TRA_DEMANDS!$F37,DEMANDS!$G$2:$CK$25,MATCH($E37,DEMANDS!$E$2:$E$25,0),FALSE)/HLOOKUP(2018,DEMANDS!$G$2:$CK$25,MATCH($E37,DEMANDS!$E$2:$E$25,0),FALSE)</f>
        <v>1.1694086774839616</v>
      </c>
      <c r="V37" s="19">
        <f>HLOOKUP(REG_TRA_DEMANDS!V$3,'BY-Demands'!$J$5:$AK$14,MATCH($E37,'BY-Demands'!$I$5:$I$14,0),FALSE)*HLOOKUP(REG_TRA_DEMANDS!$F37,DEMANDS!$G$2:$CK$25,MATCH($E37,DEMANDS!$E$2:$E$25,0),FALSE)/HLOOKUP(2018,DEMANDS!$G$2:$CK$25,MATCH($E37,DEMANDS!$E$2:$E$25,0),FALSE)</f>
        <v>1.3170550830802092</v>
      </c>
      <c r="W37" s="19">
        <f>HLOOKUP(REG_TRA_DEMANDS!W$3,'BY-Demands'!$J$5:$AK$14,MATCH($E37,'BY-Demands'!$I$5:$I$14,0),FALSE)*HLOOKUP(REG_TRA_DEMANDS!$F37,DEMANDS!$G$2:$CK$25,MATCH($E37,DEMANDS!$E$2:$E$25,0),FALSE)/HLOOKUP(2018,DEMANDS!$G$2:$CK$25,MATCH($E37,DEMANDS!$E$2:$E$25,0),FALSE)</f>
        <v>1.2773873806439506</v>
      </c>
      <c r="X37" s="19">
        <f>HLOOKUP(REG_TRA_DEMANDS!X$3,'BY-Demands'!$J$5:$AK$14,MATCH($E37,'BY-Demands'!$I$5:$I$14,0),FALSE)*HLOOKUP(REG_TRA_DEMANDS!$F37,DEMANDS!$G$2:$CK$25,MATCH($E37,DEMANDS!$E$2:$E$25,0),FALSE)/HLOOKUP(2018,DEMANDS!$G$2:$CK$25,MATCH($E37,DEMANDS!$E$2:$E$25,0),FALSE)</f>
        <v>0.80587433864398683</v>
      </c>
      <c r="Y37" s="19">
        <f>HLOOKUP(REG_TRA_DEMANDS!Y$3,'BY-Demands'!$J$5:$AK$14,MATCH($E37,'BY-Demands'!$I$5:$I$14,0),FALSE)*HLOOKUP(REG_TRA_DEMANDS!$F37,DEMANDS!$G$2:$CK$25,MATCH($E37,DEMANDS!$E$2:$E$25,0),FALSE)/HLOOKUP(2018,DEMANDS!$G$2:$CK$25,MATCH($E37,DEMANDS!$E$2:$E$25,0),FALSE)</f>
        <v>1.8043041447412476</v>
      </c>
      <c r="Z37" s="19">
        <f>HLOOKUP(REG_TRA_DEMANDS!Z$3,'BY-Demands'!$J$5:$AK$14,MATCH($E37,'BY-Demands'!$I$5:$I$14,0),FALSE)*HLOOKUP(REG_TRA_DEMANDS!$F37,DEMANDS!$G$2:$CK$25,MATCH($E37,DEMANDS!$E$2:$E$25,0),FALSE)/HLOOKUP(2018,DEMANDS!$G$2:$CK$25,MATCH($E37,DEMANDS!$E$2:$E$25,0),FALSE)</f>
        <v>0.23647608319310587</v>
      </c>
      <c r="AA37" s="19">
        <f>HLOOKUP(REG_TRA_DEMANDS!AA$3,'BY-Demands'!$J$5:$AK$14,MATCH($E37,'BY-Demands'!$I$5:$I$14,0),FALSE)*HLOOKUP(REG_TRA_DEMANDS!$F37,DEMANDS!$G$2:$CK$25,MATCH($E37,DEMANDS!$E$2:$E$25,0),FALSE)/HLOOKUP(2018,DEMANDS!$G$2:$CK$25,MATCH($E37,DEMANDS!$E$2:$E$25,0),FALSE)</f>
        <v>0.99927952524742203</v>
      </c>
      <c r="AB37" s="19">
        <f>HLOOKUP(REG_TRA_DEMANDS!AB$3,'BY-Demands'!$J$5:$AK$14,MATCH($E37,'BY-Demands'!$I$5:$I$14,0),FALSE)*HLOOKUP(REG_TRA_DEMANDS!$F37,DEMANDS!$G$2:$CK$25,MATCH($E37,DEMANDS!$E$2:$E$25,0),FALSE)/HLOOKUP(2018,DEMANDS!$G$2:$CK$25,MATCH($E37,DEMANDS!$E$2:$E$25,0),FALSE)</f>
        <v>0.53804290495256091</v>
      </c>
      <c r="AC37" s="19">
        <f>HLOOKUP(REG_TRA_DEMANDS!AC$3,'BY-Demands'!$J$5:$AK$14,MATCH($E37,'BY-Demands'!$I$5:$I$14,0),FALSE)*HLOOKUP(REG_TRA_DEMANDS!$F37,DEMANDS!$G$2:$CK$25,MATCH($E37,DEMANDS!$E$2:$E$25,0),FALSE)/HLOOKUP(2018,DEMANDS!$G$2:$CK$25,MATCH($E37,DEMANDS!$E$2:$E$25,0),FALSE)</f>
        <v>0.43893282993897026</v>
      </c>
      <c r="AD37" s="19">
        <f>HLOOKUP(REG_TRA_DEMANDS!AD$3,'BY-Demands'!$J$5:$AK$14,MATCH($E37,'BY-Demands'!$I$5:$I$14,0),FALSE)*HLOOKUP(REG_TRA_DEMANDS!$F37,DEMANDS!$G$2:$CK$25,MATCH($E37,DEMANDS!$E$2:$E$25,0),FALSE)/HLOOKUP(2018,DEMANDS!$G$2:$CK$25,MATCH($E37,DEMANDS!$E$2:$E$25,0),FALSE)</f>
        <v>0.4769321451404433</v>
      </c>
      <c r="AE37" s="19">
        <f>HLOOKUP(REG_TRA_DEMANDS!AE$3,'BY-Demands'!$J$5:$AK$14,MATCH($E37,'BY-Demands'!$I$5:$I$14,0),FALSE)*HLOOKUP(REG_TRA_DEMANDS!$F37,DEMANDS!$G$2:$CK$25,MATCH($E37,DEMANDS!$E$2:$E$25,0),FALSE)/HLOOKUP(2018,DEMANDS!$G$2:$CK$25,MATCH($E37,DEMANDS!$E$2:$E$25,0),FALSE)</f>
        <v>0.87834770596227463</v>
      </c>
      <c r="AF37" s="19">
        <f>HLOOKUP(REG_TRA_DEMANDS!AF$3,'BY-Demands'!$J$5:$AK$14,MATCH($E37,'BY-Demands'!$I$5:$I$14,0),FALSE)*HLOOKUP(REG_TRA_DEMANDS!$F37,DEMANDS!$G$2:$CK$25,MATCH($E37,DEMANDS!$E$2:$E$25,0),FALSE)/HLOOKUP(2018,DEMANDS!$G$2:$CK$25,MATCH($E37,DEMANDS!$E$2:$E$25,0),FALSE)</f>
        <v>0.48305793484323323</v>
      </c>
    </row>
    <row r="38" spans="4:32" ht="14.5">
      <c r="D38" t="s">
        <v>6</v>
      </c>
      <c r="E38" t="str">
        <f>DEMANDS!$E$18</f>
        <v>TRAPM</v>
      </c>
      <c r="F38">
        <v>2027</v>
      </c>
      <c r="G38" s="19">
        <f>HLOOKUP(REG_TRA_DEMANDS!G$3,'BY-Demands'!$J$5:$AK$14,MATCH($E38,'BY-Demands'!$I$5:$I$14,0),FALSE)*HLOOKUP(REG_TRA_DEMANDS!$F38,DEMANDS!$G$2:$CK$25,MATCH($E38,DEMANDS!$E$2:$E$25,0),FALSE)/HLOOKUP(2018,DEMANDS!$G$2:$CK$25,MATCH($E38,DEMANDS!$E$2:$E$25,0),FALSE)</f>
        <v>0.44766122255795571</v>
      </c>
      <c r="H38" s="19">
        <f>HLOOKUP(REG_TRA_DEMANDS!H$3,'BY-Demands'!$J$5:$AK$14,MATCH($E38,'BY-Demands'!$I$5:$I$14,0),FALSE)*HLOOKUP(REG_TRA_DEMANDS!$F38,DEMANDS!$G$2:$CK$25,MATCH($E38,DEMANDS!$E$2:$E$25,0),FALSE)/HLOOKUP(2018,DEMANDS!$G$2:$CK$25,MATCH($E38,DEMANDS!$E$2:$E$25,0),FALSE)</f>
        <v>7.8395258321737336</v>
      </c>
      <c r="I38" s="19">
        <f>HLOOKUP(REG_TRA_DEMANDS!I$3,'BY-Demands'!$J$5:$AK$14,MATCH($E38,'BY-Demands'!$I$5:$I$14,0),FALSE)*HLOOKUP(REG_TRA_DEMANDS!$F38,DEMANDS!$G$2:$CK$25,MATCH($E38,DEMANDS!$E$2:$E$25,0),FALSE)/HLOOKUP(2018,DEMANDS!$G$2:$CK$25,MATCH($E38,DEMANDS!$E$2:$E$25,0),FALSE)</f>
        <v>1.5963769085515525</v>
      </c>
      <c r="J38" s="19">
        <f>HLOOKUP(REG_TRA_DEMANDS!J$3,'BY-Demands'!$J$5:$AK$14,MATCH($E38,'BY-Demands'!$I$5:$I$14,0),FALSE)*HLOOKUP(REG_TRA_DEMANDS!$F38,DEMANDS!$G$2:$CK$25,MATCH($E38,DEMANDS!$E$2:$E$25,0),FALSE)/HLOOKUP(2018,DEMANDS!$G$2:$CK$25,MATCH($E38,DEMANDS!$E$2:$E$25,0),FALSE)</f>
        <v>0.75815040797904221</v>
      </c>
      <c r="K38" s="19">
        <f>HLOOKUP(REG_TRA_DEMANDS!K$3,'BY-Demands'!$J$5:$AK$14,MATCH($E38,'BY-Demands'!$I$5:$I$14,0),FALSE)*HLOOKUP(REG_TRA_DEMANDS!$F38,DEMANDS!$G$2:$CK$25,MATCH($E38,DEMANDS!$E$2:$E$25,0),FALSE)/HLOOKUP(2018,DEMANDS!$G$2:$CK$25,MATCH($E38,DEMANDS!$E$2:$E$25,0),FALSE)</f>
        <v>0.57040595355326063</v>
      </c>
      <c r="L38" s="19">
        <f>HLOOKUP(REG_TRA_DEMANDS!L$3,'BY-Demands'!$J$5:$AK$14,MATCH($E38,'BY-Demands'!$I$5:$I$14,0),FALSE)*HLOOKUP(REG_TRA_DEMANDS!$F38,DEMANDS!$G$2:$CK$25,MATCH($E38,DEMANDS!$E$2:$E$25,0),FALSE)/HLOOKUP(2018,DEMANDS!$G$2:$CK$25,MATCH($E38,DEMANDS!$E$2:$E$25,0),FALSE)</f>
        <v>0.29387020956072279</v>
      </c>
      <c r="M38" s="19">
        <f>HLOOKUP(REG_TRA_DEMANDS!M$3,'BY-Demands'!$J$5:$AK$14,MATCH($E38,'BY-Demands'!$I$5:$I$14,0),FALSE)*HLOOKUP(REG_TRA_DEMANDS!$F38,DEMANDS!$G$2:$CK$25,MATCH($E38,DEMANDS!$E$2:$E$25,0),FALSE)/HLOOKUP(2018,DEMANDS!$G$2:$CK$25,MATCH($E38,DEMANDS!$E$2:$E$25,0),FALSE)</f>
        <v>0.79155475095364591</v>
      </c>
      <c r="N38" s="19">
        <f>HLOOKUP(REG_TRA_DEMANDS!N$3,'BY-Demands'!$J$5:$AK$14,MATCH($E38,'BY-Demands'!$I$5:$I$14,0),FALSE)*HLOOKUP(REG_TRA_DEMANDS!$F38,DEMANDS!$G$2:$CK$25,MATCH($E38,DEMANDS!$E$2:$E$25,0),FALSE)/HLOOKUP(2018,DEMANDS!$G$2:$CK$25,MATCH($E38,DEMANDS!$E$2:$E$25,0),FALSE)</f>
        <v>1.3742295281244037</v>
      </c>
      <c r="O38" s="19">
        <f>HLOOKUP(REG_TRA_DEMANDS!O$3,'BY-Demands'!$J$5:$AK$14,MATCH($E38,'BY-Demands'!$I$5:$I$14,0),FALSE)*HLOOKUP(REG_TRA_DEMANDS!$F38,DEMANDS!$G$2:$CK$25,MATCH($E38,DEMANDS!$E$2:$E$25,0),FALSE)/HLOOKUP(2018,DEMANDS!$G$2:$CK$25,MATCH($E38,DEMANDS!$E$2:$E$25,0),FALSE)</f>
        <v>0.58238572077160855</v>
      </c>
      <c r="P38" s="19">
        <f>HLOOKUP(REG_TRA_DEMANDS!P$3,'BY-Demands'!$J$5:$AK$14,MATCH($E38,'BY-Demands'!$I$5:$I$14,0),FALSE)*HLOOKUP(REG_TRA_DEMANDS!$F38,DEMANDS!$G$2:$CK$25,MATCH($E38,DEMANDS!$E$2:$E$25,0),FALSE)/HLOOKUP(2018,DEMANDS!$G$2:$CK$25,MATCH($E38,DEMANDS!$E$2:$E$25,0),FALSE)</f>
        <v>0.65742460492798005</v>
      </c>
      <c r="Q38" s="19">
        <f>HLOOKUP(REG_TRA_DEMANDS!Q$3,'BY-Demands'!$J$5:$AK$14,MATCH($E38,'BY-Demands'!$I$5:$I$14,0),FALSE)*HLOOKUP(REG_TRA_DEMANDS!$F38,DEMANDS!$G$2:$CK$25,MATCH($E38,DEMANDS!$E$2:$E$25,0),FALSE)/HLOOKUP(2018,DEMANDS!$G$2:$CK$25,MATCH($E38,DEMANDS!$E$2:$E$25,0),FALSE)</f>
        <v>1.1659597358932619</v>
      </c>
      <c r="R38" s="19">
        <f>HLOOKUP(REG_TRA_DEMANDS!R$3,'BY-Demands'!$J$5:$AK$14,MATCH($E38,'BY-Demands'!$I$5:$I$14,0),FALSE)*HLOOKUP(REG_TRA_DEMANDS!$F38,DEMANDS!$G$2:$CK$25,MATCH($E38,DEMANDS!$E$2:$E$25,0),FALSE)/HLOOKUP(2018,DEMANDS!$G$2:$CK$25,MATCH($E38,DEMANDS!$E$2:$E$25,0),FALSE)</f>
        <v>0.98941995408453465</v>
      </c>
      <c r="S38" s="19">
        <f>HLOOKUP(REG_TRA_DEMANDS!S$3,'BY-Demands'!$J$5:$AK$14,MATCH($E38,'BY-Demands'!$I$5:$I$14,0),FALSE)*HLOOKUP(REG_TRA_DEMANDS!$F38,DEMANDS!$G$2:$CK$25,MATCH($E38,DEMANDS!$E$2:$E$25,0),FALSE)/HLOOKUP(2018,DEMANDS!$G$2:$CK$25,MATCH($E38,DEMANDS!$E$2:$E$25,0),FALSE)</f>
        <v>0.89735467667595481</v>
      </c>
      <c r="T38" s="19">
        <f>HLOOKUP(REG_TRA_DEMANDS!T$3,'BY-Demands'!$J$5:$AK$14,MATCH($E38,'BY-Demands'!$I$5:$I$14,0),FALSE)*HLOOKUP(REG_TRA_DEMANDS!$F38,DEMANDS!$G$2:$CK$25,MATCH($E38,DEMANDS!$E$2:$E$25,0),FALSE)/HLOOKUP(2018,DEMANDS!$G$2:$CK$25,MATCH($E38,DEMANDS!$E$2:$E$25,0),FALSE)</f>
        <v>3.6264918507622572</v>
      </c>
      <c r="U38" s="19">
        <f>HLOOKUP(REG_TRA_DEMANDS!U$3,'BY-Demands'!$J$5:$AK$14,MATCH($E38,'BY-Demands'!$I$5:$I$14,0),FALSE)*HLOOKUP(REG_TRA_DEMANDS!$F38,DEMANDS!$G$2:$CK$25,MATCH($E38,DEMANDS!$E$2:$E$25,0),FALSE)/HLOOKUP(2018,DEMANDS!$G$2:$CK$25,MATCH($E38,DEMANDS!$E$2:$E$25,0),FALSE)</f>
        <v>1.186949807646221</v>
      </c>
      <c r="V38" s="19">
        <f>HLOOKUP(REG_TRA_DEMANDS!V$3,'BY-Demands'!$J$5:$AK$14,MATCH($E38,'BY-Demands'!$I$5:$I$14,0),FALSE)*HLOOKUP(REG_TRA_DEMANDS!$F38,DEMANDS!$G$2:$CK$25,MATCH($E38,DEMANDS!$E$2:$E$25,0),FALSE)/HLOOKUP(2018,DEMANDS!$G$2:$CK$25,MATCH($E38,DEMANDS!$E$2:$E$25,0),FALSE)</f>
        <v>1.3368109093264122</v>
      </c>
      <c r="W38" s="19">
        <f>HLOOKUP(REG_TRA_DEMANDS!W$3,'BY-Demands'!$J$5:$AK$14,MATCH($E38,'BY-Demands'!$I$5:$I$14,0),FALSE)*HLOOKUP(REG_TRA_DEMANDS!$F38,DEMANDS!$G$2:$CK$25,MATCH($E38,DEMANDS!$E$2:$E$25,0),FALSE)/HLOOKUP(2018,DEMANDS!$G$2:$CK$25,MATCH($E38,DEMANDS!$E$2:$E$25,0),FALSE)</f>
        <v>1.2965481913536099</v>
      </c>
      <c r="X38" s="19">
        <f>HLOOKUP(REG_TRA_DEMANDS!X$3,'BY-Demands'!$J$5:$AK$14,MATCH($E38,'BY-Demands'!$I$5:$I$14,0),FALSE)*HLOOKUP(REG_TRA_DEMANDS!$F38,DEMANDS!$G$2:$CK$25,MATCH($E38,DEMANDS!$E$2:$E$25,0),FALSE)/HLOOKUP(2018,DEMANDS!$G$2:$CK$25,MATCH($E38,DEMANDS!$E$2:$E$25,0),FALSE)</f>
        <v>0.81796245372364651</v>
      </c>
      <c r="Y38" s="19">
        <f>HLOOKUP(REG_TRA_DEMANDS!Y$3,'BY-Demands'!$J$5:$AK$14,MATCH($E38,'BY-Demands'!$I$5:$I$14,0),FALSE)*HLOOKUP(REG_TRA_DEMANDS!$F38,DEMANDS!$G$2:$CK$25,MATCH($E38,DEMANDS!$E$2:$E$25,0),FALSE)/HLOOKUP(2018,DEMANDS!$G$2:$CK$25,MATCH($E38,DEMANDS!$E$2:$E$25,0),FALSE)</f>
        <v>1.8313687069123661</v>
      </c>
      <c r="Z38" s="19">
        <f>HLOOKUP(REG_TRA_DEMANDS!Z$3,'BY-Demands'!$J$5:$AK$14,MATCH($E38,'BY-Demands'!$I$5:$I$14,0),FALSE)*HLOOKUP(REG_TRA_DEMANDS!$F38,DEMANDS!$G$2:$CK$25,MATCH($E38,DEMANDS!$E$2:$E$25,0),FALSE)/HLOOKUP(2018,DEMANDS!$G$2:$CK$25,MATCH($E38,DEMANDS!$E$2:$E$25,0),FALSE)</f>
        <v>0.24002322444100241</v>
      </c>
      <c r="AA38" s="19">
        <f>HLOOKUP(REG_TRA_DEMANDS!AA$3,'BY-Demands'!$J$5:$AK$14,MATCH($E38,'BY-Demands'!$I$5:$I$14,0),FALSE)*HLOOKUP(REG_TRA_DEMANDS!$F38,DEMANDS!$G$2:$CK$25,MATCH($E38,DEMANDS!$E$2:$E$25,0),FALSE)/HLOOKUP(2018,DEMANDS!$G$2:$CK$25,MATCH($E38,DEMANDS!$E$2:$E$25,0),FALSE)</f>
        <v>1.0142687181261334</v>
      </c>
      <c r="AB38" s="19">
        <f>HLOOKUP(REG_TRA_DEMANDS!AB$3,'BY-Demands'!$J$5:$AK$14,MATCH($E38,'BY-Demands'!$I$5:$I$14,0),FALSE)*HLOOKUP(REG_TRA_DEMANDS!$F38,DEMANDS!$G$2:$CK$25,MATCH($E38,DEMANDS!$E$2:$E$25,0),FALSE)/HLOOKUP(2018,DEMANDS!$G$2:$CK$25,MATCH($E38,DEMANDS!$E$2:$E$25,0),FALSE)</f>
        <v>0.54611354852684924</v>
      </c>
      <c r="AC38" s="19">
        <f>HLOOKUP(REG_TRA_DEMANDS!AC$3,'BY-Demands'!$J$5:$AK$14,MATCH($E38,'BY-Demands'!$I$5:$I$14,0),FALSE)*HLOOKUP(REG_TRA_DEMANDS!$F38,DEMANDS!$G$2:$CK$25,MATCH($E38,DEMANDS!$E$2:$E$25,0),FALSE)/HLOOKUP(2018,DEMANDS!$G$2:$CK$25,MATCH($E38,DEMANDS!$E$2:$E$25,0),FALSE)</f>
        <v>0.44551682238805479</v>
      </c>
      <c r="AD38" s="19">
        <f>HLOOKUP(REG_TRA_DEMANDS!AD$3,'BY-Demands'!$J$5:$AK$14,MATCH($E38,'BY-Demands'!$I$5:$I$14,0),FALSE)*HLOOKUP(REG_TRA_DEMANDS!$F38,DEMANDS!$G$2:$CK$25,MATCH($E38,DEMANDS!$E$2:$E$25,0),FALSE)/HLOOKUP(2018,DEMANDS!$G$2:$CK$25,MATCH($E38,DEMANDS!$E$2:$E$25,0),FALSE)</f>
        <v>0.48408612731754991</v>
      </c>
      <c r="AE38" s="19">
        <f>HLOOKUP(REG_TRA_DEMANDS!AE$3,'BY-Demands'!$J$5:$AK$14,MATCH($E38,'BY-Demands'!$I$5:$I$14,0),FALSE)*HLOOKUP(REG_TRA_DEMANDS!$F38,DEMANDS!$G$2:$CK$25,MATCH($E38,DEMANDS!$E$2:$E$25,0),FALSE)/HLOOKUP(2018,DEMANDS!$G$2:$CK$25,MATCH($E38,DEMANDS!$E$2:$E$25,0),FALSE)</f>
        <v>0.89152292155170854</v>
      </c>
      <c r="AF38" s="19">
        <f>HLOOKUP(REG_TRA_DEMANDS!AF$3,'BY-Demands'!$J$5:$AK$14,MATCH($E38,'BY-Demands'!$I$5:$I$14,0),FALSE)*HLOOKUP(REG_TRA_DEMANDS!$F38,DEMANDS!$G$2:$CK$25,MATCH($E38,DEMANDS!$E$2:$E$25,0),FALSE)/HLOOKUP(2018,DEMANDS!$G$2:$CK$25,MATCH($E38,DEMANDS!$E$2:$E$25,0),FALSE)</f>
        <v>0.49030380386588163</v>
      </c>
    </row>
    <row r="39" spans="4:32" ht="14.5">
      <c r="D39" t="s">
        <v>6</v>
      </c>
      <c r="E39" t="str">
        <f>DEMANDS!$E$18</f>
        <v>TRAPM</v>
      </c>
      <c r="F39">
        <v>2028</v>
      </c>
      <c r="G39" s="19">
        <f>HLOOKUP(REG_TRA_DEMANDS!G$3,'BY-Demands'!$J$5:$AK$14,MATCH($E39,'BY-Demands'!$I$5:$I$14,0),FALSE)*HLOOKUP(REG_TRA_DEMANDS!$F39,DEMANDS!$G$2:$CK$25,MATCH($E39,DEMANDS!$E$2:$E$25,0),FALSE)/HLOOKUP(2018,DEMANDS!$G$2:$CK$25,MATCH($E39,DEMANDS!$E$2:$E$25,0),FALSE)</f>
        <v>0.45437614089632505</v>
      </c>
      <c r="H39" s="19">
        <f>HLOOKUP(REG_TRA_DEMANDS!H$3,'BY-Demands'!$J$5:$AK$14,MATCH($E39,'BY-Demands'!$I$5:$I$14,0),FALSE)*HLOOKUP(REG_TRA_DEMANDS!$F39,DEMANDS!$G$2:$CK$25,MATCH($E39,DEMANDS!$E$2:$E$25,0),FALSE)/HLOOKUP(2018,DEMANDS!$G$2:$CK$25,MATCH($E39,DEMANDS!$E$2:$E$25,0),FALSE)</f>
        <v>7.9571187196563393</v>
      </c>
      <c r="I39" s="19">
        <f>HLOOKUP(REG_TRA_DEMANDS!I$3,'BY-Demands'!$J$5:$AK$14,MATCH($E39,'BY-Demands'!$I$5:$I$14,0),FALSE)*HLOOKUP(REG_TRA_DEMANDS!$F39,DEMANDS!$G$2:$CK$25,MATCH($E39,DEMANDS!$E$2:$E$25,0),FALSE)/HLOOKUP(2018,DEMANDS!$G$2:$CK$25,MATCH($E39,DEMANDS!$E$2:$E$25,0),FALSE)</f>
        <v>1.6203225621798256</v>
      </c>
      <c r="J39" s="19">
        <f>HLOOKUP(REG_TRA_DEMANDS!J$3,'BY-Demands'!$J$5:$AK$14,MATCH($E39,'BY-Demands'!$I$5:$I$14,0),FALSE)*HLOOKUP(REG_TRA_DEMANDS!$F39,DEMANDS!$G$2:$CK$25,MATCH($E39,DEMANDS!$E$2:$E$25,0),FALSE)/HLOOKUP(2018,DEMANDS!$G$2:$CK$25,MATCH($E39,DEMANDS!$E$2:$E$25,0),FALSE)</f>
        <v>0.76952266409872772</v>
      </c>
      <c r="K39" s="19">
        <f>HLOOKUP(REG_TRA_DEMANDS!K$3,'BY-Demands'!$J$5:$AK$14,MATCH($E39,'BY-Demands'!$I$5:$I$14,0),FALSE)*HLOOKUP(REG_TRA_DEMANDS!$F39,DEMANDS!$G$2:$CK$25,MATCH($E39,DEMANDS!$E$2:$E$25,0),FALSE)/HLOOKUP(2018,DEMANDS!$G$2:$CK$25,MATCH($E39,DEMANDS!$E$2:$E$25,0),FALSE)</f>
        <v>0.5789620428565595</v>
      </c>
      <c r="L39" s="19">
        <f>HLOOKUP(REG_TRA_DEMANDS!L$3,'BY-Demands'!$J$5:$AK$14,MATCH($E39,'BY-Demands'!$I$5:$I$14,0),FALSE)*HLOOKUP(REG_TRA_DEMANDS!$F39,DEMANDS!$G$2:$CK$25,MATCH($E39,DEMANDS!$E$2:$E$25,0),FALSE)/HLOOKUP(2018,DEMANDS!$G$2:$CK$25,MATCH($E39,DEMANDS!$E$2:$E$25,0),FALSE)</f>
        <v>0.2982782627041336</v>
      </c>
      <c r="M39" s="19">
        <f>HLOOKUP(REG_TRA_DEMANDS!M$3,'BY-Demands'!$J$5:$AK$14,MATCH($E39,'BY-Demands'!$I$5:$I$14,0),FALSE)*HLOOKUP(REG_TRA_DEMANDS!$F39,DEMANDS!$G$2:$CK$25,MATCH($E39,DEMANDS!$E$2:$E$25,0),FALSE)/HLOOKUP(2018,DEMANDS!$G$2:$CK$25,MATCH($E39,DEMANDS!$E$2:$E$25,0),FALSE)</f>
        <v>0.80342807221795054</v>
      </c>
      <c r="N39" s="19">
        <f>HLOOKUP(REG_TRA_DEMANDS!N$3,'BY-Demands'!$J$5:$AK$14,MATCH($E39,'BY-Demands'!$I$5:$I$14,0),FALSE)*HLOOKUP(REG_TRA_DEMANDS!$F39,DEMANDS!$G$2:$CK$25,MATCH($E39,DEMANDS!$E$2:$E$25,0),FALSE)/HLOOKUP(2018,DEMANDS!$G$2:$CK$25,MATCH($E39,DEMANDS!$E$2:$E$25,0),FALSE)</f>
        <v>1.3948429710462695</v>
      </c>
      <c r="O39" s="19">
        <f>HLOOKUP(REG_TRA_DEMANDS!O$3,'BY-Demands'!$J$5:$AK$14,MATCH($E39,'BY-Demands'!$I$5:$I$14,0),FALSE)*HLOOKUP(REG_TRA_DEMANDS!$F39,DEMANDS!$G$2:$CK$25,MATCH($E39,DEMANDS!$E$2:$E$25,0),FALSE)/HLOOKUP(2018,DEMANDS!$G$2:$CK$25,MATCH($E39,DEMANDS!$E$2:$E$25,0),FALSE)</f>
        <v>0.59112150658318274</v>
      </c>
      <c r="P39" s="19">
        <f>HLOOKUP(REG_TRA_DEMANDS!P$3,'BY-Demands'!$J$5:$AK$14,MATCH($E39,'BY-Demands'!$I$5:$I$14,0),FALSE)*HLOOKUP(REG_TRA_DEMANDS!$F39,DEMANDS!$G$2:$CK$25,MATCH($E39,DEMANDS!$E$2:$E$25,0),FALSE)/HLOOKUP(2018,DEMANDS!$G$2:$CK$25,MATCH($E39,DEMANDS!$E$2:$E$25,0),FALSE)</f>
        <v>0.66728597400189971</v>
      </c>
      <c r="Q39" s="19">
        <f>HLOOKUP(REG_TRA_DEMANDS!Q$3,'BY-Demands'!$J$5:$AK$14,MATCH($E39,'BY-Demands'!$I$5:$I$14,0),FALSE)*HLOOKUP(REG_TRA_DEMANDS!$F39,DEMANDS!$G$2:$CK$25,MATCH($E39,DEMANDS!$E$2:$E$25,0),FALSE)/HLOOKUP(2018,DEMANDS!$G$2:$CK$25,MATCH($E39,DEMANDS!$E$2:$E$25,0),FALSE)</f>
        <v>1.1834491319316609</v>
      </c>
      <c r="R39" s="19">
        <f>HLOOKUP(REG_TRA_DEMANDS!R$3,'BY-Demands'!$J$5:$AK$14,MATCH($E39,'BY-Demands'!$I$5:$I$14,0),FALSE)*HLOOKUP(REG_TRA_DEMANDS!$F39,DEMANDS!$G$2:$CK$25,MATCH($E39,DEMANDS!$E$2:$E$25,0),FALSE)/HLOOKUP(2018,DEMANDS!$G$2:$CK$25,MATCH($E39,DEMANDS!$E$2:$E$25,0),FALSE)</f>
        <v>1.0042612533958026</v>
      </c>
      <c r="S39" s="19">
        <f>HLOOKUP(REG_TRA_DEMANDS!S$3,'BY-Demands'!$J$5:$AK$14,MATCH($E39,'BY-Demands'!$I$5:$I$14,0),FALSE)*HLOOKUP(REG_TRA_DEMANDS!$F39,DEMANDS!$G$2:$CK$25,MATCH($E39,DEMANDS!$E$2:$E$25,0),FALSE)/HLOOKUP(2018,DEMANDS!$G$2:$CK$25,MATCH($E39,DEMANDS!$E$2:$E$25,0),FALSE)</f>
        <v>0.91081499682609424</v>
      </c>
      <c r="T39" s="19">
        <f>HLOOKUP(REG_TRA_DEMANDS!T$3,'BY-Demands'!$J$5:$AK$14,MATCH($E39,'BY-Demands'!$I$5:$I$14,0),FALSE)*HLOOKUP(REG_TRA_DEMANDS!$F39,DEMANDS!$G$2:$CK$25,MATCH($E39,DEMANDS!$E$2:$E$25,0),FALSE)/HLOOKUP(2018,DEMANDS!$G$2:$CK$25,MATCH($E39,DEMANDS!$E$2:$E$25,0),FALSE)</f>
        <v>3.6808892285236912</v>
      </c>
      <c r="U39" s="19">
        <f>HLOOKUP(REG_TRA_DEMANDS!U$3,'BY-Demands'!$J$5:$AK$14,MATCH($E39,'BY-Demands'!$I$5:$I$14,0),FALSE)*HLOOKUP(REG_TRA_DEMANDS!$F39,DEMANDS!$G$2:$CK$25,MATCH($E39,DEMANDS!$E$2:$E$25,0),FALSE)/HLOOKUP(2018,DEMANDS!$G$2:$CK$25,MATCH($E39,DEMANDS!$E$2:$E$25,0),FALSE)</f>
        <v>1.2047540547609144</v>
      </c>
      <c r="V39" s="19">
        <f>HLOOKUP(REG_TRA_DEMANDS!V$3,'BY-Demands'!$J$5:$AK$14,MATCH($E39,'BY-Demands'!$I$5:$I$14,0),FALSE)*HLOOKUP(REG_TRA_DEMANDS!$F39,DEMANDS!$G$2:$CK$25,MATCH($E39,DEMANDS!$E$2:$E$25,0),FALSE)/HLOOKUP(2018,DEMANDS!$G$2:$CK$25,MATCH($E39,DEMANDS!$E$2:$E$25,0),FALSE)</f>
        <v>1.3568630729663083</v>
      </c>
      <c r="W39" s="19">
        <f>HLOOKUP(REG_TRA_DEMANDS!W$3,'BY-Demands'!$J$5:$AK$14,MATCH($E39,'BY-Demands'!$I$5:$I$14,0),FALSE)*HLOOKUP(REG_TRA_DEMANDS!$F39,DEMANDS!$G$2:$CK$25,MATCH($E39,DEMANDS!$E$2:$E$25,0),FALSE)/HLOOKUP(2018,DEMANDS!$G$2:$CK$25,MATCH($E39,DEMANDS!$E$2:$E$25,0),FALSE)</f>
        <v>1.315996414223914</v>
      </c>
      <c r="X39" s="19">
        <f>HLOOKUP(REG_TRA_DEMANDS!X$3,'BY-Demands'!$J$5:$AK$14,MATCH($E39,'BY-Demands'!$I$5:$I$14,0),FALSE)*HLOOKUP(REG_TRA_DEMANDS!$F39,DEMANDS!$G$2:$CK$25,MATCH($E39,DEMANDS!$E$2:$E$25,0),FALSE)/HLOOKUP(2018,DEMANDS!$G$2:$CK$25,MATCH($E39,DEMANDS!$E$2:$E$25,0),FALSE)</f>
        <v>0.83023189052950119</v>
      </c>
      <c r="Y39" s="19">
        <f>HLOOKUP(REG_TRA_DEMANDS!Y$3,'BY-Demands'!$J$5:$AK$14,MATCH($E39,'BY-Demands'!$I$5:$I$14,0),FALSE)*HLOOKUP(REG_TRA_DEMANDS!$F39,DEMANDS!$G$2:$CK$25,MATCH($E39,DEMANDS!$E$2:$E$25,0),FALSE)/HLOOKUP(2018,DEMANDS!$G$2:$CK$25,MATCH($E39,DEMANDS!$E$2:$E$25,0),FALSE)</f>
        <v>1.8588392375160516</v>
      </c>
      <c r="Z39" s="19">
        <f>HLOOKUP(REG_TRA_DEMANDS!Z$3,'BY-Demands'!$J$5:$AK$14,MATCH($E39,'BY-Demands'!$I$5:$I$14,0),FALSE)*HLOOKUP(REG_TRA_DEMANDS!$F39,DEMANDS!$G$2:$CK$25,MATCH($E39,DEMANDS!$E$2:$E$25,0),FALSE)/HLOOKUP(2018,DEMANDS!$G$2:$CK$25,MATCH($E39,DEMANDS!$E$2:$E$25,0),FALSE)</f>
        <v>0.24362357280761746</v>
      </c>
      <c r="AA39" s="19">
        <f>HLOOKUP(REG_TRA_DEMANDS!AA$3,'BY-Demands'!$J$5:$AK$14,MATCH($E39,'BY-Demands'!$I$5:$I$14,0),FALSE)*HLOOKUP(REG_TRA_DEMANDS!$F39,DEMANDS!$G$2:$CK$25,MATCH($E39,DEMANDS!$E$2:$E$25,0),FALSE)/HLOOKUP(2018,DEMANDS!$G$2:$CK$25,MATCH($E39,DEMANDS!$E$2:$E$25,0),FALSE)</f>
        <v>1.0294827488980252</v>
      </c>
      <c r="AB39" s="19">
        <f>HLOOKUP(REG_TRA_DEMANDS!AB$3,'BY-Demands'!$J$5:$AK$14,MATCH($E39,'BY-Demands'!$I$5:$I$14,0),FALSE)*HLOOKUP(REG_TRA_DEMANDS!$F39,DEMANDS!$G$2:$CK$25,MATCH($E39,DEMANDS!$E$2:$E$25,0),FALSE)/HLOOKUP(2018,DEMANDS!$G$2:$CK$25,MATCH($E39,DEMANDS!$E$2:$E$25,0),FALSE)</f>
        <v>0.55430525175475198</v>
      </c>
      <c r="AC39" s="19">
        <f>HLOOKUP(REG_TRA_DEMANDS!AC$3,'BY-Demands'!$J$5:$AK$14,MATCH($E39,'BY-Demands'!$I$5:$I$14,0),FALSE)*HLOOKUP(REG_TRA_DEMANDS!$F39,DEMANDS!$G$2:$CK$25,MATCH($E39,DEMANDS!$E$2:$E$25,0),FALSE)/HLOOKUP(2018,DEMANDS!$G$2:$CK$25,MATCH($E39,DEMANDS!$E$2:$E$25,0),FALSE)</f>
        <v>0.45219957472387556</v>
      </c>
      <c r="AD39" s="19">
        <f>HLOOKUP(REG_TRA_DEMANDS!AD$3,'BY-Demands'!$J$5:$AK$14,MATCH($E39,'BY-Demands'!$I$5:$I$14,0),FALSE)*HLOOKUP(REG_TRA_DEMANDS!$F39,DEMANDS!$G$2:$CK$25,MATCH($E39,DEMANDS!$E$2:$E$25,0),FALSE)/HLOOKUP(2018,DEMANDS!$G$2:$CK$25,MATCH($E39,DEMANDS!$E$2:$E$25,0),FALSE)</f>
        <v>0.49134741922731318</v>
      </c>
      <c r="AE39" s="19">
        <f>HLOOKUP(REG_TRA_DEMANDS!AE$3,'BY-Demands'!$J$5:$AK$14,MATCH($E39,'BY-Demands'!$I$5:$I$14,0),FALSE)*HLOOKUP(REG_TRA_DEMANDS!$F39,DEMANDS!$G$2:$CK$25,MATCH($E39,DEMANDS!$E$2:$E$25,0),FALSE)/HLOOKUP(2018,DEMANDS!$G$2:$CK$25,MATCH($E39,DEMANDS!$E$2:$E$25,0),FALSE)</f>
        <v>0.90489576537498428</v>
      </c>
      <c r="AF39" s="19">
        <f>HLOOKUP(REG_TRA_DEMANDS!AF$3,'BY-Demands'!$J$5:$AK$14,MATCH($E39,'BY-Demands'!$I$5:$I$14,0),FALSE)*HLOOKUP(REG_TRA_DEMANDS!$F39,DEMANDS!$G$2:$CK$25,MATCH($E39,DEMANDS!$E$2:$E$25,0),FALSE)/HLOOKUP(2018,DEMANDS!$G$2:$CK$25,MATCH($E39,DEMANDS!$E$2:$E$25,0),FALSE)</f>
        <v>0.49765836092386984</v>
      </c>
    </row>
    <row r="40" spans="4:32" ht="14.5">
      <c r="D40" t="s">
        <v>6</v>
      </c>
      <c r="E40" t="str">
        <f>DEMANDS!$E$18</f>
        <v>TRAPM</v>
      </c>
      <c r="F40">
        <v>2029</v>
      </c>
      <c r="G40" s="19">
        <f>HLOOKUP(REG_TRA_DEMANDS!G$3,'BY-Demands'!$J$5:$AK$14,MATCH($E40,'BY-Demands'!$I$5:$I$14,0),FALSE)*HLOOKUP(REG_TRA_DEMANDS!$F40,DEMANDS!$G$2:$CK$25,MATCH($E40,DEMANDS!$E$2:$E$25,0),FALSE)/HLOOKUP(2018,DEMANDS!$G$2:$CK$25,MATCH($E40,DEMANDS!$E$2:$E$25,0),FALSE)</f>
        <v>0.46119178300976993</v>
      </c>
      <c r="H40" s="19">
        <f>HLOOKUP(REG_TRA_DEMANDS!H$3,'BY-Demands'!$J$5:$AK$14,MATCH($E40,'BY-Demands'!$I$5:$I$14,0),FALSE)*HLOOKUP(REG_TRA_DEMANDS!$F40,DEMANDS!$G$2:$CK$25,MATCH($E40,DEMANDS!$E$2:$E$25,0),FALSE)/HLOOKUP(2018,DEMANDS!$G$2:$CK$25,MATCH($E40,DEMANDS!$E$2:$E$25,0),FALSE)</f>
        <v>8.0764755004511848</v>
      </c>
      <c r="I40" s="19">
        <f>HLOOKUP(REG_TRA_DEMANDS!I$3,'BY-Demands'!$J$5:$AK$14,MATCH($E40,'BY-Demands'!$I$5:$I$14,0),FALSE)*HLOOKUP(REG_TRA_DEMANDS!$F40,DEMANDS!$G$2:$CK$25,MATCH($E40,DEMANDS!$E$2:$E$25,0),FALSE)/HLOOKUP(2018,DEMANDS!$G$2:$CK$25,MATCH($E40,DEMANDS!$E$2:$E$25,0),FALSE)</f>
        <v>1.644627400612523</v>
      </c>
      <c r="J40" s="19">
        <f>HLOOKUP(REG_TRA_DEMANDS!J$3,'BY-Demands'!$J$5:$AK$14,MATCH($E40,'BY-Demands'!$I$5:$I$14,0),FALSE)*HLOOKUP(REG_TRA_DEMANDS!$F40,DEMANDS!$G$2:$CK$25,MATCH($E40,DEMANDS!$E$2:$E$25,0),FALSE)/HLOOKUP(2018,DEMANDS!$G$2:$CK$25,MATCH($E40,DEMANDS!$E$2:$E$25,0),FALSE)</f>
        <v>0.78106550406020869</v>
      </c>
      <c r="K40" s="19">
        <f>HLOOKUP(REG_TRA_DEMANDS!K$3,'BY-Demands'!$J$5:$AK$14,MATCH($E40,'BY-Demands'!$I$5:$I$14,0),FALSE)*HLOOKUP(REG_TRA_DEMANDS!$F40,DEMANDS!$G$2:$CK$25,MATCH($E40,DEMANDS!$E$2:$E$25,0),FALSE)/HLOOKUP(2018,DEMANDS!$G$2:$CK$25,MATCH($E40,DEMANDS!$E$2:$E$25,0),FALSE)</f>
        <v>0.5876464734994078</v>
      </c>
      <c r="L40" s="19">
        <f>HLOOKUP(REG_TRA_DEMANDS!L$3,'BY-Demands'!$J$5:$AK$14,MATCH($E40,'BY-Demands'!$I$5:$I$14,0),FALSE)*HLOOKUP(REG_TRA_DEMANDS!$F40,DEMANDS!$G$2:$CK$25,MATCH($E40,DEMANDS!$E$2:$E$25,0),FALSE)/HLOOKUP(2018,DEMANDS!$G$2:$CK$25,MATCH($E40,DEMANDS!$E$2:$E$25,0),FALSE)</f>
        <v>0.30275243664469559</v>
      </c>
      <c r="M40" s="19">
        <f>HLOOKUP(REG_TRA_DEMANDS!M$3,'BY-Demands'!$J$5:$AK$14,MATCH($E40,'BY-Demands'!$I$5:$I$14,0),FALSE)*HLOOKUP(REG_TRA_DEMANDS!$F40,DEMANDS!$G$2:$CK$25,MATCH($E40,DEMANDS!$E$2:$E$25,0),FALSE)/HLOOKUP(2018,DEMANDS!$G$2:$CK$25,MATCH($E40,DEMANDS!$E$2:$E$25,0),FALSE)</f>
        <v>0.81547949330121972</v>
      </c>
      <c r="N40" s="19">
        <f>HLOOKUP(REG_TRA_DEMANDS!N$3,'BY-Demands'!$J$5:$AK$14,MATCH($E40,'BY-Demands'!$I$5:$I$14,0),FALSE)*HLOOKUP(REG_TRA_DEMANDS!$F40,DEMANDS!$G$2:$CK$25,MATCH($E40,DEMANDS!$E$2:$E$25,0),FALSE)/HLOOKUP(2018,DEMANDS!$G$2:$CK$25,MATCH($E40,DEMANDS!$E$2:$E$25,0),FALSE)</f>
        <v>1.4157656156119636</v>
      </c>
      <c r="O40" s="19">
        <f>HLOOKUP(REG_TRA_DEMANDS!O$3,'BY-Demands'!$J$5:$AK$14,MATCH($E40,'BY-Demands'!$I$5:$I$14,0),FALSE)*HLOOKUP(REG_TRA_DEMANDS!$F40,DEMANDS!$G$2:$CK$25,MATCH($E40,DEMANDS!$E$2:$E$25,0),FALSE)/HLOOKUP(2018,DEMANDS!$G$2:$CK$25,MATCH($E40,DEMANDS!$E$2:$E$25,0),FALSE)</f>
        <v>0.59998832918193046</v>
      </c>
      <c r="P40" s="19">
        <f>HLOOKUP(REG_TRA_DEMANDS!P$3,'BY-Demands'!$J$5:$AK$14,MATCH($E40,'BY-Demands'!$I$5:$I$14,0),FALSE)*HLOOKUP(REG_TRA_DEMANDS!$F40,DEMANDS!$G$2:$CK$25,MATCH($E40,DEMANDS!$E$2:$E$25,0),FALSE)/HLOOKUP(2018,DEMANDS!$G$2:$CK$25,MATCH($E40,DEMANDS!$E$2:$E$25,0),FALSE)</f>
        <v>0.67729526361192827</v>
      </c>
      <c r="Q40" s="19">
        <f>HLOOKUP(REG_TRA_DEMANDS!Q$3,'BY-Demands'!$J$5:$AK$14,MATCH($E40,'BY-Demands'!$I$5:$I$14,0),FALSE)*HLOOKUP(REG_TRA_DEMANDS!$F40,DEMANDS!$G$2:$CK$25,MATCH($E40,DEMANDS!$E$2:$E$25,0),FALSE)/HLOOKUP(2018,DEMANDS!$G$2:$CK$25,MATCH($E40,DEMANDS!$E$2:$E$25,0),FALSE)</f>
        <v>1.2012008689106357</v>
      </c>
      <c r="R40" s="19">
        <f>HLOOKUP(REG_TRA_DEMANDS!R$3,'BY-Demands'!$J$5:$AK$14,MATCH($E40,'BY-Demands'!$I$5:$I$14,0),FALSE)*HLOOKUP(REG_TRA_DEMANDS!$F40,DEMANDS!$G$2:$CK$25,MATCH($E40,DEMANDS!$E$2:$E$25,0),FALSE)/HLOOKUP(2018,DEMANDS!$G$2:$CK$25,MATCH($E40,DEMANDS!$E$2:$E$25,0),FALSE)</f>
        <v>1.0193251721967396</v>
      </c>
      <c r="S40" s="19">
        <f>HLOOKUP(REG_TRA_DEMANDS!S$3,'BY-Demands'!$J$5:$AK$14,MATCH($E40,'BY-Demands'!$I$5:$I$14,0),FALSE)*HLOOKUP(REG_TRA_DEMANDS!$F40,DEMANDS!$G$2:$CK$25,MATCH($E40,DEMANDS!$E$2:$E$25,0),FALSE)/HLOOKUP(2018,DEMANDS!$G$2:$CK$25,MATCH($E40,DEMANDS!$E$2:$E$25,0),FALSE)</f>
        <v>0.92447722177848546</v>
      </c>
      <c r="T40" s="19">
        <f>HLOOKUP(REG_TRA_DEMANDS!T$3,'BY-Demands'!$J$5:$AK$14,MATCH($E40,'BY-Demands'!$I$5:$I$14,0),FALSE)*HLOOKUP(REG_TRA_DEMANDS!$F40,DEMANDS!$G$2:$CK$25,MATCH($E40,DEMANDS!$E$2:$E$25,0),FALSE)/HLOOKUP(2018,DEMANDS!$G$2:$CK$25,MATCH($E40,DEMANDS!$E$2:$E$25,0),FALSE)</f>
        <v>3.7361025669515464</v>
      </c>
      <c r="U40" s="19">
        <f>HLOOKUP(REG_TRA_DEMANDS!U$3,'BY-Demands'!$J$5:$AK$14,MATCH($E40,'BY-Demands'!$I$5:$I$14,0),FALSE)*HLOOKUP(REG_TRA_DEMANDS!$F40,DEMANDS!$G$2:$CK$25,MATCH($E40,DEMANDS!$E$2:$E$25,0),FALSE)/HLOOKUP(2018,DEMANDS!$G$2:$CK$25,MATCH($E40,DEMANDS!$E$2:$E$25,0),FALSE)</f>
        <v>1.2228253655823278</v>
      </c>
      <c r="V40" s="19">
        <f>HLOOKUP(REG_TRA_DEMANDS!V$3,'BY-Demands'!$J$5:$AK$14,MATCH($E40,'BY-Demands'!$I$5:$I$14,0),FALSE)*HLOOKUP(REG_TRA_DEMANDS!$F40,DEMANDS!$G$2:$CK$25,MATCH($E40,DEMANDS!$E$2:$E$25,0),FALSE)/HLOOKUP(2018,DEMANDS!$G$2:$CK$25,MATCH($E40,DEMANDS!$E$2:$E$25,0),FALSE)</f>
        <v>1.3772160190608029</v>
      </c>
      <c r="W40" s="19">
        <f>HLOOKUP(REG_TRA_DEMANDS!W$3,'BY-Demands'!$J$5:$AK$14,MATCH($E40,'BY-Demands'!$I$5:$I$14,0),FALSE)*HLOOKUP(REG_TRA_DEMANDS!$F40,DEMANDS!$G$2:$CK$25,MATCH($E40,DEMANDS!$E$2:$E$25,0),FALSE)/HLOOKUP(2018,DEMANDS!$G$2:$CK$25,MATCH($E40,DEMANDS!$E$2:$E$25,0),FALSE)</f>
        <v>1.3357363604372725</v>
      </c>
      <c r="X40" s="19">
        <f>HLOOKUP(REG_TRA_DEMANDS!X$3,'BY-Demands'!$J$5:$AK$14,MATCH($E40,'BY-Demands'!$I$5:$I$14,0),FALSE)*HLOOKUP(REG_TRA_DEMANDS!$F40,DEMANDS!$G$2:$CK$25,MATCH($E40,DEMANDS!$E$2:$E$25,0),FALSE)/HLOOKUP(2018,DEMANDS!$G$2:$CK$25,MATCH($E40,DEMANDS!$E$2:$E$25,0),FALSE)</f>
        <v>0.84268536888744361</v>
      </c>
      <c r="Y40" s="19">
        <f>HLOOKUP(REG_TRA_DEMANDS!Y$3,'BY-Demands'!$J$5:$AK$14,MATCH($E40,'BY-Demands'!$I$5:$I$14,0),FALSE)*HLOOKUP(REG_TRA_DEMANDS!$F40,DEMANDS!$G$2:$CK$25,MATCH($E40,DEMANDS!$E$2:$E$25,0),FALSE)/HLOOKUP(2018,DEMANDS!$G$2:$CK$25,MATCH($E40,DEMANDS!$E$2:$E$25,0),FALSE)</f>
        <v>1.8867218260787921</v>
      </c>
      <c r="Z40" s="19">
        <f>HLOOKUP(REG_TRA_DEMANDS!Z$3,'BY-Demands'!$J$5:$AK$14,MATCH($E40,'BY-Demands'!$I$5:$I$14,0),FALSE)*HLOOKUP(REG_TRA_DEMANDS!$F40,DEMANDS!$G$2:$CK$25,MATCH($E40,DEMANDS!$E$2:$E$25,0),FALSE)/HLOOKUP(2018,DEMANDS!$G$2:$CK$25,MATCH($E40,DEMANDS!$E$2:$E$25,0),FALSE)</f>
        <v>0.2472779263997317</v>
      </c>
      <c r="AA40" s="19">
        <f>HLOOKUP(REG_TRA_DEMANDS!AA$3,'BY-Demands'!$J$5:$AK$14,MATCH($E40,'BY-Demands'!$I$5:$I$14,0),FALSE)*HLOOKUP(REG_TRA_DEMANDS!$F40,DEMANDS!$G$2:$CK$25,MATCH($E40,DEMANDS!$E$2:$E$25,0),FALSE)/HLOOKUP(2018,DEMANDS!$G$2:$CK$25,MATCH($E40,DEMANDS!$E$2:$E$25,0),FALSE)</f>
        <v>1.0449249901314956</v>
      </c>
      <c r="AB40" s="19">
        <f>HLOOKUP(REG_TRA_DEMANDS!AB$3,'BY-Demands'!$J$5:$AK$14,MATCH($E40,'BY-Demands'!$I$5:$I$14,0),FALSE)*HLOOKUP(REG_TRA_DEMANDS!$F40,DEMANDS!$G$2:$CK$25,MATCH($E40,DEMANDS!$E$2:$E$25,0),FALSE)/HLOOKUP(2018,DEMANDS!$G$2:$CK$25,MATCH($E40,DEMANDS!$E$2:$E$25,0),FALSE)</f>
        <v>0.56261983053107323</v>
      </c>
      <c r="AC40" s="19">
        <f>HLOOKUP(REG_TRA_DEMANDS!AC$3,'BY-Demands'!$J$5:$AK$14,MATCH($E40,'BY-Demands'!$I$5:$I$14,0),FALSE)*HLOOKUP(REG_TRA_DEMANDS!$F40,DEMANDS!$G$2:$CK$25,MATCH($E40,DEMANDS!$E$2:$E$25,0),FALSE)/HLOOKUP(2018,DEMANDS!$G$2:$CK$25,MATCH($E40,DEMANDS!$E$2:$E$25,0),FALSE)</f>
        <v>0.45898256834473372</v>
      </c>
      <c r="AD40" s="19">
        <f>HLOOKUP(REG_TRA_DEMANDS!AD$3,'BY-Demands'!$J$5:$AK$14,MATCH($E40,'BY-Demands'!$I$5:$I$14,0),FALSE)*HLOOKUP(REG_TRA_DEMANDS!$F40,DEMANDS!$G$2:$CK$25,MATCH($E40,DEMANDS!$E$2:$E$25,0),FALSE)/HLOOKUP(2018,DEMANDS!$G$2:$CK$25,MATCH($E40,DEMANDS!$E$2:$E$25,0),FALSE)</f>
        <v>0.49871763051572282</v>
      </c>
      <c r="AE40" s="19">
        <f>HLOOKUP(REG_TRA_DEMANDS!AE$3,'BY-Demands'!$J$5:$AK$14,MATCH($E40,'BY-Demands'!$I$5:$I$14,0),FALSE)*HLOOKUP(REG_TRA_DEMANDS!$F40,DEMANDS!$G$2:$CK$25,MATCH($E40,DEMANDS!$E$2:$E$25,0),FALSE)/HLOOKUP(2018,DEMANDS!$G$2:$CK$25,MATCH($E40,DEMANDS!$E$2:$E$25,0),FALSE)</f>
        <v>0.91846920185560899</v>
      </c>
      <c r="AF40" s="19">
        <f>HLOOKUP(REG_TRA_DEMANDS!AF$3,'BY-Demands'!$J$5:$AK$14,MATCH($E40,'BY-Demands'!$I$5:$I$14,0),FALSE)*HLOOKUP(REG_TRA_DEMANDS!$F40,DEMANDS!$G$2:$CK$25,MATCH($E40,DEMANDS!$E$2:$E$25,0),FALSE)/HLOOKUP(2018,DEMANDS!$G$2:$CK$25,MATCH($E40,DEMANDS!$E$2:$E$25,0),FALSE)</f>
        <v>0.50512323633772782</v>
      </c>
    </row>
    <row r="41" spans="4:32" ht="14.5">
      <c r="D41" t="s">
        <v>6</v>
      </c>
      <c r="E41" t="str">
        <f>DEMANDS!$E$18</f>
        <v>TRAPM</v>
      </c>
      <c r="F41">
        <v>2030</v>
      </c>
      <c r="G41" s="19">
        <f>HLOOKUP(REG_TRA_DEMANDS!G$3,'BY-Demands'!$J$5:$AK$14,MATCH($E41,'BY-Demands'!$I$5:$I$14,0),FALSE)*HLOOKUP(REG_TRA_DEMANDS!$F41,DEMANDS!$G$2:$CK$25,MATCH($E41,DEMANDS!$E$2:$E$25,0),FALSE)/HLOOKUP(2018,DEMANDS!$G$2:$CK$25,MATCH($E41,DEMANDS!$E$2:$E$25,0),FALSE)</f>
        <v>0.46810965975491647</v>
      </c>
      <c r="H41" s="19">
        <f>HLOOKUP(REG_TRA_DEMANDS!H$3,'BY-Demands'!$J$5:$AK$14,MATCH($E41,'BY-Demands'!$I$5:$I$14,0),FALSE)*HLOOKUP(REG_TRA_DEMANDS!$F41,DEMANDS!$G$2:$CK$25,MATCH($E41,DEMANDS!$E$2:$E$25,0),FALSE)/HLOOKUP(2018,DEMANDS!$G$2:$CK$25,MATCH($E41,DEMANDS!$E$2:$E$25,0),FALSE)</f>
        <v>8.1976226329579518</v>
      </c>
      <c r="I41" s="19">
        <f>HLOOKUP(REG_TRA_DEMANDS!I$3,'BY-Demands'!$J$5:$AK$14,MATCH($E41,'BY-Demands'!$I$5:$I$14,0),FALSE)*HLOOKUP(REG_TRA_DEMANDS!$F41,DEMANDS!$G$2:$CK$25,MATCH($E41,DEMANDS!$E$2:$E$25,0),FALSE)/HLOOKUP(2018,DEMANDS!$G$2:$CK$25,MATCH($E41,DEMANDS!$E$2:$E$25,0),FALSE)</f>
        <v>1.6692968116217106</v>
      </c>
      <c r="J41" s="19">
        <f>HLOOKUP(REG_TRA_DEMANDS!J$3,'BY-Demands'!$J$5:$AK$14,MATCH($E41,'BY-Demands'!$I$5:$I$14,0),FALSE)*HLOOKUP(REG_TRA_DEMANDS!$F41,DEMANDS!$G$2:$CK$25,MATCH($E41,DEMANDS!$E$2:$E$25,0),FALSE)/HLOOKUP(2018,DEMANDS!$G$2:$CK$25,MATCH($E41,DEMANDS!$E$2:$E$25,0),FALSE)</f>
        <v>0.79278148662111181</v>
      </c>
      <c r="K41" s="19">
        <f>HLOOKUP(REG_TRA_DEMANDS!K$3,'BY-Demands'!$J$5:$AK$14,MATCH($E41,'BY-Demands'!$I$5:$I$14,0),FALSE)*HLOOKUP(REG_TRA_DEMANDS!$F41,DEMANDS!$G$2:$CK$25,MATCH($E41,DEMANDS!$E$2:$E$25,0),FALSE)/HLOOKUP(2018,DEMANDS!$G$2:$CK$25,MATCH($E41,DEMANDS!$E$2:$E$25,0),FALSE)</f>
        <v>0.59646117060189896</v>
      </c>
      <c r="L41" s="19">
        <f>HLOOKUP(REG_TRA_DEMANDS!L$3,'BY-Demands'!$J$5:$AK$14,MATCH($E41,'BY-Demands'!$I$5:$I$14,0),FALSE)*HLOOKUP(REG_TRA_DEMANDS!$F41,DEMANDS!$G$2:$CK$25,MATCH($E41,DEMANDS!$E$2:$E$25,0),FALSE)/HLOOKUP(2018,DEMANDS!$G$2:$CK$25,MATCH($E41,DEMANDS!$E$2:$E$25,0),FALSE)</f>
        <v>0.30729372319436604</v>
      </c>
      <c r="M41" s="19">
        <f>HLOOKUP(REG_TRA_DEMANDS!M$3,'BY-Demands'!$J$5:$AK$14,MATCH($E41,'BY-Demands'!$I$5:$I$14,0),FALSE)*HLOOKUP(REG_TRA_DEMANDS!$F41,DEMANDS!$G$2:$CK$25,MATCH($E41,DEMANDS!$E$2:$E$25,0),FALSE)/HLOOKUP(2018,DEMANDS!$G$2:$CK$25,MATCH($E41,DEMANDS!$E$2:$E$25,0),FALSE)</f>
        <v>0.82771168570073805</v>
      </c>
      <c r="N41" s="19">
        <f>HLOOKUP(REG_TRA_DEMANDS!N$3,'BY-Demands'!$J$5:$AK$14,MATCH($E41,'BY-Demands'!$I$5:$I$14,0),FALSE)*HLOOKUP(REG_TRA_DEMANDS!$F41,DEMANDS!$G$2:$CK$25,MATCH($E41,DEMANDS!$E$2:$E$25,0),FALSE)/HLOOKUP(2018,DEMANDS!$G$2:$CK$25,MATCH($E41,DEMANDS!$E$2:$E$25,0),FALSE)</f>
        <v>1.437002099846143</v>
      </c>
      <c r="O41" s="19">
        <f>HLOOKUP(REG_TRA_DEMANDS!O$3,'BY-Demands'!$J$5:$AK$14,MATCH($E41,'BY-Demands'!$I$5:$I$14,0),FALSE)*HLOOKUP(REG_TRA_DEMANDS!$F41,DEMANDS!$G$2:$CK$25,MATCH($E41,DEMANDS!$E$2:$E$25,0),FALSE)/HLOOKUP(2018,DEMANDS!$G$2:$CK$25,MATCH($E41,DEMANDS!$E$2:$E$25,0),FALSE)</f>
        <v>0.60898815411965934</v>
      </c>
      <c r="P41" s="19">
        <f>HLOOKUP(REG_TRA_DEMANDS!P$3,'BY-Demands'!$J$5:$AK$14,MATCH($E41,'BY-Demands'!$I$5:$I$14,0),FALSE)*HLOOKUP(REG_TRA_DEMANDS!$F41,DEMANDS!$G$2:$CK$25,MATCH($E41,DEMANDS!$E$2:$E$25,0),FALSE)/HLOOKUP(2018,DEMANDS!$G$2:$CK$25,MATCH($E41,DEMANDS!$E$2:$E$25,0),FALSE)</f>
        <v>0.68745469256610714</v>
      </c>
      <c r="Q41" s="19">
        <f>HLOOKUP(REG_TRA_DEMANDS!Q$3,'BY-Demands'!$J$5:$AK$14,MATCH($E41,'BY-Demands'!$I$5:$I$14,0),FALSE)*HLOOKUP(REG_TRA_DEMANDS!$F41,DEMANDS!$G$2:$CK$25,MATCH($E41,DEMANDS!$E$2:$E$25,0),FALSE)/HLOOKUP(2018,DEMANDS!$G$2:$CK$25,MATCH($E41,DEMANDS!$E$2:$E$25,0),FALSE)</f>
        <v>1.2192188819442953</v>
      </c>
      <c r="R41" s="19">
        <f>HLOOKUP(REG_TRA_DEMANDS!R$3,'BY-Demands'!$J$5:$AK$14,MATCH($E41,'BY-Demands'!$I$5:$I$14,0),FALSE)*HLOOKUP(REG_TRA_DEMANDS!$F41,DEMANDS!$G$2:$CK$25,MATCH($E41,DEMANDS!$E$2:$E$25,0),FALSE)/HLOOKUP(2018,DEMANDS!$G$2:$CK$25,MATCH($E41,DEMANDS!$E$2:$E$25,0),FALSE)</f>
        <v>1.0346150497796907</v>
      </c>
      <c r="S41" s="19">
        <f>HLOOKUP(REG_TRA_DEMANDS!S$3,'BY-Demands'!$J$5:$AK$14,MATCH($E41,'BY-Demands'!$I$5:$I$14,0),FALSE)*HLOOKUP(REG_TRA_DEMANDS!$F41,DEMANDS!$G$2:$CK$25,MATCH($E41,DEMANDS!$E$2:$E$25,0),FALSE)/HLOOKUP(2018,DEMANDS!$G$2:$CK$25,MATCH($E41,DEMANDS!$E$2:$E$25,0),FALSE)</f>
        <v>0.93834438010516275</v>
      </c>
      <c r="T41" s="19">
        <f>HLOOKUP(REG_TRA_DEMANDS!T$3,'BY-Demands'!$J$5:$AK$14,MATCH($E41,'BY-Demands'!$I$5:$I$14,0),FALSE)*HLOOKUP(REG_TRA_DEMANDS!$F41,DEMANDS!$G$2:$CK$25,MATCH($E41,DEMANDS!$E$2:$E$25,0),FALSE)/HLOOKUP(2018,DEMANDS!$G$2:$CK$25,MATCH($E41,DEMANDS!$E$2:$E$25,0),FALSE)</f>
        <v>3.7921441054558191</v>
      </c>
      <c r="U41" s="19">
        <f>HLOOKUP(REG_TRA_DEMANDS!U$3,'BY-Demands'!$J$5:$AK$14,MATCH($E41,'BY-Demands'!$I$5:$I$14,0),FALSE)*HLOOKUP(REG_TRA_DEMANDS!$F41,DEMANDS!$G$2:$CK$25,MATCH($E41,DEMANDS!$E$2:$E$25,0),FALSE)/HLOOKUP(2018,DEMANDS!$G$2:$CK$25,MATCH($E41,DEMANDS!$E$2:$E$25,0),FALSE)</f>
        <v>1.2411677460660626</v>
      </c>
      <c r="V41" s="19">
        <f>HLOOKUP(REG_TRA_DEMANDS!V$3,'BY-Demands'!$J$5:$AK$14,MATCH($E41,'BY-Demands'!$I$5:$I$14,0),FALSE)*HLOOKUP(REG_TRA_DEMANDS!$F41,DEMANDS!$G$2:$CK$25,MATCH($E41,DEMANDS!$E$2:$E$25,0),FALSE)/HLOOKUP(2018,DEMANDS!$G$2:$CK$25,MATCH($E41,DEMANDS!$E$2:$E$25,0),FALSE)</f>
        <v>1.3978742593467148</v>
      </c>
      <c r="W41" s="19">
        <f>HLOOKUP(REG_TRA_DEMANDS!W$3,'BY-Demands'!$J$5:$AK$14,MATCH($E41,'BY-Demands'!$I$5:$I$14,0),FALSE)*HLOOKUP(REG_TRA_DEMANDS!$F41,DEMANDS!$G$2:$CK$25,MATCH($E41,DEMANDS!$E$2:$E$25,0),FALSE)/HLOOKUP(2018,DEMANDS!$G$2:$CK$25,MATCH($E41,DEMANDS!$E$2:$E$25,0),FALSE)</f>
        <v>1.3557724058438316</v>
      </c>
      <c r="X41" s="19">
        <f>HLOOKUP(REG_TRA_DEMANDS!X$3,'BY-Demands'!$J$5:$AK$14,MATCH($E41,'BY-Demands'!$I$5:$I$14,0),FALSE)*HLOOKUP(REG_TRA_DEMANDS!$F41,DEMANDS!$G$2:$CK$25,MATCH($E41,DEMANDS!$E$2:$E$25,0),FALSE)/HLOOKUP(2018,DEMANDS!$G$2:$CK$25,MATCH($E41,DEMANDS!$E$2:$E$25,0),FALSE)</f>
        <v>0.85532564942075529</v>
      </c>
      <c r="Y41" s="19">
        <f>HLOOKUP(REG_TRA_DEMANDS!Y$3,'BY-Demands'!$J$5:$AK$14,MATCH($E41,'BY-Demands'!$I$5:$I$14,0),FALSE)*HLOOKUP(REG_TRA_DEMANDS!$F41,DEMANDS!$G$2:$CK$25,MATCH($E41,DEMANDS!$E$2:$E$25,0),FALSE)/HLOOKUP(2018,DEMANDS!$G$2:$CK$25,MATCH($E41,DEMANDS!$E$2:$E$25,0),FALSE)</f>
        <v>1.9150226534699739</v>
      </c>
      <c r="Z41" s="19">
        <f>HLOOKUP(REG_TRA_DEMANDS!Z$3,'BY-Demands'!$J$5:$AK$14,MATCH($E41,'BY-Demands'!$I$5:$I$14,0),FALSE)*HLOOKUP(REG_TRA_DEMANDS!$F41,DEMANDS!$G$2:$CK$25,MATCH($E41,DEMANDS!$E$2:$E$25,0),FALSE)/HLOOKUP(2018,DEMANDS!$G$2:$CK$25,MATCH($E41,DEMANDS!$E$2:$E$25,0),FALSE)</f>
        <v>0.25098709529572766</v>
      </c>
      <c r="AA41" s="19">
        <f>HLOOKUP(REG_TRA_DEMANDS!AA$3,'BY-Demands'!$J$5:$AK$14,MATCH($E41,'BY-Demands'!$I$5:$I$14,0),FALSE)*HLOOKUP(REG_TRA_DEMANDS!$F41,DEMANDS!$G$2:$CK$25,MATCH($E41,DEMANDS!$E$2:$E$25,0),FALSE)/HLOOKUP(2018,DEMANDS!$G$2:$CK$25,MATCH($E41,DEMANDS!$E$2:$E$25,0),FALSE)</f>
        <v>1.0605988649834679</v>
      </c>
      <c r="AB41" s="19">
        <f>HLOOKUP(REG_TRA_DEMANDS!AB$3,'BY-Demands'!$J$5:$AK$14,MATCH($E41,'BY-Demands'!$I$5:$I$14,0),FALSE)*HLOOKUP(REG_TRA_DEMANDS!$F41,DEMANDS!$G$2:$CK$25,MATCH($E41,DEMANDS!$E$2:$E$25,0),FALSE)/HLOOKUP(2018,DEMANDS!$G$2:$CK$25,MATCH($E41,DEMANDS!$E$2:$E$25,0),FALSE)</f>
        <v>0.57105912798903935</v>
      </c>
      <c r="AC41" s="19">
        <f>HLOOKUP(REG_TRA_DEMANDS!AC$3,'BY-Demands'!$J$5:$AK$14,MATCH($E41,'BY-Demands'!$I$5:$I$14,0),FALSE)*HLOOKUP(REG_TRA_DEMANDS!$F41,DEMANDS!$G$2:$CK$25,MATCH($E41,DEMANDS!$E$2:$E$25,0),FALSE)/HLOOKUP(2018,DEMANDS!$G$2:$CK$25,MATCH($E41,DEMANDS!$E$2:$E$25,0),FALSE)</f>
        <v>0.46586730686990468</v>
      </c>
      <c r="AD41" s="19">
        <f>HLOOKUP(REG_TRA_DEMANDS!AD$3,'BY-Demands'!$J$5:$AK$14,MATCH($E41,'BY-Demands'!$I$5:$I$14,0),FALSE)*HLOOKUP(REG_TRA_DEMANDS!$F41,DEMANDS!$G$2:$CK$25,MATCH($E41,DEMANDS!$E$2:$E$25,0),FALSE)/HLOOKUP(2018,DEMANDS!$G$2:$CK$25,MATCH($E41,DEMANDS!$E$2:$E$25,0),FALSE)</f>
        <v>0.50619839497345864</v>
      </c>
      <c r="AE41" s="19">
        <f>HLOOKUP(REG_TRA_DEMANDS!AE$3,'BY-Demands'!$J$5:$AK$14,MATCH($E41,'BY-Demands'!$I$5:$I$14,0),FALSE)*HLOOKUP(REG_TRA_DEMANDS!$F41,DEMANDS!$G$2:$CK$25,MATCH($E41,DEMANDS!$E$2:$E$25,0),FALSE)/HLOOKUP(2018,DEMANDS!$G$2:$CK$25,MATCH($E41,DEMANDS!$E$2:$E$25,0),FALSE)</f>
        <v>0.93224623988344313</v>
      </c>
      <c r="AF41" s="19">
        <f>HLOOKUP(REG_TRA_DEMANDS!AF$3,'BY-Demands'!$J$5:$AK$14,MATCH($E41,'BY-Demands'!$I$5:$I$14,0),FALSE)*HLOOKUP(REG_TRA_DEMANDS!$F41,DEMANDS!$G$2:$CK$25,MATCH($E41,DEMANDS!$E$2:$E$25,0),FALSE)/HLOOKUP(2018,DEMANDS!$G$2:$CK$25,MATCH($E41,DEMANDS!$E$2:$E$25,0),FALSE)</f>
        <v>0.51270008488279373</v>
      </c>
    </row>
    <row r="42" spans="4:32" ht="14.5">
      <c r="D42" t="s">
        <v>6</v>
      </c>
      <c r="E42" t="str">
        <f>DEMANDS!$E$18</f>
        <v>TRAPM</v>
      </c>
      <c r="F42">
        <v>2031</v>
      </c>
      <c r="G42" s="19">
        <f>HLOOKUP(REG_TRA_DEMANDS!G$3,'BY-Demands'!$J$5:$AK$14,MATCH($E42,'BY-Demands'!$I$5:$I$14,0),FALSE)*HLOOKUP(REG_TRA_DEMANDS!$F42,DEMANDS!$G$2:$CK$25,MATCH($E42,DEMANDS!$E$2:$E$25,0),FALSE)/HLOOKUP(2018,DEMANDS!$G$2:$CK$25,MATCH($E42,DEMANDS!$E$2:$E$25,0),FALSE)</f>
        <v>0.47513130465124015</v>
      </c>
      <c r="H42" s="19">
        <f>HLOOKUP(REG_TRA_DEMANDS!H$3,'BY-Demands'!$J$5:$AK$14,MATCH($E42,'BY-Demands'!$I$5:$I$14,0),FALSE)*HLOOKUP(REG_TRA_DEMANDS!$F42,DEMANDS!$G$2:$CK$25,MATCH($E42,DEMANDS!$E$2:$E$25,0),FALSE)/HLOOKUP(2018,DEMANDS!$G$2:$CK$25,MATCH($E42,DEMANDS!$E$2:$E$25,0),FALSE)</f>
        <v>8.32058697245232</v>
      </c>
      <c r="I42" s="19">
        <f>HLOOKUP(REG_TRA_DEMANDS!I$3,'BY-Demands'!$J$5:$AK$14,MATCH($E42,'BY-Demands'!$I$5:$I$14,0),FALSE)*HLOOKUP(REG_TRA_DEMANDS!$F42,DEMANDS!$G$2:$CK$25,MATCH($E42,DEMANDS!$E$2:$E$25,0),FALSE)/HLOOKUP(2018,DEMANDS!$G$2:$CK$25,MATCH($E42,DEMANDS!$E$2:$E$25,0),FALSE)</f>
        <v>1.694336263796036</v>
      </c>
      <c r="J42" s="19">
        <f>HLOOKUP(REG_TRA_DEMANDS!J$3,'BY-Demands'!$J$5:$AK$14,MATCH($E42,'BY-Demands'!$I$5:$I$14,0),FALSE)*HLOOKUP(REG_TRA_DEMANDS!$F42,DEMANDS!$G$2:$CK$25,MATCH($E42,DEMANDS!$E$2:$E$25,0),FALSE)/HLOOKUP(2018,DEMANDS!$G$2:$CK$25,MATCH($E42,DEMANDS!$E$2:$E$25,0),FALSE)</f>
        <v>0.80467320892042837</v>
      </c>
      <c r="K42" s="19">
        <f>HLOOKUP(REG_TRA_DEMANDS!K$3,'BY-Demands'!$J$5:$AK$14,MATCH($E42,'BY-Demands'!$I$5:$I$14,0),FALSE)*HLOOKUP(REG_TRA_DEMANDS!$F42,DEMANDS!$G$2:$CK$25,MATCH($E42,DEMANDS!$E$2:$E$25,0),FALSE)/HLOOKUP(2018,DEMANDS!$G$2:$CK$25,MATCH($E42,DEMANDS!$E$2:$E$25,0),FALSE)</f>
        <v>0.60540808816092739</v>
      </c>
      <c r="L42" s="19">
        <f>HLOOKUP(REG_TRA_DEMANDS!L$3,'BY-Demands'!$J$5:$AK$14,MATCH($E42,'BY-Demands'!$I$5:$I$14,0),FALSE)*HLOOKUP(REG_TRA_DEMANDS!$F42,DEMANDS!$G$2:$CK$25,MATCH($E42,DEMANDS!$E$2:$E$25,0),FALSE)/HLOOKUP(2018,DEMANDS!$G$2:$CK$25,MATCH($E42,DEMANDS!$E$2:$E$25,0),FALSE)</f>
        <v>0.31190312904228146</v>
      </c>
      <c r="M42" s="19">
        <f>HLOOKUP(REG_TRA_DEMANDS!M$3,'BY-Demands'!$J$5:$AK$14,MATCH($E42,'BY-Demands'!$I$5:$I$14,0),FALSE)*HLOOKUP(REG_TRA_DEMANDS!$F42,DEMANDS!$G$2:$CK$25,MATCH($E42,DEMANDS!$E$2:$E$25,0),FALSE)/HLOOKUP(2018,DEMANDS!$G$2:$CK$25,MATCH($E42,DEMANDS!$E$2:$E$25,0),FALSE)</f>
        <v>0.84012736098624907</v>
      </c>
      <c r="N42" s="19">
        <f>HLOOKUP(REG_TRA_DEMANDS!N$3,'BY-Demands'!$J$5:$AK$14,MATCH($E42,'BY-Demands'!$I$5:$I$14,0),FALSE)*HLOOKUP(REG_TRA_DEMANDS!$F42,DEMANDS!$G$2:$CK$25,MATCH($E42,DEMANDS!$E$2:$E$25,0),FALSE)/HLOOKUP(2018,DEMANDS!$G$2:$CK$25,MATCH($E42,DEMANDS!$E$2:$E$25,0),FALSE)</f>
        <v>1.4585571313438348</v>
      </c>
      <c r="O42" s="19">
        <f>HLOOKUP(REG_TRA_DEMANDS!O$3,'BY-Demands'!$J$5:$AK$14,MATCH($E42,'BY-Demands'!$I$5:$I$14,0),FALSE)*HLOOKUP(REG_TRA_DEMANDS!$F42,DEMANDS!$G$2:$CK$25,MATCH($E42,DEMANDS!$E$2:$E$25,0),FALSE)/HLOOKUP(2018,DEMANDS!$G$2:$CK$25,MATCH($E42,DEMANDS!$E$2:$E$25,0),FALSE)</f>
        <v>0.6181229764314542</v>
      </c>
      <c r="P42" s="19">
        <f>HLOOKUP(REG_TRA_DEMANDS!P$3,'BY-Demands'!$J$5:$AK$14,MATCH($E42,'BY-Demands'!$I$5:$I$14,0),FALSE)*HLOOKUP(REG_TRA_DEMANDS!$F42,DEMANDS!$G$2:$CK$25,MATCH($E42,DEMANDS!$E$2:$E$25,0),FALSE)/HLOOKUP(2018,DEMANDS!$G$2:$CK$25,MATCH($E42,DEMANDS!$E$2:$E$25,0),FALSE)</f>
        <v>0.69776651295459868</v>
      </c>
      <c r="Q42" s="19">
        <f>HLOOKUP(REG_TRA_DEMANDS!Q$3,'BY-Demands'!$J$5:$AK$14,MATCH($E42,'BY-Demands'!$I$5:$I$14,0),FALSE)*HLOOKUP(REG_TRA_DEMANDS!$F42,DEMANDS!$G$2:$CK$25,MATCH($E42,DEMANDS!$E$2:$E$25,0),FALSE)/HLOOKUP(2018,DEMANDS!$G$2:$CK$25,MATCH($E42,DEMANDS!$E$2:$E$25,0),FALSE)</f>
        <v>1.2375071651734595</v>
      </c>
      <c r="R42" s="19">
        <f>HLOOKUP(REG_TRA_DEMANDS!R$3,'BY-Demands'!$J$5:$AK$14,MATCH($E42,'BY-Demands'!$I$5:$I$14,0),FALSE)*HLOOKUP(REG_TRA_DEMANDS!$F42,DEMANDS!$G$2:$CK$25,MATCH($E42,DEMANDS!$E$2:$E$25,0),FALSE)/HLOOKUP(2018,DEMANDS!$G$2:$CK$25,MATCH($E42,DEMANDS!$E$2:$E$25,0),FALSE)</f>
        <v>1.0501342755263858</v>
      </c>
      <c r="S42" s="19">
        <f>HLOOKUP(REG_TRA_DEMANDS!S$3,'BY-Demands'!$J$5:$AK$14,MATCH($E42,'BY-Demands'!$I$5:$I$14,0),FALSE)*HLOOKUP(REG_TRA_DEMANDS!$F42,DEMANDS!$G$2:$CK$25,MATCH($E42,DEMANDS!$E$2:$E$25,0),FALSE)/HLOOKUP(2018,DEMANDS!$G$2:$CK$25,MATCH($E42,DEMANDS!$E$2:$E$25,0),FALSE)</f>
        <v>0.95241954580674015</v>
      </c>
      <c r="T42" s="19">
        <f>HLOOKUP(REG_TRA_DEMANDS!T$3,'BY-Demands'!$J$5:$AK$14,MATCH($E42,'BY-Demands'!$I$5:$I$14,0),FALSE)*HLOOKUP(REG_TRA_DEMANDS!$F42,DEMANDS!$G$2:$CK$25,MATCH($E42,DEMANDS!$E$2:$E$25,0),FALSE)/HLOOKUP(2018,DEMANDS!$G$2:$CK$25,MATCH($E42,DEMANDS!$E$2:$E$25,0),FALSE)</f>
        <v>3.8490262670376563</v>
      </c>
      <c r="U42" s="19">
        <f>HLOOKUP(REG_TRA_DEMANDS!U$3,'BY-Demands'!$J$5:$AK$14,MATCH($E42,'BY-Demands'!$I$5:$I$14,0),FALSE)*HLOOKUP(REG_TRA_DEMANDS!$F42,DEMANDS!$G$2:$CK$25,MATCH($E42,DEMANDS!$E$2:$E$25,0),FALSE)/HLOOKUP(2018,DEMANDS!$G$2:$CK$25,MATCH($E42,DEMANDS!$E$2:$E$25,0),FALSE)</f>
        <v>1.2597852622570533</v>
      </c>
      <c r="V42" s="19">
        <f>HLOOKUP(REG_TRA_DEMANDS!V$3,'BY-Demands'!$J$5:$AK$14,MATCH($E42,'BY-Demands'!$I$5:$I$14,0),FALSE)*HLOOKUP(REG_TRA_DEMANDS!$F42,DEMANDS!$G$2:$CK$25,MATCH($E42,DEMANDS!$E$2:$E$25,0),FALSE)/HLOOKUP(2018,DEMANDS!$G$2:$CK$25,MATCH($E42,DEMANDS!$E$2:$E$25,0),FALSE)</f>
        <v>1.4188423732369153</v>
      </c>
      <c r="W42" s="19">
        <f>HLOOKUP(REG_TRA_DEMANDS!W$3,'BY-Demands'!$J$5:$AK$14,MATCH($E42,'BY-Demands'!$I$5:$I$14,0),FALSE)*HLOOKUP(REG_TRA_DEMANDS!$F42,DEMANDS!$G$2:$CK$25,MATCH($E42,DEMANDS!$E$2:$E$25,0),FALSE)/HLOOKUP(2018,DEMANDS!$G$2:$CK$25,MATCH($E42,DEMANDS!$E$2:$E$25,0),FALSE)</f>
        <v>1.3761089919314888</v>
      </c>
      <c r="X42" s="19">
        <f>HLOOKUP(REG_TRA_DEMANDS!X$3,'BY-Demands'!$J$5:$AK$14,MATCH($E42,'BY-Demands'!$I$5:$I$14,0),FALSE)*HLOOKUP(REG_TRA_DEMANDS!$F42,DEMANDS!$G$2:$CK$25,MATCH($E42,DEMANDS!$E$2:$E$25,0),FALSE)/HLOOKUP(2018,DEMANDS!$G$2:$CK$25,MATCH($E42,DEMANDS!$E$2:$E$25,0),FALSE)</f>
        <v>0.86815553416206648</v>
      </c>
      <c r="Y42" s="19">
        <f>HLOOKUP(REG_TRA_DEMANDS!Y$3,'BY-Demands'!$J$5:$AK$14,MATCH($E42,'BY-Demands'!$I$5:$I$14,0),FALSE)*HLOOKUP(REG_TRA_DEMANDS!$F42,DEMANDS!$G$2:$CK$25,MATCH($E42,DEMANDS!$E$2:$E$25,0),FALSE)/HLOOKUP(2018,DEMANDS!$G$2:$CK$25,MATCH($E42,DEMANDS!$E$2:$E$25,0),FALSE)</f>
        <v>1.9437479932720234</v>
      </c>
      <c r="Z42" s="19">
        <f>HLOOKUP(REG_TRA_DEMANDS!Z$3,'BY-Demands'!$J$5:$AK$14,MATCH($E42,'BY-Demands'!$I$5:$I$14,0),FALSE)*HLOOKUP(REG_TRA_DEMANDS!$F42,DEMANDS!$G$2:$CK$25,MATCH($E42,DEMANDS!$E$2:$E$25,0),FALSE)/HLOOKUP(2018,DEMANDS!$G$2:$CK$25,MATCH($E42,DEMANDS!$E$2:$E$25,0),FALSE)</f>
        <v>0.25475190172516354</v>
      </c>
      <c r="AA42" s="19">
        <f>HLOOKUP(REG_TRA_DEMANDS!AA$3,'BY-Demands'!$J$5:$AK$14,MATCH($E42,'BY-Demands'!$I$5:$I$14,0),FALSE)*HLOOKUP(REG_TRA_DEMANDS!$F42,DEMANDS!$G$2:$CK$25,MATCH($E42,DEMANDS!$E$2:$E$25,0),FALSE)/HLOOKUP(2018,DEMANDS!$G$2:$CK$25,MATCH($E42,DEMANDS!$E$2:$E$25,0),FALSE)</f>
        <v>1.07650784795822</v>
      </c>
      <c r="AB42" s="19">
        <f>HLOOKUP(REG_TRA_DEMANDS!AB$3,'BY-Demands'!$J$5:$AK$14,MATCH($E42,'BY-Demands'!$I$5:$I$14,0),FALSE)*HLOOKUP(REG_TRA_DEMANDS!$F42,DEMANDS!$G$2:$CK$25,MATCH($E42,DEMANDS!$E$2:$E$25,0),FALSE)/HLOOKUP(2018,DEMANDS!$G$2:$CK$25,MATCH($E42,DEMANDS!$E$2:$E$25,0),FALSE)</f>
        <v>0.57962501490887486</v>
      </c>
      <c r="AC42" s="19">
        <f>HLOOKUP(REG_TRA_DEMANDS!AC$3,'BY-Demands'!$J$5:$AK$14,MATCH($E42,'BY-Demands'!$I$5:$I$14,0),FALSE)*HLOOKUP(REG_TRA_DEMANDS!$F42,DEMANDS!$G$2:$CK$25,MATCH($E42,DEMANDS!$E$2:$E$25,0),FALSE)/HLOOKUP(2018,DEMANDS!$G$2:$CK$25,MATCH($E42,DEMANDS!$E$2:$E$25,0),FALSE)</f>
        <v>0.4728553164729532</v>
      </c>
      <c r="AD42" s="19">
        <f>HLOOKUP(REG_TRA_DEMANDS!AD$3,'BY-Demands'!$J$5:$AK$14,MATCH($E42,'BY-Demands'!$I$5:$I$14,0),FALSE)*HLOOKUP(REG_TRA_DEMANDS!$F42,DEMANDS!$G$2:$CK$25,MATCH($E42,DEMANDS!$E$2:$E$25,0),FALSE)/HLOOKUP(2018,DEMANDS!$G$2:$CK$25,MATCH($E42,DEMANDS!$E$2:$E$25,0),FALSE)</f>
        <v>0.51379137089806048</v>
      </c>
      <c r="AE42" s="19">
        <f>HLOOKUP(REG_TRA_DEMANDS!AE$3,'BY-Demands'!$J$5:$AK$14,MATCH($E42,'BY-Demands'!$I$5:$I$14,0),FALSE)*HLOOKUP(REG_TRA_DEMANDS!$F42,DEMANDS!$G$2:$CK$25,MATCH($E42,DEMANDS!$E$2:$E$25,0),FALSE)/HLOOKUP(2018,DEMANDS!$G$2:$CK$25,MATCH($E42,DEMANDS!$E$2:$E$25,0),FALSE)</f>
        <v>0.9462299334816946</v>
      </c>
      <c r="AF42" s="19">
        <f>HLOOKUP(REG_TRA_DEMANDS!AF$3,'BY-Demands'!$J$5:$AK$14,MATCH($E42,'BY-Demands'!$I$5:$I$14,0),FALSE)*HLOOKUP(REG_TRA_DEMANDS!$F42,DEMANDS!$G$2:$CK$25,MATCH($E42,DEMANDS!$E$2:$E$25,0),FALSE)/HLOOKUP(2018,DEMANDS!$G$2:$CK$25,MATCH($E42,DEMANDS!$E$2:$E$25,0),FALSE)</f>
        <v>0.52039058615603562</v>
      </c>
    </row>
    <row r="43" spans="4:32" ht="14.5">
      <c r="D43" t="s">
        <v>6</v>
      </c>
      <c r="E43" t="str">
        <f>DEMANDS!$E$18</f>
        <v>TRAPM</v>
      </c>
      <c r="F43">
        <v>2032</v>
      </c>
      <c r="G43" s="19">
        <f>HLOOKUP(REG_TRA_DEMANDS!G$3,'BY-Demands'!$J$5:$AK$14,MATCH($E43,'BY-Demands'!$I$5:$I$14,0),FALSE)*HLOOKUP(REG_TRA_DEMANDS!$F43,DEMANDS!$G$2:$CK$25,MATCH($E43,DEMANDS!$E$2:$E$25,0),FALSE)/HLOOKUP(2018,DEMANDS!$G$2:$CK$25,MATCH($E43,DEMANDS!$E$2:$E$25,0),FALSE)</f>
        <v>0.48225827422100864</v>
      </c>
      <c r="H43" s="19">
        <f>HLOOKUP(REG_TRA_DEMANDS!H$3,'BY-Demands'!$J$5:$AK$14,MATCH($E43,'BY-Demands'!$I$5:$I$14,0),FALSE)*HLOOKUP(REG_TRA_DEMANDS!$F43,DEMANDS!$G$2:$CK$25,MATCH($E43,DEMANDS!$E$2:$E$25,0),FALSE)/HLOOKUP(2018,DEMANDS!$G$2:$CK$25,MATCH($E43,DEMANDS!$E$2:$E$25,0),FALSE)</f>
        <v>8.4453957770391046</v>
      </c>
      <c r="I43" s="19">
        <f>HLOOKUP(REG_TRA_DEMANDS!I$3,'BY-Demands'!$J$5:$AK$14,MATCH($E43,'BY-Demands'!$I$5:$I$14,0),FALSE)*HLOOKUP(REG_TRA_DEMANDS!$F43,DEMANDS!$G$2:$CK$25,MATCH($E43,DEMANDS!$E$2:$E$25,0),FALSE)/HLOOKUP(2018,DEMANDS!$G$2:$CK$25,MATCH($E43,DEMANDS!$E$2:$E$25,0),FALSE)</f>
        <v>1.7197513077529762</v>
      </c>
      <c r="J43" s="19">
        <f>HLOOKUP(REG_TRA_DEMANDS!J$3,'BY-Demands'!$J$5:$AK$14,MATCH($E43,'BY-Demands'!$I$5:$I$14,0),FALSE)*HLOOKUP(REG_TRA_DEMANDS!$F43,DEMANDS!$G$2:$CK$25,MATCH($E43,DEMANDS!$E$2:$E$25,0),FALSE)/HLOOKUP(2018,DEMANDS!$G$2:$CK$25,MATCH($E43,DEMANDS!$E$2:$E$25,0),FALSE)</f>
        <v>0.8167433070542347</v>
      </c>
      <c r="K43" s="19">
        <f>HLOOKUP(REG_TRA_DEMANDS!K$3,'BY-Demands'!$J$5:$AK$14,MATCH($E43,'BY-Demands'!$I$5:$I$14,0),FALSE)*HLOOKUP(REG_TRA_DEMANDS!$F43,DEMANDS!$G$2:$CK$25,MATCH($E43,DEMANDS!$E$2:$E$25,0),FALSE)/HLOOKUP(2018,DEMANDS!$G$2:$CK$25,MATCH($E43,DEMANDS!$E$2:$E$25,0),FALSE)</f>
        <v>0.61448920948334118</v>
      </c>
      <c r="L43" s="19">
        <f>HLOOKUP(REG_TRA_DEMANDS!L$3,'BY-Demands'!$J$5:$AK$14,MATCH($E43,'BY-Demands'!$I$5:$I$14,0),FALSE)*HLOOKUP(REG_TRA_DEMANDS!$F43,DEMANDS!$G$2:$CK$25,MATCH($E43,DEMANDS!$E$2:$E$25,0),FALSE)/HLOOKUP(2018,DEMANDS!$G$2:$CK$25,MATCH($E43,DEMANDS!$E$2:$E$25,0),FALSE)</f>
        <v>0.31658167597791564</v>
      </c>
      <c r="M43" s="19">
        <f>HLOOKUP(REG_TRA_DEMANDS!M$3,'BY-Demands'!$J$5:$AK$14,MATCH($E43,'BY-Demands'!$I$5:$I$14,0),FALSE)*HLOOKUP(REG_TRA_DEMANDS!$F43,DEMANDS!$G$2:$CK$25,MATCH($E43,DEMANDS!$E$2:$E$25,0),FALSE)/HLOOKUP(2018,DEMANDS!$G$2:$CK$25,MATCH($E43,DEMANDS!$E$2:$E$25,0),FALSE)</f>
        <v>0.8527292714010426</v>
      </c>
      <c r="N43" s="19">
        <f>HLOOKUP(REG_TRA_DEMANDS!N$3,'BY-Demands'!$J$5:$AK$14,MATCH($E43,'BY-Demands'!$I$5:$I$14,0),FALSE)*HLOOKUP(REG_TRA_DEMANDS!$F43,DEMANDS!$G$2:$CK$25,MATCH($E43,DEMANDS!$E$2:$E$25,0),FALSE)/HLOOKUP(2018,DEMANDS!$G$2:$CK$25,MATCH($E43,DEMANDS!$E$2:$E$25,0),FALSE)</f>
        <v>1.4804354883139923</v>
      </c>
      <c r="O43" s="19">
        <f>HLOOKUP(REG_TRA_DEMANDS!O$3,'BY-Demands'!$J$5:$AK$14,MATCH($E43,'BY-Demands'!$I$5:$I$14,0),FALSE)*HLOOKUP(REG_TRA_DEMANDS!$F43,DEMANDS!$G$2:$CK$25,MATCH($E43,DEMANDS!$E$2:$E$25,0),FALSE)/HLOOKUP(2018,DEMANDS!$G$2:$CK$25,MATCH($E43,DEMANDS!$E$2:$E$25,0),FALSE)</f>
        <v>0.62739482107792577</v>
      </c>
      <c r="P43" s="19">
        <f>HLOOKUP(REG_TRA_DEMANDS!P$3,'BY-Demands'!$J$5:$AK$14,MATCH($E43,'BY-Demands'!$I$5:$I$14,0),FALSE)*HLOOKUP(REG_TRA_DEMANDS!$F43,DEMANDS!$G$2:$CK$25,MATCH($E43,DEMANDS!$E$2:$E$25,0),FALSE)/HLOOKUP(2018,DEMANDS!$G$2:$CK$25,MATCH($E43,DEMANDS!$E$2:$E$25,0),FALSE)</f>
        <v>0.70823301064891753</v>
      </c>
      <c r="Q43" s="19">
        <f>HLOOKUP(REG_TRA_DEMANDS!Q$3,'BY-Demands'!$J$5:$AK$14,MATCH($E43,'BY-Demands'!$I$5:$I$14,0),FALSE)*HLOOKUP(REG_TRA_DEMANDS!$F43,DEMANDS!$G$2:$CK$25,MATCH($E43,DEMANDS!$E$2:$E$25,0),FALSE)/HLOOKUP(2018,DEMANDS!$G$2:$CK$25,MATCH($E43,DEMANDS!$E$2:$E$25,0),FALSE)</f>
        <v>1.2560697726510612</v>
      </c>
      <c r="R43" s="19">
        <f>HLOOKUP(REG_TRA_DEMANDS!R$3,'BY-Demands'!$J$5:$AK$14,MATCH($E43,'BY-Demands'!$I$5:$I$14,0),FALSE)*HLOOKUP(REG_TRA_DEMANDS!$F43,DEMANDS!$G$2:$CK$25,MATCH($E43,DEMANDS!$E$2:$E$25,0),FALSE)/HLOOKUP(2018,DEMANDS!$G$2:$CK$25,MATCH($E43,DEMANDS!$E$2:$E$25,0),FALSE)</f>
        <v>1.0658862896592816</v>
      </c>
      <c r="S43" s="19">
        <f>HLOOKUP(REG_TRA_DEMANDS!S$3,'BY-Demands'!$J$5:$AK$14,MATCH($E43,'BY-Demands'!$I$5:$I$14,0),FALSE)*HLOOKUP(REG_TRA_DEMANDS!$F43,DEMANDS!$G$2:$CK$25,MATCH($E43,DEMANDS!$E$2:$E$25,0),FALSE)/HLOOKUP(2018,DEMANDS!$G$2:$CK$25,MATCH($E43,DEMANDS!$E$2:$E$25,0),FALSE)</f>
        <v>0.96670583899384099</v>
      </c>
      <c r="T43" s="19">
        <f>HLOOKUP(REG_TRA_DEMANDS!T$3,'BY-Demands'!$J$5:$AK$14,MATCH($E43,'BY-Demands'!$I$5:$I$14,0),FALSE)*HLOOKUP(REG_TRA_DEMANDS!$F43,DEMANDS!$G$2:$CK$25,MATCH($E43,DEMANDS!$E$2:$E$25,0),FALSE)/HLOOKUP(2018,DEMANDS!$G$2:$CK$25,MATCH($E43,DEMANDS!$E$2:$E$25,0),FALSE)</f>
        <v>3.9067616610432201</v>
      </c>
      <c r="U43" s="19">
        <f>HLOOKUP(REG_TRA_DEMANDS!U$3,'BY-Demands'!$J$5:$AK$14,MATCH($E43,'BY-Demands'!$I$5:$I$14,0),FALSE)*HLOOKUP(REG_TRA_DEMANDS!$F43,DEMANDS!$G$2:$CK$25,MATCH($E43,DEMANDS!$E$2:$E$25,0),FALSE)/HLOOKUP(2018,DEMANDS!$G$2:$CK$25,MATCH($E43,DEMANDS!$E$2:$E$25,0),FALSE)</f>
        <v>1.278682041190909</v>
      </c>
      <c r="V43" s="19">
        <f>HLOOKUP(REG_TRA_DEMANDS!V$3,'BY-Demands'!$J$5:$AK$14,MATCH($E43,'BY-Demands'!$I$5:$I$14,0),FALSE)*HLOOKUP(REG_TRA_DEMANDS!$F43,DEMANDS!$G$2:$CK$25,MATCH($E43,DEMANDS!$E$2:$E$25,0),FALSE)/HLOOKUP(2018,DEMANDS!$G$2:$CK$25,MATCH($E43,DEMANDS!$E$2:$E$25,0),FALSE)</f>
        <v>1.4401250088354689</v>
      </c>
      <c r="W43" s="19">
        <f>HLOOKUP(REG_TRA_DEMANDS!W$3,'BY-Demands'!$J$5:$AK$14,MATCH($E43,'BY-Demands'!$I$5:$I$14,0),FALSE)*HLOOKUP(REG_TRA_DEMANDS!$F43,DEMANDS!$G$2:$CK$25,MATCH($E43,DEMANDS!$E$2:$E$25,0),FALSE)/HLOOKUP(2018,DEMANDS!$G$2:$CK$25,MATCH($E43,DEMANDS!$E$2:$E$25,0),FALSE)</f>
        <v>1.396750626810461</v>
      </c>
      <c r="X43" s="19">
        <f>HLOOKUP(REG_TRA_DEMANDS!X$3,'BY-Demands'!$J$5:$AK$14,MATCH($E43,'BY-Demands'!$I$5:$I$14,0),FALSE)*HLOOKUP(REG_TRA_DEMANDS!$F43,DEMANDS!$G$2:$CK$25,MATCH($E43,DEMANDS!$E$2:$E$25,0),FALSE)/HLOOKUP(2018,DEMANDS!$G$2:$CK$25,MATCH($E43,DEMANDS!$E$2:$E$25,0),FALSE)</f>
        <v>0.88117786717449742</v>
      </c>
      <c r="Y43" s="19">
        <f>HLOOKUP(REG_TRA_DEMANDS!Y$3,'BY-Demands'!$J$5:$AK$14,MATCH($E43,'BY-Demands'!$I$5:$I$14,0),FALSE)*HLOOKUP(REG_TRA_DEMANDS!$F43,DEMANDS!$G$2:$CK$25,MATCH($E43,DEMANDS!$E$2:$E$25,0),FALSE)/HLOOKUP(2018,DEMANDS!$G$2:$CK$25,MATCH($E43,DEMANDS!$E$2:$E$25,0),FALSE)</f>
        <v>1.9729042131711032</v>
      </c>
      <c r="Z43" s="19">
        <f>HLOOKUP(REG_TRA_DEMANDS!Z$3,'BY-Demands'!$J$5:$AK$14,MATCH($E43,'BY-Demands'!$I$5:$I$14,0),FALSE)*HLOOKUP(REG_TRA_DEMANDS!$F43,DEMANDS!$G$2:$CK$25,MATCH($E43,DEMANDS!$E$2:$E$25,0),FALSE)/HLOOKUP(2018,DEMANDS!$G$2:$CK$25,MATCH($E43,DEMANDS!$E$2:$E$25,0),FALSE)</f>
        <v>0.25857318025104098</v>
      </c>
      <c r="AA43" s="19">
        <f>HLOOKUP(REG_TRA_DEMANDS!AA$3,'BY-Demands'!$J$5:$AK$14,MATCH($E43,'BY-Demands'!$I$5:$I$14,0),FALSE)*HLOOKUP(REG_TRA_DEMANDS!$F43,DEMANDS!$G$2:$CK$25,MATCH($E43,DEMANDS!$E$2:$E$25,0),FALSE)/HLOOKUP(2018,DEMANDS!$G$2:$CK$25,MATCH($E43,DEMANDS!$E$2:$E$25,0),FALSE)</f>
        <v>1.0926554656775929</v>
      </c>
      <c r="AB43" s="19">
        <f>HLOOKUP(REG_TRA_DEMANDS!AB$3,'BY-Demands'!$J$5:$AK$14,MATCH($E43,'BY-Demands'!$I$5:$I$14,0),FALSE)*HLOOKUP(REG_TRA_DEMANDS!$F43,DEMANDS!$G$2:$CK$25,MATCH($E43,DEMANDS!$E$2:$E$25,0),FALSE)/HLOOKUP(2018,DEMANDS!$G$2:$CK$25,MATCH($E43,DEMANDS!$E$2:$E$25,0),FALSE)</f>
        <v>0.58831939013250778</v>
      </c>
      <c r="AC43" s="19">
        <f>HLOOKUP(REG_TRA_DEMANDS!AC$3,'BY-Demands'!$J$5:$AK$14,MATCH($E43,'BY-Demands'!$I$5:$I$14,0),FALSE)*HLOOKUP(REG_TRA_DEMANDS!$F43,DEMANDS!$G$2:$CK$25,MATCH($E43,DEMANDS!$E$2:$E$25,0),FALSE)/HLOOKUP(2018,DEMANDS!$G$2:$CK$25,MATCH($E43,DEMANDS!$E$2:$E$25,0),FALSE)</f>
        <v>0.47994814622004739</v>
      </c>
      <c r="AD43" s="19">
        <f>HLOOKUP(REG_TRA_DEMANDS!AD$3,'BY-Demands'!$J$5:$AK$14,MATCH($E43,'BY-Demands'!$I$5:$I$14,0),FALSE)*HLOOKUP(REG_TRA_DEMANDS!$F43,DEMANDS!$G$2:$CK$25,MATCH($E43,DEMANDS!$E$2:$E$25,0),FALSE)/HLOOKUP(2018,DEMANDS!$G$2:$CK$25,MATCH($E43,DEMANDS!$E$2:$E$25,0),FALSE)</f>
        <v>0.52149824146153123</v>
      </c>
      <c r="AE43" s="19">
        <f>HLOOKUP(REG_TRA_DEMANDS!AE$3,'BY-Demands'!$J$5:$AK$14,MATCH($E43,'BY-Demands'!$I$5:$I$14,0),FALSE)*HLOOKUP(REG_TRA_DEMANDS!$F43,DEMANDS!$G$2:$CK$25,MATCH($E43,DEMANDS!$E$2:$E$25,0),FALSE)/HLOOKUP(2018,DEMANDS!$G$2:$CK$25,MATCH($E43,DEMANDS!$E$2:$E$25,0),FALSE)</f>
        <v>0.96042338248391979</v>
      </c>
      <c r="AF43" s="19">
        <f>HLOOKUP(REG_TRA_DEMANDS!AF$3,'BY-Demands'!$J$5:$AK$14,MATCH($E43,'BY-Demands'!$I$5:$I$14,0),FALSE)*HLOOKUP(REG_TRA_DEMANDS!$F43,DEMANDS!$G$2:$CK$25,MATCH($E43,DEMANDS!$E$2:$E$25,0),FALSE)/HLOOKUP(2018,DEMANDS!$G$2:$CK$25,MATCH($E43,DEMANDS!$E$2:$E$25,0),FALSE)</f>
        <v>0.52819644494837603</v>
      </c>
    </row>
    <row r="44" spans="4:32" ht="14.5">
      <c r="D44" t="s">
        <v>6</v>
      </c>
      <c r="E44" t="str">
        <f>DEMANDS!$E$18</f>
        <v>TRAPM</v>
      </c>
      <c r="F44">
        <v>2033</v>
      </c>
      <c r="G44" s="19">
        <f>HLOOKUP(REG_TRA_DEMANDS!G$3,'BY-Demands'!$J$5:$AK$14,MATCH($E44,'BY-Demands'!$I$5:$I$14,0),FALSE)*HLOOKUP(REG_TRA_DEMANDS!$F44,DEMANDS!$G$2:$CK$25,MATCH($E44,DEMANDS!$E$2:$E$25,0),FALSE)/HLOOKUP(2018,DEMANDS!$G$2:$CK$25,MATCH($E44,DEMANDS!$E$2:$E$25,0),FALSE)</f>
        <v>0.4894921483343237</v>
      </c>
      <c r="H44" s="19">
        <f>HLOOKUP(REG_TRA_DEMANDS!H$3,'BY-Demands'!$J$5:$AK$14,MATCH($E44,'BY-Demands'!$I$5:$I$14,0),FALSE)*HLOOKUP(REG_TRA_DEMANDS!$F44,DEMANDS!$G$2:$CK$25,MATCH($E44,DEMANDS!$E$2:$E$25,0),FALSE)/HLOOKUP(2018,DEMANDS!$G$2:$CK$25,MATCH($E44,DEMANDS!$E$2:$E$25,0),FALSE)</f>
        <v>8.5720767136946883</v>
      </c>
      <c r="I44" s="19">
        <f>HLOOKUP(REG_TRA_DEMANDS!I$3,'BY-Demands'!$J$5:$AK$14,MATCH($E44,'BY-Demands'!$I$5:$I$14,0),FALSE)*HLOOKUP(REG_TRA_DEMANDS!$F44,DEMANDS!$G$2:$CK$25,MATCH($E44,DEMANDS!$E$2:$E$25,0),FALSE)/HLOOKUP(2018,DEMANDS!$G$2:$CK$25,MATCH($E44,DEMANDS!$E$2:$E$25,0),FALSE)</f>
        <v>1.7455475773692708</v>
      </c>
      <c r="J44" s="19">
        <f>HLOOKUP(REG_TRA_DEMANDS!J$3,'BY-Demands'!$J$5:$AK$14,MATCH($E44,'BY-Demands'!$I$5:$I$14,0),FALSE)*HLOOKUP(REG_TRA_DEMANDS!$F44,DEMANDS!$G$2:$CK$25,MATCH($E44,DEMANDS!$E$2:$E$25,0),FALSE)/HLOOKUP(2018,DEMANDS!$G$2:$CK$25,MATCH($E44,DEMANDS!$E$2:$E$25,0),FALSE)</f>
        <v>0.82899445666004801</v>
      </c>
      <c r="K44" s="19">
        <f>HLOOKUP(REG_TRA_DEMANDS!K$3,'BY-Demands'!$J$5:$AK$14,MATCH($E44,'BY-Demands'!$I$5:$I$14,0),FALSE)*HLOOKUP(REG_TRA_DEMANDS!$F44,DEMANDS!$G$2:$CK$25,MATCH($E44,DEMANDS!$E$2:$E$25,0),FALSE)/HLOOKUP(2018,DEMANDS!$G$2:$CK$25,MATCH($E44,DEMANDS!$E$2:$E$25,0),FALSE)</f>
        <v>0.62370654762559119</v>
      </c>
      <c r="L44" s="19">
        <f>HLOOKUP(REG_TRA_DEMANDS!L$3,'BY-Demands'!$J$5:$AK$14,MATCH($E44,'BY-Demands'!$I$5:$I$14,0),FALSE)*HLOOKUP(REG_TRA_DEMANDS!$F44,DEMANDS!$G$2:$CK$25,MATCH($E44,DEMANDS!$E$2:$E$25,0),FALSE)/HLOOKUP(2018,DEMANDS!$G$2:$CK$25,MATCH($E44,DEMANDS!$E$2:$E$25,0),FALSE)</f>
        <v>0.32133040111758432</v>
      </c>
      <c r="M44" s="19">
        <f>HLOOKUP(REG_TRA_DEMANDS!M$3,'BY-Demands'!$J$5:$AK$14,MATCH($E44,'BY-Demands'!$I$5:$I$14,0),FALSE)*HLOOKUP(REG_TRA_DEMANDS!$F44,DEMANDS!$G$2:$CK$25,MATCH($E44,DEMANDS!$E$2:$E$25,0),FALSE)/HLOOKUP(2018,DEMANDS!$G$2:$CK$25,MATCH($E44,DEMANDS!$E$2:$E$25,0),FALSE)</f>
        <v>0.86552021047205818</v>
      </c>
      <c r="N44" s="19">
        <f>HLOOKUP(REG_TRA_DEMANDS!N$3,'BY-Demands'!$J$5:$AK$14,MATCH($E44,'BY-Demands'!$I$5:$I$14,0),FALSE)*HLOOKUP(REG_TRA_DEMANDS!$F44,DEMANDS!$G$2:$CK$25,MATCH($E44,DEMANDS!$E$2:$E$25,0),FALSE)/HLOOKUP(2018,DEMANDS!$G$2:$CK$25,MATCH($E44,DEMANDS!$E$2:$E$25,0),FALSE)</f>
        <v>1.5026420206387019</v>
      </c>
      <c r="O44" s="19">
        <f>HLOOKUP(REG_TRA_DEMANDS!O$3,'BY-Demands'!$J$5:$AK$14,MATCH($E44,'BY-Demands'!$I$5:$I$14,0),FALSE)*HLOOKUP(REG_TRA_DEMANDS!$F44,DEMANDS!$G$2:$CK$25,MATCH($E44,DEMANDS!$E$2:$E$25,0),FALSE)/HLOOKUP(2018,DEMANDS!$G$2:$CK$25,MATCH($E44,DEMANDS!$E$2:$E$25,0),FALSE)</f>
        <v>0.63680574339409457</v>
      </c>
      <c r="P44" s="19">
        <f>HLOOKUP(REG_TRA_DEMANDS!P$3,'BY-Demands'!$J$5:$AK$14,MATCH($E44,'BY-Demands'!$I$5:$I$14,0),FALSE)*HLOOKUP(REG_TRA_DEMANDS!$F44,DEMANDS!$G$2:$CK$25,MATCH($E44,DEMANDS!$E$2:$E$25,0),FALSE)/HLOOKUP(2018,DEMANDS!$G$2:$CK$25,MATCH($E44,DEMANDS!$E$2:$E$25,0),FALSE)</f>
        <v>0.71885650580865124</v>
      </c>
      <c r="Q44" s="19">
        <f>HLOOKUP(REG_TRA_DEMANDS!Q$3,'BY-Demands'!$J$5:$AK$14,MATCH($E44,'BY-Demands'!$I$5:$I$14,0),FALSE)*HLOOKUP(REG_TRA_DEMANDS!$F44,DEMANDS!$G$2:$CK$25,MATCH($E44,DEMANDS!$E$2:$E$25,0),FALSE)/HLOOKUP(2018,DEMANDS!$G$2:$CK$25,MATCH($E44,DEMANDS!$E$2:$E$25,0),FALSE)</f>
        <v>1.2749108192408269</v>
      </c>
      <c r="R44" s="19">
        <f>HLOOKUP(REG_TRA_DEMANDS!R$3,'BY-Demands'!$J$5:$AK$14,MATCH($E44,'BY-Demands'!$I$5:$I$14,0),FALSE)*HLOOKUP(REG_TRA_DEMANDS!$F44,DEMANDS!$G$2:$CK$25,MATCH($E44,DEMANDS!$E$2:$E$25,0),FALSE)/HLOOKUP(2018,DEMANDS!$G$2:$CK$25,MATCH($E44,DEMANDS!$E$2:$E$25,0),FALSE)</f>
        <v>1.0818745840041706</v>
      </c>
      <c r="S44" s="19">
        <f>HLOOKUP(REG_TRA_DEMANDS!S$3,'BY-Demands'!$J$5:$AK$14,MATCH($E44,'BY-Demands'!$I$5:$I$14,0),FALSE)*HLOOKUP(REG_TRA_DEMANDS!$F44,DEMANDS!$G$2:$CK$25,MATCH($E44,DEMANDS!$E$2:$E$25,0),FALSE)/HLOOKUP(2018,DEMANDS!$G$2:$CK$25,MATCH($E44,DEMANDS!$E$2:$E$25,0),FALSE)</f>
        <v>0.98120642657874846</v>
      </c>
      <c r="T44" s="19">
        <f>HLOOKUP(REG_TRA_DEMANDS!T$3,'BY-Demands'!$J$5:$AK$14,MATCH($E44,'BY-Demands'!$I$5:$I$14,0),FALSE)*HLOOKUP(REG_TRA_DEMANDS!$F44,DEMANDS!$G$2:$CK$25,MATCH($E44,DEMANDS!$E$2:$E$25,0),FALSE)/HLOOKUP(2018,DEMANDS!$G$2:$CK$25,MATCH($E44,DEMANDS!$E$2:$E$25,0),FALSE)</f>
        <v>3.965363085958868</v>
      </c>
      <c r="U44" s="19">
        <f>HLOOKUP(REG_TRA_DEMANDS!U$3,'BY-Demands'!$J$5:$AK$14,MATCH($E44,'BY-Demands'!$I$5:$I$14,0),FALSE)*HLOOKUP(REG_TRA_DEMANDS!$F44,DEMANDS!$G$2:$CK$25,MATCH($E44,DEMANDS!$E$2:$E$25,0),FALSE)/HLOOKUP(2018,DEMANDS!$G$2:$CK$25,MATCH($E44,DEMANDS!$E$2:$E$25,0),FALSE)</f>
        <v>1.2978622718087724</v>
      </c>
      <c r="V44" s="19">
        <f>HLOOKUP(REG_TRA_DEMANDS!V$3,'BY-Demands'!$J$5:$AK$14,MATCH($E44,'BY-Demands'!$I$5:$I$14,0),FALSE)*HLOOKUP(REG_TRA_DEMANDS!$F44,DEMANDS!$G$2:$CK$25,MATCH($E44,DEMANDS!$E$2:$E$25,0),FALSE)/HLOOKUP(2018,DEMANDS!$G$2:$CK$25,MATCH($E44,DEMANDS!$E$2:$E$25,0),FALSE)</f>
        <v>1.4617268839680007</v>
      </c>
      <c r="W44" s="19">
        <f>HLOOKUP(REG_TRA_DEMANDS!W$3,'BY-Demands'!$J$5:$AK$14,MATCH($E44,'BY-Demands'!$I$5:$I$14,0),FALSE)*HLOOKUP(REG_TRA_DEMANDS!$F44,DEMANDS!$G$2:$CK$25,MATCH($E44,DEMANDS!$E$2:$E$25,0),FALSE)/HLOOKUP(2018,DEMANDS!$G$2:$CK$25,MATCH($E44,DEMANDS!$E$2:$E$25,0),FALSE)</f>
        <v>1.4177018862126176</v>
      </c>
      <c r="X44" s="19">
        <f>HLOOKUP(REG_TRA_DEMANDS!X$3,'BY-Demands'!$J$5:$AK$14,MATCH($E44,'BY-Demands'!$I$5:$I$14,0),FALSE)*HLOOKUP(REG_TRA_DEMANDS!$F44,DEMANDS!$G$2:$CK$25,MATCH($E44,DEMANDS!$E$2:$E$25,0),FALSE)/HLOOKUP(2018,DEMANDS!$G$2:$CK$25,MATCH($E44,DEMANDS!$E$2:$E$25,0),FALSE)</f>
        <v>0.89439553518211468</v>
      </c>
      <c r="Y44" s="19">
        <f>HLOOKUP(REG_TRA_DEMANDS!Y$3,'BY-Demands'!$J$5:$AK$14,MATCH($E44,'BY-Demands'!$I$5:$I$14,0),FALSE)*HLOOKUP(REG_TRA_DEMANDS!$F44,DEMANDS!$G$2:$CK$25,MATCH($E44,DEMANDS!$E$2:$E$25,0),FALSE)/HLOOKUP(2018,DEMANDS!$G$2:$CK$25,MATCH($E44,DEMANDS!$E$2:$E$25,0),FALSE)</f>
        <v>2.0024977763686698</v>
      </c>
      <c r="Z44" s="19">
        <f>HLOOKUP(REG_TRA_DEMANDS!Z$3,'BY-Demands'!$J$5:$AK$14,MATCH($E44,'BY-Demands'!$I$5:$I$14,0),FALSE)*HLOOKUP(REG_TRA_DEMANDS!$F44,DEMANDS!$G$2:$CK$25,MATCH($E44,DEMANDS!$E$2:$E$25,0),FALSE)/HLOOKUP(2018,DEMANDS!$G$2:$CK$25,MATCH($E44,DEMANDS!$E$2:$E$25,0),FALSE)</f>
        <v>0.26245177795480656</v>
      </c>
      <c r="AA44" s="19">
        <f>HLOOKUP(REG_TRA_DEMANDS!AA$3,'BY-Demands'!$J$5:$AK$14,MATCH($E44,'BY-Demands'!$I$5:$I$14,0),FALSE)*HLOOKUP(REG_TRA_DEMANDS!$F44,DEMANDS!$G$2:$CK$25,MATCH($E44,DEMANDS!$E$2:$E$25,0),FALSE)/HLOOKUP(2018,DEMANDS!$G$2:$CK$25,MATCH($E44,DEMANDS!$E$2:$E$25,0),FALSE)</f>
        <v>1.1090452976627567</v>
      </c>
      <c r="AB44" s="19">
        <f>HLOOKUP(REG_TRA_DEMANDS!AB$3,'BY-Demands'!$J$5:$AK$14,MATCH($E44,'BY-Demands'!$I$5:$I$14,0),FALSE)*HLOOKUP(REG_TRA_DEMANDS!$F44,DEMANDS!$G$2:$CK$25,MATCH($E44,DEMANDS!$E$2:$E$25,0),FALSE)/HLOOKUP(2018,DEMANDS!$G$2:$CK$25,MATCH($E44,DEMANDS!$E$2:$E$25,0),FALSE)</f>
        <v>0.59714418098449529</v>
      </c>
      <c r="AC44" s="19">
        <f>HLOOKUP(REG_TRA_DEMANDS!AC$3,'BY-Demands'!$J$5:$AK$14,MATCH($E44,'BY-Demands'!$I$5:$I$14,0),FALSE)*HLOOKUP(REG_TRA_DEMANDS!$F44,DEMANDS!$G$2:$CK$25,MATCH($E44,DEMANDS!$E$2:$E$25,0),FALSE)/HLOOKUP(2018,DEMANDS!$G$2:$CK$25,MATCH($E44,DEMANDS!$E$2:$E$25,0),FALSE)</f>
        <v>0.4871473684133481</v>
      </c>
      <c r="AD44" s="19">
        <f>HLOOKUP(REG_TRA_DEMANDS!AD$3,'BY-Demands'!$J$5:$AK$14,MATCH($E44,'BY-Demands'!$I$5:$I$14,0),FALSE)*HLOOKUP(REG_TRA_DEMANDS!$F44,DEMANDS!$G$2:$CK$25,MATCH($E44,DEMANDS!$E$2:$E$25,0),FALSE)/HLOOKUP(2018,DEMANDS!$G$2:$CK$25,MATCH($E44,DEMANDS!$E$2:$E$25,0),FALSE)</f>
        <v>0.52932071508345413</v>
      </c>
      <c r="AE44" s="19">
        <f>HLOOKUP(REG_TRA_DEMANDS!AE$3,'BY-Demands'!$J$5:$AK$14,MATCH($E44,'BY-Demands'!$I$5:$I$14,0),FALSE)*HLOOKUP(REG_TRA_DEMANDS!$F44,DEMANDS!$G$2:$CK$25,MATCH($E44,DEMANDS!$E$2:$E$25,0),FALSE)/HLOOKUP(2018,DEMANDS!$G$2:$CK$25,MATCH($E44,DEMANDS!$E$2:$E$25,0),FALSE)</f>
        <v>0.97482973322117838</v>
      </c>
      <c r="AF44" s="19">
        <f>HLOOKUP(REG_TRA_DEMANDS!AF$3,'BY-Demands'!$J$5:$AK$14,MATCH($E44,'BY-Demands'!$I$5:$I$14,0),FALSE)*HLOOKUP(REG_TRA_DEMANDS!$F44,DEMANDS!$G$2:$CK$25,MATCH($E44,DEMANDS!$E$2:$E$25,0),FALSE)/HLOOKUP(2018,DEMANDS!$G$2:$CK$25,MATCH($E44,DEMANDS!$E$2:$E$25,0),FALSE)</f>
        <v>0.53611939162260158</v>
      </c>
    </row>
    <row r="45" spans="4:32" ht="14.5">
      <c r="D45" t="s">
        <v>6</v>
      </c>
      <c r="E45" t="str">
        <f>DEMANDS!$E$18</f>
        <v>TRAPM</v>
      </c>
      <c r="F45">
        <v>2034</v>
      </c>
      <c r="G45" s="19">
        <f>HLOOKUP(REG_TRA_DEMANDS!G$3,'BY-Demands'!$J$5:$AK$14,MATCH($E45,'BY-Demands'!$I$5:$I$14,0),FALSE)*HLOOKUP(REG_TRA_DEMANDS!$F45,DEMANDS!$G$2:$CK$25,MATCH($E45,DEMANDS!$E$2:$E$25,0),FALSE)/HLOOKUP(2018,DEMANDS!$G$2:$CK$25,MATCH($E45,DEMANDS!$E$2:$E$25,0),FALSE)</f>
        <v>0.49683453055933852</v>
      </c>
      <c r="H45" s="19">
        <f>HLOOKUP(REG_TRA_DEMANDS!H$3,'BY-Demands'!$J$5:$AK$14,MATCH($E45,'BY-Demands'!$I$5:$I$14,0),FALSE)*HLOOKUP(REG_TRA_DEMANDS!$F45,DEMANDS!$G$2:$CK$25,MATCH($E45,DEMANDS!$E$2:$E$25,0),FALSE)/HLOOKUP(2018,DEMANDS!$G$2:$CK$25,MATCH($E45,DEMANDS!$E$2:$E$25,0),FALSE)</f>
        <v>8.7006578644001085</v>
      </c>
      <c r="I45" s="19">
        <f>HLOOKUP(REG_TRA_DEMANDS!I$3,'BY-Demands'!$J$5:$AK$14,MATCH($E45,'BY-Demands'!$I$5:$I$14,0),FALSE)*HLOOKUP(REG_TRA_DEMANDS!$F45,DEMANDS!$G$2:$CK$25,MATCH($E45,DEMANDS!$E$2:$E$25,0),FALSE)/HLOOKUP(2018,DEMANDS!$G$2:$CK$25,MATCH($E45,DEMANDS!$E$2:$E$25,0),FALSE)</f>
        <v>1.7717307910298097</v>
      </c>
      <c r="J45" s="19">
        <f>HLOOKUP(REG_TRA_DEMANDS!J$3,'BY-Demands'!$J$5:$AK$14,MATCH($E45,'BY-Demands'!$I$5:$I$14,0),FALSE)*HLOOKUP(REG_TRA_DEMANDS!$F45,DEMANDS!$G$2:$CK$25,MATCH($E45,DEMANDS!$E$2:$E$25,0),FALSE)/HLOOKUP(2018,DEMANDS!$G$2:$CK$25,MATCH($E45,DEMANDS!$E$2:$E$25,0),FALSE)</f>
        <v>0.84142937350994873</v>
      </c>
      <c r="K45" s="19">
        <f>HLOOKUP(REG_TRA_DEMANDS!K$3,'BY-Demands'!$J$5:$AK$14,MATCH($E45,'BY-Demands'!$I$5:$I$14,0),FALSE)*HLOOKUP(REG_TRA_DEMANDS!$F45,DEMANDS!$G$2:$CK$25,MATCH($E45,DEMANDS!$E$2:$E$25,0),FALSE)/HLOOKUP(2018,DEMANDS!$G$2:$CK$25,MATCH($E45,DEMANDS!$E$2:$E$25,0),FALSE)</f>
        <v>0.63306214583997511</v>
      </c>
      <c r="L45" s="19">
        <f>HLOOKUP(REG_TRA_DEMANDS!L$3,'BY-Demands'!$J$5:$AK$14,MATCH($E45,'BY-Demands'!$I$5:$I$14,0),FALSE)*HLOOKUP(REG_TRA_DEMANDS!$F45,DEMANDS!$G$2:$CK$25,MATCH($E45,DEMANDS!$E$2:$E$25,0),FALSE)/HLOOKUP(2018,DEMANDS!$G$2:$CK$25,MATCH($E45,DEMANDS!$E$2:$E$25,0),FALSE)</f>
        <v>0.32615035713434809</v>
      </c>
      <c r="M45" s="19">
        <f>HLOOKUP(REG_TRA_DEMANDS!M$3,'BY-Demands'!$J$5:$AK$14,MATCH($E45,'BY-Demands'!$I$5:$I$14,0),FALSE)*HLOOKUP(REG_TRA_DEMANDS!$F45,DEMANDS!$G$2:$CK$25,MATCH($E45,DEMANDS!$E$2:$E$25,0),FALSE)/HLOOKUP(2018,DEMANDS!$G$2:$CK$25,MATCH($E45,DEMANDS!$E$2:$E$25,0),FALSE)</f>
        <v>0.87850301362913896</v>
      </c>
      <c r="N45" s="19">
        <f>HLOOKUP(REG_TRA_DEMANDS!N$3,'BY-Demands'!$J$5:$AK$14,MATCH($E45,'BY-Demands'!$I$5:$I$14,0),FALSE)*HLOOKUP(REG_TRA_DEMANDS!$F45,DEMANDS!$G$2:$CK$25,MATCH($E45,DEMANDS!$E$2:$E$25,0),FALSE)/HLOOKUP(2018,DEMANDS!$G$2:$CK$25,MATCH($E45,DEMANDS!$E$2:$E$25,0),FALSE)</f>
        <v>1.5251816509482823</v>
      </c>
      <c r="O45" s="19">
        <f>HLOOKUP(REG_TRA_DEMANDS!O$3,'BY-Demands'!$J$5:$AK$14,MATCH($E45,'BY-Demands'!$I$5:$I$14,0),FALSE)*HLOOKUP(REG_TRA_DEMANDS!$F45,DEMANDS!$G$2:$CK$25,MATCH($E45,DEMANDS!$E$2:$E$25,0),FALSE)/HLOOKUP(2018,DEMANDS!$G$2:$CK$25,MATCH($E45,DEMANDS!$E$2:$E$25,0),FALSE)</f>
        <v>0.64635782954500609</v>
      </c>
      <c r="P45" s="19">
        <f>HLOOKUP(REG_TRA_DEMANDS!P$3,'BY-Demands'!$J$5:$AK$14,MATCH($E45,'BY-Demands'!$I$5:$I$14,0),FALSE)*HLOOKUP(REG_TRA_DEMANDS!$F45,DEMANDS!$G$2:$CK$25,MATCH($E45,DEMANDS!$E$2:$E$25,0),FALSE)/HLOOKUP(2018,DEMANDS!$G$2:$CK$25,MATCH($E45,DEMANDS!$E$2:$E$25,0),FALSE)</f>
        <v>0.7296393533957809</v>
      </c>
      <c r="Q45" s="19">
        <f>HLOOKUP(REG_TRA_DEMANDS!Q$3,'BY-Demands'!$J$5:$AK$14,MATCH($E45,'BY-Demands'!$I$5:$I$14,0),FALSE)*HLOOKUP(REG_TRA_DEMANDS!$F45,DEMANDS!$G$2:$CK$25,MATCH($E45,DEMANDS!$E$2:$E$25,0),FALSE)/HLOOKUP(2018,DEMANDS!$G$2:$CK$25,MATCH($E45,DEMANDS!$E$2:$E$25,0),FALSE)</f>
        <v>1.2940344815294393</v>
      </c>
      <c r="R45" s="19">
        <f>HLOOKUP(REG_TRA_DEMANDS!R$3,'BY-Demands'!$J$5:$AK$14,MATCH($E45,'BY-Demands'!$I$5:$I$14,0),FALSE)*HLOOKUP(REG_TRA_DEMANDS!$F45,DEMANDS!$G$2:$CK$25,MATCH($E45,DEMANDS!$E$2:$E$25,0),FALSE)/HLOOKUP(2018,DEMANDS!$G$2:$CK$25,MATCH($E45,DEMANDS!$E$2:$E$25,0),FALSE)</f>
        <v>1.0981027027642329</v>
      </c>
      <c r="S45" s="19">
        <f>HLOOKUP(REG_TRA_DEMANDS!S$3,'BY-Demands'!$J$5:$AK$14,MATCH($E45,'BY-Demands'!$I$5:$I$14,0),FALSE)*HLOOKUP(REG_TRA_DEMANDS!$F45,DEMANDS!$G$2:$CK$25,MATCH($E45,DEMANDS!$E$2:$E$25,0),FALSE)/HLOOKUP(2018,DEMANDS!$G$2:$CK$25,MATCH($E45,DEMANDS!$E$2:$E$25,0),FALSE)</f>
        <v>0.99592452297742973</v>
      </c>
      <c r="T45" s="19">
        <f>HLOOKUP(REG_TRA_DEMANDS!T$3,'BY-Demands'!$J$5:$AK$14,MATCH($E45,'BY-Demands'!$I$5:$I$14,0),FALSE)*HLOOKUP(REG_TRA_DEMANDS!$F45,DEMANDS!$G$2:$CK$25,MATCH($E45,DEMANDS!$E$2:$E$25,0),FALSE)/HLOOKUP(2018,DEMANDS!$G$2:$CK$25,MATCH($E45,DEMANDS!$E$2:$E$25,0),FALSE)</f>
        <v>4.0248435322482505</v>
      </c>
      <c r="U45" s="19">
        <f>HLOOKUP(REG_TRA_DEMANDS!U$3,'BY-Demands'!$J$5:$AK$14,MATCH($E45,'BY-Demands'!$I$5:$I$14,0),FALSE)*HLOOKUP(REG_TRA_DEMANDS!$F45,DEMANDS!$G$2:$CK$25,MATCH($E45,DEMANDS!$E$2:$E$25,0),FALSE)/HLOOKUP(2018,DEMANDS!$G$2:$CK$25,MATCH($E45,DEMANDS!$E$2:$E$25,0),FALSE)</f>
        <v>1.317330205885904</v>
      </c>
      <c r="V45" s="19">
        <f>HLOOKUP(REG_TRA_DEMANDS!V$3,'BY-Demands'!$J$5:$AK$14,MATCH($E45,'BY-Demands'!$I$5:$I$14,0),FALSE)*HLOOKUP(REG_TRA_DEMANDS!$F45,DEMANDS!$G$2:$CK$25,MATCH($E45,DEMANDS!$E$2:$E$25,0),FALSE)/HLOOKUP(2018,DEMANDS!$G$2:$CK$25,MATCH($E45,DEMANDS!$E$2:$E$25,0),FALSE)</f>
        <v>1.4836527872275207</v>
      </c>
      <c r="W45" s="19">
        <f>HLOOKUP(REG_TRA_DEMANDS!W$3,'BY-Demands'!$J$5:$AK$14,MATCH($E45,'BY-Demands'!$I$5:$I$14,0),FALSE)*HLOOKUP(REG_TRA_DEMANDS!$F45,DEMANDS!$G$2:$CK$25,MATCH($E45,DEMANDS!$E$2:$E$25,0),FALSE)/HLOOKUP(2018,DEMANDS!$G$2:$CK$25,MATCH($E45,DEMANDS!$E$2:$E$25,0),FALSE)</f>
        <v>1.4389674145058069</v>
      </c>
      <c r="X45" s="19">
        <f>HLOOKUP(REG_TRA_DEMANDS!X$3,'BY-Demands'!$J$5:$AK$14,MATCH($E45,'BY-Demands'!$I$5:$I$14,0),FALSE)*HLOOKUP(REG_TRA_DEMANDS!$F45,DEMANDS!$G$2:$CK$25,MATCH($E45,DEMANDS!$E$2:$E$25,0),FALSE)/HLOOKUP(2018,DEMANDS!$G$2:$CK$25,MATCH($E45,DEMANDS!$E$2:$E$25,0),FALSE)</f>
        <v>0.90781146820984626</v>
      </c>
      <c r="Y45" s="19">
        <f>HLOOKUP(REG_TRA_DEMANDS!Y$3,'BY-Demands'!$J$5:$AK$14,MATCH($E45,'BY-Demands'!$I$5:$I$14,0),FALSE)*HLOOKUP(REG_TRA_DEMANDS!$F45,DEMANDS!$G$2:$CK$25,MATCH($E45,DEMANDS!$E$2:$E$25,0),FALSE)/HLOOKUP(2018,DEMANDS!$G$2:$CK$25,MATCH($E45,DEMANDS!$E$2:$E$25,0),FALSE)</f>
        <v>2.0325352430141996</v>
      </c>
      <c r="Z45" s="19">
        <f>HLOOKUP(REG_TRA_DEMANDS!Z$3,'BY-Demands'!$J$5:$AK$14,MATCH($E45,'BY-Demands'!$I$5:$I$14,0),FALSE)*HLOOKUP(REG_TRA_DEMANDS!$F45,DEMANDS!$G$2:$CK$25,MATCH($E45,DEMANDS!$E$2:$E$25,0),FALSE)/HLOOKUP(2018,DEMANDS!$G$2:$CK$25,MATCH($E45,DEMANDS!$E$2:$E$25,0),FALSE)</f>
        <v>0.26638855462412858</v>
      </c>
      <c r="AA45" s="19">
        <f>HLOOKUP(REG_TRA_DEMANDS!AA$3,'BY-Demands'!$J$5:$AK$14,MATCH($E45,'BY-Demands'!$I$5:$I$14,0),FALSE)*HLOOKUP(REG_TRA_DEMANDS!$F45,DEMANDS!$G$2:$CK$25,MATCH($E45,DEMANDS!$E$2:$E$25,0),FALSE)/HLOOKUP(2018,DEMANDS!$G$2:$CK$25,MATCH($E45,DEMANDS!$E$2:$E$25,0),FALSE)</f>
        <v>1.1256809771276981</v>
      </c>
      <c r="AB45" s="19">
        <f>HLOOKUP(REG_TRA_DEMANDS!AB$3,'BY-Demands'!$J$5:$AK$14,MATCH($E45,'BY-Demands'!$I$5:$I$14,0),FALSE)*HLOOKUP(REG_TRA_DEMANDS!$F45,DEMANDS!$G$2:$CK$25,MATCH($E45,DEMANDS!$E$2:$E$25,0),FALSE)/HLOOKUP(2018,DEMANDS!$G$2:$CK$25,MATCH($E45,DEMANDS!$E$2:$E$25,0),FALSE)</f>
        <v>0.60610134369926283</v>
      </c>
      <c r="AC45" s="19">
        <f>HLOOKUP(REG_TRA_DEMANDS!AC$3,'BY-Demands'!$J$5:$AK$14,MATCH($E45,'BY-Demands'!$I$5:$I$14,0),FALSE)*HLOOKUP(REG_TRA_DEMANDS!$F45,DEMANDS!$G$2:$CK$25,MATCH($E45,DEMANDS!$E$2:$E$25,0),FALSE)/HLOOKUP(2018,DEMANDS!$G$2:$CK$25,MATCH($E45,DEMANDS!$E$2:$E$25,0),FALSE)</f>
        <v>0.49445457893954825</v>
      </c>
      <c r="AD45" s="19">
        <f>HLOOKUP(REG_TRA_DEMANDS!AD$3,'BY-Demands'!$J$5:$AK$14,MATCH($E45,'BY-Demands'!$I$5:$I$14,0),FALSE)*HLOOKUP(REG_TRA_DEMANDS!$F45,DEMANDS!$G$2:$CK$25,MATCH($E45,DEMANDS!$E$2:$E$25,0),FALSE)/HLOOKUP(2018,DEMANDS!$G$2:$CK$25,MATCH($E45,DEMANDS!$E$2:$E$25,0),FALSE)</f>
        <v>0.53726052580970585</v>
      </c>
      <c r="AE45" s="19">
        <f>HLOOKUP(REG_TRA_DEMANDS!AE$3,'BY-Demands'!$J$5:$AK$14,MATCH($E45,'BY-Demands'!$I$5:$I$14,0),FALSE)*HLOOKUP(REG_TRA_DEMANDS!$F45,DEMANDS!$G$2:$CK$25,MATCH($E45,DEMANDS!$E$2:$E$25,0),FALSE)/HLOOKUP(2018,DEMANDS!$G$2:$CK$25,MATCH($E45,DEMANDS!$E$2:$E$25,0),FALSE)</f>
        <v>0.98945217921949602</v>
      </c>
      <c r="AF45" s="19">
        <f>HLOOKUP(REG_TRA_DEMANDS!AF$3,'BY-Demands'!$J$5:$AK$14,MATCH($E45,'BY-Demands'!$I$5:$I$14,0),FALSE)*HLOOKUP(REG_TRA_DEMANDS!$F45,DEMANDS!$G$2:$CK$25,MATCH($E45,DEMANDS!$E$2:$E$25,0),FALSE)/HLOOKUP(2018,DEMANDS!$G$2:$CK$25,MATCH($E45,DEMANDS!$E$2:$E$25,0),FALSE)</f>
        <v>0.54416118249694057</v>
      </c>
    </row>
    <row r="46" spans="4:32" ht="14.5">
      <c r="D46" t="s">
        <v>6</v>
      </c>
      <c r="E46" t="str">
        <f>DEMANDS!$E$18</f>
        <v>TRAPM</v>
      </c>
      <c r="F46">
        <v>2035</v>
      </c>
      <c r="G46" s="19">
        <f>HLOOKUP(REG_TRA_DEMANDS!G$3,'BY-Demands'!$J$5:$AK$14,MATCH($E46,'BY-Demands'!$I$5:$I$14,0),FALSE)*HLOOKUP(REG_TRA_DEMANDS!$F46,DEMANDS!$G$2:$CK$25,MATCH($E46,DEMANDS!$E$2:$E$25,0),FALSE)/HLOOKUP(2018,DEMANDS!$G$2:$CK$25,MATCH($E46,DEMANDS!$E$2:$E$25,0),FALSE)</f>
        <v>0.50428704851772865</v>
      </c>
      <c r="H46" s="19">
        <f>HLOOKUP(REG_TRA_DEMANDS!H$3,'BY-Demands'!$J$5:$AK$14,MATCH($E46,'BY-Demands'!$I$5:$I$14,0),FALSE)*HLOOKUP(REG_TRA_DEMANDS!$F46,DEMANDS!$G$2:$CK$25,MATCH($E46,DEMANDS!$E$2:$E$25,0),FALSE)/HLOOKUP(2018,DEMANDS!$G$2:$CK$25,MATCH($E46,DEMANDS!$E$2:$E$25,0),FALSE)</f>
        <v>8.8311677323661097</v>
      </c>
      <c r="I46" s="19">
        <f>HLOOKUP(REG_TRA_DEMANDS!I$3,'BY-Demands'!$J$5:$AK$14,MATCH($E46,'BY-Demands'!$I$5:$I$14,0),FALSE)*HLOOKUP(REG_TRA_DEMANDS!$F46,DEMANDS!$G$2:$CK$25,MATCH($E46,DEMANDS!$E$2:$E$25,0),FALSE)/HLOOKUP(2018,DEMANDS!$G$2:$CK$25,MATCH($E46,DEMANDS!$E$2:$E$25,0),FALSE)</f>
        <v>1.7983067528952568</v>
      </c>
      <c r="J46" s="19">
        <f>HLOOKUP(REG_TRA_DEMANDS!J$3,'BY-Demands'!$J$5:$AK$14,MATCH($E46,'BY-Demands'!$I$5:$I$14,0),FALSE)*HLOOKUP(REG_TRA_DEMANDS!$F46,DEMANDS!$G$2:$CK$25,MATCH($E46,DEMANDS!$E$2:$E$25,0),FALSE)/HLOOKUP(2018,DEMANDS!$G$2:$CK$25,MATCH($E46,DEMANDS!$E$2:$E$25,0),FALSE)</f>
        <v>0.85405081411259798</v>
      </c>
      <c r="K46" s="19">
        <f>HLOOKUP(REG_TRA_DEMANDS!K$3,'BY-Demands'!$J$5:$AK$14,MATCH($E46,'BY-Demands'!$I$5:$I$14,0),FALSE)*HLOOKUP(REG_TRA_DEMANDS!$F46,DEMANDS!$G$2:$CK$25,MATCH($E46,DEMANDS!$E$2:$E$25,0),FALSE)/HLOOKUP(2018,DEMANDS!$G$2:$CK$25,MATCH($E46,DEMANDS!$E$2:$E$25,0),FALSE)</f>
        <v>0.6425580780275747</v>
      </c>
      <c r="L46" s="19">
        <f>HLOOKUP(REG_TRA_DEMANDS!L$3,'BY-Demands'!$J$5:$AK$14,MATCH($E46,'BY-Demands'!$I$5:$I$14,0),FALSE)*HLOOKUP(REG_TRA_DEMANDS!$F46,DEMANDS!$G$2:$CK$25,MATCH($E46,DEMANDS!$E$2:$E$25,0),FALSE)/HLOOKUP(2018,DEMANDS!$G$2:$CK$25,MATCH($E46,DEMANDS!$E$2:$E$25,0),FALSE)</f>
        <v>0.3310426124913633</v>
      </c>
      <c r="M46" s="19">
        <f>HLOOKUP(REG_TRA_DEMANDS!M$3,'BY-Demands'!$J$5:$AK$14,MATCH($E46,'BY-Demands'!$I$5:$I$14,0),FALSE)*HLOOKUP(REG_TRA_DEMANDS!$F46,DEMANDS!$G$2:$CK$25,MATCH($E46,DEMANDS!$E$2:$E$25,0),FALSE)/HLOOKUP(2018,DEMANDS!$G$2:$CK$25,MATCH($E46,DEMANDS!$E$2:$E$25,0),FALSE)</f>
        <v>0.891680558833576</v>
      </c>
      <c r="N46" s="19">
        <f>HLOOKUP(REG_TRA_DEMANDS!N$3,'BY-Demands'!$J$5:$AK$14,MATCH($E46,'BY-Demands'!$I$5:$I$14,0),FALSE)*HLOOKUP(REG_TRA_DEMANDS!$F46,DEMANDS!$G$2:$CK$25,MATCH($E46,DEMANDS!$E$2:$E$25,0),FALSE)/HLOOKUP(2018,DEMANDS!$G$2:$CK$25,MATCH($E46,DEMANDS!$E$2:$E$25,0),FALSE)</f>
        <v>1.5480593757125065</v>
      </c>
      <c r="O46" s="19">
        <f>HLOOKUP(REG_TRA_DEMANDS!O$3,'BY-Demands'!$J$5:$AK$14,MATCH($E46,'BY-Demands'!$I$5:$I$14,0),FALSE)*HLOOKUP(REG_TRA_DEMANDS!$F46,DEMANDS!$G$2:$CK$25,MATCH($E46,DEMANDS!$E$2:$E$25,0),FALSE)/HLOOKUP(2018,DEMANDS!$G$2:$CK$25,MATCH($E46,DEMANDS!$E$2:$E$25,0),FALSE)</f>
        <v>0.6560531969881811</v>
      </c>
      <c r="P46" s="19">
        <f>HLOOKUP(REG_TRA_DEMANDS!P$3,'BY-Demands'!$J$5:$AK$14,MATCH($E46,'BY-Demands'!$I$5:$I$14,0),FALSE)*HLOOKUP(REG_TRA_DEMANDS!$F46,DEMANDS!$G$2:$CK$25,MATCH($E46,DEMANDS!$E$2:$E$25,0),FALSE)/HLOOKUP(2018,DEMANDS!$G$2:$CK$25,MATCH($E46,DEMANDS!$E$2:$E$25,0),FALSE)</f>
        <v>0.74058394369671765</v>
      </c>
      <c r="Q46" s="19">
        <f>HLOOKUP(REG_TRA_DEMANDS!Q$3,'BY-Demands'!$J$5:$AK$14,MATCH($E46,'BY-Demands'!$I$5:$I$14,0),FALSE)*HLOOKUP(REG_TRA_DEMANDS!$F46,DEMANDS!$G$2:$CK$25,MATCH($E46,DEMANDS!$E$2:$E$25,0),FALSE)/HLOOKUP(2018,DEMANDS!$G$2:$CK$25,MATCH($E46,DEMANDS!$E$2:$E$25,0),FALSE)</f>
        <v>1.3134449987523809</v>
      </c>
      <c r="R46" s="19">
        <f>HLOOKUP(REG_TRA_DEMANDS!R$3,'BY-Demands'!$J$5:$AK$14,MATCH($E46,'BY-Demands'!$I$5:$I$14,0),FALSE)*HLOOKUP(REG_TRA_DEMANDS!$F46,DEMANDS!$G$2:$CK$25,MATCH($E46,DEMANDS!$E$2:$E$25,0),FALSE)/HLOOKUP(2018,DEMANDS!$G$2:$CK$25,MATCH($E46,DEMANDS!$E$2:$E$25,0),FALSE)</f>
        <v>1.1145742433056964</v>
      </c>
      <c r="S46" s="19">
        <f>HLOOKUP(REG_TRA_DEMANDS!S$3,'BY-Demands'!$J$5:$AK$14,MATCH($E46,'BY-Demands'!$I$5:$I$14,0),FALSE)*HLOOKUP(REG_TRA_DEMANDS!$F46,DEMANDS!$G$2:$CK$25,MATCH($E46,DEMANDS!$E$2:$E$25,0),FALSE)/HLOOKUP(2018,DEMANDS!$G$2:$CK$25,MATCH($E46,DEMANDS!$E$2:$E$25,0),FALSE)</f>
        <v>1.010863390822091</v>
      </c>
      <c r="T46" s="19">
        <f>HLOOKUP(REG_TRA_DEMANDS!T$3,'BY-Demands'!$J$5:$AK$14,MATCH($E46,'BY-Demands'!$I$5:$I$14,0),FALSE)*HLOOKUP(REG_TRA_DEMANDS!$F46,DEMANDS!$G$2:$CK$25,MATCH($E46,DEMANDS!$E$2:$E$25,0),FALSE)/HLOOKUP(2018,DEMANDS!$G$2:$CK$25,MATCH($E46,DEMANDS!$E$2:$E$25,0),FALSE)</f>
        <v>4.0852161852319746</v>
      </c>
      <c r="U46" s="19">
        <f>HLOOKUP(REG_TRA_DEMANDS!U$3,'BY-Demands'!$J$5:$AK$14,MATCH($E46,'BY-Demands'!$I$5:$I$14,0),FALSE)*HLOOKUP(REG_TRA_DEMANDS!$F46,DEMANDS!$G$2:$CK$25,MATCH($E46,DEMANDS!$E$2:$E$25,0),FALSE)/HLOOKUP(2018,DEMANDS!$G$2:$CK$25,MATCH($E46,DEMANDS!$E$2:$E$25,0),FALSE)</f>
        <v>1.3370901589741924</v>
      </c>
      <c r="V46" s="19">
        <f>HLOOKUP(REG_TRA_DEMANDS!V$3,'BY-Demands'!$J$5:$AK$14,MATCH($E46,'BY-Demands'!$I$5:$I$14,0),FALSE)*HLOOKUP(REG_TRA_DEMANDS!$F46,DEMANDS!$G$2:$CK$25,MATCH($E46,DEMANDS!$E$2:$E$25,0),FALSE)/HLOOKUP(2018,DEMANDS!$G$2:$CK$25,MATCH($E46,DEMANDS!$E$2:$E$25,0),FALSE)</f>
        <v>1.5059075790359335</v>
      </c>
      <c r="W46" s="19">
        <f>HLOOKUP(REG_TRA_DEMANDS!W$3,'BY-Demands'!$J$5:$AK$14,MATCH($E46,'BY-Demands'!$I$5:$I$14,0),FALSE)*HLOOKUP(REG_TRA_DEMANDS!$F46,DEMANDS!$G$2:$CK$25,MATCH($E46,DEMANDS!$E$2:$E$25,0),FALSE)/HLOOKUP(2018,DEMANDS!$G$2:$CK$25,MATCH($E46,DEMANDS!$E$2:$E$25,0),FALSE)</f>
        <v>1.4605519257233939</v>
      </c>
      <c r="X46" s="19">
        <f>HLOOKUP(REG_TRA_DEMANDS!X$3,'BY-Demands'!$J$5:$AK$14,MATCH($E46,'BY-Demands'!$I$5:$I$14,0),FALSE)*HLOOKUP(REG_TRA_DEMANDS!$F46,DEMANDS!$G$2:$CK$25,MATCH($E46,DEMANDS!$E$2:$E$25,0),FALSE)/HLOOKUP(2018,DEMANDS!$G$2:$CK$25,MATCH($E46,DEMANDS!$E$2:$E$25,0),FALSE)</f>
        <v>0.92142864023299398</v>
      </c>
      <c r="Y46" s="19">
        <f>HLOOKUP(REG_TRA_DEMANDS!Y$3,'BY-Demands'!$J$5:$AK$14,MATCH($E46,'BY-Demands'!$I$5:$I$14,0),FALSE)*HLOOKUP(REG_TRA_DEMANDS!$F46,DEMANDS!$G$2:$CK$25,MATCH($E46,DEMANDS!$E$2:$E$25,0),FALSE)/HLOOKUP(2018,DEMANDS!$G$2:$CK$25,MATCH($E46,DEMANDS!$E$2:$E$25,0),FALSE)</f>
        <v>2.0630232716594121</v>
      </c>
      <c r="Z46" s="19">
        <f>HLOOKUP(REG_TRA_DEMANDS!Z$3,'BY-Demands'!$J$5:$AK$14,MATCH($E46,'BY-Demands'!$I$5:$I$14,0),FALSE)*HLOOKUP(REG_TRA_DEMANDS!$F46,DEMANDS!$G$2:$CK$25,MATCH($E46,DEMANDS!$E$2:$E$25,0),FALSE)/HLOOKUP(2018,DEMANDS!$G$2:$CK$25,MATCH($E46,DEMANDS!$E$2:$E$25,0),FALSE)</f>
        <v>0.27038438294349054</v>
      </c>
      <c r="AA46" s="19">
        <f>HLOOKUP(REG_TRA_DEMANDS!AA$3,'BY-Demands'!$J$5:$AK$14,MATCH($E46,'BY-Demands'!$I$5:$I$14,0),FALSE)*HLOOKUP(REG_TRA_DEMANDS!$F46,DEMANDS!$G$2:$CK$25,MATCH($E46,DEMANDS!$E$2:$E$25,0),FALSE)/HLOOKUP(2018,DEMANDS!$G$2:$CK$25,MATCH($E46,DEMANDS!$E$2:$E$25,0),FALSE)</f>
        <v>1.1425661917846135</v>
      </c>
      <c r="AB46" s="19">
        <f>HLOOKUP(REG_TRA_DEMANDS!AB$3,'BY-Demands'!$J$5:$AK$14,MATCH($E46,'BY-Demands'!$I$5:$I$14,0),FALSE)*HLOOKUP(REG_TRA_DEMANDS!$F46,DEMANDS!$G$2:$CK$25,MATCH($E46,DEMANDS!$E$2:$E$25,0),FALSE)/HLOOKUP(2018,DEMANDS!$G$2:$CK$25,MATCH($E46,DEMANDS!$E$2:$E$25,0),FALSE)</f>
        <v>0.61519286385475169</v>
      </c>
      <c r="AC46" s="19">
        <f>HLOOKUP(REG_TRA_DEMANDS!AC$3,'BY-Demands'!$J$5:$AK$14,MATCH($E46,'BY-Demands'!$I$5:$I$14,0),FALSE)*HLOOKUP(REG_TRA_DEMANDS!$F46,DEMANDS!$G$2:$CK$25,MATCH($E46,DEMANDS!$E$2:$E$25,0),FALSE)/HLOOKUP(2018,DEMANDS!$G$2:$CK$25,MATCH($E46,DEMANDS!$E$2:$E$25,0),FALSE)</f>
        <v>0.50187139762364141</v>
      </c>
      <c r="AD46" s="19">
        <f>HLOOKUP(REG_TRA_DEMANDS!AD$3,'BY-Demands'!$J$5:$AK$14,MATCH($E46,'BY-Demands'!$I$5:$I$14,0),FALSE)*HLOOKUP(REG_TRA_DEMANDS!$F46,DEMANDS!$G$2:$CK$25,MATCH($E46,DEMANDS!$E$2:$E$25,0),FALSE)/HLOOKUP(2018,DEMANDS!$G$2:$CK$25,MATCH($E46,DEMANDS!$E$2:$E$25,0),FALSE)</f>
        <v>0.54531943369685154</v>
      </c>
      <c r="AE46" s="19">
        <f>HLOOKUP(REG_TRA_DEMANDS!AE$3,'BY-Demands'!$J$5:$AK$14,MATCH($E46,'BY-Demands'!$I$5:$I$14,0),FALSE)*HLOOKUP(REG_TRA_DEMANDS!$F46,DEMANDS!$G$2:$CK$25,MATCH($E46,DEMANDS!$E$2:$E$25,0),FALSE)/HLOOKUP(2018,DEMANDS!$G$2:$CK$25,MATCH($E46,DEMANDS!$E$2:$E$25,0),FALSE)</f>
        <v>1.0042939619077886</v>
      </c>
      <c r="AF46" s="19">
        <f>HLOOKUP(REG_TRA_DEMANDS!AF$3,'BY-Demands'!$J$5:$AK$14,MATCH($E46,'BY-Demands'!$I$5:$I$14,0),FALSE)*HLOOKUP(REG_TRA_DEMANDS!$F46,DEMANDS!$G$2:$CK$25,MATCH($E46,DEMANDS!$E$2:$E$25,0),FALSE)/HLOOKUP(2018,DEMANDS!$G$2:$CK$25,MATCH($E46,DEMANDS!$E$2:$E$25,0),FALSE)</f>
        <v>0.55232360023439464</v>
      </c>
    </row>
    <row r="47" spans="4:32" ht="14.5">
      <c r="D47" t="s">
        <v>6</v>
      </c>
      <c r="E47" t="str">
        <f>DEMANDS!$E$18</f>
        <v>TRAPM</v>
      </c>
      <c r="F47">
        <v>2036</v>
      </c>
      <c r="G47" s="19">
        <f>HLOOKUP(REG_TRA_DEMANDS!G$3,'BY-Demands'!$J$5:$AK$14,MATCH($E47,'BY-Demands'!$I$5:$I$14,0),FALSE)*HLOOKUP(REG_TRA_DEMANDS!$F47,DEMANDS!$G$2:$CK$25,MATCH($E47,DEMANDS!$E$2:$E$25,0),FALSE)/HLOOKUP(2018,DEMANDS!$G$2:$CK$25,MATCH($E47,DEMANDS!$E$2:$E$25,0),FALSE)</f>
        <v>0.51185135424549455</v>
      </c>
      <c r="H47" s="19">
        <f>HLOOKUP(REG_TRA_DEMANDS!H$3,'BY-Demands'!$J$5:$AK$14,MATCH($E47,'BY-Demands'!$I$5:$I$14,0),FALSE)*HLOOKUP(REG_TRA_DEMANDS!$F47,DEMANDS!$G$2:$CK$25,MATCH($E47,DEMANDS!$E$2:$E$25,0),FALSE)/HLOOKUP(2018,DEMANDS!$G$2:$CK$25,MATCH($E47,DEMANDS!$E$2:$E$25,0),FALSE)</f>
        <v>8.9636352483516006</v>
      </c>
      <c r="I47" s="19">
        <f>HLOOKUP(REG_TRA_DEMANDS!I$3,'BY-Demands'!$J$5:$AK$14,MATCH($E47,'BY-Demands'!$I$5:$I$14,0),FALSE)*HLOOKUP(REG_TRA_DEMANDS!$F47,DEMANDS!$G$2:$CK$25,MATCH($E47,DEMANDS!$E$2:$E$25,0),FALSE)/HLOOKUP(2018,DEMANDS!$G$2:$CK$25,MATCH($E47,DEMANDS!$E$2:$E$25,0),FALSE)</f>
        <v>1.8252813541886856</v>
      </c>
      <c r="J47" s="19">
        <f>HLOOKUP(REG_TRA_DEMANDS!J$3,'BY-Demands'!$J$5:$AK$14,MATCH($E47,'BY-Demands'!$I$5:$I$14,0),FALSE)*HLOOKUP(REG_TRA_DEMANDS!$F47,DEMANDS!$G$2:$CK$25,MATCH($E47,DEMANDS!$E$2:$E$25,0),FALSE)/HLOOKUP(2018,DEMANDS!$G$2:$CK$25,MATCH($E47,DEMANDS!$E$2:$E$25,0),FALSE)</f>
        <v>0.86686157632428684</v>
      </c>
      <c r="K47" s="19">
        <f>HLOOKUP(REG_TRA_DEMANDS!K$3,'BY-Demands'!$J$5:$AK$14,MATCH($E47,'BY-Demands'!$I$5:$I$14,0),FALSE)*HLOOKUP(REG_TRA_DEMANDS!$F47,DEMANDS!$G$2:$CK$25,MATCH($E47,DEMANDS!$E$2:$E$25,0),FALSE)/HLOOKUP(2018,DEMANDS!$G$2:$CK$25,MATCH($E47,DEMANDS!$E$2:$E$25,0),FALSE)</f>
        <v>0.65219644919798814</v>
      </c>
      <c r="L47" s="19">
        <f>HLOOKUP(REG_TRA_DEMANDS!L$3,'BY-Demands'!$J$5:$AK$14,MATCH($E47,'BY-Demands'!$I$5:$I$14,0),FALSE)*HLOOKUP(REG_TRA_DEMANDS!$F47,DEMANDS!$G$2:$CK$25,MATCH($E47,DEMANDS!$E$2:$E$25,0),FALSE)/HLOOKUP(2018,DEMANDS!$G$2:$CK$25,MATCH($E47,DEMANDS!$E$2:$E$25,0),FALSE)</f>
        <v>0.33600825167873377</v>
      </c>
      <c r="M47" s="19">
        <f>HLOOKUP(REG_TRA_DEMANDS!M$3,'BY-Demands'!$J$5:$AK$14,MATCH($E47,'BY-Demands'!$I$5:$I$14,0),FALSE)*HLOOKUP(REG_TRA_DEMANDS!$F47,DEMANDS!$G$2:$CK$25,MATCH($E47,DEMANDS!$E$2:$E$25,0),FALSE)/HLOOKUP(2018,DEMANDS!$G$2:$CK$25,MATCH($E47,DEMANDS!$E$2:$E$25,0),FALSE)</f>
        <v>0.90505576721607961</v>
      </c>
      <c r="N47" s="19">
        <f>HLOOKUP(REG_TRA_DEMANDS!N$3,'BY-Demands'!$J$5:$AK$14,MATCH($E47,'BY-Demands'!$I$5:$I$14,0),FALSE)*HLOOKUP(REG_TRA_DEMANDS!$F47,DEMANDS!$G$2:$CK$25,MATCH($E47,DEMANDS!$E$2:$E$25,0),FALSE)/HLOOKUP(2018,DEMANDS!$G$2:$CK$25,MATCH($E47,DEMANDS!$E$2:$E$25,0),FALSE)</f>
        <v>1.571280266348194</v>
      </c>
      <c r="O47" s="19">
        <f>HLOOKUP(REG_TRA_DEMANDS!O$3,'BY-Demands'!$J$5:$AK$14,MATCH($E47,'BY-Demands'!$I$5:$I$14,0),FALSE)*HLOOKUP(REG_TRA_DEMANDS!$F47,DEMANDS!$G$2:$CK$25,MATCH($E47,DEMANDS!$E$2:$E$25,0),FALSE)/HLOOKUP(2018,DEMANDS!$G$2:$CK$25,MATCH($E47,DEMANDS!$E$2:$E$25,0),FALSE)</f>
        <v>0.66589399494300383</v>
      </c>
      <c r="P47" s="19">
        <f>HLOOKUP(REG_TRA_DEMANDS!P$3,'BY-Demands'!$J$5:$AK$14,MATCH($E47,'BY-Demands'!$I$5:$I$14,0),FALSE)*HLOOKUP(REG_TRA_DEMANDS!$F47,DEMANDS!$G$2:$CK$25,MATCH($E47,DEMANDS!$E$2:$E$25,0),FALSE)/HLOOKUP(2018,DEMANDS!$G$2:$CK$25,MATCH($E47,DEMANDS!$E$2:$E$25,0),FALSE)</f>
        <v>0.75169270285216827</v>
      </c>
      <c r="Q47" s="19">
        <f>HLOOKUP(REG_TRA_DEMANDS!Q$3,'BY-Demands'!$J$5:$AK$14,MATCH($E47,'BY-Demands'!$I$5:$I$14,0),FALSE)*HLOOKUP(REG_TRA_DEMANDS!$F47,DEMANDS!$G$2:$CK$25,MATCH($E47,DEMANDS!$E$2:$E$25,0),FALSE)/HLOOKUP(2018,DEMANDS!$G$2:$CK$25,MATCH($E47,DEMANDS!$E$2:$E$25,0),FALSE)</f>
        <v>1.3331466737336664</v>
      </c>
      <c r="R47" s="19">
        <f>HLOOKUP(REG_TRA_DEMANDS!R$3,'BY-Demands'!$J$5:$AK$14,MATCH($E47,'BY-Demands'!$I$5:$I$14,0),FALSE)*HLOOKUP(REG_TRA_DEMANDS!$F47,DEMANDS!$G$2:$CK$25,MATCH($E47,DEMANDS!$E$2:$E$25,0),FALSE)/HLOOKUP(2018,DEMANDS!$G$2:$CK$25,MATCH($E47,DEMANDS!$E$2:$E$25,0),FALSE)</f>
        <v>1.131292856955282</v>
      </c>
      <c r="S47" s="19">
        <f>HLOOKUP(REG_TRA_DEMANDS!S$3,'BY-Demands'!$J$5:$AK$14,MATCH($E47,'BY-Demands'!$I$5:$I$14,0),FALSE)*HLOOKUP(REG_TRA_DEMANDS!$F47,DEMANDS!$G$2:$CK$25,MATCH($E47,DEMANDS!$E$2:$E$25,0),FALSE)/HLOOKUP(2018,DEMANDS!$G$2:$CK$25,MATCH($E47,DEMANDS!$E$2:$E$25,0),FALSE)</f>
        <v>1.0260263416844224</v>
      </c>
      <c r="T47" s="19">
        <f>HLOOKUP(REG_TRA_DEMANDS!T$3,'BY-Demands'!$J$5:$AK$14,MATCH($E47,'BY-Demands'!$I$5:$I$14,0),FALSE)*HLOOKUP(REG_TRA_DEMANDS!$F47,DEMANDS!$G$2:$CK$25,MATCH($E47,DEMANDS!$E$2:$E$25,0),FALSE)/HLOOKUP(2018,DEMANDS!$G$2:$CK$25,MATCH($E47,DEMANDS!$E$2:$E$25,0),FALSE)</f>
        <v>4.1464944280104534</v>
      </c>
      <c r="U47" s="19">
        <f>HLOOKUP(REG_TRA_DEMANDS!U$3,'BY-Demands'!$J$5:$AK$14,MATCH($E47,'BY-Demands'!$I$5:$I$14,0),FALSE)*HLOOKUP(REG_TRA_DEMANDS!$F47,DEMANDS!$G$2:$CK$25,MATCH($E47,DEMANDS!$E$2:$E$25,0),FALSE)/HLOOKUP(2018,DEMANDS!$G$2:$CK$25,MATCH($E47,DEMANDS!$E$2:$E$25,0),FALSE)</f>
        <v>1.3571465113588053</v>
      </c>
      <c r="V47" s="19">
        <f>HLOOKUP(REG_TRA_DEMANDS!V$3,'BY-Demands'!$J$5:$AK$14,MATCH($E47,'BY-Demands'!$I$5:$I$14,0),FALSE)*HLOOKUP(REG_TRA_DEMANDS!$F47,DEMANDS!$G$2:$CK$25,MATCH($E47,DEMANDS!$E$2:$E$25,0),FALSE)/HLOOKUP(2018,DEMANDS!$G$2:$CK$25,MATCH($E47,DEMANDS!$E$2:$E$25,0),FALSE)</f>
        <v>1.5284961927214722</v>
      </c>
      <c r="W47" s="19">
        <f>HLOOKUP(REG_TRA_DEMANDS!W$3,'BY-Demands'!$J$5:$AK$14,MATCH($E47,'BY-Demands'!$I$5:$I$14,0),FALSE)*HLOOKUP(REG_TRA_DEMANDS!$F47,DEMANDS!$G$2:$CK$25,MATCH($E47,DEMANDS!$E$2:$E$25,0),FALSE)/HLOOKUP(2018,DEMANDS!$G$2:$CK$25,MATCH($E47,DEMANDS!$E$2:$E$25,0),FALSE)</f>
        <v>1.4824602046092445</v>
      </c>
      <c r="X47" s="19">
        <f>HLOOKUP(REG_TRA_DEMANDS!X$3,'BY-Demands'!$J$5:$AK$14,MATCH($E47,'BY-Demands'!$I$5:$I$14,0),FALSE)*HLOOKUP(REG_TRA_DEMANDS!$F47,DEMANDS!$G$2:$CK$25,MATCH($E47,DEMANDS!$E$2:$E$25,0),FALSE)/HLOOKUP(2018,DEMANDS!$G$2:$CK$25,MATCH($E47,DEMANDS!$E$2:$E$25,0),FALSE)</f>
        <v>0.93525006983648895</v>
      </c>
      <c r="Y47" s="19">
        <f>HLOOKUP(REG_TRA_DEMANDS!Y$3,'BY-Demands'!$J$5:$AK$14,MATCH($E47,'BY-Demands'!$I$5:$I$14,0),FALSE)*HLOOKUP(REG_TRA_DEMANDS!$F47,DEMANDS!$G$2:$CK$25,MATCH($E47,DEMANDS!$E$2:$E$25,0),FALSE)/HLOOKUP(2018,DEMANDS!$G$2:$CK$25,MATCH($E47,DEMANDS!$E$2:$E$25,0),FALSE)</f>
        <v>2.0939686207343033</v>
      </c>
      <c r="Z47" s="19">
        <f>HLOOKUP(REG_TRA_DEMANDS!Z$3,'BY-Demands'!$J$5:$AK$14,MATCH($E47,'BY-Demands'!$I$5:$I$14,0),FALSE)*HLOOKUP(REG_TRA_DEMANDS!$F47,DEMANDS!$G$2:$CK$25,MATCH($E47,DEMANDS!$E$2:$E$25,0),FALSE)/HLOOKUP(2018,DEMANDS!$G$2:$CK$25,MATCH($E47,DEMANDS!$E$2:$E$25,0),FALSE)</f>
        <v>0.27444014868764288</v>
      </c>
      <c r="AA47" s="19">
        <f>HLOOKUP(REG_TRA_DEMANDS!AA$3,'BY-Demands'!$J$5:$AK$14,MATCH($E47,'BY-Demands'!$I$5:$I$14,0),FALSE)*HLOOKUP(REG_TRA_DEMANDS!$F47,DEMANDS!$G$2:$CK$25,MATCH($E47,DEMANDS!$E$2:$E$25,0),FALSE)/HLOOKUP(2018,DEMANDS!$G$2:$CK$25,MATCH($E47,DEMANDS!$E$2:$E$25,0),FALSE)</f>
        <v>1.1597046846613825</v>
      </c>
      <c r="AB47" s="19">
        <f>HLOOKUP(REG_TRA_DEMANDS!AB$3,'BY-Demands'!$J$5:$AK$14,MATCH($E47,'BY-Demands'!$I$5:$I$14,0),FALSE)*HLOOKUP(REG_TRA_DEMANDS!$F47,DEMANDS!$G$2:$CK$25,MATCH($E47,DEMANDS!$E$2:$E$25,0),FALSE)/HLOOKUP(2018,DEMANDS!$G$2:$CK$25,MATCH($E47,DEMANDS!$E$2:$E$25,0),FALSE)</f>
        <v>0.62442075681257292</v>
      </c>
      <c r="AC47" s="19">
        <f>HLOOKUP(REG_TRA_DEMANDS!AC$3,'BY-Demands'!$J$5:$AK$14,MATCH($E47,'BY-Demands'!$I$5:$I$14,0),FALSE)*HLOOKUP(REG_TRA_DEMANDS!$F47,DEMANDS!$G$2:$CK$25,MATCH($E47,DEMANDS!$E$2:$E$25,0),FALSE)/HLOOKUP(2018,DEMANDS!$G$2:$CK$25,MATCH($E47,DEMANDS!$E$2:$E$25,0),FALSE)</f>
        <v>0.50939946858799601</v>
      </c>
      <c r="AD47" s="19">
        <f>HLOOKUP(REG_TRA_DEMANDS!AD$3,'BY-Demands'!$J$5:$AK$14,MATCH($E47,'BY-Demands'!$I$5:$I$14,0),FALSE)*HLOOKUP(REG_TRA_DEMANDS!$F47,DEMANDS!$G$2:$CK$25,MATCH($E47,DEMANDS!$E$2:$E$25,0),FALSE)/HLOOKUP(2018,DEMANDS!$G$2:$CK$25,MATCH($E47,DEMANDS!$E$2:$E$25,0),FALSE)</f>
        <v>0.55349922520230421</v>
      </c>
      <c r="AE47" s="19">
        <f>HLOOKUP(REG_TRA_DEMANDS!AE$3,'BY-Demands'!$J$5:$AK$14,MATCH($E47,'BY-Demands'!$I$5:$I$14,0),FALSE)*HLOOKUP(REG_TRA_DEMANDS!$F47,DEMANDS!$G$2:$CK$25,MATCH($E47,DEMANDS!$E$2:$E$25,0),FALSE)/HLOOKUP(2018,DEMANDS!$G$2:$CK$25,MATCH($E47,DEMANDS!$E$2:$E$25,0),FALSE)</f>
        <v>1.0193583713364054</v>
      </c>
      <c r="AF47" s="19">
        <f>HLOOKUP(REG_TRA_DEMANDS!AF$3,'BY-Demands'!$J$5:$AK$14,MATCH($E47,'BY-Demands'!$I$5:$I$14,0),FALSE)*HLOOKUP(REG_TRA_DEMANDS!$F47,DEMANDS!$G$2:$CK$25,MATCH($E47,DEMANDS!$E$2:$E$25,0),FALSE)/HLOOKUP(2018,DEMANDS!$G$2:$CK$25,MATCH($E47,DEMANDS!$E$2:$E$25,0),FALSE)</f>
        <v>0.56060845423791061</v>
      </c>
    </row>
    <row r="48" spans="4:32" ht="14.5">
      <c r="D48" t="s">
        <v>6</v>
      </c>
      <c r="E48" t="str">
        <f>DEMANDS!$E$18</f>
        <v>TRAPM</v>
      </c>
      <c r="F48">
        <v>2037</v>
      </c>
      <c r="G48" s="19">
        <f>HLOOKUP(REG_TRA_DEMANDS!G$3,'BY-Demands'!$J$5:$AK$14,MATCH($E48,'BY-Demands'!$I$5:$I$14,0),FALSE)*HLOOKUP(REG_TRA_DEMANDS!$F48,DEMANDS!$G$2:$CK$25,MATCH($E48,DEMANDS!$E$2:$E$25,0),FALSE)/HLOOKUP(2018,DEMANDS!$G$2:$CK$25,MATCH($E48,DEMANDS!$E$2:$E$25,0),FALSE)</f>
        <v>0.51952912455917688</v>
      </c>
      <c r="H48" s="19">
        <f>HLOOKUP(REG_TRA_DEMANDS!H$3,'BY-Demands'!$J$5:$AK$14,MATCH($E48,'BY-Demands'!$I$5:$I$14,0),FALSE)*HLOOKUP(REG_TRA_DEMANDS!$F48,DEMANDS!$G$2:$CK$25,MATCH($E48,DEMANDS!$E$2:$E$25,0),FALSE)/HLOOKUP(2018,DEMANDS!$G$2:$CK$25,MATCH($E48,DEMANDS!$E$2:$E$25,0),FALSE)</f>
        <v>9.0980897770768738</v>
      </c>
      <c r="I48" s="19">
        <f>HLOOKUP(REG_TRA_DEMANDS!I$3,'BY-Demands'!$J$5:$AK$14,MATCH($E48,'BY-Demands'!$I$5:$I$14,0),FALSE)*HLOOKUP(REG_TRA_DEMANDS!$F48,DEMANDS!$G$2:$CK$25,MATCH($E48,DEMANDS!$E$2:$E$25,0),FALSE)/HLOOKUP(2018,DEMANDS!$G$2:$CK$25,MATCH($E48,DEMANDS!$E$2:$E$25,0),FALSE)</f>
        <v>1.8526605745015154</v>
      </c>
      <c r="J48" s="19">
        <f>HLOOKUP(REG_TRA_DEMANDS!J$3,'BY-Demands'!$J$5:$AK$14,MATCH($E48,'BY-Demands'!$I$5:$I$14,0),FALSE)*HLOOKUP(REG_TRA_DEMANDS!$F48,DEMANDS!$G$2:$CK$25,MATCH($E48,DEMANDS!$E$2:$E$25,0),FALSE)/HLOOKUP(2018,DEMANDS!$G$2:$CK$25,MATCH($E48,DEMANDS!$E$2:$E$25,0),FALSE)</f>
        <v>0.87986449996915095</v>
      </c>
      <c r="K48" s="19">
        <f>HLOOKUP(REG_TRA_DEMANDS!K$3,'BY-Demands'!$J$5:$AK$14,MATCH($E48,'BY-Demands'!$I$5:$I$14,0),FALSE)*HLOOKUP(REG_TRA_DEMANDS!$F48,DEMANDS!$G$2:$CK$25,MATCH($E48,DEMANDS!$E$2:$E$25,0),FALSE)/HLOOKUP(2018,DEMANDS!$G$2:$CK$25,MATCH($E48,DEMANDS!$E$2:$E$25,0),FALSE)</f>
        <v>0.66197939593595789</v>
      </c>
      <c r="L48" s="19">
        <f>HLOOKUP(REG_TRA_DEMANDS!L$3,'BY-Demands'!$J$5:$AK$14,MATCH($E48,'BY-Demands'!$I$5:$I$14,0),FALSE)*HLOOKUP(REG_TRA_DEMANDS!$F48,DEMANDS!$G$2:$CK$25,MATCH($E48,DEMANDS!$E$2:$E$25,0),FALSE)/HLOOKUP(2018,DEMANDS!$G$2:$CK$25,MATCH($E48,DEMANDS!$E$2:$E$25,0),FALSE)</f>
        <v>0.34104837545391464</v>
      </c>
      <c r="M48" s="19">
        <f>HLOOKUP(REG_TRA_DEMANDS!M$3,'BY-Demands'!$J$5:$AK$14,MATCH($E48,'BY-Demands'!$I$5:$I$14,0),FALSE)*HLOOKUP(REG_TRA_DEMANDS!$F48,DEMANDS!$G$2:$CK$25,MATCH($E48,DEMANDS!$E$2:$E$25,0),FALSE)/HLOOKUP(2018,DEMANDS!$G$2:$CK$25,MATCH($E48,DEMANDS!$E$2:$E$25,0),FALSE)</f>
        <v>0.91863160372432062</v>
      </c>
      <c r="N48" s="19">
        <f>HLOOKUP(REG_TRA_DEMANDS!N$3,'BY-Demands'!$J$5:$AK$14,MATCH($E48,'BY-Demands'!$I$5:$I$14,0),FALSE)*HLOOKUP(REG_TRA_DEMANDS!$F48,DEMANDS!$G$2:$CK$25,MATCH($E48,DEMANDS!$E$2:$E$25,0),FALSE)/HLOOKUP(2018,DEMANDS!$G$2:$CK$25,MATCH($E48,DEMANDS!$E$2:$E$25,0),FALSE)</f>
        <v>1.5948494703434166</v>
      </c>
      <c r="O48" s="19">
        <f>HLOOKUP(REG_TRA_DEMANDS!O$3,'BY-Demands'!$J$5:$AK$14,MATCH($E48,'BY-Demands'!$I$5:$I$14,0),FALSE)*HLOOKUP(REG_TRA_DEMANDS!$F48,DEMANDS!$G$2:$CK$25,MATCH($E48,DEMANDS!$E$2:$E$25,0),FALSE)/HLOOKUP(2018,DEMANDS!$G$2:$CK$25,MATCH($E48,DEMANDS!$E$2:$E$25,0),FALSE)</f>
        <v>0.67588240486714879</v>
      </c>
      <c r="P48" s="19">
        <f>HLOOKUP(REG_TRA_DEMANDS!P$3,'BY-Demands'!$J$5:$AK$14,MATCH($E48,'BY-Demands'!$I$5:$I$14,0),FALSE)*HLOOKUP(REG_TRA_DEMANDS!$F48,DEMANDS!$G$2:$CK$25,MATCH($E48,DEMANDS!$E$2:$E$25,0),FALSE)/HLOOKUP(2018,DEMANDS!$G$2:$CK$25,MATCH($E48,DEMANDS!$E$2:$E$25,0),FALSE)</f>
        <v>0.76296809339495064</v>
      </c>
      <c r="Q48" s="19">
        <f>HLOOKUP(REG_TRA_DEMANDS!Q$3,'BY-Demands'!$J$5:$AK$14,MATCH($E48,'BY-Demands'!$I$5:$I$14,0),FALSE)*HLOOKUP(REG_TRA_DEMANDS!$F48,DEMANDS!$G$2:$CK$25,MATCH($E48,DEMANDS!$E$2:$E$25,0),FALSE)/HLOOKUP(2018,DEMANDS!$G$2:$CK$25,MATCH($E48,DEMANDS!$E$2:$E$25,0),FALSE)</f>
        <v>1.3531438738396713</v>
      </c>
      <c r="R48" s="19">
        <f>HLOOKUP(REG_TRA_DEMANDS!R$3,'BY-Demands'!$J$5:$AK$14,MATCH($E48,'BY-Demands'!$I$5:$I$14,0),FALSE)*HLOOKUP(REG_TRA_DEMANDS!$F48,DEMANDS!$G$2:$CK$25,MATCH($E48,DEMANDS!$E$2:$E$25,0),FALSE)/HLOOKUP(2018,DEMANDS!$G$2:$CK$25,MATCH($E48,DEMANDS!$E$2:$E$25,0),FALSE)</f>
        <v>1.1482622498096109</v>
      </c>
      <c r="S48" s="19">
        <f>HLOOKUP(REG_TRA_DEMANDS!S$3,'BY-Demands'!$J$5:$AK$14,MATCH($E48,'BY-Demands'!$I$5:$I$14,0),FALSE)*HLOOKUP(REG_TRA_DEMANDS!$F48,DEMANDS!$G$2:$CK$25,MATCH($E48,DEMANDS!$E$2:$E$25,0),FALSE)/HLOOKUP(2018,DEMANDS!$G$2:$CK$25,MATCH($E48,DEMANDS!$E$2:$E$25,0),FALSE)</f>
        <v>1.0414167368096885</v>
      </c>
      <c r="T48" s="19">
        <f>HLOOKUP(REG_TRA_DEMANDS!T$3,'BY-Demands'!$J$5:$AK$14,MATCH($E48,'BY-Demands'!$I$5:$I$14,0),FALSE)*HLOOKUP(REG_TRA_DEMANDS!$F48,DEMANDS!$G$2:$CK$25,MATCH($E48,DEMANDS!$E$2:$E$25,0),FALSE)/HLOOKUP(2018,DEMANDS!$G$2:$CK$25,MATCH($E48,DEMANDS!$E$2:$E$25,0),FALSE)</f>
        <v>4.2086918444306098</v>
      </c>
      <c r="U48" s="19">
        <f>HLOOKUP(REG_TRA_DEMANDS!U$3,'BY-Demands'!$J$5:$AK$14,MATCH($E48,'BY-Demands'!$I$5:$I$14,0),FALSE)*HLOOKUP(REG_TRA_DEMANDS!$F48,DEMANDS!$G$2:$CK$25,MATCH($E48,DEMANDS!$E$2:$E$25,0),FALSE)/HLOOKUP(2018,DEMANDS!$G$2:$CK$25,MATCH($E48,DEMANDS!$E$2:$E$25,0),FALSE)</f>
        <v>1.3775037090291873</v>
      </c>
      <c r="V48" s="19">
        <f>HLOOKUP(REG_TRA_DEMANDS!V$3,'BY-Demands'!$J$5:$AK$14,MATCH($E48,'BY-Demands'!$I$5:$I$14,0),FALSE)*HLOOKUP(REG_TRA_DEMANDS!$F48,DEMANDS!$G$2:$CK$25,MATCH($E48,DEMANDS!$E$2:$E$25,0),FALSE)/HLOOKUP(2018,DEMANDS!$G$2:$CK$25,MATCH($E48,DEMANDS!$E$2:$E$25,0),FALSE)</f>
        <v>1.5514236356122941</v>
      </c>
      <c r="W48" s="19">
        <f>HLOOKUP(REG_TRA_DEMANDS!W$3,'BY-Demands'!$J$5:$AK$14,MATCH($E48,'BY-Demands'!$I$5:$I$14,0),FALSE)*HLOOKUP(REG_TRA_DEMANDS!$F48,DEMANDS!$G$2:$CK$25,MATCH($E48,DEMANDS!$E$2:$E$25,0),FALSE)/HLOOKUP(2018,DEMANDS!$G$2:$CK$25,MATCH($E48,DEMANDS!$E$2:$E$25,0),FALSE)</f>
        <v>1.5046971076783833</v>
      </c>
      <c r="X48" s="19">
        <f>HLOOKUP(REG_TRA_DEMANDS!X$3,'BY-Demands'!$J$5:$AK$14,MATCH($E48,'BY-Demands'!$I$5:$I$14,0),FALSE)*HLOOKUP(REG_TRA_DEMANDS!$F48,DEMANDS!$G$2:$CK$25,MATCH($E48,DEMANDS!$E$2:$E$25,0),FALSE)/HLOOKUP(2018,DEMANDS!$G$2:$CK$25,MATCH($E48,DEMANDS!$E$2:$E$25,0),FALSE)</f>
        <v>0.94927882088403603</v>
      </c>
      <c r="Y48" s="19">
        <f>HLOOKUP(REG_TRA_DEMANDS!Y$3,'BY-Demands'!$J$5:$AK$14,MATCH($E48,'BY-Demands'!$I$5:$I$14,0),FALSE)*HLOOKUP(REG_TRA_DEMANDS!$F48,DEMANDS!$G$2:$CK$25,MATCH($E48,DEMANDS!$E$2:$E$25,0),FALSE)/HLOOKUP(2018,DEMANDS!$G$2:$CK$25,MATCH($E48,DEMANDS!$E$2:$E$25,0),FALSE)</f>
        <v>2.1253781500453175</v>
      </c>
      <c r="Z48" s="19">
        <f>HLOOKUP(REG_TRA_DEMANDS!Z$3,'BY-Demands'!$J$5:$AK$14,MATCH($E48,'BY-Demands'!$I$5:$I$14,0),FALSE)*HLOOKUP(REG_TRA_DEMANDS!$F48,DEMANDS!$G$2:$CK$25,MATCH($E48,DEMANDS!$E$2:$E$25,0),FALSE)/HLOOKUP(2018,DEMANDS!$G$2:$CK$25,MATCH($E48,DEMANDS!$E$2:$E$25,0),FALSE)</f>
        <v>0.27855675091795751</v>
      </c>
      <c r="AA48" s="19">
        <f>HLOOKUP(REG_TRA_DEMANDS!AA$3,'BY-Demands'!$J$5:$AK$14,MATCH($E48,'BY-Demands'!$I$5:$I$14,0),FALSE)*HLOOKUP(REG_TRA_DEMANDS!$F48,DEMANDS!$G$2:$CK$25,MATCH($E48,DEMANDS!$E$2:$E$25,0),FALSE)/HLOOKUP(2018,DEMANDS!$G$2:$CK$25,MATCH($E48,DEMANDS!$E$2:$E$25,0),FALSE)</f>
        <v>1.177100254931303</v>
      </c>
      <c r="AB48" s="19">
        <f>HLOOKUP(REG_TRA_DEMANDS!AB$3,'BY-Demands'!$J$5:$AK$14,MATCH($E48,'BY-Demands'!$I$5:$I$14,0),FALSE)*HLOOKUP(REG_TRA_DEMANDS!$F48,DEMANDS!$G$2:$CK$25,MATCH($E48,DEMANDS!$E$2:$E$25,0),FALSE)/HLOOKUP(2018,DEMANDS!$G$2:$CK$25,MATCH($E48,DEMANDS!$E$2:$E$25,0),FALSE)</f>
        <v>0.63378706816476138</v>
      </c>
      <c r="AC48" s="19">
        <f>HLOOKUP(REG_TRA_DEMANDS!AC$3,'BY-Demands'!$J$5:$AK$14,MATCH($E48,'BY-Demands'!$I$5:$I$14,0),FALSE)*HLOOKUP(REG_TRA_DEMANDS!$F48,DEMANDS!$G$2:$CK$25,MATCH($E48,DEMANDS!$E$2:$E$25,0),FALSE)/HLOOKUP(2018,DEMANDS!$G$2:$CK$25,MATCH($E48,DEMANDS!$E$2:$E$25,0),FALSE)</f>
        <v>0.51704046061681597</v>
      </c>
      <c r="AD48" s="19">
        <f>HLOOKUP(REG_TRA_DEMANDS!AD$3,'BY-Demands'!$J$5:$AK$14,MATCH($E48,'BY-Demands'!$I$5:$I$14,0),FALSE)*HLOOKUP(REG_TRA_DEMANDS!$F48,DEMANDS!$G$2:$CK$25,MATCH($E48,DEMANDS!$E$2:$E$25,0),FALSE)/HLOOKUP(2018,DEMANDS!$G$2:$CK$25,MATCH($E48,DEMANDS!$E$2:$E$25,0),FALSE)</f>
        <v>0.5618017135803387</v>
      </c>
      <c r="AE48" s="19">
        <f>HLOOKUP(REG_TRA_DEMANDS!AE$3,'BY-Demands'!$J$5:$AK$14,MATCH($E48,'BY-Demands'!$I$5:$I$14,0),FALSE)*HLOOKUP(REG_TRA_DEMANDS!$F48,DEMANDS!$G$2:$CK$25,MATCH($E48,DEMANDS!$E$2:$E$25,0),FALSE)/HLOOKUP(2018,DEMANDS!$G$2:$CK$25,MATCH($E48,DEMANDS!$E$2:$E$25,0),FALSE)</f>
        <v>1.0346487469064511</v>
      </c>
      <c r="AF48" s="19">
        <f>HLOOKUP(REG_TRA_DEMANDS!AF$3,'BY-Demands'!$J$5:$AK$14,MATCH($E48,'BY-Demands'!$I$5:$I$14,0),FALSE)*HLOOKUP(REG_TRA_DEMANDS!$F48,DEMANDS!$G$2:$CK$25,MATCH($E48,DEMANDS!$E$2:$E$25,0),FALSE)/HLOOKUP(2018,DEMANDS!$G$2:$CK$25,MATCH($E48,DEMANDS!$E$2:$E$25,0),FALSE)</f>
        <v>0.56901758105147915</v>
      </c>
    </row>
    <row r="49" spans="4:32" ht="14.5">
      <c r="D49" t="s">
        <v>6</v>
      </c>
      <c r="E49" t="str">
        <f>DEMANDS!$E$18</f>
        <v>TRAPM</v>
      </c>
      <c r="F49">
        <v>2038</v>
      </c>
      <c r="G49" s="19">
        <f>HLOOKUP(REG_TRA_DEMANDS!G$3,'BY-Demands'!$J$5:$AK$14,MATCH($E49,'BY-Demands'!$I$5:$I$14,0),FALSE)*HLOOKUP(REG_TRA_DEMANDS!$F49,DEMANDS!$G$2:$CK$25,MATCH($E49,DEMANDS!$E$2:$E$25,0),FALSE)/HLOOKUP(2018,DEMANDS!$G$2:$CK$25,MATCH($E49,DEMANDS!$E$2:$E$25,0),FALSE)</f>
        <v>0.52732206142756444</v>
      </c>
      <c r="H49" s="19">
        <f>HLOOKUP(REG_TRA_DEMANDS!H$3,'BY-Demands'!$J$5:$AK$14,MATCH($E49,'BY-Demands'!$I$5:$I$14,0),FALSE)*HLOOKUP(REG_TRA_DEMANDS!$F49,DEMANDS!$G$2:$CK$25,MATCH($E49,DEMANDS!$E$2:$E$25,0),FALSE)/HLOOKUP(2018,DEMANDS!$G$2:$CK$25,MATCH($E49,DEMANDS!$E$2:$E$25,0),FALSE)</f>
        <v>9.234561123733025</v>
      </c>
      <c r="I49" s="19">
        <f>HLOOKUP(REG_TRA_DEMANDS!I$3,'BY-Demands'!$J$5:$AK$14,MATCH($E49,'BY-Demands'!$I$5:$I$14,0),FALSE)*HLOOKUP(REG_TRA_DEMANDS!$F49,DEMANDS!$G$2:$CK$25,MATCH($E49,DEMANDS!$E$2:$E$25,0),FALSE)/HLOOKUP(2018,DEMANDS!$G$2:$CK$25,MATCH($E49,DEMANDS!$E$2:$E$25,0),FALSE)</f>
        <v>1.8804504831190381</v>
      </c>
      <c r="J49" s="19">
        <f>HLOOKUP(REG_TRA_DEMANDS!J$3,'BY-Demands'!$J$5:$AK$14,MATCH($E49,'BY-Demands'!$I$5:$I$14,0),FALSE)*HLOOKUP(REG_TRA_DEMANDS!$F49,DEMANDS!$G$2:$CK$25,MATCH($E49,DEMANDS!$E$2:$E$25,0),FALSE)/HLOOKUP(2018,DEMANDS!$G$2:$CK$25,MATCH($E49,DEMANDS!$E$2:$E$25,0),FALSE)</f>
        <v>0.89306246746868823</v>
      </c>
      <c r="K49" s="19">
        <f>HLOOKUP(REG_TRA_DEMANDS!K$3,'BY-Demands'!$J$5:$AK$14,MATCH($E49,'BY-Demands'!$I$5:$I$14,0),FALSE)*HLOOKUP(REG_TRA_DEMANDS!$F49,DEMANDS!$G$2:$CK$25,MATCH($E49,DEMANDS!$E$2:$E$25,0),FALSE)/HLOOKUP(2018,DEMANDS!$G$2:$CK$25,MATCH($E49,DEMANDS!$E$2:$E$25,0),FALSE)</f>
        <v>0.67190908687499717</v>
      </c>
      <c r="L49" s="19">
        <f>HLOOKUP(REG_TRA_DEMANDS!L$3,'BY-Demands'!$J$5:$AK$14,MATCH($E49,'BY-Demands'!$I$5:$I$14,0),FALSE)*HLOOKUP(REG_TRA_DEMANDS!$F49,DEMANDS!$G$2:$CK$25,MATCH($E49,DEMANDS!$E$2:$E$25,0),FALSE)/HLOOKUP(2018,DEMANDS!$G$2:$CK$25,MATCH($E49,DEMANDS!$E$2:$E$25,0),FALSE)</f>
        <v>0.34616410108572337</v>
      </c>
      <c r="M49" s="19">
        <f>HLOOKUP(REG_TRA_DEMANDS!M$3,'BY-Demands'!$J$5:$AK$14,MATCH($E49,'BY-Demands'!$I$5:$I$14,0),FALSE)*HLOOKUP(REG_TRA_DEMANDS!$F49,DEMANDS!$G$2:$CK$25,MATCH($E49,DEMANDS!$E$2:$E$25,0),FALSE)/HLOOKUP(2018,DEMANDS!$G$2:$CK$25,MATCH($E49,DEMANDS!$E$2:$E$25,0),FALSE)</f>
        <v>0.93241107778018539</v>
      </c>
      <c r="N49" s="19">
        <f>HLOOKUP(REG_TRA_DEMANDS!N$3,'BY-Demands'!$J$5:$AK$14,MATCH($E49,'BY-Demands'!$I$5:$I$14,0),FALSE)*HLOOKUP(REG_TRA_DEMANDS!$F49,DEMANDS!$G$2:$CK$25,MATCH($E49,DEMANDS!$E$2:$E$25,0),FALSE)/HLOOKUP(2018,DEMANDS!$G$2:$CK$25,MATCH($E49,DEMANDS!$E$2:$E$25,0),FALSE)</f>
        <v>1.6187722123985677</v>
      </c>
      <c r="O49" s="19">
        <f>HLOOKUP(REG_TRA_DEMANDS!O$3,'BY-Demands'!$J$5:$AK$14,MATCH($E49,'BY-Demands'!$I$5:$I$14,0),FALSE)*HLOOKUP(REG_TRA_DEMANDS!$F49,DEMANDS!$G$2:$CK$25,MATCH($E49,DEMANDS!$E$2:$E$25,0),FALSE)/HLOOKUP(2018,DEMANDS!$G$2:$CK$25,MATCH($E49,DEMANDS!$E$2:$E$25,0),FALSE)</f>
        <v>0.68602064094015591</v>
      </c>
      <c r="P49" s="19">
        <f>HLOOKUP(REG_TRA_DEMANDS!P$3,'BY-Demands'!$J$5:$AK$14,MATCH($E49,'BY-Demands'!$I$5:$I$14,0),FALSE)*HLOOKUP(REG_TRA_DEMANDS!$F49,DEMANDS!$G$2:$CK$25,MATCH($E49,DEMANDS!$E$2:$E$25,0),FALSE)/HLOOKUP(2018,DEMANDS!$G$2:$CK$25,MATCH($E49,DEMANDS!$E$2:$E$25,0),FALSE)</f>
        <v>0.77441261479587487</v>
      </c>
      <c r="Q49" s="19">
        <f>HLOOKUP(REG_TRA_DEMANDS!Q$3,'BY-Demands'!$J$5:$AK$14,MATCH($E49,'BY-Demands'!$I$5:$I$14,0),FALSE)*HLOOKUP(REG_TRA_DEMANDS!$F49,DEMANDS!$G$2:$CK$25,MATCH($E49,DEMANDS!$E$2:$E$25,0),FALSE)/HLOOKUP(2018,DEMANDS!$G$2:$CK$25,MATCH($E49,DEMANDS!$E$2:$E$25,0),FALSE)</f>
        <v>1.3734410319472663</v>
      </c>
      <c r="R49" s="19">
        <f>HLOOKUP(REG_TRA_DEMANDS!R$3,'BY-Demands'!$J$5:$AK$14,MATCH($E49,'BY-Demands'!$I$5:$I$14,0),FALSE)*HLOOKUP(REG_TRA_DEMANDS!$F49,DEMANDS!$G$2:$CK$25,MATCH($E49,DEMANDS!$E$2:$E$25,0),FALSE)/HLOOKUP(2018,DEMANDS!$G$2:$CK$25,MATCH($E49,DEMANDS!$E$2:$E$25,0),FALSE)</f>
        <v>1.1654861835567549</v>
      </c>
      <c r="S49" s="19">
        <f>HLOOKUP(REG_TRA_DEMANDS!S$3,'BY-Demands'!$J$5:$AK$14,MATCH($E49,'BY-Demands'!$I$5:$I$14,0),FALSE)*HLOOKUP(REG_TRA_DEMANDS!$F49,DEMANDS!$G$2:$CK$25,MATCH($E49,DEMANDS!$E$2:$E$25,0),FALSE)/HLOOKUP(2018,DEMANDS!$G$2:$CK$25,MATCH($E49,DEMANDS!$E$2:$E$25,0),FALSE)</f>
        <v>1.0570379878618339</v>
      </c>
      <c r="T49" s="19">
        <f>HLOOKUP(REG_TRA_DEMANDS!T$3,'BY-Demands'!$J$5:$AK$14,MATCH($E49,'BY-Demands'!$I$5:$I$14,0),FALSE)*HLOOKUP(REG_TRA_DEMANDS!$F49,DEMANDS!$G$2:$CK$25,MATCH($E49,DEMANDS!$E$2:$E$25,0),FALSE)/HLOOKUP(2018,DEMANDS!$G$2:$CK$25,MATCH($E49,DEMANDS!$E$2:$E$25,0),FALSE)</f>
        <v>4.271822222097069</v>
      </c>
      <c r="U49" s="19">
        <f>HLOOKUP(REG_TRA_DEMANDS!U$3,'BY-Demands'!$J$5:$AK$14,MATCH($E49,'BY-Demands'!$I$5:$I$14,0),FALSE)*HLOOKUP(REG_TRA_DEMANDS!$F49,DEMANDS!$G$2:$CK$25,MATCH($E49,DEMANDS!$E$2:$E$25,0),FALSE)/HLOOKUP(2018,DEMANDS!$G$2:$CK$25,MATCH($E49,DEMANDS!$E$2:$E$25,0),FALSE)</f>
        <v>1.3981662646646249</v>
      </c>
      <c r="V49" s="19">
        <f>HLOOKUP(REG_TRA_DEMANDS!V$3,'BY-Demands'!$J$5:$AK$14,MATCH($E49,'BY-Demands'!$I$5:$I$14,0),FALSE)*HLOOKUP(REG_TRA_DEMANDS!$F49,DEMANDS!$G$2:$CK$25,MATCH($E49,DEMANDS!$E$2:$E$25,0),FALSE)/HLOOKUP(2018,DEMANDS!$G$2:$CK$25,MATCH($E49,DEMANDS!$E$2:$E$25,0),FALSE)</f>
        <v>1.5746949901464784</v>
      </c>
      <c r="W49" s="19">
        <f>HLOOKUP(REG_TRA_DEMANDS!W$3,'BY-Demands'!$J$5:$AK$14,MATCH($E49,'BY-Demands'!$I$5:$I$14,0),FALSE)*HLOOKUP(REG_TRA_DEMANDS!$F49,DEMANDS!$G$2:$CK$25,MATCH($E49,DEMANDS!$E$2:$E$25,0),FALSE)/HLOOKUP(2018,DEMANDS!$G$2:$CK$25,MATCH($E49,DEMANDS!$E$2:$E$25,0),FALSE)</f>
        <v>1.5272675642935587</v>
      </c>
      <c r="X49" s="19">
        <f>HLOOKUP(REG_TRA_DEMANDS!X$3,'BY-Demands'!$J$5:$AK$14,MATCH($E49,'BY-Demands'!$I$5:$I$14,0),FALSE)*HLOOKUP(REG_TRA_DEMANDS!$F49,DEMANDS!$G$2:$CK$25,MATCH($E49,DEMANDS!$E$2:$E$25,0),FALSE)/HLOOKUP(2018,DEMANDS!$G$2:$CK$25,MATCH($E49,DEMANDS!$E$2:$E$25,0),FALSE)</f>
        <v>0.96351800319729652</v>
      </c>
      <c r="Y49" s="19">
        <f>HLOOKUP(REG_TRA_DEMANDS!Y$3,'BY-Demands'!$J$5:$AK$14,MATCH($E49,'BY-Demands'!$I$5:$I$14,0),FALSE)*HLOOKUP(REG_TRA_DEMANDS!$F49,DEMANDS!$G$2:$CK$25,MATCH($E49,DEMANDS!$E$2:$E$25,0),FALSE)/HLOOKUP(2018,DEMANDS!$G$2:$CK$25,MATCH($E49,DEMANDS!$E$2:$E$25,0),FALSE)</f>
        <v>2.1572588222959972</v>
      </c>
      <c r="Z49" s="19">
        <f>HLOOKUP(REG_TRA_DEMANDS!Z$3,'BY-Demands'!$J$5:$AK$14,MATCH($E49,'BY-Demands'!$I$5:$I$14,0),FALSE)*HLOOKUP(REG_TRA_DEMANDS!$F49,DEMANDS!$G$2:$CK$25,MATCH($E49,DEMANDS!$E$2:$E$25,0),FALSE)/HLOOKUP(2018,DEMANDS!$G$2:$CK$25,MATCH($E49,DEMANDS!$E$2:$E$25,0),FALSE)</f>
        <v>0.28273510218172682</v>
      </c>
      <c r="AA49" s="19">
        <f>HLOOKUP(REG_TRA_DEMANDS!AA$3,'BY-Demands'!$J$5:$AK$14,MATCH($E49,'BY-Demands'!$I$5:$I$14,0),FALSE)*HLOOKUP(REG_TRA_DEMANDS!$F49,DEMANDS!$G$2:$CK$25,MATCH($E49,DEMANDS!$E$2:$E$25,0),FALSE)/HLOOKUP(2018,DEMANDS!$G$2:$CK$25,MATCH($E49,DEMANDS!$E$2:$E$25,0),FALSE)</f>
        <v>1.1947567587552725</v>
      </c>
      <c r="AB49" s="19">
        <f>HLOOKUP(REG_TRA_DEMANDS!AB$3,'BY-Demands'!$J$5:$AK$14,MATCH($E49,'BY-Demands'!$I$5:$I$14,0),FALSE)*HLOOKUP(REG_TRA_DEMANDS!$F49,DEMANDS!$G$2:$CK$25,MATCH($E49,DEMANDS!$E$2:$E$25,0),FALSE)/HLOOKUP(2018,DEMANDS!$G$2:$CK$25,MATCH($E49,DEMANDS!$E$2:$E$25,0),FALSE)</f>
        <v>0.64329387418723283</v>
      </c>
      <c r="AC49" s="19">
        <f>HLOOKUP(REG_TRA_DEMANDS!AC$3,'BY-Demands'!$J$5:$AK$14,MATCH($E49,'BY-Demands'!$I$5:$I$14,0),FALSE)*HLOOKUP(REG_TRA_DEMANDS!$F49,DEMANDS!$G$2:$CK$25,MATCH($E49,DEMANDS!$E$2:$E$25,0),FALSE)/HLOOKUP(2018,DEMANDS!$G$2:$CK$25,MATCH($E49,DEMANDS!$E$2:$E$25,0),FALSE)</f>
        <v>0.52479606752606811</v>
      </c>
      <c r="AD49" s="19">
        <f>HLOOKUP(REG_TRA_DEMANDS!AD$3,'BY-Demands'!$J$5:$AK$14,MATCH($E49,'BY-Demands'!$I$5:$I$14,0),FALSE)*HLOOKUP(REG_TRA_DEMANDS!$F49,DEMANDS!$G$2:$CK$25,MATCH($E49,DEMANDS!$E$2:$E$25,0),FALSE)/HLOOKUP(2018,DEMANDS!$G$2:$CK$25,MATCH($E49,DEMANDS!$E$2:$E$25,0),FALSE)</f>
        <v>0.57022873928404372</v>
      </c>
      <c r="AE49" s="19">
        <f>HLOOKUP(REG_TRA_DEMANDS!AE$3,'BY-Demands'!$J$5:$AK$14,MATCH($E49,'BY-Demands'!$I$5:$I$14,0),FALSE)*HLOOKUP(REG_TRA_DEMANDS!$F49,DEMANDS!$G$2:$CK$25,MATCH($E49,DEMANDS!$E$2:$E$25,0),FALSE)/HLOOKUP(2018,DEMANDS!$G$2:$CK$25,MATCH($E49,DEMANDS!$E$2:$E$25,0),FALSE)</f>
        <v>1.050168478110048</v>
      </c>
      <c r="AF49" s="19">
        <f>HLOOKUP(REG_TRA_DEMANDS!AF$3,'BY-Demands'!$J$5:$AK$14,MATCH($E49,'BY-Demands'!$I$5:$I$14,0),FALSE)*HLOOKUP(REG_TRA_DEMANDS!$F49,DEMANDS!$G$2:$CK$25,MATCH($E49,DEMANDS!$E$2:$E$25,0),FALSE)/HLOOKUP(2018,DEMANDS!$G$2:$CK$25,MATCH($E49,DEMANDS!$E$2:$E$25,0),FALSE)</f>
        <v>0.57755284476725133</v>
      </c>
    </row>
    <row r="50" spans="4:32" ht="14.5">
      <c r="D50" t="s">
        <v>6</v>
      </c>
      <c r="E50" t="str">
        <f>DEMANDS!$E$18</f>
        <v>TRAPM</v>
      </c>
      <c r="F50">
        <v>2039</v>
      </c>
      <c r="G50" s="19">
        <f>HLOOKUP(REG_TRA_DEMANDS!G$3,'BY-Demands'!$J$5:$AK$14,MATCH($E50,'BY-Demands'!$I$5:$I$14,0),FALSE)*HLOOKUP(REG_TRA_DEMANDS!$F50,DEMANDS!$G$2:$CK$25,MATCH($E50,DEMANDS!$E$2:$E$25,0),FALSE)/HLOOKUP(2018,DEMANDS!$G$2:$CK$25,MATCH($E50,DEMANDS!$E$2:$E$25,0),FALSE)</f>
        <v>0.53523189234897783</v>
      </c>
      <c r="H50" s="19">
        <f>HLOOKUP(REG_TRA_DEMANDS!H$3,'BY-Demands'!$J$5:$AK$14,MATCH($E50,'BY-Demands'!$I$5:$I$14,0),FALSE)*HLOOKUP(REG_TRA_DEMANDS!$F50,DEMANDS!$G$2:$CK$25,MATCH($E50,DEMANDS!$E$2:$E$25,0),FALSE)/HLOOKUP(2018,DEMANDS!$G$2:$CK$25,MATCH($E50,DEMANDS!$E$2:$E$25,0),FALSE)</f>
        <v>9.3730795405890195</v>
      </c>
      <c r="I50" s="19">
        <f>HLOOKUP(REG_TRA_DEMANDS!I$3,'BY-Demands'!$J$5:$AK$14,MATCH($E50,'BY-Demands'!$I$5:$I$14,0),FALSE)*HLOOKUP(REG_TRA_DEMANDS!$F50,DEMANDS!$G$2:$CK$25,MATCH($E50,DEMANDS!$E$2:$E$25,0),FALSE)/HLOOKUP(2018,DEMANDS!$G$2:$CK$25,MATCH($E50,DEMANDS!$E$2:$E$25,0),FALSE)</f>
        <v>1.9086572403658233</v>
      </c>
      <c r="J50" s="19">
        <f>HLOOKUP(REG_TRA_DEMANDS!J$3,'BY-Demands'!$J$5:$AK$14,MATCH($E50,'BY-Demands'!$I$5:$I$14,0),FALSE)*HLOOKUP(REG_TRA_DEMANDS!$F50,DEMANDS!$G$2:$CK$25,MATCH($E50,DEMANDS!$E$2:$E$25,0),FALSE)/HLOOKUP(2018,DEMANDS!$G$2:$CK$25,MATCH($E50,DEMANDS!$E$2:$E$25,0),FALSE)</f>
        <v>0.90645840448071846</v>
      </c>
      <c r="K50" s="19">
        <f>HLOOKUP(REG_TRA_DEMANDS!K$3,'BY-Demands'!$J$5:$AK$14,MATCH($E50,'BY-Demands'!$I$5:$I$14,0),FALSE)*HLOOKUP(REG_TRA_DEMANDS!$F50,DEMANDS!$G$2:$CK$25,MATCH($E50,DEMANDS!$E$2:$E$25,0),FALSE)/HLOOKUP(2018,DEMANDS!$G$2:$CK$25,MATCH($E50,DEMANDS!$E$2:$E$25,0),FALSE)</f>
        <v>0.68198772317812206</v>
      </c>
      <c r="L50" s="19">
        <f>HLOOKUP(REG_TRA_DEMANDS!L$3,'BY-Demands'!$J$5:$AK$14,MATCH($E50,'BY-Demands'!$I$5:$I$14,0),FALSE)*HLOOKUP(REG_TRA_DEMANDS!$F50,DEMANDS!$G$2:$CK$25,MATCH($E50,DEMANDS!$E$2:$E$25,0),FALSE)/HLOOKUP(2018,DEMANDS!$G$2:$CK$25,MATCH($E50,DEMANDS!$E$2:$E$25,0),FALSE)</f>
        <v>0.3513565626020092</v>
      </c>
      <c r="M50" s="19">
        <f>HLOOKUP(REG_TRA_DEMANDS!M$3,'BY-Demands'!$J$5:$AK$14,MATCH($E50,'BY-Demands'!$I$5:$I$14,0),FALSE)*HLOOKUP(REG_TRA_DEMANDS!$F50,DEMANDS!$G$2:$CK$25,MATCH($E50,DEMANDS!$E$2:$E$25,0),FALSE)/HLOOKUP(2018,DEMANDS!$G$2:$CK$25,MATCH($E50,DEMANDS!$E$2:$E$25,0),FALSE)</f>
        <v>0.94639724394688807</v>
      </c>
      <c r="N50" s="19">
        <f>HLOOKUP(REG_TRA_DEMANDS!N$3,'BY-Demands'!$J$5:$AK$14,MATCH($E50,'BY-Demands'!$I$5:$I$14,0),FALSE)*HLOOKUP(REG_TRA_DEMANDS!$F50,DEMANDS!$G$2:$CK$25,MATCH($E50,DEMANDS!$E$2:$E$25,0),FALSE)/HLOOKUP(2018,DEMANDS!$G$2:$CK$25,MATCH($E50,DEMANDS!$E$2:$E$25,0),FALSE)</f>
        <v>1.6430537955845459</v>
      </c>
      <c r="O50" s="19">
        <f>HLOOKUP(REG_TRA_DEMANDS!O$3,'BY-Demands'!$J$5:$AK$14,MATCH($E50,'BY-Demands'!$I$5:$I$14,0),FALSE)*HLOOKUP(REG_TRA_DEMANDS!$F50,DEMANDS!$G$2:$CK$25,MATCH($E50,DEMANDS!$E$2:$E$25,0),FALSE)/HLOOKUP(2018,DEMANDS!$G$2:$CK$25,MATCH($E50,DEMANDS!$E$2:$E$25,0),FALSE)</f>
        <v>0.69631095055425818</v>
      </c>
      <c r="P50" s="19">
        <f>HLOOKUP(REG_TRA_DEMANDS!P$3,'BY-Demands'!$J$5:$AK$14,MATCH($E50,'BY-Demands'!$I$5:$I$14,0),FALSE)*HLOOKUP(REG_TRA_DEMANDS!$F50,DEMANDS!$G$2:$CK$25,MATCH($E50,DEMANDS!$E$2:$E$25,0),FALSE)/HLOOKUP(2018,DEMANDS!$G$2:$CK$25,MATCH($E50,DEMANDS!$E$2:$E$25,0),FALSE)</f>
        <v>0.78602880401781294</v>
      </c>
      <c r="Q50" s="19">
        <f>HLOOKUP(REG_TRA_DEMANDS!Q$3,'BY-Demands'!$J$5:$AK$14,MATCH($E50,'BY-Demands'!$I$5:$I$14,0),FALSE)*HLOOKUP(REG_TRA_DEMANDS!$F50,DEMANDS!$G$2:$CK$25,MATCH($E50,DEMANDS!$E$2:$E$25,0),FALSE)/HLOOKUP(2018,DEMANDS!$G$2:$CK$25,MATCH($E50,DEMANDS!$E$2:$E$25,0),FALSE)</f>
        <v>1.3940426474264749</v>
      </c>
      <c r="R50" s="19">
        <f>HLOOKUP(REG_TRA_DEMANDS!R$3,'BY-Demands'!$J$5:$AK$14,MATCH($E50,'BY-Demands'!$I$5:$I$14,0),FALSE)*HLOOKUP(REG_TRA_DEMANDS!$F50,DEMANDS!$G$2:$CK$25,MATCH($E50,DEMANDS!$E$2:$E$25,0),FALSE)/HLOOKUP(2018,DEMANDS!$G$2:$CK$25,MATCH($E50,DEMANDS!$E$2:$E$25,0),FALSE)</f>
        <v>1.1829684763101063</v>
      </c>
      <c r="S50" s="19">
        <f>HLOOKUP(REG_TRA_DEMANDS!S$3,'BY-Demands'!$J$5:$AK$14,MATCH($E50,'BY-Demands'!$I$5:$I$14,0),FALSE)*HLOOKUP(REG_TRA_DEMANDS!$F50,DEMANDS!$G$2:$CK$25,MATCH($E50,DEMANDS!$E$2:$E$25,0),FALSE)/HLOOKUP(2018,DEMANDS!$G$2:$CK$25,MATCH($E50,DEMANDS!$E$2:$E$25,0),FALSE)</f>
        <v>1.0728935576797611</v>
      </c>
      <c r="T50" s="19">
        <f>HLOOKUP(REG_TRA_DEMANDS!T$3,'BY-Demands'!$J$5:$AK$14,MATCH($E50,'BY-Demands'!$I$5:$I$14,0),FALSE)*HLOOKUP(REG_TRA_DEMANDS!$F50,DEMANDS!$G$2:$CK$25,MATCH($E50,DEMANDS!$E$2:$E$25,0),FALSE)/HLOOKUP(2018,DEMANDS!$G$2:$CK$25,MATCH($E50,DEMANDS!$E$2:$E$25,0),FALSE)</f>
        <v>4.3358995554285249</v>
      </c>
      <c r="U50" s="19">
        <f>HLOOKUP(REG_TRA_DEMANDS!U$3,'BY-Demands'!$J$5:$AK$14,MATCH($E50,'BY-Demands'!$I$5:$I$14,0),FALSE)*HLOOKUP(REG_TRA_DEMANDS!$F50,DEMANDS!$G$2:$CK$25,MATCH($E50,DEMANDS!$E$2:$E$25,0),FALSE)/HLOOKUP(2018,DEMANDS!$G$2:$CK$25,MATCH($E50,DEMANDS!$E$2:$E$25,0),FALSE)</f>
        <v>1.419138758634594</v>
      </c>
      <c r="V50" s="19">
        <f>HLOOKUP(REG_TRA_DEMANDS!V$3,'BY-Demands'!$J$5:$AK$14,MATCH($E50,'BY-Demands'!$I$5:$I$14,0),FALSE)*HLOOKUP(REG_TRA_DEMANDS!$F50,DEMANDS!$G$2:$CK$25,MATCH($E50,DEMANDS!$E$2:$E$25,0),FALSE)/HLOOKUP(2018,DEMANDS!$G$2:$CK$25,MATCH($E50,DEMANDS!$E$2:$E$25,0),FALSE)</f>
        <v>1.5983154149986754</v>
      </c>
      <c r="W50" s="19">
        <f>HLOOKUP(REG_TRA_DEMANDS!W$3,'BY-Demands'!$J$5:$AK$14,MATCH($E50,'BY-Demands'!$I$5:$I$14,0),FALSE)*HLOOKUP(REG_TRA_DEMANDS!$F50,DEMANDS!$G$2:$CK$25,MATCH($E50,DEMANDS!$E$2:$E$25,0),FALSE)/HLOOKUP(2018,DEMANDS!$G$2:$CK$25,MATCH($E50,DEMANDS!$E$2:$E$25,0),FALSE)</f>
        <v>1.5501765777579619</v>
      </c>
      <c r="X50" s="19">
        <f>HLOOKUP(REG_TRA_DEMANDS!X$3,'BY-Demands'!$J$5:$AK$14,MATCH($E50,'BY-Demands'!$I$5:$I$14,0),FALSE)*HLOOKUP(REG_TRA_DEMANDS!$F50,DEMANDS!$G$2:$CK$25,MATCH($E50,DEMANDS!$E$2:$E$25,0),FALSE)/HLOOKUP(2018,DEMANDS!$G$2:$CK$25,MATCH($E50,DEMANDS!$E$2:$E$25,0),FALSE)</f>
        <v>0.97797077324525583</v>
      </c>
      <c r="Y50" s="19">
        <f>HLOOKUP(REG_TRA_DEMANDS!Y$3,'BY-Demands'!$J$5:$AK$14,MATCH($E50,'BY-Demands'!$I$5:$I$14,0),FALSE)*HLOOKUP(REG_TRA_DEMANDS!$F50,DEMANDS!$G$2:$CK$25,MATCH($E50,DEMANDS!$E$2:$E$25,0),FALSE)/HLOOKUP(2018,DEMANDS!$G$2:$CK$25,MATCH($E50,DEMANDS!$E$2:$E$25,0),FALSE)</f>
        <v>2.1896177046304373</v>
      </c>
      <c r="Z50" s="19">
        <f>HLOOKUP(REG_TRA_DEMANDS!Z$3,'BY-Demands'!$J$5:$AK$14,MATCH($E50,'BY-Demands'!$I$5:$I$14,0),FALSE)*HLOOKUP(REG_TRA_DEMANDS!$F50,DEMANDS!$G$2:$CK$25,MATCH($E50,DEMANDS!$E$2:$E$25,0),FALSE)/HLOOKUP(2018,DEMANDS!$G$2:$CK$25,MATCH($E50,DEMANDS!$E$2:$E$25,0),FALSE)</f>
        <v>0.28697612871445266</v>
      </c>
      <c r="AA50" s="19">
        <f>HLOOKUP(REG_TRA_DEMANDS!AA$3,'BY-Demands'!$J$5:$AK$14,MATCH($E50,'BY-Demands'!$I$5:$I$14,0),FALSE)*HLOOKUP(REG_TRA_DEMANDS!$F50,DEMANDS!$G$2:$CK$25,MATCH($E50,DEMANDS!$E$2:$E$25,0),FALSE)/HLOOKUP(2018,DEMANDS!$G$2:$CK$25,MATCH($E50,DEMANDS!$E$2:$E$25,0),FALSE)</f>
        <v>1.2126781101366015</v>
      </c>
      <c r="AB50" s="19">
        <f>HLOOKUP(REG_TRA_DEMANDS!AB$3,'BY-Demands'!$J$5:$AK$14,MATCH($E50,'BY-Demands'!$I$5:$I$14,0),FALSE)*HLOOKUP(REG_TRA_DEMANDS!$F50,DEMANDS!$G$2:$CK$25,MATCH($E50,DEMANDS!$E$2:$E$25,0),FALSE)/HLOOKUP(2018,DEMANDS!$G$2:$CK$25,MATCH($E50,DEMANDS!$E$2:$E$25,0),FALSE)</f>
        <v>0.65294328230004117</v>
      </c>
      <c r="AC50" s="19">
        <f>HLOOKUP(REG_TRA_DEMANDS!AC$3,'BY-Demands'!$J$5:$AK$14,MATCH($E50,'BY-Demands'!$I$5:$I$14,0),FALSE)*HLOOKUP(REG_TRA_DEMANDS!$F50,DEMANDS!$G$2:$CK$25,MATCH($E50,DEMANDS!$E$2:$E$25,0),FALSE)/HLOOKUP(2018,DEMANDS!$G$2:$CK$25,MATCH($E50,DEMANDS!$E$2:$E$25,0),FALSE)</f>
        <v>0.53266800853895901</v>
      </c>
      <c r="AD50" s="19">
        <f>HLOOKUP(REG_TRA_DEMANDS!AD$3,'BY-Demands'!$J$5:$AK$14,MATCH($E50,'BY-Demands'!$I$5:$I$14,0),FALSE)*HLOOKUP(REG_TRA_DEMANDS!$F50,DEMANDS!$G$2:$CK$25,MATCH($E50,DEMANDS!$E$2:$E$25,0),FALSE)/HLOOKUP(2018,DEMANDS!$G$2:$CK$25,MATCH($E50,DEMANDS!$E$2:$E$25,0),FALSE)</f>
        <v>0.57878217037330437</v>
      </c>
      <c r="AE50" s="19">
        <f>HLOOKUP(REG_TRA_DEMANDS!AE$3,'BY-Demands'!$J$5:$AK$14,MATCH($E50,'BY-Demands'!$I$5:$I$14,0),FALSE)*HLOOKUP(REG_TRA_DEMANDS!$F50,DEMANDS!$G$2:$CK$25,MATCH($E50,DEMANDS!$E$2:$E$25,0),FALSE)/HLOOKUP(2018,DEMANDS!$G$2:$CK$25,MATCH($E50,DEMANDS!$E$2:$E$25,0),FALSE)</f>
        <v>1.0659210052816985</v>
      </c>
      <c r="AF50" s="19">
        <f>HLOOKUP(REG_TRA_DEMANDS!AF$3,'BY-Demands'!$J$5:$AK$14,MATCH($E50,'BY-Demands'!$I$5:$I$14,0),FALSE)*HLOOKUP(REG_TRA_DEMANDS!$F50,DEMANDS!$G$2:$CK$25,MATCH($E50,DEMANDS!$E$2:$E$25,0),FALSE)/HLOOKUP(2018,DEMANDS!$G$2:$CK$25,MATCH($E50,DEMANDS!$E$2:$E$25,0),FALSE)</f>
        <v>0.58621613743876</v>
      </c>
    </row>
    <row r="51" spans="4:32" ht="14.5">
      <c r="D51" t="s">
        <v>6</v>
      </c>
      <c r="E51" t="str">
        <f>DEMANDS!$E$18</f>
        <v>TRAPM</v>
      </c>
      <c r="F51">
        <v>2040</v>
      </c>
      <c r="G51" s="19">
        <f>HLOOKUP(REG_TRA_DEMANDS!G$3,'BY-Demands'!$J$5:$AK$14,MATCH($E51,'BY-Demands'!$I$5:$I$14,0),FALSE)*HLOOKUP(REG_TRA_DEMANDS!$F51,DEMANDS!$G$2:$CK$25,MATCH($E51,DEMANDS!$E$2:$E$25,0),FALSE)/HLOOKUP(2018,DEMANDS!$G$2:$CK$25,MATCH($E51,DEMANDS!$E$2:$E$25,0),FALSE)</f>
        <v>0.54326037073421252</v>
      </c>
      <c r="H51" s="19">
        <f>HLOOKUP(REG_TRA_DEMANDS!H$3,'BY-Demands'!$J$5:$AK$14,MATCH($E51,'BY-Demands'!$I$5:$I$14,0),FALSE)*HLOOKUP(REG_TRA_DEMANDS!$F51,DEMANDS!$G$2:$CK$25,MATCH($E51,DEMANDS!$E$2:$E$25,0),FALSE)/HLOOKUP(2018,DEMANDS!$G$2:$CK$25,MATCH($E51,DEMANDS!$E$2:$E$25,0),FALSE)</f>
        <v>9.5136757336978555</v>
      </c>
      <c r="I51" s="19">
        <f>HLOOKUP(REG_TRA_DEMANDS!I$3,'BY-Demands'!$J$5:$AK$14,MATCH($E51,'BY-Demands'!$I$5:$I$14,0),FALSE)*HLOOKUP(REG_TRA_DEMANDS!$F51,DEMANDS!$G$2:$CK$25,MATCH($E51,DEMANDS!$E$2:$E$25,0),FALSE)/HLOOKUP(2018,DEMANDS!$G$2:$CK$25,MATCH($E51,DEMANDS!$E$2:$E$25,0),FALSE)</f>
        <v>1.9372870989713109</v>
      </c>
      <c r="J51" s="19">
        <f>HLOOKUP(REG_TRA_DEMANDS!J$3,'BY-Demands'!$J$5:$AK$14,MATCH($E51,'BY-Demands'!$I$5:$I$14,0),FALSE)*HLOOKUP(REG_TRA_DEMANDS!$F51,DEMANDS!$G$2:$CK$25,MATCH($E51,DEMANDS!$E$2:$E$25,0),FALSE)/HLOOKUP(2018,DEMANDS!$G$2:$CK$25,MATCH($E51,DEMANDS!$E$2:$E$25,0),FALSE)</f>
        <v>0.92005528054792918</v>
      </c>
      <c r="K51" s="19">
        <f>HLOOKUP(REG_TRA_DEMANDS!K$3,'BY-Demands'!$J$5:$AK$14,MATCH($E51,'BY-Demands'!$I$5:$I$14,0),FALSE)*HLOOKUP(REG_TRA_DEMANDS!$F51,DEMANDS!$G$2:$CK$25,MATCH($E51,DEMANDS!$E$2:$E$25,0),FALSE)/HLOOKUP(2018,DEMANDS!$G$2:$CK$25,MATCH($E51,DEMANDS!$E$2:$E$25,0),FALSE)</f>
        <v>0.69221753902579397</v>
      </c>
      <c r="L51" s="19">
        <f>HLOOKUP(REG_TRA_DEMANDS!L$3,'BY-Demands'!$J$5:$AK$14,MATCH($E51,'BY-Demands'!$I$5:$I$14,0),FALSE)*HLOOKUP(REG_TRA_DEMANDS!$F51,DEMANDS!$G$2:$CK$25,MATCH($E51,DEMANDS!$E$2:$E$25,0),FALSE)/HLOOKUP(2018,DEMANDS!$G$2:$CK$25,MATCH($E51,DEMANDS!$E$2:$E$25,0),FALSE)</f>
        <v>0.35662691104103927</v>
      </c>
      <c r="M51" s="19">
        <f>HLOOKUP(REG_TRA_DEMANDS!M$3,'BY-Demands'!$J$5:$AK$14,MATCH($E51,'BY-Demands'!$I$5:$I$14,0),FALSE)*HLOOKUP(REG_TRA_DEMANDS!$F51,DEMANDS!$G$2:$CK$25,MATCH($E51,DEMANDS!$E$2:$E$25,0),FALSE)/HLOOKUP(2018,DEMANDS!$G$2:$CK$25,MATCH($E51,DEMANDS!$E$2:$E$25,0),FALSE)</f>
        <v>0.96059320260609127</v>
      </c>
      <c r="N51" s="19">
        <f>HLOOKUP(REG_TRA_DEMANDS!N$3,'BY-Demands'!$J$5:$AK$14,MATCH($E51,'BY-Demands'!$I$5:$I$14,0),FALSE)*HLOOKUP(REG_TRA_DEMANDS!$F51,DEMANDS!$G$2:$CK$25,MATCH($E51,DEMANDS!$E$2:$E$25,0),FALSE)/HLOOKUP(2018,DEMANDS!$G$2:$CK$25,MATCH($E51,DEMANDS!$E$2:$E$25,0),FALSE)</f>
        <v>1.6676996025183142</v>
      </c>
      <c r="O51" s="19">
        <f>HLOOKUP(REG_TRA_DEMANDS!O$3,'BY-Demands'!$J$5:$AK$14,MATCH($E51,'BY-Demands'!$I$5:$I$14,0),FALSE)*HLOOKUP(REG_TRA_DEMANDS!$F51,DEMANDS!$G$2:$CK$25,MATCH($E51,DEMANDS!$E$2:$E$25,0),FALSE)/HLOOKUP(2018,DEMANDS!$G$2:$CK$25,MATCH($E51,DEMANDS!$E$2:$E$25,0),FALSE)</f>
        <v>0.70675561481257199</v>
      </c>
      <c r="P51" s="19">
        <f>HLOOKUP(REG_TRA_DEMANDS!P$3,'BY-Demands'!$J$5:$AK$14,MATCH($E51,'BY-Demands'!$I$5:$I$14,0),FALSE)*HLOOKUP(REG_TRA_DEMANDS!$F51,DEMANDS!$G$2:$CK$25,MATCH($E51,DEMANDS!$E$2:$E$25,0),FALSE)/HLOOKUP(2018,DEMANDS!$G$2:$CK$25,MATCH($E51,DEMANDS!$E$2:$E$25,0),FALSE)</f>
        <v>0.79781923607808014</v>
      </c>
      <c r="Q51" s="19">
        <f>HLOOKUP(REG_TRA_DEMANDS!Q$3,'BY-Demands'!$J$5:$AK$14,MATCH($E51,'BY-Demands'!$I$5:$I$14,0),FALSE)*HLOOKUP(REG_TRA_DEMANDS!$F51,DEMANDS!$G$2:$CK$25,MATCH($E51,DEMANDS!$E$2:$E$25,0),FALSE)/HLOOKUP(2018,DEMANDS!$G$2:$CK$25,MATCH($E51,DEMANDS!$E$2:$E$25,0),FALSE)</f>
        <v>1.4149532871378723</v>
      </c>
      <c r="R51" s="19">
        <f>HLOOKUP(REG_TRA_DEMANDS!R$3,'BY-Demands'!$J$5:$AK$14,MATCH($E51,'BY-Demands'!$I$5:$I$14,0),FALSE)*HLOOKUP(REG_TRA_DEMANDS!$F51,DEMANDS!$G$2:$CK$25,MATCH($E51,DEMANDS!$E$2:$E$25,0),FALSE)/HLOOKUP(2018,DEMANDS!$G$2:$CK$25,MATCH($E51,DEMANDS!$E$2:$E$25,0),FALSE)</f>
        <v>1.2007130034547577</v>
      </c>
      <c r="S51" s="19">
        <f>HLOOKUP(REG_TRA_DEMANDS!S$3,'BY-Demands'!$J$5:$AK$14,MATCH($E51,'BY-Demands'!$I$5:$I$14,0),FALSE)*HLOOKUP(REG_TRA_DEMANDS!$F51,DEMANDS!$G$2:$CK$25,MATCH($E51,DEMANDS!$E$2:$E$25,0),FALSE)/HLOOKUP(2018,DEMANDS!$G$2:$CK$25,MATCH($E51,DEMANDS!$E$2:$E$25,0),FALSE)</f>
        <v>1.0889869610449576</v>
      </c>
      <c r="T51" s="19">
        <f>HLOOKUP(REG_TRA_DEMANDS!T$3,'BY-Demands'!$J$5:$AK$14,MATCH($E51,'BY-Demands'!$I$5:$I$14,0),FALSE)*HLOOKUP(REG_TRA_DEMANDS!$F51,DEMANDS!$G$2:$CK$25,MATCH($E51,DEMANDS!$E$2:$E$25,0),FALSE)/HLOOKUP(2018,DEMANDS!$G$2:$CK$25,MATCH($E51,DEMANDS!$E$2:$E$25,0),FALSE)</f>
        <v>4.4009380487599516</v>
      </c>
      <c r="U51" s="19">
        <f>HLOOKUP(REG_TRA_DEMANDS!U$3,'BY-Demands'!$J$5:$AK$14,MATCH($E51,'BY-Demands'!$I$5:$I$14,0),FALSE)*HLOOKUP(REG_TRA_DEMANDS!$F51,DEMANDS!$G$2:$CK$25,MATCH($E51,DEMANDS!$E$2:$E$25,0),FALSE)/HLOOKUP(2018,DEMANDS!$G$2:$CK$25,MATCH($E51,DEMANDS!$E$2:$E$25,0),FALSE)</f>
        <v>1.440425840014113</v>
      </c>
      <c r="V51" s="19">
        <f>HLOOKUP(REG_TRA_DEMANDS!V$3,'BY-Demands'!$J$5:$AK$14,MATCH($E51,'BY-Demands'!$I$5:$I$14,0),FALSE)*HLOOKUP(REG_TRA_DEMANDS!$F51,DEMANDS!$G$2:$CK$25,MATCH($E51,DEMANDS!$E$2:$E$25,0),FALSE)/HLOOKUP(2018,DEMANDS!$G$2:$CK$25,MATCH($E51,DEMANDS!$E$2:$E$25,0),FALSE)</f>
        <v>1.6222901462236556</v>
      </c>
      <c r="W51" s="19">
        <f>HLOOKUP(REG_TRA_DEMANDS!W$3,'BY-Demands'!$J$5:$AK$14,MATCH($E51,'BY-Demands'!$I$5:$I$14,0),FALSE)*HLOOKUP(REG_TRA_DEMANDS!$F51,DEMANDS!$G$2:$CK$25,MATCH($E51,DEMANDS!$E$2:$E$25,0),FALSE)/HLOOKUP(2018,DEMANDS!$G$2:$CK$25,MATCH($E51,DEMANDS!$E$2:$E$25,0),FALSE)</f>
        <v>1.5734292264243313</v>
      </c>
      <c r="X51" s="19">
        <f>HLOOKUP(REG_TRA_DEMANDS!X$3,'BY-Demands'!$J$5:$AK$14,MATCH($E51,'BY-Demands'!$I$5:$I$14,0),FALSE)*HLOOKUP(REG_TRA_DEMANDS!$F51,DEMANDS!$G$2:$CK$25,MATCH($E51,DEMANDS!$E$2:$E$25,0),FALSE)/HLOOKUP(2018,DEMANDS!$G$2:$CK$25,MATCH($E51,DEMANDS!$E$2:$E$25,0),FALSE)</f>
        <v>0.99264033484393466</v>
      </c>
      <c r="Y51" s="19">
        <f>HLOOKUP(REG_TRA_DEMANDS!Y$3,'BY-Demands'!$J$5:$AK$14,MATCH($E51,'BY-Demands'!$I$5:$I$14,0),FALSE)*HLOOKUP(REG_TRA_DEMANDS!$F51,DEMANDS!$G$2:$CK$25,MATCH($E51,DEMANDS!$E$2:$E$25,0),FALSE)/HLOOKUP(2018,DEMANDS!$G$2:$CK$25,MATCH($E51,DEMANDS!$E$2:$E$25,0),FALSE)</f>
        <v>2.2224619701998938</v>
      </c>
      <c r="Z51" s="19">
        <f>HLOOKUP(REG_TRA_DEMANDS!Z$3,'BY-Demands'!$J$5:$AK$14,MATCH($E51,'BY-Demands'!$I$5:$I$14,0),FALSE)*HLOOKUP(REG_TRA_DEMANDS!$F51,DEMANDS!$G$2:$CK$25,MATCH($E51,DEMANDS!$E$2:$E$25,0),FALSE)/HLOOKUP(2018,DEMANDS!$G$2:$CK$25,MATCH($E51,DEMANDS!$E$2:$E$25,0),FALSE)</f>
        <v>0.2912807706451695</v>
      </c>
      <c r="AA51" s="19">
        <f>HLOOKUP(REG_TRA_DEMANDS!AA$3,'BY-Demands'!$J$5:$AK$14,MATCH($E51,'BY-Demands'!$I$5:$I$14,0),FALSE)*HLOOKUP(REG_TRA_DEMANDS!$F51,DEMANDS!$G$2:$CK$25,MATCH($E51,DEMANDS!$E$2:$E$25,0),FALSE)/HLOOKUP(2018,DEMANDS!$G$2:$CK$25,MATCH($E51,DEMANDS!$E$2:$E$25,0),FALSE)</f>
        <v>1.2308682817886505</v>
      </c>
      <c r="AB51" s="19">
        <f>HLOOKUP(REG_TRA_DEMANDS!AB$3,'BY-Demands'!$J$5:$AK$14,MATCH($E51,'BY-Demands'!$I$5:$I$14,0),FALSE)*HLOOKUP(REG_TRA_DEMANDS!$F51,DEMANDS!$G$2:$CK$25,MATCH($E51,DEMANDS!$E$2:$E$25,0),FALSE)/HLOOKUP(2018,DEMANDS!$G$2:$CK$25,MATCH($E51,DEMANDS!$E$2:$E$25,0),FALSE)</f>
        <v>0.66273743153454179</v>
      </c>
      <c r="AC51" s="19">
        <f>HLOOKUP(REG_TRA_DEMANDS!AC$3,'BY-Demands'!$J$5:$AK$14,MATCH($E51,'BY-Demands'!$I$5:$I$14,0),FALSE)*HLOOKUP(REG_TRA_DEMANDS!$F51,DEMANDS!$G$2:$CK$25,MATCH($E51,DEMANDS!$E$2:$E$25,0),FALSE)/HLOOKUP(2018,DEMANDS!$G$2:$CK$25,MATCH($E51,DEMANDS!$E$2:$E$25,0),FALSE)</f>
        <v>0.54065802866704349</v>
      </c>
      <c r="AD51" s="19">
        <f>HLOOKUP(REG_TRA_DEMANDS!AD$3,'BY-Demands'!$J$5:$AK$14,MATCH($E51,'BY-Demands'!$I$5:$I$14,0),FALSE)*HLOOKUP(REG_TRA_DEMANDS!$F51,DEMANDS!$G$2:$CK$25,MATCH($E51,DEMANDS!$E$2:$E$25,0),FALSE)/HLOOKUP(2018,DEMANDS!$G$2:$CK$25,MATCH($E51,DEMANDS!$E$2:$E$25,0),FALSE)</f>
        <v>0.58746390292890394</v>
      </c>
      <c r="AE51" s="19">
        <f>HLOOKUP(REG_TRA_DEMANDS!AE$3,'BY-Demands'!$J$5:$AK$14,MATCH($E51,'BY-Demands'!$I$5:$I$14,0),FALSE)*HLOOKUP(REG_TRA_DEMANDS!$F51,DEMANDS!$G$2:$CK$25,MATCH($E51,DEMANDS!$E$2:$E$25,0),FALSE)/HLOOKUP(2018,DEMANDS!$G$2:$CK$25,MATCH($E51,DEMANDS!$E$2:$E$25,0),FALSE)</f>
        <v>1.0819098203609239</v>
      </c>
      <c r="AF51" s="19">
        <f>HLOOKUP(REG_TRA_DEMANDS!AF$3,'BY-Demands'!$J$5:$AK$14,MATCH($E51,'BY-Demands'!$I$5:$I$14,0),FALSE)*HLOOKUP(REG_TRA_DEMANDS!$F51,DEMANDS!$G$2:$CK$25,MATCH($E51,DEMANDS!$E$2:$E$25,0),FALSE)/HLOOKUP(2018,DEMANDS!$G$2:$CK$25,MATCH($E51,DEMANDS!$E$2:$E$25,0),FALSE)</f>
        <v>0.59500937950034138</v>
      </c>
    </row>
    <row r="52" spans="4:32" ht="14.5">
      <c r="D52" t="s">
        <v>6</v>
      </c>
      <c r="E52" t="str">
        <f>DEMANDS!$E$18</f>
        <v>TRAPM</v>
      </c>
      <c r="F52">
        <v>2045</v>
      </c>
      <c r="G52" s="19">
        <f>HLOOKUP(REG_TRA_DEMANDS!G$3,'BY-Demands'!$J$5:$AK$14,MATCH($E52,'BY-Demands'!$I$5:$I$14,0),FALSE)*HLOOKUP(REG_TRA_DEMANDS!$F52,DEMANDS!$G$2:$CK$25,MATCH($E52,DEMANDS!$E$2:$E$25,0),FALSE)/HLOOKUP(2018,DEMANDS!$G$2:$CK$25,MATCH($E52,DEMANDS!$E$2:$E$25,0),FALSE)</f>
        <v>0.58524570733626213</v>
      </c>
      <c r="H52" s="19">
        <f>HLOOKUP(REG_TRA_DEMANDS!H$3,'BY-Demands'!$J$5:$AK$14,MATCH($E52,'BY-Demands'!$I$5:$I$14,0),FALSE)*HLOOKUP(REG_TRA_DEMANDS!$F52,DEMANDS!$G$2:$CK$25,MATCH($E52,DEMANDS!$E$2:$E$25,0),FALSE)/HLOOKUP(2018,DEMANDS!$G$2:$CK$25,MATCH($E52,DEMANDS!$E$2:$E$25,0),FALSE)</f>
        <v>10.24893068605564</v>
      </c>
      <c r="I52" s="19">
        <f>HLOOKUP(REG_TRA_DEMANDS!I$3,'BY-Demands'!$J$5:$AK$14,MATCH($E52,'BY-Demands'!$I$5:$I$14,0),FALSE)*HLOOKUP(REG_TRA_DEMANDS!$F52,DEMANDS!$G$2:$CK$25,MATCH($E52,DEMANDS!$E$2:$E$25,0),FALSE)/HLOOKUP(2018,DEMANDS!$G$2:$CK$25,MATCH($E52,DEMANDS!$E$2:$E$25,0),FALSE)</f>
        <v>2.0870084026533582</v>
      </c>
      <c r="J52" s="19">
        <f>HLOOKUP(REG_TRA_DEMANDS!J$3,'BY-Demands'!$J$5:$AK$14,MATCH($E52,'BY-Demands'!$I$5:$I$14,0),FALSE)*HLOOKUP(REG_TRA_DEMANDS!$F52,DEMANDS!$G$2:$CK$25,MATCH($E52,DEMANDS!$E$2:$E$25,0),FALSE)/HLOOKUP(2018,DEMANDS!$G$2:$CK$25,MATCH($E52,DEMANDS!$E$2:$E$25,0),FALSE)</f>
        <v>0.99116083642363451</v>
      </c>
      <c r="K52" s="19">
        <f>HLOOKUP(REG_TRA_DEMANDS!K$3,'BY-Demands'!$J$5:$AK$14,MATCH($E52,'BY-Demands'!$I$5:$I$14,0),FALSE)*HLOOKUP(REG_TRA_DEMANDS!$F52,DEMANDS!$G$2:$CK$25,MATCH($E52,DEMANDS!$E$2:$E$25,0),FALSE)/HLOOKUP(2018,DEMANDS!$G$2:$CK$25,MATCH($E52,DEMANDS!$E$2:$E$25,0),FALSE)</f>
        <v>0.74571488200069547</v>
      </c>
      <c r="L52" s="19">
        <f>HLOOKUP(REG_TRA_DEMANDS!L$3,'BY-Demands'!$J$5:$AK$14,MATCH($E52,'BY-Demands'!$I$5:$I$14,0),FALSE)*HLOOKUP(REG_TRA_DEMANDS!$F52,DEMANDS!$G$2:$CK$25,MATCH($E52,DEMANDS!$E$2:$E$25,0),FALSE)/HLOOKUP(2018,DEMANDS!$G$2:$CK$25,MATCH($E52,DEMANDS!$E$2:$E$25,0),FALSE)</f>
        <v>0.38418846661920741</v>
      </c>
      <c r="M52" s="19">
        <f>HLOOKUP(REG_TRA_DEMANDS!M$3,'BY-Demands'!$J$5:$AK$14,MATCH($E52,'BY-Demands'!$I$5:$I$14,0),FALSE)*HLOOKUP(REG_TRA_DEMANDS!$F52,DEMANDS!$G$2:$CK$25,MATCH($E52,DEMANDS!$E$2:$E$25,0),FALSE)/HLOOKUP(2018,DEMANDS!$G$2:$CK$25,MATCH($E52,DEMANDS!$E$2:$E$25,0),FALSE)</f>
        <v>1.0348316914076041</v>
      </c>
      <c r="N52" s="19">
        <f>HLOOKUP(REG_TRA_DEMANDS!N$3,'BY-Demands'!$J$5:$AK$14,MATCH($E52,'BY-Demands'!$I$5:$I$14,0),FALSE)*HLOOKUP(REG_TRA_DEMANDS!$F52,DEMANDS!$G$2:$CK$25,MATCH($E52,DEMANDS!$E$2:$E$25,0),FALSE)/HLOOKUP(2018,DEMANDS!$G$2:$CK$25,MATCH($E52,DEMANDS!$E$2:$E$25,0),FALSE)</f>
        <v>1.7965861050773093</v>
      </c>
      <c r="O52" s="19">
        <f>HLOOKUP(REG_TRA_DEMANDS!O$3,'BY-Demands'!$J$5:$AK$14,MATCH($E52,'BY-Demands'!$I$5:$I$14,0),FALSE)*HLOOKUP(REG_TRA_DEMANDS!$F52,DEMANDS!$G$2:$CK$25,MATCH($E52,DEMANDS!$E$2:$E$25,0),FALSE)/HLOOKUP(2018,DEMANDS!$G$2:$CK$25,MATCH($E52,DEMANDS!$E$2:$E$25,0),FALSE)</f>
        <v>0.76137651849305032</v>
      </c>
      <c r="P52" s="19">
        <f>HLOOKUP(REG_TRA_DEMANDS!P$3,'BY-Demands'!$J$5:$AK$14,MATCH($E52,'BY-Demands'!$I$5:$I$14,0),FALSE)*HLOOKUP(REG_TRA_DEMANDS!$F52,DEMANDS!$G$2:$CK$25,MATCH($E52,DEMANDS!$E$2:$E$25,0),FALSE)/HLOOKUP(2018,DEMANDS!$G$2:$CK$25,MATCH($E52,DEMANDS!$E$2:$E$25,0),FALSE)</f>
        <v>0.85947790101816712</v>
      </c>
      <c r="Q52" s="19">
        <f>HLOOKUP(REG_TRA_DEMANDS!Q$3,'BY-Demands'!$J$5:$AK$14,MATCH($E52,'BY-Demands'!$I$5:$I$14,0),FALSE)*HLOOKUP(REG_TRA_DEMANDS!$F52,DEMANDS!$G$2:$CK$25,MATCH($E52,DEMANDS!$E$2:$E$25,0),FALSE)/HLOOKUP(2018,DEMANDS!$G$2:$CK$25,MATCH($E52,DEMANDS!$E$2:$E$25,0),FALSE)</f>
        <v>1.524306542477244</v>
      </c>
      <c r="R52" s="19">
        <f>HLOOKUP(REG_TRA_DEMANDS!R$3,'BY-Demands'!$J$5:$AK$14,MATCH($E52,'BY-Demands'!$I$5:$I$14,0),FALSE)*HLOOKUP(REG_TRA_DEMANDS!$F52,DEMANDS!$G$2:$CK$25,MATCH($E52,DEMANDS!$E$2:$E$25,0),FALSE)/HLOOKUP(2018,DEMANDS!$G$2:$CK$25,MATCH($E52,DEMANDS!$E$2:$E$25,0),FALSE)</f>
        <v>1.2935089118777741</v>
      </c>
      <c r="S52" s="19">
        <f>HLOOKUP(REG_TRA_DEMANDS!S$3,'BY-Demands'!$J$5:$AK$14,MATCH($E52,'BY-Demands'!$I$5:$I$14,0),FALSE)*HLOOKUP(REG_TRA_DEMANDS!$F52,DEMANDS!$G$2:$CK$25,MATCH($E52,DEMANDS!$E$2:$E$25,0),FALSE)/HLOOKUP(2018,DEMANDS!$G$2:$CK$25,MATCH($E52,DEMANDS!$E$2:$E$25,0),FALSE)</f>
        <v>1.1731482335723893</v>
      </c>
      <c r="T52" s="19">
        <f>HLOOKUP(REG_TRA_DEMANDS!T$3,'BY-Demands'!$J$5:$AK$14,MATCH($E52,'BY-Demands'!$I$5:$I$14,0),FALSE)*HLOOKUP(REG_TRA_DEMANDS!$F52,DEMANDS!$G$2:$CK$25,MATCH($E52,DEMANDS!$E$2:$E$25,0),FALSE)/HLOOKUP(2018,DEMANDS!$G$2:$CK$25,MATCH($E52,DEMANDS!$E$2:$E$25,0),FALSE)</f>
        <v>4.7410601620152075</v>
      </c>
      <c r="U52" s="19">
        <f>HLOOKUP(REG_TRA_DEMANDS!U$3,'BY-Demands'!$J$5:$AK$14,MATCH($E52,'BY-Demands'!$I$5:$I$14,0),FALSE)*HLOOKUP(REG_TRA_DEMANDS!$F52,DEMANDS!$G$2:$CK$25,MATCH($E52,DEMANDS!$E$2:$E$25,0),FALSE)/HLOOKUP(2018,DEMANDS!$G$2:$CK$25,MATCH($E52,DEMANDS!$E$2:$E$25,0),FALSE)</f>
        <v>1.5517477162289173</v>
      </c>
      <c r="V52" s="19">
        <f>HLOOKUP(REG_TRA_DEMANDS!V$3,'BY-Demands'!$J$5:$AK$14,MATCH($E52,'BY-Demands'!$I$5:$I$14,0),FALSE)*HLOOKUP(REG_TRA_DEMANDS!$F52,DEMANDS!$G$2:$CK$25,MATCH($E52,DEMANDS!$E$2:$E$25,0),FALSE)/HLOOKUP(2018,DEMANDS!$G$2:$CK$25,MATCH($E52,DEMANDS!$E$2:$E$25,0),FALSE)</f>
        <v>1.747667224185987</v>
      </c>
      <c r="W52" s="19">
        <f>HLOOKUP(REG_TRA_DEMANDS!W$3,'BY-Demands'!$J$5:$AK$14,MATCH($E52,'BY-Demands'!$I$5:$I$14,0),FALSE)*HLOOKUP(REG_TRA_DEMANDS!$F52,DEMANDS!$G$2:$CK$25,MATCH($E52,DEMANDS!$E$2:$E$25,0),FALSE)/HLOOKUP(2018,DEMANDS!$G$2:$CK$25,MATCH($E52,DEMANDS!$E$2:$E$25,0),FALSE)</f>
        <v>1.6950301368710976</v>
      </c>
      <c r="X52" s="19">
        <f>HLOOKUP(REG_TRA_DEMANDS!X$3,'BY-Demands'!$J$5:$AK$14,MATCH($E52,'BY-Demands'!$I$5:$I$14,0),FALSE)*HLOOKUP(REG_TRA_DEMANDS!$F52,DEMANDS!$G$2:$CK$25,MATCH($E52,DEMANDS!$E$2:$E$25,0),FALSE)/HLOOKUP(2018,DEMANDS!$G$2:$CK$25,MATCH($E52,DEMANDS!$E$2:$E$25,0),FALSE)</f>
        <v>1.0693555543378002</v>
      </c>
      <c r="Y52" s="19">
        <f>HLOOKUP(REG_TRA_DEMANDS!Y$3,'BY-Demands'!$J$5:$AK$14,MATCH($E52,'BY-Demands'!$I$5:$I$14,0),FALSE)*HLOOKUP(REG_TRA_DEMANDS!$F52,DEMANDS!$G$2:$CK$25,MATCH($E52,DEMANDS!$E$2:$E$25,0),FALSE)/HLOOKUP(2018,DEMANDS!$G$2:$CK$25,MATCH($E52,DEMANDS!$E$2:$E$25,0),FALSE)</f>
        <v>2.3942227297376966</v>
      </c>
      <c r="Z52" s="19">
        <f>HLOOKUP(REG_TRA_DEMANDS!Z$3,'BY-Demands'!$J$5:$AK$14,MATCH($E52,'BY-Demands'!$I$5:$I$14,0),FALSE)*HLOOKUP(REG_TRA_DEMANDS!$F52,DEMANDS!$G$2:$CK$25,MATCH($E52,DEMANDS!$E$2:$E$25,0),FALSE)/HLOOKUP(2018,DEMANDS!$G$2:$CK$25,MATCH($E52,DEMANDS!$E$2:$E$25,0),FALSE)</f>
        <v>0.31379211485515435</v>
      </c>
      <c r="AA52" s="19">
        <f>HLOOKUP(REG_TRA_DEMANDS!AA$3,'BY-Demands'!$J$5:$AK$14,MATCH($E52,'BY-Demands'!$I$5:$I$14,0),FALSE)*HLOOKUP(REG_TRA_DEMANDS!$F52,DEMANDS!$G$2:$CK$25,MATCH($E52,DEMANDS!$E$2:$E$25,0),FALSE)/HLOOKUP(2018,DEMANDS!$G$2:$CK$25,MATCH($E52,DEMANDS!$E$2:$E$25,0),FALSE)</f>
        <v>1.3259947108595578</v>
      </c>
      <c r="AB52" s="19">
        <f>HLOOKUP(REG_TRA_DEMANDS!AB$3,'BY-Demands'!$J$5:$AK$14,MATCH($E52,'BY-Demands'!$I$5:$I$14,0),FALSE)*HLOOKUP(REG_TRA_DEMANDS!$F52,DEMANDS!$G$2:$CK$25,MATCH($E52,DEMANDS!$E$2:$E$25,0),FALSE)/HLOOKUP(2018,DEMANDS!$G$2:$CK$25,MATCH($E52,DEMANDS!$E$2:$E$25,0),FALSE)</f>
        <v>0.71395643376757767</v>
      </c>
      <c r="AC52" s="19">
        <f>HLOOKUP(REG_TRA_DEMANDS!AC$3,'BY-Demands'!$J$5:$AK$14,MATCH($E52,'BY-Demands'!$I$5:$I$14,0),FALSE)*HLOOKUP(REG_TRA_DEMANDS!$F52,DEMANDS!$G$2:$CK$25,MATCH($E52,DEMANDS!$E$2:$E$25,0),FALSE)/HLOOKUP(2018,DEMANDS!$G$2:$CK$25,MATCH($E52,DEMANDS!$E$2:$E$25,0),FALSE)</f>
        <v>0.58244224585466553</v>
      </c>
      <c r="AD52" s="19">
        <f>HLOOKUP(REG_TRA_DEMANDS!AD$3,'BY-Demands'!$J$5:$AK$14,MATCH($E52,'BY-Demands'!$I$5:$I$14,0),FALSE)*HLOOKUP(REG_TRA_DEMANDS!$F52,DEMANDS!$G$2:$CK$25,MATCH($E52,DEMANDS!$E$2:$E$25,0),FALSE)/HLOOKUP(2018,DEMANDS!$G$2:$CK$25,MATCH($E52,DEMANDS!$E$2:$E$25,0),FALSE)</f>
        <v>0.63286546548479117</v>
      </c>
      <c r="AE52" s="19">
        <f>HLOOKUP(REG_TRA_DEMANDS!AE$3,'BY-Demands'!$J$5:$AK$14,MATCH($E52,'BY-Demands'!$I$5:$I$14,0),FALSE)*HLOOKUP(REG_TRA_DEMANDS!$F52,DEMANDS!$G$2:$CK$25,MATCH($E52,DEMANDS!$E$2:$E$25,0),FALSE)/HLOOKUP(2018,DEMANDS!$G$2:$CK$25,MATCH($E52,DEMANDS!$E$2:$E$25,0),FALSE)</f>
        <v>1.1655241431202406</v>
      </c>
      <c r="AF52" s="19">
        <f>HLOOKUP(REG_TRA_DEMANDS!AF$3,'BY-Demands'!$J$5:$AK$14,MATCH($E52,'BY-Demands'!$I$5:$I$14,0),FALSE)*HLOOKUP(REG_TRA_DEMANDS!$F52,DEMANDS!$G$2:$CK$25,MATCH($E52,DEMANDS!$E$2:$E$25,0),FALSE)/HLOOKUP(2018,DEMANDS!$G$2:$CK$25,MATCH($E52,DEMANDS!$E$2:$E$25,0),FALSE)</f>
        <v>0.64099408669688496</v>
      </c>
    </row>
    <row r="53" spans="4:32" ht="14.5">
      <c r="D53" t="s">
        <v>6</v>
      </c>
      <c r="E53" t="str">
        <f>DEMANDS!$E$18</f>
        <v>TRAPM</v>
      </c>
      <c r="F53">
        <v>2050</v>
      </c>
      <c r="G53" s="19">
        <f>HLOOKUP(REG_TRA_DEMANDS!G$3,'BY-Demands'!$J$5:$AK$14,MATCH($E53,'BY-Demands'!$I$5:$I$14,0),FALSE)*HLOOKUP(REG_TRA_DEMANDS!$F53,DEMANDS!$G$2:$CK$25,MATCH($E53,DEMANDS!$E$2:$E$25,0),FALSE)/HLOOKUP(2018,DEMANDS!$G$2:$CK$25,MATCH($E53,DEMANDS!$E$2:$E$25,0),FALSE)</f>
        <v>0.63047583885535119</v>
      </c>
      <c r="H53" s="19">
        <f>HLOOKUP(REG_TRA_DEMANDS!H$3,'BY-Demands'!$J$5:$AK$14,MATCH($E53,'BY-Demands'!$I$5:$I$14,0),FALSE)*HLOOKUP(REG_TRA_DEMANDS!$F53,DEMANDS!$G$2:$CK$25,MATCH($E53,DEMANDS!$E$2:$E$25,0),FALSE)/HLOOKUP(2018,DEMANDS!$G$2:$CK$25,MATCH($E53,DEMANDS!$E$2:$E$25,0),FALSE)</f>
        <v>11.041009085007447</v>
      </c>
      <c r="I53" s="19">
        <f>HLOOKUP(REG_TRA_DEMANDS!I$3,'BY-Demands'!$J$5:$AK$14,MATCH($E53,'BY-Demands'!$I$5:$I$14,0),FALSE)*HLOOKUP(REG_TRA_DEMANDS!$F53,DEMANDS!$G$2:$CK$25,MATCH($E53,DEMANDS!$E$2:$E$25,0),FALSE)/HLOOKUP(2018,DEMANDS!$G$2:$CK$25,MATCH($E53,DEMANDS!$E$2:$E$25,0),FALSE)</f>
        <v>2.2483007681507421</v>
      </c>
      <c r="J53" s="19">
        <f>HLOOKUP(REG_TRA_DEMANDS!J$3,'BY-Demands'!$J$5:$AK$14,MATCH($E53,'BY-Demands'!$I$5:$I$14,0),FALSE)*HLOOKUP(REG_TRA_DEMANDS!$F53,DEMANDS!$G$2:$CK$25,MATCH($E53,DEMANDS!$E$2:$E$25,0),FALSE)/HLOOKUP(2018,DEMANDS!$G$2:$CK$25,MATCH($E53,DEMANDS!$E$2:$E$25,0),FALSE)</f>
        <v>1.0677617143558387</v>
      </c>
      <c r="K53" s="19">
        <f>HLOOKUP(REG_TRA_DEMANDS!K$3,'BY-Demands'!$J$5:$AK$14,MATCH($E53,'BY-Demands'!$I$5:$I$14,0),FALSE)*HLOOKUP(REG_TRA_DEMANDS!$F53,DEMANDS!$G$2:$CK$25,MATCH($E53,DEMANDS!$E$2:$E$25,0),FALSE)/HLOOKUP(2018,DEMANDS!$G$2:$CK$25,MATCH($E53,DEMANDS!$E$2:$E$25,0),FALSE)</f>
        <v>0.80334671383787304</v>
      </c>
      <c r="L53" s="19">
        <f>HLOOKUP(REG_TRA_DEMANDS!L$3,'BY-Demands'!$J$5:$AK$14,MATCH($E53,'BY-Demands'!$I$5:$I$14,0),FALSE)*HLOOKUP(REG_TRA_DEMANDS!$F53,DEMANDS!$G$2:$CK$25,MATCH($E53,DEMANDS!$E$2:$E$25,0),FALSE)/HLOOKUP(2018,DEMANDS!$G$2:$CK$25,MATCH($E53,DEMANDS!$E$2:$E$25,0),FALSE)</f>
        <v>0.41388008956573813</v>
      </c>
      <c r="M53" s="19">
        <f>HLOOKUP(REG_TRA_DEMANDS!M$3,'BY-Demands'!$J$5:$AK$14,MATCH($E53,'BY-Demands'!$I$5:$I$14,0),FALSE)*HLOOKUP(REG_TRA_DEMANDS!$F53,DEMANDS!$G$2:$CK$25,MATCH($E53,DEMANDS!$E$2:$E$25,0),FALSE)/HLOOKUP(2018,DEMANDS!$G$2:$CK$25,MATCH($E53,DEMANDS!$E$2:$E$25,0),FALSE)</f>
        <v>1.1148076278660233</v>
      </c>
      <c r="N53" s="19">
        <f>HLOOKUP(REG_TRA_DEMANDS!N$3,'BY-Demands'!$J$5:$AK$14,MATCH($E53,'BY-Demands'!$I$5:$I$14,0),FALSE)*HLOOKUP(REG_TRA_DEMANDS!$F53,DEMANDS!$G$2:$CK$25,MATCH($E53,DEMANDS!$E$2:$E$25,0),FALSE)/HLOOKUP(2018,DEMANDS!$G$2:$CK$25,MATCH($E53,DEMANDS!$E$2:$E$25,0),FALSE)</f>
        <v>1.9354334726007174</v>
      </c>
      <c r="O53" s="19">
        <f>HLOOKUP(REG_TRA_DEMANDS!O$3,'BY-Demands'!$J$5:$AK$14,MATCH($E53,'BY-Demands'!$I$5:$I$14,0),FALSE)*HLOOKUP(REG_TRA_DEMANDS!$F53,DEMANDS!$G$2:$CK$25,MATCH($E53,DEMANDS!$E$2:$E$25,0),FALSE)/HLOOKUP(2018,DEMANDS!$G$2:$CK$25,MATCH($E53,DEMANDS!$E$2:$E$25,0),FALSE)</f>
        <v>0.82021874430573871</v>
      </c>
      <c r="P53" s="19">
        <f>HLOOKUP(REG_TRA_DEMANDS!P$3,'BY-Demands'!$J$5:$AK$14,MATCH($E53,'BY-Demands'!$I$5:$I$14,0),FALSE)*HLOOKUP(REG_TRA_DEMANDS!$F53,DEMANDS!$G$2:$CK$25,MATCH($E53,DEMANDS!$E$2:$E$25,0),FALSE)/HLOOKUP(2018,DEMANDS!$G$2:$CK$25,MATCH($E53,DEMANDS!$E$2:$E$25,0),FALSE)</f>
        <v>0.92590179445898912</v>
      </c>
      <c r="Q53" s="19">
        <f>HLOOKUP(REG_TRA_DEMANDS!Q$3,'BY-Demands'!$J$5:$AK$14,MATCH($E53,'BY-Demands'!$I$5:$I$14,0),FALSE)*HLOOKUP(REG_TRA_DEMANDS!$F53,DEMANDS!$G$2:$CK$25,MATCH($E53,DEMANDS!$E$2:$E$25,0),FALSE)/HLOOKUP(2018,DEMANDS!$G$2:$CK$25,MATCH($E53,DEMANDS!$E$2:$E$25,0),FALSE)</f>
        <v>1.6421110552270324</v>
      </c>
      <c r="R53" s="19">
        <f>HLOOKUP(REG_TRA_DEMANDS!R$3,'BY-Demands'!$J$5:$AK$14,MATCH($E53,'BY-Demands'!$I$5:$I$14,0),FALSE)*HLOOKUP(REG_TRA_DEMANDS!$F53,DEMANDS!$G$2:$CK$25,MATCH($E53,DEMANDS!$E$2:$E$25,0),FALSE)/HLOOKUP(2018,DEMANDS!$G$2:$CK$25,MATCH($E53,DEMANDS!$E$2:$E$25,0),FALSE)</f>
        <v>1.3934764596478089</v>
      </c>
      <c r="S53" s="19">
        <f>HLOOKUP(REG_TRA_DEMANDS!S$3,'BY-Demands'!$J$5:$AK$14,MATCH($E53,'BY-Demands'!$I$5:$I$14,0),FALSE)*HLOOKUP(REG_TRA_DEMANDS!$F53,DEMANDS!$G$2:$CK$25,MATCH($E53,DEMANDS!$E$2:$E$25,0),FALSE)/HLOOKUP(2018,DEMANDS!$G$2:$CK$25,MATCH($E53,DEMANDS!$E$2:$E$25,0),FALSE)</f>
        <v>1.2638138262127447</v>
      </c>
      <c r="T53" s="19">
        <f>HLOOKUP(REG_TRA_DEMANDS!T$3,'BY-Demands'!$J$5:$AK$14,MATCH($E53,'BY-Demands'!$I$5:$I$14,0),FALSE)*HLOOKUP(REG_TRA_DEMANDS!$F53,DEMANDS!$G$2:$CK$25,MATCH($E53,DEMANDS!$E$2:$E$25,0),FALSE)/HLOOKUP(2018,DEMANDS!$G$2:$CK$25,MATCH($E53,DEMANDS!$E$2:$E$25,0),FALSE)</f>
        <v>5.1074682739924437</v>
      </c>
      <c r="U53" s="19">
        <f>HLOOKUP(REG_TRA_DEMANDS!U$3,'BY-Demands'!$J$5:$AK$14,MATCH($E53,'BY-Demands'!$I$5:$I$14,0),FALSE)*HLOOKUP(REG_TRA_DEMANDS!$F53,DEMANDS!$G$2:$CK$25,MATCH($E53,DEMANDS!$E$2:$E$25,0),FALSE)/HLOOKUP(2018,DEMANDS!$G$2:$CK$25,MATCH($E53,DEMANDS!$E$2:$E$25,0),FALSE)</f>
        <v>1.6716729927575216</v>
      </c>
      <c r="V53" s="19">
        <f>HLOOKUP(REG_TRA_DEMANDS!V$3,'BY-Demands'!$J$5:$AK$14,MATCH($E53,'BY-Demands'!$I$5:$I$14,0),FALSE)*HLOOKUP(REG_TRA_DEMANDS!$F53,DEMANDS!$G$2:$CK$25,MATCH($E53,DEMANDS!$E$2:$E$25,0),FALSE)/HLOOKUP(2018,DEMANDS!$G$2:$CK$25,MATCH($E53,DEMANDS!$E$2:$E$25,0),FALSE)</f>
        <v>1.8827339447285707</v>
      </c>
      <c r="W53" s="19">
        <f>HLOOKUP(REG_TRA_DEMANDS!W$3,'BY-Demands'!$J$5:$AK$14,MATCH($E53,'BY-Demands'!$I$5:$I$14,0),FALSE)*HLOOKUP(REG_TRA_DEMANDS!$F53,DEMANDS!$G$2:$CK$25,MATCH($E53,DEMANDS!$E$2:$E$25,0),FALSE)/HLOOKUP(2018,DEMANDS!$G$2:$CK$25,MATCH($E53,DEMANDS!$E$2:$E$25,0),FALSE)</f>
        <v>1.8260288525531752</v>
      </c>
      <c r="X53" s="19">
        <f>HLOOKUP(REG_TRA_DEMANDS!X$3,'BY-Demands'!$J$5:$AK$14,MATCH($E53,'BY-Demands'!$I$5:$I$14,0),FALSE)*HLOOKUP(REG_TRA_DEMANDS!$F53,DEMANDS!$G$2:$CK$25,MATCH($E53,DEMANDS!$E$2:$E$25,0),FALSE)/HLOOKUP(2018,DEMANDS!$G$2:$CK$25,MATCH($E53,DEMANDS!$E$2:$E$25,0),FALSE)</f>
        <v>1.15199963315302</v>
      </c>
      <c r="Y53" s="19">
        <f>HLOOKUP(REG_TRA_DEMANDS!Y$3,'BY-Demands'!$J$5:$AK$14,MATCH($E53,'BY-Demands'!$I$5:$I$14,0),FALSE)*HLOOKUP(REG_TRA_DEMANDS!$F53,DEMANDS!$G$2:$CK$25,MATCH($E53,DEMANDS!$E$2:$E$25,0),FALSE)/HLOOKUP(2018,DEMANDS!$G$2:$CK$25,MATCH($E53,DEMANDS!$E$2:$E$25,0),FALSE)</f>
        <v>2.5792578484828019</v>
      </c>
      <c r="Z53" s="19">
        <f>HLOOKUP(REG_TRA_DEMANDS!Z$3,'BY-Demands'!$J$5:$AK$14,MATCH($E53,'BY-Demands'!$I$5:$I$14,0),FALSE)*HLOOKUP(REG_TRA_DEMANDS!$F53,DEMANDS!$G$2:$CK$25,MATCH($E53,DEMANDS!$E$2:$E$25,0),FALSE)/HLOOKUP(2018,DEMANDS!$G$2:$CK$25,MATCH($E53,DEMANDS!$E$2:$E$25,0),FALSE)</f>
        <v>0.33804322587850616</v>
      </c>
      <c r="AA53" s="19">
        <f>HLOOKUP(REG_TRA_DEMANDS!AA$3,'BY-Demands'!$J$5:$AK$14,MATCH($E53,'BY-Demands'!$I$5:$I$14,0),FALSE)*HLOOKUP(REG_TRA_DEMANDS!$F53,DEMANDS!$G$2:$CK$25,MATCH($E53,DEMANDS!$E$2:$E$25,0),FALSE)/HLOOKUP(2018,DEMANDS!$G$2:$CK$25,MATCH($E53,DEMANDS!$E$2:$E$25,0),FALSE)</f>
        <v>1.4284728912442879</v>
      </c>
      <c r="AB53" s="19">
        <f>HLOOKUP(REG_TRA_DEMANDS!AB$3,'BY-Demands'!$J$5:$AK$14,MATCH($E53,'BY-Demands'!$I$5:$I$14,0),FALSE)*HLOOKUP(REG_TRA_DEMANDS!$F53,DEMANDS!$G$2:$CK$25,MATCH($E53,DEMANDS!$E$2:$E$25,0),FALSE)/HLOOKUP(2018,DEMANDS!$G$2:$CK$25,MATCH($E53,DEMANDS!$E$2:$E$25,0),FALSE)</f>
        <v>0.76913384556814524</v>
      </c>
      <c r="AC53" s="19">
        <f>HLOOKUP(REG_TRA_DEMANDS!AC$3,'BY-Demands'!$J$5:$AK$14,MATCH($E53,'BY-Demands'!$I$5:$I$14,0),FALSE)*HLOOKUP(REG_TRA_DEMANDS!$F53,DEMANDS!$G$2:$CK$25,MATCH($E53,DEMANDS!$E$2:$E$25,0),FALSE)/HLOOKUP(2018,DEMANDS!$G$2:$CK$25,MATCH($E53,DEMANDS!$E$2:$E$25,0),FALSE)</f>
        <v>0.62745571464572114</v>
      </c>
      <c r="AD53" s="19">
        <f>HLOOKUP(REG_TRA_DEMANDS!AD$3,'BY-Demands'!$J$5:$AK$14,MATCH($E53,'BY-Demands'!$I$5:$I$14,0),FALSE)*HLOOKUP(REG_TRA_DEMANDS!$F53,DEMANDS!$G$2:$CK$25,MATCH($E53,DEMANDS!$E$2:$E$25,0),FALSE)/HLOOKUP(2018,DEMANDS!$G$2:$CK$25,MATCH($E53,DEMANDS!$E$2:$E$25,0),FALSE)</f>
        <v>0.68177584257760415</v>
      </c>
      <c r="AE53" s="19">
        <f>HLOOKUP(REG_TRA_DEMANDS!AE$3,'BY-Demands'!$J$5:$AK$14,MATCH($E53,'BY-Demands'!$I$5:$I$14,0),FALSE)*HLOOKUP(REG_TRA_DEMANDS!$F53,DEMANDS!$G$2:$CK$25,MATCH($E53,DEMANDS!$E$2:$E$25,0),FALSE)/HLOOKUP(2018,DEMANDS!$G$2:$CK$25,MATCH($E53,DEMANDS!$E$2:$E$25,0),FALSE)</f>
        <v>1.2556005155244772</v>
      </c>
      <c r="AF53" s="19">
        <f>HLOOKUP(REG_TRA_DEMANDS!AF$3,'BY-Demands'!$J$5:$AK$14,MATCH($E53,'BY-Demands'!$I$5:$I$14,0),FALSE)*HLOOKUP(REG_TRA_DEMANDS!$F53,DEMANDS!$G$2:$CK$25,MATCH($E53,DEMANDS!$E$2:$E$25,0),FALSE)/HLOOKUP(2018,DEMANDS!$G$2:$CK$25,MATCH($E53,DEMANDS!$E$2:$E$25,0),FALSE)</f>
        <v>0.69053267618302816</v>
      </c>
    </row>
    <row r="54" spans="4:32" ht="14.5">
      <c r="D54" t="s">
        <v>6</v>
      </c>
      <c r="E54" t="str">
        <f>DEMANDS!$E$18</f>
        <v>TRAPM</v>
      </c>
      <c r="F54">
        <v>2055</v>
      </c>
      <c r="G54" s="19">
        <f>HLOOKUP(REG_TRA_DEMANDS!G$3,'BY-Demands'!$J$5:$AK$14,MATCH($E54,'BY-Demands'!$I$5:$I$14,0),FALSE)*HLOOKUP(REG_TRA_DEMANDS!$F54,DEMANDS!$G$2:$CK$25,MATCH($E54,DEMANDS!$E$2:$E$25,0),FALSE)/HLOOKUP(2018,DEMANDS!$G$2:$CK$25,MATCH($E54,DEMANDS!$E$2:$E$25,0),FALSE)</f>
        <v>0.64944725008427273</v>
      </c>
      <c r="H54" s="19">
        <f>HLOOKUP(REG_TRA_DEMANDS!H$3,'BY-Demands'!$J$5:$AK$14,MATCH($E54,'BY-Demands'!$I$5:$I$14,0),FALSE)*HLOOKUP(REG_TRA_DEMANDS!$F54,DEMANDS!$G$2:$CK$25,MATCH($E54,DEMANDS!$E$2:$E$25,0),FALSE)/HLOOKUP(2018,DEMANDS!$G$2:$CK$25,MATCH($E54,DEMANDS!$E$2:$E$25,0),FALSE)</f>
        <v>11.373239934827517</v>
      </c>
      <c r="I54" s="19">
        <f>HLOOKUP(REG_TRA_DEMANDS!I$3,'BY-Demands'!$J$5:$AK$14,MATCH($E54,'BY-Demands'!$I$5:$I$14,0),FALSE)*HLOOKUP(REG_TRA_DEMANDS!$F54,DEMANDS!$G$2:$CK$25,MATCH($E54,DEMANDS!$E$2:$E$25,0),FALSE)/HLOOKUP(2018,DEMANDS!$G$2:$CK$25,MATCH($E54,DEMANDS!$E$2:$E$25,0),FALSE)</f>
        <v>2.3159535405651877</v>
      </c>
      <c r="J54" s="19">
        <f>HLOOKUP(REG_TRA_DEMANDS!J$3,'BY-Demands'!$J$5:$AK$14,MATCH($E54,'BY-Demands'!$I$5:$I$14,0),FALSE)*HLOOKUP(REG_TRA_DEMANDS!$F54,DEMANDS!$G$2:$CK$25,MATCH($E54,DEMANDS!$E$2:$E$25,0),FALSE)/HLOOKUP(2018,DEMANDS!$G$2:$CK$25,MATCH($E54,DEMANDS!$E$2:$E$25,0),FALSE)</f>
        <v>1.0998913303206945</v>
      </c>
      <c r="K54" s="19">
        <f>HLOOKUP(REG_TRA_DEMANDS!K$3,'BY-Demands'!$J$5:$AK$14,MATCH($E54,'BY-Demands'!$I$5:$I$14,0),FALSE)*HLOOKUP(REG_TRA_DEMANDS!$F54,DEMANDS!$G$2:$CK$25,MATCH($E54,DEMANDS!$E$2:$E$25,0),FALSE)/HLOOKUP(2018,DEMANDS!$G$2:$CK$25,MATCH($E54,DEMANDS!$E$2:$E$25,0),FALSE)</f>
        <v>0.82751991751732068</v>
      </c>
      <c r="L54" s="19">
        <f>HLOOKUP(REG_TRA_DEMANDS!L$3,'BY-Demands'!$J$5:$AK$14,MATCH($E54,'BY-Demands'!$I$5:$I$14,0),FALSE)*HLOOKUP(REG_TRA_DEMANDS!$F54,DEMANDS!$G$2:$CK$25,MATCH($E54,DEMANDS!$E$2:$E$25,0),FALSE)/HLOOKUP(2018,DEMANDS!$G$2:$CK$25,MATCH($E54,DEMANDS!$E$2:$E$25,0),FALSE)</f>
        <v>0.4263339996043366</v>
      </c>
      <c r="M54" s="19">
        <f>HLOOKUP(REG_TRA_DEMANDS!M$3,'BY-Demands'!$J$5:$AK$14,MATCH($E54,'BY-Demands'!$I$5:$I$14,0),FALSE)*HLOOKUP(REG_TRA_DEMANDS!$F54,DEMANDS!$G$2:$CK$25,MATCH($E54,DEMANDS!$E$2:$E$25,0),FALSE)/HLOOKUP(2018,DEMANDS!$G$2:$CK$25,MATCH($E54,DEMANDS!$E$2:$E$25,0),FALSE)</f>
        <v>1.1483528847116817</v>
      </c>
      <c r="N54" s="19">
        <f>HLOOKUP(REG_TRA_DEMANDS!N$3,'BY-Demands'!$J$5:$AK$14,MATCH($E54,'BY-Demands'!$I$5:$I$14,0),FALSE)*HLOOKUP(REG_TRA_DEMANDS!$F54,DEMANDS!$G$2:$CK$25,MATCH($E54,DEMANDS!$E$2:$E$25,0),FALSE)/HLOOKUP(2018,DEMANDS!$G$2:$CK$25,MATCH($E54,DEMANDS!$E$2:$E$25,0),FALSE)</f>
        <v>1.9936718729517764</v>
      </c>
      <c r="O54" s="19">
        <f>HLOOKUP(REG_TRA_DEMANDS!O$3,'BY-Demands'!$J$5:$AK$14,MATCH($E54,'BY-Demands'!$I$5:$I$14,0),FALSE)*HLOOKUP(REG_TRA_DEMANDS!$F54,DEMANDS!$G$2:$CK$25,MATCH($E54,DEMANDS!$E$2:$E$25,0),FALSE)/HLOOKUP(2018,DEMANDS!$G$2:$CK$25,MATCH($E54,DEMANDS!$E$2:$E$25,0),FALSE)</f>
        <v>0.84489963790531697</v>
      </c>
      <c r="P54" s="19">
        <f>HLOOKUP(REG_TRA_DEMANDS!P$3,'BY-Demands'!$J$5:$AK$14,MATCH($E54,'BY-Demands'!$I$5:$I$14,0),FALSE)*HLOOKUP(REG_TRA_DEMANDS!$F54,DEMANDS!$G$2:$CK$25,MATCH($E54,DEMANDS!$E$2:$E$25,0),FALSE)/HLOOKUP(2018,DEMANDS!$G$2:$CK$25,MATCH($E54,DEMANDS!$E$2:$E$25,0),FALSE)</f>
        <v>0.95376275695387047</v>
      </c>
      <c r="Q54" s="19">
        <f>HLOOKUP(REG_TRA_DEMANDS!Q$3,'BY-Demands'!$J$5:$AK$14,MATCH($E54,'BY-Demands'!$I$5:$I$14,0),FALSE)*HLOOKUP(REG_TRA_DEMANDS!$F54,DEMANDS!$G$2:$CK$25,MATCH($E54,DEMANDS!$E$2:$E$25,0),FALSE)/HLOOKUP(2018,DEMANDS!$G$2:$CK$25,MATCH($E54,DEMANDS!$E$2:$E$25,0),FALSE)</f>
        <v>1.6915232010894812</v>
      </c>
      <c r="R54" s="19">
        <f>HLOOKUP(REG_TRA_DEMANDS!R$3,'BY-Demands'!$J$5:$AK$14,MATCH($E54,'BY-Demands'!$I$5:$I$14,0),FALSE)*HLOOKUP(REG_TRA_DEMANDS!$F54,DEMANDS!$G$2:$CK$25,MATCH($E54,DEMANDS!$E$2:$E$25,0),FALSE)/HLOOKUP(2018,DEMANDS!$G$2:$CK$25,MATCH($E54,DEMANDS!$E$2:$E$25,0),FALSE)</f>
        <v>1.4354070354519446</v>
      </c>
      <c r="S54" s="19">
        <f>HLOOKUP(REG_TRA_DEMANDS!S$3,'BY-Demands'!$J$5:$AK$14,MATCH($E54,'BY-Demands'!$I$5:$I$14,0),FALSE)*HLOOKUP(REG_TRA_DEMANDS!$F54,DEMANDS!$G$2:$CK$25,MATCH($E54,DEMANDS!$E$2:$E$25,0),FALSE)/HLOOKUP(2018,DEMANDS!$G$2:$CK$25,MATCH($E54,DEMANDS!$E$2:$E$25,0),FALSE)</f>
        <v>1.3018427725041815</v>
      </c>
      <c r="T54" s="19">
        <f>HLOOKUP(REG_TRA_DEMANDS!T$3,'BY-Demands'!$J$5:$AK$14,MATCH($E54,'BY-Demands'!$I$5:$I$14,0),FALSE)*HLOOKUP(REG_TRA_DEMANDS!$F54,DEMANDS!$G$2:$CK$25,MATCH($E54,DEMANDS!$E$2:$E$25,0),FALSE)/HLOOKUP(2018,DEMANDS!$G$2:$CK$25,MATCH($E54,DEMANDS!$E$2:$E$25,0),FALSE)</f>
        <v>5.261155179965713</v>
      </c>
      <c r="U54" s="19">
        <f>HLOOKUP(REG_TRA_DEMANDS!U$3,'BY-Demands'!$J$5:$AK$14,MATCH($E54,'BY-Demands'!$I$5:$I$14,0),FALSE)*HLOOKUP(REG_TRA_DEMANDS!$F54,DEMANDS!$G$2:$CK$25,MATCH($E54,DEMANDS!$E$2:$E$25,0),FALSE)/HLOOKUP(2018,DEMANDS!$G$2:$CK$25,MATCH($E54,DEMANDS!$E$2:$E$25,0),FALSE)</f>
        <v>1.7219746757585115</v>
      </c>
      <c r="V54" s="19">
        <f>HLOOKUP(REG_TRA_DEMANDS!V$3,'BY-Demands'!$J$5:$AK$14,MATCH($E54,'BY-Demands'!$I$5:$I$14,0),FALSE)*HLOOKUP(REG_TRA_DEMANDS!$F54,DEMANDS!$G$2:$CK$25,MATCH($E54,DEMANDS!$E$2:$E$25,0),FALSE)/HLOOKUP(2018,DEMANDS!$G$2:$CK$25,MATCH($E54,DEMANDS!$E$2:$E$25,0),FALSE)</f>
        <v>1.9393865834164268</v>
      </c>
      <c r="W54" s="19">
        <f>HLOOKUP(REG_TRA_DEMANDS!W$3,'BY-Demands'!$J$5:$AK$14,MATCH($E54,'BY-Demands'!$I$5:$I$14,0),FALSE)*HLOOKUP(REG_TRA_DEMANDS!$F54,DEMANDS!$G$2:$CK$25,MATCH($E54,DEMANDS!$E$2:$E$25,0),FALSE)/HLOOKUP(2018,DEMANDS!$G$2:$CK$25,MATCH($E54,DEMANDS!$E$2:$E$25,0),FALSE)</f>
        <v>1.8809751996496098</v>
      </c>
      <c r="X54" s="19">
        <f>HLOOKUP(REG_TRA_DEMANDS!X$3,'BY-Demands'!$J$5:$AK$14,MATCH($E54,'BY-Demands'!$I$5:$I$14,0),FALSE)*HLOOKUP(REG_TRA_DEMANDS!$F54,DEMANDS!$G$2:$CK$25,MATCH($E54,DEMANDS!$E$2:$E$25,0),FALSE)/HLOOKUP(2018,DEMANDS!$G$2:$CK$25,MATCH($E54,DEMANDS!$E$2:$E$25,0),FALSE)</f>
        <v>1.186664020635007</v>
      </c>
      <c r="Y54" s="19">
        <f>HLOOKUP(REG_TRA_DEMANDS!Y$3,'BY-Demands'!$J$5:$AK$14,MATCH($E54,'BY-Demands'!$I$5:$I$14,0),FALSE)*HLOOKUP(REG_TRA_DEMANDS!$F54,DEMANDS!$G$2:$CK$25,MATCH($E54,DEMANDS!$E$2:$E$25,0),FALSE)/HLOOKUP(2018,DEMANDS!$G$2:$CK$25,MATCH($E54,DEMANDS!$E$2:$E$25,0),FALSE)</f>
        <v>2.656869325867611</v>
      </c>
      <c r="Z54" s="19">
        <f>HLOOKUP(REG_TRA_DEMANDS!Z$3,'BY-Demands'!$J$5:$AK$14,MATCH($E54,'BY-Demands'!$I$5:$I$14,0),FALSE)*HLOOKUP(REG_TRA_DEMANDS!$F54,DEMANDS!$G$2:$CK$25,MATCH($E54,DEMANDS!$E$2:$E$25,0),FALSE)/HLOOKUP(2018,DEMANDS!$G$2:$CK$25,MATCH($E54,DEMANDS!$E$2:$E$25,0),FALSE)</f>
        <v>0.34821515738810316</v>
      </c>
      <c r="AA54" s="19">
        <f>HLOOKUP(REG_TRA_DEMANDS!AA$3,'BY-Demands'!$J$5:$AK$14,MATCH($E54,'BY-Demands'!$I$5:$I$14,0),FALSE)*HLOOKUP(REG_TRA_DEMANDS!$F54,DEMANDS!$G$2:$CK$25,MATCH($E54,DEMANDS!$E$2:$E$25,0),FALSE)/HLOOKUP(2018,DEMANDS!$G$2:$CK$25,MATCH($E54,DEMANDS!$E$2:$E$25,0),FALSE)</f>
        <v>1.4714565315029897</v>
      </c>
      <c r="AB54" s="19">
        <f>HLOOKUP(REG_TRA_DEMANDS!AB$3,'BY-Demands'!$J$5:$AK$14,MATCH($E54,'BY-Demands'!$I$5:$I$14,0),FALSE)*HLOOKUP(REG_TRA_DEMANDS!$F54,DEMANDS!$G$2:$CK$25,MATCH($E54,DEMANDS!$E$2:$E$25,0),FALSE)/HLOOKUP(2018,DEMANDS!$G$2:$CK$25,MATCH($E54,DEMANDS!$E$2:$E$25,0),FALSE)</f>
        <v>0.79227756270224914</v>
      </c>
      <c r="AC54" s="19">
        <f>HLOOKUP(REG_TRA_DEMANDS!AC$3,'BY-Demands'!$J$5:$AK$14,MATCH($E54,'BY-Demands'!$I$5:$I$14,0),FALSE)*HLOOKUP(REG_TRA_DEMANDS!$F54,DEMANDS!$G$2:$CK$25,MATCH($E54,DEMANDS!$E$2:$E$25,0),FALSE)/HLOOKUP(2018,DEMANDS!$G$2:$CK$25,MATCH($E54,DEMANDS!$E$2:$E$25,0),FALSE)</f>
        <v>0.64633624845347559</v>
      </c>
      <c r="AD54" s="19">
        <f>HLOOKUP(REG_TRA_DEMANDS!AD$3,'BY-Demands'!$J$5:$AK$14,MATCH($E54,'BY-Demands'!$I$5:$I$14,0),FALSE)*HLOOKUP(REG_TRA_DEMANDS!$F54,DEMANDS!$G$2:$CK$25,MATCH($E54,DEMANDS!$E$2:$E$25,0),FALSE)/HLOOKUP(2018,DEMANDS!$G$2:$CK$25,MATCH($E54,DEMANDS!$E$2:$E$25,0),FALSE)</f>
        <v>0.70229090291515273</v>
      </c>
      <c r="AE54" s="19">
        <f>HLOOKUP(REG_TRA_DEMANDS!AE$3,'BY-Demands'!$J$5:$AK$14,MATCH($E54,'BY-Demands'!$I$5:$I$14,0),FALSE)*HLOOKUP(REG_TRA_DEMANDS!$F54,DEMANDS!$G$2:$CK$25,MATCH($E54,DEMANDS!$E$2:$E$25,0),FALSE)/HLOOKUP(2018,DEMANDS!$G$2:$CK$25,MATCH($E54,DEMANDS!$E$2:$E$25,0),FALSE)</f>
        <v>1.2933823181745321</v>
      </c>
      <c r="AF54" s="19">
        <f>HLOOKUP(REG_TRA_DEMANDS!AF$3,'BY-Demands'!$J$5:$AK$14,MATCH($E54,'BY-Demands'!$I$5:$I$14,0),FALSE)*HLOOKUP(REG_TRA_DEMANDS!$F54,DEMANDS!$G$2:$CK$25,MATCH($E54,DEMANDS!$E$2:$E$25,0),FALSE)/HLOOKUP(2018,DEMANDS!$G$2:$CK$25,MATCH($E54,DEMANDS!$E$2:$E$25,0),FALSE)</f>
        <v>0.71131123510553984</v>
      </c>
    </row>
    <row r="55" spans="4:32" ht="14.5">
      <c r="D55" t="s">
        <v>6</v>
      </c>
      <c r="E55" t="str">
        <f>DEMANDS!$E$18</f>
        <v>TRAPM</v>
      </c>
      <c r="F55">
        <v>2060</v>
      </c>
      <c r="G55" s="19">
        <f>HLOOKUP(REG_TRA_DEMANDS!G$3,'BY-Demands'!$J$5:$AK$14,MATCH($E55,'BY-Demands'!$I$5:$I$14,0),FALSE)*HLOOKUP(REG_TRA_DEMANDS!$F55,DEMANDS!$G$2:$CK$25,MATCH($E55,DEMANDS!$E$2:$E$25,0),FALSE)/HLOOKUP(2018,DEMANDS!$G$2:$CK$25,MATCH($E55,DEMANDS!$E$2:$E$25,0),FALSE)</f>
        <v>0.66696000182443971</v>
      </c>
      <c r="H55" s="19">
        <f>HLOOKUP(REG_TRA_DEMANDS!H$3,'BY-Demands'!$J$5:$AK$14,MATCH($E55,'BY-Demands'!$I$5:$I$14,0),FALSE)*HLOOKUP(REG_TRA_DEMANDS!$F55,DEMANDS!$G$2:$CK$25,MATCH($E55,DEMANDS!$E$2:$E$25,0),FALSE)/HLOOKUP(2018,DEMANDS!$G$2:$CK$25,MATCH($E55,DEMANDS!$E$2:$E$25,0),FALSE)</f>
        <v>11.679926470853564</v>
      </c>
      <c r="I55" s="19">
        <f>HLOOKUP(REG_TRA_DEMANDS!I$3,'BY-Demands'!$J$5:$AK$14,MATCH($E55,'BY-Demands'!$I$5:$I$14,0),FALSE)*HLOOKUP(REG_TRA_DEMANDS!$F55,DEMANDS!$G$2:$CK$25,MATCH($E55,DEMANDS!$E$2:$E$25,0),FALSE)/HLOOKUP(2018,DEMANDS!$G$2:$CK$25,MATCH($E55,DEMANDS!$E$2:$E$25,0),FALSE)</f>
        <v>2.3784046778860652</v>
      </c>
      <c r="J55" s="19">
        <f>HLOOKUP(REG_TRA_DEMANDS!J$3,'BY-Demands'!$J$5:$AK$14,MATCH($E55,'BY-Demands'!$I$5:$I$14,0),FALSE)*HLOOKUP(REG_TRA_DEMANDS!$F55,DEMANDS!$G$2:$CK$25,MATCH($E55,DEMANDS!$E$2:$E$25,0),FALSE)/HLOOKUP(2018,DEMANDS!$G$2:$CK$25,MATCH($E55,DEMANDS!$E$2:$E$25,0),FALSE)</f>
        <v>1.1295505887232342</v>
      </c>
      <c r="K55" s="19">
        <f>HLOOKUP(REG_TRA_DEMANDS!K$3,'BY-Demands'!$J$5:$AK$14,MATCH($E55,'BY-Demands'!$I$5:$I$14,0),FALSE)*HLOOKUP(REG_TRA_DEMANDS!$F55,DEMANDS!$G$2:$CK$25,MATCH($E55,DEMANDS!$E$2:$E$25,0),FALSE)/HLOOKUP(2018,DEMANDS!$G$2:$CK$25,MATCH($E55,DEMANDS!$E$2:$E$25,0),FALSE)</f>
        <v>0.84983451023234702</v>
      </c>
      <c r="L55" s="19">
        <f>HLOOKUP(REG_TRA_DEMANDS!L$3,'BY-Demands'!$J$5:$AK$14,MATCH($E55,'BY-Demands'!$I$5:$I$14,0),FALSE)*HLOOKUP(REG_TRA_DEMANDS!$F55,DEMANDS!$G$2:$CK$25,MATCH($E55,DEMANDS!$E$2:$E$25,0),FALSE)/HLOOKUP(2018,DEMANDS!$G$2:$CK$25,MATCH($E55,DEMANDS!$E$2:$E$25,0),FALSE)</f>
        <v>0.43783036284630034</v>
      </c>
      <c r="M55" s="19">
        <f>HLOOKUP(REG_TRA_DEMANDS!M$3,'BY-Demands'!$J$5:$AK$14,MATCH($E55,'BY-Demands'!$I$5:$I$14,0),FALSE)*HLOOKUP(REG_TRA_DEMANDS!$F55,DEMANDS!$G$2:$CK$25,MATCH($E55,DEMANDS!$E$2:$E$25,0),FALSE)/HLOOKUP(2018,DEMANDS!$G$2:$CK$25,MATCH($E55,DEMANDS!$E$2:$E$25,0),FALSE)</f>
        <v>1.1793189392718493</v>
      </c>
      <c r="N55" s="19">
        <f>HLOOKUP(REG_TRA_DEMANDS!N$3,'BY-Demands'!$J$5:$AK$14,MATCH($E55,'BY-Demands'!$I$5:$I$14,0),FALSE)*HLOOKUP(REG_TRA_DEMANDS!$F55,DEMANDS!$G$2:$CK$25,MATCH($E55,DEMANDS!$E$2:$E$25,0),FALSE)/HLOOKUP(2018,DEMANDS!$G$2:$CK$25,MATCH($E55,DEMANDS!$E$2:$E$25,0),FALSE)</f>
        <v>2.0474324833136306</v>
      </c>
      <c r="O55" s="19">
        <f>HLOOKUP(REG_TRA_DEMANDS!O$3,'BY-Demands'!$J$5:$AK$14,MATCH($E55,'BY-Demands'!$I$5:$I$14,0),FALSE)*HLOOKUP(REG_TRA_DEMANDS!$F55,DEMANDS!$G$2:$CK$25,MATCH($E55,DEMANDS!$E$2:$E$25,0),FALSE)/HLOOKUP(2018,DEMANDS!$G$2:$CK$25,MATCH($E55,DEMANDS!$E$2:$E$25,0),FALSE)</f>
        <v>0.8676828856626565</v>
      </c>
      <c r="P55" s="19">
        <f>HLOOKUP(REG_TRA_DEMANDS!P$3,'BY-Demands'!$J$5:$AK$14,MATCH($E55,'BY-Demands'!$I$5:$I$14,0),FALSE)*HLOOKUP(REG_TRA_DEMANDS!$F55,DEMANDS!$G$2:$CK$25,MATCH($E55,DEMANDS!$E$2:$E$25,0),FALSE)/HLOOKUP(2018,DEMANDS!$G$2:$CK$25,MATCH($E55,DEMANDS!$E$2:$E$25,0),FALSE)</f>
        <v>0.97948156687936183</v>
      </c>
      <c r="Q55" s="19">
        <f>HLOOKUP(REG_TRA_DEMANDS!Q$3,'BY-Demands'!$J$5:$AK$14,MATCH($E55,'BY-Demands'!$I$5:$I$14,0),FALSE)*HLOOKUP(REG_TRA_DEMANDS!$F55,DEMANDS!$G$2:$CK$25,MATCH($E55,DEMANDS!$E$2:$E$25,0),FALSE)/HLOOKUP(2018,DEMANDS!$G$2:$CK$25,MATCH($E55,DEMANDS!$E$2:$E$25,0),FALSE)</f>
        <v>1.7371361833287142</v>
      </c>
      <c r="R55" s="19">
        <f>HLOOKUP(REG_TRA_DEMANDS!R$3,'BY-Demands'!$J$5:$AK$14,MATCH($E55,'BY-Demands'!$I$5:$I$14,0),FALSE)*HLOOKUP(REG_TRA_DEMANDS!$F55,DEMANDS!$G$2:$CK$25,MATCH($E55,DEMANDS!$E$2:$E$25,0),FALSE)/HLOOKUP(2018,DEMANDS!$G$2:$CK$25,MATCH($E55,DEMANDS!$E$2:$E$25,0),FALSE)</f>
        <v>1.4741136849214698</v>
      </c>
      <c r="S55" s="19">
        <f>HLOOKUP(REG_TRA_DEMANDS!S$3,'BY-Demands'!$J$5:$AK$14,MATCH($E55,'BY-Demands'!$I$5:$I$14,0),FALSE)*HLOOKUP(REG_TRA_DEMANDS!$F55,DEMANDS!$G$2:$CK$25,MATCH($E55,DEMANDS!$E$2:$E$25,0),FALSE)/HLOOKUP(2018,DEMANDS!$G$2:$CK$25,MATCH($E55,DEMANDS!$E$2:$E$25,0),FALSE)</f>
        <v>1.3369477779940624</v>
      </c>
      <c r="T55" s="19">
        <f>HLOOKUP(REG_TRA_DEMANDS!T$3,'BY-Demands'!$J$5:$AK$14,MATCH($E55,'BY-Demands'!$I$5:$I$14,0),FALSE)*HLOOKUP(REG_TRA_DEMANDS!$F55,DEMANDS!$G$2:$CK$25,MATCH($E55,DEMANDS!$E$2:$E$25,0),FALSE)/HLOOKUP(2018,DEMANDS!$G$2:$CK$25,MATCH($E55,DEMANDS!$E$2:$E$25,0),FALSE)</f>
        <v>5.4030255235868108</v>
      </c>
      <c r="U55" s="19">
        <f>HLOOKUP(REG_TRA_DEMANDS!U$3,'BY-Demands'!$J$5:$AK$14,MATCH($E55,'BY-Demands'!$I$5:$I$14,0),FALSE)*HLOOKUP(REG_TRA_DEMANDS!$F55,DEMANDS!$G$2:$CK$25,MATCH($E55,DEMANDS!$E$2:$E$25,0),FALSE)/HLOOKUP(2018,DEMANDS!$G$2:$CK$25,MATCH($E55,DEMANDS!$E$2:$E$25,0),FALSE)</f>
        <v>1.7684088010789285</v>
      </c>
      <c r="V55" s="19">
        <f>HLOOKUP(REG_TRA_DEMANDS!V$3,'BY-Demands'!$J$5:$AK$14,MATCH($E55,'BY-Demands'!$I$5:$I$14,0),FALSE)*HLOOKUP(REG_TRA_DEMANDS!$F55,DEMANDS!$G$2:$CK$25,MATCH($E55,DEMANDS!$E$2:$E$25,0),FALSE)/HLOOKUP(2018,DEMANDS!$G$2:$CK$25,MATCH($E55,DEMANDS!$E$2:$E$25,0),FALSE)</f>
        <v>1.9916833569560413</v>
      </c>
      <c r="W55" s="19">
        <f>HLOOKUP(REG_TRA_DEMANDS!W$3,'BY-Demands'!$J$5:$AK$14,MATCH($E55,'BY-Demands'!$I$5:$I$14,0),FALSE)*HLOOKUP(REG_TRA_DEMANDS!$F55,DEMANDS!$G$2:$CK$25,MATCH($E55,DEMANDS!$E$2:$E$25,0),FALSE)/HLOOKUP(2018,DEMANDS!$G$2:$CK$25,MATCH($E55,DEMANDS!$E$2:$E$25,0),FALSE)</f>
        <v>1.9316968736525413</v>
      </c>
      <c r="X55" s="19">
        <f>HLOOKUP(REG_TRA_DEMANDS!X$3,'BY-Demands'!$J$5:$AK$14,MATCH($E55,'BY-Demands'!$I$5:$I$14,0),FALSE)*HLOOKUP(REG_TRA_DEMANDS!$F55,DEMANDS!$G$2:$CK$25,MATCH($E55,DEMANDS!$E$2:$E$25,0),FALSE)/HLOOKUP(2018,DEMANDS!$G$2:$CK$25,MATCH($E55,DEMANDS!$E$2:$E$25,0),FALSE)</f>
        <v>1.2186631589632895</v>
      </c>
      <c r="Y55" s="19">
        <f>HLOOKUP(REG_TRA_DEMANDS!Y$3,'BY-Demands'!$J$5:$AK$14,MATCH($E55,'BY-Demands'!$I$5:$I$14,0),FALSE)*HLOOKUP(REG_TRA_DEMANDS!$F55,DEMANDS!$G$2:$CK$25,MATCH($E55,DEMANDS!$E$2:$E$25,0),FALSE)/HLOOKUP(2018,DEMANDS!$G$2:$CK$25,MATCH($E55,DEMANDS!$E$2:$E$25,0),FALSE)</f>
        <v>2.7285134707984686</v>
      </c>
      <c r="Z55" s="19">
        <f>HLOOKUP(REG_TRA_DEMANDS!Z$3,'BY-Demands'!$J$5:$AK$14,MATCH($E55,'BY-Demands'!$I$5:$I$14,0),FALSE)*HLOOKUP(REG_TRA_DEMANDS!$F55,DEMANDS!$G$2:$CK$25,MATCH($E55,DEMANDS!$E$2:$E$25,0),FALSE)/HLOOKUP(2018,DEMANDS!$G$2:$CK$25,MATCH($E55,DEMANDS!$E$2:$E$25,0),FALSE)</f>
        <v>0.35760499713676586</v>
      </c>
      <c r="AA55" s="19">
        <f>HLOOKUP(REG_TRA_DEMANDS!AA$3,'BY-Demands'!$J$5:$AK$14,MATCH($E55,'BY-Demands'!$I$5:$I$14,0),FALSE)*HLOOKUP(REG_TRA_DEMANDS!$F55,DEMANDS!$G$2:$CK$25,MATCH($E55,DEMANDS!$E$2:$E$25,0),FALSE)/HLOOKUP(2018,DEMANDS!$G$2:$CK$25,MATCH($E55,DEMANDS!$E$2:$E$25,0),FALSE)</f>
        <v>1.5111352782053822</v>
      </c>
      <c r="AB55" s="19">
        <f>HLOOKUP(REG_TRA_DEMANDS!AB$3,'BY-Demands'!$J$5:$AK$14,MATCH($E55,'BY-Demands'!$I$5:$I$14,0),FALSE)*HLOOKUP(REG_TRA_DEMANDS!$F55,DEMANDS!$G$2:$CK$25,MATCH($E55,DEMANDS!$E$2:$E$25,0),FALSE)/HLOOKUP(2018,DEMANDS!$G$2:$CK$25,MATCH($E55,DEMANDS!$E$2:$E$25,0),FALSE)</f>
        <v>0.81364182325321555</v>
      </c>
      <c r="AC55" s="19">
        <f>HLOOKUP(REG_TRA_DEMANDS!AC$3,'BY-Demands'!$J$5:$AK$14,MATCH($E55,'BY-Demands'!$I$5:$I$14,0),FALSE)*HLOOKUP(REG_TRA_DEMANDS!$F55,DEMANDS!$G$2:$CK$25,MATCH($E55,DEMANDS!$E$2:$E$25,0),FALSE)/HLOOKUP(2018,DEMANDS!$G$2:$CK$25,MATCH($E55,DEMANDS!$E$2:$E$25,0),FALSE)</f>
        <v>0.6637651100867612</v>
      </c>
      <c r="AD55" s="19">
        <f>HLOOKUP(REG_TRA_DEMANDS!AD$3,'BY-Demands'!$J$5:$AK$14,MATCH($E55,'BY-Demands'!$I$5:$I$14,0),FALSE)*HLOOKUP(REG_TRA_DEMANDS!$F55,DEMANDS!$G$2:$CK$25,MATCH($E55,DEMANDS!$E$2:$E$25,0),FALSE)/HLOOKUP(2018,DEMANDS!$G$2:$CK$25,MATCH($E55,DEMANDS!$E$2:$E$25,0),FALSE)</f>
        <v>0.72122861684116435</v>
      </c>
      <c r="AE55" s="19">
        <f>HLOOKUP(REG_TRA_DEMANDS!AE$3,'BY-Demands'!$J$5:$AK$14,MATCH($E55,'BY-Demands'!$I$5:$I$14,0),FALSE)*HLOOKUP(REG_TRA_DEMANDS!$F55,DEMANDS!$G$2:$CK$25,MATCH($E55,DEMANDS!$E$2:$E$25,0),FALSE)/HLOOKUP(2018,DEMANDS!$G$2:$CK$25,MATCH($E55,DEMANDS!$E$2:$E$25,0),FALSE)</f>
        <v>1.3282591822160277</v>
      </c>
      <c r="AF55" s="19">
        <f>HLOOKUP(REG_TRA_DEMANDS!AF$3,'BY-Demands'!$J$5:$AK$14,MATCH($E55,'BY-Demands'!$I$5:$I$14,0),FALSE)*HLOOKUP(REG_TRA_DEMANDS!$F55,DEMANDS!$G$2:$CK$25,MATCH($E55,DEMANDS!$E$2:$E$25,0),FALSE)/HLOOKUP(2018,DEMANDS!$G$2:$CK$25,MATCH($E55,DEMANDS!$E$2:$E$25,0),FALSE)</f>
        <v>0.73049218793701065</v>
      </c>
    </row>
    <row r="56" spans="4:32" ht="14.5">
      <c r="D56" t="s">
        <v>6</v>
      </c>
      <c r="E56" t="str">
        <f>DEMANDS!$E$18</f>
        <v>TRAPM</v>
      </c>
      <c r="F56">
        <v>2065</v>
      </c>
      <c r="G56" s="19">
        <f>HLOOKUP(REG_TRA_DEMANDS!G$3,'BY-Demands'!$J$5:$AK$14,MATCH($E56,'BY-Demands'!$I$5:$I$14,0),FALSE)*HLOOKUP(REG_TRA_DEMANDS!$F56,DEMANDS!$G$2:$CK$25,MATCH($E56,DEMANDS!$E$2:$E$25,0),FALSE)/HLOOKUP(2018,DEMANDS!$G$2:$CK$25,MATCH($E56,DEMANDS!$E$2:$E$25,0),FALSE)</f>
        <v>0.677121524100186</v>
      </c>
      <c r="H56" s="19">
        <f>HLOOKUP(REG_TRA_DEMANDS!H$3,'BY-Demands'!$J$5:$AK$14,MATCH($E56,'BY-Demands'!$I$5:$I$14,0),FALSE)*HLOOKUP(REG_TRA_DEMANDS!$F56,DEMANDS!$G$2:$CK$25,MATCH($E56,DEMANDS!$E$2:$E$25,0),FALSE)/HLOOKUP(2018,DEMANDS!$G$2:$CK$25,MATCH($E56,DEMANDS!$E$2:$E$25,0),FALSE)</f>
        <v>11.857876921687193</v>
      </c>
      <c r="I56" s="19">
        <f>HLOOKUP(REG_TRA_DEMANDS!I$3,'BY-Demands'!$J$5:$AK$14,MATCH($E56,'BY-Demands'!$I$5:$I$14,0),FALSE)*HLOOKUP(REG_TRA_DEMANDS!$F56,DEMANDS!$G$2:$CK$25,MATCH($E56,DEMANDS!$E$2:$E$25,0),FALSE)/HLOOKUP(2018,DEMANDS!$G$2:$CK$25,MATCH($E56,DEMANDS!$E$2:$E$25,0),FALSE)</f>
        <v>2.4146410519549257</v>
      </c>
      <c r="J56" s="19">
        <f>HLOOKUP(REG_TRA_DEMANDS!J$3,'BY-Demands'!$J$5:$AK$14,MATCH($E56,'BY-Demands'!$I$5:$I$14,0),FALSE)*HLOOKUP(REG_TRA_DEMANDS!$F56,DEMANDS!$G$2:$CK$25,MATCH($E56,DEMANDS!$E$2:$E$25,0),FALSE)/HLOOKUP(2018,DEMANDS!$G$2:$CK$25,MATCH($E56,DEMANDS!$E$2:$E$25,0),FALSE)</f>
        <v>1.1467599467619414</v>
      </c>
      <c r="K56" s="19">
        <f>HLOOKUP(REG_TRA_DEMANDS!K$3,'BY-Demands'!$J$5:$AK$14,MATCH($E56,'BY-Demands'!$I$5:$I$14,0),FALSE)*HLOOKUP(REG_TRA_DEMANDS!$F56,DEMANDS!$G$2:$CK$25,MATCH($E56,DEMANDS!$E$2:$E$25,0),FALSE)/HLOOKUP(2018,DEMANDS!$G$2:$CK$25,MATCH($E56,DEMANDS!$E$2:$E$25,0),FALSE)</f>
        <v>0.8627822316591216</v>
      </c>
      <c r="L56" s="19">
        <f>HLOOKUP(REG_TRA_DEMANDS!L$3,'BY-Demands'!$J$5:$AK$14,MATCH($E56,'BY-Demands'!$I$5:$I$14,0),FALSE)*HLOOKUP(REG_TRA_DEMANDS!$F56,DEMANDS!$G$2:$CK$25,MATCH($E56,DEMANDS!$E$2:$E$25,0),FALSE)/HLOOKUP(2018,DEMANDS!$G$2:$CK$25,MATCH($E56,DEMANDS!$E$2:$E$25,0),FALSE)</f>
        <v>0.44450096224190216</v>
      </c>
      <c r="M56" s="19">
        <f>HLOOKUP(REG_TRA_DEMANDS!M$3,'BY-Demands'!$J$5:$AK$14,MATCH($E56,'BY-Demands'!$I$5:$I$14,0),FALSE)*HLOOKUP(REG_TRA_DEMANDS!$F56,DEMANDS!$G$2:$CK$25,MATCH($E56,DEMANDS!$E$2:$E$25,0),FALSE)/HLOOKUP(2018,DEMANDS!$G$2:$CK$25,MATCH($E56,DEMANDS!$E$2:$E$25,0),FALSE)</f>
        <v>1.1972865469827159</v>
      </c>
      <c r="N56" s="19">
        <f>HLOOKUP(REG_TRA_DEMANDS!N$3,'BY-Demands'!$J$5:$AK$14,MATCH($E56,'BY-Demands'!$I$5:$I$14,0),FALSE)*HLOOKUP(REG_TRA_DEMANDS!$F56,DEMANDS!$G$2:$CK$25,MATCH($E56,DEMANDS!$E$2:$E$25,0),FALSE)/HLOOKUP(2018,DEMANDS!$G$2:$CK$25,MATCH($E56,DEMANDS!$E$2:$E$25,0),FALSE)</f>
        <v>2.0786263041280226</v>
      </c>
      <c r="O56" s="19">
        <f>HLOOKUP(REG_TRA_DEMANDS!O$3,'BY-Demands'!$J$5:$AK$14,MATCH($E56,'BY-Demands'!$I$5:$I$14,0),FALSE)*HLOOKUP(REG_TRA_DEMANDS!$F56,DEMANDS!$G$2:$CK$25,MATCH($E56,DEMANDS!$E$2:$E$25,0),FALSE)/HLOOKUP(2018,DEMANDS!$G$2:$CK$25,MATCH($E56,DEMANDS!$E$2:$E$25,0),FALSE)</f>
        <v>0.8809025374361158</v>
      </c>
      <c r="P56" s="19">
        <f>HLOOKUP(REG_TRA_DEMANDS!P$3,'BY-Demands'!$J$5:$AK$14,MATCH($E56,'BY-Demands'!$I$5:$I$14,0),FALSE)*HLOOKUP(REG_TRA_DEMANDS!$F56,DEMANDS!$G$2:$CK$25,MATCH($E56,DEMANDS!$E$2:$E$25,0),FALSE)/HLOOKUP(2018,DEMANDS!$G$2:$CK$25,MATCH($E56,DEMANDS!$E$2:$E$25,0),FALSE)</f>
        <v>0.99440453637273685</v>
      </c>
      <c r="Q56" s="19">
        <f>HLOOKUP(REG_TRA_DEMANDS!Q$3,'BY-Demands'!$J$5:$AK$14,MATCH($E56,'BY-Demands'!$I$5:$I$14,0),FALSE)*HLOOKUP(REG_TRA_DEMANDS!$F56,DEMANDS!$G$2:$CK$25,MATCH($E56,DEMANDS!$E$2:$E$25,0),FALSE)/HLOOKUP(2018,DEMANDS!$G$2:$CK$25,MATCH($E56,DEMANDS!$E$2:$E$25,0),FALSE)</f>
        <v>1.7636024601288425</v>
      </c>
      <c r="R56" s="19">
        <f>HLOOKUP(REG_TRA_DEMANDS!R$3,'BY-Demands'!$J$5:$AK$14,MATCH($E56,'BY-Demands'!$I$5:$I$14,0),FALSE)*HLOOKUP(REG_TRA_DEMANDS!$F56,DEMANDS!$G$2:$CK$25,MATCH($E56,DEMANDS!$E$2:$E$25,0),FALSE)/HLOOKUP(2018,DEMANDS!$G$2:$CK$25,MATCH($E56,DEMANDS!$E$2:$E$25,0),FALSE)</f>
        <v>1.4965726614797894</v>
      </c>
      <c r="S56" s="19">
        <f>HLOOKUP(REG_TRA_DEMANDS!S$3,'BY-Demands'!$J$5:$AK$14,MATCH($E56,'BY-Demands'!$I$5:$I$14,0),FALSE)*HLOOKUP(REG_TRA_DEMANDS!$F56,DEMANDS!$G$2:$CK$25,MATCH($E56,DEMANDS!$E$2:$E$25,0),FALSE)/HLOOKUP(2018,DEMANDS!$G$2:$CK$25,MATCH($E56,DEMANDS!$E$2:$E$25,0),FALSE)</f>
        <v>1.3573169524429556</v>
      </c>
      <c r="T56" s="19">
        <f>HLOOKUP(REG_TRA_DEMANDS!T$3,'BY-Demands'!$J$5:$AK$14,MATCH($E56,'BY-Demands'!$I$5:$I$14,0),FALSE)*HLOOKUP(REG_TRA_DEMANDS!$F56,DEMANDS!$G$2:$CK$25,MATCH($E56,DEMANDS!$E$2:$E$25,0),FALSE)/HLOOKUP(2018,DEMANDS!$G$2:$CK$25,MATCH($E56,DEMANDS!$E$2:$E$25,0),FALSE)</f>
        <v>5.4853437496635902</v>
      </c>
      <c r="U56" s="19">
        <f>HLOOKUP(REG_TRA_DEMANDS!U$3,'BY-Demands'!$J$5:$AK$14,MATCH($E56,'BY-Demands'!$I$5:$I$14,0),FALSE)*HLOOKUP(REG_TRA_DEMANDS!$F56,DEMANDS!$G$2:$CK$25,MATCH($E56,DEMANDS!$E$2:$E$25,0),FALSE)/HLOOKUP(2018,DEMANDS!$G$2:$CK$25,MATCH($E56,DEMANDS!$E$2:$E$25,0),FALSE)</f>
        <v>1.7953515343397446</v>
      </c>
      <c r="V56" s="19">
        <f>HLOOKUP(REG_TRA_DEMANDS!V$3,'BY-Demands'!$J$5:$AK$14,MATCH($E56,'BY-Demands'!$I$5:$I$14,0),FALSE)*HLOOKUP(REG_TRA_DEMANDS!$F56,DEMANDS!$G$2:$CK$25,MATCH($E56,DEMANDS!$E$2:$E$25,0),FALSE)/HLOOKUP(2018,DEMANDS!$G$2:$CK$25,MATCH($E56,DEMANDS!$E$2:$E$25,0),FALSE)</f>
        <v>2.0220278075116673</v>
      </c>
      <c r="W56" s="19">
        <f>HLOOKUP(REG_TRA_DEMANDS!W$3,'BY-Demands'!$J$5:$AK$14,MATCH($E56,'BY-Demands'!$I$5:$I$14,0),FALSE)*HLOOKUP(REG_TRA_DEMANDS!$F56,DEMANDS!$G$2:$CK$25,MATCH($E56,DEMANDS!$E$2:$E$25,0),FALSE)/HLOOKUP(2018,DEMANDS!$G$2:$CK$25,MATCH($E56,DEMANDS!$E$2:$E$25,0),FALSE)</f>
        <v>1.9611273953598634</v>
      </c>
      <c r="X56" s="19">
        <f>HLOOKUP(REG_TRA_DEMANDS!X$3,'BY-Demands'!$J$5:$AK$14,MATCH($E56,'BY-Demands'!$I$5:$I$14,0),FALSE)*HLOOKUP(REG_TRA_DEMANDS!$F56,DEMANDS!$G$2:$CK$25,MATCH($E56,DEMANDS!$E$2:$E$25,0),FALSE)/HLOOKUP(2018,DEMANDS!$G$2:$CK$25,MATCH($E56,DEMANDS!$E$2:$E$25,0),FALSE)</f>
        <v>1.2372301986696621</v>
      </c>
      <c r="Y56" s="19">
        <f>HLOOKUP(REG_TRA_DEMANDS!Y$3,'BY-Demands'!$J$5:$AK$14,MATCH($E56,'BY-Demands'!$I$5:$I$14,0),FALSE)*HLOOKUP(REG_TRA_DEMANDS!$F56,DEMANDS!$G$2:$CK$25,MATCH($E56,DEMANDS!$E$2:$E$25,0),FALSE)/HLOOKUP(2018,DEMANDS!$G$2:$CK$25,MATCH($E56,DEMANDS!$E$2:$E$25,0),FALSE)</f>
        <v>2.7700839552913159</v>
      </c>
      <c r="Z56" s="19">
        <f>HLOOKUP(REG_TRA_DEMANDS!Z$3,'BY-Demands'!$J$5:$AK$14,MATCH($E56,'BY-Demands'!$I$5:$I$14,0),FALSE)*HLOOKUP(REG_TRA_DEMANDS!$F56,DEMANDS!$G$2:$CK$25,MATCH($E56,DEMANDS!$E$2:$E$25,0),FALSE)/HLOOKUP(2018,DEMANDS!$G$2:$CK$25,MATCH($E56,DEMANDS!$E$2:$E$25,0),FALSE)</f>
        <v>0.36305331657778678</v>
      </c>
      <c r="AA56" s="19">
        <f>HLOOKUP(REG_TRA_DEMANDS!AA$3,'BY-Demands'!$J$5:$AK$14,MATCH($E56,'BY-Demands'!$I$5:$I$14,0),FALSE)*HLOOKUP(REG_TRA_DEMANDS!$F56,DEMANDS!$G$2:$CK$25,MATCH($E56,DEMANDS!$E$2:$E$25,0),FALSE)/HLOOKUP(2018,DEMANDS!$G$2:$CK$25,MATCH($E56,DEMANDS!$E$2:$E$25,0),FALSE)</f>
        <v>1.5341583001994239</v>
      </c>
      <c r="AB56" s="19">
        <f>HLOOKUP(REG_TRA_DEMANDS!AB$3,'BY-Demands'!$J$5:$AK$14,MATCH($E56,'BY-Demands'!$I$5:$I$14,0),FALSE)*HLOOKUP(REG_TRA_DEMANDS!$F56,DEMANDS!$G$2:$CK$25,MATCH($E56,DEMANDS!$E$2:$E$25,0),FALSE)/HLOOKUP(2018,DEMANDS!$G$2:$CK$25,MATCH($E56,DEMANDS!$E$2:$E$25,0),FALSE)</f>
        <v>0.82603812811235267</v>
      </c>
      <c r="AC56" s="19">
        <f>HLOOKUP(REG_TRA_DEMANDS!AC$3,'BY-Demands'!$J$5:$AK$14,MATCH($E56,'BY-Demands'!$I$5:$I$14,0),FALSE)*HLOOKUP(REG_TRA_DEMANDS!$F56,DEMANDS!$G$2:$CK$25,MATCH($E56,DEMANDS!$E$2:$E$25,0),FALSE)/HLOOKUP(2018,DEMANDS!$G$2:$CK$25,MATCH($E56,DEMANDS!$E$2:$E$25,0),FALSE)</f>
        <v>0.67387795633475134</v>
      </c>
      <c r="AD56" s="19">
        <f>HLOOKUP(REG_TRA_DEMANDS!AD$3,'BY-Demands'!$J$5:$AK$14,MATCH($E56,'BY-Demands'!$I$5:$I$14,0),FALSE)*HLOOKUP(REG_TRA_DEMANDS!$F56,DEMANDS!$G$2:$CK$25,MATCH($E56,DEMANDS!$E$2:$E$25,0),FALSE)/HLOOKUP(2018,DEMANDS!$G$2:$CK$25,MATCH($E56,DEMANDS!$E$2:$E$25,0),FALSE)</f>
        <v>0.73221695292712097</v>
      </c>
      <c r="AE56" s="19">
        <f>HLOOKUP(REG_TRA_DEMANDS!AE$3,'BY-Demands'!$J$5:$AK$14,MATCH($E56,'BY-Demands'!$I$5:$I$14,0),FALSE)*HLOOKUP(REG_TRA_DEMANDS!$F56,DEMANDS!$G$2:$CK$25,MATCH($E56,DEMANDS!$E$2:$E$25,0),FALSE)/HLOOKUP(2018,DEMANDS!$G$2:$CK$25,MATCH($E56,DEMANDS!$E$2:$E$25,0),FALSE)</f>
        <v>1.3484959808713171</v>
      </c>
      <c r="AF56" s="19">
        <f>HLOOKUP(REG_TRA_DEMANDS!AF$3,'BY-Demands'!$J$5:$AK$14,MATCH($E56,'BY-Demands'!$I$5:$I$14,0),FALSE)*HLOOKUP(REG_TRA_DEMANDS!$F56,DEMANDS!$G$2:$CK$25,MATCH($E56,DEMANDS!$E$2:$E$25,0),FALSE)/HLOOKUP(2018,DEMANDS!$G$2:$CK$25,MATCH($E56,DEMANDS!$E$2:$E$25,0),FALSE)</f>
        <v>0.74162165989886075</v>
      </c>
    </row>
    <row r="57" spans="4:32" ht="14.5">
      <c r="D57" t="s">
        <v>6</v>
      </c>
      <c r="E57" t="str">
        <f>DEMANDS!$E$18</f>
        <v>TRAPM</v>
      </c>
      <c r="F57">
        <v>2070</v>
      </c>
      <c r="G57" s="18">
        <f>HLOOKUP(REG_TRA_DEMANDS!G$3,'BY-Demands'!$J$5:$AK$14,MATCH($E57,'BY-Demands'!$I$5:$I$14,0),FALSE)*HLOOKUP(REG_TRA_DEMANDS!$F57,DEMANDS!$G$2:$CK$25,MATCH($E57,DEMANDS!$E$2:$E$25,0),FALSE)/HLOOKUP(2018,DEMANDS!$G$2:$CK$25,MATCH($E57,DEMANDS!$E$2:$E$25,0),FALSE)</f>
        <v>0.68802782604554202</v>
      </c>
      <c r="H57" s="18">
        <f>HLOOKUP(REG_TRA_DEMANDS!H$3,'BY-Demands'!$J$5:$AK$14,MATCH($E57,'BY-Demands'!$I$5:$I$14,0),FALSE)*HLOOKUP(REG_TRA_DEMANDS!$F57,DEMANDS!$G$2:$CK$25,MATCH($E57,DEMANDS!$E$2:$E$25,0),FALSE)/HLOOKUP(2018,DEMANDS!$G$2:$CK$25,MATCH($E57,DEMANDS!$E$2:$E$25,0),FALSE)</f>
        <v>12.048870091355885</v>
      </c>
      <c r="I57" s="18">
        <f>HLOOKUP(REG_TRA_DEMANDS!I$3,'BY-Demands'!$J$5:$AK$14,MATCH($E57,'BY-Demands'!$I$5:$I$14,0),FALSE)*HLOOKUP(REG_TRA_DEMANDS!$F57,DEMANDS!$G$2:$CK$25,MATCH($E57,DEMANDS!$E$2:$E$25,0),FALSE)/HLOOKUP(2018,DEMANDS!$G$2:$CK$25,MATCH($E57,DEMANDS!$E$2:$E$25,0),FALSE)</f>
        <v>2.4535333385902804</v>
      </c>
      <c r="J57" s="18">
        <f>HLOOKUP(REG_TRA_DEMANDS!J$3,'BY-Demands'!$J$5:$AK$14,MATCH($E57,'BY-Demands'!$I$5:$I$14,0),FALSE)*HLOOKUP(REG_TRA_DEMANDS!$F57,DEMANDS!$G$2:$CK$25,MATCH($E57,DEMANDS!$E$2:$E$25,0),FALSE)/HLOOKUP(2018,DEMANDS!$G$2:$CK$25,MATCH($E57,DEMANDS!$E$2:$E$25,0),FALSE)</f>
        <v>1.1652306492770421</v>
      </c>
      <c r="K57" s="18">
        <f>HLOOKUP(REG_TRA_DEMANDS!K$3,'BY-Demands'!$J$5:$AK$14,MATCH($E57,'BY-Demands'!$I$5:$I$14,0),FALSE)*HLOOKUP(REG_TRA_DEMANDS!$F57,DEMANDS!$G$2:$CK$25,MATCH($E57,DEMANDS!$E$2:$E$25,0),FALSE)/HLOOKUP(2018,DEMANDS!$G$2:$CK$25,MATCH($E57,DEMANDS!$E$2:$E$25,0),FALSE)</f>
        <v>0.87667894472560837</v>
      </c>
      <c r="L57" s="18">
        <f>HLOOKUP(REG_TRA_DEMANDS!L$3,'BY-Demands'!$J$5:$AK$14,MATCH($E57,'BY-Demands'!$I$5:$I$14,0),FALSE)*HLOOKUP(REG_TRA_DEMANDS!$F57,DEMANDS!$G$2:$CK$25,MATCH($E57,DEMANDS!$E$2:$E$25,0),FALSE)/HLOOKUP(2018,DEMANDS!$G$2:$CK$25,MATCH($E57,DEMANDS!$E$2:$E$25,0),FALSE)</f>
        <v>0.45166047724277852</v>
      </c>
      <c r="M57" s="18">
        <f>HLOOKUP(REG_TRA_DEMANDS!M$3,'BY-Demands'!$J$5:$AK$14,MATCH($E57,'BY-Demands'!$I$5:$I$14,0),FALSE)*HLOOKUP(REG_TRA_DEMANDS!$F57,DEMANDS!$G$2:$CK$25,MATCH($E57,DEMANDS!$E$2:$E$25,0),FALSE)/HLOOKUP(2018,DEMANDS!$G$2:$CK$25,MATCH($E57,DEMANDS!$E$2:$E$25,0),FALSE)</f>
        <v>1.2165710744002409</v>
      </c>
      <c r="N57" s="18">
        <f>HLOOKUP(REG_TRA_DEMANDS!N$3,'BY-Demands'!$J$5:$AK$14,MATCH($E57,'BY-Demands'!$I$5:$I$14,0),FALSE)*HLOOKUP(REG_TRA_DEMANDS!$F57,DEMANDS!$G$2:$CK$25,MATCH($E57,DEMANDS!$E$2:$E$25,0),FALSE)/HLOOKUP(2018,DEMANDS!$G$2:$CK$25,MATCH($E57,DEMANDS!$E$2:$E$25,0),FALSE)</f>
        <v>2.11210644808668</v>
      </c>
      <c r="O57" s="18">
        <f>HLOOKUP(REG_TRA_DEMANDS!O$3,'BY-Demands'!$J$5:$AK$14,MATCH($E57,'BY-Demands'!$I$5:$I$14,0),FALSE)*HLOOKUP(REG_TRA_DEMANDS!$F57,DEMANDS!$G$2:$CK$25,MATCH($E57,DEMANDS!$E$2:$E$25,0),FALSE)/HLOOKUP(2018,DEMANDS!$G$2:$CK$25,MATCH($E57,DEMANDS!$E$2:$E$25,0),FALSE)</f>
        <v>0.89509111174037481</v>
      </c>
      <c r="P57" s="18">
        <f>HLOOKUP(REG_TRA_DEMANDS!P$3,'BY-Demands'!$J$5:$AK$14,MATCH($E57,'BY-Demands'!$I$5:$I$14,0),FALSE)*HLOOKUP(REG_TRA_DEMANDS!$F57,DEMANDS!$G$2:$CK$25,MATCH($E57,DEMANDS!$E$2:$E$25,0),FALSE)/HLOOKUP(2018,DEMANDS!$G$2:$CK$25,MATCH($E57,DEMANDS!$E$2:$E$25,0),FALSE)</f>
        <v>1.0104212715428749</v>
      </c>
      <c r="Q57" s="18">
        <f>HLOOKUP(REG_TRA_DEMANDS!Q$3,'BY-Demands'!$J$5:$AK$14,MATCH($E57,'BY-Demands'!$I$5:$I$14,0),FALSE)*HLOOKUP(REG_TRA_DEMANDS!$F57,DEMANDS!$G$2:$CK$25,MATCH($E57,DEMANDS!$E$2:$E$25,0),FALSE)/HLOOKUP(2018,DEMANDS!$G$2:$CK$25,MATCH($E57,DEMANDS!$E$2:$E$25,0),FALSE)</f>
        <v>1.7920085589709938</v>
      </c>
      <c r="R57" s="18">
        <f>HLOOKUP(REG_TRA_DEMANDS!R$3,'BY-Demands'!$J$5:$AK$14,MATCH($E57,'BY-Demands'!$I$5:$I$14,0),FALSE)*HLOOKUP(REG_TRA_DEMANDS!$F57,DEMANDS!$G$2:$CK$25,MATCH($E57,DEMANDS!$E$2:$E$25,0),FALSE)/HLOOKUP(2018,DEMANDS!$G$2:$CK$25,MATCH($E57,DEMANDS!$E$2:$E$25,0),FALSE)</f>
        <v>1.5206777485997918</v>
      </c>
      <c r="S57" s="18">
        <f>HLOOKUP(REG_TRA_DEMANDS!S$3,'BY-Demands'!$J$5:$AK$14,MATCH($E57,'BY-Demands'!$I$5:$I$14,0),FALSE)*HLOOKUP(REG_TRA_DEMANDS!$F57,DEMANDS!$G$2:$CK$25,MATCH($E57,DEMANDS!$E$2:$E$25,0),FALSE)/HLOOKUP(2018,DEMANDS!$G$2:$CK$25,MATCH($E57,DEMANDS!$E$2:$E$25,0),FALSE)</f>
        <v>1.3791790672805622</v>
      </c>
      <c r="T57" s="18">
        <f>HLOOKUP(REG_TRA_DEMANDS!T$3,'BY-Demands'!$J$5:$AK$14,MATCH($E57,'BY-Demands'!$I$5:$I$14,0),FALSE)*HLOOKUP(REG_TRA_DEMANDS!$F57,DEMANDS!$G$2:$CK$25,MATCH($E57,DEMANDS!$E$2:$E$25,0),FALSE)/HLOOKUP(2018,DEMANDS!$G$2:$CK$25,MATCH($E57,DEMANDS!$E$2:$E$25,0),FALSE)</f>
        <v>5.5736954163565127</v>
      </c>
      <c r="U57" s="18">
        <f>HLOOKUP(REG_TRA_DEMANDS!U$3,'BY-Demands'!$J$5:$AK$14,MATCH($E57,'BY-Demands'!$I$5:$I$14,0),FALSE)*HLOOKUP(REG_TRA_DEMANDS!$F57,DEMANDS!$G$2:$CK$25,MATCH($E57,DEMANDS!$E$2:$E$25,0),FALSE)/HLOOKUP(2018,DEMANDS!$G$2:$CK$25,MATCH($E57,DEMANDS!$E$2:$E$25,0),FALSE)</f>
        <v>1.8242690110919244</v>
      </c>
      <c r="V57" s="18">
        <f>HLOOKUP(REG_TRA_DEMANDS!V$3,'BY-Demands'!$J$5:$AK$14,MATCH($E57,'BY-Demands'!$I$5:$I$14,0),FALSE)*HLOOKUP(REG_TRA_DEMANDS!$F57,DEMANDS!$G$2:$CK$25,MATCH($E57,DEMANDS!$E$2:$E$25,0),FALSE)/HLOOKUP(2018,DEMANDS!$G$2:$CK$25,MATCH($E57,DEMANDS!$E$2:$E$25,0),FALSE)</f>
        <v>2.0545963273795511</v>
      </c>
      <c r="W57" s="18">
        <f>HLOOKUP(REG_TRA_DEMANDS!W$3,'BY-Demands'!$J$5:$AK$14,MATCH($E57,'BY-Demands'!$I$5:$I$14,0),FALSE)*HLOOKUP(REG_TRA_DEMANDS!$F57,DEMANDS!$G$2:$CK$25,MATCH($E57,DEMANDS!$E$2:$E$25,0),FALSE)/HLOOKUP(2018,DEMANDS!$G$2:$CK$25,MATCH($E57,DEMANDS!$E$2:$E$25,0),FALSE)</f>
        <v>1.9927150007834651</v>
      </c>
      <c r="X57" s="18">
        <f>HLOOKUP(REG_TRA_DEMANDS!X$3,'BY-Demands'!$J$5:$AK$14,MATCH($E57,'BY-Demands'!$I$5:$I$14,0),FALSE)*HLOOKUP(REG_TRA_DEMANDS!$F57,DEMANDS!$G$2:$CK$25,MATCH($E57,DEMANDS!$E$2:$E$25,0),FALSE)/HLOOKUP(2018,DEMANDS!$G$2:$CK$25,MATCH($E57,DEMANDS!$E$2:$E$25,0),FALSE)</f>
        <v>1.2571580929136617</v>
      </c>
      <c r="Y57" s="18">
        <f>HLOOKUP(REG_TRA_DEMANDS!Y$3,'BY-Demands'!$J$5:$AK$14,MATCH($E57,'BY-Demands'!$I$5:$I$14,0),FALSE)*HLOOKUP(REG_TRA_DEMANDS!$F57,DEMANDS!$G$2:$CK$25,MATCH($E57,DEMANDS!$E$2:$E$25,0),FALSE)/HLOOKUP(2018,DEMANDS!$G$2:$CK$25,MATCH($E57,DEMANDS!$E$2:$E$25,0),FALSE)</f>
        <v>2.8147013111943657</v>
      </c>
      <c r="Z57" s="18">
        <f>HLOOKUP(REG_TRA_DEMANDS!Z$3,'BY-Demands'!$J$5:$AK$14,MATCH($E57,'BY-Demands'!$I$5:$I$14,0),FALSE)*HLOOKUP(REG_TRA_DEMANDS!$F57,DEMANDS!$G$2:$CK$25,MATCH($E57,DEMANDS!$E$2:$E$25,0),FALSE)/HLOOKUP(2018,DEMANDS!$G$2:$CK$25,MATCH($E57,DEMANDS!$E$2:$E$25,0),FALSE)</f>
        <v>0.36890096571007824</v>
      </c>
      <c r="AA57" s="18">
        <f>HLOOKUP(REG_TRA_DEMANDS!AA$3,'BY-Demands'!$J$5:$AK$14,MATCH($E57,'BY-Demands'!$I$5:$I$14,0),FALSE)*HLOOKUP(REG_TRA_DEMANDS!$F57,DEMANDS!$G$2:$CK$25,MATCH($E57,DEMANDS!$E$2:$E$25,0),FALSE)/HLOOKUP(2018,DEMANDS!$G$2:$CK$25,MATCH($E57,DEMANDS!$E$2:$E$25,0),FALSE)</f>
        <v>1.5588687739599265</v>
      </c>
      <c r="AB57" s="18">
        <f>HLOOKUP(REG_TRA_DEMANDS!AB$3,'BY-Demands'!$J$5:$AK$14,MATCH($E57,'BY-Demands'!$I$5:$I$14,0),FALSE)*HLOOKUP(REG_TRA_DEMANDS!$F57,DEMANDS!$G$2:$CK$25,MATCH($E57,DEMANDS!$E$2:$E$25,0),FALSE)/HLOOKUP(2018,DEMANDS!$G$2:$CK$25,MATCH($E57,DEMANDS!$E$2:$E$25,0),FALSE)</f>
        <v>0.83934300902799319</v>
      </c>
      <c r="AC57" s="18">
        <f>HLOOKUP(REG_TRA_DEMANDS!AC$3,'BY-Demands'!$J$5:$AK$14,MATCH($E57,'BY-Demands'!$I$5:$I$14,0),FALSE)*HLOOKUP(REG_TRA_DEMANDS!$F57,DEMANDS!$G$2:$CK$25,MATCH($E57,DEMANDS!$E$2:$E$25,0),FALSE)/HLOOKUP(2018,DEMANDS!$G$2:$CK$25,MATCH($E57,DEMANDS!$E$2:$E$25,0),FALSE)</f>
        <v>0.68473201458651489</v>
      </c>
      <c r="AD57" s="18">
        <f>HLOOKUP(REG_TRA_DEMANDS!AD$3,'BY-Demands'!$J$5:$AK$14,MATCH($E57,'BY-Demands'!$I$5:$I$14,0),FALSE)*HLOOKUP(REG_TRA_DEMANDS!$F57,DEMANDS!$G$2:$CK$25,MATCH($E57,DEMANDS!$E$2:$E$25,0),FALSE)/HLOOKUP(2018,DEMANDS!$G$2:$CK$25,MATCH($E57,DEMANDS!$E$2:$E$25,0),FALSE)</f>
        <v>0.74401066926001103</v>
      </c>
      <c r="AE57" s="18">
        <f>HLOOKUP(REG_TRA_DEMANDS!AE$3,'BY-Demands'!$J$5:$AK$14,MATCH($E57,'BY-Demands'!$I$5:$I$14,0),FALSE)*HLOOKUP(REG_TRA_DEMANDS!$F57,DEMANDS!$G$2:$CK$25,MATCH($E57,DEMANDS!$E$2:$E$25,0),FALSE)/HLOOKUP(2018,DEMANDS!$G$2:$CK$25,MATCH($E57,DEMANDS!$E$2:$E$25,0),FALSE)</f>
        <v>1.3702160175501477</v>
      </c>
      <c r="AF57" s="18">
        <f>HLOOKUP(REG_TRA_DEMANDS!AF$3,'BY-Demands'!$J$5:$AK$14,MATCH($E57,'BY-Demands'!$I$5:$I$14,0),FALSE)*HLOOKUP(REG_TRA_DEMANDS!$F57,DEMANDS!$G$2:$CK$25,MATCH($E57,DEMANDS!$E$2:$E$25,0),FALSE)/HLOOKUP(2018,DEMANDS!$G$2:$CK$25,MATCH($E57,DEMANDS!$E$2:$E$25,0),FALSE)</f>
        <v>0.75356685653519806</v>
      </c>
    </row>
    <row r="58" spans="4:32" ht="14.5">
      <c r="D58" s="20" t="s">
        <v>6</v>
      </c>
      <c r="E58" s="20" t="str">
        <f>DEMANDS!$E$19</f>
        <v>TRAPL</v>
      </c>
      <c r="F58" s="20">
        <v>2020</v>
      </c>
      <c r="G58" s="21">
        <f>HLOOKUP(REG_TRA_DEMANDS!G$3,'BY-Demands'!$J$5:$AK$14,MATCH($E58,'BY-Demands'!$I$5:$I$14,0),FALSE)*HLOOKUP(REG_TRA_DEMANDS!$F58,DEMANDS!$G$2:$CK$25,MATCH($E58,DEMANDS!$E$2:$E$25,0),FALSE)/HLOOKUP(2018,DEMANDS!$G$2:$CK$25,MATCH($E58,DEMANDS!$E$2:$E$25,0),FALSE)</f>
        <v>0.24691992873589347</v>
      </c>
      <c r="H58" s="21">
        <f>HLOOKUP(REG_TRA_DEMANDS!H$3,'BY-Demands'!$J$5:$AK$14,MATCH($E58,'BY-Demands'!$I$5:$I$14,0),FALSE)*HLOOKUP(REG_TRA_DEMANDS!$F58,DEMANDS!$G$2:$CK$25,MATCH($E58,DEMANDS!$E$2:$E$25,0),FALSE)/HLOOKUP(2018,DEMANDS!$G$2:$CK$25,MATCH($E58,DEMANDS!$E$2:$E$25,0),FALSE)</f>
        <v>4.3987208375893516</v>
      </c>
      <c r="I58" s="21">
        <f>HLOOKUP(REG_TRA_DEMANDS!I$3,'BY-Demands'!$J$5:$AK$14,MATCH($E58,'BY-Demands'!$I$5:$I$14,0),FALSE)*HLOOKUP(REG_TRA_DEMANDS!$F58,DEMANDS!$G$2:$CK$25,MATCH($E58,DEMANDS!$E$2:$E$25,0),FALSE)/HLOOKUP(2018,DEMANDS!$G$2:$CK$25,MATCH($E58,DEMANDS!$E$2:$E$25,0),FALSE)</f>
        <v>0.88875644567261247</v>
      </c>
      <c r="J58" s="21">
        <f>HLOOKUP(REG_TRA_DEMANDS!J$3,'BY-Demands'!$J$5:$AK$14,MATCH($E58,'BY-Demands'!$I$5:$I$14,0),FALSE)*HLOOKUP(REG_TRA_DEMANDS!$F58,DEMANDS!$G$2:$CK$25,MATCH($E58,DEMANDS!$E$2:$E$25,0),FALSE)/HLOOKUP(2018,DEMANDS!$G$2:$CK$25,MATCH($E58,DEMANDS!$E$2:$E$25,0),FALSE)</f>
        <v>0.42797186154821204</v>
      </c>
      <c r="K58" s="21">
        <f>HLOOKUP(REG_TRA_DEMANDS!K$3,'BY-Demands'!$J$5:$AK$14,MATCH($E58,'BY-Demands'!$I$5:$I$14,0),FALSE)*HLOOKUP(REG_TRA_DEMANDS!$F58,DEMANDS!$G$2:$CK$25,MATCH($E58,DEMANDS!$E$2:$E$25,0),FALSE)/HLOOKUP(2018,DEMANDS!$G$2:$CK$25,MATCH($E58,DEMANDS!$E$2:$E$25,0),FALSE)</f>
        <v>0.3179797101881926</v>
      </c>
      <c r="L58" s="21">
        <f>HLOOKUP(REG_TRA_DEMANDS!L$3,'BY-Demands'!$J$5:$AK$14,MATCH($E58,'BY-Demands'!$I$5:$I$14,0),FALSE)*HLOOKUP(REG_TRA_DEMANDS!$F58,DEMANDS!$G$2:$CK$25,MATCH($E58,DEMANDS!$E$2:$E$25,0),FALSE)/HLOOKUP(2018,DEMANDS!$G$2:$CK$25,MATCH($E58,DEMANDS!$E$2:$E$25,0),FALSE)</f>
        <v>0.16373165329654596</v>
      </c>
      <c r="M58" s="21">
        <f>HLOOKUP(REG_TRA_DEMANDS!M$3,'BY-Demands'!$J$5:$AK$14,MATCH($E58,'BY-Demands'!$I$5:$I$14,0),FALSE)*HLOOKUP(REG_TRA_DEMANDS!$F58,DEMANDS!$G$2:$CK$25,MATCH($E58,DEMANDS!$E$2:$E$25,0),FALSE)/HLOOKUP(2018,DEMANDS!$G$2:$CK$25,MATCH($E58,DEMANDS!$E$2:$E$25,0),FALSE)</f>
        <v>0.44489964535650628</v>
      </c>
      <c r="N58" s="21">
        <f>HLOOKUP(REG_TRA_DEMANDS!N$3,'BY-Demands'!$J$5:$AK$14,MATCH($E58,'BY-Demands'!$I$5:$I$14,0),FALSE)*HLOOKUP(REG_TRA_DEMANDS!$F58,DEMANDS!$G$2:$CK$25,MATCH($E58,DEMANDS!$E$2:$E$25,0),FALSE)/HLOOKUP(2018,DEMANDS!$G$2:$CK$25,MATCH($E58,DEMANDS!$E$2:$E$25,0),FALSE)</f>
        <v>0.75655804209376709</v>
      </c>
      <c r="O58" s="21">
        <f>HLOOKUP(REG_TRA_DEMANDS!O$3,'BY-Demands'!$J$5:$AK$14,MATCH($E58,'BY-Demands'!$I$5:$I$14,0),FALSE)*HLOOKUP(REG_TRA_DEMANDS!$F58,DEMANDS!$G$2:$CK$25,MATCH($E58,DEMANDS!$E$2:$E$25,0),FALSE)/HLOOKUP(2018,DEMANDS!$G$2:$CK$25,MATCH($E58,DEMANDS!$E$2:$E$25,0),FALSE)</f>
        <v>0.32608978147557938</v>
      </c>
      <c r="P58" s="21">
        <f>HLOOKUP(REG_TRA_DEMANDS!P$3,'BY-Demands'!$J$5:$AK$14,MATCH($E58,'BY-Demands'!$I$5:$I$14,0),FALSE)*HLOOKUP(REG_TRA_DEMANDS!$F58,DEMANDS!$G$2:$CK$25,MATCH($E58,DEMANDS!$E$2:$E$25,0),FALSE)/HLOOKUP(2018,DEMANDS!$G$2:$CK$25,MATCH($E58,DEMANDS!$E$2:$E$25,0),FALSE)</f>
        <v>0.36138234861168406</v>
      </c>
      <c r="Q58" s="21">
        <f>HLOOKUP(REG_TRA_DEMANDS!Q$3,'BY-Demands'!$J$5:$AK$14,MATCH($E58,'BY-Demands'!$I$5:$I$14,0),FALSE)*HLOOKUP(REG_TRA_DEMANDS!$F58,DEMANDS!$G$2:$CK$25,MATCH($E58,DEMANDS!$E$2:$E$25,0),FALSE)/HLOOKUP(2018,DEMANDS!$G$2:$CK$25,MATCH($E58,DEMANDS!$E$2:$E$25,0),FALSE)</f>
        <v>0.6423173913018575</v>
      </c>
      <c r="R58" s="21">
        <f>HLOOKUP(REG_TRA_DEMANDS!R$3,'BY-Demands'!$J$5:$AK$14,MATCH($E58,'BY-Demands'!$I$5:$I$14,0),FALSE)*HLOOKUP(REG_TRA_DEMANDS!$F58,DEMANDS!$G$2:$CK$25,MATCH($E58,DEMANDS!$E$2:$E$25,0),FALSE)/HLOOKUP(2018,DEMANDS!$G$2:$CK$25,MATCH($E58,DEMANDS!$E$2:$E$25,0),FALSE)</f>
        <v>0.55001910270518006</v>
      </c>
      <c r="S58" s="21">
        <f>HLOOKUP(REG_TRA_DEMANDS!S$3,'BY-Demands'!$J$5:$AK$14,MATCH($E58,'BY-Demands'!$I$5:$I$14,0),FALSE)*HLOOKUP(REG_TRA_DEMANDS!$F58,DEMANDS!$G$2:$CK$25,MATCH($E58,DEMANDS!$E$2:$E$25,0),FALSE)/HLOOKUP(2018,DEMANDS!$G$2:$CK$25,MATCH($E58,DEMANDS!$E$2:$E$25,0),FALSE)</f>
        <v>0.4931482203824476</v>
      </c>
      <c r="T58" s="21">
        <f>HLOOKUP(REG_TRA_DEMANDS!T$3,'BY-Demands'!$J$5:$AK$14,MATCH($E58,'BY-Demands'!$I$5:$I$14,0),FALSE)*HLOOKUP(REG_TRA_DEMANDS!$F58,DEMANDS!$G$2:$CK$25,MATCH($E58,DEMANDS!$E$2:$E$25,0),FALSE)/HLOOKUP(2018,DEMANDS!$G$2:$CK$25,MATCH($E58,DEMANDS!$E$2:$E$25,0),FALSE)</f>
        <v>2.0108638092840883</v>
      </c>
      <c r="U58" s="21">
        <f>HLOOKUP(REG_TRA_DEMANDS!U$3,'BY-Demands'!$J$5:$AK$14,MATCH($E58,'BY-Demands'!$I$5:$I$14,0),FALSE)*HLOOKUP(REG_TRA_DEMANDS!$F58,DEMANDS!$G$2:$CK$25,MATCH($E58,DEMANDS!$E$2:$E$25,0),FALSE)/HLOOKUP(2018,DEMANDS!$G$2:$CK$25,MATCH($E58,DEMANDS!$E$2:$E$25,0),FALSE)</f>
        <v>0.66874174579532897</v>
      </c>
      <c r="V58" s="21">
        <f>HLOOKUP(REG_TRA_DEMANDS!V$3,'BY-Demands'!$J$5:$AK$14,MATCH($E58,'BY-Demands'!$I$5:$I$14,0),FALSE)*HLOOKUP(REG_TRA_DEMANDS!$F58,DEMANDS!$G$2:$CK$25,MATCH($E58,DEMANDS!$E$2:$E$25,0),FALSE)/HLOOKUP(2018,DEMANDS!$G$2:$CK$25,MATCH($E58,DEMANDS!$E$2:$E$25,0),FALSE)</f>
        <v>0.74081659382873055</v>
      </c>
      <c r="W58" s="21">
        <f>HLOOKUP(REG_TRA_DEMANDS!W$3,'BY-Demands'!$J$5:$AK$14,MATCH($E58,'BY-Demands'!$I$5:$I$14,0),FALSE)*HLOOKUP(REG_TRA_DEMANDS!$F58,DEMANDS!$G$2:$CK$25,MATCH($E58,DEMANDS!$E$2:$E$25,0),FALSE)/HLOOKUP(2018,DEMANDS!$G$2:$CK$25,MATCH($E58,DEMANDS!$E$2:$E$25,0),FALSE)</f>
        <v>0.71668860020583103</v>
      </c>
      <c r="X58" s="21">
        <f>HLOOKUP(REG_TRA_DEMANDS!X$3,'BY-Demands'!$J$5:$AK$14,MATCH($E58,'BY-Demands'!$I$5:$I$14,0),FALSE)*HLOOKUP(REG_TRA_DEMANDS!$F58,DEMANDS!$G$2:$CK$25,MATCH($E58,DEMANDS!$E$2:$E$25,0),FALSE)/HLOOKUP(2018,DEMANDS!$G$2:$CK$25,MATCH($E58,DEMANDS!$E$2:$E$25,0),FALSE)</f>
        <v>0.45133306783785199</v>
      </c>
      <c r="Y58" s="21">
        <f>HLOOKUP(REG_TRA_DEMANDS!Y$3,'BY-Demands'!$J$5:$AK$14,MATCH($E58,'BY-Demands'!$I$5:$I$14,0),FALSE)*HLOOKUP(REG_TRA_DEMANDS!$F58,DEMANDS!$G$2:$CK$25,MATCH($E58,DEMANDS!$E$2:$E$25,0),FALSE)/HLOOKUP(2018,DEMANDS!$G$2:$CK$25,MATCH($E58,DEMANDS!$E$2:$E$25,0),FALSE)</f>
        <v>1.0254216517463635</v>
      </c>
      <c r="Z58" s="21">
        <f>HLOOKUP(REG_TRA_DEMANDS!Z$3,'BY-Demands'!$J$5:$AK$14,MATCH($E58,'BY-Demands'!$I$5:$I$14,0),FALSE)*HLOOKUP(REG_TRA_DEMANDS!$F58,DEMANDS!$G$2:$CK$25,MATCH($E58,DEMANDS!$E$2:$E$25,0),FALSE)/HLOOKUP(2018,DEMANDS!$G$2:$CK$25,MATCH($E58,DEMANDS!$E$2:$E$25,0),FALSE)</f>
        <v>0.13228753815021471</v>
      </c>
      <c r="AA58" s="21">
        <f>HLOOKUP(REG_TRA_DEMANDS!AA$3,'BY-Demands'!$J$5:$AK$14,MATCH($E58,'BY-Demands'!$I$5:$I$14,0),FALSE)*HLOOKUP(REG_TRA_DEMANDS!$F58,DEMANDS!$G$2:$CK$25,MATCH($E58,DEMANDS!$E$2:$E$25,0),FALSE)/HLOOKUP(2018,DEMANDS!$G$2:$CK$25,MATCH($E58,DEMANDS!$E$2:$E$25,0),FALSE)</f>
        <v>0.56861509056325599</v>
      </c>
      <c r="AB58" s="21">
        <f>HLOOKUP(REG_TRA_DEMANDS!AB$3,'BY-Demands'!$J$5:$AK$14,MATCH($E58,'BY-Demands'!$I$5:$I$14,0),FALSE)*HLOOKUP(REG_TRA_DEMANDS!$F58,DEMANDS!$G$2:$CK$25,MATCH($E58,DEMANDS!$E$2:$E$25,0),FALSE)/HLOOKUP(2018,DEMANDS!$G$2:$CK$25,MATCH($E58,DEMANDS!$E$2:$E$25,0),FALSE)</f>
        <v>0.29804677121625045</v>
      </c>
      <c r="AC58" s="21">
        <f>HLOOKUP(REG_TRA_DEMANDS!AC$3,'BY-Demands'!$J$5:$AK$14,MATCH($E58,'BY-Demands'!$I$5:$I$14,0),FALSE)*HLOOKUP(REG_TRA_DEMANDS!$F58,DEMANDS!$G$2:$CK$25,MATCH($E58,DEMANDS!$E$2:$E$25,0),FALSE)/HLOOKUP(2018,DEMANDS!$G$2:$CK$25,MATCH($E58,DEMANDS!$E$2:$E$25,0),FALSE)</f>
        <v>0.24842415692533032</v>
      </c>
      <c r="AD58" s="21">
        <f>HLOOKUP(REG_TRA_DEMANDS!AD$3,'BY-Demands'!$J$5:$AK$14,MATCH($E58,'BY-Demands'!$I$5:$I$14,0),FALSE)*HLOOKUP(REG_TRA_DEMANDS!$F58,DEMANDS!$G$2:$CK$25,MATCH($E58,DEMANDS!$E$2:$E$25,0),FALSE)/HLOOKUP(2018,DEMANDS!$G$2:$CK$25,MATCH($E58,DEMANDS!$E$2:$E$25,0),FALSE)</f>
        <v>0.2656886095187837</v>
      </c>
      <c r="AE58" s="21">
        <f>HLOOKUP(REG_TRA_DEMANDS!AE$3,'BY-Demands'!$J$5:$AK$14,MATCH($E58,'BY-Demands'!$I$5:$I$14,0),FALSE)*HLOOKUP(REG_TRA_DEMANDS!$F58,DEMANDS!$G$2:$CK$25,MATCH($E58,DEMANDS!$E$2:$E$25,0),FALSE)/HLOOKUP(2018,DEMANDS!$G$2:$CK$25,MATCH($E58,DEMANDS!$E$2:$E$25,0),FALSE)</f>
        <v>0.48941780878588725</v>
      </c>
      <c r="AF58" s="21">
        <f>HLOOKUP(REG_TRA_DEMANDS!AF$3,'BY-Demands'!$J$5:$AK$14,MATCH($E58,'BY-Demands'!$I$5:$I$14,0),FALSE)*HLOOKUP(REG_TRA_DEMANDS!$F58,DEMANDS!$G$2:$CK$25,MATCH($E58,DEMANDS!$E$2:$E$25,0),FALSE)/HLOOKUP(2018,DEMANDS!$G$2:$CK$25,MATCH($E58,DEMANDS!$E$2:$E$25,0),FALSE)</f>
        <v>0.28271035318427856</v>
      </c>
    </row>
    <row r="59" spans="4:32" ht="14.5">
      <c r="D59" t="s">
        <v>6</v>
      </c>
      <c r="E59" t="str">
        <f>DEMANDS!$E$19</f>
        <v>TRAPL</v>
      </c>
      <c r="F59">
        <v>2021</v>
      </c>
      <c r="G59" s="19">
        <f>HLOOKUP(REG_TRA_DEMANDS!G$3,'BY-Demands'!$J$5:$AK$14,MATCH($E59,'BY-Demands'!$I$5:$I$14,0),FALSE)*HLOOKUP(REG_TRA_DEMANDS!$F59,DEMANDS!$G$2:$CK$25,MATCH($E59,DEMANDS!$E$2:$E$25,0),FALSE)/HLOOKUP(2018,DEMANDS!$G$2:$CK$25,MATCH($E59,DEMANDS!$E$2:$E$25,0),FALSE)</f>
        <v>0.2508197434186043</v>
      </c>
      <c r="H59" s="19">
        <f>HLOOKUP(REG_TRA_DEMANDS!H$3,'BY-Demands'!$J$5:$AK$14,MATCH($E59,'BY-Demands'!$I$5:$I$14,0),FALSE)*HLOOKUP(REG_TRA_DEMANDS!$F59,DEMANDS!$G$2:$CK$25,MATCH($E59,DEMANDS!$E$2:$E$25,0),FALSE)/HLOOKUP(2018,DEMANDS!$G$2:$CK$25,MATCH($E59,DEMANDS!$E$2:$E$25,0),FALSE)</f>
        <v>4.4681935455858186</v>
      </c>
      <c r="I59" s="19">
        <f>HLOOKUP(REG_TRA_DEMANDS!I$3,'BY-Demands'!$J$5:$AK$14,MATCH($E59,'BY-Demands'!$I$5:$I$14,0),FALSE)*HLOOKUP(REG_TRA_DEMANDS!$F59,DEMANDS!$G$2:$CK$25,MATCH($E59,DEMANDS!$E$2:$E$25,0),FALSE)/HLOOKUP(2018,DEMANDS!$G$2:$CK$25,MATCH($E59,DEMANDS!$E$2:$E$25,0),FALSE)</f>
        <v>0.90279332578160998</v>
      </c>
      <c r="J59" s="19">
        <f>HLOOKUP(REG_TRA_DEMANDS!J$3,'BY-Demands'!$J$5:$AK$14,MATCH($E59,'BY-Demands'!$I$5:$I$14,0),FALSE)*HLOOKUP(REG_TRA_DEMANDS!$F59,DEMANDS!$G$2:$CK$25,MATCH($E59,DEMANDS!$E$2:$E$25,0),FALSE)/HLOOKUP(2018,DEMANDS!$G$2:$CK$25,MATCH($E59,DEMANDS!$E$2:$E$25,0),FALSE)</f>
        <v>0.4347311821020341</v>
      </c>
      <c r="K59" s="19">
        <f>HLOOKUP(REG_TRA_DEMANDS!K$3,'BY-Demands'!$J$5:$AK$14,MATCH($E59,'BY-Demands'!$I$5:$I$14,0),FALSE)*HLOOKUP(REG_TRA_DEMANDS!$F59,DEMANDS!$G$2:$CK$25,MATCH($E59,DEMANDS!$E$2:$E$25,0),FALSE)/HLOOKUP(2018,DEMANDS!$G$2:$CK$25,MATCH($E59,DEMANDS!$E$2:$E$25,0),FALSE)</f>
        <v>0.32300183193002424</v>
      </c>
      <c r="L59" s="19">
        <f>HLOOKUP(REG_TRA_DEMANDS!L$3,'BY-Demands'!$J$5:$AK$14,MATCH($E59,'BY-Demands'!$I$5:$I$14,0),FALSE)*HLOOKUP(REG_TRA_DEMANDS!$F59,DEMANDS!$G$2:$CK$25,MATCH($E59,DEMANDS!$E$2:$E$25,0),FALSE)/HLOOKUP(2018,DEMANDS!$G$2:$CK$25,MATCH($E59,DEMANDS!$E$2:$E$25,0),FALSE)</f>
        <v>0.16631760538562726</v>
      </c>
      <c r="M59" s="19">
        <f>HLOOKUP(REG_TRA_DEMANDS!M$3,'BY-Demands'!$J$5:$AK$14,MATCH($E59,'BY-Demands'!$I$5:$I$14,0),FALSE)*HLOOKUP(REG_TRA_DEMANDS!$F59,DEMANDS!$G$2:$CK$25,MATCH($E59,DEMANDS!$E$2:$E$25,0),FALSE)/HLOOKUP(2018,DEMANDS!$G$2:$CK$25,MATCH($E59,DEMANDS!$E$2:$E$25,0),FALSE)</f>
        <v>0.45192632067662569</v>
      </c>
      <c r="N59" s="19">
        <f>HLOOKUP(REG_TRA_DEMANDS!N$3,'BY-Demands'!$J$5:$AK$14,MATCH($E59,'BY-Demands'!$I$5:$I$14,0),FALSE)*HLOOKUP(REG_TRA_DEMANDS!$F59,DEMANDS!$G$2:$CK$25,MATCH($E59,DEMANDS!$E$2:$E$25,0),FALSE)/HLOOKUP(2018,DEMANDS!$G$2:$CK$25,MATCH($E59,DEMANDS!$E$2:$E$25,0),FALSE)</f>
        <v>0.76850700132109639</v>
      </c>
      <c r="O59" s="19">
        <f>HLOOKUP(REG_TRA_DEMANDS!O$3,'BY-Demands'!$J$5:$AK$14,MATCH($E59,'BY-Demands'!$I$5:$I$14,0),FALSE)*HLOOKUP(REG_TRA_DEMANDS!$F59,DEMANDS!$G$2:$CK$25,MATCH($E59,DEMANDS!$E$2:$E$25,0),FALSE)/HLOOKUP(2018,DEMANDS!$G$2:$CK$25,MATCH($E59,DEMANDS!$E$2:$E$25,0),FALSE)</f>
        <v>0.33123999241315272</v>
      </c>
      <c r="P59" s="19">
        <f>HLOOKUP(REG_TRA_DEMANDS!P$3,'BY-Demands'!$J$5:$AK$14,MATCH($E59,'BY-Demands'!$I$5:$I$14,0),FALSE)*HLOOKUP(REG_TRA_DEMANDS!$F59,DEMANDS!$G$2:$CK$25,MATCH($E59,DEMANDS!$E$2:$E$25,0),FALSE)/HLOOKUP(2018,DEMANDS!$G$2:$CK$25,MATCH($E59,DEMANDS!$E$2:$E$25,0),FALSE)</f>
        <v>0.36708996482720546</v>
      </c>
      <c r="Q59" s="19">
        <f>HLOOKUP(REG_TRA_DEMANDS!Q$3,'BY-Demands'!$J$5:$AK$14,MATCH($E59,'BY-Demands'!$I$5:$I$14,0),FALSE)*HLOOKUP(REG_TRA_DEMANDS!$F59,DEMANDS!$G$2:$CK$25,MATCH($E59,DEMANDS!$E$2:$E$25,0),FALSE)/HLOOKUP(2018,DEMANDS!$G$2:$CK$25,MATCH($E59,DEMANDS!$E$2:$E$25,0),FALSE)</f>
        <v>0.65246205158255421</v>
      </c>
      <c r="R59" s="19">
        <f>HLOOKUP(REG_TRA_DEMANDS!R$3,'BY-Demands'!$J$5:$AK$14,MATCH($E59,'BY-Demands'!$I$5:$I$14,0),FALSE)*HLOOKUP(REG_TRA_DEMANDS!$F59,DEMANDS!$G$2:$CK$25,MATCH($E59,DEMANDS!$E$2:$E$25,0),FALSE)/HLOOKUP(2018,DEMANDS!$G$2:$CK$25,MATCH($E59,DEMANDS!$E$2:$E$25,0),FALSE)</f>
        <v>0.55870601827121913</v>
      </c>
      <c r="S59" s="19">
        <f>HLOOKUP(REG_TRA_DEMANDS!S$3,'BY-Demands'!$J$5:$AK$14,MATCH($E59,'BY-Demands'!$I$5:$I$14,0),FALSE)*HLOOKUP(REG_TRA_DEMANDS!$F59,DEMANDS!$G$2:$CK$25,MATCH($E59,DEMANDS!$E$2:$E$25,0),FALSE)/HLOOKUP(2018,DEMANDS!$G$2:$CK$25,MATCH($E59,DEMANDS!$E$2:$E$25,0),FALSE)</f>
        <v>0.50093692614000196</v>
      </c>
      <c r="T59" s="19">
        <f>HLOOKUP(REG_TRA_DEMANDS!T$3,'BY-Demands'!$J$5:$AK$14,MATCH($E59,'BY-Demands'!$I$5:$I$14,0),FALSE)*HLOOKUP(REG_TRA_DEMANDS!$F59,DEMANDS!$G$2:$CK$25,MATCH($E59,DEMANDS!$E$2:$E$25,0),FALSE)/HLOOKUP(2018,DEMANDS!$G$2:$CK$25,MATCH($E59,DEMANDS!$E$2:$E$25,0),FALSE)</f>
        <v>2.0426230773533973</v>
      </c>
      <c r="U59" s="19">
        <f>HLOOKUP(REG_TRA_DEMANDS!U$3,'BY-Demands'!$J$5:$AK$14,MATCH($E59,'BY-Demands'!$I$5:$I$14,0),FALSE)*HLOOKUP(REG_TRA_DEMANDS!$F59,DEMANDS!$G$2:$CK$25,MATCH($E59,DEMANDS!$E$2:$E$25,0),FALSE)/HLOOKUP(2018,DEMANDS!$G$2:$CK$25,MATCH($E59,DEMANDS!$E$2:$E$25,0),FALSE)</f>
        <v>0.67930374819240469</v>
      </c>
      <c r="V59" s="19">
        <f>HLOOKUP(REG_TRA_DEMANDS!V$3,'BY-Demands'!$J$5:$AK$14,MATCH($E59,'BY-Demands'!$I$5:$I$14,0),FALSE)*HLOOKUP(REG_TRA_DEMANDS!$F59,DEMANDS!$G$2:$CK$25,MATCH($E59,DEMANDS!$E$2:$E$25,0),FALSE)/HLOOKUP(2018,DEMANDS!$G$2:$CK$25,MATCH($E59,DEMANDS!$E$2:$E$25,0),FALSE)</f>
        <v>0.75251693508753292</v>
      </c>
      <c r="W59" s="19">
        <f>HLOOKUP(REG_TRA_DEMANDS!W$3,'BY-Demands'!$J$5:$AK$14,MATCH($E59,'BY-Demands'!$I$5:$I$14,0),FALSE)*HLOOKUP(REG_TRA_DEMANDS!$F59,DEMANDS!$G$2:$CK$25,MATCH($E59,DEMANDS!$E$2:$E$25,0),FALSE)/HLOOKUP(2018,DEMANDS!$G$2:$CK$25,MATCH($E59,DEMANDS!$E$2:$E$25,0),FALSE)</f>
        <v>0.72800786771219617</v>
      </c>
      <c r="X59" s="19">
        <f>HLOOKUP(REG_TRA_DEMANDS!X$3,'BY-Demands'!$J$5:$AK$14,MATCH($E59,'BY-Demands'!$I$5:$I$14,0),FALSE)*HLOOKUP(REG_TRA_DEMANDS!$F59,DEMANDS!$G$2:$CK$25,MATCH($E59,DEMANDS!$E$2:$E$25,0),FALSE)/HLOOKUP(2018,DEMANDS!$G$2:$CK$25,MATCH($E59,DEMANDS!$E$2:$E$25,0),FALSE)</f>
        <v>0.45846135162506146</v>
      </c>
      <c r="Y59" s="19">
        <f>HLOOKUP(REG_TRA_DEMANDS!Y$3,'BY-Demands'!$J$5:$AK$14,MATCH($E59,'BY-Demands'!$I$5:$I$14,0),FALSE)*HLOOKUP(REG_TRA_DEMANDS!$F59,DEMANDS!$G$2:$CK$25,MATCH($E59,DEMANDS!$E$2:$E$25,0),FALSE)/HLOOKUP(2018,DEMANDS!$G$2:$CK$25,MATCH($E59,DEMANDS!$E$2:$E$25,0),FALSE)</f>
        <v>1.0416170007160588</v>
      </c>
      <c r="Z59" s="19">
        <f>HLOOKUP(REG_TRA_DEMANDS!Z$3,'BY-Demands'!$J$5:$AK$14,MATCH($E59,'BY-Demands'!$I$5:$I$14,0),FALSE)*HLOOKUP(REG_TRA_DEMANDS!$F59,DEMANDS!$G$2:$CK$25,MATCH($E59,DEMANDS!$E$2:$E$25,0),FALSE)/HLOOKUP(2018,DEMANDS!$G$2:$CK$25,MATCH($E59,DEMANDS!$E$2:$E$25,0),FALSE)</f>
        <v>0.13437686680934324</v>
      </c>
      <c r="AA59" s="19">
        <f>HLOOKUP(REG_TRA_DEMANDS!AA$3,'BY-Demands'!$J$5:$AK$14,MATCH($E59,'BY-Demands'!$I$5:$I$14,0),FALSE)*HLOOKUP(REG_TRA_DEMANDS!$F59,DEMANDS!$G$2:$CK$25,MATCH($E59,DEMANDS!$E$2:$E$25,0),FALSE)/HLOOKUP(2018,DEMANDS!$G$2:$CK$25,MATCH($E59,DEMANDS!$E$2:$E$25,0),FALSE)</f>
        <v>0.57759570824908646</v>
      </c>
      <c r="AB59" s="19">
        <f>HLOOKUP(REG_TRA_DEMANDS!AB$3,'BY-Demands'!$J$5:$AK$14,MATCH($E59,'BY-Demands'!$I$5:$I$14,0),FALSE)*HLOOKUP(REG_TRA_DEMANDS!$F59,DEMANDS!$G$2:$CK$25,MATCH($E59,DEMANDS!$E$2:$E$25,0),FALSE)/HLOOKUP(2018,DEMANDS!$G$2:$CK$25,MATCH($E59,DEMANDS!$E$2:$E$25,0),FALSE)</f>
        <v>0.3027540752417871</v>
      </c>
      <c r="AC59" s="19">
        <f>HLOOKUP(REG_TRA_DEMANDS!AC$3,'BY-Demands'!$J$5:$AK$14,MATCH($E59,'BY-Demands'!$I$5:$I$14,0),FALSE)*HLOOKUP(REG_TRA_DEMANDS!$F59,DEMANDS!$G$2:$CK$25,MATCH($E59,DEMANDS!$E$2:$E$25,0),FALSE)/HLOOKUP(2018,DEMANDS!$G$2:$CK$25,MATCH($E59,DEMANDS!$E$2:$E$25,0),FALSE)</f>
        <v>0.25234772915247811</v>
      </c>
      <c r="AD59" s="19">
        <f>HLOOKUP(REG_TRA_DEMANDS!AD$3,'BY-Demands'!$J$5:$AK$14,MATCH($E59,'BY-Demands'!$I$5:$I$14,0),FALSE)*HLOOKUP(REG_TRA_DEMANDS!$F59,DEMANDS!$G$2:$CK$25,MATCH($E59,DEMANDS!$E$2:$E$25,0),FALSE)/HLOOKUP(2018,DEMANDS!$G$2:$CK$25,MATCH($E59,DEMANDS!$E$2:$E$25,0),FALSE)</f>
        <v>0.26988485380629379</v>
      </c>
      <c r="AE59" s="19">
        <f>HLOOKUP(REG_TRA_DEMANDS!AE$3,'BY-Demands'!$J$5:$AK$14,MATCH($E59,'BY-Demands'!$I$5:$I$14,0),FALSE)*HLOOKUP(REG_TRA_DEMANDS!$F59,DEMANDS!$G$2:$CK$25,MATCH($E59,DEMANDS!$E$2:$E$25,0),FALSE)/HLOOKUP(2018,DEMANDS!$G$2:$CK$25,MATCH($E59,DEMANDS!$E$2:$E$25,0),FALSE)</f>
        <v>0.49714759700692984</v>
      </c>
      <c r="AF59" s="19">
        <f>HLOOKUP(REG_TRA_DEMANDS!AF$3,'BY-Demands'!$J$5:$AK$14,MATCH($E59,'BY-Demands'!$I$5:$I$14,0),FALSE)*HLOOKUP(REG_TRA_DEMANDS!$F59,DEMANDS!$G$2:$CK$25,MATCH($E59,DEMANDS!$E$2:$E$25,0),FALSE)/HLOOKUP(2018,DEMANDS!$G$2:$CK$25,MATCH($E59,DEMANDS!$E$2:$E$25,0),FALSE)</f>
        <v>0.28717543622535491</v>
      </c>
    </row>
    <row r="60" spans="4:32" ht="14.5">
      <c r="D60" t="s">
        <v>6</v>
      </c>
      <c r="E60" t="str">
        <f>DEMANDS!$E$19</f>
        <v>TRAPL</v>
      </c>
      <c r="F60">
        <v>2022</v>
      </c>
      <c r="G60" s="19">
        <f>HLOOKUP(REG_TRA_DEMANDS!G$3,'BY-Demands'!$J$5:$AK$14,MATCH($E60,'BY-Demands'!$I$5:$I$14,0),FALSE)*HLOOKUP(REG_TRA_DEMANDS!$F60,DEMANDS!$G$2:$CK$25,MATCH($E60,DEMANDS!$E$2:$E$25,0),FALSE)/HLOOKUP(2018,DEMANDS!$G$2:$CK$25,MATCH($E60,DEMANDS!$E$2:$E$25,0),FALSE)</f>
        <v>0.25976817539283303</v>
      </c>
      <c r="H60" s="19">
        <f>HLOOKUP(REG_TRA_DEMANDS!H$3,'BY-Demands'!$J$5:$AK$14,MATCH($E60,'BY-Demands'!$I$5:$I$14,0),FALSE)*HLOOKUP(REG_TRA_DEMANDS!$F60,DEMANDS!$G$2:$CK$25,MATCH($E60,DEMANDS!$E$2:$E$25,0),FALSE)/HLOOKUP(2018,DEMANDS!$G$2:$CK$25,MATCH($E60,DEMANDS!$E$2:$E$25,0),FALSE)</f>
        <v>4.6276041463838293</v>
      </c>
      <c r="I60" s="19">
        <f>HLOOKUP(REG_TRA_DEMANDS!I$3,'BY-Demands'!$J$5:$AK$14,MATCH($E60,'BY-Demands'!$I$5:$I$14,0),FALSE)*HLOOKUP(REG_TRA_DEMANDS!$F60,DEMANDS!$G$2:$CK$25,MATCH($E60,DEMANDS!$E$2:$E$25,0),FALSE)/HLOOKUP(2018,DEMANDS!$G$2:$CK$25,MATCH($E60,DEMANDS!$E$2:$E$25,0),FALSE)</f>
        <v>0.93500205286359961</v>
      </c>
      <c r="J60" s="19">
        <f>HLOOKUP(REG_TRA_DEMANDS!J$3,'BY-Demands'!$J$5:$AK$14,MATCH($E60,'BY-Demands'!$I$5:$I$14,0),FALSE)*HLOOKUP(REG_TRA_DEMANDS!$F60,DEMANDS!$G$2:$CK$25,MATCH($E60,DEMANDS!$E$2:$E$25,0),FALSE)/HLOOKUP(2018,DEMANDS!$G$2:$CK$25,MATCH($E60,DEMANDS!$E$2:$E$25,0),FALSE)</f>
        <v>0.45024097553812592</v>
      </c>
      <c r="K60" s="19">
        <f>HLOOKUP(REG_TRA_DEMANDS!K$3,'BY-Demands'!$J$5:$AK$14,MATCH($E60,'BY-Demands'!$I$5:$I$14,0),FALSE)*HLOOKUP(REG_TRA_DEMANDS!$F60,DEMANDS!$G$2:$CK$25,MATCH($E60,DEMANDS!$E$2:$E$25,0),FALSE)/HLOOKUP(2018,DEMANDS!$G$2:$CK$25,MATCH($E60,DEMANDS!$E$2:$E$25,0),FALSE)</f>
        <v>0.33452548585448127</v>
      </c>
      <c r="L60" s="19">
        <f>HLOOKUP(REG_TRA_DEMANDS!L$3,'BY-Demands'!$J$5:$AK$14,MATCH($E60,'BY-Demands'!$I$5:$I$14,0),FALSE)*HLOOKUP(REG_TRA_DEMANDS!$F60,DEMANDS!$G$2:$CK$25,MATCH($E60,DEMANDS!$E$2:$E$25,0),FALSE)/HLOOKUP(2018,DEMANDS!$G$2:$CK$25,MATCH($E60,DEMANDS!$E$2:$E$25,0),FALSE)</f>
        <v>0.17225127614704752</v>
      </c>
      <c r="M60" s="19">
        <f>HLOOKUP(REG_TRA_DEMANDS!M$3,'BY-Demands'!$J$5:$AK$14,MATCH($E60,'BY-Demands'!$I$5:$I$14,0),FALSE)*HLOOKUP(REG_TRA_DEMANDS!$F60,DEMANDS!$G$2:$CK$25,MATCH($E60,DEMANDS!$E$2:$E$25,0),FALSE)/HLOOKUP(2018,DEMANDS!$G$2:$CK$25,MATCH($E60,DEMANDS!$E$2:$E$25,0),FALSE)</f>
        <v>0.46804958068327124</v>
      </c>
      <c r="N60" s="19">
        <f>HLOOKUP(REG_TRA_DEMANDS!N$3,'BY-Demands'!$J$5:$AK$14,MATCH($E60,'BY-Demands'!$I$5:$I$14,0),FALSE)*HLOOKUP(REG_TRA_DEMANDS!$F60,DEMANDS!$G$2:$CK$25,MATCH($E60,DEMANDS!$E$2:$E$25,0),FALSE)/HLOOKUP(2018,DEMANDS!$G$2:$CK$25,MATCH($E60,DEMANDS!$E$2:$E$25,0),FALSE)</f>
        <v>0.79592482947652643</v>
      </c>
      <c r="O60" s="19">
        <f>HLOOKUP(REG_TRA_DEMANDS!O$3,'BY-Demands'!$J$5:$AK$14,MATCH($E60,'BY-Demands'!$I$5:$I$14,0),FALSE)*HLOOKUP(REG_TRA_DEMANDS!$F60,DEMANDS!$G$2:$CK$25,MATCH($E60,DEMANDS!$E$2:$E$25,0),FALSE)/HLOOKUP(2018,DEMANDS!$G$2:$CK$25,MATCH($E60,DEMANDS!$E$2:$E$25,0),FALSE)</f>
        <v>0.34305755708670499</v>
      </c>
      <c r="P60" s="19">
        <f>HLOOKUP(REG_TRA_DEMANDS!P$3,'BY-Demands'!$J$5:$AK$14,MATCH($E60,'BY-Demands'!$I$5:$I$14,0),FALSE)*HLOOKUP(REG_TRA_DEMANDS!$F60,DEMANDS!$G$2:$CK$25,MATCH($E60,DEMANDS!$E$2:$E$25,0),FALSE)/HLOOKUP(2018,DEMANDS!$G$2:$CK$25,MATCH($E60,DEMANDS!$E$2:$E$25,0),FALSE)</f>
        <v>0.38018653981730099</v>
      </c>
      <c r="Q60" s="19">
        <f>HLOOKUP(REG_TRA_DEMANDS!Q$3,'BY-Demands'!$J$5:$AK$14,MATCH($E60,'BY-Demands'!$I$5:$I$14,0),FALSE)*HLOOKUP(REG_TRA_DEMANDS!$F60,DEMANDS!$G$2:$CK$25,MATCH($E60,DEMANDS!$E$2:$E$25,0),FALSE)/HLOOKUP(2018,DEMANDS!$G$2:$CK$25,MATCH($E60,DEMANDS!$E$2:$E$25,0),FALSE)</f>
        <v>0.67573977368199856</v>
      </c>
      <c r="R60" s="19">
        <f>HLOOKUP(REG_TRA_DEMANDS!R$3,'BY-Demands'!$J$5:$AK$14,MATCH($E60,'BY-Demands'!$I$5:$I$14,0),FALSE)*HLOOKUP(REG_TRA_DEMANDS!$F60,DEMANDS!$G$2:$CK$25,MATCH($E60,DEMANDS!$E$2:$E$25,0),FALSE)/HLOOKUP(2018,DEMANDS!$G$2:$CK$25,MATCH($E60,DEMANDS!$E$2:$E$25,0),FALSE)</f>
        <v>0.57863883029769614</v>
      </c>
      <c r="S60" s="19">
        <f>HLOOKUP(REG_TRA_DEMANDS!S$3,'BY-Demands'!$J$5:$AK$14,MATCH($E60,'BY-Demands'!$I$5:$I$14,0),FALSE)*HLOOKUP(REG_TRA_DEMANDS!$F60,DEMANDS!$G$2:$CK$25,MATCH($E60,DEMANDS!$E$2:$E$25,0),FALSE)/HLOOKUP(2018,DEMANDS!$G$2:$CK$25,MATCH($E60,DEMANDS!$E$2:$E$25,0),FALSE)</f>
        <v>0.51880872500976583</v>
      </c>
      <c r="T60" s="19">
        <f>HLOOKUP(REG_TRA_DEMANDS!T$3,'BY-Demands'!$J$5:$AK$14,MATCH($E60,'BY-Demands'!$I$5:$I$14,0),FALSE)*HLOOKUP(REG_TRA_DEMANDS!$F60,DEMANDS!$G$2:$CK$25,MATCH($E60,DEMANDS!$E$2:$E$25,0),FALSE)/HLOOKUP(2018,DEMANDS!$G$2:$CK$25,MATCH($E60,DEMANDS!$E$2:$E$25,0),FALSE)</f>
        <v>2.1154972195862172</v>
      </c>
      <c r="U60" s="19">
        <f>HLOOKUP(REG_TRA_DEMANDS!U$3,'BY-Demands'!$J$5:$AK$14,MATCH($E60,'BY-Demands'!$I$5:$I$14,0),FALSE)*HLOOKUP(REG_TRA_DEMANDS!$F60,DEMANDS!$G$2:$CK$25,MATCH($E60,DEMANDS!$E$2:$E$25,0),FALSE)/HLOOKUP(2018,DEMANDS!$G$2:$CK$25,MATCH($E60,DEMANDS!$E$2:$E$25,0),FALSE)</f>
        <v>0.70353909465152831</v>
      </c>
      <c r="V60" s="19">
        <f>HLOOKUP(REG_TRA_DEMANDS!V$3,'BY-Demands'!$J$5:$AK$14,MATCH($E60,'BY-Demands'!$I$5:$I$14,0),FALSE)*HLOOKUP(REG_TRA_DEMANDS!$F60,DEMANDS!$G$2:$CK$25,MATCH($E60,DEMANDS!$E$2:$E$25,0),FALSE)/HLOOKUP(2018,DEMANDS!$G$2:$CK$25,MATCH($E60,DEMANDS!$E$2:$E$25,0),FALSE)</f>
        <v>0.77936428973077365</v>
      </c>
      <c r="W60" s="19">
        <f>HLOOKUP(REG_TRA_DEMANDS!W$3,'BY-Demands'!$J$5:$AK$14,MATCH($E60,'BY-Demands'!$I$5:$I$14,0),FALSE)*HLOOKUP(REG_TRA_DEMANDS!$F60,DEMANDS!$G$2:$CK$25,MATCH($E60,DEMANDS!$E$2:$E$25,0),FALSE)/HLOOKUP(2018,DEMANDS!$G$2:$CK$25,MATCH($E60,DEMANDS!$E$2:$E$25,0),FALSE)</f>
        <v>0.75398081861364685</v>
      </c>
      <c r="X60" s="19">
        <f>HLOOKUP(REG_TRA_DEMANDS!X$3,'BY-Demands'!$J$5:$AK$14,MATCH($E60,'BY-Demands'!$I$5:$I$14,0),FALSE)*HLOOKUP(REG_TRA_DEMANDS!$F60,DEMANDS!$G$2:$CK$25,MATCH($E60,DEMANDS!$E$2:$E$25,0),FALSE)/HLOOKUP(2018,DEMANDS!$G$2:$CK$25,MATCH($E60,DEMANDS!$E$2:$E$25,0),FALSE)</f>
        <v>0.47481776026304878</v>
      </c>
      <c r="Y60" s="19">
        <f>HLOOKUP(REG_TRA_DEMANDS!Y$3,'BY-Demands'!$J$5:$AK$14,MATCH($E60,'BY-Demands'!$I$5:$I$14,0),FALSE)*HLOOKUP(REG_TRA_DEMANDS!$F60,DEMANDS!$G$2:$CK$25,MATCH($E60,DEMANDS!$E$2:$E$25,0),FALSE)/HLOOKUP(2018,DEMANDS!$G$2:$CK$25,MATCH($E60,DEMANDS!$E$2:$E$25,0),FALSE)</f>
        <v>1.0787785046194889</v>
      </c>
      <c r="Z60" s="19">
        <f>HLOOKUP(REG_TRA_DEMANDS!Z$3,'BY-Demands'!$J$5:$AK$14,MATCH($E60,'BY-Demands'!$I$5:$I$14,0),FALSE)*HLOOKUP(REG_TRA_DEMANDS!$F60,DEMANDS!$G$2:$CK$25,MATCH($E60,DEMANDS!$E$2:$E$25,0),FALSE)/HLOOKUP(2018,DEMANDS!$G$2:$CK$25,MATCH($E60,DEMANDS!$E$2:$E$25,0),FALSE)</f>
        <v>0.13917099599217461</v>
      </c>
      <c r="AA60" s="19">
        <f>HLOOKUP(REG_TRA_DEMANDS!AA$3,'BY-Demands'!$J$5:$AK$14,MATCH($E60,'BY-Demands'!$I$5:$I$14,0),FALSE)*HLOOKUP(REG_TRA_DEMANDS!$F60,DEMANDS!$G$2:$CK$25,MATCH($E60,DEMANDS!$E$2:$E$25,0),FALSE)/HLOOKUP(2018,DEMANDS!$G$2:$CK$25,MATCH($E60,DEMANDS!$E$2:$E$25,0),FALSE)</f>
        <v>0.5982024429240651</v>
      </c>
      <c r="AB60" s="19">
        <f>HLOOKUP(REG_TRA_DEMANDS!AB$3,'BY-Demands'!$J$5:$AK$14,MATCH($E60,'BY-Demands'!$I$5:$I$14,0),FALSE)*HLOOKUP(REG_TRA_DEMANDS!$F60,DEMANDS!$G$2:$CK$25,MATCH($E60,DEMANDS!$E$2:$E$25,0),FALSE)/HLOOKUP(2018,DEMANDS!$G$2:$CK$25,MATCH($E60,DEMANDS!$E$2:$E$25,0),FALSE)</f>
        <v>0.31355535511830862</v>
      </c>
      <c r="AC60" s="19">
        <f>HLOOKUP(REG_TRA_DEMANDS!AC$3,'BY-Demands'!$J$5:$AK$14,MATCH($E60,'BY-Demands'!$I$5:$I$14,0),FALSE)*HLOOKUP(REG_TRA_DEMANDS!$F60,DEMANDS!$G$2:$CK$25,MATCH($E60,DEMANDS!$E$2:$E$25,0),FALSE)/HLOOKUP(2018,DEMANDS!$G$2:$CK$25,MATCH($E60,DEMANDS!$E$2:$E$25,0),FALSE)</f>
        <v>0.26135067468377698</v>
      </c>
      <c r="AD60" s="19">
        <f>HLOOKUP(REG_TRA_DEMANDS!AD$3,'BY-Demands'!$J$5:$AK$14,MATCH($E60,'BY-Demands'!$I$5:$I$14,0),FALSE)*HLOOKUP(REG_TRA_DEMANDS!$F60,DEMANDS!$G$2:$CK$25,MATCH($E60,DEMANDS!$E$2:$E$25,0),FALSE)/HLOOKUP(2018,DEMANDS!$G$2:$CK$25,MATCH($E60,DEMANDS!$E$2:$E$25,0),FALSE)</f>
        <v>0.27951346685821654</v>
      </c>
      <c r="AE60" s="19">
        <f>HLOOKUP(REG_TRA_DEMANDS!AE$3,'BY-Demands'!$J$5:$AK$14,MATCH($E60,'BY-Demands'!$I$5:$I$14,0),FALSE)*HLOOKUP(REG_TRA_DEMANDS!$F60,DEMANDS!$G$2:$CK$25,MATCH($E60,DEMANDS!$E$2:$E$25,0),FALSE)/HLOOKUP(2018,DEMANDS!$G$2:$CK$25,MATCH($E60,DEMANDS!$E$2:$E$25,0),FALSE)</f>
        <v>0.5148842049482879</v>
      </c>
      <c r="AF60" s="19">
        <f>HLOOKUP(REG_TRA_DEMANDS!AF$3,'BY-Demands'!$J$5:$AK$14,MATCH($E60,'BY-Demands'!$I$5:$I$14,0),FALSE)*HLOOKUP(REG_TRA_DEMANDS!$F60,DEMANDS!$G$2:$CK$25,MATCH($E60,DEMANDS!$E$2:$E$25,0),FALSE)/HLOOKUP(2018,DEMANDS!$G$2:$CK$25,MATCH($E60,DEMANDS!$E$2:$E$25,0),FALSE)</f>
        <v>0.2974209209735123</v>
      </c>
    </row>
    <row r="61" spans="4:32" ht="14.5">
      <c r="D61" t="s">
        <v>6</v>
      </c>
      <c r="E61" t="str">
        <f>DEMANDS!$E$19</f>
        <v>TRAPL</v>
      </c>
      <c r="F61">
        <v>2023</v>
      </c>
      <c r="G61" s="19">
        <f>HLOOKUP(REG_TRA_DEMANDS!G$3,'BY-Demands'!$J$5:$AK$14,MATCH($E61,'BY-Demands'!$I$5:$I$14,0),FALSE)*HLOOKUP(REG_TRA_DEMANDS!$F61,DEMANDS!$G$2:$CK$25,MATCH($E61,DEMANDS!$E$2:$E$25,0),FALSE)/HLOOKUP(2018,DEMANDS!$G$2:$CK$25,MATCH($E61,DEMANDS!$E$2:$E$25,0),FALSE)</f>
        <v>0.26071442289342939</v>
      </c>
      <c r="H61" s="19">
        <f>HLOOKUP(REG_TRA_DEMANDS!H$3,'BY-Demands'!$J$5:$AK$14,MATCH($E61,'BY-Demands'!$I$5:$I$14,0),FALSE)*HLOOKUP(REG_TRA_DEMANDS!$F61,DEMANDS!$G$2:$CK$25,MATCH($E61,DEMANDS!$E$2:$E$25,0),FALSE)/HLOOKUP(2018,DEMANDS!$G$2:$CK$25,MATCH($E61,DEMANDS!$E$2:$E$25,0),FALSE)</f>
        <v>4.6444609412958435</v>
      </c>
      <c r="I61" s="19">
        <f>HLOOKUP(REG_TRA_DEMANDS!I$3,'BY-Demands'!$J$5:$AK$14,MATCH($E61,'BY-Demands'!$I$5:$I$14,0),FALSE)*HLOOKUP(REG_TRA_DEMANDS!$F61,DEMANDS!$G$2:$CK$25,MATCH($E61,DEMANDS!$E$2:$E$25,0),FALSE)/HLOOKUP(2018,DEMANDS!$G$2:$CK$25,MATCH($E61,DEMANDS!$E$2:$E$25,0),FALSE)</f>
        <v>0.93840794873300959</v>
      </c>
      <c r="J61" s="19">
        <f>HLOOKUP(REG_TRA_DEMANDS!J$3,'BY-Demands'!$J$5:$AK$14,MATCH($E61,'BY-Demands'!$I$5:$I$14,0),FALSE)*HLOOKUP(REG_TRA_DEMANDS!$F61,DEMANDS!$G$2:$CK$25,MATCH($E61,DEMANDS!$E$2:$E$25,0),FALSE)/HLOOKUP(2018,DEMANDS!$G$2:$CK$25,MATCH($E61,DEMANDS!$E$2:$E$25,0),FALSE)</f>
        <v>0.45188105095200115</v>
      </c>
      <c r="K61" s="19">
        <f>HLOOKUP(REG_TRA_DEMANDS!K$3,'BY-Demands'!$J$5:$AK$14,MATCH($E61,'BY-Demands'!$I$5:$I$14,0),FALSE)*HLOOKUP(REG_TRA_DEMANDS!$F61,DEMANDS!$G$2:$CK$25,MATCH($E61,DEMANDS!$E$2:$E$25,0),FALSE)/HLOOKUP(2018,DEMANDS!$G$2:$CK$25,MATCH($E61,DEMANDS!$E$2:$E$25,0),FALSE)</f>
        <v>0.33574404892286674</v>
      </c>
      <c r="L61" s="19">
        <f>HLOOKUP(REG_TRA_DEMANDS!L$3,'BY-Demands'!$J$5:$AK$14,MATCH($E61,'BY-Demands'!$I$5:$I$14,0),FALSE)*HLOOKUP(REG_TRA_DEMANDS!$F61,DEMANDS!$G$2:$CK$25,MATCH($E61,DEMANDS!$E$2:$E$25,0),FALSE)/HLOOKUP(2018,DEMANDS!$G$2:$CK$25,MATCH($E61,DEMANDS!$E$2:$E$25,0),FALSE)</f>
        <v>0.17287872921854944</v>
      </c>
      <c r="M61" s="19">
        <f>HLOOKUP(REG_TRA_DEMANDS!M$3,'BY-Demands'!$J$5:$AK$14,MATCH($E61,'BY-Demands'!$I$5:$I$14,0),FALSE)*HLOOKUP(REG_TRA_DEMANDS!$F61,DEMANDS!$G$2:$CK$25,MATCH($E61,DEMANDS!$E$2:$E$25,0),FALSE)/HLOOKUP(2018,DEMANDS!$G$2:$CK$25,MATCH($E61,DEMANDS!$E$2:$E$25,0),FALSE)</f>
        <v>0.46975452681536367</v>
      </c>
      <c r="N61" s="19">
        <f>HLOOKUP(REG_TRA_DEMANDS!N$3,'BY-Demands'!$J$5:$AK$14,MATCH($E61,'BY-Demands'!$I$5:$I$14,0),FALSE)*HLOOKUP(REG_TRA_DEMANDS!$F61,DEMANDS!$G$2:$CK$25,MATCH($E61,DEMANDS!$E$2:$E$25,0),FALSE)/HLOOKUP(2018,DEMANDS!$G$2:$CK$25,MATCH($E61,DEMANDS!$E$2:$E$25,0),FALSE)</f>
        <v>0.79882411411528476</v>
      </c>
      <c r="O61" s="19">
        <f>HLOOKUP(REG_TRA_DEMANDS!O$3,'BY-Demands'!$J$5:$AK$14,MATCH($E61,'BY-Demands'!$I$5:$I$14,0),FALSE)*HLOOKUP(REG_TRA_DEMANDS!$F61,DEMANDS!$G$2:$CK$25,MATCH($E61,DEMANDS!$E$2:$E$25,0),FALSE)/HLOOKUP(2018,DEMANDS!$G$2:$CK$25,MATCH($E61,DEMANDS!$E$2:$E$25,0),FALSE)</f>
        <v>0.34430719960147066</v>
      </c>
      <c r="P61" s="19">
        <f>HLOOKUP(REG_TRA_DEMANDS!P$3,'BY-Demands'!$J$5:$AK$14,MATCH($E61,'BY-Demands'!$I$5:$I$14,0),FALSE)*HLOOKUP(REG_TRA_DEMANDS!$F61,DEMANDS!$G$2:$CK$25,MATCH($E61,DEMANDS!$E$2:$E$25,0),FALSE)/HLOOKUP(2018,DEMANDS!$G$2:$CK$25,MATCH($E61,DEMANDS!$E$2:$E$25,0),FALSE)</f>
        <v>0.38157143064358667</v>
      </c>
      <c r="Q61" s="19">
        <f>HLOOKUP(REG_TRA_DEMANDS!Q$3,'BY-Demands'!$J$5:$AK$14,MATCH($E61,'BY-Demands'!$I$5:$I$14,0),FALSE)*HLOOKUP(REG_TRA_DEMANDS!$F61,DEMANDS!$G$2:$CK$25,MATCH($E61,DEMANDS!$E$2:$E$25,0),FALSE)/HLOOKUP(2018,DEMANDS!$G$2:$CK$25,MATCH($E61,DEMANDS!$E$2:$E$25,0),FALSE)</f>
        <v>0.67820126485940402</v>
      </c>
      <c r="R61" s="19">
        <f>HLOOKUP(REG_TRA_DEMANDS!R$3,'BY-Demands'!$J$5:$AK$14,MATCH($E61,'BY-Demands'!$I$5:$I$14,0),FALSE)*HLOOKUP(REG_TRA_DEMANDS!$F61,DEMANDS!$G$2:$CK$25,MATCH($E61,DEMANDS!$E$2:$E$25,0),FALSE)/HLOOKUP(2018,DEMANDS!$G$2:$CK$25,MATCH($E61,DEMANDS!$E$2:$E$25,0),FALSE)</f>
        <v>0.58074661561854679</v>
      </c>
      <c r="S61" s="19">
        <f>HLOOKUP(REG_TRA_DEMANDS!S$3,'BY-Demands'!$J$5:$AK$14,MATCH($E61,'BY-Demands'!$I$5:$I$14,0),FALSE)*HLOOKUP(REG_TRA_DEMANDS!$F61,DEMANDS!$G$2:$CK$25,MATCH($E61,DEMANDS!$E$2:$E$25,0),FALSE)/HLOOKUP(2018,DEMANDS!$G$2:$CK$25,MATCH($E61,DEMANDS!$E$2:$E$25,0),FALSE)</f>
        <v>0.52069856951664462</v>
      </c>
      <c r="T61" s="19">
        <f>HLOOKUP(REG_TRA_DEMANDS!T$3,'BY-Demands'!$J$5:$AK$14,MATCH($E61,'BY-Demands'!$I$5:$I$14,0),FALSE)*HLOOKUP(REG_TRA_DEMANDS!$F61,DEMANDS!$G$2:$CK$25,MATCH($E61,DEMANDS!$E$2:$E$25,0),FALSE)/HLOOKUP(2018,DEMANDS!$G$2:$CK$25,MATCH($E61,DEMANDS!$E$2:$E$25,0),FALSE)</f>
        <v>2.1232032596102686</v>
      </c>
      <c r="U61" s="19">
        <f>HLOOKUP(REG_TRA_DEMANDS!U$3,'BY-Demands'!$J$5:$AK$14,MATCH($E61,'BY-Demands'!$I$5:$I$14,0),FALSE)*HLOOKUP(REG_TRA_DEMANDS!$F61,DEMANDS!$G$2:$CK$25,MATCH($E61,DEMANDS!$E$2:$E$25,0),FALSE)/HLOOKUP(2018,DEMANDS!$G$2:$CK$25,MATCH($E61,DEMANDS!$E$2:$E$25,0),FALSE)</f>
        <v>0.70610184934185605</v>
      </c>
      <c r="V61" s="19">
        <f>HLOOKUP(REG_TRA_DEMANDS!V$3,'BY-Demands'!$J$5:$AK$14,MATCH($E61,'BY-Demands'!$I$5:$I$14,0),FALSE)*HLOOKUP(REG_TRA_DEMANDS!$F61,DEMANDS!$G$2:$CK$25,MATCH($E61,DEMANDS!$E$2:$E$25,0),FALSE)/HLOOKUP(2018,DEMANDS!$G$2:$CK$25,MATCH($E61,DEMANDS!$E$2:$E$25,0),FALSE)</f>
        <v>0.78220324993094659</v>
      </c>
      <c r="W61" s="19">
        <f>HLOOKUP(REG_TRA_DEMANDS!W$3,'BY-Demands'!$J$5:$AK$14,MATCH($E61,'BY-Demands'!$I$5:$I$14,0),FALSE)*HLOOKUP(REG_TRA_DEMANDS!$F61,DEMANDS!$G$2:$CK$25,MATCH($E61,DEMANDS!$E$2:$E$25,0),FALSE)/HLOOKUP(2018,DEMANDS!$G$2:$CK$25,MATCH($E61,DEMANDS!$E$2:$E$25,0),FALSE)</f>
        <v>0.75672731542385796</v>
      </c>
      <c r="X61" s="19">
        <f>HLOOKUP(REG_TRA_DEMANDS!X$3,'BY-Demands'!$J$5:$AK$14,MATCH($E61,'BY-Demands'!$I$5:$I$14,0),FALSE)*HLOOKUP(REG_TRA_DEMANDS!$F61,DEMANDS!$G$2:$CK$25,MATCH($E61,DEMANDS!$E$2:$E$25,0),FALSE)/HLOOKUP(2018,DEMANDS!$G$2:$CK$25,MATCH($E61,DEMANDS!$E$2:$E$25,0),FALSE)</f>
        <v>0.47654736058151825</v>
      </c>
      <c r="Y61" s="19">
        <f>HLOOKUP(REG_TRA_DEMANDS!Y$3,'BY-Demands'!$J$5:$AK$14,MATCH($E61,'BY-Demands'!$I$5:$I$14,0),FALSE)*HLOOKUP(REG_TRA_DEMANDS!$F61,DEMANDS!$G$2:$CK$25,MATCH($E61,DEMANDS!$E$2:$E$25,0),FALSE)/HLOOKUP(2018,DEMANDS!$G$2:$CK$25,MATCH($E61,DEMANDS!$E$2:$E$25,0),FALSE)</f>
        <v>1.0827081294172518</v>
      </c>
      <c r="Z61" s="19">
        <f>HLOOKUP(REG_TRA_DEMANDS!Z$3,'BY-Demands'!$J$5:$AK$14,MATCH($E61,'BY-Demands'!$I$5:$I$14,0),FALSE)*HLOOKUP(REG_TRA_DEMANDS!$F61,DEMANDS!$G$2:$CK$25,MATCH($E61,DEMANDS!$E$2:$E$25,0),FALSE)/HLOOKUP(2018,DEMANDS!$G$2:$CK$25,MATCH($E61,DEMANDS!$E$2:$E$25,0),FALSE)</f>
        <v>0.13967794880467352</v>
      </c>
      <c r="AA61" s="19">
        <f>HLOOKUP(REG_TRA_DEMANDS!AA$3,'BY-Demands'!$J$5:$AK$14,MATCH($E61,'BY-Demands'!$I$5:$I$14,0),FALSE)*HLOOKUP(REG_TRA_DEMANDS!$F61,DEMANDS!$G$2:$CK$25,MATCH($E61,DEMANDS!$E$2:$E$25,0),FALSE)/HLOOKUP(2018,DEMANDS!$G$2:$CK$25,MATCH($E61,DEMANDS!$E$2:$E$25,0),FALSE)</f>
        <v>0.6003814918611089</v>
      </c>
      <c r="AB61" s="19">
        <f>HLOOKUP(REG_TRA_DEMANDS!AB$3,'BY-Demands'!$J$5:$AK$14,MATCH($E61,'BY-Demands'!$I$5:$I$14,0),FALSE)*HLOOKUP(REG_TRA_DEMANDS!$F61,DEMANDS!$G$2:$CK$25,MATCH($E61,DEMANDS!$E$2:$E$25,0),FALSE)/HLOOKUP(2018,DEMANDS!$G$2:$CK$25,MATCH($E61,DEMANDS!$E$2:$E$25,0),FALSE)</f>
        <v>0.31469753110130044</v>
      </c>
      <c r="AC61" s="19">
        <f>HLOOKUP(REG_TRA_DEMANDS!AC$3,'BY-Demands'!$J$5:$AK$14,MATCH($E61,'BY-Demands'!$I$5:$I$14,0),FALSE)*HLOOKUP(REG_TRA_DEMANDS!$F61,DEMANDS!$G$2:$CK$25,MATCH($E61,DEMANDS!$E$2:$E$25,0),FALSE)/HLOOKUP(2018,DEMANDS!$G$2:$CK$25,MATCH($E61,DEMANDS!$E$2:$E$25,0),FALSE)</f>
        <v>0.26230268669342638</v>
      </c>
      <c r="AD61" s="19">
        <f>HLOOKUP(REG_TRA_DEMANDS!AD$3,'BY-Demands'!$J$5:$AK$14,MATCH($E61,'BY-Demands'!$I$5:$I$14,0),FALSE)*HLOOKUP(REG_TRA_DEMANDS!$F61,DEMANDS!$G$2:$CK$25,MATCH($E61,DEMANDS!$E$2:$E$25,0),FALSE)/HLOOKUP(2018,DEMANDS!$G$2:$CK$25,MATCH($E61,DEMANDS!$E$2:$E$25,0),FALSE)</f>
        <v>0.28053163976949652</v>
      </c>
      <c r="AE61" s="19">
        <f>HLOOKUP(REG_TRA_DEMANDS!AE$3,'BY-Demands'!$J$5:$AK$14,MATCH($E61,'BY-Demands'!$I$5:$I$14,0),FALSE)*HLOOKUP(REG_TRA_DEMANDS!$F61,DEMANDS!$G$2:$CK$25,MATCH($E61,DEMANDS!$E$2:$E$25,0),FALSE)/HLOOKUP(2018,DEMANDS!$G$2:$CK$25,MATCH($E61,DEMANDS!$E$2:$E$25,0),FALSE)</f>
        <v>0.5167597537574985</v>
      </c>
      <c r="AF61" s="19">
        <f>HLOOKUP(REG_TRA_DEMANDS!AF$3,'BY-Demands'!$J$5:$AK$14,MATCH($E61,'BY-Demands'!$I$5:$I$14,0),FALSE)*HLOOKUP(REG_TRA_DEMANDS!$F61,DEMANDS!$G$2:$CK$25,MATCH($E61,DEMANDS!$E$2:$E$25,0),FALSE)/HLOOKUP(2018,DEMANDS!$G$2:$CK$25,MATCH($E61,DEMANDS!$E$2:$E$25,0),FALSE)</f>
        <v>0.29850432467633559</v>
      </c>
    </row>
    <row r="62" spans="4:32" ht="14.5">
      <c r="D62" t="s">
        <v>6</v>
      </c>
      <c r="E62" t="str">
        <f>DEMANDS!$E$19</f>
        <v>TRAPL</v>
      </c>
      <c r="F62">
        <v>2024</v>
      </c>
      <c r="G62" s="19">
        <f>HLOOKUP(REG_TRA_DEMANDS!G$3,'BY-Demands'!$J$5:$AK$14,MATCH($E62,'BY-Demands'!$I$5:$I$14,0),FALSE)*HLOOKUP(REG_TRA_DEMANDS!$F62,DEMANDS!$G$2:$CK$25,MATCH($E62,DEMANDS!$E$2:$E$25,0),FALSE)/HLOOKUP(2018,DEMANDS!$G$2:$CK$25,MATCH($E62,DEMANDS!$E$2:$E$25,0),FALSE)</f>
        <v>0.26723228346576511</v>
      </c>
      <c r="H62" s="19">
        <f>HLOOKUP(REG_TRA_DEMANDS!H$3,'BY-Demands'!$J$5:$AK$14,MATCH($E62,'BY-Demands'!$I$5:$I$14,0),FALSE)*HLOOKUP(REG_TRA_DEMANDS!$F62,DEMANDS!$G$2:$CK$25,MATCH($E62,DEMANDS!$E$2:$E$25,0),FALSE)/HLOOKUP(2018,DEMANDS!$G$2:$CK$25,MATCH($E62,DEMANDS!$E$2:$E$25,0),FALSE)</f>
        <v>4.7605724648282388</v>
      </c>
      <c r="I62" s="19">
        <f>HLOOKUP(REG_TRA_DEMANDS!I$3,'BY-Demands'!$J$5:$AK$14,MATCH($E62,'BY-Demands'!$I$5:$I$14,0),FALSE)*HLOOKUP(REG_TRA_DEMANDS!$F62,DEMANDS!$G$2:$CK$25,MATCH($E62,DEMANDS!$E$2:$E$25,0),FALSE)/HLOOKUP(2018,DEMANDS!$G$2:$CK$25,MATCH($E62,DEMANDS!$E$2:$E$25,0),FALSE)</f>
        <v>0.96186814745133475</v>
      </c>
      <c r="J62" s="19">
        <f>HLOOKUP(REG_TRA_DEMANDS!J$3,'BY-Demands'!$J$5:$AK$14,MATCH($E62,'BY-Demands'!$I$5:$I$14,0),FALSE)*HLOOKUP(REG_TRA_DEMANDS!$F62,DEMANDS!$G$2:$CK$25,MATCH($E62,DEMANDS!$E$2:$E$25,0),FALSE)/HLOOKUP(2018,DEMANDS!$G$2:$CK$25,MATCH($E62,DEMANDS!$E$2:$E$25,0),FALSE)</f>
        <v>0.46317807722580112</v>
      </c>
      <c r="K62" s="19">
        <f>HLOOKUP(REG_TRA_DEMANDS!K$3,'BY-Demands'!$J$5:$AK$14,MATCH($E62,'BY-Demands'!$I$5:$I$14,0),FALSE)*HLOOKUP(REG_TRA_DEMANDS!$F62,DEMANDS!$G$2:$CK$25,MATCH($E62,DEMANDS!$E$2:$E$25,0),FALSE)/HLOOKUP(2018,DEMANDS!$G$2:$CK$25,MATCH($E62,DEMANDS!$E$2:$E$25,0),FALSE)</f>
        <v>0.34413765014593833</v>
      </c>
      <c r="L62" s="19">
        <f>HLOOKUP(REG_TRA_DEMANDS!L$3,'BY-Demands'!$J$5:$AK$14,MATCH($E62,'BY-Demands'!$I$5:$I$14,0),FALSE)*HLOOKUP(REG_TRA_DEMANDS!$F62,DEMANDS!$G$2:$CK$25,MATCH($E62,DEMANDS!$E$2:$E$25,0),FALSE)/HLOOKUP(2018,DEMANDS!$G$2:$CK$25,MATCH($E62,DEMANDS!$E$2:$E$25,0),FALSE)</f>
        <v>0.17720069744901315</v>
      </c>
      <c r="M62" s="19">
        <f>HLOOKUP(REG_TRA_DEMANDS!M$3,'BY-Demands'!$J$5:$AK$14,MATCH($E62,'BY-Demands'!$I$5:$I$14,0),FALSE)*HLOOKUP(REG_TRA_DEMANDS!$F62,DEMANDS!$G$2:$CK$25,MATCH($E62,DEMANDS!$E$2:$E$25,0),FALSE)/HLOOKUP(2018,DEMANDS!$G$2:$CK$25,MATCH($E62,DEMANDS!$E$2:$E$25,0),FALSE)</f>
        <v>0.48149838998574768</v>
      </c>
      <c r="N62" s="19">
        <f>HLOOKUP(REG_TRA_DEMANDS!N$3,'BY-Demands'!$J$5:$AK$14,MATCH($E62,'BY-Demands'!$I$5:$I$14,0),FALSE)*HLOOKUP(REG_TRA_DEMANDS!$F62,DEMANDS!$G$2:$CK$25,MATCH($E62,DEMANDS!$E$2:$E$25,0),FALSE)/HLOOKUP(2018,DEMANDS!$G$2:$CK$25,MATCH($E62,DEMANDS!$E$2:$E$25,0),FALSE)</f>
        <v>0.81879471696816686</v>
      </c>
      <c r="O62" s="19">
        <f>HLOOKUP(REG_TRA_DEMANDS!O$3,'BY-Demands'!$J$5:$AK$14,MATCH($E62,'BY-Demands'!$I$5:$I$14,0),FALSE)*HLOOKUP(REG_TRA_DEMANDS!$F62,DEMANDS!$G$2:$CK$25,MATCH($E62,DEMANDS!$E$2:$E$25,0),FALSE)/HLOOKUP(2018,DEMANDS!$G$2:$CK$25,MATCH($E62,DEMANDS!$E$2:$E$25,0),FALSE)</f>
        <v>0.35291487959150741</v>
      </c>
      <c r="P62" s="19">
        <f>HLOOKUP(REG_TRA_DEMANDS!P$3,'BY-Demands'!$J$5:$AK$14,MATCH($E62,'BY-Demands'!$I$5:$I$14,0),FALSE)*HLOOKUP(REG_TRA_DEMANDS!$F62,DEMANDS!$G$2:$CK$25,MATCH($E62,DEMANDS!$E$2:$E$25,0),FALSE)/HLOOKUP(2018,DEMANDS!$G$2:$CK$25,MATCH($E62,DEMANDS!$E$2:$E$25,0),FALSE)</f>
        <v>0.39111071640967626</v>
      </c>
      <c r="Q62" s="19">
        <f>HLOOKUP(REG_TRA_DEMANDS!Q$3,'BY-Demands'!$J$5:$AK$14,MATCH($E62,'BY-Demands'!$I$5:$I$14,0),FALSE)*HLOOKUP(REG_TRA_DEMANDS!$F62,DEMANDS!$G$2:$CK$25,MATCH($E62,DEMANDS!$E$2:$E$25,0),FALSE)/HLOOKUP(2018,DEMANDS!$G$2:$CK$25,MATCH($E62,DEMANDS!$E$2:$E$25,0),FALSE)</f>
        <v>0.69515629648088906</v>
      </c>
      <c r="R62" s="19">
        <f>HLOOKUP(REG_TRA_DEMANDS!R$3,'BY-Demands'!$J$5:$AK$14,MATCH($E62,'BY-Demands'!$I$5:$I$14,0),FALSE)*HLOOKUP(REG_TRA_DEMANDS!$F62,DEMANDS!$G$2:$CK$25,MATCH($E62,DEMANDS!$E$2:$E$25,0),FALSE)/HLOOKUP(2018,DEMANDS!$G$2:$CK$25,MATCH($E62,DEMANDS!$E$2:$E$25,0),FALSE)</f>
        <v>0.59526528100901044</v>
      </c>
      <c r="S62" s="19">
        <f>HLOOKUP(REG_TRA_DEMANDS!S$3,'BY-Demands'!$J$5:$AK$14,MATCH($E62,'BY-Demands'!$I$5:$I$14,0),FALSE)*HLOOKUP(REG_TRA_DEMANDS!$F62,DEMANDS!$G$2:$CK$25,MATCH($E62,DEMANDS!$E$2:$E$25,0),FALSE)/HLOOKUP(2018,DEMANDS!$G$2:$CK$25,MATCH($E62,DEMANDS!$E$2:$E$25,0),FALSE)</f>
        <v>0.53371603375456067</v>
      </c>
      <c r="T62" s="19">
        <f>HLOOKUP(REG_TRA_DEMANDS!T$3,'BY-Demands'!$J$5:$AK$14,MATCH($E62,'BY-Demands'!$I$5:$I$14,0),FALSE)*HLOOKUP(REG_TRA_DEMANDS!$F62,DEMANDS!$G$2:$CK$25,MATCH($E62,DEMANDS!$E$2:$E$25,0),FALSE)/HLOOKUP(2018,DEMANDS!$G$2:$CK$25,MATCH($E62,DEMANDS!$E$2:$E$25,0),FALSE)</f>
        <v>2.1762833411005249</v>
      </c>
      <c r="U62" s="19">
        <f>HLOOKUP(REG_TRA_DEMANDS!U$3,'BY-Demands'!$J$5:$AK$14,MATCH($E62,'BY-Demands'!$I$5:$I$14,0),FALSE)*HLOOKUP(REG_TRA_DEMANDS!$F62,DEMANDS!$G$2:$CK$25,MATCH($E62,DEMANDS!$E$2:$E$25,0),FALSE)/HLOOKUP(2018,DEMANDS!$G$2:$CK$25,MATCH($E62,DEMANDS!$E$2:$E$25,0),FALSE)</f>
        <v>0.72375439557540222</v>
      </c>
      <c r="V62" s="19">
        <f>HLOOKUP(REG_TRA_DEMANDS!V$3,'BY-Demands'!$J$5:$AK$14,MATCH($E62,'BY-Demands'!$I$5:$I$14,0),FALSE)*HLOOKUP(REG_TRA_DEMANDS!$F62,DEMANDS!$G$2:$CK$25,MATCH($E62,DEMANDS!$E$2:$E$25,0),FALSE)/HLOOKUP(2018,DEMANDS!$G$2:$CK$25,MATCH($E62,DEMANDS!$E$2:$E$25,0),FALSE)</f>
        <v>0.80175833117922013</v>
      </c>
      <c r="W62" s="19">
        <f>HLOOKUP(REG_TRA_DEMANDS!W$3,'BY-Demands'!$J$5:$AK$14,MATCH($E62,'BY-Demands'!$I$5:$I$14,0),FALSE)*HLOOKUP(REG_TRA_DEMANDS!$F62,DEMANDS!$G$2:$CK$25,MATCH($E62,DEMANDS!$E$2:$E$25,0),FALSE)/HLOOKUP(2018,DEMANDS!$G$2:$CK$25,MATCH($E62,DEMANDS!$E$2:$E$25,0),FALSE)</f>
        <v>0.7756454983094544</v>
      </c>
      <c r="X62" s="19">
        <f>HLOOKUP(REG_TRA_DEMANDS!X$3,'BY-Demands'!$J$5:$AK$14,MATCH($E62,'BY-Demands'!$I$5:$I$14,0),FALSE)*HLOOKUP(REG_TRA_DEMANDS!$F62,DEMANDS!$G$2:$CK$25,MATCH($E62,DEMANDS!$E$2:$E$25,0),FALSE)/HLOOKUP(2018,DEMANDS!$G$2:$CK$25,MATCH($E62,DEMANDS!$E$2:$E$25,0),FALSE)</f>
        <v>0.48846104459605616</v>
      </c>
      <c r="Y62" s="19">
        <f>HLOOKUP(REG_TRA_DEMANDS!Y$3,'BY-Demands'!$J$5:$AK$14,MATCH($E62,'BY-Demands'!$I$5:$I$14,0),FALSE)*HLOOKUP(REG_TRA_DEMANDS!$F62,DEMANDS!$G$2:$CK$25,MATCH($E62,DEMANDS!$E$2:$E$25,0),FALSE)/HLOOKUP(2018,DEMANDS!$G$2:$CK$25,MATCH($E62,DEMANDS!$E$2:$E$25,0),FALSE)</f>
        <v>1.109775832652683</v>
      </c>
      <c r="Z62" s="19">
        <f>HLOOKUP(REG_TRA_DEMANDS!Z$3,'BY-Demands'!$J$5:$AK$14,MATCH($E62,'BY-Demands'!$I$5:$I$14,0),FALSE)*HLOOKUP(REG_TRA_DEMANDS!$F62,DEMANDS!$G$2:$CK$25,MATCH($E62,DEMANDS!$E$2:$E$25,0),FALSE)/HLOOKUP(2018,DEMANDS!$G$2:$CK$25,MATCH($E62,DEMANDS!$E$2:$E$25,0),FALSE)</f>
        <v>0.14316989752479031</v>
      </c>
      <c r="AA62" s="19">
        <f>HLOOKUP(REG_TRA_DEMANDS!AA$3,'BY-Demands'!$J$5:$AK$14,MATCH($E62,'BY-Demands'!$I$5:$I$14,0),FALSE)*HLOOKUP(REG_TRA_DEMANDS!$F62,DEMANDS!$G$2:$CK$25,MATCH($E62,DEMANDS!$E$2:$E$25,0),FALSE)/HLOOKUP(2018,DEMANDS!$G$2:$CK$25,MATCH($E62,DEMANDS!$E$2:$E$25,0),FALSE)</f>
        <v>0.61539102915763644</v>
      </c>
      <c r="AB62" s="19">
        <f>HLOOKUP(REG_TRA_DEMANDS!AB$3,'BY-Demands'!$J$5:$AK$14,MATCH($E62,'BY-Demands'!$I$5:$I$14,0),FALSE)*HLOOKUP(REG_TRA_DEMANDS!$F62,DEMANDS!$G$2:$CK$25,MATCH($E62,DEMANDS!$E$2:$E$25,0),FALSE)/HLOOKUP(2018,DEMANDS!$G$2:$CK$25,MATCH($E62,DEMANDS!$E$2:$E$25,0),FALSE)</f>
        <v>0.32256496937883294</v>
      </c>
      <c r="AC62" s="19">
        <f>HLOOKUP(REG_TRA_DEMANDS!AC$3,'BY-Demands'!$J$5:$AK$14,MATCH($E62,'BY-Demands'!$I$5:$I$14,0),FALSE)*HLOOKUP(REG_TRA_DEMANDS!$F62,DEMANDS!$G$2:$CK$25,MATCH($E62,DEMANDS!$E$2:$E$25,0),FALSE)/HLOOKUP(2018,DEMANDS!$G$2:$CK$25,MATCH($E62,DEMANDS!$E$2:$E$25,0),FALSE)</f>
        <v>0.26886025386076201</v>
      </c>
      <c r="AD62" s="19">
        <f>HLOOKUP(REG_TRA_DEMANDS!AD$3,'BY-Demands'!$J$5:$AK$14,MATCH($E62,'BY-Demands'!$I$5:$I$14,0),FALSE)*HLOOKUP(REG_TRA_DEMANDS!$F62,DEMANDS!$G$2:$CK$25,MATCH($E62,DEMANDS!$E$2:$E$25,0),FALSE)/HLOOKUP(2018,DEMANDS!$G$2:$CK$25,MATCH($E62,DEMANDS!$E$2:$E$25,0),FALSE)</f>
        <v>0.28754493076373394</v>
      </c>
      <c r="AE62" s="19">
        <f>HLOOKUP(REG_TRA_DEMANDS!AE$3,'BY-Demands'!$J$5:$AK$14,MATCH($E62,'BY-Demands'!$I$5:$I$14,0),FALSE)*HLOOKUP(REG_TRA_DEMANDS!$F62,DEMANDS!$G$2:$CK$25,MATCH($E62,DEMANDS!$E$2:$E$25,0),FALSE)/HLOOKUP(2018,DEMANDS!$G$2:$CK$25,MATCH($E62,DEMANDS!$E$2:$E$25,0),FALSE)</f>
        <v>0.52967874760143596</v>
      </c>
      <c r="AF62" s="19">
        <f>HLOOKUP(REG_TRA_DEMANDS!AF$3,'BY-Demands'!$J$5:$AK$14,MATCH($E62,'BY-Demands'!$I$5:$I$14,0),FALSE)*HLOOKUP(REG_TRA_DEMANDS!$F62,DEMANDS!$G$2:$CK$25,MATCH($E62,DEMANDS!$E$2:$E$25,0),FALSE)/HLOOKUP(2018,DEMANDS!$G$2:$CK$25,MATCH($E62,DEMANDS!$E$2:$E$25,0),FALSE)</f>
        <v>0.305966932793244</v>
      </c>
    </row>
    <row r="63" spans="4:32" ht="14.5">
      <c r="D63" t="s">
        <v>6</v>
      </c>
      <c r="E63" t="str">
        <f>DEMANDS!$E$19</f>
        <v>TRAPL</v>
      </c>
      <c r="F63">
        <v>2025</v>
      </c>
      <c r="G63" s="19">
        <f>HLOOKUP(REG_TRA_DEMANDS!G$3,'BY-Demands'!$J$5:$AK$14,MATCH($E63,'BY-Demands'!$I$5:$I$14,0),FALSE)*HLOOKUP(REG_TRA_DEMANDS!$F63,DEMANDS!$G$2:$CK$25,MATCH($E63,DEMANDS!$E$2:$E$25,0),FALSE)/HLOOKUP(2018,DEMANDS!$G$2:$CK$25,MATCH($E63,DEMANDS!$E$2:$E$25,0),FALSE)</f>
        <v>0.27391309055240926</v>
      </c>
      <c r="H63" s="19">
        <f>HLOOKUP(REG_TRA_DEMANDS!H$3,'BY-Demands'!$J$5:$AK$14,MATCH($E63,'BY-Demands'!$I$5:$I$14,0),FALSE)*HLOOKUP(REG_TRA_DEMANDS!$F63,DEMANDS!$G$2:$CK$25,MATCH($E63,DEMANDS!$E$2:$E$25,0),FALSE)/HLOOKUP(2018,DEMANDS!$G$2:$CK$25,MATCH($E63,DEMANDS!$E$2:$E$25,0),FALSE)</f>
        <v>4.8795867764489449</v>
      </c>
      <c r="I63" s="19">
        <f>HLOOKUP(REG_TRA_DEMANDS!I$3,'BY-Demands'!$J$5:$AK$14,MATCH($E63,'BY-Demands'!$I$5:$I$14,0),FALSE)*HLOOKUP(REG_TRA_DEMANDS!$F63,DEMANDS!$G$2:$CK$25,MATCH($E63,DEMANDS!$E$2:$E$25,0),FALSE)/HLOOKUP(2018,DEMANDS!$G$2:$CK$25,MATCH($E63,DEMANDS!$E$2:$E$25,0),FALSE)</f>
        <v>0.98591485113761812</v>
      </c>
      <c r="J63" s="19">
        <f>HLOOKUP(REG_TRA_DEMANDS!J$3,'BY-Demands'!$J$5:$AK$14,MATCH($E63,'BY-Demands'!$I$5:$I$14,0),FALSE)*HLOOKUP(REG_TRA_DEMANDS!$F63,DEMANDS!$G$2:$CK$25,MATCH($E63,DEMANDS!$E$2:$E$25,0),FALSE)/HLOOKUP(2018,DEMANDS!$G$2:$CK$25,MATCH($E63,DEMANDS!$E$2:$E$25,0),FALSE)</f>
        <v>0.47475752915644615</v>
      </c>
      <c r="K63" s="19">
        <f>HLOOKUP(REG_TRA_DEMANDS!K$3,'BY-Demands'!$J$5:$AK$14,MATCH($E63,'BY-Demands'!$I$5:$I$14,0),FALSE)*HLOOKUP(REG_TRA_DEMANDS!$F63,DEMANDS!$G$2:$CK$25,MATCH($E63,DEMANDS!$E$2:$E$25,0),FALSE)/HLOOKUP(2018,DEMANDS!$G$2:$CK$25,MATCH($E63,DEMANDS!$E$2:$E$25,0),FALSE)</f>
        <v>0.35274109139958681</v>
      </c>
      <c r="L63" s="19">
        <f>HLOOKUP(REG_TRA_DEMANDS!L$3,'BY-Demands'!$J$5:$AK$14,MATCH($E63,'BY-Demands'!$I$5:$I$14,0),FALSE)*HLOOKUP(REG_TRA_DEMANDS!$F63,DEMANDS!$G$2:$CK$25,MATCH($E63,DEMANDS!$E$2:$E$25,0),FALSE)/HLOOKUP(2018,DEMANDS!$G$2:$CK$25,MATCH($E63,DEMANDS!$E$2:$E$25,0),FALSE)</f>
        <v>0.18163071488523846</v>
      </c>
      <c r="M63" s="19">
        <f>HLOOKUP(REG_TRA_DEMANDS!M$3,'BY-Demands'!$J$5:$AK$14,MATCH($E63,'BY-Demands'!$I$5:$I$14,0),FALSE)*HLOOKUP(REG_TRA_DEMANDS!$F63,DEMANDS!$G$2:$CK$25,MATCH($E63,DEMANDS!$E$2:$E$25,0),FALSE)/HLOOKUP(2018,DEMANDS!$G$2:$CK$25,MATCH($E63,DEMANDS!$E$2:$E$25,0),FALSE)</f>
        <v>0.49353584973539139</v>
      </c>
      <c r="N63" s="19">
        <f>HLOOKUP(REG_TRA_DEMANDS!N$3,'BY-Demands'!$J$5:$AK$14,MATCH($E63,'BY-Demands'!$I$5:$I$14,0),FALSE)*HLOOKUP(REG_TRA_DEMANDS!$F63,DEMANDS!$G$2:$CK$25,MATCH($E63,DEMANDS!$E$2:$E$25,0),FALSE)/HLOOKUP(2018,DEMANDS!$G$2:$CK$25,MATCH($E63,DEMANDS!$E$2:$E$25,0),FALSE)</f>
        <v>0.8392645848923711</v>
      </c>
      <c r="O63" s="19">
        <f>HLOOKUP(REG_TRA_DEMANDS!O$3,'BY-Demands'!$J$5:$AK$14,MATCH($E63,'BY-Demands'!$I$5:$I$14,0),FALSE)*HLOOKUP(REG_TRA_DEMANDS!$F63,DEMANDS!$G$2:$CK$25,MATCH($E63,DEMANDS!$E$2:$E$25,0),FALSE)/HLOOKUP(2018,DEMANDS!$G$2:$CK$25,MATCH($E63,DEMANDS!$E$2:$E$25,0),FALSE)</f>
        <v>0.36173775158129501</v>
      </c>
      <c r="P63" s="19">
        <f>HLOOKUP(REG_TRA_DEMANDS!P$3,'BY-Demands'!$J$5:$AK$14,MATCH($E63,'BY-Demands'!$I$5:$I$14,0),FALSE)*HLOOKUP(REG_TRA_DEMANDS!$F63,DEMANDS!$G$2:$CK$25,MATCH($E63,DEMANDS!$E$2:$E$25,0),FALSE)/HLOOKUP(2018,DEMANDS!$G$2:$CK$25,MATCH($E63,DEMANDS!$E$2:$E$25,0),FALSE)</f>
        <v>0.40088848431991819</v>
      </c>
      <c r="Q63" s="19">
        <f>HLOOKUP(REG_TRA_DEMANDS!Q$3,'BY-Demands'!$J$5:$AK$14,MATCH($E63,'BY-Demands'!$I$5:$I$14,0),FALSE)*HLOOKUP(REG_TRA_DEMANDS!$F63,DEMANDS!$G$2:$CK$25,MATCH($E63,DEMANDS!$E$2:$E$25,0),FALSE)/HLOOKUP(2018,DEMANDS!$G$2:$CK$25,MATCH($E63,DEMANDS!$E$2:$E$25,0),FALSE)</f>
        <v>0.71253520389291125</v>
      </c>
      <c r="R63" s="19">
        <f>HLOOKUP(REG_TRA_DEMANDS!R$3,'BY-Demands'!$J$5:$AK$14,MATCH($E63,'BY-Demands'!$I$5:$I$14,0),FALSE)*HLOOKUP(REG_TRA_DEMANDS!$F63,DEMANDS!$G$2:$CK$25,MATCH($E63,DEMANDS!$E$2:$E$25,0),FALSE)/HLOOKUP(2018,DEMANDS!$G$2:$CK$25,MATCH($E63,DEMANDS!$E$2:$E$25,0),FALSE)</f>
        <v>0.61014691303423563</v>
      </c>
      <c r="S63" s="19">
        <f>HLOOKUP(REG_TRA_DEMANDS!S$3,'BY-Demands'!$J$5:$AK$14,MATCH($E63,'BY-Demands'!$I$5:$I$14,0),FALSE)*HLOOKUP(REG_TRA_DEMANDS!$F63,DEMANDS!$G$2:$CK$25,MATCH($E63,DEMANDS!$E$2:$E$25,0),FALSE)/HLOOKUP(2018,DEMANDS!$G$2:$CK$25,MATCH($E63,DEMANDS!$E$2:$E$25,0),FALSE)</f>
        <v>0.5470589345984247</v>
      </c>
      <c r="T63" s="19">
        <f>HLOOKUP(REG_TRA_DEMANDS!T$3,'BY-Demands'!$J$5:$AK$14,MATCH($E63,'BY-Demands'!$I$5:$I$14,0),FALSE)*HLOOKUP(REG_TRA_DEMANDS!$F63,DEMANDS!$G$2:$CK$25,MATCH($E63,DEMANDS!$E$2:$E$25,0),FALSE)/HLOOKUP(2018,DEMANDS!$G$2:$CK$25,MATCH($E63,DEMANDS!$E$2:$E$25,0),FALSE)</f>
        <v>2.2306904246280381</v>
      </c>
      <c r="U63" s="19">
        <f>HLOOKUP(REG_TRA_DEMANDS!U$3,'BY-Demands'!$J$5:$AK$14,MATCH($E63,'BY-Demands'!$I$5:$I$14,0),FALSE)*HLOOKUP(REG_TRA_DEMANDS!$F63,DEMANDS!$G$2:$CK$25,MATCH($E63,DEMANDS!$E$2:$E$25,0),FALSE)/HLOOKUP(2018,DEMANDS!$G$2:$CK$25,MATCH($E63,DEMANDS!$E$2:$E$25,0),FALSE)</f>
        <v>0.74184825546478728</v>
      </c>
      <c r="V63" s="19">
        <f>HLOOKUP(REG_TRA_DEMANDS!V$3,'BY-Demands'!$J$5:$AK$14,MATCH($E63,'BY-Demands'!$I$5:$I$14,0),FALSE)*HLOOKUP(REG_TRA_DEMANDS!$F63,DEMANDS!$G$2:$CK$25,MATCH($E63,DEMANDS!$E$2:$E$25,0),FALSE)/HLOOKUP(2018,DEMANDS!$G$2:$CK$25,MATCH($E63,DEMANDS!$E$2:$E$25,0),FALSE)</f>
        <v>0.8218022894587006</v>
      </c>
      <c r="W63" s="19">
        <f>HLOOKUP(REG_TRA_DEMANDS!W$3,'BY-Demands'!$J$5:$AK$14,MATCH($E63,'BY-Demands'!$I$5:$I$14,0),FALSE)*HLOOKUP(REG_TRA_DEMANDS!$F63,DEMANDS!$G$2:$CK$25,MATCH($E63,DEMANDS!$E$2:$E$25,0),FALSE)/HLOOKUP(2018,DEMANDS!$G$2:$CK$25,MATCH($E63,DEMANDS!$E$2:$E$25,0),FALSE)</f>
        <v>0.79503663576719064</v>
      </c>
      <c r="X63" s="19">
        <f>HLOOKUP(REG_TRA_DEMANDS!X$3,'BY-Demands'!$J$5:$AK$14,MATCH($E63,'BY-Demands'!$I$5:$I$14,0),FALSE)*HLOOKUP(REG_TRA_DEMANDS!$F63,DEMANDS!$G$2:$CK$25,MATCH($E63,DEMANDS!$E$2:$E$25,0),FALSE)/HLOOKUP(2018,DEMANDS!$G$2:$CK$25,MATCH($E63,DEMANDS!$E$2:$E$25,0),FALSE)</f>
        <v>0.5006725707109575</v>
      </c>
      <c r="Y63" s="19">
        <f>HLOOKUP(REG_TRA_DEMANDS!Y$3,'BY-Demands'!$J$5:$AK$14,MATCH($E63,'BY-Demands'!$I$5:$I$14,0),FALSE)*HLOOKUP(REG_TRA_DEMANDS!$F63,DEMANDS!$G$2:$CK$25,MATCH($E63,DEMANDS!$E$2:$E$25,0),FALSE)/HLOOKUP(2018,DEMANDS!$G$2:$CK$25,MATCH($E63,DEMANDS!$E$2:$E$25,0),FALSE)</f>
        <v>1.137520228469</v>
      </c>
      <c r="Z63" s="19">
        <f>HLOOKUP(REG_TRA_DEMANDS!Z$3,'BY-Demands'!$J$5:$AK$14,MATCH($E63,'BY-Demands'!$I$5:$I$14,0),FALSE)*HLOOKUP(REG_TRA_DEMANDS!$F63,DEMANDS!$G$2:$CK$25,MATCH($E63,DEMANDS!$E$2:$E$25,0),FALSE)/HLOOKUP(2018,DEMANDS!$G$2:$CK$25,MATCH($E63,DEMANDS!$E$2:$E$25,0),FALSE)</f>
        <v>0.14674914496291006</v>
      </c>
      <c r="AA63" s="19">
        <f>HLOOKUP(REG_TRA_DEMANDS!AA$3,'BY-Demands'!$J$5:$AK$14,MATCH($E63,'BY-Demands'!$I$5:$I$14,0),FALSE)*HLOOKUP(REG_TRA_DEMANDS!$F63,DEMANDS!$G$2:$CK$25,MATCH($E63,DEMANDS!$E$2:$E$25,0),FALSE)/HLOOKUP(2018,DEMANDS!$G$2:$CK$25,MATCH($E63,DEMANDS!$E$2:$E$25,0),FALSE)</f>
        <v>0.63077580488657747</v>
      </c>
      <c r="AB63" s="19">
        <f>HLOOKUP(REG_TRA_DEMANDS!AB$3,'BY-Demands'!$J$5:$AK$14,MATCH($E63,'BY-Demands'!$I$5:$I$14,0),FALSE)*HLOOKUP(REG_TRA_DEMANDS!$F63,DEMANDS!$G$2:$CK$25,MATCH($E63,DEMANDS!$E$2:$E$25,0),FALSE)/HLOOKUP(2018,DEMANDS!$G$2:$CK$25,MATCH($E63,DEMANDS!$E$2:$E$25,0),FALSE)</f>
        <v>0.33062909361330378</v>
      </c>
      <c r="AC63" s="19">
        <f>HLOOKUP(REG_TRA_DEMANDS!AC$3,'BY-Demands'!$J$5:$AK$14,MATCH($E63,'BY-Demands'!$I$5:$I$14,0),FALSE)*HLOOKUP(REG_TRA_DEMANDS!$F63,DEMANDS!$G$2:$CK$25,MATCH($E63,DEMANDS!$E$2:$E$25,0),FALSE)/HLOOKUP(2018,DEMANDS!$G$2:$CK$25,MATCH($E63,DEMANDS!$E$2:$E$25,0),FALSE)</f>
        <v>0.27558176020728109</v>
      </c>
      <c r="AD63" s="19">
        <f>HLOOKUP(REG_TRA_DEMANDS!AD$3,'BY-Demands'!$J$5:$AK$14,MATCH($E63,'BY-Demands'!$I$5:$I$14,0),FALSE)*HLOOKUP(REG_TRA_DEMANDS!$F63,DEMANDS!$G$2:$CK$25,MATCH($E63,DEMANDS!$E$2:$E$25,0),FALSE)/HLOOKUP(2018,DEMANDS!$G$2:$CK$25,MATCH($E63,DEMANDS!$E$2:$E$25,0),FALSE)</f>
        <v>0.29473355403282725</v>
      </c>
      <c r="AE63" s="19">
        <f>HLOOKUP(REG_TRA_DEMANDS!AE$3,'BY-Demands'!$J$5:$AK$14,MATCH($E63,'BY-Demands'!$I$5:$I$14,0),FALSE)*HLOOKUP(REG_TRA_DEMANDS!$F63,DEMANDS!$G$2:$CK$25,MATCH($E63,DEMANDS!$E$2:$E$25,0),FALSE)/HLOOKUP(2018,DEMANDS!$G$2:$CK$25,MATCH($E63,DEMANDS!$E$2:$E$25,0),FALSE)</f>
        <v>0.54292071629147187</v>
      </c>
      <c r="AF63" s="19">
        <f>HLOOKUP(REG_TRA_DEMANDS!AF$3,'BY-Demands'!$J$5:$AK$14,MATCH($E63,'BY-Demands'!$I$5:$I$14,0),FALSE)*HLOOKUP(REG_TRA_DEMANDS!$F63,DEMANDS!$G$2:$CK$25,MATCH($E63,DEMANDS!$E$2:$E$25,0),FALSE)/HLOOKUP(2018,DEMANDS!$G$2:$CK$25,MATCH($E63,DEMANDS!$E$2:$E$25,0),FALSE)</f>
        <v>0.31361610611307505</v>
      </c>
    </row>
    <row r="64" spans="4:32" ht="14.5">
      <c r="D64" t="s">
        <v>6</v>
      </c>
      <c r="E64" t="str">
        <f>DEMANDS!$E$19</f>
        <v>TRAPL</v>
      </c>
      <c r="F64">
        <v>2026</v>
      </c>
      <c r="G64" s="19">
        <f>HLOOKUP(REG_TRA_DEMANDS!G$3,'BY-Demands'!$J$5:$AK$14,MATCH($E64,'BY-Demands'!$I$5:$I$14,0),FALSE)*HLOOKUP(REG_TRA_DEMANDS!$F64,DEMANDS!$G$2:$CK$25,MATCH($E64,DEMANDS!$E$2:$E$25,0),FALSE)/HLOOKUP(2018,DEMANDS!$G$2:$CK$25,MATCH($E64,DEMANDS!$E$2:$E$25,0),FALSE)</f>
        <v>0.28076091781621948</v>
      </c>
      <c r="H64" s="19">
        <f>HLOOKUP(REG_TRA_DEMANDS!H$3,'BY-Demands'!$J$5:$AK$14,MATCH($E64,'BY-Demands'!$I$5:$I$14,0),FALSE)*HLOOKUP(REG_TRA_DEMANDS!$F64,DEMANDS!$G$2:$CK$25,MATCH($E64,DEMANDS!$E$2:$E$25,0),FALSE)/HLOOKUP(2018,DEMANDS!$G$2:$CK$25,MATCH($E64,DEMANDS!$E$2:$E$25,0),FALSE)</f>
        <v>5.0015764458601675</v>
      </c>
      <c r="I64" s="19">
        <f>HLOOKUP(REG_TRA_DEMANDS!I$3,'BY-Demands'!$J$5:$AK$14,MATCH($E64,'BY-Demands'!$I$5:$I$14,0),FALSE)*HLOOKUP(REG_TRA_DEMANDS!$F64,DEMANDS!$G$2:$CK$25,MATCH($E64,DEMANDS!$E$2:$E$25,0),FALSE)/HLOOKUP(2018,DEMANDS!$G$2:$CK$25,MATCH($E64,DEMANDS!$E$2:$E$25,0),FALSE)</f>
        <v>1.0105627224160585</v>
      </c>
      <c r="J64" s="19">
        <f>HLOOKUP(REG_TRA_DEMANDS!J$3,'BY-Demands'!$J$5:$AK$14,MATCH($E64,'BY-Demands'!$I$5:$I$14,0),FALSE)*HLOOKUP(REG_TRA_DEMANDS!$F64,DEMANDS!$G$2:$CK$25,MATCH($E64,DEMANDS!$E$2:$E$25,0),FALSE)/HLOOKUP(2018,DEMANDS!$G$2:$CK$25,MATCH($E64,DEMANDS!$E$2:$E$25,0),FALSE)</f>
        <v>0.48662646738535725</v>
      </c>
      <c r="K64" s="19">
        <f>HLOOKUP(REG_TRA_DEMANDS!K$3,'BY-Demands'!$J$5:$AK$14,MATCH($E64,'BY-Demands'!$I$5:$I$14,0),FALSE)*HLOOKUP(REG_TRA_DEMANDS!$F64,DEMANDS!$G$2:$CK$25,MATCH($E64,DEMANDS!$E$2:$E$25,0),FALSE)/HLOOKUP(2018,DEMANDS!$G$2:$CK$25,MATCH($E64,DEMANDS!$E$2:$E$25,0),FALSE)</f>
        <v>0.36155961868457642</v>
      </c>
      <c r="L64" s="19">
        <f>HLOOKUP(REG_TRA_DEMANDS!L$3,'BY-Demands'!$J$5:$AK$14,MATCH($E64,'BY-Demands'!$I$5:$I$14,0),FALSE)*HLOOKUP(REG_TRA_DEMANDS!$F64,DEMANDS!$G$2:$CK$25,MATCH($E64,DEMANDS!$E$2:$E$25,0),FALSE)/HLOOKUP(2018,DEMANDS!$G$2:$CK$25,MATCH($E64,DEMANDS!$E$2:$E$25,0),FALSE)</f>
        <v>0.18617148275736942</v>
      </c>
      <c r="M64" s="19">
        <f>HLOOKUP(REG_TRA_DEMANDS!M$3,'BY-Demands'!$J$5:$AK$14,MATCH($E64,'BY-Demands'!$I$5:$I$14,0),FALSE)*HLOOKUP(REG_TRA_DEMANDS!$F64,DEMANDS!$G$2:$CK$25,MATCH($E64,DEMANDS!$E$2:$E$25,0),FALSE)/HLOOKUP(2018,DEMANDS!$G$2:$CK$25,MATCH($E64,DEMANDS!$E$2:$E$25,0),FALSE)</f>
        <v>0.50587424597877617</v>
      </c>
      <c r="N64" s="19">
        <f>HLOOKUP(REG_TRA_DEMANDS!N$3,'BY-Demands'!$J$5:$AK$14,MATCH($E64,'BY-Demands'!$I$5:$I$14,0),FALSE)*HLOOKUP(REG_TRA_DEMANDS!$F64,DEMANDS!$G$2:$CK$25,MATCH($E64,DEMANDS!$E$2:$E$25,0),FALSE)/HLOOKUP(2018,DEMANDS!$G$2:$CK$25,MATCH($E64,DEMANDS!$E$2:$E$25,0),FALSE)</f>
        <v>0.86024619951468029</v>
      </c>
      <c r="O64" s="19">
        <f>HLOOKUP(REG_TRA_DEMANDS!O$3,'BY-Demands'!$J$5:$AK$14,MATCH($E64,'BY-Demands'!$I$5:$I$14,0),FALSE)*HLOOKUP(REG_TRA_DEMANDS!$F64,DEMANDS!$G$2:$CK$25,MATCH($E64,DEMANDS!$E$2:$E$25,0),FALSE)/HLOOKUP(2018,DEMANDS!$G$2:$CK$25,MATCH($E64,DEMANDS!$E$2:$E$25,0),FALSE)</f>
        <v>0.37078119537082743</v>
      </c>
      <c r="P64" s="19">
        <f>HLOOKUP(REG_TRA_DEMANDS!P$3,'BY-Demands'!$J$5:$AK$14,MATCH($E64,'BY-Demands'!$I$5:$I$14,0),FALSE)*HLOOKUP(REG_TRA_DEMANDS!$F64,DEMANDS!$G$2:$CK$25,MATCH($E64,DEMANDS!$E$2:$E$25,0),FALSE)/HLOOKUP(2018,DEMANDS!$G$2:$CK$25,MATCH($E64,DEMANDS!$E$2:$E$25,0),FALSE)</f>
        <v>0.41091069642791617</v>
      </c>
      <c r="Q64" s="19">
        <f>HLOOKUP(REG_TRA_DEMANDS!Q$3,'BY-Demands'!$J$5:$AK$14,MATCH($E64,'BY-Demands'!$I$5:$I$14,0),FALSE)*HLOOKUP(REG_TRA_DEMANDS!$F64,DEMANDS!$G$2:$CK$25,MATCH($E64,DEMANDS!$E$2:$E$25,0),FALSE)/HLOOKUP(2018,DEMANDS!$G$2:$CK$25,MATCH($E64,DEMANDS!$E$2:$E$25,0),FALSE)</f>
        <v>0.73034858399023395</v>
      </c>
      <c r="R64" s="19">
        <f>HLOOKUP(REG_TRA_DEMANDS!R$3,'BY-Demands'!$J$5:$AK$14,MATCH($E64,'BY-Demands'!$I$5:$I$14,0),FALSE)*HLOOKUP(REG_TRA_DEMANDS!$F64,DEMANDS!$G$2:$CK$25,MATCH($E64,DEMANDS!$E$2:$E$25,0),FALSE)/HLOOKUP(2018,DEMANDS!$G$2:$CK$25,MATCH($E64,DEMANDS!$E$2:$E$25,0),FALSE)</f>
        <v>0.62540058586009162</v>
      </c>
      <c r="S64" s="19">
        <f>HLOOKUP(REG_TRA_DEMANDS!S$3,'BY-Demands'!$J$5:$AK$14,MATCH($E64,'BY-Demands'!$I$5:$I$14,0),FALSE)*HLOOKUP(REG_TRA_DEMANDS!$F64,DEMANDS!$G$2:$CK$25,MATCH($E64,DEMANDS!$E$2:$E$25,0),FALSE)/HLOOKUP(2018,DEMANDS!$G$2:$CK$25,MATCH($E64,DEMANDS!$E$2:$E$25,0),FALSE)</f>
        <v>0.56073540796338528</v>
      </c>
      <c r="T64" s="19">
        <f>HLOOKUP(REG_TRA_DEMANDS!T$3,'BY-Demands'!$J$5:$AK$14,MATCH($E64,'BY-Demands'!$I$5:$I$14,0),FALSE)*HLOOKUP(REG_TRA_DEMANDS!$F64,DEMANDS!$G$2:$CK$25,MATCH($E64,DEMANDS!$E$2:$E$25,0),FALSE)/HLOOKUP(2018,DEMANDS!$G$2:$CK$25,MATCH($E64,DEMANDS!$E$2:$E$25,0),FALSE)</f>
        <v>2.286457685243739</v>
      </c>
      <c r="U64" s="19">
        <f>HLOOKUP(REG_TRA_DEMANDS!U$3,'BY-Demands'!$J$5:$AK$14,MATCH($E64,'BY-Demands'!$I$5:$I$14,0),FALSE)*HLOOKUP(REG_TRA_DEMANDS!$F64,DEMANDS!$G$2:$CK$25,MATCH($E64,DEMANDS!$E$2:$E$25,0),FALSE)/HLOOKUP(2018,DEMANDS!$G$2:$CK$25,MATCH($E64,DEMANDS!$E$2:$E$25,0),FALSE)</f>
        <v>0.76039446185140702</v>
      </c>
      <c r="V64" s="19">
        <f>HLOOKUP(REG_TRA_DEMANDS!V$3,'BY-Demands'!$J$5:$AK$14,MATCH($E64,'BY-Demands'!$I$5:$I$14,0),FALSE)*HLOOKUP(REG_TRA_DEMANDS!$F64,DEMANDS!$G$2:$CK$25,MATCH($E64,DEMANDS!$E$2:$E$25,0),FALSE)/HLOOKUP(2018,DEMANDS!$G$2:$CK$25,MATCH($E64,DEMANDS!$E$2:$E$25,0),FALSE)</f>
        <v>0.84234734669516809</v>
      </c>
      <c r="W64" s="19">
        <f>HLOOKUP(REG_TRA_DEMANDS!W$3,'BY-Demands'!$J$5:$AK$14,MATCH($E64,'BY-Demands'!$I$5:$I$14,0),FALSE)*HLOOKUP(REG_TRA_DEMANDS!$F64,DEMANDS!$G$2:$CK$25,MATCH($E64,DEMANDS!$E$2:$E$25,0),FALSE)/HLOOKUP(2018,DEMANDS!$G$2:$CK$25,MATCH($E64,DEMANDS!$E$2:$E$25,0),FALSE)</f>
        <v>0.81491255166137044</v>
      </c>
      <c r="X64" s="19">
        <f>HLOOKUP(REG_TRA_DEMANDS!X$3,'BY-Demands'!$J$5:$AK$14,MATCH($E64,'BY-Demands'!$I$5:$I$14,0),FALSE)*HLOOKUP(REG_TRA_DEMANDS!$F64,DEMANDS!$G$2:$CK$25,MATCH($E64,DEMANDS!$E$2:$E$25,0),FALSE)/HLOOKUP(2018,DEMANDS!$G$2:$CK$25,MATCH($E64,DEMANDS!$E$2:$E$25,0),FALSE)</f>
        <v>0.51318938497873146</v>
      </c>
      <c r="Y64" s="19">
        <f>HLOOKUP(REG_TRA_DEMANDS!Y$3,'BY-Demands'!$J$5:$AK$14,MATCH($E64,'BY-Demands'!$I$5:$I$14,0),FALSE)*HLOOKUP(REG_TRA_DEMANDS!$F64,DEMANDS!$G$2:$CK$25,MATCH($E64,DEMANDS!$E$2:$E$25,0),FALSE)/HLOOKUP(2018,DEMANDS!$G$2:$CK$25,MATCH($E64,DEMANDS!$E$2:$E$25,0),FALSE)</f>
        <v>1.1659582341807249</v>
      </c>
      <c r="Z64" s="19">
        <f>HLOOKUP(REG_TRA_DEMANDS!Z$3,'BY-Demands'!$J$5:$AK$14,MATCH($E64,'BY-Demands'!$I$5:$I$14,0),FALSE)*HLOOKUP(REG_TRA_DEMANDS!$F64,DEMANDS!$G$2:$CK$25,MATCH($E64,DEMANDS!$E$2:$E$25,0),FALSE)/HLOOKUP(2018,DEMANDS!$G$2:$CK$25,MATCH($E64,DEMANDS!$E$2:$E$25,0),FALSE)</f>
        <v>0.15041787358698283</v>
      </c>
      <c r="AA64" s="19">
        <f>HLOOKUP(REG_TRA_DEMANDS!AA$3,'BY-Demands'!$J$5:$AK$14,MATCH($E64,'BY-Demands'!$I$5:$I$14,0),FALSE)*HLOOKUP(REG_TRA_DEMANDS!$F64,DEMANDS!$G$2:$CK$25,MATCH($E64,DEMANDS!$E$2:$E$25,0),FALSE)/HLOOKUP(2018,DEMANDS!$G$2:$CK$25,MATCH($E64,DEMANDS!$E$2:$E$25,0),FALSE)</f>
        <v>0.64654520000874183</v>
      </c>
      <c r="AB64" s="19">
        <f>HLOOKUP(REG_TRA_DEMANDS!AB$3,'BY-Demands'!$J$5:$AK$14,MATCH($E64,'BY-Demands'!$I$5:$I$14,0),FALSE)*HLOOKUP(REG_TRA_DEMANDS!$F64,DEMANDS!$G$2:$CK$25,MATCH($E64,DEMANDS!$E$2:$E$25,0),FALSE)/HLOOKUP(2018,DEMANDS!$G$2:$CK$25,MATCH($E64,DEMANDS!$E$2:$E$25,0),FALSE)</f>
        <v>0.33889482095363632</v>
      </c>
      <c r="AC64" s="19">
        <f>HLOOKUP(REG_TRA_DEMANDS!AC$3,'BY-Demands'!$J$5:$AK$14,MATCH($E64,'BY-Demands'!$I$5:$I$14,0),FALSE)*HLOOKUP(REG_TRA_DEMANDS!$F64,DEMANDS!$G$2:$CK$25,MATCH($E64,DEMANDS!$E$2:$E$25,0),FALSE)/HLOOKUP(2018,DEMANDS!$G$2:$CK$25,MATCH($E64,DEMANDS!$E$2:$E$25,0),FALSE)</f>
        <v>0.28247130421246308</v>
      </c>
      <c r="AD64" s="19">
        <f>HLOOKUP(REG_TRA_DEMANDS!AD$3,'BY-Demands'!$J$5:$AK$14,MATCH($E64,'BY-Demands'!$I$5:$I$14,0),FALSE)*HLOOKUP(REG_TRA_DEMANDS!$F64,DEMANDS!$G$2:$CK$25,MATCH($E64,DEMANDS!$E$2:$E$25,0),FALSE)/HLOOKUP(2018,DEMANDS!$G$2:$CK$25,MATCH($E64,DEMANDS!$E$2:$E$25,0),FALSE)</f>
        <v>0.30210189288364792</v>
      </c>
      <c r="AE64" s="19">
        <f>HLOOKUP(REG_TRA_DEMANDS!AE$3,'BY-Demands'!$J$5:$AK$14,MATCH($E64,'BY-Demands'!$I$5:$I$14,0),FALSE)*HLOOKUP(REG_TRA_DEMANDS!$F64,DEMANDS!$G$2:$CK$25,MATCH($E64,DEMANDS!$E$2:$E$25,0),FALSE)/HLOOKUP(2018,DEMANDS!$G$2:$CK$25,MATCH($E64,DEMANDS!$E$2:$E$25,0),FALSE)</f>
        <v>0.55649373419875858</v>
      </c>
      <c r="AF64" s="19">
        <f>HLOOKUP(REG_TRA_DEMANDS!AF$3,'BY-Demands'!$J$5:$AK$14,MATCH($E64,'BY-Demands'!$I$5:$I$14,0),FALSE)*HLOOKUP(REG_TRA_DEMANDS!$F64,DEMANDS!$G$2:$CK$25,MATCH($E64,DEMANDS!$E$2:$E$25,0),FALSE)/HLOOKUP(2018,DEMANDS!$G$2:$CK$25,MATCH($E64,DEMANDS!$E$2:$E$25,0),FALSE)</f>
        <v>0.32145650876590193</v>
      </c>
    </row>
    <row r="65" spans="4:32" ht="14.5">
      <c r="D65" t="s">
        <v>6</v>
      </c>
      <c r="E65" t="str">
        <f>DEMANDS!$E$19</f>
        <v>TRAPL</v>
      </c>
      <c r="F65">
        <v>2027</v>
      </c>
      <c r="G65" s="19">
        <f>HLOOKUP(REG_TRA_DEMANDS!G$3,'BY-Demands'!$J$5:$AK$14,MATCH($E65,'BY-Demands'!$I$5:$I$14,0),FALSE)*HLOOKUP(REG_TRA_DEMANDS!$F65,DEMANDS!$G$2:$CK$25,MATCH($E65,DEMANDS!$E$2:$E$25,0),FALSE)/HLOOKUP(2018,DEMANDS!$G$2:$CK$25,MATCH($E65,DEMANDS!$E$2:$E$25,0),FALSE)</f>
        <v>0.28777994076162494</v>
      </c>
      <c r="H65" s="19">
        <f>HLOOKUP(REG_TRA_DEMANDS!H$3,'BY-Demands'!$J$5:$AK$14,MATCH($E65,'BY-Demands'!$I$5:$I$14,0),FALSE)*HLOOKUP(REG_TRA_DEMANDS!$F65,DEMANDS!$G$2:$CK$25,MATCH($E65,DEMANDS!$E$2:$E$25,0),FALSE)/HLOOKUP(2018,DEMANDS!$G$2:$CK$25,MATCH($E65,DEMANDS!$E$2:$E$25,0),FALSE)</f>
        <v>5.126615857006672</v>
      </c>
      <c r="I65" s="19">
        <f>HLOOKUP(REG_TRA_DEMANDS!I$3,'BY-Demands'!$J$5:$AK$14,MATCH($E65,'BY-Demands'!$I$5:$I$14,0),FALSE)*HLOOKUP(REG_TRA_DEMANDS!$F65,DEMANDS!$G$2:$CK$25,MATCH($E65,DEMANDS!$E$2:$E$25,0),FALSE)/HLOOKUP(2018,DEMANDS!$G$2:$CK$25,MATCH($E65,DEMANDS!$E$2:$E$25,0),FALSE)</f>
        <v>1.03582679047646</v>
      </c>
      <c r="J65" s="19">
        <f>HLOOKUP(REG_TRA_DEMANDS!J$3,'BY-Demands'!$J$5:$AK$14,MATCH($E65,'BY-Demands'!$I$5:$I$14,0),FALSE)*HLOOKUP(REG_TRA_DEMANDS!$F65,DEMANDS!$G$2:$CK$25,MATCH($E65,DEMANDS!$E$2:$E$25,0),FALSE)/HLOOKUP(2018,DEMANDS!$G$2:$CK$25,MATCH($E65,DEMANDS!$E$2:$E$25,0),FALSE)</f>
        <v>0.49879212906999121</v>
      </c>
      <c r="K65" s="19">
        <f>HLOOKUP(REG_TRA_DEMANDS!K$3,'BY-Demands'!$J$5:$AK$14,MATCH($E65,'BY-Demands'!$I$5:$I$14,0),FALSE)*HLOOKUP(REG_TRA_DEMANDS!$F65,DEMANDS!$G$2:$CK$25,MATCH($E65,DEMANDS!$E$2:$E$25,0),FALSE)/HLOOKUP(2018,DEMANDS!$G$2:$CK$25,MATCH($E65,DEMANDS!$E$2:$E$25,0),FALSE)</f>
        <v>0.37059860915169085</v>
      </c>
      <c r="L65" s="19">
        <f>HLOOKUP(REG_TRA_DEMANDS!L$3,'BY-Demands'!$J$5:$AK$14,MATCH($E65,'BY-Demands'!$I$5:$I$14,0),FALSE)*HLOOKUP(REG_TRA_DEMANDS!$F65,DEMANDS!$G$2:$CK$25,MATCH($E65,DEMANDS!$E$2:$E$25,0),FALSE)/HLOOKUP(2018,DEMANDS!$G$2:$CK$25,MATCH($E65,DEMANDS!$E$2:$E$25,0),FALSE)</f>
        <v>0.19082576982630364</v>
      </c>
      <c r="M65" s="19">
        <f>HLOOKUP(REG_TRA_DEMANDS!M$3,'BY-Demands'!$J$5:$AK$14,MATCH($E65,'BY-Demands'!$I$5:$I$14,0),FALSE)*HLOOKUP(REG_TRA_DEMANDS!$F65,DEMANDS!$G$2:$CK$25,MATCH($E65,DEMANDS!$E$2:$E$25,0),FALSE)/HLOOKUP(2018,DEMANDS!$G$2:$CK$25,MATCH($E65,DEMANDS!$E$2:$E$25,0),FALSE)</f>
        <v>0.51852110212824554</v>
      </c>
      <c r="N65" s="19">
        <f>HLOOKUP(REG_TRA_DEMANDS!N$3,'BY-Demands'!$J$5:$AK$14,MATCH($E65,'BY-Demands'!$I$5:$I$14,0),FALSE)*HLOOKUP(REG_TRA_DEMANDS!$F65,DEMANDS!$G$2:$CK$25,MATCH($E65,DEMANDS!$E$2:$E$25,0),FALSE)/HLOOKUP(2018,DEMANDS!$G$2:$CK$25,MATCH($E65,DEMANDS!$E$2:$E$25,0),FALSE)</f>
        <v>0.88175235450254719</v>
      </c>
      <c r="O65" s="19">
        <f>HLOOKUP(REG_TRA_DEMANDS!O$3,'BY-Demands'!$J$5:$AK$14,MATCH($E65,'BY-Demands'!$I$5:$I$14,0),FALSE)*HLOOKUP(REG_TRA_DEMANDS!$F65,DEMANDS!$G$2:$CK$25,MATCH($E65,DEMANDS!$E$2:$E$25,0),FALSE)/HLOOKUP(2018,DEMANDS!$G$2:$CK$25,MATCH($E65,DEMANDS!$E$2:$E$25,0),FALSE)</f>
        <v>0.38005072525509814</v>
      </c>
      <c r="P65" s="19">
        <f>HLOOKUP(REG_TRA_DEMANDS!P$3,'BY-Demands'!$J$5:$AK$14,MATCH($E65,'BY-Demands'!$I$5:$I$14,0),FALSE)*HLOOKUP(REG_TRA_DEMANDS!$F65,DEMANDS!$G$2:$CK$25,MATCH($E65,DEMANDS!$E$2:$E$25,0),FALSE)/HLOOKUP(2018,DEMANDS!$G$2:$CK$25,MATCH($E65,DEMANDS!$E$2:$E$25,0),FALSE)</f>
        <v>0.42118346383861399</v>
      </c>
      <c r="Q65" s="19">
        <f>HLOOKUP(REG_TRA_DEMANDS!Q$3,'BY-Demands'!$J$5:$AK$14,MATCH($E65,'BY-Demands'!$I$5:$I$14,0),FALSE)*HLOOKUP(REG_TRA_DEMANDS!$F65,DEMANDS!$G$2:$CK$25,MATCH($E65,DEMANDS!$E$2:$E$25,0),FALSE)/HLOOKUP(2018,DEMANDS!$G$2:$CK$25,MATCH($E65,DEMANDS!$E$2:$E$25,0),FALSE)</f>
        <v>0.74860729858998976</v>
      </c>
      <c r="R65" s="19">
        <f>HLOOKUP(REG_TRA_DEMANDS!R$3,'BY-Demands'!$J$5:$AK$14,MATCH($E65,'BY-Demands'!$I$5:$I$14,0),FALSE)*HLOOKUP(REG_TRA_DEMANDS!$F65,DEMANDS!$G$2:$CK$25,MATCH($E65,DEMANDS!$E$2:$E$25,0),FALSE)/HLOOKUP(2018,DEMANDS!$G$2:$CK$25,MATCH($E65,DEMANDS!$E$2:$E$25,0),FALSE)</f>
        <v>0.64103560050659381</v>
      </c>
      <c r="S65" s="19">
        <f>HLOOKUP(REG_TRA_DEMANDS!S$3,'BY-Demands'!$J$5:$AK$14,MATCH($E65,'BY-Demands'!$I$5:$I$14,0),FALSE)*HLOOKUP(REG_TRA_DEMANDS!$F65,DEMANDS!$G$2:$CK$25,MATCH($E65,DEMANDS!$E$2:$E$25,0),FALSE)/HLOOKUP(2018,DEMANDS!$G$2:$CK$25,MATCH($E65,DEMANDS!$E$2:$E$25,0),FALSE)</f>
        <v>0.57475379316246988</v>
      </c>
      <c r="T65" s="19">
        <f>HLOOKUP(REG_TRA_DEMANDS!T$3,'BY-Demands'!$J$5:$AK$14,MATCH($E65,'BY-Demands'!$I$5:$I$14,0),FALSE)*HLOOKUP(REG_TRA_DEMANDS!$F65,DEMANDS!$G$2:$CK$25,MATCH($E65,DEMANDS!$E$2:$E$25,0),FALSE)/HLOOKUP(2018,DEMANDS!$G$2:$CK$25,MATCH($E65,DEMANDS!$E$2:$E$25,0),FALSE)</f>
        <v>2.3436191273748324</v>
      </c>
      <c r="U65" s="19">
        <f>HLOOKUP(REG_TRA_DEMANDS!U$3,'BY-Demands'!$J$5:$AK$14,MATCH($E65,'BY-Demands'!$I$5:$I$14,0),FALSE)*HLOOKUP(REG_TRA_DEMANDS!$F65,DEMANDS!$G$2:$CK$25,MATCH($E65,DEMANDS!$E$2:$E$25,0),FALSE)/HLOOKUP(2018,DEMANDS!$G$2:$CK$25,MATCH($E65,DEMANDS!$E$2:$E$25,0),FALSE)</f>
        <v>0.77940432339769206</v>
      </c>
      <c r="V65" s="19">
        <f>HLOOKUP(REG_TRA_DEMANDS!V$3,'BY-Demands'!$J$5:$AK$14,MATCH($E65,'BY-Demands'!$I$5:$I$14,0),FALSE)*HLOOKUP(REG_TRA_DEMANDS!$F65,DEMANDS!$G$2:$CK$25,MATCH($E65,DEMANDS!$E$2:$E$25,0),FALSE)/HLOOKUP(2018,DEMANDS!$G$2:$CK$25,MATCH($E65,DEMANDS!$E$2:$E$25,0),FALSE)</f>
        <v>0.86340603036254715</v>
      </c>
      <c r="W65" s="19">
        <f>HLOOKUP(REG_TRA_DEMANDS!W$3,'BY-Demands'!$J$5:$AK$14,MATCH($E65,'BY-Demands'!$I$5:$I$14,0),FALSE)*HLOOKUP(REG_TRA_DEMANDS!$F65,DEMANDS!$G$2:$CK$25,MATCH($E65,DEMANDS!$E$2:$E$25,0),FALSE)/HLOOKUP(2018,DEMANDS!$G$2:$CK$25,MATCH($E65,DEMANDS!$E$2:$E$25,0),FALSE)</f>
        <v>0.83528536545290455</v>
      </c>
      <c r="X65" s="19">
        <f>HLOOKUP(REG_TRA_DEMANDS!X$3,'BY-Demands'!$J$5:$AK$14,MATCH($E65,'BY-Demands'!$I$5:$I$14,0),FALSE)*HLOOKUP(REG_TRA_DEMANDS!$F65,DEMANDS!$G$2:$CK$25,MATCH($E65,DEMANDS!$E$2:$E$25,0),FALSE)/HLOOKUP(2018,DEMANDS!$G$2:$CK$25,MATCH($E65,DEMANDS!$E$2:$E$25,0),FALSE)</f>
        <v>0.52601911960319969</v>
      </c>
      <c r="Y65" s="19">
        <f>HLOOKUP(REG_TRA_DEMANDS!Y$3,'BY-Demands'!$J$5:$AK$14,MATCH($E65,'BY-Demands'!$I$5:$I$14,0),FALSE)*HLOOKUP(REG_TRA_DEMANDS!$F65,DEMANDS!$G$2:$CK$25,MATCH($E65,DEMANDS!$E$2:$E$25,0),FALSE)/HLOOKUP(2018,DEMANDS!$G$2:$CK$25,MATCH($E65,DEMANDS!$E$2:$E$25,0),FALSE)</f>
        <v>1.195107190035243</v>
      </c>
      <c r="Z65" s="19">
        <f>HLOOKUP(REG_TRA_DEMANDS!Z$3,'BY-Demands'!$J$5:$AK$14,MATCH($E65,'BY-Demands'!$I$5:$I$14,0),FALSE)*HLOOKUP(REG_TRA_DEMANDS!$F65,DEMANDS!$G$2:$CK$25,MATCH($E65,DEMANDS!$E$2:$E$25,0),FALSE)/HLOOKUP(2018,DEMANDS!$G$2:$CK$25,MATCH($E65,DEMANDS!$E$2:$E$25,0),FALSE)</f>
        <v>0.15417832042665738</v>
      </c>
      <c r="AA65" s="19">
        <f>HLOOKUP(REG_TRA_DEMANDS!AA$3,'BY-Demands'!$J$5:$AK$14,MATCH($E65,'BY-Demands'!$I$5:$I$14,0),FALSE)*HLOOKUP(REG_TRA_DEMANDS!$F65,DEMANDS!$G$2:$CK$25,MATCH($E65,DEMANDS!$E$2:$E$25,0),FALSE)/HLOOKUP(2018,DEMANDS!$G$2:$CK$25,MATCH($E65,DEMANDS!$E$2:$E$25,0),FALSE)</f>
        <v>0.6627088300089603</v>
      </c>
      <c r="AB65" s="19">
        <f>HLOOKUP(REG_TRA_DEMANDS!AB$3,'BY-Demands'!$J$5:$AK$14,MATCH($E65,'BY-Demands'!$I$5:$I$14,0),FALSE)*HLOOKUP(REG_TRA_DEMANDS!$F65,DEMANDS!$G$2:$CK$25,MATCH($E65,DEMANDS!$E$2:$E$25,0),FALSE)/HLOOKUP(2018,DEMANDS!$G$2:$CK$25,MATCH($E65,DEMANDS!$E$2:$E$25,0),FALSE)</f>
        <v>0.34736719147747719</v>
      </c>
      <c r="AC65" s="19">
        <f>HLOOKUP(REG_TRA_DEMANDS!AC$3,'BY-Demands'!$J$5:$AK$14,MATCH($E65,'BY-Demands'!$I$5:$I$14,0),FALSE)*HLOOKUP(REG_TRA_DEMANDS!$F65,DEMANDS!$G$2:$CK$25,MATCH($E65,DEMANDS!$E$2:$E$25,0),FALSE)/HLOOKUP(2018,DEMANDS!$G$2:$CK$25,MATCH($E65,DEMANDS!$E$2:$E$25,0),FALSE)</f>
        <v>0.28953308681777468</v>
      </c>
      <c r="AD65" s="19">
        <f>HLOOKUP(REG_TRA_DEMANDS!AD$3,'BY-Demands'!$J$5:$AK$14,MATCH($E65,'BY-Demands'!$I$5:$I$14,0),FALSE)*HLOOKUP(REG_TRA_DEMANDS!$F65,DEMANDS!$G$2:$CK$25,MATCH($E65,DEMANDS!$E$2:$E$25,0),FALSE)/HLOOKUP(2018,DEMANDS!$G$2:$CK$25,MATCH($E65,DEMANDS!$E$2:$E$25,0),FALSE)</f>
        <v>0.30965444020573907</v>
      </c>
      <c r="AE65" s="19">
        <f>HLOOKUP(REG_TRA_DEMANDS!AE$3,'BY-Demands'!$J$5:$AK$14,MATCH($E65,'BY-Demands'!$I$5:$I$14,0),FALSE)*HLOOKUP(REG_TRA_DEMANDS!$F65,DEMANDS!$G$2:$CK$25,MATCH($E65,DEMANDS!$E$2:$E$25,0),FALSE)/HLOOKUP(2018,DEMANDS!$G$2:$CK$25,MATCH($E65,DEMANDS!$E$2:$E$25,0),FALSE)</f>
        <v>0.57040607755372752</v>
      </c>
      <c r="AF65" s="19">
        <f>HLOOKUP(REG_TRA_DEMANDS!AF$3,'BY-Demands'!$J$5:$AK$14,MATCH($E65,'BY-Demands'!$I$5:$I$14,0),FALSE)*HLOOKUP(REG_TRA_DEMANDS!$F65,DEMANDS!$G$2:$CK$25,MATCH($E65,DEMANDS!$E$2:$E$25,0),FALSE)/HLOOKUP(2018,DEMANDS!$G$2:$CK$25,MATCH($E65,DEMANDS!$E$2:$E$25,0),FALSE)</f>
        <v>0.32949292148504944</v>
      </c>
    </row>
    <row r="66" spans="4:32" ht="14.5">
      <c r="D66" t="s">
        <v>6</v>
      </c>
      <c r="E66" t="str">
        <f>DEMANDS!$E$19</f>
        <v>TRAPL</v>
      </c>
      <c r="F66">
        <v>2028</v>
      </c>
      <c r="G66" s="19">
        <f>HLOOKUP(REG_TRA_DEMANDS!G$3,'BY-Demands'!$J$5:$AK$14,MATCH($E66,'BY-Demands'!$I$5:$I$14,0),FALSE)*HLOOKUP(REG_TRA_DEMANDS!$F66,DEMANDS!$G$2:$CK$25,MATCH($E66,DEMANDS!$E$2:$E$25,0),FALSE)/HLOOKUP(2018,DEMANDS!$G$2:$CK$25,MATCH($E66,DEMANDS!$E$2:$E$25,0),FALSE)</f>
        <v>0.29497443928066552</v>
      </c>
      <c r="H66" s="19">
        <f>HLOOKUP(REG_TRA_DEMANDS!H$3,'BY-Demands'!$J$5:$AK$14,MATCH($E66,'BY-Demands'!$I$5:$I$14,0),FALSE)*HLOOKUP(REG_TRA_DEMANDS!$F66,DEMANDS!$G$2:$CK$25,MATCH($E66,DEMANDS!$E$2:$E$25,0),FALSE)/HLOOKUP(2018,DEMANDS!$G$2:$CK$25,MATCH($E66,DEMANDS!$E$2:$E$25,0),FALSE)</f>
        <v>5.2547812534318377</v>
      </c>
      <c r="I66" s="19">
        <f>HLOOKUP(REG_TRA_DEMANDS!I$3,'BY-Demands'!$J$5:$AK$14,MATCH($E66,'BY-Demands'!$I$5:$I$14,0),FALSE)*HLOOKUP(REG_TRA_DEMANDS!$F66,DEMANDS!$G$2:$CK$25,MATCH($E66,DEMANDS!$E$2:$E$25,0),FALSE)/HLOOKUP(2018,DEMANDS!$G$2:$CK$25,MATCH($E66,DEMANDS!$E$2:$E$25,0),FALSE)</f>
        <v>1.0617224602383712</v>
      </c>
      <c r="J66" s="19">
        <f>HLOOKUP(REG_TRA_DEMANDS!J$3,'BY-Demands'!$J$5:$AK$14,MATCH($E66,'BY-Demands'!$I$5:$I$14,0),FALSE)*HLOOKUP(REG_TRA_DEMANDS!$F66,DEMANDS!$G$2:$CK$25,MATCH($E66,DEMANDS!$E$2:$E$25,0),FALSE)/HLOOKUP(2018,DEMANDS!$G$2:$CK$25,MATCH($E66,DEMANDS!$E$2:$E$25,0),FALSE)</f>
        <v>0.51126193229674088</v>
      </c>
      <c r="K66" s="19">
        <f>HLOOKUP(REG_TRA_DEMANDS!K$3,'BY-Demands'!$J$5:$AK$14,MATCH($E66,'BY-Demands'!$I$5:$I$14,0),FALSE)*HLOOKUP(REG_TRA_DEMANDS!$F66,DEMANDS!$G$2:$CK$25,MATCH($E66,DEMANDS!$E$2:$E$25,0),FALSE)/HLOOKUP(2018,DEMANDS!$G$2:$CK$25,MATCH($E66,DEMANDS!$E$2:$E$25,0),FALSE)</f>
        <v>0.37986357438048307</v>
      </c>
      <c r="L66" s="19">
        <f>HLOOKUP(REG_TRA_DEMANDS!L$3,'BY-Demands'!$J$5:$AK$14,MATCH($E66,'BY-Demands'!$I$5:$I$14,0),FALSE)*HLOOKUP(REG_TRA_DEMANDS!$F66,DEMANDS!$G$2:$CK$25,MATCH($E66,DEMANDS!$E$2:$E$25,0),FALSE)/HLOOKUP(2018,DEMANDS!$G$2:$CK$25,MATCH($E66,DEMANDS!$E$2:$E$25,0),FALSE)</f>
        <v>0.19559641407196118</v>
      </c>
      <c r="M66" s="19">
        <f>HLOOKUP(REG_TRA_DEMANDS!M$3,'BY-Demands'!$J$5:$AK$14,MATCH($E66,'BY-Demands'!$I$5:$I$14,0),FALSE)*HLOOKUP(REG_TRA_DEMANDS!$F66,DEMANDS!$G$2:$CK$25,MATCH($E66,DEMANDS!$E$2:$E$25,0),FALSE)/HLOOKUP(2018,DEMANDS!$G$2:$CK$25,MATCH($E66,DEMANDS!$E$2:$E$25,0),FALSE)</f>
        <v>0.53148412968145153</v>
      </c>
      <c r="N66" s="19">
        <f>HLOOKUP(REG_TRA_DEMANDS!N$3,'BY-Demands'!$J$5:$AK$14,MATCH($E66,'BY-Demands'!$I$5:$I$14,0),FALSE)*HLOOKUP(REG_TRA_DEMANDS!$F66,DEMANDS!$G$2:$CK$25,MATCH($E66,DEMANDS!$E$2:$E$25,0),FALSE)/HLOOKUP(2018,DEMANDS!$G$2:$CK$25,MATCH($E66,DEMANDS!$E$2:$E$25,0),FALSE)</f>
        <v>0.90379616336511071</v>
      </c>
      <c r="O66" s="19">
        <f>HLOOKUP(REG_TRA_DEMANDS!O$3,'BY-Demands'!$J$5:$AK$14,MATCH($E66,'BY-Demands'!$I$5:$I$14,0),FALSE)*HLOOKUP(REG_TRA_DEMANDS!$F66,DEMANDS!$G$2:$CK$25,MATCH($E66,DEMANDS!$E$2:$E$25,0),FALSE)/HLOOKUP(2018,DEMANDS!$G$2:$CK$25,MATCH($E66,DEMANDS!$E$2:$E$25,0),FALSE)</f>
        <v>0.3895519933864755</v>
      </c>
      <c r="P66" s="19">
        <f>HLOOKUP(REG_TRA_DEMANDS!P$3,'BY-Demands'!$J$5:$AK$14,MATCH($E66,'BY-Demands'!$I$5:$I$14,0),FALSE)*HLOOKUP(REG_TRA_DEMANDS!$F66,DEMANDS!$G$2:$CK$25,MATCH($E66,DEMANDS!$E$2:$E$25,0),FALSE)/HLOOKUP(2018,DEMANDS!$G$2:$CK$25,MATCH($E66,DEMANDS!$E$2:$E$25,0),FALSE)</f>
        <v>0.43171305043457925</v>
      </c>
      <c r="Q66" s="19">
        <f>HLOOKUP(REG_TRA_DEMANDS!Q$3,'BY-Demands'!$J$5:$AK$14,MATCH($E66,'BY-Demands'!$I$5:$I$14,0),FALSE)*HLOOKUP(REG_TRA_DEMANDS!$F66,DEMANDS!$G$2:$CK$25,MATCH($E66,DEMANDS!$E$2:$E$25,0),FALSE)/HLOOKUP(2018,DEMANDS!$G$2:$CK$25,MATCH($E66,DEMANDS!$E$2:$E$25,0),FALSE)</f>
        <v>0.76732248105473932</v>
      </c>
      <c r="R66" s="19">
        <f>HLOOKUP(REG_TRA_DEMANDS!R$3,'BY-Demands'!$J$5:$AK$14,MATCH($E66,'BY-Demands'!$I$5:$I$14,0),FALSE)*HLOOKUP(REG_TRA_DEMANDS!$F66,DEMANDS!$G$2:$CK$25,MATCH($E66,DEMANDS!$E$2:$E$25,0),FALSE)/HLOOKUP(2018,DEMANDS!$G$2:$CK$25,MATCH($E66,DEMANDS!$E$2:$E$25,0),FALSE)</f>
        <v>0.65706149051925855</v>
      </c>
      <c r="S66" s="19">
        <f>HLOOKUP(REG_TRA_DEMANDS!S$3,'BY-Demands'!$J$5:$AK$14,MATCH($E66,'BY-Demands'!$I$5:$I$14,0),FALSE)*HLOOKUP(REG_TRA_DEMANDS!$F66,DEMANDS!$G$2:$CK$25,MATCH($E66,DEMANDS!$E$2:$E$25,0),FALSE)/HLOOKUP(2018,DEMANDS!$G$2:$CK$25,MATCH($E66,DEMANDS!$E$2:$E$25,0),FALSE)</f>
        <v>0.58912263799153153</v>
      </c>
      <c r="T66" s="19">
        <f>HLOOKUP(REG_TRA_DEMANDS!T$3,'BY-Demands'!$J$5:$AK$14,MATCH($E66,'BY-Demands'!$I$5:$I$14,0),FALSE)*HLOOKUP(REG_TRA_DEMANDS!$F66,DEMANDS!$G$2:$CK$25,MATCH($E66,DEMANDS!$E$2:$E$25,0),FALSE)/HLOOKUP(2018,DEMANDS!$G$2:$CK$25,MATCH($E66,DEMANDS!$E$2:$E$25,0),FALSE)</f>
        <v>2.4022096055592024</v>
      </c>
      <c r="U66" s="19">
        <f>HLOOKUP(REG_TRA_DEMANDS!U$3,'BY-Demands'!$J$5:$AK$14,MATCH($E66,'BY-Demands'!$I$5:$I$14,0),FALSE)*HLOOKUP(REG_TRA_DEMANDS!$F66,DEMANDS!$G$2:$CK$25,MATCH($E66,DEMANDS!$E$2:$E$25,0),FALSE)/HLOOKUP(2018,DEMANDS!$G$2:$CK$25,MATCH($E66,DEMANDS!$E$2:$E$25,0),FALSE)</f>
        <v>0.79888943148263436</v>
      </c>
      <c r="V66" s="19">
        <f>HLOOKUP(REG_TRA_DEMANDS!V$3,'BY-Demands'!$J$5:$AK$14,MATCH($E66,'BY-Demands'!$I$5:$I$14,0),FALSE)*HLOOKUP(REG_TRA_DEMANDS!$F66,DEMANDS!$G$2:$CK$25,MATCH($E66,DEMANDS!$E$2:$E$25,0),FALSE)/HLOOKUP(2018,DEMANDS!$G$2:$CK$25,MATCH($E66,DEMANDS!$E$2:$E$25,0),FALSE)</f>
        <v>0.88499118112161079</v>
      </c>
      <c r="W66" s="19">
        <f>HLOOKUP(REG_TRA_DEMANDS!W$3,'BY-Demands'!$J$5:$AK$14,MATCH($E66,'BY-Demands'!$I$5:$I$14,0),FALSE)*HLOOKUP(REG_TRA_DEMANDS!$F66,DEMANDS!$G$2:$CK$25,MATCH($E66,DEMANDS!$E$2:$E$25,0),FALSE)/HLOOKUP(2018,DEMANDS!$G$2:$CK$25,MATCH($E66,DEMANDS!$E$2:$E$25,0),FALSE)</f>
        <v>0.85616749958922711</v>
      </c>
      <c r="X66" s="19">
        <f>HLOOKUP(REG_TRA_DEMANDS!X$3,'BY-Demands'!$J$5:$AK$14,MATCH($E66,'BY-Demands'!$I$5:$I$14,0),FALSE)*HLOOKUP(REG_TRA_DEMANDS!$F66,DEMANDS!$G$2:$CK$25,MATCH($E66,DEMANDS!$E$2:$E$25,0),FALSE)/HLOOKUP(2018,DEMANDS!$G$2:$CK$25,MATCH($E66,DEMANDS!$E$2:$E$25,0),FALSE)</f>
        <v>0.53916959759327965</v>
      </c>
      <c r="Y66" s="19">
        <f>HLOOKUP(REG_TRA_DEMANDS!Y$3,'BY-Demands'!$J$5:$AK$14,MATCH($E66,'BY-Demands'!$I$5:$I$14,0),FALSE)*HLOOKUP(REG_TRA_DEMANDS!$F66,DEMANDS!$G$2:$CK$25,MATCH($E66,DEMANDS!$E$2:$E$25,0),FALSE)/HLOOKUP(2018,DEMANDS!$G$2:$CK$25,MATCH($E66,DEMANDS!$E$2:$E$25,0),FALSE)</f>
        <v>1.2249848697861239</v>
      </c>
      <c r="Z66" s="19">
        <f>HLOOKUP(REG_TRA_DEMANDS!Z$3,'BY-Demands'!$J$5:$AK$14,MATCH($E66,'BY-Demands'!$I$5:$I$14,0),FALSE)*HLOOKUP(REG_TRA_DEMANDS!$F66,DEMANDS!$G$2:$CK$25,MATCH($E66,DEMANDS!$E$2:$E$25,0),FALSE)/HLOOKUP(2018,DEMANDS!$G$2:$CK$25,MATCH($E66,DEMANDS!$E$2:$E$25,0),FALSE)</f>
        <v>0.15803277843732377</v>
      </c>
      <c r="AA66" s="19">
        <f>HLOOKUP(REG_TRA_DEMANDS!AA$3,'BY-Demands'!$J$5:$AK$14,MATCH($E66,'BY-Demands'!$I$5:$I$14,0),FALSE)*HLOOKUP(REG_TRA_DEMANDS!$F66,DEMANDS!$G$2:$CK$25,MATCH($E66,DEMANDS!$E$2:$E$25,0),FALSE)/HLOOKUP(2018,DEMANDS!$G$2:$CK$25,MATCH($E66,DEMANDS!$E$2:$E$25,0),FALSE)</f>
        <v>0.67927655075918425</v>
      </c>
      <c r="AB66" s="19">
        <f>HLOOKUP(REG_TRA_DEMANDS!AB$3,'BY-Demands'!$J$5:$AK$14,MATCH($E66,'BY-Demands'!$I$5:$I$14,0),FALSE)*HLOOKUP(REG_TRA_DEMANDS!$F66,DEMANDS!$G$2:$CK$25,MATCH($E66,DEMANDS!$E$2:$E$25,0),FALSE)/HLOOKUP(2018,DEMANDS!$G$2:$CK$25,MATCH($E66,DEMANDS!$E$2:$E$25,0),FALSE)</f>
        <v>0.35605137126441411</v>
      </c>
      <c r="AC66" s="19">
        <f>HLOOKUP(REG_TRA_DEMANDS!AC$3,'BY-Demands'!$J$5:$AK$14,MATCH($E66,'BY-Demands'!$I$5:$I$14,0),FALSE)*HLOOKUP(REG_TRA_DEMANDS!$F66,DEMANDS!$G$2:$CK$25,MATCH($E66,DEMANDS!$E$2:$E$25,0),FALSE)/HLOOKUP(2018,DEMANDS!$G$2:$CK$25,MATCH($E66,DEMANDS!$E$2:$E$25,0),FALSE)</f>
        <v>0.29677141398821899</v>
      </c>
      <c r="AD66" s="19">
        <f>HLOOKUP(REG_TRA_DEMANDS!AD$3,'BY-Demands'!$J$5:$AK$14,MATCH($E66,'BY-Demands'!$I$5:$I$14,0),FALSE)*HLOOKUP(REG_TRA_DEMANDS!$F66,DEMANDS!$G$2:$CK$25,MATCH($E66,DEMANDS!$E$2:$E$25,0),FALSE)/HLOOKUP(2018,DEMANDS!$G$2:$CK$25,MATCH($E66,DEMANDS!$E$2:$E$25,0),FALSE)</f>
        <v>0.31739580121088251</v>
      </c>
      <c r="AE66" s="19">
        <f>HLOOKUP(REG_TRA_DEMANDS!AE$3,'BY-Demands'!$J$5:$AK$14,MATCH($E66,'BY-Demands'!$I$5:$I$14,0),FALSE)*HLOOKUP(REG_TRA_DEMANDS!$F66,DEMANDS!$G$2:$CK$25,MATCH($E66,DEMANDS!$E$2:$E$25,0),FALSE)/HLOOKUP(2018,DEMANDS!$G$2:$CK$25,MATCH($E66,DEMANDS!$E$2:$E$25,0),FALSE)</f>
        <v>0.58466622949257063</v>
      </c>
      <c r="AF66" s="19">
        <f>HLOOKUP(REG_TRA_DEMANDS!AF$3,'BY-Demands'!$J$5:$AK$14,MATCH($E66,'BY-Demands'!$I$5:$I$14,0),FALSE)*HLOOKUP(REG_TRA_DEMANDS!$F66,DEMANDS!$G$2:$CK$25,MATCH($E66,DEMANDS!$E$2:$E$25,0),FALSE)/HLOOKUP(2018,DEMANDS!$G$2:$CK$25,MATCH($E66,DEMANDS!$E$2:$E$25,0),FALSE)</f>
        <v>0.33773024452217559</v>
      </c>
    </row>
    <row r="67" spans="4:32" ht="14.5">
      <c r="D67" t="s">
        <v>6</v>
      </c>
      <c r="E67" t="str">
        <f>DEMANDS!$E$19</f>
        <v>TRAPL</v>
      </c>
      <c r="F67">
        <v>2029</v>
      </c>
      <c r="G67" s="19">
        <f>HLOOKUP(REG_TRA_DEMANDS!G$3,'BY-Demands'!$J$5:$AK$14,MATCH($E67,'BY-Demands'!$I$5:$I$14,0),FALSE)*HLOOKUP(REG_TRA_DEMANDS!$F67,DEMANDS!$G$2:$CK$25,MATCH($E67,DEMANDS!$E$2:$E$25,0),FALSE)/HLOOKUP(2018,DEMANDS!$G$2:$CK$25,MATCH($E67,DEMANDS!$E$2:$E$25,0),FALSE)</f>
        <v>0.30234880026268207</v>
      </c>
      <c r="H67" s="19">
        <f>HLOOKUP(REG_TRA_DEMANDS!H$3,'BY-Demands'!$J$5:$AK$14,MATCH($E67,'BY-Demands'!$I$5:$I$14,0),FALSE)*HLOOKUP(REG_TRA_DEMANDS!$F67,DEMANDS!$G$2:$CK$25,MATCH($E67,DEMANDS!$E$2:$E$25,0),FALSE)/HLOOKUP(2018,DEMANDS!$G$2:$CK$25,MATCH($E67,DEMANDS!$E$2:$E$25,0),FALSE)</f>
        <v>5.3861507847676338</v>
      </c>
      <c r="I67" s="19">
        <f>HLOOKUP(REG_TRA_DEMANDS!I$3,'BY-Demands'!$J$5:$AK$14,MATCH($E67,'BY-Demands'!$I$5:$I$14,0),FALSE)*HLOOKUP(REG_TRA_DEMANDS!$F67,DEMANDS!$G$2:$CK$25,MATCH($E67,DEMANDS!$E$2:$E$25,0),FALSE)/HLOOKUP(2018,DEMANDS!$G$2:$CK$25,MATCH($E67,DEMANDS!$E$2:$E$25,0),FALSE)</f>
        <v>1.0882655217443304</v>
      </c>
      <c r="J67" s="19">
        <f>HLOOKUP(REG_TRA_DEMANDS!J$3,'BY-Demands'!$J$5:$AK$14,MATCH($E67,'BY-Demands'!$I$5:$I$14,0),FALSE)*HLOOKUP(REG_TRA_DEMANDS!$F67,DEMANDS!$G$2:$CK$25,MATCH($E67,DEMANDS!$E$2:$E$25,0),FALSE)/HLOOKUP(2018,DEMANDS!$G$2:$CK$25,MATCH($E67,DEMANDS!$E$2:$E$25,0),FALSE)</f>
        <v>0.52404348060415928</v>
      </c>
      <c r="K67" s="19">
        <f>HLOOKUP(REG_TRA_DEMANDS!K$3,'BY-Demands'!$J$5:$AK$14,MATCH($E67,'BY-Demands'!$I$5:$I$14,0),FALSE)*HLOOKUP(REG_TRA_DEMANDS!$F67,DEMANDS!$G$2:$CK$25,MATCH($E67,DEMANDS!$E$2:$E$25,0),FALSE)/HLOOKUP(2018,DEMANDS!$G$2:$CK$25,MATCH($E67,DEMANDS!$E$2:$E$25,0),FALSE)</f>
        <v>0.38936016373999505</v>
      </c>
      <c r="L67" s="19">
        <f>HLOOKUP(REG_TRA_DEMANDS!L$3,'BY-Demands'!$J$5:$AK$14,MATCH($E67,'BY-Demands'!$I$5:$I$14,0),FALSE)*HLOOKUP(REG_TRA_DEMANDS!$F67,DEMANDS!$G$2:$CK$25,MATCH($E67,DEMANDS!$E$2:$E$25,0),FALSE)/HLOOKUP(2018,DEMANDS!$G$2:$CK$25,MATCH($E67,DEMANDS!$E$2:$E$25,0),FALSE)</f>
        <v>0.20048632442376021</v>
      </c>
      <c r="M67" s="19">
        <f>HLOOKUP(REG_TRA_DEMANDS!M$3,'BY-Demands'!$J$5:$AK$14,MATCH($E67,'BY-Demands'!$I$5:$I$14,0),FALSE)*HLOOKUP(REG_TRA_DEMANDS!$F67,DEMANDS!$G$2:$CK$25,MATCH($E67,DEMANDS!$E$2:$E$25,0),FALSE)/HLOOKUP(2018,DEMANDS!$G$2:$CK$25,MATCH($E67,DEMANDS!$E$2:$E$25,0),FALSE)</f>
        <v>0.54477123292348784</v>
      </c>
      <c r="N67" s="19">
        <f>HLOOKUP(REG_TRA_DEMANDS!N$3,'BY-Demands'!$J$5:$AK$14,MATCH($E67,'BY-Demands'!$I$5:$I$14,0),FALSE)*HLOOKUP(REG_TRA_DEMANDS!$F67,DEMANDS!$G$2:$CK$25,MATCH($E67,DEMANDS!$E$2:$E$25,0),FALSE)/HLOOKUP(2018,DEMANDS!$G$2:$CK$25,MATCH($E67,DEMANDS!$E$2:$E$25,0),FALSE)</f>
        <v>0.92639106744923838</v>
      </c>
      <c r="O67" s="19">
        <f>HLOOKUP(REG_TRA_DEMANDS!O$3,'BY-Demands'!$J$5:$AK$14,MATCH($E67,'BY-Demands'!$I$5:$I$14,0),FALSE)*HLOOKUP(REG_TRA_DEMANDS!$F67,DEMANDS!$G$2:$CK$25,MATCH($E67,DEMANDS!$E$2:$E$25,0),FALSE)/HLOOKUP(2018,DEMANDS!$G$2:$CK$25,MATCH($E67,DEMANDS!$E$2:$E$25,0),FALSE)</f>
        <v>0.39929079322113731</v>
      </c>
      <c r="P67" s="19">
        <f>HLOOKUP(REG_TRA_DEMANDS!P$3,'BY-Demands'!$J$5:$AK$14,MATCH($E67,'BY-Demands'!$I$5:$I$14,0),FALSE)*HLOOKUP(REG_TRA_DEMANDS!$F67,DEMANDS!$G$2:$CK$25,MATCH($E67,DEMANDS!$E$2:$E$25,0),FALSE)/HLOOKUP(2018,DEMANDS!$G$2:$CK$25,MATCH($E67,DEMANDS!$E$2:$E$25,0),FALSE)</f>
        <v>0.44250587669544367</v>
      </c>
      <c r="Q67" s="19">
        <f>HLOOKUP(REG_TRA_DEMANDS!Q$3,'BY-Demands'!$J$5:$AK$14,MATCH($E67,'BY-Demands'!$I$5:$I$14,0),FALSE)*HLOOKUP(REG_TRA_DEMANDS!$F67,DEMANDS!$G$2:$CK$25,MATCH($E67,DEMANDS!$E$2:$E$25,0),FALSE)/HLOOKUP(2018,DEMANDS!$G$2:$CK$25,MATCH($E67,DEMANDS!$E$2:$E$25,0),FALSE)</f>
        <v>0.78650554308110776</v>
      </c>
      <c r="R67" s="19">
        <f>HLOOKUP(REG_TRA_DEMANDS!R$3,'BY-Demands'!$J$5:$AK$14,MATCH($E67,'BY-Demands'!$I$5:$I$14,0),FALSE)*HLOOKUP(REG_TRA_DEMANDS!$F67,DEMANDS!$G$2:$CK$25,MATCH($E67,DEMANDS!$E$2:$E$25,0),FALSE)/HLOOKUP(2018,DEMANDS!$G$2:$CK$25,MATCH($E67,DEMANDS!$E$2:$E$25,0),FALSE)</f>
        <v>0.67348802778223982</v>
      </c>
      <c r="S67" s="19">
        <f>HLOOKUP(REG_TRA_DEMANDS!S$3,'BY-Demands'!$J$5:$AK$14,MATCH($E67,'BY-Demands'!$I$5:$I$14,0),FALSE)*HLOOKUP(REG_TRA_DEMANDS!$F67,DEMANDS!$G$2:$CK$25,MATCH($E67,DEMANDS!$E$2:$E$25,0),FALSE)/HLOOKUP(2018,DEMANDS!$G$2:$CK$25,MATCH($E67,DEMANDS!$E$2:$E$25,0),FALSE)</f>
        <v>0.60385070394131979</v>
      </c>
      <c r="T67" s="19">
        <f>HLOOKUP(REG_TRA_DEMANDS!T$3,'BY-Demands'!$J$5:$AK$14,MATCH($E67,'BY-Demands'!$I$5:$I$14,0),FALSE)*HLOOKUP(REG_TRA_DEMANDS!$F67,DEMANDS!$G$2:$CK$25,MATCH($E67,DEMANDS!$E$2:$E$25,0),FALSE)/HLOOKUP(2018,DEMANDS!$G$2:$CK$25,MATCH($E67,DEMANDS!$E$2:$E$25,0),FALSE)</f>
        <v>2.4622648456981824</v>
      </c>
      <c r="U67" s="19">
        <f>HLOOKUP(REG_TRA_DEMANDS!U$3,'BY-Demands'!$J$5:$AK$14,MATCH($E67,'BY-Demands'!$I$5:$I$14,0),FALSE)*HLOOKUP(REG_TRA_DEMANDS!$F67,DEMANDS!$G$2:$CK$25,MATCH($E67,DEMANDS!$E$2:$E$25,0),FALSE)/HLOOKUP(2018,DEMANDS!$G$2:$CK$25,MATCH($E67,DEMANDS!$E$2:$E$25,0),FALSE)</f>
        <v>0.81886166726970011</v>
      </c>
      <c r="V67" s="19">
        <f>HLOOKUP(REG_TRA_DEMANDS!V$3,'BY-Demands'!$J$5:$AK$14,MATCH($E67,'BY-Demands'!$I$5:$I$14,0),FALSE)*HLOOKUP(REG_TRA_DEMANDS!$F67,DEMANDS!$G$2:$CK$25,MATCH($E67,DEMANDS!$E$2:$E$25,0),FALSE)/HLOOKUP(2018,DEMANDS!$G$2:$CK$25,MATCH($E67,DEMANDS!$E$2:$E$25,0),FALSE)</f>
        <v>0.90711596064965083</v>
      </c>
      <c r="W67" s="19">
        <f>HLOOKUP(REG_TRA_DEMANDS!W$3,'BY-Demands'!$J$5:$AK$14,MATCH($E67,'BY-Demands'!$I$5:$I$14,0),FALSE)*HLOOKUP(REG_TRA_DEMANDS!$F67,DEMANDS!$G$2:$CK$25,MATCH($E67,DEMANDS!$E$2:$E$25,0),FALSE)/HLOOKUP(2018,DEMANDS!$G$2:$CK$25,MATCH($E67,DEMANDS!$E$2:$E$25,0),FALSE)</f>
        <v>0.87757168707895761</v>
      </c>
      <c r="X67" s="19">
        <f>HLOOKUP(REG_TRA_DEMANDS!X$3,'BY-Demands'!$J$5:$AK$14,MATCH($E67,'BY-Demands'!$I$5:$I$14,0),FALSE)*HLOOKUP(REG_TRA_DEMANDS!$F67,DEMANDS!$G$2:$CK$25,MATCH($E67,DEMANDS!$E$2:$E$25,0),FALSE)/HLOOKUP(2018,DEMANDS!$G$2:$CK$25,MATCH($E67,DEMANDS!$E$2:$E$25,0),FALSE)</f>
        <v>0.55264883753311156</v>
      </c>
      <c r="Y67" s="19">
        <f>HLOOKUP(REG_TRA_DEMANDS!Y$3,'BY-Demands'!$J$5:$AK$14,MATCH($E67,'BY-Demands'!$I$5:$I$14,0),FALSE)*HLOOKUP(REG_TRA_DEMANDS!$F67,DEMANDS!$G$2:$CK$25,MATCH($E67,DEMANDS!$E$2:$E$25,0),FALSE)/HLOOKUP(2018,DEMANDS!$G$2:$CK$25,MATCH($E67,DEMANDS!$E$2:$E$25,0),FALSE)</f>
        <v>1.2556094915307767</v>
      </c>
      <c r="Z67" s="19">
        <f>HLOOKUP(REG_TRA_DEMANDS!Z$3,'BY-Demands'!$J$5:$AK$14,MATCH($E67,'BY-Demands'!$I$5:$I$14,0),FALSE)*HLOOKUP(REG_TRA_DEMANDS!$F67,DEMANDS!$G$2:$CK$25,MATCH($E67,DEMANDS!$E$2:$E$25,0),FALSE)/HLOOKUP(2018,DEMANDS!$G$2:$CK$25,MATCH($E67,DEMANDS!$E$2:$E$25,0),FALSE)</f>
        <v>0.16198359789825684</v>
      </c>
      <c r="AA67" s="19">
        <f>HLOOKUP(REG_TRA_DEMANDS!AA$3,'BY-Demands'!$J$5:$AK$14,MATCH($E67,'BY-Demands'!$I$5:$I$14,0),FALSE)*HLOOKUP(REG_TRA_DEMANDS!$F67,DEMANDS!$G$2:$CK$25,MATCH($E67,DEMANDS!$E$2:$E$25,0),FALSE)/HLOOKUP(2018,DEMANDS!$G$2:$CK$25,MATCH($E67,DEMANDS!$E$2:$E$25,0),FALSE)</f>
        <v>0.69625846452816376</v>
      </c>
      <c r="AB67" s="19">
        <f>HLOOKUP(REG_TRA_DEMANDS!AB$3,'BY-Demands'!$J$5:$AK$14,MATCH($E67,'BY-Demands'!$I$5:$I$14,0),FALSE)*HLOOKUP(REG_TRA_DEMANDS!$F67,DEMANDS!$G$2:$CK$25,MATCH($E67,DEMANDS!$E$2:$E$25,0),FALSE)/HLOOKUP(2018,DEMANDS!$G$2:$CK$25,MATCH($E67,DEMANDS!$E$2:$E$25,0),FALSE)</f>
        <v>0.36495265554602441</v>
      </c>
      <c r="AC67" s="19">
        <f>HLOOKUP(REG_TRA_DEMANDS!AC$3,'BY-Demands'!$J$5:$AK$14,MATCH($E67,'BY-Demands'!$I$5:$I$14,0),FALSE)*HLOOKUP(REG_TRA_DEMANDS!$F67,DEMANDS!$G$2:$CK$25,MATCH($E67,DEMANDS!$E$2:$E$25,0),FALSE)/HLOOKUP(2018,DEMANDS!$G$2:$CK$25,MATCH($E67,DEMANDS!$E$2:$E$25,0),FALSE)</f>
        <v>0.30419069933792442</v>
      </c>
      <c r="AD67" s="19">
        <f>HLOOKUP(REG_TRA_DEMANDS!AD$3,'BY-Demands'!$J$5:$AK$14,MATCH($E67,'BY-Demands'!$I$5:$I$14,0),FALSE)*HLOOKUP(REG_TRA_DEMANDS!$F67,DEMANDS!$G$2:$CK$25,MATCH($E67,DEMANDS!$E$2:$E$25,0),FALSE)/HLOOKUP(2018,DEMANDS!$G$2:$CK$25,MATCH($E67,DEMANDS!$E$2:$E$25,0),FALSE)</f>
        <v>0.32533069624115457</v>
      </c>
      <c r="AE67" s="19">
        <f>HLOOKUP(REG_TRA_DEMANDS!AE$3,'BY-Demands'!$J$5:$AK$14,MATCH($E67,'BY-Demands'!$I$5:$I$14,0),FALSE)*HLOOKUP(REG_TRA_DEMANDS!$F67,DEMANDS!$G$2:$CK$25,MATCH($E67,DEMANDS!$E$2:$E$25,0),FALSE)/HLOOKUP(2018,DEMANDS!$G$2:$CK$25,MATCH($E67,DEMANDS!$E$2:$E$25,0),FALSE)</f>
        <v>0.59928288522988482</v>
      </c>
      <c r="AF67" s="19">
        <f>HLOOKUP(REG_TRA_DEMANDS!AF$3,'BY-Demands'!$J$5:$AK$14,MATCH($E67,'BY-Demands'!$I$5:$I$14,0),FALSE)*HLOOKUP(REG_TRA_DEMANDS!$F67,DEMANDS!$G$2:$CK$25,MATCH($E67,DEMANDS!$E$2:$E$25,0),FALSE)/HLOOKUP(2018,DEMANDS!$G$2:$CK$25,MATCH($E67,DEMANDS!$E$2:$E$25,0),FALSE)</f>
        <v>0.34617350063523</v>
      </c>
    </row>
    <row r="68" spans="4:32" ht="14.5">
      <c r="D68" t="s">
        <v>6</v>
      </c>
      <c r="E68" t="str">
        <f>DEMANDS!$E$19</f>
        <v>TRAPL</v>
      </c>
      <c r="F68">
        <v>2030</v>
      </c>
      <c r="G68" s="19">
        <f>HLOOKUP(REG_TRA_DEMANDS!G$3,'BY-Demands'!$J$5:$AK$14,MATCH($E68,'BY-Demands'!$I$5:$I$14,0),FALSE)*HLOOKUP(REG_TRA_DEMANDS!$F68,DEMANDS!$G$2:$CK$25,MATCH($E68,DEMANDS!$E$2:$E$25,0),FALSE)/HLOOKUP(2018,DEMANDS!$G$2:$CK$25,MATCH($E68,DEMANDS!$E$2:$E$25,0),FALSE)</f>
        <v>0.30990752026924911</v>
      </c>
      <c r="H68" s="19">
        <f>HLOOKUP(REG_TRA_DEMANDS!H$3,'BY-Demands'!$J$5:$AK$14,MATCH($E68,'BY-Demands'!$I$5:$I$14,0),FALSE)*HLOOKUP(REG_TRA_DEMANDS!$F68,DEMANDS!$G$2:$CK$25,MATCH($E68,DEMANDS!$E$2:$E$25,0),FALSE)/HLOOKUP(2018,DEMANDS!$G$2:$CK$25,MATCH($E68,DEMANDS!$E$2:$E$25,0),FALSE)</f>
        <v>5.5208045543868227</v>
      </c>
      <c r="I68" s="19">
        <f>HLOOKUP(REG_TRA_DEMANDS!I$3,'BY-Demands'!$J$5:$AK$14,MATCH($E68,'BY-Demands'!$I$5:$I$14,0),FALSE)*HLOOKUP(REG_TRA_DEMANDS!$F68,DEMANDS!$G$2:$CK$25,MATCH($E68,DEMANDS!$E$2:$E$25,0),FALSE)/HLOOKUP(2018,DEMANDS!$G$2:$CK$25,MATCH($E68,DEMANDS!$E$2:$E$25,0),FALSE)</f>
        <v>1.1154721597879385</v>
      </c>
      <c r="J68" s="19">
        <f>HLOOKUP(REG_TRA_DEMANDS!J$3,'BY-Demands'!$J$5:$AK$14,MATCH($E68,'BY-Demands'!$I$5:$I$14,0),FALSE)*HLOOKUP(REG_TRA_DEMANDS!$F68,DEMANDS!$G$2:$CK$25,MATCH($E68,DEMANDS!$E$2:$E$25,0),FALSE)/HLOOKUP(2018,DEMANDS!$G$2:$CK$25,MATCH($E68,DEMANDS!$E$2:$E$25,0),FALSE)</f>
        <v>0.53714456761926321</v>
      </c>
      <c r="K68" s="19">
        <f>HLOOKUP(REG_TRA_DEMANDS!K$3,'BY-Demands'!$J$5:$AK$14,MATCH($E68,'BY-Demands'!$I$5:$I$14,0),FALSE)*HLOOKUP(REG_TRA_DEMANDS!$F68,DEMANDS!$G$2:$CK$25,MATCH($E68,DEMANDS!$E$2:$E$25,0),FALSE)/HLOOKUP(2018,DEMANDS!$G$2:$CK$25,MATCH($E68,DEMANDS!$E$2:$E$25,0),FALSE)</f>
        <v>0.39909416783349494</v>
      </c>
      <c r="L68" s="19">
        <f>HLOOKUP(REG_TRA_DEMANDS!L$3,'BY-Demands'!$J$5:$AK$14,MATCH($E68,'BY-Demands'!$I$5:$I$14,0),FALSE)*HLOOKUP(REG_TRA_DEMANDS!$F68,DEMANDS!$G$2:$CK$25,MATCH($E68,DEMANDS!$E$2:$E$25,0),FALSE)/HLOOKUP(2018,DEMANDS!$G$2:$CK$25,MATCH($E68,DEMANDS!$E$2:$E$25,0),FALSE)</f>
        <v>0.20549848253435418</v>
      </c>
      <c r="M68" s="19">
        <f>HLOOKUP(REG_TRA_DEMANDS!M$3,'BY-Demands'!$J$5:$AK$14,MATCH($E68,'BY-Demands'!$I$5:$I$14,0),FALSE)*HLOOKUP(REG_TRA_DEMANDS!$F68,DEMANDS!$G$2:$CK$25,MATCH($E68,DEMANDS!$E$2:$E$25,0),FALSE)/HLOOKUP(2018,DEMANDS!$G$2:$CK$25,MATCH($E68,DEMANDS!$E$2:$E$25,0),FALSE)</f>
        <v>0.558390513746575</v>
      </c>
      <c r="N68" s="19">
        <f>HLOOKUP(REG_TRA_DEMANDS!N$3,'BY-Demands'!$J$5:$AK$14,MATCH($E68,'BY-Demands'!$I$5:$I$14,0),FALSE)*HLOOKUP(REG_TRA_DEMANDS!$F68,DEMANDS!$G$2:$CK$25,MATCH($E68,DEMANDS!$E$2:$E$25,0),FALSE)/HLOOKUP(2018,DEMANDS!$G$2:$CK$25,MATCH($E68,DEMANDS!$E$2:$E$25,0),FALSE)</f>
        <v>0.9495508441354692</v>
      </c>
      <c r="O68" s="19">
        <f>HLOOKUP(REG_TRA_DEMANDS!O$3,'BY-Demands'!$J$5:$AK$14,MATCH($E68,'BY-Demands'!$I$5:$I$14,0),FALSE)*HLOOKUP(REG_TRA_DEMANDS!$F68,DEMANDS!$G$2:$CK$25,MATCH($E68,DEMANDS!$E$2:$E$25,0),FALSE)/HLOOKUP(2018,DEMANDS!$G$2:$CK$25,MATCH($E68,DEMANDS!$E$2:$E$25,0),FALSE)</f>
        <v>0.40927306305166572</v>
      </c>
      <c r="P68" s="19">
        <f>HLOOKUP(REG_TRA_DEMANDS!P$3,'BY-Demands'!$J$5:$AK$14,MATCH($E68,'BY-Demands'!$I$5:$I$14,0),FALSE)*HLOOKUP(REG_TRA_DEMANDS!$F68,DEMANDS!$G$2:$CK$25,MATCH($E68,DEMANDS!$E$2:$E$25,0),FALSE)/HLOOKUP(2018,DEMANDS!$G$2:$CK$25,MATCH($E68,DEMANDS!$E$2:$E$25,0),FALSE)</f>
        <v>0.45356852361282979</v>
      </c>
      <c r="Q68" s="19">
        <f>HLOOKUP(REG_TRA_DEMANDS!Q$3,'BY-Demands'!$J$5:$AK$14,MATCH($E68,'BY-Demands'!$I$5:$I$14,0),FALSE)*HLOOKUP(REG_TRA_DEMANDS!$F68,DEMANDS!$G$2:$CK$25,MATCH($E68,DEMANDS!$E$2:$E$25,0),FALSE)/HLOOKUP(2018,DEMANDS!$G$2:$CK$25,MATCH($E68,DEMANDS!$E$2:$E$25,0),FALSE)</f>
        <v>0.80616818165813531</v>
      </c>
      <c r="R68" s="19">
        <f>HLOOKUP(REG_TRA_DEMANDS!R$3,'BY-Demands'!$J$5:$AK$14,MATCH($E68,'BY-Demands'!$I$5:$I$14,0),FALSE)*HLOOKUP(REG_TRA_DEMANDS!$F68,DEMANDS!$G$2:$CK$25,MATCH($E68,DEMANDS!$E$2:$E$25,0),FALSE)/HLOOKUP(2018,DEMANDS!$G$2:$CK$25,MATCH($E68,DEMANDS!$E$2:$E$25,0),FALSE)</f>
        <v>0.69032522847679589</v>
      </c>
      <c r="S68" s="19">
        <f>HLOOKUP(REG_TRA_DEMANDS!S$3,'BY-Demands'!$J$5:$AK$14,MATCH($E68,'BY-Demands'!$I$5:$I$14,0),FALSE)*HLOOKUP(REG_TRA_DEMANDS!$F68,DEMANDS!$G$2:$CK$25,MATCH($E68,DEMANDS!$E$2:$E$25,0),FALSE)/HLOOKUP(2018,DEMANDS!$G$2:$CK$25,MATCH($E68,DEMANDS!$E$2:$E$25,0),FALSE)</f>
        <v>0.61894697153985268</v>
      </c>
      <c r="T68" s="19">
        <f>HLOOKUP(REG_TRA_DEMANDS!T$3,'BY-Demands'!$J$5:$AK$14,MATCH($E68,'BY-Demands'!$I$5:$I$14,0),FALSE)*HLOOKUP(REG_TRA_DEMANDS!$F68,DEMANDS!$G$2:$CK$25,MATCH($E68,DEMANDS!$E$2:$E$25,0),FALSE)/HLOOKUP(2018,DEMANDS!$G$2:$CK$25,MATCH($E68,DEMANDS!$E$2:$E$25,0),FALSE)</f>
        <v>2.5238214668406367</v>
      </c>
      <c r="U68" s="19">
        <f>HLOOKUP(REG_TRA_DEMANDS!U$3,'BY-Demands'!$J$5:$AK$14,MATCH($E68,'BY-Demands'!$I$5:$I$14,0),FALSE)*HLOOKUP(REG_TRA_DEMANDS!$F68,DEMANDS!$G$2:$CK$25,MATCH($E68,DEMANDS!$E$2:$E$25,0),FALSE)/HLOOKUP(2018,DEMANDS!$G$2:$CK$25,MATCH($E68,DEMANDS!$E$2:$E$25,0),FALSE)</f>
        <v>0.83933320895144248</v>
      </c>
      <c r="V68" s="19">
        <f>HLOOKUP(REG_TRA_DEMANDS!V$3,'BY-Demands'!$J$5:$AK$14,MATCH($E68,'BY-Demands'!$I$5:$I$14,0),FALSE)*HLOOKUP(REG_TRA_DEMANDS!$F68,DEMANDS!$G$2:$CK$25,MATCH($E68,DEMANDS!$E$2:$E$25,0),FALSE)/HLOOKUP(2018,DEMANDS!$G$2:$CK$25,MATCH($E68,DEMANDS!$E$2:$E$25,0),FALSE)</f>
        <v>0.92979385966589201</v>
      </c>
      <c r="W68" s="19">
        <f>HLOOKUP(REG_TRA_DEMANDS!W$3,'BY-Demands'!$J$5:$AK$14,MATCH($E68,'BY-Demands'!$I$5:$I$14,0),FALSE)*HLOOKUP(REG_TRA_DEMANDS!$F68,DEMANDS!$G$2:$CK$25,MATCH($E68,DEMANDS!$E$2:$E$25,0),FALSE)/HLOOKUP(2018,DEMANDS!$G$2:$CK$25,MATCH($E68,DEMANDS!$E$2:$E$25,0),FALSE)</f>
        <v>0.89951097925593149</v>
      </c>
      <c r="X68" s="19">
        <f>HLOOKUP(REG_TRA_DEMANDS!X$3,'BY-Demands'!$J$5:$AK$14,MATCH($E68,'BY-Demands'!$I$5:$I$14,0),FALSE)*HLOOKUP(REG_TRA_DEMANDS!$F68,DEMANDS!$G$2:$CK$25,MATCH($E68,DEMANDS!$E$2:$E$25,0),FALSE)/HLOOKUP(2018,DEMANDS!$G$2:$CK$25,MATCH($E68,DEMANDS!$E$2:$E$25,0),FALSE)</f>
        <v>0.56646505847143924</v>
      </c>
      <c r="Y68" s="19">
        <f>HLOOKUP(REG_TRA_DEMANDS!Y$3,'BY-Demands'!$J$5:$AK$14,MATCH($E68,'BY-Demands'!$I$5:$I$14,0),FALSE)*HLOOKUP(REG_TRA_DEMANDS!$F68,DEMANDS!$G$2:$CK$25,MATCH($E68,DEMANDS!$E$2:$E$25,0),FALSE)/HLOOKUP(2018,DEMANDS!$G$2:$CK$25,MATCH($E68,DEMANDS!$E$2:$E$25,0),FALSE)</f>
        <v>1.286999728819046</v>
      </c>
      <c r="Z68" s="19">
        <f>HLOOKUP(REG_TRA_DEMANDS!Z$3,'BY-Demands'!$J$5:$AK$14,MATCH($E68,'BY-Demands'!$I$5:$I$14,0),FALSE)*HLOOKUP(REG_TRA_DEMANDS!$F68,DEMANDS!$G$2:$CK$25,MATCH($E68,DEMANDS!$E$2:$E$25,0),FALSE)/HLOOKUP(2018,DEMANDS!$G$2:$CK$25,MATCH($E68,DEMANDS!$E$2:$E$25,0),FALSE)</f>
        <v>0.16603318784571328</v>
      </c>
      <c r="AA68" s="19">
        <f>HLOOKUP(REG_TRA_DEMANDS!AA$3,'BY-Demands'!$J$5:$AK$14,MATCH($E68,'BY-Demands'!$I$5:$I$14,0),FALSE)*HLOOKUP(REG_TRA_DEMANDS!$F68,DEMANDS!$G$2:$CK$25,MATCH($E68,DEMANDS!$E$2:$E$25,0),FALSE)/HLOOKUP(2018,DEMANDS!$G$2:$CK$25,MATCH($E68,DEMANDS!$E$2:$E$25,0),FALSE)</f>
        <v>0.71366492614136778</v>
      </c>
      <c r="AB68" s="19">
        <f>HLOOKUP(REG_TRA_DEMANDS!AB$3,'BY-Demands'!$J$5:$AK$14,MATCH($E68,'BY-Demands'!$I$5:$I$14,0),FALSE)*HLOOKUP(REG_TRA_DEMANDS!$F68,DEMANDS!$G$2:$CK$25,MATCH($E68,DEMANDS!$E$2:$E$25,0),FALSE)/HLOOKUP(2018,DEMANDS!$G$2:$CK$25,MATCH($E68,DEMANDS!$E$2:$E$25,0),FALSE)</f>
        <v>0.37407647193467497</v>
      </c>
      <c r="AC68" s="19">
        <f>HLOOKUP(REG_TRA_DEMANDS!AC$3,'BY-Demands'!$J$5:$AK$14,MATCH($E68,'BY-Demands'!$I$5:$I$14,0),FALSE)*HLOOKUP(REG_TRA_DEMANDS!$F68,DEMANDS!$G$2:$CK$25,MATCH($E68,DEMANDS!$E$2:$E$25,0),FALSE)/HLOOKUP(2018,DEMANDS!$G$2:$CK$25,MATCH($E68,DEMANDS!$E$2:$E$25,0),FALSE)</f>
        <v>0.31179546682137249</v>
      </c>
      <c r="AD68" s="19">
        <f>HLOOKUP(REG_TRA_DEMANDS!AD$3,'BY-Demands'!$J$5:$AK$14,MATCH($E68,'BY-Demands'!$I$5:$I$14,0),FALSE)*HLOOKUP(REG_TRA_DEMANDS!$F68,DEMANDS!$G$2:$CK$25,MATCH($E68,DEMANDS!$E$2:$E$25,0),FALSE)/HLOOKUP(2018,DEMANDS!$G$2:$CK$25,MATCH($E68,DEMANDS!$E$2:$E$25,0),FALSE)</f>
        <v>0.33346396364718339</v>
      </c>
      <c r="AE68" s="19">
        <f>HLOOKUP(REG_TRA_DEMANDS!AE$3,'BY-Demands'!$J$5:$AK$14,MATCH($E68,'BY-Demands'!$I$5:$I$14,0),FALSE)*HLOOKUP(REG_TRA_DEMANDS!$F68,DEMANDS!$G$2:$CK$25,MATCH($E68,DEMANDS!$E$2:$E$25,0),FALSE)/HLOOKUP(2018,DEMANDS!$G$2:$CK$25,MATCH($E68,DEMANDS!$E$2:$E$25,0),FALSE)</f>
        <v>0.6142649573606318</v>
      </c>
      <c r="AF68" s="19">
        <f>HLOOKUP(REG_TRA_DEMANDS!AF$3,'BY-Demands'!$J$5:$AK$14,MATCH($E68,'BY-Demands'!$I$5:$I$14,0),FALSE)*HLOOKUP(REG_TRA_DEMANDS!$F68,DEMANDS!$G$2:$CK$25,MATCH($E68,DEMANDS!$E$2:$E$25,0),FALSE)/HLOOKUP(2018,DEMANDS!$G$2:$CK$25,MATCH($E68,DEMANDS!$E$2:$E$25,0),FALSE)</f>
        <v>0.35482783815111069</v>
      </c>
    </row>
    <row r="69" spans="4:32" ht="14.5">
      <c r="D69" t="s">
        <v>6</v>
      </c>
      <c r="E69" t="str">
        <f>DEMANDS!$E$19</f>
        <v>TRAPL</v>
      </c>
      <c r="F69">
        <v>2031</v>
      </c>
      <c r="G69" s="19">
        <f>HLOOKUP(REG_TRA_DEMANDS!G$3,'BY-Demands'!$J$5:$AK$14,MATCH($E69,'BY-Demands'!$I$5:$I$14,0),FALSE)*HLOOKUP(REG_TRA_DEMANDS!$F69,DEMANDS!$G$2:$CK$25,MATCH($E69,DEMANDS!$E$2:$E$25,0),FALSE)/HLOOKUP(2018,DEMANDS!$G$2:$CK$25,MATCH($E69,DEMANDS!$E$2:$E$25,0),FALSE)</f>
        <v>0.31765520827598032</v>
      </c>
      <c r="H69" s="19">
        <f>HLOOKUP(REG_TRA_DEMANDS!H$3,'BY-Demands'!$J$5:$AK$14,MATCH($E69,'BY-Demands'!$I$5:$I$14,0),FALSE)*HLOOKUP(REG_TRA_DEMANDS!$F69,DEMANDS!$G$2:$CK$25,MATCH($E69,DEMANDS!$E$2:$E$25,0),FALSE)/HLOOKUP(2018,DEMANDS!$G$2:$CK$25,MATCH($E69,DEMANDS!$E$2:$E$25,0),FALSE)</f>
        <v>5.6588246682464929</v>
      </c>
      <c r="I69" s="19">
        <f>HLOOKUP(REG_TRA_DEMANDS!I$3,'BY-Demands'!$J$5:$AK$14,MATCH($E69,'BY-Demands'!$I$5:$I$14,0),FALSE)*HLOOKUP(REG_TRA_DEMANDS!$F69,DEMANDS!$G$2:$CK$25,MATCH($E69,DEMANDS!$E$2:$E$25,0),FALSE)/HLOOKUP(2018,DEMANDS!$G$2:$CK$25,MATCH($E69,DEMANDS!$E$2:$E$25,0),FALSE)</f>
        <v>1.1433589637826369</v>
      </c>
      <c r="J69" s="19">
        <f>HLOOKUP(REG_TRA_DEMANDS!J$3,'BY-Demands'!$J$5:$AK$14,MATCH($E69,'BY-Demands'!$I$5:$I$14,0),FALSE)*HLOOKUP(REG_TRA_DEMANDS!$F69,DEMANDS!$G$2:$CK$25,MATCH($E69,DEMANDS!$E$2:$E$25,0),FALSE)/HLOOKUP(2018,DEMANDS!$G$2:$CK$25,MATCH($E69,DEMANDS!$E$2:$E$25,0),FALSE)</f>
        <v>0.55057318180974479</v>
      </c>
      <c r="K69" s="19">
        <f>HLOOKUP(REG_TRA_DEMANDS!K$3,'BY-Demands'!$J$5:$AK$14,MATCH($E69,'BY-Demands'!$I$5:$I$14,0),FALSE)*HLOOKUP(REG_TRA_DEMANDS!$F69,DEMANDS!$G$2:$CK$25,MATCH($E69,DEMANDS!$E$2:$E$25,0),FALSE)/HLOOKUP(2018,DEMANDS!$G$2:$CK$25,MATCH($E69,DEMANDS!$E$2:$E$25,0),FALSE)</f>
        <v>0.40907152202933222</v>
      </c>
      <c r="L69" s="19">
        <f>HLOOKUP(REG_TRA_DEMANDS!L$3,'BY-Demands'!$J$5:$AK$14,MATCH($E69,'BY-Demands'!$I$5:$I$14,0),FALSE)*HLOOKUP(REG_TRA_DEMANDS!$F69,DEMANDS!$G$2:$CK$25,MATCH($E69,DEMANDS!$E$2:$E$25,0),FALSE)/HLOOKUP(2018,DEMANDS!$G$2:$CK$25,MATCH($E69,DEMANDS!$E$2:$E$25,0),FALSE)</f>
        <v>0.21063594459771301</v>
      </c>
      <c r="M69" s="19">
        <f>HLOOKUP(REG_TRA_DEMANDS!M$3,'BY-Demands'!$J$5:$AK$14,MATCH($E69,'BY-Demands'!$I$5:$I$14,0),FALSE)*HLOOKUP(REG_TRA_DEMANDS!$F69,DEMANDS!$G$2:$CK$25,MATCH($E69,DEMANDS!$E$2:$E$25,0),FALSE)/HLOOKUP(2018,DEMANDS!$G$2:$CK$25,MATCH($E69,DEMANDS!$E$2:$E$25,0),FALSE)</f>
        <v>0.57235027659023929</v>
      </c>
      <c r="N69" s="19">
        <f>HLOOKUP(REG_TRA_DEMANDS!N$3,'BY-Demands'!$J$5:$AK$14,MATCH($E69,'BY-Demands'!$I$5:$I$14,0),FALSE)*HLOOKUP(REG_TRA_DEMANDS!$F69,DEMANDS!$G$2:$CK$25,MATCH($E69,DEMANDS!$E$2:$E$25,0),FALSE)/HLOOKUP(2018,DEMANDS!$G$2:$CK$25,MATCH($E69,DEMANDS!$E$2:$E$25,0),FALSE)</f>
        <v>0.97328961523885582</v>
      </c>
      <c r="O69" s="19">
        <f>HLOOKUP(REG_TRA_DEMANDS!O$3,'BY-Demands'!$J$5:$AK$14,MATCH($E69,'BY-Demands'!$I$5:$I$14,0),FALSE)*HLOOKUP(REG_TRA_DEMANDS!$F69,DEMANDS!$G$2:$CK$25,MATCH($E69,DEMANDS!$E$2:$E$25,0),FALSE)/HLOOKUP(2018,DEMANDS!$G$2:$CK$25,MATCH($E69,DEMANDS!$E$2:$E$25,0),FALSE)</f>
        <v>0.41950488962795734</v>
      </c>
      <c r="P69" s="19">
        <f>HLOOKUP(REG_TRA_DEMANDS!P$3,'BY-Demands'!$J$5:$AK$14,MATCH($E69,'BY-Demands'!$I$5:$I$14,0),FALSE)*HLOOKUP(REG_TRA_DEMANDS!$F69,DEMANDS!$G$2:$CK$25,MATCH($E69,DEMANDS!$E$2:$E$25,0),FALSE)/HLOOKUP(2018,DEMANDS!$G$2:$CK$25,MATCH($E69,DEMANDS!$E$2:$E$25,0),FALSE)</f>
        <v>0.46490773670315044</v>
      </c>
      <c r="Q69" s="19">
        <f>HLOOKUP(REG_TRA_DEMANDS!Q$3,'BY-Demands'!$J$5:$AK$14,MATCH($E69,'BY-Demands'!$I$5:$I$14,0),FALSE)*HLOOKUP(REG_TRA_DEMANDS!$F69,DEMANDS!$G$2:$CK$25,MATCH($E69,DEMANDS!$E$2:$E$25,0),FALSE)/HLOOKUP(2018,DEMANDS!$G$2:$CK$25,MATCH($E69,DEMANDS!$E$2:$E$25,0),FALSE)</f>
        <v>0.82632238619958864</v>
      </c>
      <c r="R69" s="19">
        <f>HLOOKUP(REG_TRA_DEMANDS!R$3,'BY-Demands'!$J$5:$AK$14,MATCH($E69,'BY-Demands'!$I$5:$I$14,0),FALSE)*HLOOKUP(REG_TRA_DEMANDS!$F69,DEMANDS!$G$2:$CK$25,MATCH($E69,DEMANDS!$E$2:$E$25,0),FALSE)/HLOOKUP(2018,DEMANDS!$G$2:$CK$25,MATCH($E69,DEMANDS!$E$2:$E$25,0),FALSE)</f>
        <v>0.70758335918871573</v>
      </c>
      <c r="S69" s="19">
        <f>HLOOKUP(REG_TRA_DEMANDS!S$3,'BY-Demands'!$J$5:$AK$14,MATCH($E69,'BY-Demands'!$I$5:$I$14,0),FALSE)*HLOOKUP(REG_TRA_DEMANDS!$F69,DEMANDS!$G$2:$CK$25,MATCH($E69,DEMANDS!$E$2:$E$25,0),FALSE)/HLOOKUP(2018,DEMANDS!$G$2:$CK$25,MATCH($E69,DEMANDS!$E$2:$E$25,0),FALSE)</f>
        <v>0.63442064582834889</v>
      </c>
      <c r="T69" s="19">
        <f>HLOOKUP(REG_TRA_DEMANDS!T$3,'BY-Demands'!$J$5:$AK$14,MATCH($E69,'BY-Demands'!$I$5:$I$14,0),FALSE)*HLOOKUP(REG_TRA_DEMANDS!$F69,DEMANDS!$G$2:$CK$25,MATCH($E69,DEMANDS!$E$2:$E$25,0),FALSE)/HLOOKUP(2018,DEMANDS!$G$2:$CK$25,MATCH($E69,DEMANDS!$E$2:$E$25,0),FALSE)</f>
        <v>2.5869170035116524</v>
      </c>
      <c r="U69" s="19">
        <f>HLOOKUP(REG_TRA_DEMANDS!U$3,'BY-Demands'!$J$5:$AK$14,MATCH($E69,'BY-Demands'!$I$5:$I$14,0),FALSE)*HLOOKUP(REG_TRA_DEMANDS!$F69,DEMANDS!$G$2:$CK$25,MATCH($E69,DEMANDS!$E$2:$E$25,0),FALSE)/HLOOKUP(2018,DEMANDS!$G$2:$CK$25,MATCH($E69,DEMANDS!$E$2:$E$25,0),FALSE)</f>
        <v>0.86031653917522832</v>
      </c>
      <c r="V69" s="19">
        <f>HLOOKUP(REG_TRA_DEMANDS!V$3,'BY-Demands'!$J$5:$AK$14,MATCH($E69,'BY-Demands'!$I$5:$I$14,0),FALSE)*HLOOKUP(REG_TRA_DEMANDS!$F69,DEMANDS!$G$2:$CK$25,MATCH($E69,DEMANDS!$E$2:$E$25,0),FALSE)/HLOOKUP(2018,DEMANDS!$G$2:$CK$25,MATCH($E69,DEMANDS!$E$2:$E$25,0),FALSE)</f>
        <v>0.95303870615753916</v>
      </c>
      <c r="W69" s="19">
        <f>HLOOKUP(REG_TRA_DEMANDS!W$3,'BY-Demands'!$J$5:$AK$14,MATCH($E69,'BY-Demands'!$I$5:$I$14,0),FALSE)*HLOOKUP(REG_TRA_DEMANDS!$F69,DEMANDS!$G$2:$CK$25,MATCH($E69,DEMANDS!$E$2:$E$25,0),FALSE)/HLOOKUP(2018,DEMANDS!$G$2:$CK$25,MATCH($E69,DEMANDS!$E$2:$E$25,0),FALSE)</f>
        <v>0.92199875373732965</v>
      </c>
      <c r="X69" s="19">
        <f>HLOOKUP(REG_TRA_DEMANDS!X$3,'BY-Demands'!$J$5:$AK$14,MATCH($E69,'BY-Demands'!$I$5:$I$14,0),FALSE)*HLOOKUP(REG_TRA_DEMANDS!$F69,DEMANDS!$G$2:$CK$25,MATCH($E69,DEMANDS!$E$2:$E$25,0),FALSE)/HLOOKUP(2018,DEMANDS!$G$2:$CK$25,MATCH($E69,DEMANDS!$E$2:$E$25,0),FALSE)</f>
        <v>0.58062668493322511</v>
      </c>
      <c r="Y69" s="19">
        <f>HLOOKUP(REG_TRA_DEMANDS!Y$3,'BY-Demands'!$J$5:$AK$14,MATCH($E69,'BY-Demands'!$I$5:$I$14,0),FALSE)*HLOOKUP(REG_TRA_DEMANDS!$F69,DEMANDS!$G$2:$CK$25,MATCH($E69,DEMANDS!$E$2:$E$25,0),FALSE)/HLOOKUP(2018,DEMANDS!$G$2:$CK$25,MATCH($E69,DEMANDS!$E$2:$E$25,0),FALSE)</f>
        <v>1.319174722039522</v>
      </c>
      <c r="Z69" s="19">
        <f>HLOOKUP(REG_TRA_DEMANDS!Z$3,'BY-Demands'!$J$5:$AK$14,MATCH($E69,'BY-Demands'!$I$5:$I$14,0),FALSE)*HLOOKUP(REG_TRA_DEMANDS!$F69,DEMANDS!$G$2:$CK$25,MATCH($E69,DEMANDS!$E$2:$E$25,0),FALSE)/HLOOKUP(2018,DEMANDS!$G$2:$CK$25,MATCH($E69,DEMANDS!$E$2:$E$25,0),FALSE)</f>
        <v>0.17018401754185608</v>
      </c>
      <c r="AA69" s="19">
        <f>HLOOKUP(REG_TRA_DEMANDS!AA$3,'BY-Demands'!$J$5:$AK$14,MATCH($E69,'BY-Demands'!$I$5:$I$14,0),FALSE)*HLOOKUP(REG_TRA_DEMANDS!$F69,DEMANDS!$G$2:$CK$25,MATCH($E69,DEMANDS!$E$2:$E$25,0),FALSE)/HLOOKUP(2018,DEMANDS!$G$2:$CK$25,MATCH($E69,DEMANDS!$E$2:$E$25,0),FALSE)</f>
        <v>0.73150654929490189</v>
      </c>
      <c r="AB69" s="19">
        <f>HLOOKUP(REG_TRA_DEMANDS!AB$3,'BY-Demands'!$J$5:$AK$14,MATCH($E69,'BY-Demands'!$I$5:$I$14,0),FALSE)*HLOOKUP(REG_TRA_DEMANDS!$F69,DEMANDS!$G$2:$CK$25,MATCH($E69,DEMANDS!$E$2:$E$25,0),FALSE)/HLOOKUP(2018,DEMANDS!$G$2:$CK$25,MATCH($E69,DEMANDS!$E$2:$E$25,0),FALSE)</f>
        <v>0.38342838373304183</v>
      </c>
      <c r="AC69" s="19">
        <f>HLOOKUP(REG_TRA_DEMANDS!AC$3,'BY-Demands'!$J$5:$AK$14,MATCH($E69,'BY-Demands'!$I$5:$I$14,0),FALSE)*HLOOKUP(REG_TRA_DEMANDS!$F69,DEMANDS!$G$2:$CK$25,MATCH($E69,DEMANDS!$E$2:$E$25,0),FALSE)/HLOOKUP(2018,DEMANDS!$G$2:$CK$25,MATCH($E69,DEMANDS!$E$2:$E$25,0),FALSE)</f>
        <v>0.31959035349190679</v>
      </c>
      <c r="AD69" s="19">
        <f>HLOOKUP(REG_TRA_DEMANDS!AD$3,'BY-Demands'!$J$5:$AK$14,MATCH($E69,'BY-Demands'!$I$5:$I$14,0),FALSE)*HLOOKUP(REG_TRA_DEMANDS!$F69,DEMANDS!$G$2:$CK$25,MATCH($E69,DEMANDS!$E$2:$E$25,0),FALSE)/HLOOKUP(2018,DEMANDS!$G$2:$CK$25,MATCH($E69,DEMANDS!$E$2:$E$25,0),FALSE)</f>
        <v>0.3418005627383629</v>
      </c>
      <c r="AE69" s="19">
        <f>HLOOKUP(REG_TRA_DEMANDS!AE$3,'BY-Demands'!$J$5:$AK$14,MATCH($E69,'BY-Demands'!$I$5:$I$14,0),FALSE)*HLOOKUP(REG_TRA_DEMANDS!$F69,DEMANDS!$G$2:$CK$25,MATCH($E69,DEMANDS!$E$2:$E$25,0),FALSE)/HLOOKUP(2018,DEMANDS!$G$2:$CK$25,MATCH($E69,DEMANDS!$E$2:$E$25,0),FALSE)</f>
        <v>0.62962158129464763</v>
      </c>
      <c r="AF69" s="19">
        <f>HLOOKUP(REG_TRA_DEMANDS!AF$3,'BY-Demands'!$J$5:$AK$14,MATCH($E69,'BY-Demands'!$I$5:$I$14,0),FALSE)*HLOOKUP(REG_TRA_DEMANDS!$F69,DEMANDS!$G$2:$CK$25,MATCH($E69,DEMANDS!$E$2:$E$25,0),FALSE)/HLOOKUP(2018,DEMANDS!$G$2:$CK$25,MATCH($E69,DEMANDS!$E$2:$E$25,0),FALSE)</f>
        <v>0.36369853410488839</v>
      </c>
    </row>
    <row r="70" spans="4:32" ht="14.5">
      <c r="D70" t="s">
        <v>6</v>
      </c>
      <c r="E70" t="str">
        <f>DEMANDS!$E$19</f>
        <v>TRAPL</v>
      </c>
      <c r="F70">
        <v>2032</v>
      </c>
      <c r="G70" s="19">
        <f>HLOOKUP(REG_TRA_DEMANDS!G$3,'BY-Demands'!$J$5:$AK$14,MATCH($E70,'BY-Demands'!$I$5:$I$14,0),FALSE)*HLOOKUP(REG_TRA_DEMANDS!$F70,DEMANDS!$G$2:$CK$25,MATCH($E70,DEMANDS!$E$2:$E$25,0),FALSE)/HLOOKUP(2018,DEMANDS!$G$2:$CK$25,MATCH($E70,DEMANDS!$E$2:$E$25,0),FALSE)</f>
        <v>0.32559658848287981</v>
      </c>
      <c r="H70" s="19">
        <f>HLOOKUP(REG_TRA_DEMANDS!H$3,'BY-Demands'!$J$5:$AK$14,MATCH($E70,'BY-Demands'!$I$5:$I$14,0),FALSE)*HLOOKUP(REG_TRA_DEMANDS!$F70,DEMANDS!$G$2:$CK$25,MATCH($E70,DEMANDS!$E$2:$E$25,0),FALSE)/HLOOKUP(2018,DEMANDS!$G$2:$CK$25,MATCH($E70,DEMANDS!$E$2:$E$25,0),FALSE)</f>
        <v>5.8002952849526555</v>
      </c>
      <c r="I70" s="19">
        <f>HLOOKUP(REG_TRA_DEMANDS!I$3,'BY-Demands'!$J$5:$AK$14,MATCH($E70,'BY-Demands'!$I$5:$I$14,0),FALSE)*HLOOKUP(REG_TRA_DEMANDS!$F70,DEMANDS!$G$2:$CK$25,MATCH($E70,DEMANDS!$E$2:$E$25,0),FALSE)/HLOOKUP(2018,DEMANDS!$G$2:$CK$25,MATCH($E70,DEMANDS!$E$2:$E$25,0),FALSE)</f>
        <v>1.1719429378772026</v>
      </c>
      <c r="J70" s="19">
        <f>HLOOKUP(REG_TRA_DEMANDS!J$3,'BY-Demands'!$J$5:$AK$14,MATCH($E70,'BY-Demands'!$I$5:$I$14,0),FALSE)*HLOOKUP(REG_TRA_DEMANDS!$F70,DEMANDS!$G$2:$CK$25,MATCH($E70,DEMANDS!$E$2:$E$25,0),FALSE)/HLOOKUP(2018,DEMANDS!$G$2:$CK$25,MATCH($E70,DEMANDS!$E$2:$E$25,0),FALSE)</f>
        <v>0.56433751135498833</v>
      </c>
      <c r="K70" s="19">
        <f>HLOOKUP(REG_TRA_DEMANDS!K$3,'BY-Demands'!$J$5:$AK$14,MATCH($E70,'BY-Demands'!$I$5:$I$14,0),FALSE)*HLOOKUP(REG_TRA_DEMANDS!$F70,DEMANDS!$G$2:$CK$25,MATCH($E70,DEMANDS!$E$2:$E$25,0),FALSE)/HLOOKUP(2018,DEMANDS!$G$2:$CK$25,MATCH($E70,DEMANDS!$E$2:$E$25,0),FALSE)</f>
        <v>0.41929831008006552</v>
      </c>
      <c r="L70" s="19">
        <f>HLOOKUP(REG_TRA_DEMANDS!L$3,'BY-Demands'!$J$5:$AK$14,MATCH($E70,'BY-Demands'!$I$5:$I$14,0),FALSE)*HLOOKUP(REG_TRA_DEMANDS!$F70,DEMANDS!$G$2:$CK$25,MATCH($E70,DEMANDS!$E$2:$E$25,0),FALSE)/HLOOKUP(2018,DEMANDS!$G$2:$CK$25,MATCH($E70,DEMANDS!$E$2:$E$25,0),FALSE)</f>
        <v>0.21590184321265582</v>
      </c>
      <c r="M70" s="19">
        <f>HLOOKUP(REG_TRA_DEMANDS!M$3,'BY-Demands'!$J$5:$AK$14,MATCH($E70,'BY-Demands'!$I$5:$I$14,0),FALSE)*HLOOKUP(REG_TRA_DEMANDS!$F70,DEMANDS!$G$2:$CK$25,MATCH($E70,DEMANDS!$E$2:$E$25,0),FALSE)/HLOOKUP(2018,DEMANDS!$G$2:$CK$25,MATCH($E70,DEMANDS!$E$2:$E$25,0),FALSE)</f>
        <v>0.58665903350499515</v>
      </c>
      <c r="N70" s="19">
        <f>HLOOKUP(REG_TRA_DEMANDS!N$3,'BY-Demands'!$J$5:$AK$14,MATCH($E70,'BY-Demands'!$I$5:$I$14,0),FALSE)*HLOOKUP(REG_TRA_DEMANDS!$F70,DEMANDS!$G$2:$CK$25,MATCH($E70,DEMANDS!$E$2:$E$25,0),FALSE)/HLOOKUP(2018,DEMANDS!$G$2:$CK$25,MATCH($E70,DEMANDS!$E$2:$E$25,0),FALSE)</f>
        <v>0.99762185561982719</v>
      </c>
      <c r="O70" s="19">
        <f>HLOOKUP(REG_TRA_DEMANDS!O$3,'BY-Demands'!$J$5:$AK$14,MATCH($E70,'BY-Demands'!$I$5:$I$14,0),FALSE)*HLOOKUP(REG_TRA_DEMANDS!$F70,DEMANDS!$G$2:$CK$25,MATCH($E70,DEMANDS!$E$2:$E$25,0),FALSE)/HLOOKUP(2018,DEMANDS!$G$2:$CK$25,MATCH($E70,DEMANDS!$E$2:$E$25,0),FALSE)</f>
        <v>0.42999251186865622</v>
      </c>
      <c r="P70" s="19">
        <f>HLOOKUP(REG_TRA_DEMANDS!P$3,'BY-Demands'!$J$5:$AK$14,MATCH($E70,'BY-Demands'!$I$5:$I$14,0),FALSE)*HLOOKUP(REG_TRA_DEMANDS!$F70,DEMANDS!$G$2:$CK$25,MATCH($E70,DEMANDS!$E$2:$E$25,0),FALSE)/HLOOKUP(2018,DEMANDS!$G$2:$CK$25,MATCH($E70,DEMANDS!$E$2:$E$25,0),FALSE)</f>
        <v>0.47653043012072915</v>
      </c>
      <c r="Q70" s="19">
        <f>HLOOKUP(REG_TRA_DEMANDS!Q$3,'BY-Demands'!$J$5:$AK$14,MATCH($E70,'BY-Demands'!$I$5:$I$14,0),FALSE)*HLOOKUP(REG_TRA_DEMANDS!$F70,DEMANDS!$G$2:$CK$25,MATCH($E70,DEMANDS!$E$2:$E$25,0),FALSE)/HLOOKUP(2018,DEMANDS!$G$2:$CK$25,MATCH($E70,DEMANDS!$E$2:$E$25,0),FALSE)</f>
        <v>0.84698044585457832</v>
      </c>
      <c r="R70" s="19">
        <f>HLOOKUP(REG_TRA_DEMANDS!R$3,'BY-Demands'!$J$5:$AK$14,MATCH($E70,'BY-Demands'!$I$5:$I$14,0),FALSE)*HLOOKUP(REG_TRA_DEMANDS!$F70,DEMANDS!$G$2:$CK$25,MATCH($E70,DEMANDS!$E$2:$E$25,0),FALSE)/HLOOKUP(2018,DEMANDS!$G$2:$CK$25,MATCH($E70,DEMANDS!$E$2:$E$25,0),FALSE)</f>
        <v>0.72527294316843349</v>
      </c>
      <c r="S70" s="19">
        <f>HLOOKUP(REG_TRA_DEMANDS!S$3,'BY-Demands'!$J$5:$AK$14,MATCH($E70,'BY-Demands'!$I$5:$I$14,0),FALSE)*HLOOKUP(REG_TRA_DEMANDS!$F70,DEMANDS!$G$2:$CK$25,MATCH($E70,DEMANDS!$E$2:$E$25,0),FALSE)/HLOOKUP(2018,DEMANDS!$G$2:$CK$25,MATCH($E70,DEMANDS!$E$2:$E$25,0),FALSE)</f>
        <v>0.65028116197405761</v>
      </c>
      <c r="T70" s="19">
        <f>HLOOKUP(REG_TRA_DEMANDS!T$3,'BY-Demands'!$J$5:$AK$14,MATCH($E70,'BY-Demands'!$I$5:$I$14,0),FALSE)*HLOOKUP(REG_TRA_DEMANDS!$F70,DEMANDS!$G$2:$CK$25,MATCH($E70,DEMANDS!$E$2:$E$25,0),FALSE)/HLOOKUP(2018,DEMANDS!$G$2:$CK$25,MATCH($E70,DEMANDS!$E$2:$E$25,0),FALSE)</f>
        <v>2.6515899285994435</v>
      </c>
      <c r="U70" s="19">
        <f>HLOOKUP(REG_TRA_DEMANDS!U$3,'BY-Demands'!$J$5:$AK$14,MATCH($E70,'BY-Demands'!$I$5:$I$14,0),FALSE)*HLOOKUP(REG_TRA_DEMANDS!$F70,DEMANDS!$G$2:$CK$25,MATCH($E70,DEMANDS!$E$2:$E$25,0),FALSE)/HLOOKUP(2018,DEMANDS!$G$2:$CK$25,MATCH($E70,DEMANDS!$E$2:$E$25,0),FALSE)</f>
        <v>0.88182445265460896</v>
      </c>
      <c r="V70" s="19">
        <f>HLOOKUP(REG_TRA_DEMANDS!V$3,'BY-Demands'!$J$5:$AK$14,MATCH($E70,'BY-Demands'!$I$5:$I$14,0),FALSE)*HLOOKUP(REG_TRA_DEMANDS!$F70,DEMANDS!$G$2:$CK$25,MATCH($E70,DEMANDS!$E$2:$E$25,0),FALSE)/HLOOKUP(2018,DEMANDS!$G$2:$CK$25,MATCH($E70,DEMANDS!$E$2:$E$25,0),FALSE)</f>
        <v>0.97686467381147768</v>
      </c>
      <c r="W70" s="19">
        <f>HLOOKUP(REG_TRA_DEMANDS!W$3,'BY-Demands'!$J$5:$AK$14,MATCH($E70,'BY-Demands'!$I$5:$I$14,0),FALSE)*HLOOKUP(REG_TRA_DEMANDS!$F70,DEMANDS!$G$2:$CK$25,MATCH($E70,DEMANDS!$E$2:$E$25,0),FALSE)/HLOOKUP(2018,DEMANDS!$G$2:$CK$25,MATCH($E70,DEMANDS!$E$2:$E$25,0),FALSE)</f>
        <v>0.94504872258076289</v>
      </c>
      <c r="X70" s="19">
        <f>HLOOKUP(REG_TRA_DEMANDS!X$3,'BY-Demands'!$J$5:$AK$14,MATCH($E70,'BY-Demands'!$I$5:$I$14,0),FALSE)*HLOOKUP(REG_TRA_DEMANDS!$F70,DEMANDS!$G$2:$CK$25,MATCH($E70,DEMANDS!$E$2:$E$25,0),FALSE)/HLOOKUP(2018,DEMANDS!$G$2:$CK$25,MATCH($E70,DEMANDS!$E$2:$E$25,0),FALSE)</f>
        <v>0.59514235205655563</v>
      </c>
      <c r="Y70" s="19">
        <f>HLOOKUP(REG_TRA_DEMANDS!Y$3,'BY-Demands'!$J$5:$AK$14,MATCH($E70,'BY-Demands'!$I$5:$I$14,0),FALSE)*HLOOKUP(REG_TRA_DEMANDS!$F70,DEMANDS!$G$2:$CK$25,MATCH($E70,DEMANDS!$E$2:$E$25,0),FALSE)/HLOOKUP(2018,DEMANDS!$G$2:$CK$25,MATCH($E70,DEMANDS!$E$2:$E$25,0),FALSE)</f>
        <v>1.35215409009051</v>
      </c>
      <c r="Z70" s="19">
        <f>HLOOKUP(REG_TRA_DEMANDS!Z$3,'BY-Demands'!$J$5:$AK$14,MATCH($E70,'BY-Demands'!$I$5:$I$14,0),FALSE)*HLOOKUP(REG_TRA_DEMANDS!$F70,DEMANDS!$G$2:$CK$25,MATCH($E70,DEMANDS!$E$2:$E$25,0),FALSE)/HLOOKUP(2018,DEMANDS!$G$2:$CK$25,MATCH($E70,DEMANDS!$E$2:$E$25,0),FALSE)</f>
        <v>0.17443861798040247</v>
      </c>
      <c r="AA70" s="19">
        <f>HLOOKUP(REG_TRA_DEMANDS!AA$3,'BY-Demands'!$J$5:$AK$14,MATCH($E70,'BY-Demands'!$I$5:$I$14,0),FALSE)*HLOOKUP(REG_TRA_DEMANDS!$F70,DEMANDS!$G$2:$CK$25,MATCH($E70,DEMANDS!$E$2:$E$25,0),FALSE)/HLOOKUP(2018,DEMANDS!$G$2:$CK$25,MATCH($E70,DEMANDS!$E$2:$E$25,0),FALSE)</f>
        <v>0.74979421302727423</v>
      </c>
      <c r="AB70" s="19">
        <f>HLOOKUP(REG_TRA_DEMANDS!AB$3,'BY-Demands'!$J$5:$AK$14,MATCH($E70,'BY-Demands'!$I$5:$I$14,0),FALSE)*HLOOKUP(REG_TRA_DEMANDS!$F70,DEMANDS!$G$2:$CK$25,MATCH($E70,DEMANDS!$E$2:$E$25,0),FALSE)/HLOOKUP(2018,DEMANDS!$G$2:$CK$25,MATCH($E70,DEMANDS!$E$2:$E$25,0),FALSE)</f>
        <v>0.39301409332636777</v>
      </c>
      <c r="AC70" s="19">
        <f>HLOOKUP(REG_TRA_DEMANDS!AC$3,'BY-Demands'!$J$5:$AK$14,MATCH($E70,'BY-Demands'!$I$5:$I$14,0),FALSE)*HLOOKUP(REG_TRA_DEMANDS!$F70,DEMANDS!$G$2:$CK$25,MATCH($E70,DEMANDS!$E$2:$E$25,0),FALSE)/HLOOKUP(2018,DEMANDS!$G$2:$CK$25,MATCH($E70,DEMANDS!$E$2:$E$25,0),FALSE)</f>
        <v>0.32758011232920442</v>
      </c>
      <c r="AD70" s="19">
        <f>HLOOKUP(REG_TRA_DEMANDS!AD$3,'BY-Demands'!$J$5:$AK$14,MATCH($E70,'BY-Demands'!$I$5:$I$14,0),FALSE)*HLOOKUP(REG_TRA_DEMANDS!$F70,DEMANDS!$G$2:$CK$25,MATCH($E70,DEMANDS!$E$2:$E$25,0),FALSE)/HLOOKUP(2018,DEMANDS!$G$2:$CK$25,MATCH($E70,DEMANDS!$E$2:$E$25,0),FALSE)</f>
        <v>0.35034557680682193</v>
      </c>
      <c r="AE70" s="19">
        <f>HLOOKUP(REG_TRA_DEMANDS!AE$3,'BY-Demands'!$J$5:$AK$14,MATCH($E70,'BY-Demands'!$I$5:$I$14,0),FALSE)*HLOOKUP(REG_TRA_DEMANDS!$F70,DEMANDS!$G$2:$CK$25,MATCH($E70,DEMANDS!$E$2:$E$25,0),FALSE)/HLOOKUP(2018,DEMANDS!$G$2:$CK$25,MATCH($E70,DEMANDS!$E$2:$E$25,0),FALSE)</f>
        <v>0.64536212082701372</v>
      </c>
      <c r="AF70" s="19">
        <f>HLOOKUP(REG_TRA_DEMANDS!AF$3,'BY-Demands'!$J$5:$AK$14,MATCH($E70,'BY-Demands'!$I$5:$I$14,0),FALSE)*HLOOKUP(REG_TRA_DEMANDS!$F70,DEMANDS!$G$2:$CK$25,MATCH($E70,DEMANDS!$E$2:$E$25,0),FALSE)/HLOOKUP(2018,DEMANDS!$G$2:$CK$25,MATCH($E70,DEMANDS!$E$2:$E$25,0),FALSE)</f>
        <v>0.37279099745751054</v>
      </c>
    </row>
    <row r="71" spans="4:32" ht="14.5">
      <c r="D71" t="s">
        <v>6</v>
      </c>
      <c r="E71" t="str">
        <f>DEMANDS!$E$19</f>
        <v>TRAPL</v>
      </c>
      <c r="F71">
        <v>2033</v>
      </c>
      <c r="G71" s="19">
        <f>HLOOKUP(REG_TRA_DEMANDS!G$3,'BY-Demands'!$J$5:$AK$14,MATCH($E71,'BY-Demands'!$I$5:$I$14,0),FALSE)*HLOOKUP(REG_TRA_DEMANDS!$F71,DEMANDS!$G$2:$CK$25,MATCH($E71,DEMANDS!$E$2:$E$25,0),FALSE)/HLOOKUP(2018,DEMANDS!$G$2:$CK$25,MATCH($E71,DEMANDS!$E$2:$E$25,0),FALSE)</f>
        <v>0.33373650319495174</v>
      </c>
      <c r="H71" s="19">
        <f>HLOOKUP(REG_TRA_DEMANDS!H$3,'BY-Demands'!$J$5:$AK$14,MATCH($E71,'BY-Demands'!$I$5:$I$14,0),FALSE)*HLOOKUP(REG_TRA_DEMANDS!$F71,DEMANDS!$G$2:$CK$25,MATCH($E71,DEMANDS!$E$2:$E$25,0),FALSE)/HLOOKUP(2018,DEMANDS!$G$2:$CK$25,MATCH($E71,DEMANDS!$E$2:$E$25,0),FALSE)</f>
        <v>5.9453026670764704</v>
      </c>
      <c r="I71" s="19">
        <f>HLOOKUP(REG_TRA_DEMANDS!I$3,'BY-Demands'!$J$5:$AK$14,MATCH($E71,'BY-Demands'!$I$5:$I$14,0),FALSE)*HLOOKUP(REG_TRA_DEMANDS!$F71,DEMANDS!$G$2:$CK$25,MATCH($E71,DEMANDS!$E$2:$E$25,0),FALSE)/HLOOKUP(2018,DEMANDS!$G$2:$CK$25,MATCH($E71,DEMANDS!$E$2:$E$25,0),FALSE)</f>
        <v>1.2012415113241326</v>
      </c>
      <c r="J71" s="19">
        <f>HLOOKUP(REG_TRA_DEMANDS!J$3,'BY-Demands'!$J$5:$AK$14,MATCH($E71,'BY-Demands'!$I$5:$I$14,0),FALSE)*HLOOKUP(REG_TRA_DEMANDS!$F71,DEMANDS!$G$2:$CK$25,MATCH($E71,DEMANDS!$E$2:$E$25,0),FALSE)/HLOOKUP(2018,DEMANDS!$G$2:$CK$25,MATCH($E71,DEMANDS!$E$2:$E$25,0),FALSE)</f>
        <v>0.57844594913886305</v>
      </c>
      <c r="K71" s="19">
        <f>HLOOKUP(REG_TRA_DEMANDS!K$3,'BY-Demands'!$J$5:$AK$14,MATCH($E71,'BY-Demands'!$I$5:$I$14,0),FALSE)*HLOOKUP(REG_TRA_DEMANDS!$F71,DEMANDS!$G$2:$CK$25,MATCH($E71,DEMANDS!$E$2:$E$25,0),FALSE)/HLOOKUP(2018,DEMANDS!$G$2:$CK$25,MATCH($E71,DEMANDS!$E$2:$E$25,0),FALSE)</f>
        <v>0.42978076783206709</v>
      </c>
      <c r="L71" s="19">
        <f>HLOOKUP(REG_TRA_DEMANDS!L$3,'BY-Demands'!$J$5:$AK$14,MATCH($E71,'BY-Demands'!$I$5:$I$14,0),FALSE)*HLOOKUP(REG_TRA_DEMANDS!$F71,DEMANDS!$G$2:$CK$25,MATCH($E71,DEMANDS!$E$2:$E$25,0),FALSE)/HLOOKUP(2018,DEMANDS!$G$2:$CK$25,MATCH($E71,DEMANDS!$E$2:$E$25,0),FALSE)</f>
        <v>0.22129938929297219</v>
      </c>
      <c r="M71" s="19">
        <f>HLOOKUP(REG_TRA_DEMANDS!M$3,'BY-Demands'!$J$5:$AK$14,MATCH($E71,'BY-Demands'!$I$5:$I$14,0),FALSE)*HLOOKUP(REG_TRA_DEMANDS!$F71,DEMANDS!$G$2:$CK$25,MATCH($E71,DEMANDS!$E$2:$E$25,0),FALSE)/HLOOKUP(2018,DEMANDS!$G$2:$CK$25,MATCH($E71,DEMANDS!$E$2:$E$25,0),FALSE)</f>
        <v>0.60132550934262008</v>
      </c>
      <c r="N71" s="19">
        <f>HLOOKUP(REG_TRA_DEMANDS!N$3,'BY-Demands'!$J$5:$AK$14,MATCH($E71,'BY-Demands'!$I$5:$I$14,0),FALSE)*HLOOKUP(REG_TRA_DEMANDS!$F71,DEMANDS!$G$2:$CK$25,MATCH($E71,DEMANDS!$E$2:$E$25,0),FALSE)/HLOOKUP(2018,DEMANDS!$G$2:$CK$25,MATCH($E71,DEMANDS!$E$2:$E$25,0),FALSE)</f>
        <v>1.0225624020103228</v>
      </c>
      <c r="O71" s="19">
        <f>HLOOKUP(REG_TRA_DEMANDS!O$3,'BY-Demands'!$J$5:$AK$14,MATCH($E71,'BY-Demands'!$I$5:$I$14,0),FALSE)*HLOOKUP(REG_TRA_DEMANDS!$F71,DEMANDS!$G$2:$CK$25,MATCH($E71,DEMANDS!$E$2:$E$25,0),FALSE)/HLOOKUP(2018,DEMANDS!$G$2:$CK$25,MATCH($E71,DEMANDS!$E$2:$E$25,0),FALSE)</f>
        <v>0.44074232466537255</v>
      </c>
      <c r="P71" s="19">
        <f>HLOOKUP(REG_TRA_DEMANDS!P$3,'BY-Demands'!$J$5:$AK$14,MATCH($E71,'BY-Demands'!$I$5:$I$14,0),FALSE)*HLOOKUP(REG_TRA_DEMANDS!$F71,DEMANDS!$G$2:$CK$25,MATCH($E71,DEMANDS!$E$2:$E$25,0),FALSE)/HLOOKUP(2018,DEMANDS!$G$2:$CK$25,MATCH($E71,DEMANDS!$E$2:$E$25,0),FALSE)</f>
        <v>0.48844369087374734</v>
      </c>
      <c r="Q71" s="19">
        <f>HLOOKUP(REG_TRA_DEMANDS!Q$3,'BY-Demands'!$J$5:$AK$14,MATCH($E71,'BY-Demands'!$I$5:$I$14,0),FALSE)*HLOOKUP(REG_TRA_DEMANDS!$F71,DEMANDS!$G$2:$CK$25,MATCH($E71,DEMANDS!$E$2:$E$25,0),FALSE)/HLOOKUP(2018,DEMANDS!$G$2:$CK$25,MATCH($E71,DEMANDS!$E$2:$E$25,0),FALSE)</f>
        <v>0.8681549570009427</v>
      </c>
      <c r="R71" s="19">
        <f>HLOOKUP(REG_TRA_DEMANDS!R$3,'BY-Demands'!$J$5:$AK$14,MATCH($E71,'BY-Demands'!$I$5:$I$14,0),FALSE)*HLOOKUP(REG_TRA_DEMANDS!$F71,DEMANDS!$G$2:$CK$25,MATCH($E71,DEMANDS!$E$2:$E$25,0),FALSE)/HLOOKUP(2018,DEMANDS!$G$2:$CK$25,MATCH($E71,DEMANDS!$E$2:$E$25,0),FALSE)</f>
        <v>0.74340476674764422</v>
      </c>
      <c r="S71" s="19">
        <f>HLOOKUP(REG_TRA_DEMANDS!S$3,'BY-Demands'!$J$5:$AK$14,MATCH($E71,'BY-Demands'!$I$5:$I$14,0),FALSE)*HLOOKUP(REG_TRA_DEMANDS!$F71,DEMANDS!$G$2:$CK$25,MATCH($E71,DEMANDS!$E$2:$E$25,0),FALSE)/HLOOKUP(2018,DEMANDS!$G$2:$CK$25,MATCH($E71,DEMANDS!$E$2:$E$25,0),FALSE)</f>
        <v>0.66653819102340894</v>
      </c>
      <c r="T71" s="19">
        <f>HLOOKUP(REG_TRA_DEMANDS!T$3,'BY-Demands'!$J$5:$AK$14,MATCH($E71,'BY-Demands'!$I$5:$I$14,0),FALSE)*HLOOKUP(REG_TRA_DEMANDS!$F71,DEMANDS!$G$2:$CK$25,MATCH($E71,DEMANDS!$E$2:$E$25,0),FALSE)/HLOOKUP(2018,DEMANDS!$G$2:$CK$25,MATCH($E71,DEMANDS!$E$2:$E$25,0),FALSE)</f>
        <v>2.7178796768144293</v>
      </c>
      <c r="U71" s="19">
        <f>HLOOKUP(REG_TRA_DEMANDS!U$3,'BY-Demands'!$J$5:$AK$14,MATCH($E71,'BY-Demands'!$I$5:$I$14,0),FALSE)*HLOOKUP(REG_TRA_DEMANDS!$F71,DEMANDS!$G$2:$CK$25,MATCH($E71,DEMANDS!$E$2:$E$25,0),FALSE)/HLOOKUP(2018,DEMANDS!$G$2:$CK$25,MATCH($E71,DEMANDS!$E$2:$E$25,0),FALSE)</f>
        <v>0.90387006397097414</v>
      </c>
      <c r="V71" s="19">
        <f>HLOOKUP(REG_TRA_DEMANDS!V$3,'BY-Demands'!$J$5:$AK$14,MATCH($E71,'BY-Demands'!$I$5:$I$14,0),FALSE)*HLOOKUP(REG_TRA_DEMANDS!$F71,DEMANDS!$G$2:$CK$25,MATCH($E71,DEMANDS!$E$2:$E$25,0),FALSE)/HLOOKUP(2018,DEMANDS!$G$2:$CK$25,MATCH($E71,DEMANDS!$E$2:$E$25,0),FALSE)</f>
        <v>1.0012862906567646</v>
      </c>
      <c r="W71" s="19">
        <f>HLOOKUP(REG_TRA_DEMANDS!W$3,'BY-Demands'!$J$5:$AK$14,MATCH($E71,'BY-Demands'!$I$5:$I$14,0),FALSE)*HLOOKUP(REG_TRA_DEMANDS!$F71,DEMANDS!$G$2:$CK$25,MATCH($E71,DEMANDS!$E$2:$E$25,0),FALSE)/HLOOKUP(2018,DEMANDS!$G$2:$CK$25,MATCH($E71,DEMANDS!$E$2:$E$25,0),FALSE)</f>
        <v>0.96867494064528181</v>
      </c>
      <c r="X71" s="19">
        <f>HLOOKUP(REG_TRA_DEMANDS!X$3,'BY-Demands'!$J$5:$AK$14,MATCH($E71,'BY-Demands'!$I$5:$I$14,0),FALSE)*HLOOKUP(REG_TRA_DEMANDS!$F71,DEMANDS!$G$2:$CK$25,MATCH($E71,DEMANDS!$E$2:$E$25,0),FALSE)/HLOOKUP(2018,DEMANDS!$G$2:$CK$25,MATCH($E71,DEMANDS!$E$2:$E$25,0),FALSE)</f>
        <v>0.6100209108579695</v>
      </c>
      <c r="Y71" s="19">
        <f>HLOOKUP(REG_TRA_DEMANDS!Y$3,'BY-Demands'!$J$5:$AK$14,MATCH($E71,'BY-Demands'!$I$5:$I$14,0),FALSE)*HLOOKUP(REG_TRA_DEMANDS!$F71,DEMANDS!$G$2:$CK$25,MATCH($E71,DEMANDS!$E$2:$E$25,0),FALSE)/HLOOKUP(2018,DEMANDS!$G$2:$CK$25,MATCH($E71,DEMANDS!$E$2:$E$25,0),FALSE)</f>
        <v>1.3859579423427726</v>
      </c>
      <c r="Z71" s="19">
        <f>HLOOKUP(REG_TRA_DEMANDS!Z$3,'BY-Demands'!$J$5:$AK$14,MATCH($E71,'BY-Demands'!$I$5:$I$14,0),FALSE)*HLOOKUP(REG_TRA_DEMANDS!$F71,DEMANDS!$G$2:$CK$25,MATCH($E71,DEMANDS!$E$2:$E$25,0),FALSE)/HLOOKUP(2018,DEMANDS!$G$2:$CK$25,MATCH($E71,DEMANDS!$E$2:$E$25,0),FALSE)</f>
        <v>0.17879958342991251</v>
      </c>
      <c r="AA71" s="19">
        <f>HLOOKUP(REG_TRA_DEMANDS!AA$3,'BY-Demands'!$J$5:$AK$14,MATCH($E71,'BY-Demands'!$I$5:$I$14,0),FALSE)*HLOOKUP(REG_TRA_DEMANDS!$F71,DEMANDS!$G$2:$CK$25,MATCH($E71,DEMANDS!$E$2:$E$25,0),FALSE)/HLOOKUP(2018,DEMANDS!$G$2:$CK$25,MATCH($E71,DEMANDS!$E$2:$E$25,0),FALSE)</f>
        <v>0.76853906835295616</v>
      </c>
      <c r="AB71" s="19">
        <f>HLOOKUP(REG_TRA_DEMANDS!AB$3,'BY-Demands'!$J$5:$AK$14,MATCH($E71,'BY-Demands'!$I$5:$I$14,0),FALSE)*HLOOKUP(REG_TRA_DEMANDS!$F71,DEMANDS!$G$2:$CK$25,MATCH($E71,DEMANDS!$E$2:$E$25,0),FALSE)/HLOOKUP(2018,DEMANDS!$G$2:$CK$25,MATCH($E71,DEMANDS!$E$2:$E$25,0),FALSE)</f>
        <v>0.40283944565952695</v>
      </c>
      <c r="AC71" s="19">
        <f>HLOOKUP(REG_TRA_DEMANDS!AC$3,'BY-Demands'!$J$5:$AK$14,MATCH($E71,'BY-Demands'!$I$5:$I$14,0),FALSE)*HLOOKUP(REG_TRA_DEMANDS!$F71,DEMANDS!$G$2:$CK$25,MATCH($E71,DEMANDS!$E$2:$E$25,0),FALSE)/HLOOKUP(2018,DEMANDS!$G$2:$CK$25,MATCH($E71,DEMANDS!$E$2:$E$25,0),FALSE)</f>
        <v>0.33576961513743447</v>
      </c>
      <c r="AD71" s="19">
        <f>HLOOKUP(REG_TRA_DEMANDS!AD$3,'BY-Demands'!$J$5:$AK$14,MATCH($E71,'BY-Demands'!$I$5:$I$14,0),FALSE)*HLOOKUP(REG_TRA_DEMANDS!$F71,DEMANDS!$G$2:$CK$25,MATCH($E71,DEMANDS!$E$2:$E$25,0),FALSE)/HLOOKUP(2018,DEMANDS!$G$2:$CK$25,MATCH($E71,DEMANDS!$E$2:$E$25,0),FALSE)</f>
        <v>0.35910421622699246</v>
      </c>
      <c r="AE71" s="19">
        <f>HLOOKUP(REG_TRA_DEMANDS!AE$3,'BY-Demands'!$J$5:$AK$14,MATCH($E71,'BY-Demands'!$I$5:$I$14,0),FALSE)*HLOOKUP(REG_TRA_DEMANDS!$F71,DEMANDS!$G$2:$CK$25,MATCH($E71,DEMANDS!$E$2:$E$25,0),FALSE)/HLOOKUP(2018,DEMANDS!$G$2:$CK$25,MATCH($E71,DEMANDS!$E$2:$E$25,0),FALSE)</f>
        <v>0.661496173847689</v>
      </c>
      <c r="AF71" s="19">
        <f>HLOOKUP(REG_TRA_DEMANDS!AF$3,'BY-Demands'!$J$5:$AK$14,MATCH($E71,'BY-Demands'!$I$5:$I$14,0),FALSE)*HLOOKUP(REG_TRA_DEMANDS!$F71,DEMANDS!$G$2:$CK$25,MATCH($E71,DEMANDS!$E$2:$E$25,0),FALSE)/HLOOKUP(2018,DEMANDS!$G$2:$CK$25,MATCH($E71,DEMANDS!$E$2:$E$25,0),FALSE)</f>
        <v>0.38211077239394831</v>
      </c>
    </row>
    <row r="72" spans="4:32" ht="14.5">
      <c r="D72" t="s">
        <v>6</v>
      </c>
      <c r="E72" t="str">
        <f>DEMANDS!$E$19</f>
        <v>TRAPL</v>
      </c>
      <c r="F72">
        <v>2034</v>
      </c>
      <c r="G72" s="19">
        <f>HLOOKUP(REG_TRA_DEMANDS!G$3,'BY-Demands'!$J$5:$AK$14,MATCH($E72,'BY-Demands'!$I$5:$I$14,0),FALSE)*HLOOKUP(REG_TRA_DEMANDS!$F72,DEMANDS!$G$2:$CK$25,MATCH($E72,DEMANDS!$E$2:$E$25,0),FALSE)/HLOOKUP(2018,DEMANDS!$G$2:$CK$25,MATCH($E72,DEMANDS!$E$2:$E$25,0),FALSE)</f>
        <v>0.34207991577482555</v>
      </c>
      <c r="H72" s="19">
        <f>HLOOKUP(REG_TRA_DEMANDS!H$3,'BY-Demands'!$J$5:$AK$14,MATCH($E72,'BY-Demands'!$I$5:$I$14,0),FALSE)*HLOOKUP(REG_TRA_DEMANDS!$F72,DEMANDS!$G$2:$CK$25,MATCH($E72,DEMANDS!$E$2:$E$25,0),FALSE)/HLOOKUP(2018,DEMANDS!$G$2:$CK$25,MATCH($E72,DEMANDS!$E$2:$E$25,0),FALSE)</f>
        <v>6.0939352337533821</v>
      </c>
      <c r="I72" s="19">
        <f>HLOOKUP(REG_TRA_DEMANDS!I$3,'BY-Demands'!$J$5:$AK$14,MATCH($E72,'BY-Demands'!$I$5:$I$14,0),FALSE)*HLOOKUP(REG_TRA_DEMANDS!$F72,DEMANDS!$G$2:$CK$25,MATCH($E72,DEMANDS!$E$2:$E$25,0),FALSE)/HLOOKUP(2018,DEMANDS!$G$2:$CK$25,MATCH($E72,DEMANDS!$E$2:$E$25,0),FALSE)</f>
        <v>1.2312725491072358</v>
      </c>
      <c r="J72" s="19">
        <f>HLOOKUP(REG_TRA_DEMANDS!J$3,'BY-Demands'!$J$5:$AK$14,MATCH($E72,'BY-Demands'!$I$5:$I$14,0),FALSE)*HLOOKUP(REG_TRA_DEMANDS!$F72,DEMANDS!$G$2:$CK$25,MATCH($E72,DEMANDS!$E$2:$E$25,0),FALSE)/HLOOKUP(2018,DEMANDS!$G$2:$CK$25,MATCH($E72,DEMANDS!$E$2:$E$25,0),FALSE)</f>
        <v>0.59290709786733442</v>
      </c>
      <c r="K72" s="19">
        <f>HLOOKUP(REG_TRA_DEMANDS!K$3,'BY-Demands'!$J$5:$AK$14,MATCH($E72,'BY-Demands'!$I$5:$I$14,0),FALSE)*HLOOKUP(REG_TRA_DEMANDS!$F72,DEMANDS!$G$2:$CK$25,MATCH($E72,DEMANDS!$E$2:$E$25,0),FALSE)/HLOOKUP(2018,DEMANDS!$G$2:$CK$25,MATCH($E72,DEMANDS!$E$2:$E$25,0),FALSE)</f>
        <v>0.44052528702786875</v>
      </c>
      <c r="L72" s="19">
        <f>HLOOKUP(REG_TRA_DEMANDS!L$3,'BY-Demands'!$J$5:$AK$14,MATCH($E72,'BY-Demands'!$I$5:$I$14,0),FALSE)*HLOOKUP(REG_TRA_DEMANDS!$F72,DEMANDS!$G$2:$CK$25,MATCH($E72,DEMANDS!$E$2:$E$25,0),FALSE)/HLOOKUP(2018,DEMANDS!$G$2:$CK$25,MATCH($E72,DEMANDS!$E$2:$E$25,0),FALSE)</f>
        <v>0.22683187402529648</v>
      </c>
      <c r="M72" s="19">
        <f>HLOOKUP(REG_TRA_DEMANDS!M$3,'BY-Demands'!$J$5:$AK$14,MATCH($E72,'BY-Demands'!$I$5:$I$14,0),FALSE)*HLOOKUP(REG_TRA_DEMANDS!$F72,DEMANDS!$G$2:$CK$25,MATCH($E72,DEMANDS!$E$2:$E$25,0),FALSE)/HLOOKUP(2018,DEMANDS!$G$2:$CK$25,MATCH($E72,DEMANDS!$E$2:$E$25,0),FALSE)</f>
        <v>0.61635864707618548</v>
      </c>
      <c r="N72" s="19">
        <f>HLOOKUP(REG_TRA_DEMANDS!N$3,'BY-Demands'!$J$5:$AK$14,MATCH($E72,'BY-Demands'!$I$5:$I$14,0),FALSE)*HLOOKUP(REG_TRA_DEMANDS!$F72,DEMANDS!$G$2:$CK$25,MATCH($E72,DEMANDS!$E$2:$E$25,0),FALSE)/HLOOKUP(2018,DEMANDS!$G$2:$CK$25,MATCH($E72,DEMANDS!$E$2:$E$25,0),FALSE)</f>
        <v>1.0481264620605808</v>
      </c>
      <c r="O72" s="19">
        <f>HLOOKUP(REG_TRA_DEMANDS!O$3,'BY-Demands'!$J$5:$AK$14,MATCH($E72,'BY-Demands'!$I$5:$I$14,0),FALSE)*HLOOKUP(REG_TRA_DEMANDS!$F72,DEMANDS!$G$2:$CK$25,MATCH($E72,DEMANDS!$E$2:$E$25,0),FALSE)/HLOOKUP(2018,DEMANDS!$G$2:$CK$25,MATCH($E72,DEMANDS!$E$2:$E$25,0),FALSE)</f>
        <v>0.45176088278200688</v>
      </c>
      <c r="P72" s="19">
        <f>HLOOKUP(REG_TRA_DEMANDS!P$3,'BY-Demands'!$J$5:$AK$14,MATCH($E72,'BY-Demands'!$I$5:$I$14,0),FALSE)*HLOOKUP(REG_TRA_DEMANDS!$F72,DEMANDS!$G$2:$CK$25,MATCH($E72,DEMANDS!$E$2:$E$25,0),FALSE)/HLOOKUP(2018,DEMANDS!$G$2:$CK$25,MATCH($E72,DEMANDS!$E$2:$E$25,0),FALSE)</f>
        <v>0.50065478314559098</v>
      </c>
      <c r="Q72" s="19">
        <f>HLOOKUP(REG_TRA_DEMANDS!Q$3,'BY-Demands'!$J$5:$AK$14,MATCH($E72,'BY-Demands'!$I$5:$I$14,0),FALSE)*HLOOKUP(REG_TRA_DEMANDS!$F72,DEMANDS!$G$2:$CK$25,MATCH($E72,DEMANDS!$E$2:$E$25,0),FALSE)/HLOOKUP(2018,DEMANDS!$G$2:$CK$25,MATCH($E72,DEMANDS!$E$2:$E$25,0),FALSE)</f>
        <v>0.88985883092596607</v>
      </c>
      <c r="R72" s="19">
        <f>HLOOKUP(REG_TRA_DEMANDS!R$3,'BY-Demands'!$J$5:$AK$14,MATCH($E72,'BY-Demands'!$I$5:$I$14,0),FALSE)*HLOOKUP(REG_TRA_DEMANDS!$F72,DEMANDS!$G$2:$CK$25,MATCH($E72,DEMANDS!$E$2:$E$25,0),FALSE)/HLOOKUP(2018,DEMANDS!$G$2:$CK$25,MATCH($E72,DEMANDS!$E$2:$E$25,0),FALSE)</f>
        <v>0.76198988591633532</v>
      </c>
      <c r="S72" s="19">
        <f>HLOOKUP(REG_TRA_DEMANDS!S$3,'BY-Demands'!$J$5:$AK$14,MATCH($E72,'BY-Demands'!$I$5:$I$14,0),FALSE)*HLOOKUP(REG_TRA_DEMANDS!$F72,DEMANDS!$G$2:$CK$25,MATCH($E72,DEMANDS!$E$2:$E$25,0),FALSE)/HLOOKUP(2018,DEMANDS!$G$2:$CK$25,MATCH($E72,DEMANDS!$E$2:$E$25,0),FALSE)</f>
        <v>0.68320164579899412</v>
      </c>
      <c r="T72" s="19">
        <f>HLOOKUP(REG_TRA_DEMANDS!T$3,'BY-Demands'!$J$5:$AK$14,MATCH($E72,'BY-Demands'!$I$5:$I$14,0),FALSE)*HLOOKUP(REG_TRA_DEMANDS!$F72,DEMANDS!$G$2:$CK$25,MATCH($E72,DEMANDS!$E$2:$E$25,0),FALSE)/HLOOKUP(2018,DEMANDS!$G$2:$CK$25,MATCH($E72,DEMANDS!$E$2:$E$25,0),FALSE)</f>
        <v>2.7858266687347895</v>
      </c>
      <c r="U72" s="19">
        <f>HLOOKUP(REG_TRA_DEMANDS!U$3,'BY-Demands'!$J$5:$AK$14,MATCH($E72,'BY-Demands'!$I$5:$I$14,0),FALSE)*HLOOKUP(REG_TRA_DEMANDS!$F72,DEMANDS!$G$2:$CK$25,MATCH($E72,DEMANDS!$E$2:$E$25,0),FALSE)/HLOOKUP(2018,DEMANDS!$G$2:$CK$25,MATCH($E72,DEMANDS!$E$2:$E$25,0),FALSE)</f>
        <v>0.92646681557024835</v>
      </c>
      <c r="V72" s="19">
        <f>HLOOKUP(REG_TRA_DEMANDS!V$3,'BY-Demands'!$J$5:$AK$14,MATCH($E72,'BY-Demands'!$I$5:$I$14,0),FALSE)*HLOOKUP(REG_TRA_DEMANDS!$F72,DEMANDS!$G$2:$CK$25,MATCH($E72,DEMANDS!$E$2:$E$25,0),FALSE)/HLOOKUP(2018,DEMANDS!$G$2:$CK$25,MATCH($E72,DEMANDS!$E$2:$E$25,0),FALSE)</f>
        <v>1.0263184479231835</v>
      </c>
      <c r="W72" s="19">
        <f>HLOOKUP(REG_TRA_DEMANDS!W$3,'BY-Demands'!$J$5:$AK$14,MATCH($E72,'BY-Demands'!$I$5:$I$14,0),FALSE)*HLOOKUP(REG_TRA_DEMANDS!$F72,DEMANDS!$G$2:$CK$25,MATCH($E72,DEMANDS!$E$2:$E$25,0),FALSE)/HLOOKUP(2018,DEMANDS!$G$2:$CK$25,MATCH($E72,DEMANDS!$E$2:$E$25,0),FALSE)</f>
        <v>0.99289181416141381</v>
      </c>
      <c r="X72" s="19">
        <f>HLOOKUP(REG_TRA_DEMANDS!X$3,'BY-Demands'!$J$5:$AK$14,MATCH($E72,'BY-Demands'!$I$5:$I$14,0),FALSE)*HLOOKUP(REG_TRA_DEMANDS!$F72,DEMANDS!$G$2:$CK$25,MATCH($E72,DEMANDS!$E$2:$E$25,0),FALSE)/HLOOKUP(2018,DEMANDS!$G$2:$CK$25,MATCH($E72,DEMANDS!$E$2:$E$25,0),FALSE)</f>
        <v>0.62527143362941884</v>
      </c>
      <c r="Y72" s="19">
        <f>HLOOKUP(REG_TRA_DEMANDS!Y$3,'BY-Demands'!$J$5:$AK$14,MATCH($E72,'BY-Demands'!$I$5:$I$14,0),FALSE)*HLOOKUP(REG_TRA_DEMANDS!$F72,DEMANDS!$G$2:$CK$25,MATCH($E72,DEMANDS!$E$2:$E$25,0),FALSE)/HLOOKUP(2018,DEMANDS!$G$2:$CK$25,MATCH($E72,DEMANDS!$E$2:$E$25,0),FALSE)</f>
        <v>1.4206068909013416</v>
      </c>
      <c r="Z72" s="19">
        <f>HLOOKUP(REG_TRA_DEMANDS!Z$3,'BY-Demands'!$J$5:$AK$14,MATCH($E72,'BY-Demands'!$I$5:$I$14,0),FALSE)*HLOOKUP(REG_TRA_DEMANDS!$F72,DEMANDS!$G$2:$CK$25,MATCH($E72,DEMANDS!$E$2:$E$25,0),FALSE)/HLOOKUP(2018,DEMANDS!$G$2:$CK$25,MATCH($E72,DEMANDS!$E$2:$E$25,0),FALSE)</f>
        <v>0.1832695730156603</v>
      </c>
      <c r="AA72" s="19">
        <f>HLOOKUP(REG_TRA_DEMANDS!AA$3,'BY-Demands'!$J$5:$AK$14,MATCH($E72,'BY-Demands'!$I$5:$I$14,0),FALSE)*HLOOKUP(REG_TRA_DEMANDS!$F72,DEMANDS!$G$2:$CK$25,MATCH($E72,DEMANDS!$E$2:$E$25,0),FALSE)/HLOOKUP(2018,DEMANDS!$G$2:$CK$25,MATCH($E72,DEMANDS!$E$2:$E$25,0),FALSE)</f>
        <v>0.78775254506177994</v>
      </c>
      <c r="AB72" s="19">
        <f>HLOOKUP(REG_TRA_DEMANDS!AB$3,'BY-Demands'!$J$5:$AK$14,MATCH($E72,'BY-Demands'!$I$5:$I$14,0),FALSE)*HLOOKUP(REG_TRA_DEMANDS!$F72,DEMANDS!$G$2:$CK$25,MATCH($E72,DEMANDS!$E$2:$E$25,0),FALSE)/HLOOKUP(2018,DEMANDS!$G$2:$CK$25,MATCH($E72,DEMANDS!$E$2:$E$25,0),FALSE)</f>
        <v>0.41291043180101511</v>
      </c>
      <c r="AC72" s="19">
        <f>HLOOKUP(REG_TRA_DEMANDS!AC$3,'BY-Demands'!$J$5:$AK$14,MATCH($E72,'BY-Demands'!$I$5:$I$14,0),FALSE)*HLOOKUP(REG_TRA_DEMANDS!$F72,DEMANDS!$G$2:$CK$25,MATCH($E72,DEMANDS!$E$2:$E$25,0),FALSE)/HLOOKUP(2018,DEMANDS!$G$2:$CK$25,MATCH($E72,DEMANDS!$E$2:$E$25,0),FALSE)</f>
        <v>0.34416385551587031</v>
      </c>
      <c r="AD72" s="19">
        <f>HLOOKUP(REG_TRA_DEMANDS!AD$3,'BY-Demands'!$J$5:$AK$14,MATCH($E72,'BY-Demands'!$I$5:$I$14,0),FALSE)*HLOOKUP(REG_TRA_DEMANDS!$F72,DEMANDS!$G$2:$CK$25,MATCH($E72,DEMANDS!$E$2:$E$25,0),FALSE)/HLOOKUP(2018,DEMANDS!$G$2:$CK$25,MATCH($E72,DEMANDS!$E$2:$E$25,0),FALSE)</f>
        <v>0.36808182163266723</v>
      </c>
      <c r="AE72" s="19">
        <f>HLOOKUP(REG_TRA_DEMANDS!AE$3,'BY-Demands'!$J$5:$AK$14,MATCH($E72,'BY-Demands'!$I$5:$I$14,0),FALSE)*HLOOKUP(REG_TRA_DEMANDS!$F72,DEMANDS!$G$2:$CK$25,MATCH($E72,DEMANDS!$E$2:$E$25,0),FALSE)/HLOOKUP(2018,DEMANDS!$G$2:$CK$25,MATCH($E72,DEMANDS!$E$2:$E$25,0),FALSE)</f>
        <v>0.6780335781938811</v>
      </c>
      <c r="AF72" s="19">
        <f>HLOOKUP(REG_TRA_DEMANDS!AF$3,'BY-Demands'!$J$5:$AK$14,MATCH($E72,'BY-Demands'!$I$5:$I$14,0),FALSE)*HLOOKUP(REG_TRA_DEMANDS!$F72,DEMANDS!$G$2:$CK$25,MATCH($E72,DEMANDS!$E$2:$E$25,0),FALSE)/HLOOKUP(2018,DEMANDS!$G$2:$CK$25,MATCH($E72,DEMANDS!$E$2:$E$25,0),FALSE)</f>
        <v>0.39166354170379697</v>
      </c>
    </row>
    <row r="73" spans="4:32" ht="14.5">
      <c r="D73" t="s">
        <v>6</v>
      </c>
      <c r="E73" t="str">
        <f>DEMANDS!$E$19</f>
        <v>TRAPL</v>
      </c>
      <c r="F73">
        <v>2035</v>
      </c>
      <c r="G73" s="19">
        <f>HLOOKUP(REG_TRA_DEMANDS!G$3,'BY-Demands'!$J$5:$AK$14,MATCH($E73,'BY-Demands'!$I$5:$I$14,0),FALSE)*HLOOKUP(REG_TRA_DEMANDS!$F73,DEMANDS!$G$2:$CK$25,MATCH($E73,DEMANDS!$E$2:$E$25,0),FALSE)/HLOOKUP(2018,DEMANDS!$G$2:$CK$25,MATCH($E73,DEMANDS!$E$2:$E$25,0),FALSE)</f>
        <v>0.3506319136691961</v>
      </c>
      <c r="H73" s="19">
        <f>HLOOKUP(REG_TRA_DEMANDS!H$3,'BY-Demands'!$J$5:$AK$14,MATCH($E73,'BY-Demands'!$I$5:$I$14,0),FALSE)*HLOOKUP(REG_TRA_DEMANDS!$F73,DEMANDS!$G$2:$CK$25,MATCH($E73,DEMANDS!$E$2:$E$25,0),FALSE)/HLOOKUP(2018,DEMANDS!$G$2:$CK$25,MATCH($E73,DEMANDS!$E$2:$E$25,0),FALSE)</f>
        <v>6.2462836145972149</v>
      </c>
      <c r="I73" s="19">
        <f>HLOOKUP(REG_TRA_DEMANDS!I$3,'BY-Demands'!$J$5:$AK$14,MATCH($E73,'BY-Demands'!$I$5:$I$14,0),FALSE)*HLOOKUP(REG_TRA_DEMANDS!$F73,DEMANDS!$G$2:$CK$25,MATCH($E73,DEMANDS!$E$2:$E$25,0),FALSE)/HLOOKUP(2018,DEMANDS!$G$2:$CK$25,MATCH($E73,DEMANDS!$E$2:$E$25,0),FALSE)</f>
        <v>1.2620543628349166</v>
      </c>
      <c r="J73" s="19">
        <f>HLOOKUP(REG_TRA_DEMANDS!J$3,'BY-Demands'!$J$5:$AK$14,MATCH($E73,'BY-Demands'!$I$5:$I$14,0),FALSE)*HLOOKUP(REG_TRA_DEMANDS!$F73,DEMANDS!$G$2:$CK$25,MATCH($E73,DEMANDS!$E$2:$E$25,0),FALSE)/HLOOKUP(2018,DEMANDS!$G$2:$CK$25,MATCH($E73,DEMANDS!$E$2:$E$25,0),FALSE)</f>
        <v>0.60772977531401784</v>
      </c>
      <c r="K73" s="19">
        <f>HLOOKUP(REG_TRA_DEMANDS!K$3,'BY-Demands'!$J$5:$AK$14,MATCH($E73,'BY-Demands'!$I$5:$I$14,0),FALSE)*HLOOKUP(REG_TRA_DEMANDS!$F73,DEMANDS!$G$2:$CK$25,MATCH($E73,DEMANDS!$E$2:$E$25,0),FALSE)/HLOOKUP(2018,DEMANDS!$G$2:$CK$25,MATCH($E73,DEMANDS!$E$2:$E$25,0),FALSE)</f>
        <v>0.45153841920356536</v>
      </c>
      <c r="L73" s="19">
        <f>HLOOKUP(REG_TRA_DEMANDS!L$3,'BY-Demands'!$J$5:$AK$14,MATCH($E73,'BY-Demands'!$I$5:$I$14,0),FALSE)*HLOOKUP(REG_TRA_DEMANDS!$F73,DEMANDS!$G$2:$CK$25,MATCH($E73,DEMANDS!$E$2:$E$25,0),FALSE)/HLOOKUP(2018,DEMANDS!$G$2:$CK$25,MATCH($E73,DEMANDS!$E$2:$E$25,0),FALSE)</f>
        <v>0.23250267087592885</v>
      </c>
      <c r="M73" s="19">
        <f>HLOOKUP(REG_TRA_DEMANDS!M$3,'BY-Demands'!$J$5:$AK$14,MATCH($E73,'BY-Demands'!$I$5:$I$14,0),FALSE)*HLOOKUP(REG_TRA_DEMANDS!$F73,DEMANDS!$G$2:$CK$25,MATCH($E73,DEMANDS!$E$2:$E$25,0),FALSE)/HLOOKUP(2018,DEMANDS!$G$2:$CK$25,MATCH($E73,DEMANDS!$E$2:$E$25,0),FALSE)</f>
        <v>0.63176761325308994</v>
      </c>
      <c r="N73" s="19">
        <f>HLOOKUP(REG_TRA_DEMANDS!N$3,'BY-Demands'!$J$5:$AK$14,MATCH($E73,'BY-Demands'!$I$5:$I$14,0),FALSE)*HLOOKUP(REG_TRA_DEMANDS!$F73,DEMANDS!$G$2:$CK$25,MATCH($E73,DEMANDS!$E$2:$E$25,0),FALSE)/HLOOKUP(2018,DEMANDS!$G$2:$CK$25,MATCH($E73,DEMANDS!$E$2:$E$25,0),FALSE)</f>
        <v>1.0743296236120952</v>
      </c>
      <c r="O73" s="19">
        <f>HLOOKUP(REG_TRA_DEMANDS!O$3,'BY-Demands'!$J$5:$AK$14,MATCH($E73,'BY-Demands'!$I$5:$I$14,0),FALSE)*HLOOKUP(REG_TRA_DEMANDS!$F73,DEMANDS!$G$2:$CK$25,MATCH($E73,DEMANDS!$E$2:$E$25,0),FALSE)/HLOOKUP(2018,DEMANDS!$G$2:$CK$25,MATCH($E73,DEMANDS!$E$2:$E$25,0),FALSE)</f>
        <v>0.46305490485155693</v>
      </c>
      <c r="P73" s="19">
        <f>HLOOKUP(REG_TRA_DEMANDS!P$3,'BY-Demands'!$J$5:$AK$14,MATCH($E73,'BY-Demands'!$I$5:$I$14,0),FALSE)*HLOOKUP(REG_TRA_DEMANDS!$F73,DEMANDS!$G$2:$CK$25,MATCH($E73,DEMANDS!$E$2:$E$25,0),FALSE)/HLOOKUP(2018,DEMANDS!$G$2:$CK$25,MATCH($E73,DEMANDS!$E$2:$E$25,0),FALSE)</f>
        <v>0.51317115272423075</v>
      </c>
      <c r="Q73" s="19">
        <f>HLOOKUP(REG_TRA_DEMANDS!Q$3,'BY-Demands'!$J$5:$AK$14,MATCH($E73,'BY-Demands'!$I$5:$I$14,0),FALSE)*HLOOKUP(REG_TRA_DEMANDS!$F73,DEMANDS!$G$2:$CK$25,MATCH($E73,DEMANDS!$E$2:$E$25,0),FALSE)/HLOOKUP(2018,DEMANDS!$G$2:$CK$25,MATCH($E73,DEMANDS!$E$2:$E$25,0),FALSE)</f>
        <v>0.91210530169911508</v>
      </c>
      <c r="R73" s="19">
        <f>HLOOKUP(REG_TRA_DEMANDS!R$3,'BY-Demands'!$J$5:$AK$14,MATCH($E73,'BY-Demands'!$I$5:$I$14,0),FALSE)*HLOOKUP(REG_TRA_DEMANDS!$F73,DEMANDS!$G$2:$CK$25,MATCH($E73,DEMANDS!$E$2:$E$25,0),FALSE)/HLOOKUP(2018,DEMANDS!$G$2:$CK$25,MATCH($E73,DEMANDS!$E$2:$E$25,0),FALSE)</f>
        <v>0.78103963306424351</v>
      </c>
      <c r="S73" s="19">
        <f>HLOOKUP(REG_TRA_DEMANDS!S$3,'BY-Demands'!$J$5:$AK$14,MATCH($E73,'BY-Demands'!$I$5:$I$14,0),FALSE)*HLOOKUP(REG_TRA_DEMANDS!$F73,DEMANDS!$G$2:$CK$25,MATCH($E73,DEMANDS!$E$2:$E$25,0),FALSE)/HLOOKUP(2018,DEMANDS!$G$2:$CK$25,MATCH($E73,DEMANDS!$E$2:$E$25,0),FALSE)</f>
        <v>0.70028168694396897</v>
      </c>
      <c r="T73" s="19">
        <f>HLOOKUP(REG_TRA_DEMANDS!T$3,'BY-Demands'!$J$5:$AK$14,MATCH($E73,'BY-Demands'!$I$5:$I$14,0),FALSE)*HLOOKUP(REG_TRA_DEMANDS!$F73,DEMANDS!$G$2:$CK$25,MATCH($E73,DEMANDS!$E$2:$E$25,0),FALSE)/HLOOKUP(2018,DEMANDS!$G$2:$CK$25,MATCH($E73,DEMANDS!$E$2:$E$25,0),FALSE)</f>
        <v>2.8554723354531593</v>
      </c>
      <c r="U73" s="19">
        <f>HLOOKUP(REG_TRA_DEMANDS!U$3,'BY-Demands'!$J$5:$AK$14,MATCH($E73,'BY-Demands'!$I$5:$I$14,0),FALSE)*HLOOKUP(REG_TRA_DEMANDS!$F73,DEMANDS!$G$2:$CK$25,MATCH($E73,DEMANDS!$E$2:$E$25,0),FALSE)/HLOOKUP(2018,DEMANDS!$G$2:$CK$25,MATCH($E73,DEMANDS!$E$2:$E$25,0),FALSE)</f>
        <v>0.94962848595950444</v>
      </c>
      <c r="V73" s="19">
        <f>HLOOKUP(REG_TRA_DEMANDS!V$3,'BY-Demands'!$J$5:$AK$14,MATCH($E73,'BY-Demands'!$I$5:$I$14,0),FALSE)*HLOOKUP(REG_TRA_DEMANDS!$F73,DEMANDS!$G$2:$CK$25,MATCH($E73,DEMANDS!$E$2:$E$25,0),FALSE)/HLOOKUP(2018,DEMANDS!$G$2:$CK$25,MATCH($E73,DEMANDS!$E$2:$E$25,0),FALSE)</f>
        <v>1.0519764091212629</v>
      </c>
      <c r="W73" s="19">
        <f>HLOOKUP(REG_TRA_DEMANDS!W$3,'BY-Demands'!$J$5:$AK$14,MATCH($E73,'BY-Demands'!$I$5:$I$14,0),FALSE)*HLOOKUP(REG_TRA_DEMANDS!$F73,DEMANDS!$G$2:$CK$25,MATCH($E73,DEMANDS!$E$2:$E$25,0),FALSE)/HLOOKUP(2018,DEMANDS!$G$2:$CK$25,MATCH($E73,DEMANDS!$E$2:$E$25,0),FALSE)</f>
        <v>1.0177141095154489</v>
      </c>
      <c r="X73" s="19">
        <f>HLOOKUP(REG_TRA_DEMANDS!X$3,'BY-Demands'!$J$5:$AK$14,MATCH($E73,'BY-Demands'!$I$5:$I$14,0),FALSE)*HLOOKUP(REG_TRA_DEMANDS!$F73,DEMANDS!$G$2:$CK$25,MATCH($E73,DEMANDS!$E$2:$E$25,0),FALSE)/HLOOKUP(2018,DEMANDS!$G$2:$CK$25,MATCH($E73,DEMANDS!$E$2:$E$25,0),FALSE)</f>
        <v>0.64090321947015416</v>
      </c>
      <c r="Y73" s="19">
        <f>HLOOKUP(REG_TRA_DEMANDS!Y$3,'BY-Demands'!$J$5:$AK$14,MATCH($E73,'BY-Demands'!$I$5:$I$14,0),FALSE)*HLOOKUP(REG_TRA_DEMANDS!$F73,DEMANDS!$G$2:$CK$25,MATCH($E73,DEMANDS!$E$2:$E$25,0),FALSE)/HLOOKUP(2018,DEMANDS!$G$2:$CK$25,MATCH($E73,DEMANDS!$E$2:$E$25,0),FALSE)</f>
        <v>1.4561220631738754</v>
      </c>
      <c r="Z73" s="19">
        <f>HLOOKUP(REG_TRA_DEMANDS!Z$3,'BY-Demands'!$J$5:$AK$14,MATCH($E73,'BY-Demands'!$I$5:$I$14,0),FALSE)*HLOOKUP(REG_TRA_DEMANDS!$F73,DEMANDS!$G$2:$CK$25,MATCH($E73,DEMANDS!$E$2:$E$25,0),FALSE)/HLOOKUP(2018,DEMANDS!$G$2:$CK$25,MATCH($E73,DEMANDS!$E$2:$E$25,0),FALSE)</f>
        <v>0.18785131234105179</v>
      </c>
      <c r="AA73" s="19">
        <f>HLOOKUP(REG_TRA_DEMANDS!AA$3,'BY-Demands'!$J$5:$AK$14,MATCH($E73,'BY-Demands'!$I$5:$I$14,0),FALSE)*HLOOKUP(REG_TRA_DEMANDS!$F73,DEMANDS!$G$2:$CK$25,MATCH($E73,DEMANDS!$E$2:$E$25,0),FALSE)/HLOOKUP(2018,DEMANDS!$G$2:$CK$25,MATCH($E73,DEMANDS!$E$2:$E$25,0),FALSE)</f>
        <v>0.80744635868832437</v>
      </c>
      <c r="AB73" s="19">
        <f>HLOOKUP(REG_TRA_DEMANDS!AB$3,'BY-Demands'!$J$5:$AK$14,MATCH($E73,'BY-Demands'!$I$5:$I$14,0),FALSE)*HLOOKUP(REG_TRA_DEMANDS!$F73,DEMANDS!$G$2:$CK$25,MATCH($E73,DEMANDS!$E$2:$E$25,0),FALSE)/HLOOKUP(2018,DEMANDS!$G$2:$CK$25,MATCH($E73,DEMANDS!$E$2:$E$25,0),FALSE)</f>
        <v>0.42323319259604042</v>
      </c>
      <c r="AC73" s="19">
        <f>HLOOKUP(REG_TRA_DEMANDS!AC$3,'BY-Demands'!$J$5:$AK$14,MATCH($E73,'BY-Demands'!$I$5:$I$14,0),FALSE)*HLOOKUP(REG_TRA_DEMANDS!$F73,DEMANDS!$G$2:$CK$25,MATCH($E73,DEMANDS!$E$2:$E$25,0),FALSE)/HLOOKUP(2018,DEMANDS!$G$2:$CK$25,MATCH($E73,DEMANDS!$E$2:$E$25,0),FALSE)</f>
        <v>0.35276795190376697</v>
      </c>
      <c r="AD73" s="19">
        <f>HLOOKUP(REG_TRA_DEMANDS!AD$3,'BY-Demands'!$J$5:$AK$14,MATCH($E73,'BY-Demands'!$I$5:$I$14,0),FALSE)*HLOOKUP(REG_TRA_DEMANDS!$F73,DEMANDS!$G$2:$CK$25,MATCH($E73,DEMANDS!$E$2:$E$25,0),FALSE)/HLOOKUP(2018,DEMANDS!$G$2:$CK$25,MATCH($E73,DEMANDS!$E$2:$E$25,0),FALSE)</f>
        <v>0.37728386717348389</v>
      </c>
      <c r="AE73" s="19">
        <f>HLOOKUP(REG_TRA_DEMANDS!AE$3,'BY-Demands'!$J$5:$AK$14,MATCH($E73,'BY-Demands'!$I$5:$I$14,0),FALSE)*HLOOKUP(REG_TRA_DEMANDS!$F73,DEMANDS!$G$2:$CK$25,MATCH($E73,DEMANDS!$E$2:$E$25,0),FALSE)/HLOOKUP(2018,DEMANDS!$G$2:$CK$25,MATCH($E73,DEMANDS!$E$2:$E$25,0),FALSE)</f>
        <v>0.69498441764872809</v>
      </c>
      <c r="AF73" s="19">
        <f>HLOOKUP(REG_TRA_DEMANDS!AF$3,'BY-Demands'!$J$5:$AK$14,MATCH($E73,'BY-Demands'!$I$5:$I$14,0),FALSE)*HLOOKUP(REG_TRA_DEMANDS!$F73,DEMANDS!$G$2:$CK$25,MATCH($E73,DEMANDS!$E$2:$E$25,0),FALSE)/HLOOKUP(2018,DEMANDS!$G$2:$CK$25,MATCH($E73,DEMANDS!$E$2:$E$25,0),FALSE)</f>
        <v>0.40145513024639179</v>
      </c>
    </row>
    <row r="74" spans="4:32" ht="14.5">
      <c r="D74" t="s">
        <v>6</v>
      </c>
      <c r="E74" t="str">
        <f>DEMANDS!$E$19</f>
        <v>TRAPL</v>
      </c>
      <c r="F74">
        <v>2036</v>
      </c>
      <c r="G74" s="19">
        <f>HLOOKUP(REG_TRA_DEMANDS!G$3,'BY-Demands'!$J$5:$AK$14,MATCH($E74,'BY-Demands'!$I$5:$I$14,0),FALSE)*HLOOKUP(REG_TRA_DEMANDS!$F74,DEMANDS!$G$2:$CK$25,MATCH($E74,DEMANDS!$E$2:$E$25,0),FALSE)/HLOOKUP(2018,DEMANDS!$G$2:$CK$25,MATCH($E74,DEMANDS!$E$2:$E$25,0),FALSE)</f>
        <v>0.35939771151092598</v>
      </c>
      <c r="H74" s="19">
        <f>HLOOKUP(REG_TRA_DEMANDS!H$3,'BY-Demands'!$J$5:$AK$14,MATCH($E74,'BY-Demands'!$I$5:$I$14,0),FALSE)*HLOOKUP(REG_TRA_DEMANDS!$F74,DEMANDS!$G$2:$CK$25,MATCH($E74,DEMANDS!$E$2:$E$25,0),FALSE)/HLOOKUP(2018,DEMANDS!$G$2:$CK$25,MATCH($E74,DEMANDS!$E$2:$E$25,0),FALSE)</f>
        <v>6.402440704962145</v>
      </c>
      <c r="I74" s="19">
        <f>HLOOKUP(REG_TRA_DEMANDS!I$3,'BY-Demands'!$J$5:$AK$14,MATCH($E74,'BY-Demands'!$I$5:$I$14,0),FALSE)*HLOOKUP(REG_TRA_DEMANDS!$F74,DEMANDS!$G$2:$CK$25,MATCH($E74,DEMANDS!$E$2:$E$25,0),FALSE)/HLOOKUP(2018,DEMANDS!$G$2:$CK$25,MATCH($E74,DEMANDS!$E$2:$E$25,0),FALSE)</f>
        <v>1.2936057219057895</v>
      </c>
      <c r="J74" s="19">
        <f>HLOOKUP(REG_TRA_DEMANDS!J$3,'BY-Demands'!$J$5:$AK$14,MATCH($E74,'BY-Demands'!$I$5:$I$14,0),FALSE)*HLOOKUP(REG_TRA_DEMANDS!$F74,DEMANDS!$G$2:$CK$25,MATCH($E74,DEMANDS!$E$2:$E$25,0),FALSE)/HLOOKUP(2018,DEMANDS!$G$2:$CK$25,MATCH($E74,DEMANDS!$E$2:$E$25,0),FALSE)</f>
        <v>0.62292301969686825</v>
      </c>
      <c r="K74" s="19">
        <f>HLOOKUP(REG_TRA_DEMANDS!K$3,'BY-Demands'!$J$5:$AK$14,MATCH($E74,'BY-Demands'!$I$5:$I$14,0),FALSE)*HLOOKUP(REG_TRA_DEMANDS!$F74,DEMANDS!$G$2:$CK$25,MATCH($E74,DEMANDS!$E$2:$E$25,0),FALSE)/HLOOKUP(2018,DEMANDS!$G$2:$CK$25,MATCH($E74,DEMANDS!$E$2:$E$25,0),FALSE)</f>
        <v>0.46282687968365444</v>
      </c>
      <c r="L74" s="19">
        <f>HLOOKUP(REG_TRA_DEMANDS!L$3,'BY-Demands'!$J$5:$AK$14,MATCH($E74,'BY-Demands'!$I$5:$I$14,0),FALSE)*HLOOKUP(REG_TRA_DEMANDS!$F74,DEMANDS!$G$2:$CK$25,MATCH($E74,DEMANDS!$E$2:$E$25,0),FALSE)/HLOOKUP(2018,DEMANDS!$G$2:$CK$25,MATCH($E74,DEMANDS!$E$2:$E$25,0),FALSE)</f>
        <v>0.23831523764782703</v>
      </c>
      <c r="M74" s="19">
        <f>HLOOKUP(REG_TRA_DEMANDS!M$3,'BY-Demands'!$J$5:$AK$14,MATCH($E74,'BY-Demands'!$I$5:$I$14,0),FALSE)*HLOOKUP(REG_TRA_DEMANDS!$F74,DEMANDS!$G$2:$CK$25,MATCH($E74,DEMANDS!$E$2:$E$25,0),FALSE)/HLOOKUP(2018,DEMANDS!$G$2:$CK$25,MATCH($E74,DEMANDS!$E$2:$E$25,0),FALSE)</f>
        <v>0.64756180358441717</v>
      </c>
      <c r="N74" s="19">
        <f>HLOOKUP(REG_TRA_DEMANDS!N$3,'BY-Demands'!$J$5:$AK$14,MATCH($E74,'BY-Demands'!$I$5:$I$14,0),FALSE)*HLOOKUP(REG_TRA_DEMANDS!$F74,DEMANDS!$G$2:$CK$25,MATCH($E74,DEMANDS!$E$2:$E$25,0),FALSE)/HLOOKUP(2018,DEMANDS!$G$2:$CK$25,MATCH($E74,DEMANDS!$E$2:$E$25,0),FALSE)</f>
        <v>1.1011878642023973</v>
      </c>
      <c r="O74" s="19">
        <f>HLOOKUP(REG_TRA_DEMANDS!O$3,'BY-Demands'!$J$5:$AK$14,MATCH($E74,'BY-Demands'!$I$5:$I$14,0),FALSE)*HLOOKUP(REG_TRA_DEMANDS!$F74,DEMANDS!$G$2:$CK$25,MATCH($E74,DEMANDS!$E$2:$E$25,0),FALSE)/HLOOKUP(2018,DEMANDS!$G$2:$CK$25,MATCH($E74,DEMANDS!$E$2:$E$25,0),FALSE)</f>
        <v>0.47463127747284584</v>
      </c>
      <c r="P74" s="19">
        <f>HLOOKUP(REG_TRA_DEMANDS!P$3,'BY-Demands'!$J$5:$AK$14,MATCH($E74,'BY-Demands'!$I$5:$I$14,0),FALSE)*HLOOKUP(REG_TRA_DEMANDS!$F74,DEMANDS!$G$2:$CK$25,MATCH($E74,DEMANDS!$E$2:$E$25,0),FALSE)/HLOOKUP(2018,DEMANDS!$G$2:$CK$25,MATCH($E74,DEMANDS!$E$2:$E$25,0),FALSE)</f>
        <v>0.52600043154233644</v>
      </c>
      <c r="Q74" s="19">
        <f>HLOOKUP(REG_TRA_DEMANDS!Q$3,'BY-Demands'!$J$5:$AK$14,MATCH($E74,'BY-Demands'!$I$5:$I$14,0),FALSE)*HLOOKUP(REG_TRA_DEMANDS!$F74,DEMANDS!$G$2:$CK$25,MATCH($E74,DEMANDS!$E$2:$E$25,0),FALSE)/HLOOKUP(2018,DEMANDS!$G$2:$CK$25,MATCH($E74,DEMANDS!$E$2:$E$25,0),FALSE)</f>
        <v>0.93490793424159291</v>
      </c>
      <c r="R74" s="19">
        <f>HLOOKUP(REG_TRA_DEMANDS!R$3,'BY-Demands'!$J$5:$AK$14,MATCH($E74,'BY-Demands'!$I$5:$I$14,0),FALSE)*HLOOKUP(REG_TRA_DEMANDS!$F74,DEMANDS!$G$2:$CK$25,MATCH($E74,DEMANDS!$E$2:$E$25,0),FALSE)/HLOOKUP(2018,DEMANDS!$G$2:$CK$25,MATCH($E74,DEMANDS!$E$2:$E$25,0),FALSE)</f>
        <v>0.80056562389084951</v>
      </c>
      <c r="S74" s="19">
        <f>HLOOKUP(REG_TRA_DEMANDS!S$3,'BY-Demands'!$J$5:$AK$14,MATCH($E74,'BY-Demands'!$I$5:$I$14,0),FALSE)*HLOOKUP(REG_TRA_DEMANDS!$F74,DEMANDS!$G$2:$CK$25,MATCH($E74,DEMANDS!$E$2:$E$25,0),FALSE)/HLOOKUP(2018,DEMANDS!$G$2:$CK$25,MATCH($E74,DEMANDS!$E$2:$E$25,0),FALSE)</f>
        <v>0.71778872911756797</v>
      </c>
      <c r="T74" s="19">
        <f>HLOOKUP(REG_TRA_DEMANDS!T$3,'BY-Demands'!$J$5:$AK$14,MATCH($E74,'BY-Demands'!$I$5:$I$14,0),FALSE)*HLOOKUP(REG_TRA_DEMANDS!$F74,DEMANDS!$G$2:$CK$25,MATCH($E74,DEMANDS!$E$2:$E$25,0),FALSE)/HLOOKUP(2018,DEMANDS!$G$2:$CK$25,MATCH($E74,DEMANDS!$E$2:$E$25,0),FALSE)</f>
        <v>2.9268591438394878</v>
      </c>
      <c r="U74" s="19">
        <f>HLOOKUP(REG_TRA_DEMANDS!U$3,'BY-Demands'!$J$5:$AK$14,MATCH($E74,'BY-Demands'!$I$5:$I$14,0),FALSE)*HLOOKUP(REG_TRA_DEMANDS!$F74,DEMANDS!$G$2:$CK$25,MATCH($E74,DEMANDS!$E$2:$E$25,0),FALSE)/HLOOKUP(2018,DEMANDS!$G$2:$CK$25,MATCH($E74,DEMANDS!$E$2:$E$25,0),FALSE)</f>
        <v>0.97336919810849198</v>
      </c>
      <c r="V74" s="19">
        <f>HLOOKUP(REG_TRA_DEMANDS!V$3,'BY-Demands'!$J$5:$AK$14,MATCH($E74,'BY-Demands'!$I$5:$I$14,0),FALSE)*HLOOKUP(REG_TRA_DEMANDS!$F74,DEMANDS!$G$2:$CK$25,MATCH($E74,DEMANDS!$E$2:$E$25,0),FALSE)/HLOOKUP(2018,DEMANDS!$G$2:$CK$25,MATCH($E74,DEMANDS!$E$2:$E$25,0),FALSE)</f>
        <v>1.0782758193492945</v>
      </c>
      <c r="W74" s="19">
        <f>HLOOKUP(REG_TRA_DEMANDS!W$3,'BY-Demands'!$J$5:$AK$14,MATCH($E74,'BY-Demands'!$I$5:$I$14,0),FALSE)*HLOOKUP(REG_TRA_DEMANDS!$F74,DEMANDS!$G$2:$CK$25,MATCH($E74,DEMANDS!$E$2:$E$25,0),FALSE)/HLOOKUP(2018,DEMANDS!$G$2:$CK$25,MATCH($E74,DEMANDS!$E$2:$E$25,0),FALSE)</f>
        <v>1.043156962253335</v>
      </c>
      <c r="X74" s="19">
        <f>HLOOKUP(REG_TRA_DEMANDS!X$3,'BY-Demands'!$J$5:$AK$14,MATCH($E74,'BY-Demands'!$I$5:$I$14,0),FALSE)*HLOOKUP(REG_TRA_DEMANDS!$F74,DEMANDS!$G$2:$CK$25,MATCH($E74,DEMANDS!$E$2:$E$25,0),FALSE)/HLOOKUP(2018,DEMANDS!$G$2:$CK$25,MATCH($E74,DEMANDS!$E$2:$E$25,0),FALSE)</f>
        <v>0.65692579995690792</v>
      </c>
      <c r="Y74" s="19">
        <f>HLOOKUP(REG_TRA_DEMANDS!Y$3,'BY-Demands'!$J$5:$AK$14,MATCH($E74,'BY-Demands'!$I$5:$I$14,0),FALSE)*HLOOKUP(REG_TRA_DEMANDS!$F74,DEMANDS!$G$2:$CK$25,MATCH($E74,DEMANDS!$E$2:$E$25,0),FALSE)/HLOOKUP(2018,DEMANDS!$G$2:$CK$25,MATCH($E74,DEMANDS!$E$2:$E$25,0),FALSE)</f>
        <v>1.4925251147532219</v>
      </c>
      <c r="Z74" s="19">
        <f>HLOOKUP(REG_TRA_DEMANDS!Z$3,'BY-Demands'!$J$5:$AK$14,MATCH($E74,'BY-Demands'!$I$5:$I$14,0),FALSE)*HLOOKUP(REG_TRA_DEMANDS!$F74,DEMANDS!$G$2:$CK$25,MATCH($E74,DEMANDS!$E$2:$E$25,0),FALSE)/HLOOKUP(2018,DEMANDS!$G$2:$CK$25,MATCH($E74,DEMANDS!$E$2:$E$25,0),FALSE)</f>
        <v>0.19254759514957806</v>
      </c>
      <c r="AA74" s="19">
        <f>HLOOKUP(REG_TRA_DEMANDS!AA$3,'BY-Demands'!$J$5:$AK$14,MATCH($E74,'BY-Demands'!$I$5:$I$14,0),FALSE)*HLOOKUP(REG_TRA_DEMANDS!$F74,DEMANDS!$G$2:$CK$25,MATCH($E74,DEMANDS!$E$2:$E$25,0),FALSE)/HLOOKUP(2018,DEMANDS!$G$2:$CK$25,MATCH($E74,DEMANDS!$E$2:$E$25,0),FALSE)</f>
        <v>0.82763251765553236</v>
      </c>
      <c r="AB74" s="19">
        <f>HLOOKUP(REG_TRA_DEMANDS!AB$3,'BY-Demands'!$J$5:$AK$14,MATCH($E74,'BY-Demands'!$I$5:$I$14,0),FALSE)*HLOOKUP(REG_TRA_DEMANDS!$F74,DEMANDS!$G$2:$CK$25,MATCH($E74,DEMANDS!$E$2:$E$25,0),FALSE)/HLOOKUP(2018,DEMANDS!$G$2:$CK$25,MATCH($E74,DEMANDS!$E$2:$E$25,0),FALSE)</f>
        <v>0.43381402241094136</v>
      </c>
      <c r="AC74" s="19">
        <f>HLOOKUP(REG_TRA_DEMANDS!AC$3,'BY-Demands'!$J$5:$AK$14,MATCH($E74,'BY-Demands'!$I$5:$I$14,0),FALSE)*HLOOKUP(REG_TRA_DEMANDS!$F74,DEMANDS!$G$2:$CK$25,MATCH($E74,DEMANDS!$E$2:$E$25,0),FALSE)/HLOOKUP(2018,DEMANDS!$G$2:$CK$25,MATCH($E74,DEMANDS!$E$2:$E$25,0),FALSE)</f>
        <v>0.36158715070136116</v>
      </c>
      <c r="AD74" s="19">
        <f>HLOOKUP(REG_TRA_DEMANDS!AD$3,'BY-Demands'!$J$5:$AK$14,MATCH($E74,'BY-Demands'!$I$5:$I$14,0),FALSE)*HLOOKUP(REG_TRA_DEMANDS!$F74,DEMANDS!$G$2:$CK$25,MATCH($E74,DEMANDS!$E$2:$E$25,0),FALSE)/HLOOKUP(2018,DEMANDS!$G$2:$CK$25,MATCH($E74,DEMANDS!$E$2:$E$25,0),FALSE)</f>
        <v>0.38671596385282092</v>
      </c>
      <c r="AE74" s="19">
        <f>HLOOKUP(REG_TRA_DEMANDS!AE$3,'BY-Demands'!$J$5:$AK$14,MATCH($E74,'BY-Demands'!$I$5:$I$14,0),FALSE)*HLOOKUP(REG_TRA_DEMANDS!$F74,DEMANDS!$G$2:$CK$25,MATCH($E74,DEMANDS!$E$2:$E$25,0),FALSE)/HLOOKUP(2018,DEMANDS!$G$2:$CK$25,MATCH($E74,DEMANDS!$E$2:$E$25,0),FALSE)</f>
        <v>0.71235902808994633</v>
      </c>
      <c r="AF74" s="19">
        <f>HLOOKUP(REG_TRA_DEMANDS!AF$3,'BY-Demands'!$J$5:$AK$14,MATCH($E74,'BY-Demands'!$I$5:$I$14,0),FALSE)*HLOOKUP(REG_TRA_DEMANDS!$F74,DEMANDS!$G$2:$CK$25,MATCH($E74,DEMANDS!$E$2:$E$25,0),FALSE)/HLOOKUP(2018,DEMANDS!$G$2:$CK$25,MATCH($E74,DEMANDS!$E$2:$E$25,0),FALSE)</f>
        <v>0.41149150850255162</v>
      </c>
    </row>
    <row r="75" spans="4:32" ht="14.5">
      <c r="D75" t="s">
        <v>6</v>
      </c>
      <c r="E75" t="str">
        <f>DEMANDS!$E$19</f>
        <v>TRAPL</v>
      </c>
      <c r="F75">
        <v>2037</v>
      </c>
      <c r="G75" s="19">
        <f>HLOOKUP(REG_TRA_DEMANDS!G$3,'BY-Demands'!$J$5:$AK$14,MATCH($E75,'BY-Demands'!$I$5:$I$14,0),FALSE)*HLOOKUP(REG_TRA_DEMANDS!$F75,DEMANDS!$G$2:$CK$25,MATCH($E75,DEMANDS!$E$2:$E$25,0),FALSE)/HLOOKUP(2018,DEMANDS!$G$2:$CK$25,MATCH($E75,DEMANDS!$E$2:$E$25,0),FALSE)</f>
        <v>0.36838265429869904</v>
      </c>
      <c r="H75" s="19">
        <f>HLOOKUP(REG_TRA_DEMANDS!H$3,'BY-Demands'!$J$5:$AK$14,MATCH($E75,'BY-Demands'!$I$5:$I$14,0),FALSE)*HLOOKUP(REG_TRA_DEMANDS!$F75,DEMANDS!$G$2:$CK$25,MATCH($E75,DEMANDS!$E$2:$E$25,0),FALSE)/HLOOKUP(2018,DEMANDS!$G$2:$CK$25,MATCH($E75,DEMANDS!$E$2:$E$25,0),FALSE)</f>
        <v>6.5625017225861981</v>
      </c>
      <c r="I75" s="19">
        <f>HLOOKUP(REG_TRA_DEMANDS!I$3,'BY-Demands'!$J$5:$AK$14,MATCH($E75,'BY-Demands'!$I$5:$I$14,0),FALSE)*HLOOKUP(REG_TRA_DEMANDS!$F75,DEMANDS!$G$2:$CK$25,MATCH($E75,DEMANDS!$E$2:$E$25,0),FALSE)/HLOOKUP(2018,DEMANDS!$G$2:$CK$25,MATCH($E75,DEMANDS!$E$2:$E$25,0),FALSE)</f>
        <v>1.3259458649534341</v>
      </c>
      <c r="J75" s="19">
        <f>HLOOKUP(REG_TRA_DEMANDS!J$3,'BY-Demands'!$J$5:$AK$14,MATCH($E75,'BY-Demands'!$I$5:$I$14,0),FALSE)*HLOOKUP(REG_TRA_DEMANDS!$F75,DEMANDS!$G$2:$CK$25,MATCH($E75,DEMANDS!$E$2:$E$25,0),FALSE)/HLOOKUP(2018,DEMANDS!$G$2:$CK$25,MATCH($E75,DEMANDS!$E$2:$E$25,0),FALSE)</f>
        <v>0.63849609518928985</v>
      </c>
      <c r="K75" s="19">
        <f>HLOOKUP(REG_TRA_DEMANDS!K$3,'BY-Demands'!$J$5:$AK$14,MATCH($E75,'BY-Demands'!$I$5:$I$14,0),FALSE)*HLOOKUP(REG_TRA_DEMANDS!$F75,DEMANDS!$G$2:$CK$25,MATCH($E75,DEMANDS!$E$2:$E$25,0),FALSE)/HLOOKUP(2018,DEMANDS!$G$2:$CK$25,MATCH($E75,DEMANDS!$E$2:$E$25,0),FALSE)</f>
        <v>0.47439755167574577</v>
      </c>
      <c r="L75" s="19">
        <f>HLOOKUP(REG_TRA_DEMANDS!L$3,'BY-Demands'!$J$5:$AK$14,MATCH($E75,'BY-Demands'!$I$5:$I$14,0),FALSE)*HLOOKUP(REG_TRA_DEMANDS!$F75,DEMANDS!$G$2:$CK$25,MATCH($E75,DEMANDS!$E$2:$E$25,0),FALSE)/HLOOKUP(2018,DEMANDS!$G$2:$CK$25,MATCH($E75,DEMANDS!$E$2:$E$25,0),FALSE)</f>
        <v>0.24427311858902268</v>
      </c>
      <c r="M75" s="19">
        <f>HLOOKUP(REG_TRA_DEMANDS!M$3,'BY-Demands'!$J$5:$AK$14,MATCH($E75,'BY-Demands'!$I$5:$I$14,0),FALSE)*HLOOKUP(REG_TRA_DEMANDS!$F75,DEMANDS!$G$2:$CK$25,MATCH($E75,DEMANDS!$E$2:$E$25,0),FALSE)/HLOOKUP(2018,DEMANDS!$G$2:$CK$25,MATCH($E75,DEMANDS!$E$2:$E$25,0),FALSE)</f>
        <v>0.66375084867402745</v>
      </c>
      <c r="N75" s="19">
        <f>HLOOKUP(REG_TRA_DEMANDS!N$3,'BY-Demands'!$J$5:$AK$14,MATCH($E75,'BY-Demands'!$I$5:$I$14,0),FALSE)*HLOOKUP(REG_TRA_DEMANDS!$F75,DEMANDS!$G$2:$CK$25,MATCH($E75,DEMANDS!$E$2:$E$25,0),FALSE)/HLOOKUP(2018,DEMANDS!$G$2:$CK$25,MATCH($E75,DEMANDS!$E$2:$E$25,0),FALSE)</f>
        <v>1.1287175608074571</v>
      </c>
      <c r="O75" s="19">
        <f>HLOOKUP(REG_TRA_DEMANDS!O$3,'BY-Demands'!$J$5:$AK$14,MATCH($E75,'BY-Demands'!$I$5:$I$14,0),FALSE)*HLOOKUP(REG_TRA_DEMANDS!$F75,DEMANDS!$G$2:$CK$25,MATCH($E75,DEMANDS!$E$2:$E$25,0),FALSE)/HLOOKUP(2018,DEMANDS!$G$2:$CK$25,MATCH($E75,DEMANDS!$E$2:$E$25,0),FALSE)</f>
        <v>0.48649705940966692</v>
      </c>
      <c r="P75" s="19">
        <f>HLOOKUP(REG_TRA_DEMANDS!P$3,'BY-Demands'!$J$5:$AK$14,MATCH($E75,'BY-Demands'!$I$5:$I$14,0),FALSE)*HLOOKUP(REG_TRA_DEMANDS!$F75,DEMANDS!$G$2:$CK$25,MATCH($E75,DEMANDS!$E$2:$E$25,0),FALSE)/HLOOKUP(2018,DEMANDS!$G$2:$CK$25,MATCH($E75,DEMANDS!$E$2:$E$25,0),FALSE)</f>
        <v>0.53915044233089482</v>
      </c>
      <c r="Q75" s="19">
        <f>HLOOKUP(REG_TRA_DEMANDS!Q$3,'BY-Demands'!$J$5:$AK$14,MATCH($E75,'BY-Demands'!$I$5:$I$14,0),FALSE)*HLOOKUP(REG_TRA_DEMANDS!$F75,DEMANDS!$G$2:$CK$25,MATCH($E75,DEMANDS!$E$2:$E$25,0),FALSE)/HLOOKUP(2018,DEMANDS!$G$2:$CK$25,MATCH($E75,DEMANDS!$E$2:$E$25,0),FALSE)</f>
        <v>0.95828063259763274</v>
      </c>
      <c r="R75" s="19">
        <f>HLOOKUP(REG_TRA_DEMANDS!R$3,'BY-Demands'!$J$5:$AK$14,MATCH($E75,'BY-Demands'!$I$5:$I$14,0),FALSE)*HLOOKUP(REG_TRA_DEMANDS!$F75,DEMANDS!$G$2:$CK$25,MATCH($E75,DEMANDS!$E$2:$E$25,0),FALSE)/HLOOKUP(2018,DEMANDS!$G$2:$CK$25,MATCH($E75,DEMANDS!$E$2:$E$25,0),FALSE)</f>
        <v>0.82057976448812076</v>
      </c>
      <c r="S75" s="19">
        <f>HLOOKUP(REG_TRA_DEMANDS!S$3,'BY-Demands'!$J$5:$AK$14,MATCH($E75,'BY-Demands'!$I$5:$I$14,0),FALSE)*HLOOKUP(REG_TRA_DEMANDS!$F75,DEMANDS!$G$2:$CK$25,MATCH($E75,DEMANDS!$E$2:$E$25,0),FALSE)/HLOOKUP(2018,DEMANDS!$G$2:$CK$25,MATCH($E75,DEMANDS!$E$2:$E$25,0),FALSE)</f>
        <v>0.73573344734550716</v>
      </c>
      <c r="T75" s="19">
        <f>HLOOKUP(REG_TRA_DEMANDS!T$3,'BY-Demands'!$J$5:$AK$14,MATCH($E75,'BY-Demands'!$I$5:$I$14,0),FALSE)*HLOOKUP(REG_TRA_DEMANDS!$F75,DEMANDS!$G$2:$CK$25,MATCH($E75,DEMANDS!$E$2:$E$25,0),FALSE)/HLOOKUP(2018,DEMANDS!$G$2:$CK$25,MATCH($E75,DEMANDS!$E$2:$E$25,0),FALSE)</f>
        <v>3.0000306224354745</v>
      </c>
      <c r="U75" s="19">
        <f>HLOOKUP(REG_TRA_DEMANDS!U$3,'BY-Demands'!$J$5:$AK$14,MATCH($E75,'BY-Demands'!$I$5:$I$14,0),FALSE)*HLOOKUP(REG_TRA_DEMANDS!$F75,DEMANDS!$G$2:$CK$25,MATCH($E75,DEMANDS!$E$2:$E$25,0),FALSE)/HLOOKUP(2018,DEMANDS!$G$2:$CK$25,MATCH($E75,DEMANDS!$E$2:$E$25,0),FALSE)</f>
        <v>0.99770342806120416</v>
      </c>
      <c r="V75" s="19">
        <f>HLOOKUP(REG_TRA_DEMANDS!V$3,'BY-Demands'!$J$5:$AK$14,MATCH($E75,'BY-Demands'!$I$5:$I$14,0),FALSE)*HLOOKUP(REG_TRA_DEMANDS!$F75,DEMANDS!$G$2:$CK$25,MATCH($E75,DEMANDS!$E$2:$E$25,0),FALSE)/HLOOKUP(2018,DEMANDS!$G$2:$CK$25,MATCH($E75,DEMANDS!$E$2:$E$25,0),FALSE)</f>
        <v>1.1052327148330268</v>
      </c>
      <c r="W75" s="19">
        <f>HLOOKUP(REG_TRA_DEMANDS!W$3,'BY-Demands'!$J$5:$AK$14,MATCH($E75,'BY-Demands'!$I$5:$I$14,0),FALSE)*HLOOKUP(REG_TRA_DEMANDS!$F75,DEMANDS!$G$2:$CK$25,MATCH($E75,DEMANDS!$E$2:$E$25,0),FALSE)/HLOOKUP(2018,DEMANDS!$G$2:$CK$25,MATCH($E75,DEMANDS!$E$2:$E$25,0),FALSE)</f>
        <v>1.0692358863096685</v>
      </c>
      <c r="X75" s="19">
        <f>HLOOKUP(REG_TRA_DEMANDS!X$3,'BY-Demands'!$J$5:$AK$14,MATCH($E75,'BY-Demands'!$I$5:$I$14,0),FALSE)*HLOOKUP(REG_TRA_DEMANDS!$F75,DEMANDS!$G$2:$CK$25,MATCH($E75,DEMANDS!$E$2:$E$25,0),FALSE)/HLOOKUP(2018,DEMANDS!$G$2:$CK$25,MATCH($E75,DEMANDS!$E$2:$E$25,0),FALSE)</f>
        <v>0.67334894495583053</v>
      </c>
      <c r="Y75" s="19">
        <f>HLOOKUP(REG_TRA_DEMANDS!Y$3,'BY-Demands'!$J$5:$AK$14,MATCH($E75,'BY-Demands'!$I$5:$I$14,0),FALSE)*HLOOKUP(REG_TRA_DEMANDS!$F75,DEMANDS!$G$2:$CK$25,MATCH($E75,DEMANDS!$E$2:$E$25,0),FALSE)/HLOOKUP(2018,DEMANDS!$G$2:$CK$25,MATCH($E75,DEMANDS!$E$2:$E$25,0),FALSE)</f>
        <v>1.5298382426220525</v>
      </c>
      <c r="Z75" s="19">
        <f>HLOOKUP(REG_TRA_DEMANDS!Z$3,'BY-Demands'!$J$5:$AK$14,MATCH($E75,'BY-Demands'!$I$5:$I$14,0),FALSE)*HLOOKUP(REG_TRA_DEMANDS!$F75,DEMANDS!$G$2:$CK$25,MATCH($E75,DEMANDS!$E$2:$E$25,0),FALSE)/HLOOKUP(2018,DEMANDS!$G$2:$CK$25,MATCH($E75,DEMANDS!$E$2:$E$25,0),FALSE)</f>
        <v>0.19736128502831751</v>
      </c>
      <c r="AA75" s="19">
        <f>HLOOKUP(REG_TRA_DEMANDS!AA$3,'BY-Demands'!$J$5:$AK$14,MATCH($E75,'BY-Demands'!$I$5:$I$14,0),FALSE)*HLOOKUP(REG_TRA_DEMANDS!$F75,DEMANDS!$G$2:$CK$25,MATCH($E75,DEMANDS!$E$2:$E$25,0),FALSE)/HLOOKUP(2018,DEMANDS!$G$2:$CK$25,MATCH($E75,DEMANDS!$E$2:$E$25,0),FALSE)</f>
        <v>0.84832333059692067</v>
      </c>
      <c r="AB75" s="19">
        <f>HLOOKUP(REG_TRA_DEMANDS!AB$3,'BY-Demands'!$J$5:$AK$14,MATCH($E75,'BY-Demands'!$I$5:$I$14,0),FALSE)*HLOOKUP(REG_TRA_DEMANDS!$F75,DEMANDS!$G$2:$CK$25,MATCH($E75,DEMANDS!$E$2:$E$25,0),FALSE)/HLOOKUP(2018,DEMANDS!$G$2:$CK$25,MATCH($E75,DEMANDS!$E$2:$E$25,0),FALSE)</f>
        <v>0.44465937297121488</v>
      </c>
      <c r="AC75" s="19">
        <f>HLOOKUP(REG_TRA_DEMANDS!AC$3,'BY-Demands'!$J$5:$AK$14,MATCH($E75,'BY-Demands'!$I$5:$I$14,0),FALSE)*HLOOKUP(REG_TRA_DEMANDS!$F75,DEMANDS!$G$2:$CK$25,MATCH($E75,DEMANDS!$E$2:$E$25,0),FALSE)/HLOOKUP(2018,DEMANDS!$G$2:$CK$25,MATCH($E75,DEMANDS!$E$2:$E$25,0),FALSE)</f>
        <v>0.37062682946889514</v>
      </c>
      <c r="AD75" s="19">
        <f>HLOOKUP(REG_TRA_DEMANDS!AD$3,'BY-Demands'!$J$5:$AK$14,MATCH($E75,'BY-Demands'!$I$5:$I$14,0),FALSE)*HLOOKUP(REG_TRA_DEMANDS!$F75,DEMANDS!$G$2:$CK$25,MATCH($E75,DEMANDS!$E$2:$E$25,0),FALSE)/HLOOKUP(2018,DEMANDS!$G$2:$CK$25,MATCH($E75,DEMANDS!$E$2:$E$25,0),FALSE)</f>
        <v>0.39638386294914146</v>
      </c>
      <c r="AE75" s="19">
        <f>HLOOKUP(REG_TRA_DEMANDS!AE$3,'BY-Demands'!$J$5:$AK$14,MATCH($E75,'BY-Demands'!$I$5:$I$14,0),FALSE)*HLOOKUP(REG_TRA_DEMANDS!$F75,DEMANDS!$G$2:$CK$25,MATCH($E75,DEMANDS!$E$2:$E$25,0),FALSE)/HLOOKUP(2018,DEMANDS!$G$2:$CK$25,MATCH($E75,DEMANDS!$E$2:$E$25,0),FALSE)</f>
        <v>0.73016800379219482</v>
      </c>
      <c r="AF75" s="19">
        <f>HLOOKUP(REG_TRA_DEMANDS!AF$3,'BY-Demands'!$J$5:$AK$14,MATCH($E75,'BY-Demands'!$I$5:$I$14,0),FALSE)*HLOOKUP(REG_TRA_DEMANDS!$F75,DEMANDS!$G$2:$CK$25,MATCH($E75,DEMANDS!$E$2:$E$25,0),FALSE)/HLOOKUP(2018,DEMANDS!$G$2:$CK$25,MATCH($E75,DEMANDS!$E$2:$E$25,0),FALSE)</f>
        <v>0.42177879621511538</v>
      </c>
    </row>
    <row r="76" spans="4:32" ht="14.5">
      <c r="D76" t="s">
        <v>6</v>
      </c>
      <c r="E76" t="str">
        <f>DEMANDS!$E$19</f>
        <v>TRAPL</v>
      </c>
      <c r="F76">
        <v>2038</v>
      </c>
      <c r="G76" s="19">
        <f>HLOOKUP(REG_TRA_DEMANDS!G$3,'BY-Demands'!$J$5:$AK$14,MATCH($E76,'BY-Demands'!$I$5:$I$14,0),FALSE)*HLOOKUP(REG_TRA_DEMANDS!$F76,DEMANDS!$G$2:$CK$25,MATCH($E76,DEMANDS!$E$2:$E$25,0),FALSE)/HLOOKUP(2018,DEMANDS!$G$2:$CK$25,MATCH($E76,DEMANDS!$E$2:$E$25,0),FALSE)</f>
        <v>0.37759222065616654</v>
      </c>
      <c r="H76" s="19">
        <f>HLOOKUP(REG_TRA_DEMANDS!H$3,'BY-Demands'!$J$5:$AK$14,MATCH($E76,'BY-Demands'!$I$5:$I$14,0),FALSE)*HLOOKUP(REG_TRA_DEMANDS!$F76,DEMANDS!$G$2:$CK$25,MATCH($E76,DEMANDS!$E$2:$E$25,0),FALSE)/HLOOKUP(2018,DEMANDS!$G$2:$CK$25,MATCH($E76,DEMANDS!$E$2:$E$25,0),FALSE)</f>
        <v>6.7265642656508531</v>
      </c>
      <c r="I76" s="19">
        <f>HLOOKUP(REG_TRA_DEMANDS!I$3,'BY-Demands'!$J$5:$AK$14,MATCH($E76,'BY-Demands'!$I$5:$I$14,0),FALSE)*HLOOKUP(REG_TRA_DEMANDS!$F76,DEMANDS!$G$2:$CK$25,MATCH($E76,DEMANDS!$E$2:$E$25,0),FALSE)/HLOOKUP(2018,DEMANDS!$G$2:$CK$25,MATCH($E76,DEMANDS!$E$2:$E$25,0),FALSE)</f>
        <v>1.3590945115772699</v>
      </c>
      <c r="J76" s="19">
        <f>HLOOKUP(REG_TRA_DEMANDS!J$3,'BY-Demands'!$J$5:$AK$14,MATCH($E76,'BY-Demands'!$I$5:$I$14,0),FALSE)*HLOOKUP(REG_TRA_DEMANDS!$F76,DEMANDS!$G$2:$CK$25,MATCH($E76,DEMANDS!$E$2:$E$25,0),FALSE)/HLOOKUP(2018,DEMANDS!$G$2:$CK$25,MATCH($E76,DEMANDS!$E$2:$E$25,0),FALSE)</f>
        <v>0.65445849756902208</v>
      </c>
      <c r="K76" s="19">
        <f>HLOOKUP(REG_TRA_DEMANDS!K$3,'BY-Demands'!$J$5:$AK$14,MATCH($E76,'BY-Demands'!$I$5:$I$14,0),FALSE)*HLOOKUP(REG_TRA_DEMANDS!$F76,DEMANDS!$G$2:$CK$25,MATCH($E76,DEMANDS!$E$2:$E$25,0),FALSE)/HLOOKUP(2018,DEMANDS!$G$2:$CK$25,MATCH($E76,DEMANDS!$E$2:$E$25,0),FALSE)</f>
        <v>0.48625749046763939</v>
      </c>
      <c r="L76" s="19">
        <f>HLOOKUP(REG_TRA_DEMANDS!L$3,'BY-Demands'!$J$5:$AK$14,MATCH($E76,'BY-Demands'!$I$5:$I$14,0),FALSE)*HLOOKUP(REG_TRA_DEMANDS!$F76,DEMANDS!$G$2:$CK$25,MATCH($E76,DEMANDS!$E$2:$E$25,0),FALSE)/HLOOKUP(2018,DEMANDS!$G$2:$CK$25,MATCH($E76,DEMANDS!$E$2:$E$25,0),FALSE)</f>
        <v>0.25037994655374829</v>
      </c>
      <c r="M76" s="19">
        <f>HLOOKUP(REG_TRA_DEMANDS!M$3,'BY-Demands'!$J$5:$AK$14,MATCH($E76,'BY-Demands'!$I$5:$I$14,0),FALSE)*HLOOKUP(REG_TRA_DEMANDS!$F76,DEMANDS!$G$2:$CK$25,MATCH($E76,DEMANDS!$E$2:$E$25,0),FALSE)/HLOOKUP(2018,DEMANDS!$G$2:$CK$25,MATCH($E76,DEMANDS!$E$2:$E$25,0),FALSE)</f>
        <v>0.68034461989087824</v>
      </c>
      <c r="N76" s="19">
        <f>HLOOKUP(REG_TRA_DEMANDS!N$3,'BY-Demands'!$J$5:$AK$14,MATCH($E76,'BY-Demands'!$I$5:$I$14,0),FALSE)*HLOOKUP(REG_TRA_DEMANDS!$F76,DEMANDS!$G$2:$CK$25,MATCH($E76,DEMANDS!$E$2:$E$25,0),FALSE)/HLOOKUP(2018,DEMANDS!$G$2:$CK$25,MATCH($E76,DEMANDS!$E$2:$E$25,0),FALSE)</f>
        <v>1.1569354998276435</v>
      </c>
      <c r="O76" s="19">
        <f>HLOOKUP(REG_TRA_DEMANDS!O$3,'BY-Demands'!$J$5:$AK$14,MATCH($E76,'BY-Demands'!$I$5:$I$14,0),FALSE)*HLOOKUP(REG_TRA_DEMANDS!$F76,DEMANDS!$G$2:$CK$25,MATCH($E76,DEMANDS!$E$2:$E$25,0),FALSE)/HLOOKUP(2018,DEMANDS!$G$2:$CK$25,MATCH($E76,DEMANDS!$E$2:$E$25,0),FALSE)</f>
        <v>0.49865948589490855</v>
      </c>
      <c r="P76" s="19">
        <f>HLOOKUP(REG_TRA_DEMANDS!P$3,'BY-Demands'!$J$5:$AK$14,MATCH($E76,'BY-Demands'!$I$5:$I$14,0),FALSE)*HLOOKUP(REG_TRA_DEMANDS!$F76,DEMANDS!$G$2:$CK$25,MATCH($E76,DEMANDS!$E$2:$E$25,0),FALSE)/HLOOKUP(2018,DEMANDS!$G$2:$CK$25,MATCH($E76,DEMANDS!$E$2:$E$25,0),FALSE)</f>
        <v>0.5526292033891671</v>
      </c>
      <c r="Q76" s="19">
        <f>HLOOKUP(REG_TRA_DEMANDS!Q$3,'BY-Demands'!$J$5:$AK$14,MATCH($E76,'BY-Demands'!$I$5:$I$14,0),FALSE)*HLOOKUP(REG_TRA_DEMANDS!$F76,DEMANDS!$G$2:$CK$25,MATCH($E76,DEMANDS!$E$2:$E$25,0),FALSE)/HLOOKUP(2018,DEMANDS!$G$2:$CK$25,MATCH($E76,DEMANDS!$E$2:$E$25,0),FALSE)</f>
        <v>0.98223764841257344</v>
      </c>
      <c r="R76" s="19">
        <f>HLOOKUP(REG_TRA_DEMANDS!R$3,'BY-Demands'!$J$5:$AK$14,MATCH($E76,'BY-Demands'!$I$5:$I$14,0),FALSE)*HLOOKUP(REG_TRA_DEMANDS!$F76,DEMANDS!$G$2:$CK$25,MATCH($E76,DEMANDS!$E$2:$E$25,0),FALSE)/HLOOKUP(2018,DEMANDS!$G$2:$CK$25,MATCH($E76,DEMANDS!$E$2:$E$25,0),FALSE)</f>
        <v>0.84109425860032383</v>
      </c>
      <c r="S76" s="19">
        <f>HLOOKUP(REG_TRA_DEMANDS!S$3,'BY-Demands'!$J$5:$AK$14,MATCH($E76,'BY-Demands'!$I$5:$I$14,0),FALSE)*HLOOKUP(REG_TRA_DEMANDS!$F76,DEMANDS!$G$2:$CK$25,MATCH($E76,DEMANDS!$E$2:$E$25,0),FALSE)/HLOOKUP(2018,DEMANDS!$G$2:$CK$25,MATCH($E76,DEMANDS!$E$2:$E$25,0),FALSE)</f>
        <v>0.75412678352914475</v>
      </c>
      <c r="T76" s="19">
        <f>HLOOKUP(REG_TRA_DEMANDS!T$3,'BY-Demands'!$J$5:$AK$14,MATCH($E76,'BY-Demands'!$I$5:$I$14,0),FALSE)*HLOOKUP(REG_TRA_DEMANDS!$F76,DEMANDS!$G$2:$CK$25,MATCH($E76,DEMANDS!$E$2:$E$25,0),FALSE)/HLOOKUP(2018,DEMANDS!$G$2:$CK$25,MATCH($E76,DEMANDS!$E$2:$E$25,0),FALSE)</f>
        <v>3.0750313879963613</v>
      </c>
      <c r="U76" s="19">
        <f>HLOOKUP(REG_TRA_DEMANDS!U$3,'BY-Demands'!$J$5:$AK$14,MATCH($E76,'BY-Demands'!$I$5:$I$14,0),FALSE)*HLOOKUP(REG_TRA_DEMANDS!$F76,DEMANDS!$G$2:$CK$25,MATCH($E76,DEMANDS!$E$2:$E$25,0),FALSE)/HLOOKUP(2018,DEMANDS!$G$2:$CK$25,MATCH($E76,DEMANDS!$E$2:$E$25,0),FALSE)</f>
        <v>1.0226460137627342</v>
      </c>
      <c r="V76" s="19">
        <f>HLOOKUP(REG_TRA_DEMANDS!V$3,'BY-Demands'!$J$5:$AK$14,MATCH($E76,'BY-Demands'!$I$5:$I$14,0),FALSE)*HLOOKUP(REG_TRA_DEMANDS!$F76,DEMANDS!$G$2:$CK$25,MATCH($E76,DEMANDS!$E$2:$E$25,0),FALSE)/HLOOKUP(2018,DEMANDS!$G$2:$CK$25,MATCH($E76,DEMANDS!$E$2:$E$25,0),FALSE)</f>
        <v>1.1328635327038523</v>
      </c>
      <c r="W76" s="19">
        <f>HLOOKUP(REG_TRA_DEMANDS!W$3,'BY-Demands'!$J$5:$AK$14,MATCH($E76,'BY-Demands'!$I$5:$I$14,0),FALSE)*HLOOKUP(REG_TRA_DEMANDS!$F76,DEMANDS!$G$2:$CK$25,MATCH($E76,DEMANDS!$E$2:$E$25,0),FALSE)/HLOOKUP(2018,DEMANDS!$G$2:$CK$25,MATCH($E76,DEMANDS!$E$2:$E$25,0),FALSE)</f>
        <v>1.0959667834674101</v>
      </c>
      <c r="X76" s="19">
        <f>HLOOKUP(REG_TRA_DEMANDS!X$3,'BY-Demands'!$J$5:$AK$14,MATCH($E76,'BY-Demands'!$I$5:$I$14,0),FALSE)*HLOOKUP(REG_TRA_DEMANDS!$F76,DEMANDS!$G$2:$CK$25,MATCH($E76,DEMANDS!$E$2:$E$25,0),FALSE)/HLOOKUP(2018,DEMANDS!$G$2:$CK$25,MATCH($E76,DEMANDS!$E$2:$E$25,0),FALSE)</f>
        <v>0.69018266857972632</v>
      </c>
      <c r="Y76" s="19">
        <f>HLOOKUP(REG_TRA_DEMANDS!Y$3,'BY-Demands'!$J$5:$AK$14,MATCH($E76,'BY-Demands'!$I$5:$I$14,0),FALSE)*HLOOKUP(REG_TRA_DEMANDS!$F76,DEMANDS!$G$2:$CK$25,MATCH($E76,DEMANDS!$E$2:$E$25,0),FALSE)/HLOOKUP(2018,DEMANDS!$G$2:$CK$25,MATCH($E76,DEMANDS!$E$2:$E$25,0),FALSE)</f>
        <v>1.5680841986876035</v>
      </c>
      <c r="Z76" s="19">
        <f>HLOOKUP(REG_TRA_DEMANDS!Z$3,'BY-Demands'!$J$5:$AK$14,MATCH($E76,'BY-Demands'!$I$5:$I$14,0),FALSE)*HLOOKUP(REG_TRA_DEMANDS!$F76,DEMANDS!$G$2:$CK$25,MATCH($E76,DEMANDS!$E$2:$E$25,0),FALSE)/HLOOKUP(2018,DEMANDS!$G$2:$CK$25,MATCH($E76,DEMANDS!$E$2:$E$25,0),FALSE)</f>
        <v>0.20229531715402543</v>
      </c>
      <c r="AA76" s="19">
        <f>HLOOKUP(REG_TRA_DEMANDS!AA$3,'BY-Demands'!$J$5:$AK$14,MATCH($E76,'BY-Demands'!$I$5:$I$14,0),FALSE)*HLOOKUP(REG_TRA_DEMANDS!$F76,DEMANDS!$G$2:$CK$25,MATCH($E76,DEMANDS!$E$2:$E$25,0),FALSE)/HLOOKUP(2018,DEMANDS!$G$2:$CK$25,MATCH($E76,DEMANDS!$E$2:$E$25,0),FALSE)</f>
        <v>0.86953141386184352</v>
      </c>
      <c r="AB76" s="19">
        <f>HLOOKUP(REG_TRA_DEMANDS!AB$3,'BY-Demands'!$J$5:$AK$14,MATCH($E76,'BY-Demands'!$I$5:$I$14,0),FALSE)*HLOOKUP(REG_TRA_DEMANDS!$F76,DEMANDS!$G$2:$CK$25,MATCH($E76,DEMANDS!$E$2:$E$25,0),FALSE)/HLOOKUP(2018,DEMANDS!$G$2:$CK$25,MATCH($E76,DEMANDS!$E$2:$E$25,0),FALSE)</f>
        <v>0.45577585729549519</v>
      </c>
      <c r="AC76" s="19">
        <f>HLOOKUP(REG_TRA_DEMANDS!AC$3,'BY-Demands'!$J$5:$AK$14,MATCH($E76,'BY-Demands'!$I$5:$I$14,0),FALSE)*HLOOKUP(REG_TRA_DEMANDS!$F76,DEMANDS!$G$2:$CK$25,MATCH($E76,DEMANDS!$E$2:$E$25,0),FALSE)/HLOOKUP(2018,DEMANDS!$G$2:$CK$25,MATCH($E76,DEMANDS!$E$2:$E$25,0),FALSE)</f>
        <v>0.37989250020561749</v>
      </c>
      <c r="AD76" s="19">
        <f>HLOOKUP(REG_TRA_DEMANDS!AD$3,'BY-Demands'!$J$5:$AK$14,MATCH($E76,'BY-Demands'!$I$5:$I$14,0),FALSE)*HLOOKUP(REG_TRA_DEMANDS!$F76,DEMANDS!$G$2:$CK$25,MATCH($E76,DEMANDS!$E$2:$E$25,0),FALSE)/HLOOKUP(2018,DEMANDS!$G$2:$CK$25,MATCH($E76,DEMANDS!$E$2:$E$25,0),FALSE)</f>
        <v>0.40629345952286994</v>
      </c>
      <c r="AE76" s="19">
        <f>HLOOKUP(REG_TRA_DEMANDS!AE$3,'BY-Demands'!$J$5:$AK$14,MATCH($E76,'BY-Demands'!$I$5:$I$14,0),FALSE)*HLOOKUP(REG_TRA_DEMANDS!$F76,DEMANDS!$G$2:$CK$25,MATCH($E76,DEMANDS!$E$2:$E$25,0),FALSE)/HLOOKUP(2018,DEMANDS!$G$2:$CK$25,MATCH($E76,DEMANDS!$E$2:$E$25,0),FALSE)</f>
        <v>0.74842220388699965</v>
      </c>
      <c r="AF76" s="19">
        <f>HLOOKUP(REG_TRA_DEMANDS!AF$3,'BY-Demands'!$J$5:$AK$14,MATCH($E76,'BY-Demands'!$I$5:$I$14,0),FALSE)*HLOOKUP(REG_TRA_DEMANDS!$F76,DEMANDS!$G$2:$CK$25,MATCH($E76,DEMANDS!$E$2:$E$25,0),FALSE)/HLOOKUP(2018,DEMANDS!$G$2:$CK$25,MATCH($E76,DEMANDS!$E$2:$E$25,0),FALSE)</f>
        <v>0.43232326612049321</v>
      </c>
    </row>
    <row r="77" spans="4:32" ht="14.5">
      <c r="D77" t="s">
        <v>6</v>
      </c>
      <c r="E77" t="str">
        <f>DEMANDS!$E$19</f>
        <v>TRAPL</v>
      </c>
      <c r="F77">
        <v>2039</v>
      </c>
      <c r="G77" s="19">
        <f>HLOOKUP(REG_TRA_DEMANDS!G$3,'BY-Demands'!$J$5:$AK$14,MATCH($E77,'BY-Demands'!$I$5:$I$14,0),FALSE)*HLOOKUP(REG_TRA_DEMANDS!$F77,DEMANDS!$G$2:$CK$25,MATCH($E77,DEMANDS!$E$2:$E$25,0),FALSE)/HLOOKUP(2018,DEMANDS!$G$2:$CK$25,MATCH($E77,DEMANDS!$E$2:$E$25,0),FALSE)</f>
        <v>0.38703202617257065</v>
      </c>
      <c r="H77" s="19">
        <f>HLOOKUP(REG_TRA_DEMANDS!H$3,'BY-Demands'!$J$5:$AK$14,MATCH($E77,'BY-Demands'!$I$5:$I$14,0),FALSE)*HLOOKUP(REG_TRA_DEMANDS!$F77,DEMANDS!$G$2:$CK$25,MATCH($E77,DEMANDS!$E$2:$E$25,0),FALSE)/HLOOKUP(2018,DEMANDS!$G$2:$CK$25,MATCH($E77,DEMANDS!$E$2:$E$25,0),FALSE)</f>
        <v>6.8947283722921231</v>
      </c>
      <c r="I77" s="19">
        <f>HLOOKUP(REG_TRA_DEMANDS!I$3,'BY-Demands'!$J$5:$AK$14,MATCH($E77,'BY-Demands'!$I$5:$I$14,0),FALSE)*HLOOKUP(REG_TRA_DEMANDS!$F77,DEMANDS!$G$2:$CK$25,MATCH($E77,DEMANDS!$E$2:$E$25,0),FALSE)/HLOOKUP(2018,DEMANDS!$G$2:$CK$25,MATCH($E77,DEMANDS!$E$2:$E$25,0),FALSE)</f>
        <v>1.3930718743667014</v>
      </c>
      <c r="J77" s="19">
        <f>HLOOKUP(REG_TRA_DEMANDS!J$3,'BY-Demands'!$J$5:$AK$14,MATCH($E77,'BY-Demands'!$I$5:$I$14,0),FALSE)*HLOOKUP(REG_TRA_DEMANDS!$F77,DEMANDS!$G$2:$CK$25,MATCH($E77,DEMANDS!$E$2:$E$25,0),FALSE)/HLOOKUP(2018,DEMANDS!$G$2:$CK$25,MATCH($E77,DEMANDS!$E$2:$E$25,0),FALSE)</f>
        <v>0.67081996000824762</v>
      </c>
      <c r="K77" s="19">
        <f>HLOOKUP(REG_TRA_DEMANDS!K$3,'BY-Demands'!$J$5:$AK$14,MATCH($E77,'BY-Demands'!$I$5:$I$14,0),FALSE)*HLOOKUP(REG_TRA_DEMANDS!$F77,DEMANDS!$G$2:$CK$25,MATCH($E77,DEMANDS!$E$2:$E$25,0),FALSE)/HLOOKUP(2018,DEMANDS!$G$2:$CK$25,MATCH($E77,DEMANDS!$E$2:$E$25,0),FALSE)</f>
        <v>0.49841392772933035</v>
      </c>
      <c r="L77" s="19">
        <f>HLOOKUP(REG_TRA_DEMANDS!L$3,'BY-Demands'!$J$5:$AK$14,MATCH($E77,'BY-Demands'!$I$5:$I$14,0),FALSE)*HLOOKUP(REG_TRA_DEMANDS!$F77,DEMANDS!$G$2:$CK$25,MATCH($E77,DEMANDS!$E$2:$E$25,0),FALSE)/HLOOKUP(2018,DEMANDS!$G$2:$CK$25,MATCH($E77,DEMANDS!$E$2:$E$25,0),FALSE)</f>
        <v>0.25663944521759191</v>
      </c>
      <c r="M77" s="19">
        <f>HLOOKUP(REG_TRA_DEMANDS!M$3,'BY-Demands'!$J$5:$AK$14,MATCH($E77,'BY-Demands'!$I$5:$I$14,0),FALSE)*HLOOKUP(REG_TRA_DEMANDS!$F77,DEMANDS!$G$2:$CK$25,MATCH($E77,DEMANDS!$E$2:$E$25,0),FALSE)/HLOOKUP(2018,DEMANDS!$G$2:$CK$25,MATCH($E77,DEMANDS!$E$2:$E$25,0),FALSE)</f>
        <v>0.69735323538815008</v>
      </c>
      <c r="N77" s="19">
        <f>HLOOKUP(REG_TRA_DEMANDS!N$3,'BY-Demands'!$J$5:$AK$14,MATCH($E77,'BY-Demands'!$I$5:$I$14,0),FALSE)*HLOOKUP(REG_TRA_DEMANDS!$F77,DEMANDS!$G$2:$CK$25,MATCH($E77,DEMANDS!$E$2:$E$25,0),FALSE)/HLOOKUP(2018,DEMANDS!$G$2:$CK$25,MATCH($E77,DEMANDS!$E$2:$E$25,0),FALSE)</f>
        <v>1.1858588873233344</v>
      </c>
      <c r="O77" s="19">
        <f>HLOOKUP(REG_TRA_DEMANDS!O$3,'BY-Demands'!$J$5:$AK$14,MATCH($E77,'BY-Demands'!$I$5:$I$14,0),FALSE)*HLOOKUP(REG_TRA_DEMANDS!$F77,DEMANDS!$G$2:$CK$25,MATCH($E77,DEMANDS!$E$2:$E$25,0),FALSE)/HLOOKUP(2018,DEMANDS!$G$2:$CK$25,MATCH($E77,DEMANDS!$E$2:$E$25,0),FALSE)</f>
        <v>0.51112597304228125</v>
      </c>
      <c r="P77" s="19">
        <f>HLOOKUP(REG_TRA_DEMANDS!P$3,'BY-Demands'!$J$5:$AK$14,MATCH($E77,'BY-Demands'!$I$5:$I$14,0),FALSE)*HLOOKUP(REG_TRA_DEMANDS!$F77,DEMANDS!$G$2:$CK$25,MATCH($E77,DEMANDS!$E$2:$E$25,0),FALSE)/HLOOKUP(2018,DEMANDS!$G$2:$CK$25,MATCH($E77,DEMANDS!$E$2:$E$25,0),FALSE)</f>
        <v>0.56644493347389624</v>
      </c>
      <c r="Q77" s="19">
        <f>HLOOKUP(REG_TRA_DEMANDS!Q$3,'BY-Demands'!$J$5:$AK$14,MATCH($E77,'BY-Demands'!$I$5:$I$14,0),FALSE)*HLOOKUP(REG_TRA_DEMANDS!$F77,DEMANDS!$G$2:$CK$25,MATCH($E77,DEMANDS!$E$2:$E$25,0),FALSE)/HLOOKUP(2018,DEMANDS!$G$2:$CK$25,MATCH($E77,DEMANDS!$E$2:$E$25,0),FALSE)</f>
        <v>1.0067935896228877</v>
      </c>
      <c r="R77" s="19">
        <f>HLOOKUP(REG_TRA_DEMANDS!R$3,'BY-Demands'!$J$5:$AK$14,MATCH($E77,'BY-Demands'!$I$5:$I$14,0),FALSE)*HLOOKUP(REG_TRA_DEMANDS!$F77,DEMANDS!$G$2:$CK$25,MATCH($E77,DEMANDS!$E$2:$E$25,0),FALSE)/HLOOKUP(2018,DEMANDS!$G$2:$CK$25,MATCH($E77,DEMANDS!$E$2:$E$25,0),FALSE)</f>
        <v>0.86212161506533169</v>
      </c>
      <c r="S77" s="19">
        <f>HLOOKUP(REG_TRA_DEMANDS!S$3,'BY-Demands'!$J$5:$AK$14,MATCH($E77,'BY-Demands'!$I$5:$I$14,0),FALSE)*HLOOKUP(REG_TRA_DEMANDS!$F77,DEMANDS!$G$2:$CK$25,MATCH($E77,DEMANDS!$E$2:$E$25,0),FALSE)/HLOOKUP(2018,DEMANDS!$G$2:$CK$25,MATCH($E77,DEMANDS!$E$2:$E$25,0),FALSE)</f>
        <v>0.77297995311737344</v>
      </c>
      <c r="T77" s="19">
        <f>HLOOKUP(REG_TRA_DEMANDS!T$3,'BY-Demands'!$J$5:$AK$14,MATCH($E77,'BY-Demands'!$I$5:$I$14,0),FALSE)*HLOOKUP(REG_TRA_DEMANDS!$F77,DEMANDS!$G$2:$CK$25,MATCH($E77,DEMANDS!$E$2:$E$25,0),FALSE)/HLOOKUP(2018,DEMANDS!$G$2:$CK$25,MATCH($E77,DEMANDS!$E$2:$E$25,0),FALSE)</f>
        <v>3.1519071726962702</v>
      </c>
      <c r="U77" s="19">
        <f>HLOOKUP(REG_TRA_DEMANDS!U$3,'BY-Demands'!$J$5:$AK$14,MATCH($E77,'BY-Demands'!$I$5:$I$14,0),FALSE)*HLOOKUP(REG_TRA_DEMANDS!$F77,DEMANDS!$G$2:$CK$25,MATCH($E77,DEMANDS!$E$2:$E$25,0),FALSE)/HLOOKUP(2018,DEMANDS!$G$2:$CK$25,MATCH($E77,DEMANDS!$E$2:$E$25,0),FALSE)</f>
        <v>1.0482121641068025</v>
      </c>
      <c r="V77" s="19">
        <f>HLOOKUP(REG_TRA_DEMANDS!V$3,'BY-Demands'!$J$5:$AK$14,MATCH($E77,'BY-Demands'!$I$5:$I$14,0),FALSE)*HLOOKUP(REG_TRA_DEMANDS!$F77,DEMANDS!$G$2:$CK$25,MATCH($E77,DEMANDS!$E$2:$E$25,0),FALSE)/HLOOKUP(2018,DEMANDS!$G$2:$CK$25,MATCH($E77,DEMANDS!$E$2:$E$25,0),FALSE)</f>
        <v>1.1611851210214486</v>
      </c>
      <c r="W77" s="19">
        <f>HLOOKUP(REG_TRA_DEMANDS!W$3,'BY-Demands'!$J$5:$AK$14,MATCH($E77,'BY-Demands'!$I$5:$I$14,0),FALSE)*HLOOKUP(REG_TRA_DEMANDS!$F77,DEMANDS!$G$2:$CK$25,MATCH($E77,DEMANDS!$E$2:$E$25,0),FALSE)/HLOOKUP(2018,DEMANDS!$G$2:$CK$25,MATCH($E77,DEMANDS!$E$2:$E$25,0),FALSE)</f>
        <v>1.1233659530540954</v>
      </c>
      <c r="X77" s="19">
        <f>HLOOKUP(REG_TRA_DEMANDS!X$3,'BY-Demands'!$J$5:$AK$14,MATCH($E77,'BY-Demands'!$I$5:$I$14,0),FALSE)*HLOOKUP(REG_TRA_DEMANDS!$F77,DEMANDS!$G$2:$CK$25,MATCH($E77,DEMANDS!$E$2:$E$25,0),FALSE)/HLOOKUP(2018,DEMANDS!$G$2:$CK$25,MATCH($E77,DEMANDS!$E$2:$E$25,0),FALSE)</f>
        <v>0.70743723529421942</v>
      </c>
      <c r="Y77" s="19">
        <f>HLOOKUP(REG_TRA_DEMANDS!Y$3,'BY-Demands'!$J$5:$AK$14,MATCH($E77,'BY-Demands'!$I$5:$I$14,0),FALSE)*HLOOKUP(REG_TRA_DEMANDS!$F77,DEMANDS!$G$2:$CK$25,MATCH($E77,DEMANDS!$E$2:$E$25,0),FALSE)/HLOOKUP(2018,DEMANDS!$G$2:$CK$25,MATCH($E77,DEMANDS!$E$2:$E$25,0),FALSE)</f>
        <v>1.6072863036547935</v>
      </c>
      <c r="Z77" s="19">
        <f>HLOOKUP(REG_TRA_DEMANDS!Z$3,'BY-Demands'!$J$5:$AK$14,MATCH($E77,'BY-Demands'!$I$5:$I$14,0),FALSE)*HLOOKUP(REG_TRA_DEMANDS!$F77,DEMANDS!$G$2:$CK$25,MATCH($E77,DEMANDS!$E$2:$E$25,0),FALSE)/HLOOKUP(2018,DEMANDS!$G$2:$CK$25,MATCH($E77,DEMANDS!$E$2:$E$25,0),FALSE)</f>
        <v>0.20735270008287604</v>
      </c>
      <c r="AA77" s="19">
        <f>HLOOKUP(REG_TRA_DEMANDS!AA$3,'BY-Demands'!$J$5:$AK$14,MATCH($E77,'BY-Demands'!$I$5:$I$14,0),FALSE)*HLOOKUP(REG_TRA_DEMANDS!$F77,DEMANDS!$G$2:$CK$25,MATCH($E77,DEMANDS!$E$2:$E$25,0),FALSE)/HLOOKUP(2018,DEMANDS!$G$2:$CK$25,MATCH($E77,DEMANDS!$E$2:$E$25,0),FALSE)</f>
        <v>0.89126969920838961</v>
      </c>
      <c r="AB77" s="19">
        <f>HLOOKUP(REG_TRA_DEMANDS!AB$3,'BY-Demands'!$J$5:$AK$14,MATCH($E77,'BY-Demands'!$I$5:$I$14,0),FALSE)*HLOOKUP(REG_TRA_DEMANDS!$F77,DEMANDS!$G$2:$CK$25,MATCH($E77,DEMANDS!$E$2:$E$25,0),FALSE)/HLOOKUP(2018,DEMANDS!$G$2:$CK$25,MATCH($E77,DEMANDS!$E$2:$E$25,0),FALSE)</f>
        <v>0.46717025372788257</v>
      </c>
      <c r="AC77" s="19">
        <f>HLOOKUP(REG_TRA_DEMANDS!AC$3,'BY-Demands'!$J$5:$AK$14,MATCH($E77,'BY-Demands'!$I$5:$I$14,0),FALSE)*HLOOKUP(REG_TRA_DEMANDS!$F77,DEMANDS!$G$2:$CK$25,MATCH($E77,DEMANDS!$E$2:$E$25,0),FALSE)/HLOOKUP(2018,DEMANDS!$G$2:$CK$25,MATCH($E77,DEMANDS!$E$2:$E$25,0),FALSE)</f>
        <v>0.38938981271075795</v>
      </c>
      <c r="AD77" s="19">
        <f>HLOOKUP(REG_TRA_DEMANDS!AD$3,'BY-Demands'!$J$5:$AK$14,MATCH($E77,'BY-Demands'!$I$5:$I$14,0),FALSE)*HLOOKUP(REG_TRA_DEMANDS!$F77,DEMANDS!$G$2:$CK$25,MATCH($E77,DEMANDS!$E$2:$E$25,0),FALSE)/HLOOKUP(2018,DEMANDS!$G$2:$CK$25,MATCH($E77,DEMANDS!$E$2:$E$25,0),FALSE)</f>
        <v>0.41645079601094165</v>
      </c>
      <c r="AE77" s="19">
        <f>HLOOKUP(REG_TRA_DEMANDS!AE$3,'BY-Demands'!$J$5:$AK$14,MATCH($E77,'BY-Demands'!$I$5:$I$14,0),FALSE)*HLOOKUP(REG_TRA_DEMANDS!$F77,DEMANDS!$G$2:$CK$25,MATCH($E77,DEMANDS!$E$2:$E$25,0),FALSE)/HLOOKUP(2018,DEMANDS!$G$2:$CK$25,MATCH($E77,DEMANDS!$E$2:$E$25,0),FALSE)</f>
        <v>0.76713275898417466</v>
      </c>
      <c r="AF77" s="19">
        <f>HLOOKUP(REG_TRA_DEMANDS!AF$3,'BY-Demands'!$J$5:$AK$14,MATCH($E77,'BY-Demands'!$I$5:$I$14,0),FALSE)*HLOOKUP(REG_TRA_DEMANDS!$F77,DEMANDS!$G$2:$CK$25,MATCH($E77,DEMANDS!$E$2:$E$25,0),FALSE)/HLOOKUP(2018,DEMANDS!$G$2:$CK$25,MATCH($E77,DEMANDS!$E$2:$E$25,0),FALSE)</f>
        <v>0.44313134777350549</v>
      </c>
    </row>
    <row r="78" spans="4:32" ht="14.5">
      <c r="D78" t="s">
        <v>6</v>
      </c>
      <c r="E78" t="str">
        <f>DEMANDS!$E$19</f>
        <v>TRAPL</v>
      </c>
      <c r="F78">
        <v>2040</v>
      </c>
      <c r="G78" s="19">
        <f>HLOOKUP(REG_TRA_DEMANDS!G$3,'BY-Demands'!$J$5:$AK$14,MATCH($E78,'BY-Demands'!$I$5:$I$14,0),FALSE)*HLOOKUP(REG_TRA_DEMANDS!$F78,DEMANDS!$G$2:$CK$25,MATCH($E78,DEMANDS!$E$2:$E$25,0),FALSE)/HLOOKUP(2018,DEMANDS!$G$2:$CK$25,MATCH($E78,DEMANDS!$E$2:$E$25,0),FALSE)</f>
        <v>0.39670782682688494</v>
      </c>
      <c r="H78" s="19">
        <f>HLOOKUP(REG_TRA_DEMANDS!H$3,'BY-Demands'!$J$5:$AK$14,MATCH($E78,'BY-Demands'!$I$5:$I$14,0),FALSE)*HLOOKUP(REG_TRA_DEMANDS!$F78,DEMANDS!$G$2:$CK$25,MATCH($E78,DEMANDS!$E$2:$E$25,0),FALSE)/HLOOKUP(2018,DEMANDS!$G$2:$CK$25,MATCH($E78,DEMANDS!$E$2:$E$25,0),FALSE)</f>
        <v>7.0670965815994267</v>
      </c>
      <c r="I78" s="19">
        <f>HLOOKUP(REG_TRA_DEMANDS!I$3,'BY-Demands'!$J$5:$AK$14,MATCH($E78,'BY-Demands'!$I$5:$I$14,0),FALSE)*HLOOKUP(REG_TRA_DEMANDS!$F78,DEMANDS!$G$2:$CK$25,MATCH($E78,DEMANDS!$E$2:$E$25,0),FALSE)/HLOOKUP(2018,DEMANDS!$G$2:$CK$25,MATCH($E78,DEMANDS!$E$2:$E$25,0),FALSE)</f>
        <v>1.4278986712258688</v>
      </c>
      <c r="J78" s="19">
        <f>HLOOKUP(REG_TRA_DEMANDS!J$3,'BY-Demands'!$J$5:$AK$14,MATCH($E78,'BY-Demands'!$I$5:$I$14,0),FALSE)*HLOOKUP(REG_TRA_DEMANDS!$F78,DEMANDS!$G$2:$CK$25,MATCH($E78,DEMANDS!$E$2:$E$25,0),FALSE)/HLOOKUP(2018,DEMANDS!$G$2:$CK$25,MATCH($E78,DEMANDS!$E$2:$E$25,0),FALSE)</f>
        <v>0.68759045900845372</v>
      </c>
      <c r="K78" s="19">
        <f>HLOOKUP(REG_TRA_DEMANDS!K$3,'BY-Demands'!$J$5:$AK$14,MATCH($E78,'BY-Demands'!$I$5:$I$14,0),FALSE)*HLOOKUP(REG_TRA_DEMANDS!$F78,DEMANDS!$G$2:$CK$25,MATCH($E78,DEMANDS!$E$2:$E$25,0),FALSE)/HLOOKUP(2018,DEMANDS!$G$2:$CK$25,MATCH($E78,DEMANDS!$E$2:$E$25,0),FALSE)</f>
        <v>0.51087427592256351</v>
      </c>
      <c r="L78" s="19">
        <f>HLOOKUP(REG_TRA_DEMANDS!L$3,'BY-Demands'!$J$5:$AK$14,MATCH($E78,'BY-Demands'!$I$5:$I$14,0),FALSE)*HLOOKUP(REG_TRA_DEMANDS!$F78,DEMANDS!$G$2:$CK$25,MATCH($E78,DEMANDS!$E$2:$E$25,0),FALSE)/HLOOKUP(2018,DEMANDS!$G$2:$CK$25,MATCH($E78,DEMANDS!$E$2:$E$25,0),FALSE)</f>
        <v>0.26305543134803172</v>
      </c>
      <c r="M78" s="19">
        <f>HLOOKUP(REG_TRA_DEMANDS!M$3,'BY-Demands'!$J$5:$AK$14,MATCH($E78,'BY-Demands'!$I$5:$I$14,0),FALSE)*HLOOKUP(REG_TRA_DEMANDS!$F78,DEMANDS!$G$2:$CK$25,MATCH($E78,DEMANDS!$E$2:$E$25,0),FALSE)/HLOOKUP(2018,DEMANDS!$G$2:$CK$25,MATCH($E78,DEMANDS!$E$2:$E$25,0),FALSE)</f>
        <v>0.71478706627285371</v>
      </c>
      <c r="N78" s="19">
        <f>HLOOKUP(REG_TRA_DEMANDS!N$3,'BY-Demands'!$J$5:$AK$14,MATCH($E78,'BY-Demands'!$I$5:$I$14,0),FALSE)*HLOOKUP(REG_TRA_DEMANDS!$F78,DEMANDS!$G$2:$CK$25,MATCH($E78,DEMANDS!$E$2:$E$25,0),FALSE)/HLOOKUP(2018,DEMANDS!$G$2:$CK$25,MATCH($E78,DEMANDS!$E$2:$E$25,0),FALSE)</f>
        <v>1.2155053595064178</v>
      </c>
      <c r="O78" s="19">
        <f>HLOOKUP(REG_TRA_DEMANDS!O$3,'BY-Demands'!$J$5:$AK$14,MATCH($E78,'BY-Demands'!$I$5:$I$14,0),FALSE)*HLOOKUP(REG_TRA_DEMANDS!$F78,DEMANDS!$G$2:$CK$25,MATCH($E78,DEMANDS!$E$2:$E$25,0),FALSE)/HLOOKUP(2018,DEMANDS!$G$2:$CK$25,MATCH($E78,DEMANDS!$E$2:$E$25,0),FALSE)</f>
        <v>0.52390412236833817</v>
      </c>
      <c r="P78" s="19">
        <f>HLOOKUP(REG_TRA_DEMANDS!P$3,'BY-Demands'!$J$5:$AK$14,MATCH($E78,'BY-Demands'!$I$5:$I$14,0),FALSE)*HLOOKUP(REG_TRA_DEMANDS!$F78,DEMANDS!$G$2:$CK$25,MATCH($E78,DEMANDS!$E$2:$E$25,0),FALSE)/HLOOKUP(2018,DEMANDS!$G$2:$CK$25,MATCH($E78,DEMANDS!$E$2:$E$25,0),FALSE)</f>
        <v>0.58060605681074362</v>
      </c>
      <c r="Q78" s="19">
        <f>HLOOKUP(REG_TRA_DEMANDS!Q$3,'BY-Demands'!$J$5:$AK$14,MATCH($E78,'BY-Demands'!$I$5:$I$14,0),FALSE)*HLOOKUP(REG_TRA_DEMANDS!$F78,DEMANDS!$G$2:$CK$25,MATCH($E78,DEMANDS!$E$2:$E$25,0),FALSE)/HLOOKUP(2018,DEMANDS!$G$2:$CK$25,MATCH($E78,DEMANDS!$E$2:$E$25,0),FALSE)</f>
        <v>1.0319634293634599</v>
      </c>
      <c r="R78" s="19">
        <f>HLOOKUP(REG_TRA_DEMANDS!R$3,'BY-Demands'!$J$5:$AK$14,MATCH($E78,'BY-Demands'!$I$5:$I$14,0),FALSE)*HLOOKUP(REG_TRA_DEMANDS!$F78,DEMANDS!$G$2:$CK$25,MATCH($E78,DEMANDS!$E$2:$E$25,0),FALSE)/HLOOKUP(2018,DEMANDS!$G$2:$CK$25,MATCH($E78,DEMANDS!$E$2:$E$25,0),FALSE)</f>
        <v>0.883674655441965</v>
      </c>
      <c r="S78" s="19">
        <f>HLOOKUP(REG_TRA_DEMANDS!S$3,'BY-Demands'!$J$5:$AK$14,MATCH($E78,'BY-Demands'!$I$5:$I$14,0),FALSE)*HLOOKUP(REG_TRA_DEMANDS!$F78,DEMANDS!$G$2:$CK$25,MATCH($E78,DEMANDS!$E$2:$E$25,0),FALSE)/HLOOKUP(2018,DEMANDS!$G$2:$CK$25,MATCH($E78,DEMANDS!$E$2:$E$25,0),FALSE)</f>
        <v>0.79230445194530763</v>
      </c>
      <c r="T78" s="19">
        <f>HLOOKUP(REG_TRA_DEMANDS!T$3,'BY-Demands'!$J$5:$AK$14,MATCH($E78,'BY-Demands'!$I$5:$I$14,0),FALSE)*HLOOKUP(REG_TRA_DEMANDS!$F78,DEMANDS!$G$2:$CK$25,MATCH($E78,DEMANDS!$E$2:$E$25,0),FALSE)/HLOOKUP(2018,DEMANDS!$G$2:$CK$25,MATCH($E78,DEMANDS!$E$2:$E$25,0),FALSE)</f>
        <v>3.2307048520136767</v>
      </c>
      <c r="U78" s="19">
        <f>HLOOKUP(REG_TRA_DEMANDS!U$3,'BY-Demands'!$J$5:$AK$14,MATCH($E78,'BY-Demands'!$I$5:$I$14,0),FALSE)*HLOOKUP(REG_TRA_DEMANDS!$F78,DEMANDS!$G$2:$CK$25,MATCH($E78,DEMANDS!$E$2:$E$25,0),FALSE)/HLOOKUP(2018,DEMANDS!$G$2:$CK$25,MATCH($E78,DEMANDS!$E$2:$E$25,0),FALSE)</f>
        <v>1.0744174682094725</v>
      </c>
      <c r="V78" s="19">
        <f>HLOOKUP(REG_TRA_DEMANDS!V$3,'BY-Demands'!$J$5:$AK$14,MATCH($E78,'BY-Demands'!$I$5:$I$14,0),FALSE)*HLOOKUP(REG_TRA_DEMANDS!$F78,DEMANDS!$G$2:$CK$25,MATCH($E78,DEMANDS!$E$2:$E$25,0),FALSE)/HLOOKUP(2018,DEMANDS!$G$2:$CK$25,MATCH($E78,DEMANDS!$E$2:$E$25,0),FALSE)</f>
        <v>1.1902147490469845</v>
      </c>
      <c r="W78" s="19">
        <f>HLOOKUP(REG_TRA_DEMANDS!W$3,'BY-Demands'!$J$5:$AK$14,MATCH($E78,'BY-Demands'!$I$5:$I$14,0),FALSE)*HLOOKUP(REG_TRA_DEMANDS!$F78,DEMANDS!$G$2:$CK$25,MATCH($E78,DEMANDS!$E$2:$E$25,0),FALSE)/HLOOKUP(2018,DEMANDS!$G$2:$CK$25,MATCH($E78,DEMANDS!$E$2:$E$25,0),FALSE)</f>
        <v>1.1514501018804475</v>
      </c>
      <c r="X78" s="19">
        <f>HLOOKUP(REG_TRA_DEMANDS!X$3,'BY-Demands'!$J$5:$AK$14,MATCH($E78,'BY-Demands'!$I$5:$I$14,0),FALSE)*HLOOKUP(REG_TRA_DEMANDS!$F78,DEMANDS!$G$2:$CK$25,MATCH($E78,DEMANDS!$E$2:$E$25,0),FALSE)/HLOOKUP(2018,DEMANDS!$G$2:$CK$25,MATCH($E78,DEMANDS!$E$2:$E$25,0),FALSE)</f>
        <v>0.7251231661765748</v>
      </c>
      <c r="Y78" s="19">
        <f>HLOOKUP(REG_TRA_DEMANDS!Y$3,'BY-Demands'!$J$5:$AK$14,MATCH($E78,'BY-Demands'!$I$5:$I$14,0),FALSE)*HLOOKUP(REG_TRA_DEMANDS!$F78,DEMANDS!$G$2:$CK$25,MATCH($E78,DEMANDS!$E$2:$E$25,0),FALSE)/HLOOKUP(2018,DEMANDS!$G$2:$CK$25,MATCH($E78,DEMANDS!$E$2:$E$25,0),FALSE)</f>
        <v>1.6474684612461632</v>
      </c>
      <c r="Z78" s="19">
        <f>HLOOKUP(REG_TRA_DEMANDS!Z$3,'BY-Demands'!$J$5:$AK$14,MATCH($E78,'BY-Demands'!$I$5:$I$14,0),FALSE)*HLOOKUP(REG_TRA_DEMANDS!$F78,DEMANDS!$G$2:$CK$25,MATCH($E78,DEMANDS!$E$2:$E$25,0),FALSE)/HLOOKUP(2018,DEMANDS!$G$2:$CK$25,MATCH($E78,DEMANDS!$E$2:$E$25,0),FALSE)</f>
        <v>0.21253651758494793</v>
      </c>
      <c r="AA78" s="19">
        <f>HLOOKUP(REG_TRA_DEMANDS!AA$3,'BY-Demands'!$J$5:$AK$14,MATCH($E78,'BY-Demands'!$I$5:$I$14,0),FALSE)*HLOOKUP(REG_TRA_DEMANDS!$F78,DEMANDS!$G$2:$CK$25,MATCH($E78,DEMANDS!$E$2:$E$25,0),FALSE)/HLOOKUP(2018,DEMANDS!$G$2:$CK$25,MATCH($E78,DEMANDS!$E$2:$E$25,0),FALSE)</f>
        <v>0.91355144168859925</v>
      </c>
      <c r="AB78" s="19">
        <f>HLOOKUP(REG_TRA_DEMANDS!AB$3,'BY-Demands'!$J$5:$AK$14,MATCH($E78,'BY-Demands'!$I$5:$I$14,0),FALSE)*HLOOKUP(REG_TRA_DEMANDS!$F78,DEMANDS!$G$2:$CK$25,MATCH($E78,DEMANDS!$E$2:$E$25,0),FALSE)/HLOOKUP(2018,DEMANDS!$G$2:$CK$25,MATCH($E78,DEMANDS!$E$2:$E$25,0),FALSE)</f>
        <v>0.47884951007107962</v>
      </c>
      <c r="AC78" s="19">
        <f>HLOOKUP(REG_TRA_DEMANDS!AC$3,'BY-Demands'!$J$5:$AK$14,MATCH($E78,'BY-Demands'!$I$5:$I$14,0),FALSE)*HLOOKUP(REG_TRA_DEMANDS!$F78,DEMANDS!$G$2:$CK$25,MATCH($E78,DEMANDS!$E$2:$E$25,0),FALSE)/HLOOKUP(2018,DEMANDS!$G$2:$CK$25,MATCH($E78,DEMANDS!$E$2:$E$25,0),FALSE)</f>
        <v>0.39912455802852681</v>
      </c>
      <c r="AD78" s="19">
        <f>HLOOKUP(REG_TRA_DEMANDS!AD$3,'BY-Demands'!$J$5:$AK$14,MATCH($E78,'BY-Demands'!$I$5:$I$14,0),FALSE)*HLOOKUP(REG_TRA_DEMANDS!$F78,DEMANDS!$G$2:$CK$25,MATCH($E78,DEMANDS!$E$2:$E$25,0),FALSE)/HLOOKUP(2018,DEMANDS!$G$2:$CK$25,MATCH($E78,DEMANDS!$E$2:$E$25,0),FALSE)</f>
        <v>0.42686206591121517</v>
      </c>
      <c r="AE78" s="19">
        <f>HLOOKUP(REG_TRA_DEMANDS!AE$3,'BY-Demands'!$J$5:$AK$14,MATCH($E78,'BY-Demands'!$I$5:$I$14,0),FALSE)*HLOOKUP(REG_TRA_DEMANDS!$F78,DEMANDS!$G$2:$CK$25,MATCH($E78,DEMANDS!$E$2:$E$25,0),FALSE)/HLOOKUP(2018,DEMANDS!$G$2:$CK$25,MATCH($E78,DEMANDS!$E$2:$E$25,0),FALSE)</f>
        <v>0.78631107795877886</v>
      </c>
      <c r="AF78" s="19">
        <f>HLOOKUP(REG_TRA_DEMANDS!AF$3,'BY-Demands'!$J$5:$AK$14,MATCH($E78,'BY-Demands'!$I$5:$I$14,0),FALSE)*HLOOKUP(REG_TRA_DEMANDS!$F78,DEMANDS!$G$2:$CK$25,MATCH($E78,DEMANDS!$E$2:$E$25,0),FALSE)/HLOOKUP(2018,DEMANDS!$G$2:$CK$25,MATCH($E78,DEMANDS!$E$2:$E$25,0),FALSE)</f>
        <v>0.4542096314678431</v>
      </c>
    </row>
    <row r="79" spans="4:32" ht="14.5">
      <c r="D79" t="s">
        <v>6</v>
      </c>
      <c r="E79" t="str">
        <f>DEMANDS!$E$19</f>
        <v>TRAPL</v>
      </c>
      <c r="F79">
        <v>2045</v>
      </c>
      <c r="G79" s="19">
        <f>HLOOKUP(REG_TRA_DEMANDS!G$3,'BY-Demands'!$J$5:$AK$14,MATCH($E79,'BY-Demands'!$I$5:$I$14,0),FALSE)*HLOOKUP(REG_TRA_DEMANDS!$F79,DEMANDS!$G$2:$CK$25,MATCH($E79,DEMANDS!$E$2:$E$25,0),FALSE)/HLOOKUP(2018,DEMANDS!$G$2:$CK$25,MATCH($E79,DEMANDS!$E$2:$E$25,0),FALSE)</f>
        <v>0.44883849338992921</v>
      </c>
      <c r="H79" s="19">
        <f>HLOOKUP(REG_TRA_DEMANDS!H$3,'BY-Demands'!$J$5:$AK$14,MATCH($E79,'BY-Demands'!$I$5:$I$14,0),FALSE)*HLOOKUP(REG_TRA_DEMANDS!$F79,DEMANDS!$G$2:$CK$25,MATCH($E79,DEMANDS!$E$2:$E$25,0),FALSE)/HLOOKUP(2018,DEMANDS!$G$2:$CK$25,MATCH($E79,DEMANDS!$E$2:$E$25,0),FALSE)</f>
        <v>7.9957711137128484</v>
      </c>
      <c r="I79" s="19">
        <f>HLOOKUP(REG_TRA_DEMANDS!I$3,'BY-Demands'!$J$5:$AK$14,MATCH($E79,'BY-Demands'!$I$5:$I$14,0),FALSE)*HLOOKUP(REG_TRA_DEMANDS!$F79,DEMANDS!$G$2:$CK$25,MATCH($E79,DEMANDS!$E$2:$E$25,0),FALSE)/HLOOKUP(2018,DEMANDS!$G$2:$CK$25,MATCH($E79,DEMANDS!$E$2:$E$25,0),FALSE)</f>
        <v>1.6155362838005574</v>
      </c>
      <c r="J79" s="19">
        <f>HLOOKUP(REG_TRA_DEMANDS!J$3,'BY-Demands'!$J$5:$AK$14,MATCH($E79,'BY-Demands'!$I$5:$I$14,0),FALSE)*HLOOKUP(REG_TRA_DEMANDS!$F79,DEMANDS!$G$2:$CK$25,MATCH($E79,DEMANDS!$E$2:$E$25,0),FALSE)/HLOOKUP(2018,DEMANDS!$G$2:$CK$25,MATCH($E79,DEMANDS!$E$2:$E$25,0),FALSE)</f>
        <v>0.77794549242739874</v>
      </c>
      <c r="K79" s="19">
        <f>HLOOKUP(REG_TRA_DEMANDS!K$3,'BY-Demands'!$J$5:$AK$14,MATCH($E79,'BY-Demands'!$I$5:$I$14,0),FALSE)*HLOOKUP(REG_TRA_DEMANDS!$F79,DEMANDS!$G$2:$CK$25,MATCH($E79,DEMANDS!$E$2:$E$25,0),FALSE)/HLOOKUP(2018,DEMANDS!$G$2:$CK$25,MATCH($E79,DEMANDS!$E$2:$E$25,0),FALSE)</f>
        <v>0.57800735153333949</v>
      </c>
      <c r="L79" s="19">
        <f>HLOOKUP(REG_TRA_DEMANDS!L$3,'BY-Demands'!$J$5:$AK$14,MATCH($E79,'BY-Demands'!$I$5:$I$14,0),FALSE)*HLOOKUP(REG_TRA_DEMANDS!$F79,DEMANDS!$G$2:$CK$25,MATCH($E79,DEMANDS!$E$2:$E$25,0),FALSE)/HLOOKUP(2018,DEMANDS!$G$2:$CK$25,MATCH($E79,DEMANDS!$E$2:$E$25,0),FALSE)</f>
        <v>0.29762307547264893</v>
      </c>
      <c r="M79" s="19">
        <f>HLOOKUP(REG_TRA_DEMANDS!M$3,'BY-Demands'!$J$5:$AK$14,MATCH($E79,'BY-Demands'!$I$5:$I$14,0),FALSE)*HLOOKUP(REG_TRA_DEMANDS!$F79,DEMANDS!$G$2:$CK$25,MATCH($E79,DEMANDS!$E$2:$E$25,0),FALSE)/HLOOKUP(2018,DEMANDS!$G$2:$CK$25,MATCH($E79,DEMANDS!$E$2:$E$25,0),FALSE)</f>
        <v>0.80871595724910195</v>
      </c>
      <c r="N79" s="19">
        <f>HLOOKUP(REG_TRA_DEMANDS!N$3,'BY-Demands'!$J$5:$AK$14,MATCH($E79,'BY-Demands'!$I$5:$I$14,0),FALSE)*HLOOKUP(REG_TRA_DEMANDS!$F79,DEMANDS!$G$2:$CK$25,MATCH($E79,DEMANDS!$E$2:$E$25,0),FALSE)/HLOOKUP(2018,DEMANDS!$G$2:$CK$25,MATCH($E79,DEMANDS!$E$2:$E$25,0),FALSE)</f>
        <v>1.3752327465581322</v>
      </c>
      <c r="O79" s="19">
        <f>HLOOKUP(REG_TRA_DEMANDS!O$3,'BY-Demands'!$J$5:$AK$14,MATCH($E79,'BY-Demands'!$I$5:$I$14,0),FALSE)*HLOOKUP(REG_TRA_DEMANDS!$F79,DEMANDS!$G$2:$CK$25,MATCH($E79,DEMANDS!$E$2:$E$25,0),FALSE)/HLOOKUP(2018,DEMANDS!$G$2:$CK$25,MATCH($E79,DEMANDS!$E$2:$E$25,0),FALSE)</f>
        <v>0.59274942681479259</v>
      </c>
      <c r="P79" s="19">
        <f>HLOOKUP(REG_TRA_DEMANDS!P$3,'BY-Demands'!$J$5:$AK$14,MATCH($E79,'BY-Demands'!$I$5:$I$14,0),FALSE)*HLOOKUP(REG_TRA_DEMANDS!$F79,DEMANDS!$G$2:$CK$25,MATCH($E79,DEMANDS!$E$2:$E$25,0),FALSE)/HLOOKUP(2018,DEMANDS!$G$2:$CK$25,MATCH($E79,DEMANDS!$E$2:$E$25,0),FALSE)</f>
        <v>0.65690246112971584</v>
      </c>
      <c r="Q79" s="19">
        <f>HLOOKUP(REG_TRA_DEMANDS!Q$3,'BY-Demands'!$J$5:$AK$14,MATCH($E79,'BY-Demands'!$I$5:$I$14,0),FALSE)*HLOOKUP(REG_TRA_DEMANDS!$F79,DEMANDS!$G$2:$CK$25,MATCH($E79,DEMANDS!$E$2:$E$25,0),FALSE)/HLOOKUP(2018,DEMANDS!$G$2:$CK$25,MATCH($E79,DEMANDS!$E$2:$E$25,0),FALSE)</f>
        <v>1.1675718993845923</v>
      </c>
      <c r="R79" s="19">
        <f>HLOOKUP(REG_TRA_DEMANDS!R$3,'BY-Demands'!$J$5:$AK$14,MATCH($E79,'BY-Demands'!$I$5:$I$14,0),FALSE)*HLOOKUP(REG_TRA_DEMANDS!$F79,DEMANDS!$G$2:$CK$25,MATCH($E79,DEMANDS!$E$2:$E$25,0),FALSE)/HLOOKUP(2018,DEMANDS!$G$2:$CK$25,MATCH($E79,DEMANDS!$E$2:$E$25,0),FALSE)</f>
        <v>0.99979676269033202</v>
      </c>
      <c r="S79" s="19">
        <f>HLOOKUP(REG_TRA_DEMANDS!S$3,'BY-Demands'!$J$5:$AK$14,MATCH($E79,'BY-Demands'!$I$5:$I$14,0),FALSE)*HLOOKUP(REG_TRA_DEMANDS!$F79,DEMANDS!$G$2:$CK$25,MATCH($E79,DEMANDS!$E$2:$E$25,0),FALSE)/HLOOKUP(2018,DEMANDS!$G$2:$CK$25,MATCH($E79,DEMANDS!$E$2:$E$25,0),FALSE)</f>
        <v>0.89641976404072621</v>
      </c>
      <c r="T79" s="19">
        <f>HLOOKUP(REG_TRA_DEMANDS!T$3,'BY-Demands'!$J$5:$AK$14,MATCH($E79,'BY-Demands'!$I$5:$I$14,0),FALSE)*HLOOKUP(REG_TRA_DEMANDS!$F79,DEMANDS!$G$2:$CK$25,MATCH($E79,DEMANDS!$E$2:$E$25,0),FALSE)/HLOOKUP(2018,DEMANDS!$G$2:$CK$25,MATCH($E79,DEMANDS!$E$2:$E$25,0),FALSE)</f>
        <v>3.6552460029938634</v>
      </c>
      <c r="U79" s="19">
        <f>HLOOKUP(REG_TRA_DEMANDS!U$3,'BY-Demands'!$J$5:$AK$14,MATCH($E79,'BY-Demands'!$I$5:$I$14,0),FALSE)*HLOOKUP(REG_TRA_DEMANDS!$F79,DEMANDS!$G$2:$CK$25,MATCH($E79,DEMANDS!$E$2:$E$25,0),FALSE)/HLOOKUP(2018,DEMANDS!$G$2:$CK$25,MATCH($E79,DEMANDS!$E$2:$E$25,0),FALSE)</f>
        <v>1.2156047476053486</v>
      </c>
      <c r="V79" s="19">
        <f>HLOOKUP(REG_TRA_DEMANDS!V$3,'BY-Demands'!$J$5:$AK$14,MATCH($E79,'BY-Demands'!$I$5:$I$14,0),FALSE)*HLOOKUP(REG_TRA_DEMANDS!$F79,DEMANDS!$G$2:$CK$25,MATCH($E79,DEMANDS!$E$2:$E$25,0),FALSE)/HLOOKUP(2018,DEMANDS!$G$2:$CK$25,MATCH($E79,DEMANDS!$E$2:$E$25,0),FALSE)</f>
        <v>1.346618742175312</v>
      </c>
      <c r="W79" s="19">
        <f>HLOOKUP(REG_TRA_DEMANDS!W$3,'BY-Demands'!$J$5:$AK$14,MATCH($E79,'BY-Demands'!$I$5:$I$14,0),FALSE)*HLOOKUP(REG_TRA_DEMANDS!$F79,DEMANDS!$G$2:$CK$25,MATCH($E79,DEMANDS!$E$2:$E$25,0),FALSE)/HLOOKUP(2018,DEMANDS!$G$2:$CK$25,MATCH($E79,DEMANDS!$E$2:$E$25,0),FALSE)</f>
        <v>1.3027601020012844</v>
      </c>
      <c r="X79" s="19">
        <f>HLOOKUP(REG_TRA_DEMANDS!X$3,'BY-Demands'!$J$5:$AK$14,MATCH($E79,'BY-Demands'!$I$5:$I$14,0),FALSE)*HLOOKUP(REG_TRA_DEMANDS!$F79,DEMANDS!$G$2:$CK$25,MATCH($E79,DEMANDS!$E$2:$E$25,0),FALSE)/HLOOKUP(2018,DEMANDS!$G$2:$CK$25,MATCH($E79,DEMANDS!$E$2:$E$25,0),FALSE)</f>
        <v>0.82041030556942984</v>
      </c>
      <c r="Y79" s="19">
        <f>HLOOKUP(REG_TRA_DEMANDS!Y$3,'BY-Demands'!$J$5:$AK$14,MATCH($E79,'BY-Demands'!$I$5:$I$14,0),FALSE)*HLOOKUP(REG_TRA_DEMANDS!$F79,DEMANDS!$G$2:$CK$25,MATCH($E79,DEMANDS!$E$2:$E$25,0),FALSE)/HLOOKUP(2018,DEMANDS!$G$2:$CK$25,MATCH($E79,DEMANDS!$E$2:$E$25,0),FALSE)</f>
        <v>1.8639593475321885</v>
      </c>
      <c r="Z79" s="19">
        <f>HLOOKUP(REG_TRA_DEMANDS!Z$3,'BY-Demands'!$J$5:$AK$14,MATCH($E79,'BY-Demands'!$I$5:$I$14,0),FALSE)*HLOOKUP(REG_TRA_DEMANDS!$F79,DEMANDS!$G$2:$CK$25,MATCH($E79,DEMANDS!$E$2:$E$25,0),FALSE)/HLOOKUP(2018,DEMANDS!$G$2:$CK$25,MATCH($E79,DEMANDS!$E$2:$E$25,0),FALSE)</f>
        <v>0.24046556153478271</v>
      </c>
      <c r="AA79" s="19">
        <f>HLOOKUP(REG_TRA_DEMANDS!AA$3,'BY-Demands'!$J$5:$AK$14,MATCH($E79,'BY-Demands'!$I$5:$I$14,0),FALSE)*HLOOKUP(REG_TRA_DEMANDS!$F79,DEMANDS!$G$2:$CK$25,MATCH($E79,DEMANDS!$E$2:$E$25,0),FALSE)/HLOOKUP(2018,DEMANDS!$G$2:$CK$25,MATCH($E79,DEMANDS!$E$2:$E$25,0),FALSE)</f>
        <v>1.0335996040245516</v>
      </c>
      <c r="AB79" s="19">
        <f>HLOOKUP(REG_TRA_DEMANDS!AB$3,'BY-Demands'!$J$5:$AK$14,MATCH($E79,'BY-Demands'!$I$5:$I$14,0),FALSE)*HLOOKUP(REG_TRA_DEMANDS!$F79,DEMANDS!$G$2:$CK$25,MATCH($E79,DEMANDS!$E$2:$E$25,0),FALSE)/HLOOKUP(2018,DEMANDS!$G$2:$CK$25,MATCH($E79,DEMANDS!$E$2:$E$25,0),FALSE)</f>
        <v>0.54177426843307119</v>
      </c>
      <c r="AC79" s="19">
        <f>HLOOKUP(REG_TRA_DEMANDS!AC$3,'BY-Demands'!$J$5:$AK$14,MATCH($E79,'BY-Demands'!$I$5:$I$14,0),FALSE)*HLOOKUP(REG_TRA_DEMANDS!$F79,DEMANDS!$G$2:$CK$25,MATCH($E79,DEMANDS!$E$2:$E$25,0),FALSE)/HLOOKUP(2018,DEMANDS!$G$2:$CK$25,MATCH($E79,DEMANDS!$E$2:$E$25,0),FALSE)</f>
        <v>0.45157280291981583</v>
      </c>
      <c r="AD79" s="19">
        <f>HLOOKUP(REG_TRA_DEMANDS!AD$3,'BY-Demands'!$J$5:$AK$14,MATCH($E79,'BY-Demands'!$I$5:$I$14,0),FALSE)*HLOOKUP(REG_TRA_DEMANDS!$F79,DEMANDS!$G$2:$CK$25,MATCH($E79,DEMANDS!$E$2:$E$25,0),FALSE)/HLOOKUP(2018,DEMANDS!$G$2:$CK$25,MATCH($E79,DEMANDS!$E$2:$E$25,0),FALSE)</f>
        <v>0.48295524714340793</v>
      </c>
      <c r="AE79" s="19">
        <f>HLOOKUP(REG_TRA_DEMANDS!AE$3,'BY-Demands'!$J$5:$AK$14,MATCH($E79,'BY-Demands'!$I$5:$I$14,0),FALSE)*HLOOKUP(REG_TRA_DEMANDS!$F79,DEMANDS!$G$2:$CK$25,MATCH($E79,DEMANDS!$E$2:$E$25,0),FALSE)/HLOOKUP(2018,DEMANDS!$G$2:$CK$25,MATCH($E79,DEMANDS!$E$2:$E$25,0),FALSE)</f>
        <v>0.88963881148944246</v>
      </c>
      <c r="AF79" s="19">
        <f>HLOOKUP(REG_TRA_DEMANDS!AF$3,'BY-Demands'!$J$5:$AK$14,MATCH($E79,'BY-Demands'!$I$5:$I$14,0),FALSE)*HLOOKUP(REG_TRA_DEMANDS!$F79,DEMANDS!$G$2:$CK$25,MATCH($E79,DEMANDS!$E$2:$E$25,0),FALSE)/HLOOKUP(2018,DEMANDS!$G$2:$CK$25,MATCH($E79,DEMANDS!$E$2:$E$25,0),FALSE)</f>
        <v>0.51389650741674153</v>
      </c>
    </row>
    <row r="80" spans="4:32" ht="14.5">
      <c r="D80" t="s">
        <v>6</v>
      </c>
      <c r="E80" t="str">
        <f>DEMANDS!$E$19</f>
        <v>TRAPL</v>
      </c>
      <c r="F80">
        <v>2050</v>
      </c>
      <c r="G80" s="19">
        <f>HLOOKUP(REG_TRA_DEMANDS!G$3,'BY-Demands'!$J$5:$AK$14,MATCH($E80,'BY-Demands'!$I$5:$I$14,0),FALSE)*HLOOKUP(REG_TRA_DEMANDS!$F80,DEMANDS!$G$2:$CK$25,MATCH($E80,DEMANDS!$E$2:$E$25,0),FALSE)/HLOOKUP(2018,DEMANDS!$G$2:$CK$25,MATCH($E80,DEMANDS!$E$2:$E$25,0),FALSE)</f>
        <v>0.50781955768282017</v>
      </c>
      <c r="H80" s="19">
        <f>HLOOKUP(REG_TRA_DEMANDS!H$3,'BY-Demands'!$J$5:$AK$14,MATCH($E80,'BY-Demands'!$I$5:$I$14,0),FALSE)*HLOOKUP(REG_TRA_DEMANDS!$F80,DEMANDS!$G$2:$CK$25,MATCH($E80,DEMANDS!$E$2:$E$25,0),FALSE)/HLOOKUP(2018,DEMANDS!$G$2:$CK$25,MATCH($E80,DEMANDS!$E$2:$E$25,0),FALSE)</f>
        <v>9.0464811064483328</v>
      </c>
      <c r="I80" s="19">
        <f>HLOOKUP(REG_TRA_DEMANDS!I$3,'BY-Demands'!$J$5:$AK$14,MATCH($E80,'BY-Demands'!$I$5:$I$14,0),FALSE)*HLOOKUP(REG_TRA_DEMANDS!$F80,DEMANDS!$G$2:$CK$25,MATCH($E80,DEMANDS!$E$2:$E$25,0),FALSE)/HLOOKUP(2018,DEMANDS!$G$2:$CK$25,MATCH($E80,DEMANDS!$E$2:$E$25,0),FALSE)</f>
        <v>1.8278310197147498</v>
      </c>
      <c r="J80" s="19">
        <f>HLOOKUP(REG_TRA_DEMANDS!J$3,'BY-Demands'!$J$5:$AK$14,MATCH($E80,'BY-Demands'!$I$5:$I$14,0),FALSE)*HLOOKUP(REG_TRA_DEMANDS!$F80,DEMANDS!$G$2:$CK$25,MATCH($E80,DEMANDS!$E$2:$E$25,0),FALSE)/HLOOKUP(2018,DEMANDS!$G$2:$CK$25,MATCH($E80,DEMANDS!$E$2:$E$25,0),FALSE)</f>
        <v>0.88017391931360012</v>
      </c>
      <c r="K80" s="19">
        <f>HLOOKUP(REG_TRA_DEMANDS!K$3,'BY-Demands'!$J$5:$AK$14,MATCH($E80,'BY-Demands'!$I$5:$I$14,0),FALSE)*HLOOKUP(REG_TRA_DEMANDS!$F80,DEMANDS!$G$2:$CK$25,MATCH($E80,DEMANDS!$E$2:$E$25,0),FALSE)/HLOOKUP(2018,DEMANDS!$G$2:$CK$25,MATCH($E80,DEMANDS!$E$2:$E$25,0),FALSE)</f>
        <v>0.65396226463597851</v>
      </c>
      <c r="L80" s="19">
        <f>HLOOKUP(REG_TRA_DEMANDS!L$3,'BY-Demands'!$J$5:$AK$14,MATCH($E80,'BY-Demands'!$I$5:$I$14,0),FALSE)*HLOOKUP(REG_TRA_DEMANDS!$F80,DEMANDS!$G$2:$CK$25,MATCH($E80,DEMANDS!$E$2:$E$25,0),FALSE)/HLOOKUP(2018,DEMANDS!$G$2:$CK$25,MATCH($E80,DEMANDS!$E$2:$E$25,0),FALSE)</f>
        <v>0.3367331919355212</v>
      </c>
      <c r="M80" s="19">
        <f>HLOOKUP(REG_TRA_DEMANDS!M$3,'BY-Demands'!$J$5:$AK$14,MATCH($E80,'BY-Demands'!$I$5:$I$14,0),FALSE)*HLOOKUP(REG_TRA_DEMANDS!$F80,DEMANDS!$G$2:$CK$25,MATCH($E80,DEMANDS!$E$2:$E$25,0),FALSE)/HLOOKUP(2018,DEMANDS!$G$2:$CK$25,MATCH($E80,DEMANDS!$E$2:$E$25,0),FALSE)</f>
        <v>0.9149878759273371</v>
      </c>
      <c r="N80" s="19">
        <f>HLOOKUP(REG_TRA_DEMANDS!N$3,'BY-Demands'!$J$5:$AK$14,MATCH($E80,'BY-Demands'!$I$5:$I$14,0),FALSE)*HLOOKUP(REG_TRA_DEMANDS!$F80,DEMANDS!$G$2:$CK$25,MATCH($E80,DEMANDS!$E$2:$E$25,0),FALSE)/HLOOKUP(2018,DEMANDS!$G$2:$CK$25,MATCH($E80,DEMANDS!$E$2:$E$25,0),FALSE)</f>
        <v>1.5559496240920014</v>
      </c>
      <c r="O80" s="19">
        <f>HLOOKUP(REG_TRA_DEMANDS!O$3,'BY-Demands'!$J$5:$AK$14,MATCH($E80,'BY-Demands'!$I$5:$I$14,0),FALSE)*HLOOKUP(REG_TRA_DEMANDS!$F80,DEMANDS!$G$2:$CK$25,MATCH($E80,DEMANDS!$E$2:$E$25,0),FALSE)/HLOOKUP(2018,DEMANDS!$G$2:$CK$25,MATCH($E80,DEMANDS!$E$2:$E$25,0),FALSE)</f>
        <v>0.67064156968446653</v>
      </c>
      <c r="P80" s="19">
        <f>HLOOKUP(REG_TRA_DEMANDS!P$3,'BY-Demands'!$J$5:$AK$14,MATCH($E80,'BY-Demands'!$I$5:$I$14,0),FALSE)*HLOOKUP(REG_TRA_DEMANDS!$F80,DEMANDS!$G$2:$CK$25,MATCH($E80,DEMANDS!$E$2:$E$25,0),FALSE)/HLOOKUP(2018,DEMANDS!$G$2:$CK$25,MATCH($E80,DEMANDS!$E$2:$E$25,0),FALSE)</f>
        <v>0.74322483959022478</v>
      </c>
      <c r="Q80" s="19">
        <f>HLOOKUP(REG_TRA_DEMANDS!Q$3,'BY-Demands'!$J$5:$AK$14,MATCH($E80,'BY-Demands'!$I$5:$I$14,0),FALSE)*HLOOKUP(REG_TRA_DEMANDS!$F80,DEMANDS!$G$2:$CK$25,MATCH($E80,DEMANDS!$E$2:$E$25,0),FALSE)/HLOOKUP(2018,DEMANDS!$G$2:$CK$25,MATCH($E80,DEMANDS!$E$2:$E$25,0),FALSE)</f>
        <v>1.3210004361040337</v>
      </c>
      <c r="R80" s="19">
        <f>HLOOKUP(REG_TRA_DEMANDS!R$3,'BY-Demands'!$J$5:$AK$14,MATCH($E80,'BY-Demands'!$I$5:$I$14,0),FALSE)*HLOOKUP(REG_TRA_DEMANDS!$F80,DEMANDS!$G$2:$CK$25,MATCH($E80,DEMANDS!$E$2:$E$25,0),FALSE)/HLOOKUP(2018,DEMANDS!$G$2:$CK$25,MATCH($E80,DEMANDS!$E$2:$E$25,0),FALSE)</f>
        <v>1.1311782685293004</v>
      </c>
      <c r="S80" s="19">
        <f>HLOOKUP(REG_TRA_DEMANDS!S$3,'BY-Demands'!$J$5:$AK$14,MATCH($E80,'BY-Demands'!$I$5:$I$14,0),FALSE)*HLOOKUP(REG_TRA_DEMANDS!$F80,DEMANDS!$G$2:$CK$25,MATCH($E80,DEMANDS!$E$2:$E$25,0),FALSE)/HLOOKUP(2018,DEMANDS!$G$2:$CK$25,MATCH($E80,DEMANDS!$E$2:$E$25,0),FALSE)</f>
        <v>1.0142166832331532</v>
      </c>
      <c r="T80" s="19">
        <f>HLOOKUP(REG_TRA_DEMANDS!T$3,'BY-Demands'!$J$5:$AK$14,MATCH($E80,'BY-Demands'!$I$5:$I$14,0),FALSE)*HLOOKUP(REG_TRA_DEMANDS!$F80,DEMANDS!$G$2:$CK$25,MATCH($E80,DEMANDS!$E$2:$E$25,0),FALSE)/HLOOKUP(2018,DEMANDS!$G$2:$CK$25,MATCH($E80,DEMANDS!$E$2:$E$25,0),FALSE)</f>
        <v>4.1355753479228854</v>
      </c>
      <c r="U80" s="19">
        <f>HLOOKUP(REG_TRA_DEMANDS!U$3,'BY-Demands'!$J$5:$AK$14,MATCH($E80,'BY-Demands'!$I$5:$I$14,0),FALSE)*HLOOKUP(REG_TRA_DEMANDS!$F80,DEMANDS!$G$2:$CK$25,MATCH($E80,DEMANDS!$E$2:$E$25,0),FALSE)/HLOOKUP(2018,DEMANDS!$G$2:$CK$25,MATCH($E80,DEMANDS!$E$2:$E$25,0),FALSE)</f>
        <v>1.3753451950695263</v>
      </c>
      <c r="V80" s="19">
        <f>HLOOKUP(REG_TRA_DEMANDS!V$3,'BY-Demands'!$J$5:$AK$14,MATCH($E80,'BY-Demands'!$I$5:$I$14,0),FALSE)*HLOOKUP(REG_TRA_DEMANDS!$F80,DEMANDS!$G$2:$CK$25,MATCH($E80,DEMANDS!$E$2:$E$25,0),FALSE)/HLOOKUP(2018,DEMANDS!$G$2:$CK$25,MATCH($E80,DEMANDS!$E$2:$E$25,0),FALSE)</f>
        <v>1.5235755045295905</v>
      </c>
      <c r="W80" s="19">
        <f>HLOOKUP(REG_TRA_DEMANDS!W$3,'BY-Demands'!$J$5:$AK$14,MATCH($E80,'BY-Demands'!$I$5:$I$14,0),FALSE)*HLOOKUP(REG_TRA_DEMANDS!$F80,DEMANDS!$G$2:$CK$25,MATCH($E80,DEMANDS!$E$2:$E$25,0),FALSE)/HLOOKUP(2018,DEMANDS!$G$2:$CK$25,MATCH($E80,DEMANDS!$E$2:$E$25,0),FALSE)</f>
        <v>1.4739534788304813</v>
      </c>
      <c r="X80" s="19">
        <f>HLOOKUP(REG_TRA_DEMANDS!X$3,'BY-Demands'!$J$5:$AK$14,MATCH($E80,'BY-Demands'!$I$5:$I$14,0),FALSE)*HLOOKUP(REG_TRA_DEMANDS!$F80,DEMANDS!$G$2:$CK$25,MATCH($E80,DEMANDS!$E$2:$E$25,0),FALSE)/HLOOKUP(2018,DEMANDS!$G$2:$CK$25,MATCH($E80,DEMANDS!$E$2:$E$25,0),FALSE)</f>
        <v>0.92821895766135987</v>
      </c>
      <c r="Y80" s="19">
        <f>HLOOKUP(REG_TRA_DEMANDS!Y$3,'BY-Demands'!$J$5:$AK$14,MATCH($E80,'BY-Demands'!$I$5:$I$14,0),FALSE)*HLOOKUP(REG_TRA_DEMANDS!$F80,DEMANDS!$G$2:$CK$25,MATCH($E80,DEMANDS!$E$2:$E$25,0),FALSE)/HLOOKUP(2018,DEMANDS!$G$2:$CK$25,MATCH($E80,DEMANDS!$E$2:$E$25,0),FALSE)</f>
        <v>2.1088989142921681</v>
      </c>
      <c r="Z80" s="19">
        <f>HLOOKUP(REG_TRA_DEMANDS!Z$3,'BY-Demands'!$J$5:$AK$14,MATCH($E80,'BY-Demands'!$I$5:$I$14,0),FALSE)*HLOOKUP(REG_TRA_DEMANDS!$F80,DEMANDS!$G$2:$CK$25,MATCH($E80,DEMANDS!$E$2:$E$25,0),FALSE)/HLOOKUP(2018,DEMANDS!$G$2:$CK$25,MATCH($E80,DEMANDS!$E$2:$E$25,0),FALSE)</f>
        <v>0.27206471123780901</v>
      </c>
      <c r="AA80" s="19">
        <f>HLOOKUP(REG_TRA_DEMANDS!AA$3,'BY-Demands'!$J$5:$AK$14,MATCH($E80,'BY-Demands'!$I$5:$I$14,0),FALSE)*HLOOKUP(REG_TRA_DEMANDS!$F80,DEMANDS!$G$2:$CK$25,MATCH($E80,DEMANDS!$E$2:$E$25,0),FALSE)/HLOOKUP(2018,DEMANDS!$G$2:$CK$25,MATCH($E80,DEMANDS!$E$2:$E$25,0),FALSE)</f>
        <v>1.1694230808338753</v>
      </c>
      <c r="AB80" s="19">
        <f>HLOOKUP(REG_TRA_DEMANDS!AB$3,'BY-Demands'!$J$5:$AK$14,MATCH($E80,'BY-Demands'!$I$5:$I$14,0),FALSE)*HLOOKUP(REG_TRA_DEMANDS!$F80,DEMANDS!$G$2:$CK$25,MATCH($E80,DEMANDS!$E$2:$E$25,0),FALSE)/HLOOKUP(2018,DEMANDS!$G$2:$CK$25,MATCH($E80,DEMANDS!$E$2:$E$25,0),FALSE)</f>
        <v>0.61296785683798671</v>
      </c>
      <c r="AC80" s="19">
        <f>HLOOKUP(REG_TRA_DEMANDS!AC$3,'BY-Demands'!$J$5:$AK$14,MATCH($E80,'BY-Demands'!$I$5:$I$14,0),FALSE)*HLOOKUP(REG_TRA_DEMANDS!$F80,DEMANDS!$G$2:$CK$25,MATCH($E80,DEMANDS!$E$2:$E$25,0),FALSE)/HLOOKUP(2018,DEMANDS!$G$2:$CK$25,MATCH($E80,DEMANDS!$E$2:$E$25,0),FALSE)</f>
        <v>0.51091317794151914</v>
      </c>
      <c r="AD80" s="19">
        <f>HLOOKUP(REG_TRA_DEMANDS!AD$3,'BY-Demands'!$J$5:$AK$14,MATCH($E80,'BY-Demands'!$I$5:$I$14,0),FALSE)*HLOOKUP(REG_TRA_DEMANDS!$F80,DEMANDS!$G$2:$CK$25,MATCH($E80,DEMANDS!$E$2:$E$25,0),FALSE)/HLOOKUP(2018,DEMANDS!$G$2:$CK$25,MATCH($E80,DEMANDS!$E$2:$E$25,0),FALSE)</f>
        <v>0.54641953307667301</v>
      </c>
      <c r="AE80" s="19">
        <f>HLOOKUP(REG_TRA_DEMANDS!AE$3,'BY-Demands'!$J$5:$AK$14,MATCH($E80,'BY-Demands'!$I$5:$I$14,0),FALSE)*HLOOKUP(REG_TRA_DEMANDS!$F80,DEMANDS!$G$2:$CK$25,MATCH($E80,DEMANDS!$E$2:$E$25,0),FALSE)/HLOOKUP(2018,DEMANDS!$G$2:$CK$25,MATCH($E80,DEMANDS!$E$2:$E$25,0),FALSE)</f>
        <v>1.0065446578254094</v>
      </c>
      <c r="AF80" s="19">
        <f>HLOOKUP(REG_TRA_DEMANDS!AF$3,'BY-Demands'!$J$5:$AK$14,MATCH($E80,'BY-Demands'!$I$5:$I$14,0),FALSE)*HLOOKUP(REG_TRA_DEMANDS!$F80,DEMANDS!$G$2:$CK$25,MATCH($E80,DEMANDS!$E$2:$E$25,0),FALSE)/HLOOKUP(2018,DEMANDS!$G$2:$CK$25,MATCH($E80,DEMANDS!$E$2:$E$25,0),FALSE)</f>
        <v>0.58142672906710913</v>
      </c>
    </row>
    <row r="81" spans="4:32" ht="14.5">
      <c r="D81" t="s">
        <v>6</v>
      </c>
      <c r="E81" t="str">
        <f>DEMANDS!$E$19</f>
        <v>TRAPL</v>
      </c>
      <c r="F81">
        <v>2055</v>
      </c>
      <c r="G81" s="19">
        <f>HLOOKUP(REG_TRA_DEMANDS!G$3,'BY-Demands'!$J$5:$AK$14,MATCH($E81,'BY-Demands'!$I$5:$I$14,0),FALSE)*HLOOKUP(REG_TRA_DEMANDS!$F81,DEMANDS!$G$2:$CK$25,MATCH($E81,DEMANDS!$E$2:$E$25,0),FALSE)/HLOOKUP(2018,DEMANDS!$G$2:$CK$25,MATCH($E81,DEMANDS!$E$2:$E$25,0),FALSE)</f>
        <v>0.55346110058160747</v>
      </c>
      <c r="H81" s="19">
        <f>HLOOKUP(REG_TRA_DEMANDS!H$3,'BY-Demands'!$J$5:$AK$14,MATCH($E81,'BY-Demands'!$I$5:$I$14,0),FALSE)*HLOOKUP(REG_TRA_DEMANDS!$F81,DEMANDS!$G$2:$CK$25,MATCH($E81,DEMANDS!$E$2:$E$25,0),FALSE)/HLOOKUP(2018,DEMANDS!$G$2:$CK$25,MATCH($E81,DEMANDS!$E$2:$E$25,0),FALSE)</f>
        <v>9.8595560446942532</v>
      </c>
      <c r="I81" s="19">
        <f>HLOOKUP(REG_TRA_DEMANDS!I$3,'BY-Demands'!$J$5:$AK$14,MATCH($E81,'BY-Demands'!$I$5:$I$14,0),FALSE)*HLOOKUP(REG_TRA_DEMANDS!$F81,DEMANDS!$G$2:$CK$25,MATCH($E81,DEMANDS!$E$2:$E$25,0),FALSE)/HLOOKUP(2018,DEMANDS!$G$2:$CK$25,MATCH($E81,DEMANDS!$E$2:$E$25,0),FALSE)</f>
        <v>1.9921118683664107</v>
      </c>
      <c r="J81" s="19">
        <f>HLOOKUP(REG_TRA_DEMANDS!J$3,'BY-Demands'!$J$5:$AK$14,MATCH($E81,'BY-Demands'!$I$5:$I$14,0),FALSE)*HLOOKUP(REG_TRA_DEMANDS!$F81,DEMANDS!$G$2:$CK$25,MATCH($E81,DEMANDS!$E$2:$E$25,0),FALSE)/HLOOKUP(2018,DEMANDS!$G$2:$CK$25,MATCH($E81,DEMANDS!$E$2:$E$25,0),FALSE)</f>
        <v>0.95928173445969744</v>
      </c>
      <c r="K81" s="19">
        <f>HLOOKUP(REG_TRA_DEMANDS!K$3,'BY-Demands'!$J$5:$AK$14,MATCH($E81,'BY-Demands'!$I$5:$I$14,0),FALSE)*HLOOKUP(REG_TRA_DEMANDS!$F81,DEMANDS!$G$2:$CK$25,MATCH($E81,DEMANDS!$E$2:$E$25,0),FALSE)/HLOOKUP(2018,DEMANDS!$G$2:$CK$25,MATCH($E81,DEMANDS!$E$2:$E$25,0),FALSE)</f>
        <v>0.71273874597467834</v>
      </c>
      <c r="L81" s="19">
        <f>HLOOKUP(REG_TRA_DEMANDS!L$3,'BY-Demands'!$J$5:$AK$14,MATCH($E81,'BY-Demands'!$I$5:$I$14,0),FALSE)*HLOOKUP(REG_TRA_DEMANDS!$F81,DEMANDS!$G$2:$CK$25,MATCH($E81,DEMANDS!$E$2:$E$25,0),FALSE)/HLOOKUP(2018,DEMANDS!$G$2:$CK$25,MATCH($E81,DEMANDS!$E$2:$E$25,0),FALSE)</f>
        <v>0.36699792316269075</v>
      </c>
      <c r="M81" s="19">
        <f>HLOOKUP(REG_TRA_DEMANDS!M$3,'BY-Demands'!$J$5:$AK$14,MATCH($E81,'BY-Demands'!$I$5:$I$14,0),FALSE)*HLOOKUP(REG_TRA_DEMANDS!$F81,DEMANDS!$G$2:$CK$25,MATCH($E81,DEMANDS!$E$2:$E$25,0),FALSE)/HLOOKUP(2018,DEMANDS!$G$2:$CK$25,MATCH($E81,DEMANDS!$E$2:$E$25,0),FALSE)</f>
        <v>0.99722468181477719</v>
      </c>
      <c r="N81" s="19">
        <f>HLOOKUP(REG_TRA_DEMANDS!N$3,'BY-Demands'!$J$5:$AK$14,MATCH($E81,'BY-Demands'!$I$5:$I$14,0),FALSE)*HLOOKUP(REG_TRA_DEMANDS!$F81,DEMANDS!$G$2:$CK$25,MATCH($E81,DEMANDS!$E$2:$E$25,0),FALSE)/HLOOKUP(2018,DEMANDS!$G$2:$CK$25,MATCH($E81,DEMANDS!$E$2:$E$25,0),FALSE)</f>
        <v>1.6957944576395565</v>
      </c>
      <c r="O81" s="19">
        <f>HLOOKUP(REG_TRA_DEMANDS!O$3,'BY-Demands'!$J$5:$AK$14,MATCH($E81,'BY-Demands'!$I$5:$I$14,0),FALSE)*HLOOKUP(REG_TRA_DEMANDS!$F81,DEMANDS!$G$2:$CK$25,MATCH($E81,DEMANDS!$E$2:$E$25,0),FALSE)/HLOOKUP(2018,DEMANDS!$G$2:$CK$25,MATCH($E81,DEMANDS!$E$2:$E$25,0),FALSE)</f>
        <v>0.73091714495402282</v>
      </c>
      <c r="P81" s="19">
        <f>HLOOKUP(REG_TRA_DEMANDS!P$3,'BY-Demands'!$J$5:$AK$14,MATCH($E81,'BY-Demands'!$I$5:$I$14,0),FALSE)*HLOOKUP(REG_TRA_DEMANDS!$F81,DEMANDS!$G$2:$CK$25,MATCH($E81,DEMANDS!$E$2:$E$25,0),FALSE)/HLOOKUP(2018,DEMANDS!$G$2:$CK$25,MATCH($E81,DEMANDS!$E$2:$E$25,0),FALSE)</f>
        <v>0.81002401635763255</v>
      </c>
      <c r="Q81" s="19">
        <f>HLOOKUP(REG_TRA_DEMANDS!Q$3,'BY-Demands'!$J$5:$AK$14,MATCH($E81,'BY-Demands'!$I$5:$I$14,0),FALSE)*HLOOKUP(REG_TRA_DEMANDS!$F81,DEMANDS!$G$2:$CK$25,MATCH($E81,DEMANDS!$E$2:$E$25,0),FALSE)/HLOOKUP(2018,DEMANDS!$G$2:$CK$25,MATCH($E81,DEMANDS!$E$2:$E$25,0),FALSE)</f>
        <v>1.4397286283557726</v>
      </c>
      <c r="R81" s="19">
        <f>HLOOKUP(REG_TRA_DEMANDS!R$3,'BY-Demands'!$J$5:$AK$14,MATCH($E81,'BY-Demands'!$I$5:$I$14,0),FALSE)*HLOOKUP(REG_TRA_DEMANDS!$F81,DEMANDS!$G$2:$CK$25,MATCH($E81,DEMANDS!$E$2:$E$25,0),FALSE)/HLOOKUP(2018,DEMANDS!$G$2:$CK$25,MATCH($E81,DEMANDS!$E$2:$E$25,0),FALSE)</f>
        <v>1.2328457224273695</v>
      </c>
      <c r="S81" s="19">
        <f>HLOOKUP(REG_TRA_DEMANDS!S$3,'BY-Demands'!$J$5:$AK$14,MATCH($E81,'BY-Demands'!$I$5:$I$14,0),FALSE)*HLOOKUP(REG_TRA_DEMANDS!$F81,DEMANDS!$G$2:$CK$25,MATCH($E81,DEMANDS!$E$2:$E$25,0),FALSE)/HLOOKUP(2018,DEMANDS!$G$2:$CK$25,MATCH($E81,DEMANDS!$E$2:$E$25,0),FALSE)</f>
        <v>1.1053719244130613</v>
      </c>
      <c r="T81" s="19">
        <f>HLOOKUP(REG_TRA_DEMANDS!T$3,'BY-Demands'!$J$5:$AK$14,MATCH($E81,'BY-Demands'!$I$5:$I$14,0),FALSE)*HLOOKUP(REG_TRA_DEMANDS!$F81,DEMANDS!$G$2:$CK$25,MATCH($E81,DEMANDS!$E$2:$E$25,0),FALSE)/HLOOKUP(2018,DEMANDS!$G$2:$CK$25,MATCH($E81,DEMANDS!$E$2:$E$25,0),FALSE)</f>
        <v>4.5072704447298575</v>
      </c>
      <c r="U81" s="19">
        <f>HLOOKUP(REG_TRA_DEMANDS!U$3,'BY-Demands'!$J$5:$AK$14,MATCH($E81,'BY-Demands'!$I$5:$I$14,0),FALSE)*HLOOKUP(REG_TRA_DEMANDS!$F81,DEMANDS!$G$2:$CK$25,MATCH($E81,DEMANDS!$E$2:$E$25,0),FALSE)/HLOOKUP(2018,DEMANDS!$G$2:$CK$25,MATCH($E81,DEMANDS!$E$2:$E$25,0),FALSE)</f>
        <v>1.498957757389574</v>
      </c>
      <c r="V81" s="19">
        <f>HLOOKUP(REG_TRA_DEMANDS!V$3,'BY-Demands'!$J$5:$AK$14,MATCH($E81,'BY-Demands'!$I$5:$I$14,0),FALSE)*HLOOKUP(REG_TRA_DEMANDS!$F81,DEMANDS!$G$2:$CK$25,MATCH($E81,DEMANDS!$E$2:$E$25,0),FALSE)/HLOOKUP(2018,DEMANDS!$G$2:$CK$25,MATCH($E81,DEMANDS!$E$2:$E$25,0),FALSE)</f>
        <v>1.6605106337452356</v>
      </c>
      <c r="W81" s="19">
        <f>HLOOKUP(REG_TRA_DEMANDS!W$3,'BY-Demands'!$J$5:$AK$14,MATCH($E81,'BY-Demands'!$I$5:$I$14,0),FALSE)*HLOOKUP(REG_TRA_DEMANDS!$F81,DEMANDS!$G$2:$CK$25,MATCH($E81,DEMANDS!$E$2:$E$25,0),FALSE)/HLOOKUP(2018,DEMANDS!$G$2:$CK$25,MATCH($E81,DEMANDS!$E$2:$E$25,0),FALSE)</f>
        <v>1.606428705349576</v>
      </c>
      <c r="X81" s="19">
        <f>HLOOKUP(REG_TRA_DEMANDS!X$3,'BY-Demands'!$J$5:$AK$14,MATCH($E81,'BY-Demands'!$I$5:$I$14,0),FALSE)*HLOOKUP(REG_TRA_DEMANDS!$F81,DEMANDS!$G$2:$CK$25,MATCH($E81,DEMANDS!$E$2:$E$25,0),FALSE)/HLOOKUP(2018,DEMANDS!$G$2:$CK$25,MATCH($E81,DEMANDS!$E$2:$E$25,0),FALSE)</f>
        <v>1.0116449398525176</v>
      </c>
      <c r="Y81" s="19">
        <f>HLOOKUP(REG_TRA_DEMANDS!Y$3,'BY-Demands'!$J$5:$AK$14,MATCH($E81,'BY-Demands'!$I$5:$I$14,0),FALSE)*HLOOKUP(REG_TRA_DEMANDS!$F81,DEMANDS!$G$2:$CK$25,MATCH($E81,DEMANDS!$E$2:$E$25,0),FALSE)/HLOOKUP(2018,DEMANDS!$G$2:$CK$25,MATCH($E81,DEMANDS!$E$2:$E$25,0),FALSE)</f>
        <v>2.2984414374377438</v>
      </c>
      <c r="Z81" s="19">
        <f>HLOOKUP(REG_TRA_DEMANDS!Z$3,'BY-Demands'!$J$5:$AK$14,MATCH($E81,'BY-Demands'!$I$5:$I$14,0),FALSE)*HLOOKUP(REG_TRA_DEMANDS!$F81,DEMANDS!$G$2:$CK$25,MATCH($E81,DEMANDS!$E$2:$E$25,0),FALSE)/HLOOKUP(2018,DEMANDS!$G$2:$CK$25,MATCH($E81,DEMANDS!$E$2:$E$25,0),FALSE)</f>
        <v>0.2965172022877155</v>
      </c>
      <c r="AA81" s="19">
        <f>HLOOKUP(REG_TRA_DEMANDS!AA$3,'BY-Demands'!$J$5:$AK$14,MATCH($E81,'BY-Demands'!$I$5:$I$14,0),FALSE)*HLOOKUP(REG_TRA_DEMANDS!$F81,DEMANDS!$G$2:$CK$25,MATCH($E81,DEMANDS!$E$2:$E$25,0),FALSE)/HLOOKUP(2018,DEMANDS!$G$2:$CK$25,MATCH($E81,DEMANDS!$E$2:$E$25,0),FALSE)</f>
        <v>1.2745278821421546</v>
      </c>
      <c r="AB81" s="19">
        <f>HLOOKUP(REG_TRA_DEMANDS!AB$3,'BY-Demands'!$J$5:$AK$14,MATCH($E81,'BY-Demands'!$I$5:$I$14,0),FALSE)*HLOOKUP(REG_TRA_DEMANDS!$F81,DEMANDS!$G$2:$CK$25,MATCH($E81,DEMANDS!$E$2:$E$25,0),FALSE)/HLOOKUP(2018,DEMANDS!$G$2:$CK$25,MATCH($E81,DEMANDS!$E$2:$E$25,0),FALSE)</f>
        <v>0.66805986404839568</v>
      </c>
      <c r="AC81" s="19">
        <f>HLOOKUP(REG_TRA_DEMANDS!AC$3,'BY-Demands'!$J$5:$AK$14,MATCH($E81,'BY-Demands'!$I$5:$I$14,0),FALSE)*HLOOKUP(REG_TRA_DEMANDS!$F81,DEMANDS!$G$2:$CK$25,MATCH($E81,DEMANDS!$E$2:$E$25,0),FALSE)/HLOOKUP(2018,DEMANDS!$G$2:$CK$25,MATCH($E81,DEMANDS!$E$2:$E$25,0),FALSE)</f>
        <v>0.55683276763786227</v>
      </c>
      <c r="AD81" s="19">
        <f>HLOOKUP(REG_TRA_DEMANDS!AD$3,'BY-Demands'!$J$5:$AK$14,MATCH($E81,'BY-Demands'!$I$5:$I$14,0),FALSE)*HLOOKUP(REG_TRA_DEMANDS!$F81,DEMANDS!$G$2:$CK$25,MATCH($E81,DEMANDS!$E$2:$E$25,0),FALSE)/HLOOKUP(2018,DEMANDS!$G$2:$CK$25,MATCH($E81,DEMANDS!$E$2:$E$25,0),FALSE)</f>
        <v>0.59553034454965548</v>
      </c>
      <c r="AE81" s="19">
        <f>HLOOKUP(REG_TRA_DEMANDS!AE$3,'BY-Demands'!$J$5:$AK$14,MATCH($E81,'BY-Demands'!$I$5:$I$14,0),FALSE)*HLOOKUP(REG_TRA_DEMANDS!$F81,DEMANDS!$G$2:$CK$25,MATCH($E81,DEMANDS!$E$2:$E$25,0),FALSE)/HLOOKUP(2018,DEMANDS!$G$2:$CK$25,MATCH($E81,DEMANDS!$E$2:$E$25,0),FALSE)</f>
        <v>1.0970103566836986</v>
      </c>
      <c r="AF81" s="19">
        <f>HLOOKUP(REG_TRA_DEMANDS!AF$3,'BY-Demands'!$J$5:$AK$14,MATCH($E81,'BY-Demands'!$I$5:$I$14,0),FALSE)*HLOOKUP(REG_TRA_DEMANDS!$F81,DEMANDS!$G$2:$CK$25,MATCH($E81,DEMANDS!$E$2:$E$25,0),FALSE)/HLOOKUP(2018,DEMANDS!$G$2:$CK$25,MATCH($E81,DEMANDS!$E$2:$E$25,0),FALSE)</f>
        <v>0.63368389914993795</v>
      </c>
    </row>
    <row r="82" spans="4:32" ht="14.5">
      <c r="D82" t="s">
        <v>6</v>
      </c>
      <c r="E82" t="str">
        <f>DEMANDS!$E$19</f>
        <v>TRAPL</v>
      </c>
      <c r="F82">
        <v>2060</v>
      </c>
      <c r="G82" s="19">
        <f>HLOOKUP(REG_TRA_DEMANDS!G$3,'BY-Demands'!$J$5:$AK$14,MATCH($E82,'BY-Demands'!$I$5:$I$14,0),FALSE)*HLOOKUP(REG_TRA_DEMANDS!$F82,DEMANDS!$G$2:$CK$25,MATCH($E82,DEMANDS!$E$2:$E$25,0),FALSE)/HLOOKUP(2018,DEMANDS!$G$2:$CK$25,MATCH($E82,DEMANDS!$E$2:$E$25,0),FALSE)</f>
        <v>0.56838552570014955</v>
      </c>
      <c r="H82" s="19">
        <f>HLOOKUP(REG_TRA_DEMANDS!H$3,'BY-Demands'!$J$5:$AK$14,MATCH($E82,'BY-Demands'!$I$5:$I$14,0),FALSE)*HLOOKUP(REG_TRA_DEMANDS!$F82,DEMANDS!$G$2:$CK$25,MATCH($E82,DEMANDS!$E$2:$E$25,0),FALSE)/HLOOKUP(2018,DEMANDS!$G$2:$CK$25,MATCH($E82,DEMANDS!$E$2:$E$25,0),FALSE)</f>
        <v>10.125425146852429</v>
      </c>
      <c r="I82" s="19">
        <f>HLOOKUP(REG_TRA_DEMANDS!I$3,'BY-Demands'!$J$5:$AK$14,MATCH($E82,'BY-Demands'!$I$5:$I$14,0),FALSE)*HLOOKUP(REG_TRA_DEMANDS!$F82,DEMANDS!$G$2:$CK$25,MATCH($E82,DEMANDS!$E$2:$E$25,0),FALSE)/HLOOKUP(2018,DEMANDS!$G$2:$CK$25,MATCH($E82,DEMANDS!$E$2:$E$25,0),FALSE)</f>
        <v>2.0458304122278497</v>
      </c>
      <c r="J82" s="19">
        <f>HLOOKUP(REG_TRA_DEMANDS!J$3,'BY-Demands'!$J$5:$AK$14,MATCH($E82,'BY-Demands'!$I$5:$I$14,0),FALSE)*HLOOKUP(REG_TRA_DEMANDS!$F82,DEMANDS!$G$2:$CK$25,MATCH($E82,DEMANDS!$E$2:$E$25,0),FALSE)/HLOOKUP(2018,DEMANDS!$G$2:$CK$25,MATCH($E82,DEMANDS!$E$2:$E$25,0),FALSE)</f>
        <v>0.98514936706925949</v>
      </c>
      <c r="K82" s="19">
        <f>HLOOKUP(REG_TRA_DEMANDS!K$3,'BY-Demands'!$J$5:$AK$14,MATCH($E82,'BY-Demands'!$I$5:$I$14,0),FALSE)*HLOOKUP(REG_TRA_DEMANDS!$F82,DEMANDS!$G$2:$CK$25,MATCH($E82,DEMANDS!$E$2:$E$25,0),FALSE)/HLOOKUP(2018,DEMANDS!$G$2:$CK$25,MATCH($E82,DEMANDS!$E$2:$E$25,0),FALSE)</f>
        <v>0.73195819253055106</v>
      </c>
      <c r="L82" s="19">
        <f>HLOOKUP(REG_TRA_DEMANDS!L$3,'BY-Demands'!$J$5:$AK$14,MATCH($E82,'BY-Demands'!$I$5:$I$14,0),FALSE)*HLOOKUP(REG_TRA_DEMANDS!$F82,DEMANDS!$G$2:$CK$25,MATCH($E82,DEMANDS!$E$2:$E$25,0),FALSE)/HLOOKUP(2018,DEMANDS!$G$2:$CK$25,MATCH($E82,DEMANDS!$E$2:$E$25,0),FALSE)</f>
        <v>0.3768942519510125</v>
      </c>
      <c r="M82" s="19">
        <f>HLOOKUP(REG_TRA_DEMANDS!M$3,'BY-Demands'!$J$5:$AK$14,MATCH($E82,'BY-Demands'!$I$5:$I$14,0),FALSE)*HLOOKUP(REG_TRA_DEMANDS!$F82,DEMANDS!$G$2:$CK$25,MATCH($E82,DEMANDS!$E$2:$E$25,0),FALSE)/HLOOKUP(2018,DEMANDS!$G$2:$CK$25,MATCH($E82,DEMANDS!$E$2:$E$25,0),FALSE)</f>
        <v>1.0241154697571759</v>
      </c>
      <c r="N82" s="19">
        <f>HLOOKUP(REG_TRA_DEMANDS!N$3,'BY-Demands'!$J$5:$AK$14,MATCH($E82,'BY-Demands'!$I$5:$I$14,0),FALSE)*HLOOKUP(REG_TRA_DEMANDS!$F82,DEMANDS!$G$2:$CK$25,MATCH($E82,DEMANDS!$E$2:$E$25,0),FALSE)/HLOOKUP(2018,DEMANDS!$G$2:$CK$25,MATCH($E82,DEMANDS!$E$2:$E$25,0),FALSE)</f>
        <v>1.7415226169860478</v>
      </c>
      <c r="O82" s="19">
        <f>HLOOKUP(REG_TRA_DEMANDS!O$3,'BY-Demands'!$J$5:$AK$14,MATCH($E82,'BY-Demands'!$I$5:$I$14,0),FALSE)*HLOOKUP(REG_TRA_DEMANDS!$F82,DEMANDS!$G$2:$CK$25,MATCH($E82,DEMANDS!$E$2:$E$25,0),FALSE)/HLOOKUP(2018,DEMANDS!$G$2:$CK$25,MATCH($E82,DEMANDS!$E$2:$E$25,0),FALSE)</f>
        <v>0.75062678342050515</v>
      </c>
      <c r="P82" s="19">
        <f>HLOOKUP(REG_TRA_DEMANDS!P$3,'BY-Demands'!$J$5:$AK$14,MATCH($E82,'BY-Demands'!$I$5:$I$14,0),FALSE)*HLOOKUP(REG_TRA_DEMANDS!$F82,DEMANDS!$G$2:$CK$25,MATCH($E82,DEMANDS!$E$2:$E$25,0),FALSE)/HLOOKUP(2018,DEMANDS!$G$2:$CK$25,MATCH($E82,DEMANDS!$E$2:$E$25,0),FALSE)</f>
        <v>0.83186682114309296</v>
      </c>
      <c r="Q82" s="19">
        <f>HLOOKUP(REG_TRA_DEMANDS!Q$3,'BY-Demands'!$J$5:$AK$14,MATCH($E82,'BY-Demands'!$I$5:$I$14,0),FALSE)*HLOOKUP(REG_TRA_DEMANDS!$F82,DEMANDS!$G$2:$CK$25,MATCH($E82,DEMANDS!$E$2:$E$25,0),FALSE)/HLOOKUP(2018,DEMANDS!$G$2:$CK$25,MATCH($E82,DEMANDS!$E$2:$E$25,0),FALSE)</f>
        <v>1.4785518122838519</v>
      </c>
      <c r="R82" s="19">
        <f>HLOOKUP(REG_TRA_DEMANDS!R$3,'BY-Demands'!$J$5:$AK$14,MATCH($E82,'BY-Demands'!$I$5:$I$14,0),FALSE)*HLOOKUP(REG_TRA_DEMANDS!$F82,DEMANDS!$G$2:$CK$25,MATCH($E82,DEMANDS!$E$2:$E$25,0),FALSE)/HLOOKUP(2018,DEMANDS!$G$2:$CK$25,MATCH($E82,DEMANDS!$E$2:$E$25,0),FALSE)</f>
        <v>1.2660901792604637</v>
      </c>
      <c r="S82" s="19">
        <f>HLOOKUP(REG_TRA_DEMANDS!S$3,'BY-Demands'!$J$5:$AK$14,MATCH($E82,'BY-Demands'!$I$5:$I$14,0),FALSE)*HLOOKUP(REG_TRA_DEMANDS!$F82,DEMANDS!$G$2:$CK$25,MATCH($E82,DEMANDS!$E$2:$E$25,0),FALSE)/HLOOKUP(2018,DEMANDS!$G$2:$CK$25,MATCH($E82,DEMANDS!$E$2:$E$25,0),FALSE)</f>
        <v>1.1351789704668951</v>
      </c>
      <c r="T82" s="19">
        <f>HLOOKUP(REG_TRA_DEMANDS!T$3,'BY-Demands'!$J$5:$AK$14,MATCH($E82,'BY-Demands'!$I$5:$I$14,0),FALSE)*HLOOKUP(REG_TRA_DEMANDS!$F82,DEMANDS!$G$2:$CK$25,MATCH($E82,DEMANDS!$E$2:$E$25,0),FALSE)/HLOOKUP(2018,DEMANDS!$G$2:$CK$25,MATCH($E82,DEMANDS!$E$2:$E$25,0),FALSE)</f>
        <v>4.6288118144317192</v>
      </c>
      <c r="U82" s="19">
        <f>HLOOKUP(REG_TRA_DEMANDS!U$3,'BY-Demands'!$J$5:$AK$14,MATCH($E82,'BY-Demands'!$I$5:$I$14,0),FALSE)*HLOOKUP(REG_TRA_DEMANDS!$F82,DEMANDS!$G$2:$CK$25,MATCH($E82,DEMANDS!$E$2:$E$25,0),FALSE)/HLOOKUP(2018,DEMANDS!$G$2:$CK$25,MATCH($E82,DEMANDS!$E$2:$E$25,0),FALSE)</f>
        <v>1.53937809186748</v>
      </c>
      <c r="V82" s="19">
        <f>HLOOKUP(REG_TRA_DEMANDS!V$3,'BY-Demands'!$J$5:$AK$14,MATCH($E82,'BY-Demands'!$I$5:$I$14,0),FALSE)*HLOOKUP(REG_TRA_DEMANDS!$F82,DEMANDS!$G$2:$CK$25,MATCH($E82,DEMANDS!$E$2:$E$25,0),FALSE)/HLOOKUP(2018,DEMANDS!$G$2:$CK$25,MATCH($E82,DEMANDS!$E$2:$E$25,0),FALSE)</f>
        <v>1.70528734268798</v>
      </c>
      <c r="W82" s="19">
        <f>HLOOKUP(REG_TRA_DEMANDS!W$3,'BY-Demands'!$J$5:$AK$14,MATCH($E82,'BY-Demands'!$I$5:$I$14,0),FALSE)*HLOOKUP(REG_TRA_DEMANDS!$F82,DEMANDS!$G$2:$CK$25,MATCH($E82,DEMANDS!$E$2:$E$25,0),FALSE)/HLOOKUP(2018,DEMANDS!$G$2:$CK$25,MATCH($E82,DEMANDS!$E$2:$E$25,0),FALSE)</f>
        <v>1.6497470612305438</v>
      </c>
      <c r="X82" s="19">
        <f>HLOOKUP(REG_TRA_DEMANDS!X$3,'BY-Demands'!$J$5:$AK$14,MATCH($E82,'BY-Demands'!$I$5:$I$14,0),FALSE)*HLOOKUP(REG_TRA_DEMANDS!$F82,DEMANDS!$G$2:$CK$25,MATCH($E82,DEMANDS!$E$2:$E$25,0),FALSE)/HLOOKUP(2018,DEMANDS!$G$2:$CK$25,MATCH($E82,DEMANDS!$E$2:$E$25,0),FALSE)</f>
        <v>1.0389245790819319</v>
      </c>
      <c r="Y82" s="19">
        <f>HLOOKUP(REG_TRA_DEMANDS!Y$3,'BY-Demands'!$J$5:$AK$14,MATCH($E82,'BY-Demands'!$I$5:$I$14,0),FALSE)*HLOOKUP(REG_TRA_DEMANDS!$F82,DEMANDS!$G$2:$CK$25,MATCH($E82,DEMANDS!$E$2:$E$25,0),FALSE)/HLOOKUP(2018,DEMANDS!$G$2:$CK$25,MATCH($E82,DEMANDS!$E$2:$E$25,0),FALSE)</f>
        <v>2.360420349932852</v>
      </c>
      <c r="Z82" s="19">
        <f>HLOOKUP(REG_TRA_DEMANDS!Z$3,'BY-Demands'!$J$5:$AK$14,MATCH($E82,'BY-Demands'!$I$5:$I$14,0),FALSE)*HLOOKUP(REG_TRA_DEMANDS!$F82,DEMANDS!$G$2:$CK$25,MATCH($E82,DEMANDS!$E$2:$E$25,0),FALSE)/HLOOKUP(2018,DEMANDS!$G$2:$CK$25,MATCH($E82,DEMANDS!$E$2:$E$25,0),FALSE)</f>
        <v>0.30451297430719837</v>
      </c>
      <c r="AA82" s="19">
        <f>HLOOKUP(REG_TRA_DEMANDS!AA$3,'BY-Demands'!$J$5:$AK$14,MATCH($E82,'BY-Demands'!$I$5:$I$14,0),FALSE)*HLOOKUP(REG_TRA_DEMANDS!$F82,DEMANDS!$G$2:$CK$25,MATCH($E82,DEMANDS!$E$2:$E$25,0),FALSE)/HLOOKUP(2018,DEMANDS!$G$2:$CK$25,MATCH($E82,DEMANDS!$E$2:$E$25,0),FALSE)</f>
        <v>1.3088963245106169</v>
      </c>
      <c r="AB82" s="19">
        <f>HLOOKUP(REG_TRA_DEMANDS!AB$3,'BY-Demands'!$J$5:$AK$14,MATCH($E82,'BY-Demands'!$I$5:$I$14,0),FALSE)*HLOOKUP(REG_TRA_DEMANDS!$F82,DEMANDS!$G$2:$CK$25,MATCH($E82,DEMANDS!$E$2:$E$25,0),FALSE)/HLOOKUP(2018,DEMANDS!$G$2:$CK$25,MATCH($E82,DEMANDS!$E$2:$E$25,0),FALSE)</f>
        <v>0.68607451657811491</v>
      </c>
      <c r="AC82" s="19">
        <f>HLOOKUP(REG_TRA_DEMANDS!AC$3,'BY-Demands'!$J$5:$AK$14,MATCH($E82,'BY-Demands'!$I$5:$I$14,0),FALSE)*HLOOKUP(REG_TRA_DEMANDS!$F82,DEMANDS!$G$2:$CK$25,MATCH($E82,DEMANDS!$E$2:$E$25,0),FALSE)/HLOOKUP(2018,DEMANDS!$G$2:$CK$25,MATCH($E82,DEMANDS!$E$2:$E$25,0),FALSE)</f>
        <v>0.57184811186969497</v>
      </c>
      <c r="AD82" s="19">
        <f>HLOOKUP(REG_TRA_DEMANDS!AD$3,'BY-Demands'!$J$5:$AK$14,MATCH($E82,'BY-Demands'!$I$5:$I$14,0),FALSE)*HLOOKUP(REG_TRA_DEMANDS!$F82,DEMANDS!$G$2:$CK$25,MATCH($E82,DEMANDS!$E$2:$E$25,0),FALSE)/HLOOKUP(2018,DEMANDS!$G$2:$CK$25,MATCH($E82,DEMANDS!$E$2:$E$25,0),FALSE)</f>
        <v>0.61158919317282145</v>
      </c>
      <c r="AE82" s="19">
        <f>HLOOKUP(REG_TRA_DEMANDS!AE$3,'BY-Demands'!$J$5:$AK$14,MATCH($E82,'BY-Demands'!$I$5:$I$14,0),FALSE)*HLOOKUP(REG_TRA_DEMANDS!$F82,DEMANDS!$G$2:$CK$25,MATCH($E82,DEMANDS!$E$2:$E$25,0),FALSE)/HLOOKUP(2018,DEMANDS!$G$2:$CK$25,MATCH($E82,DEMANDS!$E$2:$E$25,0),FALSE)</f>
        <v>1.1265919278282397</v>
      </c>
      <c r="AF82" s="19">
        <f>HLOOKUP(REG_TRA_DEMANDS!AF$3,'BY-Demands'!$J$5:$AK$14,MATCH($E82,'BY-Demands'!$I$5:$I$14,0),FALSE)*HLOOKUP(REG_TRA_DEMANDS!$F82,DEMANDS!$G$2:$CK$25,MATCH($E82,DEMANDS!$E$2:$E$25,0),FALSE)/HLOOKUP(2018,DEMANDS!$G$2:$CK$25,MATCH($E82,DEMANDS!$E$2:$E$25,0),FALSE)</f>
        <v>0.65077158226217591</v>
      </c>
    </row>
    <row r="83" spans="4:32" ht="14.5">
      <c r="D83" t="s">
        <v>6</v>
      </c>
      <c r="E83" t="str">
        <f>DEMANDS!$E$19</f>
        <v>TRAPL</v>
      </c>
      <c r="F83">
        <v>2065</v>
      </c>
      <c r="G83" s="19">
        <f>HLOOKUP(REG_TRA_DEMANDS!G$3,'BY-Demands'!$J$5:$AK$14,MATCH($E83,'BY-Demands'!$I$5:$I$14,0),FALSE)*HLOOKUP(REG_TRA_DEMANDS!$F83,DEMANDS!$G$2:$CK$25,MATCH($E83,DEMANDS!$E$2:$E$25,0),FALSE)/HLOOKUP(2018,DEMANDS!$G$2:$CK$25,MATCH($E83,DEMANDS!$E$2:$E$25,0),FALSE)</f>
        <v>0.5770452086868576</v>
      </c>
      <c r="H83" s="19">
        <f>HLOOKUP(REG_TRA_DEMANDS!H$3,'BY-Demands'!$J$5:$AK$14,MATCH($E83,'BY-Demands'!$I$5:$I$14,0),FALSE)*HLOOKUP(REG_TRA_DEMANDS!$F83,DEMANDS!$G$2:$CK$25,MATCH($E83,DEMANDS!$E$2:$E$25,0),FALSE)/HLOOKUP(2018,DEMANDS!$G$2:$CK$25,MATCH($E83,DEMANDS!$E$2:$E$25,0),FALSE)</f>
        <v>10.279691868844294</v>
      </c>
      <c r="I83" s="19">
        <f>HLOOKUP(REG_TRA_DEMANDS!I$3,'BY-Demands'!$J$5:$AK$14,MATCH($E83,'BY-Demands'!$I$5:$I$14,0),FALSE)*HLOOKUP(REG_TRA_DEMANDS!$F83,DEMANDS!$G$2:$CK$25,MATCH($E83,DEMANDS!$E$2:$E$25,0),FALSE)/HLOOKUP(2018,DEMANDS!$G$2:$CK$25,MATCH($E83,DEMANDS!$E$2:$E$25,0),FALSE)</f>
        <v>2.0769998245605024</v>
      </c>
      <c r="J83" s="19">
        <f>HLOOKUP(REG_TRA_DEMANDS!J$3,'BY-Demands'!$J$5:$AK$14,MATCH($E83,'BY-Demands'!$I$5:$I$14,0),FALSE)*HLOOKUP(REG_TRA_DEMANDS!$F83,DEMANDS!$G$2:$CK$25,MATCH($E83,DEMANDS!$E$2:$E$25,0),FALSE)/HLOOKUP(2018,DEMANDS!$G$2:$CK$25,MATCH($E83,DEMANDS!$E$2:$E$25,0),FALSE)</f>
        <v>1.0001586887842471</v>
      </c>
      <c r="K83" s="19">
        <f>HLOOKUP(REG_TRA_DEMANDS!K$3,'BY-Demands'!$J$5:$AK$14,MATCH($E83,'BY-Demands'!$I$5:$I$14,0),FALSE)*HLOOKUP(REG_TRA_DEMANDS!$F83,DEMANDS!$G$2:$CK$25,MATCH($E83,DEMANDS!$E$2:$E$25,0),FALSE)/HLOOKUP(2018,DEMANDS!$G$2:$CK$25,MATCH($E83,DEMANDS!$E$2:$E$25,0),FALSE)</f>
        <v>0.74310999992225146</v>
      </c>
      <c r="L83" s="19">
        <f>HLOOKUP(REG_TRA_DEMANDS!L$3,'BY-Demands'!$J$5:$AK$14,MATCH($E83,'BY-Demands'!$I$5:$I$14,0),FALSE)*HLOOKUP(REG_TRA_DEMANDS!$F83,DEMANDS!$G$2:$CK$25,MATCH($E83,DEMANDS!$E$2:$E$25,0),FALSE)/HLOOKUP(2018,DEMANDS!$G$2:$CK$25,MATCH($E83,DEMANDS!$E$2:$E$25,0),FALSE)</f>
        <v>0.38263645437143456</v>
      </c>
      <c r="M83" s="19">
        <f>HLOOKUP(REG_TRA_DEMANDS!M$3,'BY-Demands'!$J$5:$AK$14,MATCH($E83,'BY-Demands'!$I$5:$I$14,0),FALSE)*HLOOKUP(REG_TRA_DEMANDS!$F83,DEMANDS!$G$2:$CK$25,MATCH($E83,DEMANDS!$E$2:$E$25,0),FALSE)/HLOOKUP(2018,DEMANDS!$G$2:$CK$25,MATCH($E83,DEMANDS!$E$2:$E$25,0),FALSE)</f>
        <v>1.0397184626359202</v>
      </c>
      <c r="N83" s="19">
        <f>HLOOKUP(REG_TRA_DEMANDS!N$3,'BY-Demands'!$J$5:$AK$14,MATCH($E83,'BY-Demands'!$I$5:$I$14,0),FALSE)*HLOOKUP(REG_TRA_DEMANDS!$F83,DEMANDS!$G$2:$CK$25,MATCH($E83,DEMANDS!$E$2:$E$25,0),FALSE)/HLOOKUP(2018,DEMANDS!$G$2:$CK$25,MATCH($E83,DEMANDS!$E$2:$E$25,0),FALSE)</f>
        <v>1.7680557236458354</v>
      </c>
      <c r="O83" s="19">
        <f>HLOOKUP(REG_TRA_DEMANDS!O$3,'BY-Demands'!$J$5:$AK$14,MATCH($E83,'BY-Demands'!$I$5:$I$14,0),FALSE)*HLOOKUP(REG_TRA_DEMANDS!$F83,DEMANDS!$G$2:$CK$25,MATCH($E83,DEMANDS!$E$2:$E$25,0),FALSE)/HLOOKUP(2018,DEMANDS!$G$2:$CK$25,MATCH($E83,DEMANDS!$E$2:$E$25,0),FALSE)</f>
        <v>0.76206301761691053</v>
      </c>
      <c r="P83" s="19">
        <f>HLOOKUP(REG_TRA_DEMANDS!P$3,'BY-Demands'!$J$5:$AK$14,MATCH($E83,'BY-Demands'!$I$5:$I$14,0),FALSE)*HLOOKUP(REG_TRA_DEMANDS!$F83,DEMANDS!$G$2:$CK$25,MATCH($E83,DEMANDS!$E$2:$E$25,0),FALSE)/HLOOKUP(2018,DEMANDS!$G$2:$CK$25,MATCH($E83,DEMANDS!$E$2:$E$25,0),FALSE)</f>
        <v>0.84454079441042085</v>
      </c>
      <c r="Q83" s="19">
        <f>HLOOKUP(REG_TRA_DEMANDS!Q$3,'BY-Demands'!$J$5:$AK$14,MATCH($E83,'BY-Demands'!$I$5:$I$14,0),FALSE)*HLOOKUP(REG_TRA_DEMANDS!$F83,DEMANDS!$G$2:$CK$25,MATCH($E83,DEMANDS!$E$2:$E$25,0),FALSE)/HLOOKUP(2018,DEMANDS!$G$2:$CK$25,MATCH($E83,DEMANDS!$E$2:$E$25,0),FALSE)</f>
        <v>1.5010784062853952</v>
      </c>
      <c r="R83" s="19">
        <f>HLOOKUP(REG_TRA_DEMANDS!R$3,'BY-Demands'!$J$5:$AK$14,MATCH($E83,'BY-Demands'!$I$5:$I$14,0),FALSE)*HLOOKUP(REG_TRA_DEMANDS!$F83,DEMANDS!$G$2:$CK$25,MATCH($E83,DEMANDS!$E$2:$E$25,0),FALSE)/HLOOKUP(2018,DEMANDS!$G$2:$CK$25,MATCH($E83,DEMANDS!$E$2:$E$25,0),FALSE)</f>
        <v>1.2853797971153069</v>
      </c>
      <c r="S83" s="19">
        <f>HLOOKUP(REG_TRA_DEMANDS!S$3,'BY-Demands'!$J$5:$AK$14,MATCH($E83,'BY-Demands'!$I$5:$I$14,0),FALSE)*HLOOKUP(REG_TRA_DEMANDS!$F83,DEMANDS!$G$2:$CK$25,MATCH($E83,DEMANDS!$E$2:$E$25,0),FALSE)/HLOOKUP(2018,DEMANDS!$G$2:$CK$25,MATCH($E83,DEMANDS!$E$2:$E$25,0),FALSE)</f>
        <v>1.1524740801643347</v>
      </c>
      <c r="T83" s="19">
        <f>HLOOKUP(REG_TRA_DEMANDS!T$3,'BY-Demands'!$J$5:$AK$14,MATCH($E83,'BY-Demands'!$I$5:$I$14,0),FALSE)*HLOOKUP(REG_TRA_DEMANDS!$F83,DEMANDS!$G$2:$CK$25,MATCH($E83,DEMANDS!$E$2:$E$25,0),FALSE)/HLOOKUP(2018,DEMANDS!$G$2:$CK$25,MATCH($E83,DEMANDS!$E$2:$E$25,0),FALSE)</f>
        <v>4.699334445824789</v>
      </c>
      <c r="U83" s="19">
        <f>HLOOKUP(REG_TRA_DEMANDS!U$3,'BY-Demands'!$J$5:$AK$14,MATCH($E83,'BY-Demands'!$I$5:$I$14,0),FALSE)*HLOOKUP(REG_TRA_DEMANDS!$F83,DEMANDS!$G$2:$CK$25,MATCH($E83,DEMANDS!$E$2:$E$25,0),FALSE)/HLOOKUP(2018,DEMANDS!$G$2:$CK$25,MATCH($E83,DEMANDS!$E$2:$E$25,0),FALSE)</f>
        <v>1.5628314095004987</v>
      </c>
      <c r="V83" s="19">
        <f>HLOOKUP(REG_TRA_DEMANDS!V$3,'BY-Demands'!$J$5:$AK$14,MATCH($E83,'BY-Demands'!$I$5:$I$14,0),FALSE)*HLOOKUP(REG_TRA_DEMANDS!$F83,DEMANDS!$G$2:$CK$25,MATCH($E83,DEMANDS!$E$2:$E$25,0),FALSE)/HLOOKUP(2018,DEMANDS!$G$2:$CK$25,MATCH($E83,DEMANDS!$E$2:$E$25,0),FALSE)</f>
        <v>1.7312683839376373</v>
      </c>
      <c r="W83" s="19">
        <f>HLOOKUP(REG_TRA_DEMANDS!W$3,'BY-Demands'!$J$5:$AK$14,MATCH($E83,'BY-Demands'!$I$5:$I$14,0),FALSE)*HLOOKUP(REG_TRA_DEMANDS!$F83,DEMANDS!$G$2:$CK$25,MATCH($E83,DEMANDS!$E$2:$E$25,0),FALSE)/HLOOKUP(2018,DEMANDS!$G$2:$CK$25,MATCH($E83,DEMANDS!$E$2:$E$25,0),FALSE)</f>
        <v>1.6748819140945601</v>
      </c>
      <c r="X83" s="19">
        <f>HLOOKUP(REG_TRA_DEMANDS!X$3,'BY-Demands'!$J$5:$AK$14,MATCH($E83,'BY-Demands'!$I$5:$I$14,0),FALSE)*HLOOKUP(REG_TRA_DEMANDS!$F83,DEMANDS!$G$2:$CK$25,MATCH($E83,DEMANDS!$E$2:$E$25,0),FALSE)/HLOOKUP(2018,DEMANDS!$G$2:$CK$25,MATCH($E83,DEMANDS!$E$2:$E$25,0),FALSE)</f>
        <v>1.0547531973263291</v>
      </c>
      <c r="Y83" s="19">
        <f>HLOOKUP(REG_TRA_DEMANDS!Y$3,'BY-Demands'!$J$5:$AK$14,MATCH($E83,'BY-Demands'!$I$5:$I$14,0),FALSE)*HLOOKUP(REG_TRA_DEMANDS!$F83,DEMANDS!$G$2:$CK$25,MATCH($E83,DEMANDS!$E$2:$E$25,0),FALSE)/HLOOKUP(2018,DEMANDS!$G$2:$CK$25,MATCH($E83,DEMANDS!$E$2:$E$25,0),FALSE)</f>
        <v>2.3963827223395278</v>
      </c>
      <c r="Z83" s="19">
        <f>HLOOKUP(REG_TRA_DEMANDS!Z$3,'BY-Demands'!$J$5:$AK$14,MATCH($E83,'BY-Demands'!$I$5:$I$14,0),FALSE)*HLOOKUP(REG_TRA_DEMANDS!$F83,DEMANDS!$G$2:$CK$25,MATCH($E83,DEMANDS!$E$2:$E$25,0),FALSE)/HLOOKUP(2018,DEMANDS!$G$2:$CK$25,MATCH($E83,DEMANDS!$E$2:$E$25,0),FALSE)</f>
        <v>0.30915240600207067</v>
      </c>
      <c r="AA83" s="19">
        <f>HLOOKUP(REG_TRA_DEMANDS!AA$3,'BY-Demands'!$J$5:$AK$14,MATCH($E83,'BY-Demands'!$I$5:$I$14,0),FALSE)*HLOOKUP(REG_TRA_DEMANDS!$F83,DEMANDS!$G$2:$CK$25,MATCH($E83,DEMANDS!$E$2:$E$25,0),FALSE)/HLOOKUP(2018,DEMANDS!$G$2:$CK$25,MATCH($E83,DEMANDS!$E$2:$E$25,0),FALSE)</f>
        <v>1.3288381188037899</v>
      </c>
      <c r="AB83" s="19">
        <f>HLOOKUP(REG_TRA_DEMANDS!AB$3,'BY-Demands'!$J$5:$AK$14,MATCH($E83,'BY-Demands'!$I$5:$I$14,0),FALSE)*HLOOKUP(REG_TRA_DEMANDS!$F83,DEMANDS!$G$2:$CK$25,MATCH($E83,DEMANDS!$E$2:$E$25,0),FALSE)/HLOOKUP(2018,DEMANDS!$G$2:$CK$25,MATCH($E83,DEMANDS!$E$2:$E$25,0),FALSE)</f>
        <v>0.6965272595671399</v>
      </c>
      <c r="AC83" s="19">
        <f>HLOOKUP(REG_TRA_DEMANDS!AC$3,'BY-Demands'!$J$5:$AK$14,MATCH($E83,'BY-Demands'!$I$5:$I$14,0),FALSE)*HLOOKUP(REG_TRA_DEMANDS!$F83,DEMANDS!$G$2:$CK$25,MATCH($E83,DEMANDS!$E$2:$E$25,0),FALSE)/HLOOKUP(2018,DEMANDS!$G$2:$CK$25,MATCH($E83,DEMANDS!$E$2:$E$25,0),FALSE)</f>
        <v>0.58056054936401558</v>
      </c>
      <c r="AD83" s="19">
        <f>HLOOKUP(REG_TRA_DEMANDS!AD$3,'BY-Demands'!$J$5:$AK$14,MATCH($E83,'BY-Demands'!$I$5:$I$14,0),FALSE)*HLOOKUP(REG_TRA_DEMANDS!$F83,DEMANDS!$G$2:$CK$25,MATCH($E83,DEMANDS!$E$2:$E$25,0),FALSE)/HLOOKUP(2018,DEMANDS!$G$2:$CK$25,MATCH($E83,DEMANDS!$E$2:$E$25,0),FALSE)</f>
        <v>0.62090710907936975</v>
      </c>
      <c r="AE83" s="19">
        <f>HLOOKUP(REG_TRA_DEMANDS!AE$3,'BY-Demands'!$J$5:$AK$14,MATCH($E83,'BY-Demands'!$I$5:$I$14,0),FALSE)*HLOOKUP(REG_TRA_DEMANDS!$F83,DEMANDS!$G$2:$CK$25,MATCH($E83,DEMANDS!$E$2:$E$25,0),FALSE)/HLOOKUP(2018,DEMANDS!$G$2:$CK$25,MATCH($E83,DEMANDS!$E$2:$E$25,0),FALSE)</f>
        <v>1.1437562089530262</v>
      </c>
      <c r="AF83" s="19">
        <f>HLOOKUP(REG_TRA_DEMANDS!AF$3,'BY-Demands'!$J$5:$AK$14,MATCH($E83,'BY-Demands'!$I$5:$I$14,0),FALSE)*HLOOKUP(REG_TRA_DEMANDS!$F83,DEMANDS!$G$2:$CK$25,MATCH($E83,DEMANDS!$E$2:$E$25,0),FALSE)/HLOOKUP(2018,DEMANDS!$G$2:$CK$25,MATCH($E83,DEMANDS!$E$2:$E$25,0),FALSE)</f>
        <v>0.66068646458119173</v>
      </c>
    </row>
    <row r="84" spans="4:32" ht="14.5">
      <c r="D84" t="s">
        <v>6</v>
      </c>
      <c r="E84" t="str">
        <f>DEMANDS!$E$19</f>
        <v>TRAPL</v>
      </c>
      <c r="F84">
        <v>2070</v>
      </c>
      <c r="G84" s="18">
        <f>HLOOKUP(REG_TRA_DEMANDS!G$3,'BY-Demands'!$J$5:$AK$14,MATCH($E84,'BY-Demands'!$I$5:$I$14,0),FALSE)*HLOOKUP(REG_TRA_DEMANDS!$F84,DEMANDS!$G$2:$CK$25,MATCH($E84,DEMANDS!$E$2:$E$25,0),FALSE)/HLOOKUP(2018,DEMANDS!$G$2:$CK$25,MATCH($E84,DEMANDS!$E$2:$E$25,0),FALSE)</f>
        <v>0.58633959537826086</v>
      </c>
      <c r="H84" s="18">
        <f>HLOOKUP(REG_TRA_DEMANDS!H$3,'BY-Demands'!$J$5:$AK$14,MATCH($E84,'BY-Demands'!$I$5:$I$14,0),FALSE)*HLOOKUP(REG_TRA_DEMANDS!$F84,DEMANDS!$G$2:$CK$25,MATCH($E84,DEMANDS!$E$2:$E$25,0),FALSE)/HLOOKUP(2018,DEMANDS!$G$2:$CK$25,MATCH($E84,DEMANDS!$E$2:$E$25,0),FALSE)</f>
        <v>10.445265431988391</v>
      </c>
      <c r="I84" s="18">
        <f>HLOOKUP(REG_TRA_DEMANDS!I$3,'BY-Demands'!$J$5:$AK$14,MATCH($E84,'BY-Demands'!$I$5:$I$14,0),FALSE)*HLOOKUP(REG_TRA_DEMANDS!$F84,DEMANDS!$G$2:$CK$25,MATCH($E84,DEMANDS!$E$2:$E$25,0),FALSE)/HLOOKUP(2018,DEMANDS!$G$2:$CK$25,MATCH($E84,DEMANDS!$E$2:$E$25,0),FALSE)</f>
        <v>2.1104537710396212</v>
      </c>
      <c r="J84" s="18">
        <f>HLOOKUP(REG_TRA_DEMANDS!J$3,'BY-Demands'!$J$5:$AK$14,MATCH($E84,'BY-Demands'!$I$5:$I$14,0),FALSE)*HLOOKUP(REG_TRA_DEMANDS!$F84,DEMANDS!$G$2:$CK$25,MATCH($E84,DEMANDS!$E$2:$E$25,0),FALSE)/HLOOKUP(2018,DEMANDS!$G$2:$CK$25,MATCH($E84,DEMANDS!$E$2:$E$25,0),FALSE)</f>
        <v>1.0162681052847005</v>
      </c>
      <c r="K84" s="18">
        <f>HLOOKUP(REG_TRA_DEMANDS!K$3,'BY-Demands'!$J$5:$AK$14,MATCH($E84,'BY-Demands'!$I$5:$I$14,0),FALSE)*HLOOKUP(REG_TRA_DEMANDS!$F84,DEMANDS!$G$2:$CK$25,MATCH($E84,DEMANDS!$E$2:$E$25,0),FALSE)/HLOOKUP(2018,DEMANDS!$G$2:$CK$25,MATCH($E84,DEMANDS!$E$2:$E$25,0),FALSE)</f>
        <v>0.75507916904375461</v>
      </c>
      <c r="L84" s="18">
        <f>HLOOKUP(REG_TRA_DEMANDS!L$3,'BY-Demands'!$J$5:$AK$14,MATCH($E84,'BY-Demands'!$I$5:$I$14,0),FALSE)*HLOOKUP(REG_TRA_DEMANDS!$F84,DEMANDS!$G$2:$CK$25,MATCH($E84,DEMANDS!$E$2:$E$25,0),FALSE)/HLOOKUP(2018,DEMANDS!$G$2:$CK$25,MATCH($E84,DEMANDS!$E$2:$E$25,0),FALSE)</f>
        <v>0.38879952637275761</v>
      </c>
      <c r="M84" s="18">
        <f>HLOOKUP(REG_TRA_DEMANDS!M$3,'BY-Demands'!$J$5:$AK$14,MATCH($E84,'BY-Demands'!$I$5:$I$14,0),FALSE)*HLOOKUP(REG_TRA_DEMANDS!$F84,DEMANDS!$G$2:$CK$25,MATCH($E84,DEMANDS!$E$2:$E$25,0),FALSE)/HLOOKUP(2018,DEMANDS!$G$2:$CK$25,MATCH($E84,DEMANDS!$E$2:$E$25,0),FALSE)</f>
        <v>1.0564650628960977</v>
      </c>
      <c r="N84" s="18">
        <f>HLOOKUP(REG_TRA_DEMANDS!N$3,'BY-Demands'!$J$5:$AK$14,MATCH($E84,'BY-Demands'!$I$5:$I$14,0),FALSE)*HLOOKUP(REG_TRA_DEMANDS!$F84,DEMANDS!$G$2:$CK$25,MATCH($E84,DEMANDS!$E$2:$E$25,0),FALSE)/HLOOKUP(2018,DEMANDS!$G$2:$CK$25,MATCH($E84,DEMANDS!$E$2:$E$25,0),FALSE)</f>
        <v>1.7965335505823219</v>
      </c>
      <c r="O84" s="18">
        <f>HLOOKUP(REG_TRA_DEMANDS!O$3,'BY-Demands'!$J$5:$AK$14,MATCH($E84,'BY-Demands'!$I$5:$I$14,0),FALSE)*HLOOKUP(REG_TRA_DEMANDS!$F84,DEMANDS!$G$2:$CK$25,MATCH($E84,DEMANDS!$E$2:$E$25,0),FALSE)/HLOOKUP(2018,DEMANDS!$G$2:$CK$25,MATCH($E84,DEMANDS!$E$2:$E$25,0),FALSE)</f>
        <v>0.77433746035089901</v>
      </c>
      <c r="P84" s="18">
        <f>HLOOKUP(REG_TRA_DEMANDS!P$3,'BY-Demands'!$J$5:$AK$14,MATCH($E84,'BY-Demands'!$I$5:$I$14,0),FALSE)*HLOOKUP(REG_TRA_DEMANDS!$F84,DEMANDS!$G$2:$CK$25,MATCH($E84,DEMANDS!$E$2:$E$25,0),FALSE)/HLOOKUP(2018,DEMANDS!$G$2:$CK$25,MATCH($E84,DEMANDS!$E$2:$E$25,0),FALSE)</f>
        <v>0.85814369519141498</v>
      </c>
      <c r="Q84" s="18">
        <f>HLOOKUP(REG_TRA_DEMANDS!Q$3,'BY-Demands'!$J$5:$AK$14,MATCH($E84,'BY-Demands'!$I$5:$I$14,0),FALSE)*HLOOKUP(REG_TRA_DEMANDS!$F84,DEMANDS!$G$2:$CK$25,MATCH($E84,DEMANDS!$E$2:$E$25,0),FALSE)/HLOOKUP(2018,DEMANDS!$G$2:$CK$25,MATCH($E84,DEMANDS!$E$2:$E$25,0),FALSE)</f>
        <v>1.5252560668085289</v>
      </c>
      <c r="R84" s="18">
        <f>HLOOKUP(REG_TRA_DEMANDS!R$3,'BY-Demands'!$J$5:$AK$14,MATCH($E84,'BY-Demands'!$I$5:$I$14,0),FALSE)*HLOOKUP(REG_TRA_DEMANDS!$F84,DEMANDS!$G$2:$CK$25,MATCH($E84,DEMANDS!$E$2:$E$25,0),FALSE)/HLOOKUP(2018,DEMANDS!$G$2:$CK$25,MATCH($E84,DEMANDS!$E$2:$E$25,0),FALSE)</f>
        <v>1.3060832302256755</v>
      </c>
      <c r="S84" s="18">
        <f>HLOOKUP(REG_TRA_DEMANDS!S$3,'BY-Demands'!$J$5:$AK$14,MATCH($E84,'BY-Demands'!$I$5:$I$14,0),FALSE)*HLOOKUP(REG_TRA_DEMANDS!$F84,DEMANDS!$G$2:$CK$25,MATCH($E84,DEMANDS!$E$2:$E$25,0),FALSE)/HLOOKUP(2018,DEMANDS!$G$2:$CK$25,MATCH($E84,DEMANDS!$E$2:$E$25,0),FALSE)</f>
        <v>1.1710368194291527</v>
      </c>
      <c r="T84" s="18">
        <f>HLOOKUP(REG_TRA_DEMANDS!T$3,'BY-Demands'!$J$5:$AK$14,MATCH($E84,'BY-Demands'!$I$5:$I$14,0),FALSE)*HLOOKUP(REG_TRA_DEMANDS!$F84,DEMANDS!$G$2:$CK$25,MATCH($E84,DEMANDS!$E$2:$E$25,0),FALSE)/HLOOKUP(2018,DEMANDS!$G$2:$CK$25,MATCH($E84,DEMANDS!$E$2:$E$25,0),FALSE)</f>
        <v>4.7750259702915114</v>
      </c>
      <c r="U84" s="18">
        <f>HLOOKUP(REG_TRA_DEMANDS!U$3,'BY-Demands'!$J$5:$AK$14,MATCH($E84,'BY-Demands'!$I$5:$I$14,0),FALSE)*HLOOKUP(REG_TRA_DEMANDS!$F84,DEMANDS!$G$2:$CK$25,MATCH($E84,DEMANDS!$E$2:$E$25,0),FALSE)/HLOOKUP(2018,DEMANDS!$G$2:$CK$25,MATCH($E84,DEMANDS!$E$2:$E$25,0),FALSE)</f>
        <v>1.5880037170332539</v>
      </c>
      <c r="V84" s="18">
        <f>HLOOKUP(REG_TRA_DEMANDS!V$3,'BY-Demands'!$J$5:$AK$14,MATCH($E84,'BY-Demands'!$I$5:$I$14,0),FALSE)*HLOOKUP(REG_TRA_DEMANDS!$F84,DEMANDS!$G$2:$CK$25,MATCH($E84,DEMANDS!$E$2:$E$25,0),FALSE)/HLOOKUP(2018,DEMANDS!$G$2:$CK$25,MATCH($E84,DEMANDS!$E$2:$E$25,0),FALSE)</f>
        <v>1.759153682324456</v>
      </c>
      <c r="W84" s="18">
        <f>HLOOKUP(REG_TRA_DEMANDS!W$3,'BY-Demands'!$J$5:$AK$14,MATCH($E84,'BY-Demands'!$I$5:$I$14,0),FALSE)*HLOOKUP(REG_TRA_DEMANDS!$F84,DEMANDS!$G$2:$CK$25,MATCH($E84,DEMANDS!$E$2:$E$25,0),FALSE)/HLOOKUP(2018,DEMANDS!$G$2:$CK$25,MATCH($E84,DEMANDS!$E$2:$E$25,0),FALSE)</f>
        <v>1.7018590034762693</v>
      </c>
      <c r="X84" s="18">
        <f>HLOOKUP(REG_TRA_DEMANDS!X$3,'BY-Demands'!$J$5:$AK$14,MATCH($E84,'BY-Demands'!$I$5:$I$14,0),FALSE)*HLOOKUP(REG_TRA_DEMANDS!$F84,DEMANDS!$G$2:$CK$25,MATCH($E84,DEMANDS!$E$2:$E$25,0),FALSE)/HLOOKUP(2018,DEMANDS!$G$2:$CK$25,MATCH($E84,DEMANDS!$E$2:$E$25,0),FALSE)</f>
        <v>1.0717419599611555</v>
      </c>
      <c r="Y84" s="18">
        <f>HLOOKUP(REG_TRA_DEMANDS!Y$3,'BY-Demands'!$J$5:$AK$14,MATCH($E84,'BY-Demands'!$I$5:$I$14,0),FALSE)*HLOOKUP(REG_TRA_DEMANDS!$F84,DEMANDS!$G$2:$CK$25,MATCH($E84,DEMANDS!$E$2:$E$25,0),FALSE)/HLOOKUP(2018,DEMANDS!$G$2:$CK$25,MATCH($E84,DEMANDS!$E$2:$E$25,0),FALSE)</f>
        <v>2.4349809246063936</v>
      </c>
      <c r="Z84" s="18">
        <f>HLOOKUP(REG_TRA_DEMANDS!Z$3,'BY-Demands'!$J$5:$AK$14,MATCH($E84,'BY-Demands'!$I$5:$I$14,0),FALSE)*HLOOKUP(REG_TRA_DEMANDS!$F84,DEMANDS!$G$2:$CK$25,MATCH($E84,DEMANDS!$E$2:$E$25,0),FALSE)/HLOOKUP(2018,DEMANDS!$G$2:$CK$25,MATCH($E84,DEMANDS!$E$2:$E$25,0),FALSE)</f>
        <v>0.31413188068569153</v>
      </c>
      <c r="AA84" s="18">
        <f>HLOOKUP(REG_TRA_DEMANDS!AA$3,'BY-Demands'!$J$5:$AK$14,MATCH($E84,'BY-Demands'!$I$5:$I$14,0),FALSE)*HLOOKUP(REG_TRA_DEMANDS!$F84,DEMANDS!$G$2:$CK$25,MATCH($E84,DEMANDS!$E$2:$E$25,0),FALSE)/HLOOKUP(2018,DEMANDS!$G$2:$CK$25,MATCH($E84,DEMANDS!$E$2:$E$25,0),FALSE)</f>
        <v>1.35024152904013</v>
      </c>
      <c r="AB84" s="18">
        <f>HLOOKUP(REG_TRA_DEMANDS!AB$3,'BY-Demands'!$J$5:$AK$14,MATCH($E84,'BY-Demands'!$I$5:$I$14,0),FALSE)*HLOOKUP(REG_TRA_DEMANDS!$F84,DEMANDS!$G$2:$CK$25,MATCH($E84,DEMANDS!$E$2:$E$25,0),FALSE)/HLOOKUP(2018,DEMANDS!$G$2:$CK$25,MATCH($E84,DEMANDS!$E$2:$E$25,0),FALSE)</f>
        <v>0.70774612698699491</v>
      </c>
      <c r="AC84" s="18">
        <f>HLOOKUP(REG_TRA_DEMANDS!AC$3,'BY-Demands'!$J$5:$AK$14,MATCH($E84,'BY-Demands'!$I$5:$I$14,0),FALSE)*HLOOKUP(REG_TRA_DEMANDS!$F84,DEMANDS!$G$2:$CK$25,MATCH($E84,DEMANDS!$E$2:$E$25,0),FALSE)/HLOOKUP(2018,DEMANDS!$G$2:$CK$25,MATCH($E84,DEMANDS!$E$2:$E$25,0),FALSE)</f>
        <v>0.5899115571573943</v>
      </c>
      <c r="AD84" s="18">
        <f>HLOOKUP(REG_TRA_DEMANDS!AD$3,'BY-Demands'!$J$5:$AK$14,MATCH($E84,'BY-Demands'!$I$5:$I$14,0),FALSE)*HLOOKUP(REG_TRA_DEMANDS!$F84,DEMANDS!$G$2:$CK$25,MATCH($E84,DEMANDS!$E$2:$E$25,0),FALSE)/HLOOKUP(2018,DEMANDS!$G$2:$CK$25,MATCH($E84,DEMANDS!$E$2:$E$25,0),FALSE)</f>
        <v>0.63090797328263992</v>
      </c>
      <c r="AE84" s="18">
        <f>HLOOKUP(REG_TRA_DEMANDS!AE$3,'BY-Demands'!$J$5:$AK$14,MATCH($E84,'BY-Demands'!$I$5:$I$14,0),FALSE)*HLOOKUP(REG_TRA_DEMANDS!$F84,DEMANDS!$G$2:$CK$25,MATCH($E84,DEMANDS!$E$2:$E$25,0),FALSE)/HLOOKUP(2018,DEMANDS!$G$2:$CK$25,MATCH($E84,DEMANDS!$E$2:$E$25,0),FALSE)</f>
        <v>1.1621785306821919</v>
      </c>
      <c r="AF84" s="18">
        <f>HLOOKUP(REG_TRA_DEMANDS!AF$3,'BY-Demands'!$J$5:$AK$14,MATCH($E84,'BY-Demands'!$I$5:$I$14,0),FALSE)*HLOOKUP(REG_TRA_DEMANDS!$F84,DEMANDS!$G$2:$CK$25,MATCH($E84,DEMANDS!$E$2:$E$25,0),FALSE)/HLOOKUP(2018,DEMANDS!$G$2:$CK$25,MATCH($E84,DEMANDS!$E$2:$E$25,0),FALSE)</f>
        <v>0.67132804931519818</v>
      </c>
    </row>
    <row r="85" spans="4:32" ht="14.5">
      <c r="D85" s="20" t="s">
        <v>6</v>
      </c>
      <c r="E85" s="20" t="str">
        <f>DEMANDS!$E$20</f>
        <v>TRAF</v>
      </c>
      <c r="F85" s="20">
        <v>2020</v>
      </c>
      <c r="G85" s="21">
        <f>HLOOKUP(REG_TRA_DEMANDS!G$3,'BY-Demands'!$J$5:$AK$14,MATCH($E85,'BY-Demands'!$I$5:$I$14,0),FALSE)*HLOOKUP(REG_TRA_DEMANDS!$F85,DEMANDS!$G$2:$CK$25,MATCH($E85,DEMANDS!$E$2:$E$25,0),FALSE)/HLOOKUP(2018,DEMANDS!$G$2:$CK$25,MATCH($E85,DEMANDS!$E$2:$E$25,0),FALSE)</f>
        <v>0.17204890056295077</v>
      </c>
      <c r="H85" s="21">
        <f>HLOOKUP(REG_TRA_DEMANDS!H$3,'BY-Demands'!$J$5:$AK$14,MATCH($E85,'BY-Demands'!$I$5:$I$14,0),FALSE)*HLOOKUP(REG_TRA_DEMANDS!$F85,DEMANDS!$G$2:$CK$25,MATCH($E85,DEMANDS!$E$2:$E$25,0),FALSE)/HLOOKUP(2018,DEMANDS!$G$2:$CK$25,MATCH($E85,DEMANDS!$E$2:$E$25,0),FALSE)</f>
        <v>2.569687645211808</v>
      </c>
      <c r="I85" s="21">
        <f>HLOOKUP(REG_TRA_DEMANDS!I$3,'BY-Demands'!$J$5:$AK$14,MATCH($E85,'BY-Demands'!$I$5:$I$14,0),FALSE)*HLOOKUP(REG_TRA_DEMANDS!$F85,DEMANDS!$G$2:$CK$25,MATCH($E85,DEMANDS!$E$2:$E$25,0),FALSE)/HLOOKUP(2018,DEMANDS!$G$2:$CK$25,MATCH($E85,DEMANDS!$E$2:$E$25,0),FALSE)</f>
        <v>0.46631434625206813</v>
      </c>
      <c r="J85" s="21">
        <f>HLOOKUP(REG_TRA_DEMANDS!J$3,'BY-Demands'!$J$5:$AK$14,MATCH($E85,'BY-Demands'!$I$5:$I$14,0),FALSE)*HLOOKUP(REG_TRA_DEMANDS!$F85,DEMANDS!$G$2:$CK$25,MATCH($E85,DEMANDS!$E$2:$E$25,0),FALSE)/HLOOKUP(2018,DEMANDS!$G$2:$CK$25,MATCH($E85,DEMANDS!$E$2:$E$25,0),FALSE)</f>
        <v>0.29987979520590724</v>
      </c>
      <c r="K85" s="21">
        <f>HLOOKUP(REG_TRA_DEMANDS!K$3,'BY-Demands'!$J$5:$AK$14,MATCH($E85,'BY-Demands'!$I$5:$I$14,0),FALSE)*HLOOKUP(REG_TRA_DEMANDS!$F85,DEMANDS!$G$2:$CK$25,MATCH($E85,DEMANDS!$E$2:$E$25,0),FALSE)/HLOOKUP(2018,DEMANDS!$G$2:$CK$25,MATCH($E85,DEMANDS!$E$2:$E$25,0),FALSE)</f>
        <v>0.21358994392489267</v>
      </c>
      <c r="L85" s="21">
        <f>HLOOKUP(REG_TRA_DEMANDS!L$3,'BY-Demands'!$J$5:$AK$14,MATCH($E85,'BY-Demands'!$I$5:$I$14,0),FALSE)*HLOOKUP(REG_TRA_DEMANDS!$F85,DEMANDS!$G$2:$CK$25,MATCH($E85,DEMANDS!$E$2:$E$25,0),FALSE)/HLOOKUP(2018,DEMANDS!$G$2:$CK$25,MATCH($E85,DEMANDS!$E$2:$E$25,0),FALSE)</f>
        <v>0.10307403778223755</v>
      </c>
      <c r="M85" s="21">
        <f>HLOOKUP(REG_TRA_DEMANDS!M$3,'BY-Demands'!$J$5:$AK$14,MATCH($E85,'BY-Demands'!$I$5:$I$14,0),FALSE)*HLOOKUP(REG_TRA_DEMANDS!$F85,DEMANDS!$G$2:$CK$25,MATCH($E85,DEMANDS!$E$2:$E$25,0),FALSE)/HLOOKUP(2018,DEMANDS!$G$2:$CK$25,MATCH($E85,DEMANDS!$E$2:$E$25,0),FALSE)</f>
        <v>0.2701095629847175</v>
      </c>
      <c r="N85" s="21">
        <f>HLOOKUP(REG_TRA_DEMANDS!N$3,'BY-Demands'!$J$5:$AK$14,MATCH($E85,'BY-Demands'!$I$5:$I$14,0),FALSE)*HLOOKUP(REG_TRA_DEMANDS!$F85,DEMANDS!$G$2:$CK$25,MATCH($E85,DEMANDS!$E$2:$E$25,0),FALSE)/HLOOKUP(2018,DEMANDS!$G$2:$CK$25,MATCH($E85,DEMANDS!$E$2:$E$25,0),FALSE)</f>
        <v>0.41793830270136295</v>
      </c>
      <c r="O85" s="21">
        <f>HLOOKUP(REG_TRA_DEMANDS!O$3,'BY-Demands'!$J$5:$AK$14,MATCH($E85,'BY-Demands'!$I$5:$I$14,0),FALSE)*HLOOKUP(REG_TRA_DEMANDS!$F85,DEMANDS!$G$2:$CK$25,MATCH($E85,DEMANDS!$E$2:$E$25,0),FALSE)/HLOOKUP(2018,DEMANDS!$G$2:$CK$25,MATCH($E85,DEMANDS!$E$2:$E$25,0),FALSE)</f>
        <v>0.1966030156714941</v>
      </c>
      <c r="P85" s="21">
        <f>HLOOKUP(REG_TRA_DEMANDS!P$3,'BY-Demands'!$J$5:$AK$14,MATCH($E85,'BY-Demands'!$I$5:$I$14,0),FALSE)*HLOOKUP(REG_TRA_DEMANDS!$F85,DEMANDS!$G$2:$CK$25,MATCH($E85,DEMANDS!$E$2:$E$25,0),FALSE)/HLOOKUP(2018,DEMANDS!$G$2:$CK$25,MATCH($E85,DEMANDS!$E$2:$E$25,0),FALSE)</f>
        <v>0.22386128578595152</v>
      </c>
      <c r="Q85" s="21">
        <f>HLOOKUP(REG_TRA_DEMANDS!Q$3,'BY-Demands'!$J$5:$AK$14,MATCH($E85,'BY-Demands'!$I$5:$I$14,0),FALSE)*HLOOKUP(REG_TRA_DEMANDS!$F85,DEMANDS!$G$2:$CK$25,MATCH($E85,DEMANDS!$E$2:$E$25,0),FALSE)/HLOOKUP(2018,DEMANDS!$G$2:$CK$25,MATCH($E85,DEMANDS!$E$2:$E$25,0),FALSE)</f>
        <v>0.45246092689675516</v>
      </c>
      <c r="R85" s="21">
        <f>HLOOKUP(REG_TRA_DEMANDS!R$3,'BY-Demands'!$J$5:$AK$14,MATCH($E85,'BY-Demands'!$I$5:$I$14,0),FALSE)*HLOOKUP(REG_TRA_DEMANDS!$F85,DEMANDS!$G$2:$CK$25,MATCH($E85,DEMANDS!$E$2:$E$25,0),FALSE)/HLOOKUP(2018,DEMANDS!$G$2:$CK$25,MATCH($E85,DEMANDS!$E$2:$E$25,0),FALSE)</f>
        <v>0.29848821039150208</v>
      </c>
      <c r="S85" s="21">
        <f>HLOOKUP(REG_TRA_DEMANDS!S$3,'BY-Demands'!$J$5:$AK$14,MATCH($E85,'BY-Demands'!$I$5:$I$14,0),FALSE)*HLOOKUP(REG_TRA_DEMANDS!$F85,DEMANDS!$G$2:$CK$25,MATCH($E85,DEMANDS!$E$2:$E$25,0),FALSE)/HLOOKUP(2018,DEMANDS!$G$2:$CK$25,MATCH($E85,DEMANDS!$E$2:$E$25,0),FALSE)</f>
        <v>0.29372806967933029</v>
      </c>
      <c r="T85" s="21">
        <f>HLOOKUP(REG_TRA_DEMANDS!T$3,'BY-Demands'!$J$5:$AK$14,MATCH($E85,'BY-Demands'!$I$5:$I$14,0),FALSE)*HLOOKUP(REG_TRA_DEMANDS!$F85,DEMANDS!$G$2:$CK$25,MATCH($E85,DEMANDS!$E$2:$E$25,0),FALSE)/HLOOKUP(2018,DEMANDS!$G$2:$CK$25,MATCH($E85,DEMANDS!$E$2:$E$25,0),FALSE)</f>
        <v>1.5716055093233545</v>
      </c>
      <c r="U85" s="21">
        <f>HLOOKUP(REG_TRA_DEMANDS!U$3,'BY-Demands'!$J$5:$AK$14,MATCH($E85,'BY-Demands'!$I$5:$I$14,0),FALSE)*HLOOKUP(REG_TRA_DEMANDS!$F85,DEMANDS!$G$2:$CK$25,MATCH($E85,DEMANDS!$E$2:$E$25,0),FALSE)/HLOOKUP(2018,DEMANDS!$G$2:$CK$25,MATCH($E85,DEMANDS!$E$2:$E$25,0),FALSE)</f>
        <v>0.4276124858448539</v>
      </c>
      <c r="V85" s="21">
        <f>HLOOKUP(REG_TRA_DEMANDS!V$3,'BY-Demands'!$J$5:$AK$14,MATCH($E85,'BY-Demands'!$I$5:$I$14,0),FALSE)*HLOOKUP(REG_TRA_DEMANDS!$F85,DEMANDS!$G$2:$CK$25,MATCH($E85,DEMANDS!$E$2:$E$25,0),FALSE)/HLOOKUP(2018,DEMANDS!$G$2:$CK$25,MATCH($E85,DEMANDS!$E$2:$E$25,0),FALSE)</f>
        <v>0.48181074301179039</v>
      </c>
      <c r="W85" s="21">
        <f>HLOOKUP(REG_TRA_DEMANDS!W$3,'BY-Demands'!$J$5:$AK$14,MATCH($E85,'BY-Demands'!$I$5:$I$14,0),FALSE)*HLOOKUP(REG_TRA_DEMANDS!$F85,DEMANDS!$G$2:$CK$25,MATCH($E85,DEMANDS!$E$2:$E$25,0),FALSE)/HLOOKUP(2018,DEMANDS!$G$2:$CK$25,MATCH($E85,DEMANDS!$E$2:$E$25,0),FALSE)</f>
        <v>0.39443172863770537</v>
      </c>
      <c r="X85" s="21">
        <f>HLOOKUP(REG_TRA_DEMANDS!X$3,'BY-Demands'!$J$5:$AK$14,MATCH($E85,'BY-Demands'!$I$5:$I$14,0),FALSE)*HLOOKUP(REG_TRA_DEMANDS!$F85,DEMANDS!$G$2:$CK$25,MATCH($E85,DEMANDS!$E$2:$E$25,0),FALSE)/HLOOKUP(2018,DEMANDS!$G$2:$CK$25,MATCH($E85,DEMANDS!$E$2:$E$25,0),FALSE)</f>
        <v>0.36637376033202923</v>
      </c>
      <c r="Y85" s="21">
        <f>HLOOKUP(REG_TRA_DEMANDS!Y$3,'BY-Demands'!$J$5:$AK$14,MATCH($E85,'BY-Demands'!$I$5:$I$14,0),FALSE)*HLOOKUP(REG_TRA_DEMANDS!$F85,DEMANDS!$G$2:$CK$25,MATCH($E85,DEMANDS!$E$2:$E$25,0),FALSE)/HLOOKUP(2018,DEMANDS!$G$2:$CK$25,MATCH($E85,DEMANDS!$E$2:$E$25,0),FALSE)</f>
        <v>0.58502580441542917</v>
      </c>
      <c r="Z85" s="21">
        <f>HLOOKUP(REG_TRA_DEMANDS!Z$3,'BY-Demands'!$J$5:$AK$14,MATCH($E85,'BY-Demands'!$I$5:$I$14,0),FALSE)*HLOOKUP(REG_TRA_DEMANDS!$F85,DEMANDS!$G$2:$CK$25,MATCH($E85,DEMANDS!$E$2:$E$25,0),FALSE)/HLOOKUP(2018,DEMANDS!$G$2:$CK$25,MATCH($E85,DEMANDS!$E$2:$E$25,0),FALSE)</f>
        <v>0.07802149668403971</v>
      </c>
      <c r="AA85" s="21">
        <f>HLOOKUP(REG_TRA_DEMANDS!AA$3,'BY-Demands'!$J$5:$AK$14,MATCH($E85,'BY-Demands'!$I$5:$I$14,0),FALSE)*HLOOKUP(REG_TRA_DEMANDS!$F85,DEMANDS!$G$2:$CK$25,MATCH($E85,DEMANDS!$E$2:$E$25,0),FALSE)/HLOOKUP(2018,DEMANDS!$G$2:$CK$25,MATCH($E85,DEMANDS!$E$2:$E$25,0),FALSE)</f>
        <v>0.32949954987444952</v>
      </c>
      <c r="AB85" s="21">
        <f>HLOOKUP(REG_TRA_DEMANDS!AB$3,'BY-Demands'!$J$5:$AK$14,MATCH($E85,'BY-Demands'!$I$5:$I$14,0),FALSE)*HLOOKUP(REG_TRA_DEMANDS!$F85,DEMANDS!$G$2:$CK$25,MATCH($E85,DEMANDS!$E$2:$E$25,0),FALSE)/HLOOKUP(2018,DEMANDS!$G$2:$CK$25,MATCH($E85,DEMANDS!$E$2:$E$25,0),FALSE)</f>
        <v>0.14632332855477975</v>
      </c>
      <c r="AC85" s="21">
        <f>HLOOKUP(REG_TRA_DEMANDS!AC$3,'BY-Demands'!$J$5:$AK$14,MATCH($E85,'BY-Demands'!$I$5:$I$14,0),FALSE)*HLOOKUP(REG_TRA_DEMANDS!$F85,DEMANDS!$G$2:$CK$25,MATCH($E85,DEMANDS!$E$2:$E$25,0),FALSE)/HLOOKUP(2018,DEMANDS!$G$2:$CK$25,MATCH($E85,DEMANDS!$E$2:$E$25,0),FALSE)</f>
        <v>0.15956618353478186</v>
      </c>
      <c r="AD85" s="21">
        <f>HLOOKUP(REG_TRA_DEMANDS!AD$3,'BY-Demands'!$J$5:$AK$14,MATCH($E85,'BY-Demands'!$I$5:$I$14,0),FALSE)*HLOOKUP(REG_TRA_DEMANDS!$F85,DEMANDS!$G$2:$CK$25,MATCH($E85,DEMANDS!$E$2:$E$25,0),FALSE)/HLOOKUP(2018,DEMANDS!$G$2:$CK$25,MATCH($E85,DEMANDS!$E$2:$E$25,0),FALSE)</f>
        <v>0.18547514453262426</v>
      </c>
      <c r="AE85" s="21">
        <f>HLOOKUP(REG_TRA_DEMANDS!AE$3,'BY-Demands'!$J$5:$AK$14,MATCH($E85,'BY-Demands'!$I$5:$I$14,0),FALSE)*HLOOKUP(REG_TRA_DEMANDS!$F85,DEMANDS!$G$2:$CK$25,MATCH($E85,DEMANDS!$E$2:$E$25,0),FALSE)/HLOOKUP(2018,DEMANDS!$G$2:$CK$25,MATCH($E85,DEMANDS!$E$2:$E$25,0),FALSE)</f>
        <v>0.38760448446279</v>
      </c>
      <c r="AF85" s="21">
        <f>HLOOKUP(REG_TRA_DEMANDS!AF$3,'BY-Demands'!$J$5:$AK$14,MATCH($E85,'BY-Demands'!$I$5:$I$14,0),FALSE)*HLOOKUP(REG_TRA_DEMANDS!$F85,DEMANDS!$G$2:$CK$25,MATCH($E85,DEMANDS!$E$2:$E$25,0),FALSE)/HLOOKUP(2018,DEMANDS!$G$2:$CK$25,MATCH($E85,DEMANDS!$E$2:$E$25,0),FALSE)</f>
        <v>0.1494640992212731</v>
      </c>
    </row>
    <row r="86" spans="4:32" ht="14.5">
      <c r="D86" t="s">
        <v>6</v>
      </c>
      <c r="E86" t="str">
        <f>DEMANDS!$E$20</f>
        <v>TRAF</v>
      </c>
      <c r="F86">
        <v>2021</v>
      </c>
      <c r="G86" s="19">
        <f>HLOOKUP(REG_TRA_DEMANDS!G$3,'BY-Demands'!$J$5:$AK$14,MATCH($E86,'BY-Demands'!$I$5:$I$14,0),FALSE)*HLOOKUP(REG_TRA_DEMANDS!$F86,DEMANDS!$G$2:$CK$25,MATCH($E86,DEMANDS!$E$2:$E$25,0),FALSE)/HLOOKUP(2018,DEMANDS!$G$2:$CK$25,MATCH($E86,DEMANDS!$E$2:$E$25,0),FALSE)</f>
        <v>0.17754129095944199</v>
      </c>
      <c r="H86" s="19">
        <f>HLOOKUP(REG_TRA_DEMANDS!H$3,'BY-Demands'!$J$5:$AK$14,MATCH($E86,'BY-Demands'!$I$5:$I$14,0),FALSE)*HLOOKUP(REG_TRA_DEMANDS!$F86,DEMANDS!$G$2:$CK$25,MATCH($E86,DEMANDS!$E$2:$E$25,0),FALSE)/HLOOKUP(2018,DEMANDS!$G$2:$CK$25,MATCH($E86,DEMANDS!$E$2:$E$25,0),FALSE)</f>
        <v>2.6517208793583955</v>
      </c>
      <c r="I86" s="19">
        <f>HLOOKUP(REG_TRA_DEMANDS!I$3,'BY-Demands'!$J$5:$AK$14,MATCH($E86,'BY-Demands'!$I$5:$I$14,0),FALSE)*HLOOKUP(REG_TRA_DEMANDS!$F86,DEMANDS!$G$2:$CK$25,MATCH($E86,DEMANDS!$E$2:$E$25,0),FALSE)/HLOOKUP(2018,DEMANDS!$G$2:$CK$25,MATCH($E86,DEMANDS!$E$2:$E$25,0),FALSE)</f>
        <v>0.48120069791558168</v>
      </c>
      <c r="J86" s="19">
        <f>HLOOKUP(REG_TRA_DEMANDS!J$3,'BY-Demands'!$J$5:$AK$14,MATCH($E86,'BY-Demands'!$I$5:$I$14,0),FALSE)*HLOOKUP(REG_TRA_DEMANDS!$F86,DEMANDS!$G$2:$CK$25,MATCH($E86,DEMANDS!$E$2:$E$25,0),FALSE)/HLOOKUP(2018,DEMANDS!$G$2:$CK$25,MATCH($E86,DEMANDS!$E$2:$E$25,0),FALSE)</f>
        <v>0.30945298574593072</v>
      </c>
      <c r="K86" s="19">
        <f>HLOOKUP(REG_TRA_DEMANDS!K$3,'BY-Demands'!$J$5:$AK$14,MATCH($E86,'BY-Demands'!$I$5:$I$14,0),FALSE)*HLOOKUP(REG_TRA_DEMANDS!$F86,DEMANDS!$G$2:$CK$25,MATCH($E86,DEMANDS!$E$2:$E$25,0),FALSE)/HLOOKUP(2018,DEMANDS!$G$2:$CK$25,MATCH($E86,DEMANDS!$E$2:$E$25,0),FALSE)</f>
        <v>0.22040846675742282</v>
      </c>
      <c r="L86" s="19">
        <f>HLOOKUP(REG_TRA_DEMANDS!L$3,'BY-Demands'!$J$5:$AK$14,MATCH($E86,'BY-Demands'!$I$5:$I$14,0),FALSE)*HLOOKUP(REG_TRA_DEMANDS!$F86,DEMANDS!$G$2:$CK$25,MATCH($E86,DEMANDS!$E$2:$E$25,0),FALSE)/HLOOKUP(2018,DEMANDS!$G$2:$CK$25,MATCH($E86,DEMANDS!$E$2:$E$25,0),FALSE)</f>
        <v>0.1063645142304471</v>
      </c>
      <c r="M86" s="19">
        <f>HLOOKUP(REG_TRA_DEMANDS!M$3,'BY-Demands'!$J$5:$AK$14,MATCH($E86,'BY-Demands'!$I$5:$I$14,0),FALSE)*HLOOKUP(REG_TRA_DEMANDS!$F86,DEMANDS!$G$2:$CK$25,MATCH($E86,DEMANDS!$E$2:$E$25,0),FALSE)/HLOOKUP(2018,DEMANDS!$G$2:$CK$25,MATCH($E86,DEMANDS!$E$2:$E$25,0),FALSE)</f>
        <v>0.27873238571060233</v>
      </c>
      <c r="N86" s="19">
        <f>HLOOKUP(REG_TRA_DEMANDS!N$3,'BY-Demands'!$J$5:$AK$14,MATCH($E86,'BY-Demands'!$I$5:$I$14,0),FALSE)*HLOOKUP(REG_TRA_DEMANDS!$F86,DEMANDS!$G$2:$CK$25,MATCH($E86,DEMANDS!$E$2:$E$25,0),FALSE)/HLOOKUP(2018,DEMANDS!$G$2:$CK$25,MATCH($E86,DEMANDS!$E$2:$E$25,0),FALSE)</f>
        <v>0.4312803253040759</v>
      </c>
      <c r="O86" s="19">
        <f>HLOOKUP(REG_TRA_DEMANDS!O$3,'BY-Demands'!$J$5:$AK$14,MATCH($E86,'BY-Demands'!$I$5:$I$14,0),FALSE)*HLOOKUP(REG_TRA_DEMANDS!$F86,DEMANDS!$G$2:$CK$25,MATCH($E86,DEMANDS!$E$2:$E$25,0),FALSE)/HLOOKUP(2018,DEMANDS!$G$2:$CK$25,MATCH($E86,DEMANDS!$E$2:$E$25,0),FALSE)</f>
        <v>0.20287925755192526</v>
      </c>
      <c r="P86" s="19">
        <f>HLOOKUP(REG_TRA_DEMANDS!P$3,'BY-Demands'!$J$5:$AK$14,MATCH($E86,'BY-Demands'!$I$5:$I$14,0),FALSE)*HLOOKUP(REG_TRA_DEMANDS!$F86,DEMANDS!$G$2:$CK$25,MATCH($E86,DEMANDS!$E$2:$E$25,0),FALSE)/HLOOKUP(2018,DEMANDS!$G$2:$CK$25,MATCH($E86,DEMANDS!$E$2:$E$25,0),FALSE)</f>
        <v>0.23100770504334786</v>
      </c>
      <c r="Q86" s="19">
        <f>HLOOKUP(REG_TRA_DEMANDS!Q$3,'BY-Demands'!$J$5:$AK$14,MATCH($E86,'BY-Demands'!$I$5:$I$14,0),FALSE)*HLOOKUP(REG_TRA_DEMANDS!$F86,DEMANDS!$G$2:$CK$25,MATCH($E86,DEMANDS!$E$2:$E$25,0),FALSE)/HLOOKUP(2018,DEMANDS!$G$2:$CK$25,MATCH($E86,DEMANDS!$E$2:$E$25,0),FALSE)</f>
        <v>0.46690502994852667</v>
      </c>
      <c r="R86" s="19">
        <f>HLOOKUP(REG_TRA_DEMANDS!R$3,'BY-Demands'!$J$5:$AK$14,MATCH($E86,'BY-Demands'!$I$5:$I$14,0),FALSE)*HLOOKUP(REG_TRA_DEMANDS!$F86,DEMANDS!$G$2:$CK$25,MATCH($E86,DEMANDS!$E$2:$E$25,0),FALSE)/HLOOKUP(2018,DEMANDS!$G$2:$CK$25,MATCH($E86,DEMANDS!$E$2:$E$25,0),FALSE)</f>
        <v>0.30801697677626777</v>
      </c>
      <c r="S86" s="19">
        <f>HLOOKUP(REG_TRA_DEMANDS!S$3,'BY-Demands'!$J$5:$AK$14,MATCH($E86,'BY-Demands'!$I$5:$I$14,0),FALSE)*HLOOKUP(REG_TRA_DEMANDS!$F86,DEMANDS!$G$2:$CK$25,MATCH($E86,DEMANDS!$E$2:$E$25,0),FALSE)/HLOOKUP(2018,DEMANDS!$G$2:$CK$25,MATCH($E86,DEMANDS!$E$2:$E$25,0),FALSE)</f>
        <v>0.3031048760629107</v>
      </c>
      <c r="T86" s="19">
        <f>HLOOKUP(REG_TRA_DEMANDS!T$3,'BY-Demands'!$J$5:$AK$14,MATCH($E86,'BY-Demands'!$I$5:$I$14,0),FALSE)*HLOOKUP(REG_TRA_DEMANDS!$F86,DEMANDS!$G$2:$CK$25,MATCH($E86,DEMANDS!$E$2:$E$25,0),FALSE)/HLOOKUP(2018,DEMANDS!$G$2:$CK$25,MATCH($E86,DEMANDS!$E$2:$E$25,0),FALSE)</f>
        <v>1.6217765419671932</v>
      </c>
      <c r="U86" s="19">
        <f>HLOOKUP(REG_TRA_DEMANDS!U$3,'BY-Demands'!$J$5:$AK$14,MATCH($E86,'BY-Demands'!$I$5:$I$14,0),FALSE)*HLOOKUP(REG_TRA_DEMANDS!$F86,DEMANDS!$G$2:$CK$25,MATCH($E86,DEMANDS!$E$2:$E$25,0),FALSE)/HLOOKUP(2018,DEMANDS!$G$2:$CK$25,MATCH($E86,DEMANDS!$E$2:$E$25,0),FALSE)</f>
        <v>0.44126334152012564</v>
      </c>
      <c r="V86" s="19">
        <f>HLOOKUP(REG_TRA_DEMANDS!V$3,'BY-Demands'!$J$5:$AK$14,MATCH($E86,'BY-Demands'!$I$5:$I$14,0),FALSE)*HLOOKUP(REG_TRA_DEMANDS!$F86,DEMANDS!$G$2:$CK$25,MATCH($E86,DEMANDS!$E$2:$E$25,0),FALSE)/HLOOKUP(2018,DEMANDS!$G$2:$CK$25,MATCH($E86,DEMANDS!$E$2:$E$25,0),FALSE)</f>
        <v>0.49719179275512204</v>
      </c>
      <c r="W86" s="19">
        <f>HLOOKUP(REG_TRA_DEMANDS!W$3,'BY-Demands'!$J$5:$AK$14,MATCH($E86,'BY-Demands'!$I$5:$I$14,0),FALSE)*HLOOKUP(REG_TRA_DEMANDS!$F86,DEMANDS!$G$2:$CK$25,MATCH($E86,DEMANDS!$E$2:$E$25,0),FALSE)/HLOOKUP(2018,DEMANDS!$G$2:$CK$25,MATCH($E86,DEMANDS!$E$2:$E$25,0),FALSE)</f>
        <v>0.40702334085581721</v>
      </c>
      <c r="X86" s="19">
        <f>HLOOKUP(REG_TRA_DEMANDS!X$3,'BY-Demands'!$J$5:$AK$14,MATCH($E86,'BY-Demands'!$I$5:$I$14,0),FALSE)*HLOOKUP(REG_TRA_DEMANDS!$F86,DEMANDS!$G$2:$CK$25,MATCH($E86,DEMANDS!$E$2:$E$25,0),FALSE)/HLOOKUP(2018,DEMANDS!$G$2:$CK$25,MATCH($E86,DEMANDS!$E$2:$E$25,0),FALSE)</f>
        <v>0.37806966606690923</v>
      </c>
      <c r="Y86" s="19">
        <f>HLOOKUP(REG_TRA_DEMANDS!Y$3,'BY-Demands'!$J$5:$AK$14,MATCH($E86,'BY-Demands'!$I$5:$I$14,0),FALSE)*HLOOKUP(REG_TRA_DEMANDS!$F86,DEMANDS!$G$2:$CK$25,MATCH($E86,DEMANDS!$E$2:$E$25,0),FALSE)/HLOOKUP(2018,DEMANDS!$G$2:$CK$25,MATCH($E86,DEMANDS!$E$2:$E$25,0),FALSE)</f>
        <v>0.60370183256415433</v>
      </c>
      <c r="Z86" s="19">
        <f>HLOOKUP(REG_TRA_DEMANDS!Z$3,'BY-Demands'!$J$5:$AK$14,MATCH($E86,'BY-Demands'!$I$5:$I$14,0),FALSE)*HLOOKUP(REG_TRA_DEMANDS!$F86,DEMANDS!$G$2:$CK$25,MATCH($E86,DEMANDS!$E$2:$E$25,0),FALSE)/HLOOKUP(2018,DEMANDS!$G$2:$CK$25,MATCH($E86,DEMANDS!$E$2:$E$25,0),FALSE)</f>
        <v>0.080512210182964394</v>
      </c>
      <c r="AA86" s="19">
        <f>HLOOKUP(REG_TRA_DEMANDS!AA$3,'BY-Demands'!$J$5:$AK$14,MATCH($E86,'BY-Demands'!$I$5:$I$14,0),FALSE)*HLOOKUP(REG_TRA_DEMANDS!$F86,DEMANDS!$G$2:$CK$25,MATCH($E86,DEMANDS!$E$2:$E$25,0),FALSE)/HLOOKUP(2018,DEMANDS!$G$2:$CK$25,MATCH($E86,DEMANDS!$E$2:$E$25,0),FALSE)</f>
        <v>0.3400183044695505</v>
      </c>
      <c r="AB86" s="19">
        <f>HLOOKUP(REG_TRA_DEMANDS!AB$3,'BY-Demands'!$J$5:$AK$14,MATCH($E86,'BY-Demands'!$I$5:$I$14,0),FALSE)*HLOOKUP(REG_TRA_DEMANDS!$F86,DEMANDS!$G$2:$CK$25,MATCH($E86,DEMANDS!$E$2:$E$25,0),FALSE)/HLOOKUP(2018,DEMANDS!$G$2:$CK$25,MATCH($E86,DEMANDS!$E$2:$E$25,0),FALSE)</f>
        <v>0.15099447054933643</v>
      </c>
      <c r="AC86" s="19">
        <f>HLOOKUP(REG_TRA_DEMANDS!AC$3,'BY-Demands'!$J$5:$AK$14,MATCH($E86,'BY-Demands'!$I$5:$I$14,0),FALSE)*HLOOKUP(REG_TRA_DEMANDS!$F86,DEMANDS!$G$2:$CK$25,MATCH($E86,DEMANDS!$E$2:$E$25,0),FALSE)/HLOOKUP(2018,DEMANDS!$G$2:$CK$25,MATCH($E86,DEMANDS!$E$2:$E$25,0),FALSE)</f>
        <v>0.16466008283424605</v>
      </c>
      <c r="AD86" s="19">
        <f>HLOOKUP(REG_TRA_DEMANDS!AD$3,'BY-Demands'!$J$5:$AK$14,MATCH($E86,'BY-Demands'!$I$5:$I$14,0),FALSE)*HLOOKUP(REG_TRA_DEMANDS!$F86,DEMANDS!$G$2:$CK$25,MATCH($E86,DEMANDS!$E$2:$E$25,0),FALSE)/HLOOKUP(2018,DEMANDS!$G$2:$CK$25,MATCH($E86,DEMANDS!$E$2:$E$25,0),FALSE)</f>
        <v>0.19139614663891835</v>
      </c>
      <c r="AE86" s="19">
        <f>HLOOKUP(REG_TRA_DEMANDS!AE$3,'BY-Demands'!$J$5:$AK$14,MATCH($E86,'BY-Demands'!$I$5:$I$14,0),FALSE)*HLOOKUP(REG_TRA_DEMANDS!$F86,DEMANDS!$G$2:$CK$25,MATCH($E86,DEMANDS!$E$2:$E$25,0),FALSE)/HLOOKUP(2018,DEMANDS!$G$2:$CK$25,MATCH($E86,DEMANDS!$E$2:$E$25,0),FALSE)</f>
        <v>0.39997814765467676</v>
      </c>
      <c r="AF86" s="19">
        <f>HLOOKUP(REG_TRA_DEMANDS!AF$3,'BY-Demands'!$J$5:$AK$14,MATCH($E86,'BY-Demands'!$I$5:$I$14,0),FALSE)*HLOOKUP(REG_TRA_DEMANDS!$F86,DEMANDS!$G$2:$CK$25,MATCH($E86,DEMANDS!$E$2:$E$25,0),FALSE)/HLOOKUP(2018,DEMANDS!$G$2:$CK$25,MATCH($E86,DEMANDS!$E$2:$E$25,0),FALSE)</f>
        <v>0.15423550537671535</v>
      </c>
    </row>
    <row r="87" spans="4:32" ht="14.5">
      <c r="D87" t="s">
        <v>6</v>
      </c>
      <c r="E87" t="str">
        <f>DEMANDS!$E$20</f>
        <v>TRAF</v>
      </c>
      <c r="F87">
        <v>2022</v>
      </c>
      <c r="G87" s="19">
        <f>HLOOKUP(REG_TRA_DEMANDS!G$3,'BY-Demands'!$J$5:$AK$14,MATCH($E87,'BY-Demands'!$I$5:$I$14,0),FALSE)*HLOOKUP(REG_TRA_DEMANDS!$F87,DEMANDS!$G$2:$CK$25,MATCH($E87,DEMANDS!$E$2:$E$25,0),FALSE)/HLOOKUP(2018,DEMANDS!$G$2:$CK$25,MATCH($E87,DEMANDS!$E$2:$E$25,0),FALSE)</f>
        <v>0.18086047544281453</v>
      </c>
      <c r="H87" s="19">
        <f>HLOOKUP(REG_TRA_DEMANDS!H$3,'BY-Demands'!$J$5:$AK$14,MATCH($E87,'BY-Demands'!$I$5:$I$14,0),FALSE)*HLOOKUP(REG_TRA_DEMANDS!$F87,DEMANDS!$G$2:$CK$25,MATCH($E87,DEMANDS!$E$2:$E$25,0),FALSE)/HLOOKUP(2018,DEMANDS!$G$2:$CK$25,MATCH($E87,DEMANDS!$E$2:$E$25,0),FALSE)</f>
        <v>2.7012955487180546</v>
      </c>
      <c r="I87" s="19">
        <f>HLOOKUP(REG_TRA_DEMANDS!I$3,'BY-Demands'!$J$5:$AK$14,MATCH($E87,'BY-Demands'!$I$5:$I$14,0),FALSE)*HLOOKUP(REG_TRA_DEMANDS!$F87,DEMANDS!$G$2:$CK$25,MATCH($E87,DEMANDS!$E$2:$E$25,0),FALSE)/HLOOKUP(2018,DEMANDS!$G$2:$CK$25,MATCH($E87,DEMANDS!$E$2:$E$25,0),FALSE)</f>
        <v>0.49019688061357891</v>
      </c>
      <c r="J87" s="19">
        <f>HLOOKUP(REG_TRA_DEMANDS!J$3,'BY-Demands'!$J$5:$AK$14,MATCH($E87,'BY-Demands'!$I$5:$I$14,0),FALSE)*HLOOKUP(REG_TRA_DEMANDS!$F87,DEMANDS!$G$2:$CK$25,MATCH($E87,DEMANDS!$E$2:$E$25,0),FALSE)/HLOOKUP(2018,DEMANDS!$G$2:$CK$25,MATCH($E87,DEMANDS!$E$2:$E$25,0),FALSE)</f>
        <v>0.31523829654924035</v>
      </c>
      <c r="K87" s="19">
        <f>HLOOKUP(REG_TRA_DEMANDS!K$3,'BY-Demands'!$J$5:$AK$14,MATCH($E87,'BY-Demands'!$I$5:$I$14,0),FALSE)*HLOOKUP(REG_TRA_DEMANDS!$F87,DEMANDS!$G$2:$CK$25,MATCH($E87,DEMANDS!$E$2:$E$25,0),FALSE)/HLOOKUP(2018,DEMANDS!$G$2:$CK$25,MATCH($E87,DEMANDS!$E$2:$E$25,0),FALSE)</f>
        <v>0.22452906517659446</v>
      </c>
      <c r="L87" s="19">
        <f>HLOOKUP(REG_TRA_DEMANDS!L$3,'BY-Demands'!$J$5:$AK$14,MATCH($E87,'BY-Demands'!$I$5:$I$14,0),FALSE)*HLOOKUP(REG_TRA_DEMANDS!$F87,DEMANDS!$G$2:$CK$25,MATCH($E87,DEMANDS!$E$2:$E$25,0),FALSE)/HLOOKUP(2018,DEMANDS!$G$2:$CK$25,MATCH($E87,DEMANDS!$E$2:$E$25,0),FALSE)</f>
        <v>0.10835302880813938</v>
      </c>
      <c r="M87" s="19">
        <f>HLOOKUP(REG_TRA_DEMANDS!M$3,'BY-Demands'!$J$5:$AK$14,MATCH($E87,'BY-Demands'!$I$5:$I$14,0),FALSE)*HLOOKUP(REG_TRA_DEMANDS!$F87,DEMANDS!$G$2:$CK$25,MATCH($E87,DEMANDS!$E$2:$E$25,0),FALSE)/HLOOKUP(2018,DEMANDS!$G$2:$CK$25,MATCH($E87,DEMANDS!$E$2:$E$25,0),FALSE)</f>
        <v>0.28394336623611505</v>
      </c>
      <c r="N87" s="19">
        <f>HLOOKUP(REG_TRA_DEMANDS!N$3,'BY-Demands'!$J$5:$AK$14,MATCH($E87,'BY-Demands'!$I$5:$I$14,0),FALSE)*HLOOKUP(REG_TRA_DEMANDS!$F87,DEMANDS!$G$2:$CK$25,MATCH($E87,DEMANDS!$E$2:$E$25,0),FALSE)/HLOOKUP(2018,DEMANDS!$G$2:$CK$25,MATCH($E87,DEMANDS!$E$2:$E$25,0),FALSE)</f>
        <v>0.43934323256354924</v>
      </c>
      <c r="O87" s="19">
        <f>HLOOKUP(REG_TRA_DEMANDS!O$3,'BY-Demands'!$J$5:$AK$14,MATCH($E87,'BY-Demands'!$I$5:$I$14,0),FALSE)*HLOOKUP(REG_TRA_DEMANDS!$F87,DEMANDS!$G$2:$CK$25,MATCH($E87,DEMANDS!$E$2:$E$25,0),FALSE)/HLOOKUP(2018,DEMANDS!$G$2:$CK$25,MATCH($E87,DEMANDS!$E$2:$E$25,0),FALSE)</f>
        <v>0.20667214246351648</v>
      </c>
      <c r="P87" s="19">
        <f>HLOOKUP(REG_TRA_DEMANDS!P$3,'BY-Demands'!$J$5:$AK$14,MATCH($E87,'BY-Demands'!$I$5:$I$14,0),FALSE)*HLOOKUP(REG_TRA_DEMANDS!$F87,DEMANDS!$G$2:$CK$25,MATCH($E87,DEMANDS!$E$2:$E$25,0),FALSE)/HLOOKUP(2018,DEMANDS!$G$2:$CK$25,MATCH($E87,DEMANDS!$E$2:$E$25,0),FALSE)</f>
        <v>0.2353264592101999</v>
      </c>
      <c r="Q87" s="19">
        <f>HLOOKUP(REG_TRA_DEMANDS!Q$3,'BY-Demands'!$J$5:$AK$14,MATCH($E87,'BY-Demands'!$I$5:$I$14,0),FALSE)*HLOOKUP(REG_TRA_DEMANDS!$F87,DEMANDS!$G$2:$CK$25,MATCH($E87,DEMANDS!$E$2:$E$25,0),FALSE)/HLOOKUP(2018,DEMANDS!$G$2:$CK$25,MATCH($E87,DEMANDS!$E$2:$E$25,0),FALSE)</f>
        <v>0.47563395110393142</v>
      </c>
      <c r="R87" s="19">
        <f>HLOOKUP(REG_TRA_DEMANDS!R$3,'BY-Demands'!$J$5:$AK$14,MATCH($E87,'BY-Demands'!$I$5:$I$14,0),FALSE)*HLOOKUP(REG_TRA_DEMANDS!$F87,DEMANDS!$G$2:$CK$25,MATCH($E87,DEMANDS!$E$2:$E$25,0),FALSE)/HLOOKUP(2018,DEMANDS!$G$2:$CK$25,MATCH($E87,DEMANDS!$E$2:$E$25,0),FALSE)</f>
        <v>0.31377544098707866</v>
      </c>
      <c r="S87" s="19">
        <f>HLOOKUP(REG_TRA_DEMANDS!S$3,'BY-Demands'!$J$5:$AK$14,MATCH($E87,'BY-Demands'!$I$5:$I$14,0),FALSE)*HLOOKUP(REG_TRA_DEMANDS!$F87,DEMANDS!$G$2:$CK$25,MATCH($E87,DEMANDS!$E$2:$E$25,0),FALSE)/HLOOKUP(2018,DEMANDS!$G$2:$CK$25,MATCH($E87,DEMANDS!$E$2:$E$25,0),FALSE)</f>
        <v>0.30877150716616431</v>
      </c>
      <c r="T87" s="19">
        <f>HLOOKUP(REG_TRA_DEMANDS!T$3,'BY-Demands'!$J$5:$AK$14,MATCH($E87,'BY-Demands'!$I$5:$I$14,0),FALSE)*HLOOKUP(REG_TRA_DEMANDS!$F87,DEMANDS!$G$2:$CK$25,MATCH($E87,DEMANDS!$E$2:$E$25,0),FALSE)/HLOOKUP(2018,DEMANDS!$G$2:$CK$25,MATCH($E87,DEMANDS!$E$2:$E$25,0),FALSE)</f>
        <v>1.6520961115980388</v>
      </c>
      <c r="U87" s="19">
        <f>HLOOKUP(REG_TRA_DEMANDS!U$3,'BY-Demands'!$J$5:$AK$14,MATCH($E87,'BY-Demands'!$I$5:$I$14,0),FALSE)*HLOOKUP(REG_TRA_DEMANDS!$F87,DEMANDS!$G$2:$CK$25,MATCH($E87,DEMANDS!$E$2:$E$25,0),FALSE)/HLOOKUP(2018,DEMANDS!$G$2:$CK$25,MATCH($E87,DEMANDS!$E$2:$E$25,0),FALSE)</f>
        <v>0.44951288408197004</v>
      </c>
      <c r="V87" s="19">
        <f>HLOOKUP(REG_TRA_DEMANDS!V$3,'BY-Demands'!$J$5:$AK$14,MATCH($E87,'BY-Demands'!$I$5:$I$14,0),FALSE)*HLOOKUP(REG_TRA_DEMANDS!$F87,DEMANDS!$G$2:$CK$25,MATCH($E87,DEMANDS!$E$2:$E$25,0),FALSE)/HLOOKUP(2018,DEMANDS!$G$2:$CK$25,MATCH($E87,DEMANDS!$E$2:$E$25,0),FALSE)</f>
        <v>0.50648693347903373</v>
      </c>
      <c r="W87" s="19">
        <f>HLOOKUP(REG_TRA_DEMANDS!W$3,'BY-Demands'!$J$5:$AK$14,MATCH($E87,'BY-Demands'!$I$5:$I$14,0),FALSE)*HLOOKUP(REG_TRA_DEMANDS!$F87,DEMANDS!$G$2:$CK$25,MATCH($E87,DEMANDS!$E$2:$E$25,0),FALSE)/HLOOKUP(2018,DEMANDS!$G$2:$CK$25,MATCH($E87,DEMANDS!$E$2:$E$25,0),FALSE)</f>
        <v>0.41463275695298701</v>
      </c>
      <c r="X87" s="19">
        <f>HLOOKUP(REG_TRA_DEMANDS!X$3,'BY-Demands'!$J$5:$AK$14,MATCH($E87,'BY-Demands'!$I$5:$I$14,0),FALSE)*HLOOKUP(REG_TRA_DEMANDS!$F87,DEMANDS!$G$2:$CK$25,MATCH($E87,DEMANDS!$E$2:$E$25,0),FALSE)/HLOOKUP(2018,DEMANDS!$G$2:$CK$25,MATCH($E87,DEMANDS!$E$2:$E$25,0),FALSE)</f>
        <v>0.38513778505186008</v>
      </c>
      <c r="Y87" s="19">
        <f>HLOOKUP(REG_TRA_DEMANDS!Y$3,'BY-Demands'!$J$5:$AK$14,MATCH($E87,'BY-Demands'!$I$5:$I$14,0),FALSE)*HLOOKUP(REG_TRA_DEMANDS!$F87,DEMANDS!$G$2:$CK$25,MATCH($E87,DEMANDS!$E$2:$E$25,0),FALSE)/HLOOKUP(2018,DEMANDS!$G$2:$CK$25,MATCH($E87,DEMANDS!$E$2:$E$25,0),FALSE)</f>
        <v>0.6149882085074736</v>
      </c>
      <c r="Z87" s="19">
        <f>HLOOKUP(REG_TRA_DEMANDS!Z$3,'BY-Demands'!$J$5:$AK$14,MATCH($E87,'BY-Demands'!$I$5:$I$14,0),FALSE)*HLOOKUP(REG_TRA_DEMANDS!$F87,DEMANDS!$G$2:$CK$25,MATCH($E87,DEMANDS!$E$2:$E$25,0),FALSE)/HLOOKUP(2018,DEMANDS!$G$2:$CK$25,MATCH($E87,DEMANDS!$E$2:$E$25,0),FALSE)</f>
        <v>0.082017408648725088</v>
      </c>
      <c r="AA87" s="19">
        <f>HLOOKUP(REG_TRA_DEMANDS!AA$3,'BY-Demands'!$J$5:$AK$14,MATCH($E87,'BY-Demands'!$I$5:$I$14,0),FALSE)*HLOOKUP(REG_TRA_DEMANDS!$F87,DEMANDS!$G$2:$CK$25,MATCH($E87,DEMANDS!$E$2:$E$25,0),FALSE)/HLOOKUP(2018,DEMANDS!$G$2:$CK$25,MATCH($E87,DEMANDS!$E$2:$E$25,0),FALSE)</f>
        <v>0.34637504252276086</v>
      </c>
      <c r="AB87" s="19">
        <f>HLOOKUP(REG_TRA_DEMANDS!AB$3,'BY-Demands'!$J$5:$AK$14,MATCH($E87,'BY-Demands'!$I$5:$I$14,0),FALSE)*HLOOKUP(REG_TRA_DEMANDS!$F87,DEMANDS!$G$2:$CK$25,MATCH($E87,DEMANDS!$E$2:$E$25,0),FALSE)/HLOOKUP(2018,DEMANDS!$G$2:$CK$25,MATCH($E87,DEMANDS!$E$2:$E$25,0),FALSE)</f>
        <v>0.153817354741594</v>
      </c>
      <c r="AC87" s="19">
        <f>HLOOKUP(REG_TRA_DEMANDS!AC$3,'BY-Demands'!$J$5:$AK$14,MATCH($E87,'BY-Demands'!$I$5:$I$14,0),FALSE)*HLOOKUP(REG_TRA_DEMANDS!$F87,DEMANDS!$G$2:$CK$25,MATCH($E87,DEMANDS!$E$2:$E$25,0),FALSE)/HLOOKUP(2018,DEMANDS!$G$2:$CK$25,MATCH($E87,DEMANDS!$E$2:$E$25,0),FALSE)</f>
        <v>0.16773844950050576</v>
      </c>
      <c r="AD87" s="19">
        <f>HLOOKUP(REG_TRA_DEMANDS!AD$3,'BY-Demands'!$J$5:$AK$14,MATCH($E87,'BY-Demands'!$I$5:$I$14,0),FALSE)*HLOOKUP(REG_TRA_DEMANDS!$F87,DEMANDS!$G$2:$CK$25,MATCH($E87,DEMANDS!$E$2:$E$25,0),FALSE)/HLOOKUP(2018,DEMANDS!$G$2:$CK$25,MATCH($E87,DEMANDS!$E$2:$E$25,0),FALSE)</f>
        <v>0.19497435155490217</v>
      </c>
      <c r="AE87" s="19">
        <f>HLOOKUP(REG_TRA_DEMANDS!AE$3,'BY-Demands'!$J$5:$AK$14,MATCH($E87,'BY-Demands'!$I$5:$I$14,0),FALSE)*HLOOKUP(REG_TRA_DEMANDS!$F87,DEMANDS!$G$2:$CK$25,MATCH($E87,DEMANDS!$E$2:$E$25,0),FALSE)/HLOOKUP(2018,DEMANDS!$G$2:$CK$25,MATCH($E87,DEMANDS!$E$2:$E$25,0),FALSE)</f>
        <v>0.40745585187891131</v>
      </c>
      <c r="AF87" s="19">
        <f>HLOOKUP(REG_TRA_DEMANDS!AF$3,'BY-Demands'!$J$5:$AK$14,MATCH($E87,'BY-Demands'!$I$5:$I$14,0),FALSE)*HLOOKUP(REG_TRA_DEMANDS!$F87,DEMANDS!$G$2:$CK$25,MATCH($E87,DEMANDS!$E$2:$E$25,0),FALSE)/HLOOKUP(2018,DEMANDS!$G$2:$CK$25,MATCH($E87,DEMANDS!$E$2:$E$25,0),FALSE)</f>
        <v>0.15711898162871837</v>
      </c>
    </row>
    <row r="88" spans="4:32" ht="14.5">
      <c r="D88" t="s">
        <v>6</v>
      </c>
      <c r="E88" t="str">
        <f>DEMANDS!$E$20</f>
        <v>TRAF</v>
      </c>
      <c r="F88">
        <v>2023</v>
      </c>
      <c r="G88" s="19">
        <f>HLOOKUP(REG_TRA_DEMANDS!G$3,'BY-Demands'!$J$5:$AK$14,MATCH($E88,'BY-Demands'!$I$5:$I$14,0),FALSE)*HLOOKUP(REG_TRA_DEMANDS!$F88,DEMANDS!$G$2:$CK$25,MATCH($E88,DEMANDS!$E$2:$E$25,0),FALSE)/HLOOKUP(2018,DEMANDS!$G$2:$CK$25,MATCH($E88,DEMANDS!$E$2:$E$25,0),FALSE)</f>
        <v>0.20339128350559066</v>
      </c>
      <c r="H88" s="19">
        <f>HLOOKUP(REG_TRA_DEMANDS!H$3,'BY-Demands'!$J$5:$AK$14,MATCH($E88,'BY-Demands'!$I$5:$I$14,0),FALSE)*HLOOKUP(REG_TRA_DEMANDS!$F88,DEMANDS!$G$2:$CK$25,MATCH($E88,DEMANDS!$E$2:$E$25,0),FALSE)/HLOOKUP(2018,DEMANDS!$G$2:$CK$25,MATCH($E88,DEMANDS!$E$2:$E$25,0),FALSE)</f>
        <v>3.0378111493764286</v>
      </c>
      <c r="I88" s="19">
        <f>HLOOKUP(REG_TRA_DEMANDS!I$3,'BY-Demands'!$J$5:$AK$14,MATCH($E88,'BY-Demands'!$I$5:$I$14,0),FALSE)*HLOOKUP(REG_TRA_DEMANDS!$F88,DEMANDS!$G$2:$CK$25,MATCH($E88,DEMANDS!$E$2:$E$25,0),FALSE)/HLOOKUP(2018,DEMANDS!$G$2:$CK$25,MATCH($E88,DEMANDS!$E$2:$E$25,0),FALSE)</f>
        <v>0.55126346690356265</v>
      </c>
      <c r="J88" s="19">
        <f>HLOOKUP(REG_TRA_DEMANDS!J$3,'BY-Demands'!$J$5:$AK$14,MATCH($E88,'BY-Demands'!$I$5:$I$14,0),FALSE)*HLOOKUP(REG_TRA_DEMANDS!$F88,DEMANDS!$G$2:$CK$25,MATCH($E88,DEMANDS!$E$2:$E$25,0),FALSE)/HLOOKUP(2018,DEMANDS!$G$2:$CK$25,MATCH($E88,DEMANDS!$E$2:$E$25,0),FALSE)</f>
        <v>0.35450930662591773</v>
      </c>
      <c r="K88" s="19">
        <f>HLOOKUP(REG_TRA_DEMANDS!K$3,'BY-Demands'!$J$5:$AK$14,MATCH($E88,'BY-Demands'!$I$5:$I$14,0),FALSE)*HLOOKUP(REG_TRA_DEMANDS!$F88,DEMANDS!$G$2:$CK$25,MATCH($E88,DEMANDS!$E$2:$E$25,0),FALSE)/HLOOKUP(2018,DEMANDS!$G$2:$CK$25,MATCH($E88,DEMANDS!$E$2:$E$25,0),FALSE)</f>
        <v>0.25249991541140943</v>
      </c>
      <c r="L88" s="19">
        <f>HLOOKUP(REG_TRA_DEMANDS!L$3,'BY-Demands'!$J$5:$AK$14,MATCH($E88,'BY-Demands'!$I$5:$I$14,0),FALSE)*HLOOKUP(REG_TRA_DEMANDS!$F88,DEMANDS!$G$2:$CK$25,MATCH($E88,DEMANDS!$E$2:$E$25,0),FALSE)/HLOOKUP(2018,DEMANDS!$G$2:$CK$25,MATCH($E88,DEMANDS!$E$2:$E$25,0),FALSE)</f>
        <v>0.12185117586940007</v>
      </c>
      <c r="M88" s="19">
        <f>HLOOKUP(REG_TRA_DEMANDS!M$3,'BY-Demands'!$J$5:$AK$14,MATCH($E88,'BY-Demands'!$I$5:$I$14,0),FALSE)*HLOOKUP(REG_TRA_DEMANDS!$F88,DEMANDS!$G$2:$CK$25,MATCH($E88,DEMANDS!$E$2:$E$25,0),FALSE)/HLOOKUP(2018,DEMANDS!$G$2:$CK$25,MATCH($E88,DEMANDS!$E$2:$E$25,0),FALSE)</f>
        <v>0.31931579058533249</v>
      </c>
      <c r="N88" s="19">
        <f>HLOOKUP(REG_TRA_DEMANDS!N$3,'BY-Demands'!$J$5:$AK$14,MATCH($E88,'BY-Demands'!$I$5:$I$14,0),FALSE)*HLOOKUP(REG_TRA_DEMANDS!$F88,DEMANDS!$G$2:$CK$25,MATCH($E88,DEMANDS!$E$2:$E$25,0),FALSE)/HLOOKUP(2018,DEMANDS!$G$2:$CK$25,MATCH($E88,DEMANDS!$E$2:$E$25,0),FALSE)</f>
        <v>0.49407469349957212</v>
      </c>
      <c r="O88" s="19">
        <f>HLOOKUP(REG_TRA_DEMANDS!O$3,'BY-Demands'!$J$5:$AK$14,MATCH($E88,'BY-Demands'!$I$5:$I$14,0),FALSE)*HLOOKUP(REG_TRA_DEMANDS!$F88,DEMANDS!$G$2:$CK$25,MATCH($E88,DEMANDS!$E$2:$E$25,0),FALSE)/HLOOKUP(2018,DEMANDS!$G$2:$CK$25,MATCH($E88,DEMANDS!$E$2:$E$25,0),FALSE)</f>
        <v>0.23241845526274671</v>
      </c>
      <c r="P88" s="19">
        <f>HLOOKUP(REG_TRA_DEMANDS!P$3,'BY-Demands'!$J$5:$AK$14,MATCH($E88,'BY-Demands'!$I$5:$I$14,0),FALSE)*HLOOKUP(REG_TRA_DEMANDS!$F88,DEMANDS!$G$2:$CK$25,MATCH($E88,DEMANDS!$E$2:$E$25,0),FALSE)/HLOOKUP(2018,DEMANDS!$G$2:$CK$25,MATCH($E88,DEMANDS!$E$2:$E$25,0),FALSE)</f>
        <v>0.26464240163253511</v>
      </c>
      <c r="Q88" s="19">
        <f>HLOOKUP(REG_TRA_DEMANDS!Q$3,'BY-Demands'!$J$5:$AK$14,MATCH($E88,'BY-Demands'!$I$5:$I$14,0),FALSE)*HLOOKUP(REG_TRA_DEMANDS!$F88,DEMANDS!$G$2:$CK$25,MATCH($E88,DEMANDS!$E$2:$E$25,0),FALSE)/HLOOKUP(2018,DEMANDS!$G$2:$CK$25,MATCH($E88,DEMANDS!$E$2:$E$25,0),FALSE)</f>
        <v>0.53488635124401007</v>
      </c>
      <c r="R88" s="19">
        <f>HLOOKUP(REG_TRA_DEMANDS!R$3,'BY-Demands'!$J$5:$AK$14,MATCH($E88,'BY-Demands'!$I$5:$I$14,0),FALSE)*HLOOKUP(REG_TRA_DEMANDS!$F88,DEMANDS!$G$2:$CK$25,MATCH($E88,DEMANDS!$E$2:$E$25,0),FALSE)/HLOOKUP(2018,DEMANDS!$G$2:$CK$25,MATCH($E88,DEMANDS!$E$2:$E$25,0),FALSE)</f>
        <v>0.35286421490732695</v>
      </c>
      <c r="S88" s="19">
        <f>HLOOKUP(REG_TRA_DEMANDS!S$3,'BY-Demands'!$J$5:$AK$14,MATCH($E88,'BY-Demands'!$I$5:$I$14,0),FALSE)*HLOOKUP(REG_TRA_DEMANDS!$F88,DEMANDS!$G$2:$CK$25,MATCH($E88,DEMANDS!$E$2:$E$25,0),FALSE)/HLOOKUP(2018,DEMANDS!$G$2:$CK$25,MATCH($E88,DEMANDS!$E$2:$E$25,0),FALSE)</f>
        <v>0.34723691286733754</v>
      </c>
      <c r="T88" s="19">
        <f>HLOOKUP(REG_TRA_DEMANDS!T$3,'BY-Demands'!$J$5:$AK$14,MATCH($E88,'BY-Demands'!$I$5:$I$14,0),FALSE)*HLOOKUP(REG_TRA_DEMANDS!$F88,DEMANDS!$G$2:$CK$25,MATCH($E88,DEMANDS!$E$2:$E$25,0),FALSE)/HLOOKUP(2018,DEMANDS!$G$2:$CK$25,MATCH($E88,DEMANDS!$E$2:$E$25,0),FALSE)</f>
        <v>1.8579070291052393</v>
      </c>
      <c r="U88" s="19">
        <f>HLOOKUP(REG_TRA_DEMANDS!U$3,'BY-Demands'!$J$5:$AK$14,MATCH($E88,'BY-Demands'!$I$5:$I$14,0),FALSE)*HLOOKUP(REG_TRA_DEMANDS!$F88,DEMANDS!$G$2:$CK$25,MATCH($E88,DEMANDS!$E$2:$E$25,0),FALSE)/HLOOKUP(2018,DEMANDS!$G$2:$CK$25,MATCH($E88,DEMANDS!$E$2:$E$25,0),FALSE)</f>
        <v>0.50551123578484436</v>
      </c>
      <c r="V88" s="19">
        <f>HLOOKUP(REG_TRA_DEMANDS!V$3,'BY-Demands'!$J$5:$AK$14,MATCH($E88,'BY-Demands'!$I$5:$I$14,0),FALSE)*HLOOKUP(REG_TRA_DEMANDS!$F88,DEMANDS!$G$2:$CK$25,MATCH($E88,DEMANDS!$E$2:$E$25,0),FALSE)/HLOOKUP(2018,DEMANDS!$G$2:$CK$25,MATCH($E88,DEMANDS!$E$2:$E$25,0),FALSE)</f>
        <v>0.56958286340280717</v>
      </c>
      <c r="W88" s="19">
        <f>HLOOKUP(REG_TRA_DEMANDS!W$3,'BY-Demands'!$J$5:$AK$14,MATCH($E88,'BY-Demands'!$I$5:$I$14,0),FALSE)*HLOOKUP(REG_TRA_DEMANDS!$F88,DEMANDS!$G$2:$CK$25,MATCH($E88,DEMANDS!$E$2:$E$25,0),FALSE)/HLOOKUP(2018,DEMANDS!$G$2:$CK$25,MATCH($E88,DEMANDS!$E$2:$E$25,0),FALSE)</f>
        <v>0.4662858947686136</v>
      </c>
      <c r="X88" s="19">
        <f>HLOOKUP(REG_TRA_DEMANDS!X$3,'BY-Demands'!$J$5:$AK$14,MATCH($E88,'BY-Demands'!$I$5:$I$14,0),FALSE)*HLOOKUP(REG_TRA_DEMANDS!$F88,DEMANDS!$G$2:$CK$25,MATCH($E88,DEMANDS!$E$2:$E$25,0),FALSE)/HLOOKUP(2018,DEMANDS!$G$2:$CK$25,MATCH($E88,DEMANDS!$E$2:$E$25,0),FALSE)</f>
        <v>0.43311656809708032</v>
      </c>
      <c r="Y88" s="19">
        <f>HLOOKUP(REG_TRA_DEMANDS!Y$3,'BY-Demands'!$J$5:$AK$14,MATCH($E88,'BY-Demands'!$I$5:$I$14,0),FALSE)*HLOOKUP(REG_TRA_DEMANDS!$F88,DEMANDS!$G$2:$CK$25,MATCH($E88,DEMANDS!$E$2:$E$25,0),FALSE)/HLOOKUP(2018,DEMANDS!$G$2:$CK$25,MATCH($E88,DEMANDS!$E$2:$E$25,0),FALSE)</f>
        <v>0.6916007533591183</v>
      </c>
      <c r="Z88" s="19">
        <f>HLOOKUP(REG_TRA_DEMANDS!Z$3,'BY-Demands'!$J$5:$AK$14,MATCH($E88,'BY-Demands'!$I$5:$I$14,0),FALSE)*HLOOKUP(REG_TRA_DEMANDS!$F88,DEMANDS!$G$2:$CK$25,MATCH($E88,DEMANDS!$E$2:$E$25,0),FALSE)/HLOOKUP(2018,DEMANDS!$G$2:$CK$25,MATCH($E88,DEMANDS!$E$2:$E$25,0),FALSE)</f>
        <v>0.092234779180049284</v>
      </c>
      <c r="AA88" s="19">
        <f>HLOOKUP(REG_TRA_DEMANDS!AA$3,'BY-Demands'!$J$5:$AK$14,MATCH($E88,'BY-Demands'!$I$5:$I$14,0),FALSE)*HLOOKUP(REG_TRA_DEMANDS!$F88,DEMANDS!$G$2:$CK$25,MATCH($E88,DEMANDS!$E$2:$E$25,0),FALSE)/HLOOKUP(2018,DEMANDS!$G$2:$CK$25,MATCH($E88,DEMANDS!$E$2:$E$25,0),FALSE)</f>
        <v>0.38952493241279257</v>
      </c>
      <c r="AB88" s="19">
        <f>HLOOKUP(REG_TRA_DEMANDS!AB$3,'BY-Demands'!$J$5:$AK$14,MATCH($E88,'BY-Demands'!$I$5:$I$14,0),FALSE)*HLOOKUP(REG_TRA_DEMANDS!$F88,DEMANDS!$G$2:$CK$25,MATCH($E88,DEMANDS!$E$2:$E$25,0),FALSE)/HLOOKUP(2018,DEMANDS!$G$2:$CK$25,MATCH($E88,DEMANDS!$E$2:$E$25,0),FALSE)</f>
        <v>0.17297924894717778</v>
      </c>
      <c r="AC88" s="19">
        <f>HLOOKUP(REG_TRA_DEMANDS!AC$3,'BY-Demands'!$J$5:$AK$14,MATCH($E88,'BY-Demands'!$I$5:$I$14,0),FALSE)*HLOOKUP(REG_TRA_DEMANDS!$F88,DEMANDS!$G$2:$CK$25,MATCH($E88,DEMANDS!$E$2:$E$25,0),FALSE)/HLOOKUP(2018,DEMANDS!$G$2:$CK$25,MATCH($E88,DEMANDS!$E$2:$E$25,0),FALSE)</f>
        <v>0.18863457288617339</v>
      </c>
      <c r="AD88" s="19">
        <f>HLOOKUP(REG_TRA_DEMANDS!AD$3,'BY-Demands'!$J$5:$AK$14,MATCH($E88,'BY-Demands'!$I$5:$I$14,0),FALSE)*HLOOKUP(REG_TRA_DEMANDS!$F88,DEMANDS!$G$2:$CK$25,MATCH($E88,DEMANDS!$E$2:$E$25,0),FALSE)/HLOOKUP(2018,DEMANDS!$G$2:$CK$25,MATCH($E88,DEMANDS!$E$2:$E$25,0),FALSE)</f>
        <v>0.21926340465670446</v>
      </c>
      <c r="AE88" s="19">
        <f>HLOOKUP(REG_TRA_DEMANDS!AE$3,'BY-Demands'!$J$5:$AK$14,MATCH($E88,'BY-Demands'!$I$5:$I$14,0),FALSE)*HLOOKUP(REG_TRA_DEMANDS!$F88,DEMANDS!$G$2:$CK$25,MATCH($E88,DEMANDS!$E$2:$E$25,0),FALSE)/HLOOKUP(2018,DEMANDS!$G$2:$CK$25,MATCH($E88,DEMANDS!$E$2:$E$25,0),FALSE)</f>
        <v>0.45821492220791399</v>
      </c>
      <c r="AF88" s="19">
        <f>HLOOKUP(REG_TRA_DEMANDS!AF$3,'BY-Demands'!$J$5:$AK$14,MATCH($E88,'BY-Demands'!$I$5:$I$14,0),FALSE)*HLOOKUP(REG_TRA_DEMANDS!$F88,DEMANDS!$G$2:$CK$25,MATCH($E88,DEMANDS!$E$2:$E$25,0),FALSE)/HLOOKUP(2018,DEMANDS!$G$2:$CK$25,MATCH($E88,DEMANDS!$E$2:$E$25,0),FALSE)</f>
        <v>0.17669217809095369</v>
      </c>
    </row>
    <row r="89" spans="4:32" ht="14.5">
      <c r="D89" t="s">
        <v>6</v>
      </c>
      <c r="E89" t="str">
        <f>DEMANDS!$E$20</f>
        <v>TRAF</v>
      </c>
      <c r="F89">
        <v>2024</v>
      </c>
      <c r="G89" s="19">
        <f>HLOOKUP(REG_TRA_DEMANDS!G$3,'BY-Demands'!$J$5:$AK$14,MATCH($E89,'BY-Demands'!$I$5:$I$14,0),FALSE)*HLOOKUP(REG_TRA_DEMANDS!$F89,DEMANDS!$G$2:$CK$25,MATCH($E89,DEMANDS!$E$2:$E$25,0),FALSE)/HLOOKUP(2018,DEMANDS!$G$2:$CK$25,MATCH($E89,DEMANDS!$E$2:$E$25,0),FALSE)</f>
        <v>0.2329960147714043</v>
      </c>
      <c r="H89" s="19">
        <f>HLOOKUP(REG_TRA_DEMANDS!H$3,'BY-Demands'!$J$5:$AK$14,MATCH($E89,'BY-Demands'!$I$5:$I$14,0),FALSE)*HLOOKUP(REG_TRA_DEMANDS!$F89,DEMANDS!$G$2:$CK$25,MATCH($E89,DEMANDS!$E$2:$E$25,0),FALSE)/HLOOKUP(2018,DEMANDS!$G$2:$CK$25,MATCH($E89,DEMANDS!$E$2:$E$25,0),FALSE)</f>
        <v>3.4799814388967749</v>
      </c>
      <c r="I89" s="19">
        <f>HLOOKUP(REG_TRA_DEMANDS!I$3,'BY-Demands'!$J$5:$AK$14,MATCH($E89,'BY-Demands'!$I$5:$I$14,0),FALSE)*HLOOKUP(REG_TRA_DEMANDS!$F89,DEMANDS!$G$2:$CK$25,MATCH($E89,DEMANDS!$E$2:$E$25,0),FALSE)/HLOOKUP(2018,DEMANDS!$G$2:$CK$25,MATCH($E89,DEMANDS!$E$2:$E$25,0),FALSE)</f>
        <v>0.63150292708619216</v>
      </c>
      <c r="J89" s="19">
        <f>HLOOKUP(REG_TRA_DEMANDS!J$3,'BY-Demands'!$J$5:$AK$14,MATCH($E89,'BY-Demands'!$I$5:$I$14,0),FALSE)*HLOOKUP(REG_TRA_DEMANDS!$F89,DEMANDS!$G$2:$CK$25,MATCH($E89,DEMANDS!$E$2:$E$25,0),FALSE)/HLOOKUP(2018,DEMANDS!$G$2:$CK$25,MATCH($E89,DEMANDS!$E$2:$E$25,0),FALSE)</f>
        <v>0.40611010570146788</v>
      </c>
      <c r="K89" s="19">
        <f>HLOOKUP(REG_TRA_DEMANDS!K$3,'BY-Demands'!$J$5:$AK$14,MATCH($E89,'BY-Demands'!$I$5:$I$14,0),FALSE)*HLOOKUP(REG_TRA_DEMANDS!$F89,DEMANDS!$G$2:$CK$25,MATCH($E89,DEMANDS!$E$2:$E$25,0),FALSE)/HLOOKUP(2018,DEMANDS!$G$2:$CK$25,MATCH($E89,DEMANDS!$E$2:$E$25,0),FALSE)</f>
        <v>0.2892526808768478</v>
      </c>
      <c r="L89" s="19">
        <f>HLOOKUP(REG_TRA_DEMANDS!L$3,'BY-Demands'!$J$5:$AK$14,MATCH($E89,'BY-Demands'!$I$5:$I$14,0),FALSE)*HLOOKUP(REG_TRA_DEMANDS!$F89,DEMANDS!$G$2:$CK$25,MATCH($E89,DEMANDS!$E$2:$E$25,0),FALSE)/HLOOKUP(2018,DEMANDS!$G$2:$CK$25,MATCH($E89,DEMANDS!$E$2:$E$25,0),FALSE)</f>
        <v>0.13958729146816826</v>
      </c>
      <c r="M89" s="19">
        <f>HLOOKUP(REG_TRA_DEMANDS!M$3,'BY-Demands'!$J$5:$AK$14,MATCH($E89,'BY-Demands'!$I$5:$I$14,0),FALSE)*HLOOKUP(REG_TRA_DEMANDS!$F89,DEMANDS!$G$2:$CK$25,MATCH($E89,DEMANDS!$E$2:$E$25,0),FALSE)/HLOOKUP(2018,DEMANDS!$G$2:$CK$25,MATCH($E89,DEMANDS!$E$2:$E$25,0),FALSE)</f>
        <v>0.36579397788164181</v>
      </c>
      <c r="N89" s="19">
        <f>HLOOKUP(REG_TRA_DEMANDS!N$3,'BY-Demands'!$J$5:$AK$14,MATCH($E89,'BY-Demands'!$I$5:$I$14,0),FALSE)*HLOOKUP(REG_TRA_DEMANDS!$F89,DEMANDS!$G$2:$CK$25,MATCH($E89,DEMANDS!$E$2:$E$25,0),FALSE)/HLOOKUP(2018,DEMANDS!$G$2:$CK$25,MATCH($E89,DEMANDS!$E$2:$E$25,0),FALSE)</f>
        <v>0.56599000999784299</v>
      </c>
      <c r="O89" s="19">
        <f>HLOOKUP(REG_TRA_DEMANDS!O$3,'BY-Demands'!$J$5:$AK$14,MATCH($E89,'BY-Demands'!$I$5:$I$14,0),FALSE)*HLOOKUP(REG_TRA_DEMANDS!$F89,DEMANDS!$G$2:$CK$25,MATCH($E89,DEMANDS!$E$2:$E$25,0),FALSE)/HLOOKUP(2018,DEMANDS!$G$2:$CK$25,MATCH($E89,DEMANDS!$E$2:$E$25,0),FALSE)</f>
        <v>0.26624825263987978</v>
      </c>
      <c r="P89" s="19">
        <f>HLOOKUP(REG_TRA_DEMANDS!P$3,'BY-Demands'!$J$5:$AK$14,MATCH($E89,'BY-Demands'!$I$5:$I$14,0),FALSE)*HLOOKUP(REG_TRA_DEMANDS!$F89,DEMANDS!$G$2:$CK$25,MATCH($E89,DEMANDS!$E$2:$E$25,0),FALSE)/HLOOKUP(2018,DEMANDS!$G$2:$CK$25,MATCH($E89,DEMANDS!$E$2:$E$25,0),FALSE)</f>
        <v>0.30316257342571512</v>
      </c>
      <c r="Q89" s="19">
        <f>HLOOKUP(REG_TRA_DEMANDS!Q$3,'BY-Demands'!$J$5:$AK$14,MATCH($E89,'BY-Demands'!$I$5:$I$14,0),FALSE)*HLOOKUP(REG_TRA_DEMANDS!$F89,DEMANDS!$G$2:$CK$25,MATCH($E89,DEMANDS!$E$2:$E$25,0),FALSE)/HLOOKUP(2018,DEMANDS!$G$2:$CK$25,MATCH($E89,DEMANDS!$E$2:$E$25,0),FALSE)</f>
        <v>0.61274203125841575</v>
      </c>
      <c r="R89" s="19">
        <f>HLOOKUP(REG_TRA_DEMANDS!R$3,'BY-Demands'!$J$5:$AK$14,MATCH($E89,'BY-Demands'!$I$5:$I$14,0),FALSE)*HLOOKUP(REG_TRA_DEMANDS!$F89,DEMANDS!$G$2:$CK$25,MATCH($E89,DEMANDS!$E$2:$E$25,0),FALSE)/HLOOKUP(2018,DEMANDS!$G$2:$CK$25,MATCH($E89,DEMANDS!$E$2:$E$25,0),FALSE)</f>
        <v>0.40422556174383772</v>
      </c>
      <c r="S89" s="19">
        <f>HLOOKUP(REG_TRA_DEMANDS!S$3,'BY-Demands'!$J$5:$AK$14,MATCH($E89,'BY-Demands'!$I$5:$I$14,0),FALSE)*HLOOKUP(REG_TRA_DEMANDS!$F89,DEMANDS!$G$2:$CK$25,MATCH($E89,DEMANDS!$E$2:$E$25,0),FALSE)/HLOOKUP(2018,DEMANDS!$G$2:$CK$25,MATCH($E89,DEMANDS!$E$2:$E$25,0),FALSE)</f>
        <v>0.39777917462913875</v>
      </c>
      <c r="T89" s="19">
        <f>HLOOKUP(REG_TRA_DEMANDS!T$3,'BY-Demands'!$J$5:$AK$14,MATCH($E89,'BY-Demands'!$I$5:$I$14,0),FALSE)*HLOOKUP(REG_TRA_DEMANDS!$F89,DEMANDS!$G$2:$CK$25,MATCH($E89,DEMANDS!$E$2:$E$25,0),FALSE)/HLOOKUP(2018,DEMANDS!$G$2:$CK$25,MATCH($E89,DEMANDS!$E$2:$E$25,0),FALSE)</f>
        <v>2.1283357188972238</v>
      </c>
      <c r="U89" s="19">
        <f>HLOOKUP(REG_TRA_DEMANDS!U$3,'BY-Demands'!$J$5:$AK$14,MATCH($E89,'BY-Demands'!$I$5:$I$14,0),FALSE)*HLOOKUP(REG_TRA_DEMANDS!$F89,DEMANDS!$G$2:$CK$25,MATCH($E89,DEMANDS!$E$2:$E$25,0),FALSE)/HLOOKUP(2018,DEMANDS!$G$2:$CK$25,MATCH($E89,DEMANDS!$E$2:$E$25,0),FALSE)</f>
        <v>0.57909120454908258</v>
      </c>
      <c r="V89" s="19">
        <f>HLOOKUP(REG_TRA_DEMANDS!V$3,'BY-Demands'!$J$5:$AK$14,MATCH($E89,'BY-Demands'!$I$5:$I$14,0),FALSE)*HLOOKUP(REG_TRA_DEMANDS!$F89,DEMANDS!$G$2:$CK$25,MATCH($E89,DEMANDS!$E$2:$E$25,0),FALSE)/HLOOKUP(2018,DEMANDS!$G$2:$CK$25,MATCH($E89,DEMANDS!$E$2:$E$25,0),FALSE)</f>
        <v>0.65248881352032662</v>
      </c>
      <c r="W89" s="19">
        <f>HLOOKUP(REG_TRA_DEMANDS!W$3,'BY-Demands'!$J$5:$AK$14,MATCH($E89,'BY-Demands'!$I$5:$I$14,0),FALSE)*HLOOKUP(REG_TRA_DEMANDS!$F89,DEMANDS!$G$2:$CK$25,MATCH($E89,DEMANDS!$E$2:$E$25,0),FALSE)/HLOOKUP(2018,DEMANDS!$G$2:$CK$25,MATCH($E89,DEMANDS!$E$2:$E$25,0),FALSE)</f>
        <v>0.53415639722937824</v>
      </c>
      <c r="X89" s="19">
        <f>HLOOKUP(REG_TRA_DEMANDS!X$3,'BY-Demands'!$J$5:$AK$14,MATCH($E89,'BY-Demands'!$I$5:$I$14,0),FALSE)*HLOOKUP(REG_TRA_DEMANDS!$F89,DEMANDS!$G$2:$CK$25,MATCH($E89,DEMANDS!$E$2:$E$25,0),FALSE)/HLOOKUP(2018,DEMANDS!$G$2:$CK$25,MATCH($E89,DEMANDS!$E$2:$E$25,0),FALSE)</f>
        <v>0.49615909078676634</v>
      </c>
      <c r="Y89" s="19">
        <f>HLOOKUP(REG_TRA_DEMANDS!Y$3,'BY-Demands'!$J$5:$AK$14,MATCH($E89,'BY-Demands'!$I$5:$I$14,0),FALSE)*HLOOKUP(REG_TRA_DEMANDS!$F89,DEMANDS!$G$2:$CK$25,MATCH($E89,DEMANDS!$E$2:$E$25,0),FALSE)/HLOOKUP(2018,DEMANDS!$G$2:$CK$25,MATCH($E89,DEMANDS!$E$2:$E$25,0),FALSE)</f>
        <v>0.79226708523694522</v>
      </c>
      <c r="Z89" s="19">
        <f>HLOOKUP(REG_TRA_DEMANDS!Z$3,'BY-Demands'!$J$5:$AK$14,MATCH($E89,'BY-Demands'!$I$5:$I$14,0),FALSE)*HLOOKUP(REG_TRA_DEMANDS!$F89,DEMANDS!$G$2:$CK$25,MATCH($E89,DEMANDS!$E$2:$E$25,0),FALSE)/HLOOKUP(2018,DEMANDS!$G$2:$CK$25,MATCH($E89,DEMANDS!$E$2:$E$25,0),FALSE)</f>
        <v>0.10566006370514532</v>
      </c>
      <c r="AA89" s="19">
        <f>HLOOKUP(REG_TRA_DEMANDS!AA$3,'BY-Demands'!$J$5:$AK$14,MATCH($E89,'BY-Demands'!$I$5:$I$14,0),FALSE)*HLOOKUP(REG_TRA_DEMANDS!$F89,DEMANDS!$G$2:$CK$25,MATCH($E89,DEMANDS!$E$2:$E$25,0),FALSE)/HLOOKUP(2018,DEMANDS!$G$2:$CK$25,MATCH($E89,DEMANDS!$E$2:$E$25,0),FALSE)</f>
        <v>0.44622245035287672</v>
      </c>
      <c r="AB89" s="19">
        <f>HLOOKUP(REG_TRA_DEMANDS!AB$3,'BY-Demands'!$J$5:$AK$14,MATCH($E89,'BY-Demands'!$I$5:$I$14,0),FALSE)*HLOOKUP(REG_TRA_DEMANDS!$F89,DEMANDS!$G$2:$CK$25,MATCH($E89,DEMANDS!$E$2:$E$25,0),FALSE)/HLOOKUP(2018,DEMANDS!$G$2:$CK$25,MATCH($E89,DEMANDS!$E$2:$E$25,0),FALSE)</f>
        <v>0.19815733962726695</v>
      </c>
      <c r="AC89" s="19">
        <f>HLOOKUP(REG_TRA_DEMANDS!AC$3,'BY-Demands'!$J$5:$AK$14,MATCH($E89,'BY-Demands'!$I$5:$I$14,0),FALSE)*HLOOKUP(REG_TRA_DEMANDS!$F89,DEMANDS!$G$2:$CK$25,MATCH($E89,DEMANDS!$E$2:$E$25,0),FALSE)/HLOOKUP(2018,DEMANDS!$G$2:$CK$25,MATCH($E89,DEMANDS!$E$2:$E$25,0),FALSE)</f>
        <v>0.21609138293960523</v>
      </c>
      <c r="AD89" s="19">
        <f>HLOOKUP(REG_TRA_DEMANDS!AD$3,'BY-Demands'!$J$5:$AK$14,MATCH($E89,'BY-Demands'!$I$5:$I$14,0),FALSE)*HLOOKUP(REG_TRA_DEMANDS!$F89,DEMANDS!$G$2:$CK$25,MATCH($E89,DEMANDS!$E$2:$E$25,0),FALSE)/HLOOKUP(2018,DEMANDS!$G$2:$CK$25,MATCH($E89,DEMANDS!$E$2:$E$25,0),FALSE)</f>
        <v>0.25117841133451357</v>
      </c>
      <c r="AE89" s="19">
        <f>HLOOKUP(REG_TRA_DEMANDS!AE$3,'BY-Demands'!$J$5:$AK$14,MATCH($E89,'BY-Demands'!$I$5:$I$14,0),FALSE)*HLOOKUP(REG_TRA_DEMANDS!$F89,DEMANDS!$G$2:$CK$25,MATCH($E89,DEMANDS!$E$2:$E$25,0),FALSE)/HLOOKUP(2018,DEMANDS!$G$2:$CK$25,MATCH($E89,DEMANDS!$E$2:$E$25,0),FALSE)</f>
        <v>0.52491064977373236</v>
      </c>
      <c r="AF89" s="19">
        <f>HLOOKUP(REG_TRA_DEMANDS!AF$3,'BY-Demands'!$J$5:$AK$14,MATCH($E89,'BY-Demands'!$I$5:$I$14,0),FALSE)*HLOOKUP(REG_TRA_DEMANDS!$F89,DEMANDS!$G$2:$CK$25,MATCH($E89,DEMANDS!$E$2:$E$25,0),FALSE)/HLOOKUP(2018,DEMANDS!$G$2:$CK$25,MATCH($E89,DEMANDS!$E$2:$E$25,0),FALSE)</f>
        <v>0.20241070623530358</v>
      </c>
    </row>
    <row r="90" spans="4:32" ht="14.5">
      <c r="D90" t="s">
        <v>6</v>
      </c>
      <c r="E90" t="str">
        <f>DEMANDS!$E$20</f>
        <v>TRAF</v>
      </c>
      <c r="F90">
        <v>2025</v>
      </c>
      <c r="G90" s="19">
        <f>HLOOKUP(REG_TRA_DEMANDS!G$3,'BY-Demands'!$J$5:$AK$14,MATCH($E90,'BY-Demands'!$I$5:$I$14,0),FALSE)*HLOOKUP(REG_TRA_DEMANDS!$F90,DEMANDS!$G$2:$CK$25,MATCH($E90,DEMANDS!$E$2:$E$25,0),FALSE)/HLOOKUP(2018,DEMANDS!$G$2:$CK$25,MATCH($E90,DEMANDS!$E$2:$E$25,0),FALSE)</f>
        <v>0.24021889122931783</v>
      </c>
      <c r="H90" s="19">
        <f>HLOOKUP(REG_TRA_DEMANDS!H$3,'BY-Demands'!$J$5:$AK$14,MATCH($E90,'BY-Demands'!$I$5:$I$14,0),FALSE)*HLOOKUP(REG_TRA_DEMANDS!$F90,DEMANDS!$G$2:$CK$25,MATCH($E90,DEMANDS!$E$2:$E$25,0),FALSE)/HLOOKUP(2018,DEMANDS!$G$2:$CK$25,MATCH($E90,DEMANDS!$E$2:$E$25,0),FALSE)</f>
        <v>3.5878608635025744</v>
      </c>
      <c r="I90" s="19">
        <f>HLOOKUP(REG_TRA_DEMANDS!I$3,'BY-Demands'!$J$5:$AK$14,MATCH($E90,'BY-Demands'!$I$5:$I$14,0),FALSE)*HLOOKUP(REG_TRA_DEMANDS!$F90,DEMANDS!$G$2:$CK$25,MATCH($E90,DEMANDS!$E$2:$E$25,0),FALSE)/HLOOKUP(2018,DEMANDS!$G$2:$CK$25,MATCH($E90,DEMANDS!$E$2:$E$25,0),FALSE)</f>
        <v>0.65107951782586393</v>
      </c>
      <c r="J90" s="19">
        <f>HLOOKUP(REG_TRA_DEMANDS!J$3,'BY-Demands'!$J$5:$AK$14,MATCH($E90,'BY-Demands'!$I$5:$I$14,0),FALSE)*HLOOKUP(REG_TRA_DEMANDS!$F90,DEMANDS!$G$2:$CK$25,MATCH($E90,DEMANDS!$E$2:$E$25,0),FALSE)/HLOOKUP(2018,DEMANDS!$G$2:$CK$25,MATCH($E90,DEMANDS!$E$2:$E$25,0),FALSE)</f>
        <v>0.41869951897821323</v>
      </c>
      <c r="K90" s="19">
        <f>HLOOKUP(REG_TRA_DEMANDS!K$3,'BY-Demands'!$J$5:$AK$14,MATCH($E90,'BY-Demands'!$I$5:$I$14,0),FALSE)*HLOOKUP(REG_TRA_DEMANDS!$F90,DEMANDS!$G$2:$CK$25,MATCH($E90,DEMANDS!$E$2:$E$25,0),FALSE)/HLOOKUP(2018,DEMANDS!$G$2:$CK$25,MATCH($E90,DEMANDS!$E$2:$E$25,0),FALSE)</f>
        <v>0.29821951398403002</v>
      </c>
      <c r="L90" s="19">
        <f>HLOOKUP(REG_TRA_DEMANDS!L$3,'BY-Demands'!$J$5:$AK$14,MATCH($E90,'BY-Demands'!$I$5:$I$14,0),FALSE)*HLOOKUP(REG_TRA_DEMANDS!$F90,DEMANDS!$G$2:$CK$25,MATCH($E90,DEMANDS!$E$2:$E$25,0),FALSE)/HLOOKUP(2018,DEMANDS!$G$2:$CK$25,MATCH($E90,DEMANDS!$E$2:$E$25,0),FALSE)</f>
        <v>0.14391449750368146</v>
      </c>
      <c r="M90" s="19">
        <f>HLOOKUP(REG_TRA_DEMANDS!M$3,'BY-Demands'!$J$5:$AK$14,MATCH($E90,'BY-Demands'!$I$5:$I$14,0),FALSE)*HLOOKUP(REG_TRA_DEMANDS!$F90,DEMANDS!$G$2:$CK$25,MATCH($E90,DEMANDS!$E$2:$E$25,0),FALSE)/HLOOKUP(2018,DEMANDS!$G$2:$CK$25,MATCH($E90,DEMANDS!$E$2:$E$25,0),FALSE)</f>
        <v>0.37713359119597267</v>
      </c>
      <c r="N90" s="19">
        <f>HLOOKUP(REG_TRA_DEMANDS!N$3,'BY-Demands'!$J$5:$AK$14,MATCH($E90,'BY-Demands'!$I$5:$I$14,0),FALSE)*HLOOKUP(REG_TRA_DEMANDS!$F90,DEMANDS!$G$2:$CK$25,MATCH($E90,DEMANDS!$E$2:$E$25,0),FALSE)/HLOOKUP(2018,DEMANDS!$G$2:$CK$25,MATCH($E90,DEMANDS!$E$2:$E$25,0),FALSE)</f>
        <v>0.58353570030777602</v>
      </c>
      <c r="O90" s="19">
        <f>HLOOKUP(REG_TRA_DEMANDS!O$3,'BY-Demands'!$J$5:$AK$14,MATCH($E90,'BY-Demands'!$I$5:$I$14,0),FALSE)*HLOOKUP(REG_TRA_DEMANDS!$F90,DEMANDS!$G$2:$CK$25,MATCH($E90,DEMANDS!$E$2:$E$25,0),FALSE)/HLOOKUP(2018,DEMANDS!$G$2:$CK$25,MATCH($E90,DEMANDS!$E$2:$E$25,0),FALSE)</f>
        <v>0.274501948471716</v>
      </c>
      <c r="P90" s="19">
        <f>HLOOKUP(REG_TRA_DEMANDS!P$3,'BY-Demands'!$J$5:$AK$14,MATCH($E90,'BY-Demands'!$I$5:$I$14,0),FALSE)*HLOOKUP(REG_TRA_DEMANDS!$F90,DEMANDS!$G$2:$CK$25,MATCH($E90,DEMANDS!$E$2:$E$25,0),FALSE)/HLOOKUP(2018,DEMANDS!$G$2:$CK$25,MATCH($E90,DEMANDS!$E$2:$E$25,0),FALSE)</f>
        <v>0.31256061320191225</v>
      </c>
      <c r="Q90" s="19">
        <f>HLOOKUP(REG_TRA_DEMANDS!Q$3,'BY-Demands'!$J$5:$AK$14,MATCH($E90,'BY-Demands'!$I$5:$I$14,0),FALSE)*HLOOKUP(REG_TRA_DEMANDS!$F90,DEMANDS!$G$2:$CK$25,MATCH($E90,DEMANDS!$E$2:$E$25,0),FALSE)/HLOOKUP(2018,DEMANDS!$G$2:$CK$25,MATCH($E90,DEMANDS!$E$2:$E$25,0),FALSE)</f>
        <v>0.63173703422742655</v>
      </c>
      <c r="R90" s="19">
        <f>HLOOKUP(REG_TRA_DEMANDS!R$3,'BY-Demands'!$J$5:$AK$14,MATCH($E90,'BY-Demands'!$I$5:$I$14,0),FALSE)*HLOOKUP(REG_TRA_DEMANDS!$F90,DEMANDS!$G$2:$CK$25,MATCH($E90,DEMANDS!$E$2:$E$25,0),FALSE)/HLOOKUP(2018,DEMANDS!$G$2:$CK$25,MATCH($E90,DEMANDS!$E$2:$E$25,0),FALSE)</f>
        <v>0.41675655415789664</v>
      </c>
      <c r="S90" s="19">
        <f>HLOOKUP(REG_TRA_DEMANDS!S$3,'BY-Demands'!$J$5:$AK$14,MATCH($E90,'BY-Demands'!$I$5:$I$14,0),FALSE)*HLOOKUP(REG_TRA_DEMANDS!$F90,DEMANDS!$G$2:$CK$25,MATCH($E90,DEMANDS!$E$2:$E$25,0),FALSE)/HLOOKUP(2018,DEMANDS!$G$2:$CK$25,MATCH($E90,DEMANDS!$E$2:$E$25,0),FALSE)</f>
        <v>0.410110329042642</v>
      </c>
      <c r="T90" s="19">
        <f>HLOOKUP(REG_TRA_DEMANDS!T$3,'BY-Demands'!$J$5:$AK$14,MATCH($E90,'BY-Demands'!$I$5:$I$14,0),FALSE)*HLOOKUP(REG_TRA_DEMANDS!$F90,DEMANDS!$G$2:$CK$25,MATCH($E90,DEMANDS!$E$2:$E$25,0),FALSE)/HLOOKUP(2018,DEMANDS!$G$2:$CK$25,MATCH($E90,DEMANDS!$E$2:$E$25,0),FALSE)</f>
        <v>2.1943141261830372</v>
      </c>
      <c r="U90" s="19">
        <f>HLOOKUP(REG_TRA_DEMANDS!U$3,'BY-Demands'!$J$5:$AK$14,MATCH($E90,'BY-Demands'!$I$5:$I$14,0),FALSE)*HLOOKUP(REG_TRA_DEMANDS!$F90,DEMANDS!$G$2:$CK$25,MATCH($E90,DEMANDS!$E$2:$E$25,0),FALSE)/HLOOKUP(2018,DEMANDS!$G$2:$CK$25,MATCH($E90,DEMANDS!$E$2:$E$25,0),FALSE)</f>
        <v>0.5970430318901041</v>
      </c>
      <c r="V90" s="19">
        <f>HLOOKUP(REG_TRA_DEMANDS!V$3,'BY-Demands'!$J$5:$AK$14,MATCH($E90,'BY-Demands'!$I$5:$I$14,0),FALSE)*HLOOKUP(REG_TRA_DEMANDS!$F90,DEMANDS!$G$2:$CK$25,MATCH($E90,DEMANDS!$E$2:$E$25,0),FALSE)/HLOOKUP(2018,DEMANDS!$G$2:$CK$25,MATCH($E90,DEMANDS!$E$2:$E$25,0),FALSE)</f>
        <v>0.67271596673945666</v>
      </c>
      <c r="W90" s="19">
        <f>HLOOKUP(REG_TRA_DEMANDS!W$3,'BY-Demands'!$J$5:$AK$14,MATCH($E90,'BY-Demands'!$I$5:$I$14,0),FALSE)*HLOOKUP(REG_TRA_DEMANDS!$F90,DEMANDS!$G$2:$CK$25,MATCH($E90,DEMANDS!$E$2:$E$25,0),FALSE)/HLOOKUP(2018,DEMANDS!$G$2:$CK$25,MATCH($E90,DEMANDS!$E$2:$E$25,0),FALSE)</f>
        <v>0.55071524554348894</v>
      </c>
      <c r="X90" s="19">
        <f>HLOOKUP(REG_TRA_DEMANDS!X$3,'BY-Demands'!$J$5:$AK$14,MATCH($E90,'BY-Demands'!$I$5:$I$14,0),FALSE)*HLOOKUP(REG_TRA_DEMANDS!$F90,DEMANDS!$G$2:$CK$25,MATCH($E90,DEMANDS!$E$2:$E$25,0),FALSE)/HLOOKUP(2018,DEMANDS!$G$2:$CK$25,MATCH($E90,DEMANDS!$E$2:$E$25,0),FALSE)</f>
        <v>0.51154002260115605</v>
      </c>
      <c r="Y90" s="19">
        <f>HLOOKUP(REG_TRA_DEMANDS!Y$3,'BY-Demands'!$J$5:$AK$14,MATCH($E90,'BY-Demands'!$I$5:$I$14,0),FALSE)*HLOOKUP(REG_TRA_DEMANDS!$F90,DEMANDS!$G$2:$CK$25,MATCH($E90,DEMANDS!$E$2:$E$25,0),FALSE)/HLOOKUP(2018,DEMANDS!$G$2:$CK$25,MATCH($E90,DEMANDS!$E$2:$E$25,0),FALSE)</f>
        <v>0.81682736487929053</v>
      </c>
      <c r="Z90" s="19">
        <f>HLOOKUP(REG_TRA_DEMANDS!Z$3,'BY-Demands'!$J$5:$AK$14,MATCH($E90,'BY-Demands'!$I$5:$I$14,0),FALSE)*HLOOKUP(REG_TRA_DEMANDS!$F90,DEMANDS!$G$2:$CK$25,MATCH($E90,DEMANDS!$E$2:$E$25,0),FALSE)/HLOOKUP(2018,DEMANDS!$G$2:$CK$25,MATCH($E90,DEMANDS!$E$2:$E$25,0),FALSE)</f>
        <v>0.10893552568000479</v>
      </c>
      <c r="AA90" s="19">
        <f>HLOOKUP(REG_TRA_DEMANDS!AA$3,'BY-Demands'!$J$5:$AK$14,MATCH($E90,'BY-Demands'!$I$5:$I$14,0),FALSE)*HLOOKUP(REG_TRA_DEMANDS!$F90,DEMANDS!$G$2:$CK$25,MATCH($E90,DEMANDS!$E$2:$E$25,0),FALSE)/HLOOKUP(2018,DEMANDS!$G$2:$CK$25,MATCH($E90,DEMANDS!$E$2:$E$25,0),FALSE)</f>
        <v>0.46005534631381578</v>
      </c>
      <c r="AB90" s="19">
        <f>HLOOKUP(REG_TRA_DEMANDS!AB$3,'BY-Demands'!$J$5:$AK$14,MATCH($E90,'BY-Demands'!$I$5:$I$14,0),FALSE)*HLOOKUP(REG_TRA_DEMANDS!$F90,DEMANDS!$G$2:$CK$25,MATCH($E90,DEMANDS!$E$2:$E$25,0),FALSE)/HLOOKUP(2018,DEMANDS!$G$2:$CK$25,MATCH($E90,DEMANDS!$E$2:$E$25,0),FALSE)</f>
        <v>0.20430021715571217</v>
      </c>
      <c r="AC90" s="19">
        <f>HLOOKUP(REG_TRA_DEMANDS!AC$3,'BY-Demands'!$J$5:$AK$14,MATCH($E90,'BY-Demands'!$I$5:$I$14,0),FALSE)*HLOOKUP(REG_TRA_DEMANDS!$F90,DEMANDS!$G$2:$CK$25,MATCH($E90,DEMANDS!$E$2:$E$25,0),FALSE)/HLOOKUP(2018,DEMANDS!$G$2:$CK$25,MATCH($E90,DEMANDS!$E$2:$E$25,0),FALSE)</f>
        <v>0.22279021581073291</v>
      </c>
      <c r="AD90" s="19">
        <f>HLOOKUP(REG_TRA_DEMANDS!AD$3,'BY-Demands'!$J$5:$AK$14,MATCH($E90,'BY-Demands'!$I$5:$I$14,0),FALSE)*HLOOKUP(REG_TRA_DEMANDS!$F90,DEMANDS!$G$2:$CK$25,MATCH($E90,DEMANDS!$E$2:$E$25,0),FALSE)/HLOOKUP(2018,DEMANDS!$G$2:$CK$25,MATCH($E90,DEMANDS!$E$2:$E$25,0),FALSE)</f>
        <v>0.2589649420858835</v>
      </c>
      <c r="AE90" s="19">
        <f>HLOOKUP(REG_TRA_DEMANDS!AE$3,'BY-Demands'!$J$5:$AK$14,MATCH($E90,'BY-Demands'!$I$5:$I$14,0),FALSE)*HLOOKUP(REG_TRA_DEMANDS!$F90,DEMANDS!$G$2:$CK$25,MATCH($E90,DEMANDS!$E$2:$E$25,0),FALSE)/HLOOKUP(2018,DEMANDS!$G$2:$CK$25,MATCH($E90,DEMANDS!$E$2:$E$25,0),FALSE)</f>
        <v>0.5411828799167181</v>
      </c>
      <c r="AF90" s="19">
        <f>HLOOKUP(REG_TRA_DEMANDS!AF$3,'BY-Demands'!$J$5:$AK$14,MATCH($E90,'BY-Demands'!$I$5:$I$14,0),FALSE)*HLOOKUP(REG_TRA_DEMANDS!$F90,DEMANDS!$G$2:$CK$25,MATCH($E90,DEMANDS!$E$2:$E$25,0),FALSE)/HLOOKUP(2018,DEMANDS!$G$2:$CK$25,MATCH($E90,DEMANDS!$E$2:$E$25,0),FALSE)</f>
        <v>0.20868543812859797</v>
      </c>
    </row>
    <row r="91" spans="4:32" ht="14.5">
      <c r="D91" t="s">
        <v>6</v>
      </c>
      <c r="E91" t="str">
        <f>DEMANDS!$E$20</f>
        <v>TRAF</v>
      </c>
      <c r="F91">
        <v>2026</v>
      </c>
      <c r="G91" s="19">
        <f>HLOOKUP(REG_TRA_DEMANDS!G$3,'BY-Demands'!$J$5:$AK$14,MATCH($E91,'BY-Demands'!$I$5:$I$14,0),FALSE)*HLOOKUP(REG_TRA_DEMANDS!$F91,DEMANDS!$G$2:$CK$25,MATCH($E91,DEMANDS!$E$2:$E$25,0),FALSE)/HLOOKUP(2018,DEMANDS!$G$2:$CK$25,MATCH($E91,DEMANDS!$E$2:$E$25,0),FALSE)</f>
        <v>0.24502326905390417</v>
      </c>
      <c r="H91" s="19">
        <f>HLOOKUP(REG_TRA_DEMANDS!H$3,'BY-Demands'!$J$5:$AK$14,MATCH($E91,'BY-Demands'!$I$5:$I$14,0),FALSE)*HLOOKUP(REG_TRA_DEMANDS!$F91,DEMANDS!$G$2:$CK$25,MATCH($E91,DEMANDS!$E$2:$E$25,0),FALSE)/HLOOKUP(2018,DEMANDS!$G$2:$CK$25,MATCH($E91,DEMANDS!$E$2:$E$25,0),FALSE)</f>
        <v>3.659618080772626</v>
      </c>
      <c r="I91" s="19">
        <f>HLOOKUP(REG_TRA_DEMANDS!I$3,'BY-Demands'!$J$5:$AK$14,MATCH($E91,'BY-Demands'!$I$5:$I$14,0),FALSE)*HLOOKUP(REG_TRA_DEMANDS!$F91,DEMANDS!$G$2:$CK$25,MATCH($E91,DEMANDS!$E$2:$E$25,0),FALSE)/HLOOKUP(2018,DEMANDS!$G$2:$CK$25,MATCH($E91,DEMANDS!$E$2:$E$25,0),FALSE)</f>
        <v>0.66410110818238122</v>
      </c>
      <c r="J91" s="19">
        <f>HLOOKUP(REG_TRA_DEMANDS!J$3,'BY-Demands'!$J$5:$AK$14,MATCH($E91,'BY-Demands'!$I$5:$I$14,0),FALSE)*HLOOKUP(REG_TRA_DEMANDS!$F91,DEMANDS!$G$2:$CK$25,MATCH($E91,DEMANDS!$E$2:$E$25,0),FALSE)/HLOOKUP(2018,DEMANDS!$G$2:$CK$25,MATCH($E91,DEMANDS!$E$2:$E$25,0),FALSE)</f>
        <v>0.42707350935777755</v>
      </c>
      <c r="K91" s="19">
        <f>HLOOKUP(REG_TRA_DEMANDS!K$3,'BY-Demands'!$J$5:$AK$14,MATCH($E91,'BY-Demands'!$I$5:$I$14,0),FALSE)*HLOOKUP(REG_TRA_DEMANDS!$F91,DEMANDS!$G$2:$CK$25,MATCH($E91,DEMANDS!$E$2:$E$25,0),FALSE)/HLOOKUP(2018,DEMANDS!$G$2:$CK$25,MATCH($E91,DEMANDS!$E$2:$E$25,0),FALSE)</f>
        <v>0.30418390426371067</v>
      </c>
      <c r="L91" s="19">
        <f>HLOOKUP(REG_TRA_DEMANDS!L$3,'BY-Demands'!$J$5:$AK$14,MATCH($E91,'BY-Demands'!$I$5:$I$14,0),FALSE)*HLOOKUP(REG_TRA_DEMANDS!$F91,DEMANDS!$G$2:$CK$25,MATCH($E91,DEMANDS!$E$2:$E$25,0),FALSE)/HLOOKUP(2018,DEMANDS!$G$2:$CK$25,MATCH($E91,DEMANDS!$E$2:$E$25,0),FALSE)</f>
        <v>0.1467927874537551</v>
      </c>
      <c r="M91" s="19">
        <f>HLOOKUP(REG_TRA_DEMANDS!M$3,'BY-Demands'!$J$5:$AK$14,MATCH($E91,'BY-Demands'!$I$5:$I$14,0),FALSE)*HLOOKUP(REG_TRA_DEMANDS!$F91,DEMANDS!$G$2:$CK$25,MATCH($E91,DEMANDS!$E$2:$E$25,0),FALSE)/HLOOKUP(2018,DEMANDS!$G$2:$CK$25,MATCH($E91,DEMANDS!$E$2:$E$25,0),FALSE)</f>
        <v>0.38467626301989216</v>
      </c>
      <c r="N91" s="19">
        <f>HLOOKUP(REG_TRA_DEMANDS!N$3,'BY-Demands'!$J$5:$AK$14,MATCH($E91,'BY-Demands'!$I$5:$I$14,0),FALSE)*HLOOKUP(REG_TRA_DEMANDS!$F91,DEMANDS!$G$2:$CK$25,MATCH($E91,DEMANDS!$E$2:$E$25,0),FALSE)/HLOOKUP(2018,DEMANDS!$G$2:$CK$25,MATCH($E91,DEMANDS!$E$2:$E$25,0),FALSE)</f>
        <v>0.59520641431393151</v>
      </c>
      <c r="O91" s="19">
        <f>HLOOKUP(REG_TRA_DEMANDS!O$3,'BY-Demands'!$J$5:$AK$14,MATCH($E91,'BY-Demands'!$I$5:$I$14,0),FALSE)*HLOOKUP(REG_TRA_DEMANDS!$F91,DEMANDS!$G$2:$CK$25,MATCH($E91,DEMANDS!$E$2:$E$25,0),FALSE)/HLOOKUP(2018,DEMANDS!$G$2:$CK$25,MATCH($E91,DEMANDS!$E$2:$E$25,0),FALSE)</f>
        <v>0.27999198744115034</v>
      </c>
      <c r="P91" s="19">
        <f>HLOOKUP(REG_TRA_DEMANDS!P$3,'BY-Demands'!$J$5:$AK$14,MATCH($E91,'BY-Demands'!$I$5:$I$14,0),FALSE)*HLOOKUP(REG_TRA_DEMANDS!$F91,DEMANDS!$G$2:$CK$25,MATCH($E91,DEMANDS!$E$2:$E$25,0),FALSE)/HLOOKUP(2018,DEMANDS!$G$2:$CK$25,MATCH($E91,DEMANDS!$E$2:$E$25,0),FALSE)</f>
        <v>0.31881182546595055</v>
      </c>
      <c r="Q91" s="19">
        <f>HLOOKUP(REG_TRA_DEMANDS!Q$3,'BY-Demands'!$J$5:$AK$14,MATCH($E91,'BY-Demands'!$I$5:$I$14,0),FALSE)*HLOOKUP(REG_TRA_DEMANDS!$F91,DEMANDS!$G$2:$CK$25,MATCH($E91,DEMANDS!$E$2:$E$25,0),FALSE)/HLOOKUP(2018,DEMANDS!$G$2:$CK$25,MATCH($E91,DEMANDS!$E$2:$E$25,0),FALSE)</f>
        <v>0.64437177491197517</v>
      </c>
      <c r="R91" s="19">
        <f>HLOOKUP(REG_TRA_DEMANDS!R$3,'BY-Demands'!$J$5:$AK$14,MATCH($E91,'BY-Demands'!$I$5:$I$14,0),FALSE)*HLOOKUP(REG_TRA_DEMANDS!$F91,DEMANDS!$G$2:$CK$25,MATCH($E91,DEMANDS!$E$2:$E$25,0),FALSE)/HLOOKUP(2018,DEMANDS!$G$2:$CK$25,MATCH($E91,DEMANDS!$E$2:$E$25,0),FALSE)</f>
        <v>0.42509168524105462</v>
      </c>
      <c r="S91" s="19">
        <f>HLOOKUP(REG_TRA_DEMANDS!S$3,'BY-Demands'!$J$5:$AK$14,MATCH($E91,'BY-Demands'!$I$5:$I$14,0),FALSE)*HLOOKUP(REG_TRA_DEMANDS!$F91,DEMANDS!$G$2:$CK$25,MATCH($E91,DEMANDS!$E$2:$E$25,0),FALSE)/HLOOKUP(2018,DEMANDS!$G$2:$CK$25,MATCH($E91,DEMANDS!$E$2:$E$25,0),FALSE)</f>
        <v>0.41831253562349485</v>
      </c>
      <c r="T91" s="19">
        <f>HLOOKUP(REG_TRA_DEMANDS!T$3,'BY-Demands'!$J$5:$AK$14,MATCH($E91,'BY-Demands'!$I$5:$I$14,0),FALSE)*HLOOKUP(REG_TRA_DEMANDS!$F91,DEMANDS!$G$2:$CK$25,MATCH($E91,DEMANDS!$E$2:$E$25,0),FALSE)/HLOOKUP(2018,DEMANDS!$G$2:$CK$25,MATCH($E91,DEMANDS!$E$2:$E$25,0),FALSE)</f>
        <v>2.2382004087066978</v>
      </c>
      <c r="U91" s="19">
        <f>HLOOKUP(REG_TRA_DEMANDS!U$3,'BY-Demands'!$J$5:$AK$14,MATCH($E91,'BY-Demands'!$I$5:$I$14,0),FALSE)*HLOOKUP(REG_TRA_DEMANDS!$F91,DEMANDS!$G$2:$CK$25,MATCH($E91,DEMANDS!$E$2:$E$25,0),FALSE)/HLOOKUP(2018,DEMANDS!$G$2:$CK$25,MATCH($E91,DEMANDS!$E$2:$E$25,0),FALSE)</f>
        <v>0.6089838925279063</v>
      </c>
      <c r="V91" s="19">
        <f>HLOOKUP(REG_TRA_DEMANDS!V$3,'BY-Demands'!$J$5:$AK$14,MATCH($E91,'BY-Demands'!$I$5:$I$14,0),FALSE)*HLOOKUP(REG_TRA_DEMANDS!$F91,DEMANDS!$G$2:$CK$25,MATCH($E91,DEMANDS!$E$2:$E$25,0),FALSE)/HLOOKUP(2018,DEMANDS!$G$2:$CK$25,MATCH($E91,DEMANDS!$E$2:$E$25,0),FALSE)</f>
        <v>0.68617028607424591</v>
      </c>
      <c r="W91" s="19">
        <f>HLOOKUP(REG_TRA_DEMANDS!W$3,'BY-Demands'!$J$5:$AK$14,MATCH($E91,'BY-Demands'!$I$5:$I$14,0),FALSE)*HLOOKUP(REG_TRA_DEMANDS!$F91,DEMANDS!$G$2:$CK$25,MATCH($E91,DEMANDS!$E$2:$E$25,0),FALSE)/HLOOKUP(2018,DEMANDS!$G$2:$CK$25,MATCH($E91,DEMANDS!$E$2:$E$25,0),FALSE)</f>
        <v>0.56172955045435879</v>
      </c>
      <c r="X91" s="19">
        <f>HLOOKUP(REG_TRA_DEMANDS!X$3,'BY-Demands'!$J$5:$AK$14,MATCH($E91,'BY-Demands'!$I$5:$I$14,0),FALSE)*HLOOKUP(REG_TRA_DEMANDS!$F91,DEMANDS!$G$2:$CK$25,MATCH($E91,DEMANDS!$E$2:$E$25,0),FALSE)/HLOOKUP(2018,DEMANDS!$G$2:$CK$25,MATCH($E91,DEMANDS!$E$2:$E$25,0),FALSE)</f>
        <v>0.52177082305317912</v>
      </c>
      <c r="Y91" s="19">
        <f>HLOOKUP(REG_TRA_DEMANDS!Y$3,'BY-Demands'!$J$5:$AK$14,MATCH($E91,'BY-Demands'!$I$5:$I$14,0),FALSE)*HLOOKUP(REG_TRA_DEMANDS!$F91,DEMANDS!$G$2:$CK$25,MATCH($E91,DEMANDS!$E$2:$E$25,0),FALSE)/HLOOKUP(2018,DEMANDS!$G$2:$CK$25,MATCH($E91,DEMANDS!$E$2:$E$25,0),FALSE)</f>
        <v>0.83316391217687624</v>
      </c>
      <c r="Z91" s="19">
        <f>HLOOKUP(REG_TRA_DEMANDS!Z$3,'BY-Demands'!$J$5:$AK$14,MATCH($E91,'BY-Demands'!$I$5:$I$14,0),FALSE)*HLOOKUP(REG_TRA_DEMANDS!$F91,DEMANDS!$G$2:$CK$25,MATCH($E91,DEMANDS!$E$2:$E$25,0),FALSE)/HLOOKUP(2018,DEMANDS!$G$2:$CK$25,MATCH($E91,DEMANDS!$E$2:$E$25,0),FALSE)</f>
        <v>0.11111423619360489</v>
      </c>
      <c r="AA91" s="19">
        <f>HLOOKUP(REG_TRA_DEMANDS!AA$3,'BY-Demands'!$J$5:$AK$14,MATCH($E91,'BY-Demands'!$I$5:$I$14,0),FALSE)*HLOOKUP(REG_TRA_DEMANDS!$F91,DEMANDS!$G$2:$CK$25,MATCH($E91,DEMANDS!$E$2:$E$25,0),FALSE)/HLOOKUP(2018,DEMANDS!$G$2:$CK$25,MATCH($E91,DEMANDS!$E$2:$E$25,0),FALSE)</f>
        <v>0.46925645324009208</v>
      </c>
      <c r="AB91" s="19">
        <f>HLOOKUP(REG_TRA_DEMANDS!AB$3,'BY-Demands'!$J$5:$AK$14,MATCH($E91,'BY-Demands'!$I$5:$I$14,0),FALSE)*HLOOKUP(REG_TRA_DEMANDS!$F91,DEMANDS!$G$2:$CK$25,MATCH($E91,DEMANDS!$E$2:$E$25,0),FALSE)/HLOOKUP(2018,DEMANDS!$G$2:$CK$25,MATCH($E91,DEMANDS!$E$2:$E$25,0),FALSE)</f>
        <v>0.20838622149882643</v>
      </c>
      <c r="AC91" s="19">
        <f>HLOOKUP(REG_TRA_DEMANDS!AC$3,'BY-Demands'!$J$5:$AK$14,MATCH($E91,'BY-Demands'!$I$5:$I$14,0),FALSE)*HLOOKUP(REG_TRA_DEMANDS!$F91,DEMANDS!$G$2:$CK$25,MATCH($E91,DEMANDS!$E$2:$E$25,0),FALSE)/HLOOKUP(2018,DEMANDS!$G$2:$CK$25,MATCH($E91,DEMANDS!$E$2:$E$25,0),FALSE)</f>
        <v>0.22724602012694758</v>
      </c>
      <c r="AD91" s="19">
        <f>HLOOKUP(REG_TRA_DEMANDS!AD$3,'BY-Demands'!$J$5:$AK$14,MATCH($E91,'BY-Demands'!$I$5:$I$14,0),FALSE)*HLOOKUP(REG_TRA_DEMANDS!$F91,DEMANDS!$G$2:$CK$25,MATCH($E91,DEMANDS!$E$2:$E$25,0),FALSE)/HLOOKUP(2018,DEMANDS!$G$2:$CK$25,MATCH($E91,DEMANDS!$E$2:$E$25,0),FALSE)</f>
        <v>0.26414424092760114</v>
      </c>
      <c r="AE91" s="19">
        <f>HLOOKUP(REG_TRA_DEMANDS!AE$3,'BY-Demands'!$J$5:$AK$14,MATCH($E91,'BY-Demands'!$I$5:$I$14,0),FALSE)*HLOOKUP(REG_TRA_DEMANDS!$F91,DEMANDS!$G$2:$CK$25,MATCH($E91,DEMANDS!$E$2:$E$25,0),FALSE)/HLOOKUP(2018,DEMANDS!$G$2:$CK$25,MATCH($E91,DEMANDS!$E$2:$E$25,0),FALSE)</f>
        <v>0.55200653751505246</v>
      </c>
      <c r="AF91" s="19">
        <f>HLOOKUP(REG_TRA_DEMANDS!AF$3,'BY-Demands'!$J$5:$AK$14,MATCH($E91,'BY-Demands'!$I$5:$I$14,0),FALSE)*HLOOKUP(REG_TRA_DEMANDS!$F91,DEMANDS!$G$2:$CK$25,MATCH($E91,DEMANDS!$E$2:$E$25,0),FALSE)/HLOOKUP(2018,DEMANDS!$G$2:$CK$25,MATCH($E91,DEMANDS!$E$2:$E$25,0),FALSE)</f>
        <v>0.21285914689116991</v>
      </c>
    </row>
    <row r="92" spans="4:32" ht="14.5">
      <c r="D92" t="s">
        <v>6</v>
      </c>
      <c r="E92" t="str">
        <f>DEMANDS!$E$20</f>
        <v>TRAF</v>
      </c>
      <c r="F92">
        <v>2027</v>
      </c>
      <c r="G92" s="19">
        <f>HLOOKUP(REG_TRA_DEMANDS!G$3,'BY-Demands'!$J$5:$AK$14,MATCH($E92,'BY-Demands'!$I$5:$I$14,0),FALSE)*HLOOKUP(REG_TRA_DEMANDS!$F92,DEMANDS!$G$2:$CK$25,MATCH($E92,DEMANDS!$E$2:$E$25,0),FALSE)/HLOOKUP(2018,DEMANDS!$G$2:$CK$25,MATCH($E92,DEMANDS!$E$2:$E$25,0),FALSE)</f>
        <v>0.24992373443498225</v>
      </c>
      <c r="H92" s="19">
        <f>HLOOKUP(REG_TRA_DEMANDS!H$3,'BY-Demands'!$J$5:$AK$14,MATCH($E92,'BY-Demands'!$I$5:$I$14,0),FALSE)*HLOOKUP(REG_TRA_DEMANDS!$F92,DEMANDS!$G$2:$CK$25,MATCH($E92,DEMANDS!$E$2:$E$25,0),FALSE)/HLOOKUP(2018,DEMANDS!$G$2:$CK$25,MATCH($E92,DEMANDS!$E$2:$E$25,0),FALSE)</f>
        <v>3.7328104423880779</v>
      </c>
      <c r="I92" s="19">
        <f>HLOOKUP(REG_TRA_DEMANDS!I$3,'BY-Demands'!$J$5:$AK$14,MATCH($E92,'BY-Demands'!$I$5:$I$14,0),FALSE)*HLOOKUP(REG_TRA_DEMANDS!$F92,DEMANDS!$G$2:$CK$25,MATCH($E92,DEMANDS!$E$2:$E$25,0),FALSE)/HLOOKUP(2018,DEMANDS!$G$2:$CK$25,MATCH($E92,DEMANDS!$E$2:$E$25,0),FALSE)</f>
        <v>0.67738313034602882</v>
      </c>
      <c r="J92" s="19">
        <f>HLOOKUP(REG_TRA_DEMANDS!J$3,'BY-Demands'!$J$5:$AK$14,MATCH($E92,'BY-Demands'!$I$5:$I$14,0),FALSE)*HLOOKUP(REG_TRA_DEMANDS!$F92,DEMANDS!$G$2:$CK$25,MATCH($E92,DEMANDS!$E$2:$E$25,0),FALSE)/HLOOKUP(2018,DEMANDS!$G$2:$CK$25,MATCH($E92,DEMANDS!$E$2:$E$25,0),FALSE)</f>
        <v>0.43561497954493306</v>
      </c>
      <c r="K92" s="19">
        <f>HLOOKUP(REG_TRA_DEMANDS!K$3,'BY-Demands'!$J$5:$AK$14,MATCH($E92,'BY-Demands'!$I$5:$I$14,0),FALSE)*HLOOKUP(REG_TRA_DEMANDS!$F92,DEMANDS!$G$2:$CK$25,MATCH($E92,DEMANDS!$E$2:$E$25,0),FALSE)/HLOOKUP(2018,DEMANDS!$G$2:$CK$25,MATCH($E92,DEMANDS!$E$2:$E$25,0),FALSE)</f>
        <v>0.31026758234898483</v>
      </c>
      <c r="L92" s="19">
        <f>HLOOKUP(REG_TRA_DEMANDS!L$3,'BY-Demands'!$J$5:$AK$14,MATCH($E92,'BY-Demands'!$I$5:$I$14,0),FALSE)*HLOOKUP(REG_TRA_DEMANDS!$F92,DEMANDS!$G$2:$CK$25,MATCH($E92,DEMANDS!$E$2:$E$25,0),FALSE)/HLOOKUP(2018,DEMANDS!$G$2:$CK$25,MATCH($E92,DEMANDS!$E$2:$E$25,0),FALSE)</f>
        <v>0.14972864320283019</v>
      </c>
      <c r="M92" s="19">
        <f>HLOOKUP(REG_TRA_DEMANDS!M$3,'BY-Demands'!$J$5:$AK$14,MATCH($E92,'BY-Demands'!$I$5:$I$14,0),FALSE)*HLOOKUP(REG_TRA_DEMANDS!$F92,DEMANDS!$G$2:$CK$25,MATCH($E92,DEMANDS!$E$2:$E$25,0),FALSE)/HLOOKUP(2018,DEMANDS!$G$2:$CK$25,MATCH($E92,DEMANDS!$E$2:$E$25,0),FALSE)</f>
        <v>0.39236978828028996</v>
      </c>
      <c r="N92" s="19">
        <f>HLOOKUP(REG_TRA_DEMANDS!N$3,'BY-Demands'!$J$5:$AK$14,MATCH($E92,'BY-Demands'!$I$5:$I$14,0),FALSE)*HLOOKUP(REG_TRA_DEMANDS!$F92,DEMANDS!$G$2:$CK$25,MATCH($E92,DEMANDS!$E$2:$E$25,0),FALSE)/HLOOKUP(2018,DEMANDS!$G$2:$CK$25,MATCH($E92,DEMANDS!$E$2:$E$25,0),FALSE)</f>
        <v>0.60711054260021013</v>
      </c>
      <c r="O92" s="19">
        <f>HLOOKUP(REG_TRA_DEMANDS!O$3,'BY-Demands'!$J$5:$AK$14,MATCH($E92,'BY-Demands'!$I$5:$I$14,0),FALSE)*HLOOKUP(REG_TRA_DEMANDS!$F92,DEMANDS!$G$2:$CK$25,MATCH($E92,DEMANDS!$E$2:$E$25,0),FALSE)/HLOOKUP(2018,DEMANDS!$G$2:$CK$25,MATCH($E92,DEMANDS!$E$2:$E$25,0),FALSE)</f>
        <v>0.28559182718997334</v>
      </c>
      <c r="P92" s="19">
        <f>HLOOKUP(REG_TRA_DEMANDS!P$3,'BY-Demands'!$J$5:$AK$14,MATCH($E92,'BY-Demands'!$I$5:$I$14,0),FALSE)*HLOOKUP(REG_TRA_DEMANDS!$F92,DEMANDS!$G$2:$CK$25,MATCH($E92,DEMANDS!$E$2:$E$25,0),FALSE)/HLOOKUP(2018,DEMANDS!$G$2:$CK$25,MATCH($E92,DEMANDS!$E$2:$E$25,0),FALSE)</f>
        <v>0.3251880619752695</v>
      </c>
      <c r="Q92" s="19">
        <f>HLOOKUP(REG_TRA_DEMANDS!Q$3,'BY-Demands'!$J$5:$AK$14,MATCH($E92,'BY-Demands'!$I$5:$I$14,0),FALSE)*HLOOKUP(REG_TRA_DEMANDS!$F92,DEMANDS!$G$2:$CK$25,MATCH($E92,DEMANDS!$E$2:$E$25,0),FALSE)/HLOOKUP(2018,DEMANDS!$G$2:$CK$25,MATCH($E92,DEMANDS!$E$2:$E$25,0),FALSE)</f>
        <v>0.65725921041021462</v>
      </c>
      <c r="R92" s="19">
        <f>HLOOKUP(REG_TRA_DEMANDS!R$3,'BY-Demands'!$J$5:$AK$14,MATCH($E92,'BY-Demands'!$I$5:$I$14,0),FALSE)*HLOOKUP(REG_TRA_DEMANDS!$F92,DEMANDS!$G$2:$CK$25,MATCH($E92,DEMANDS!$E$2:$E$25,0),FALSE)/HLOOKUP(2018,DEMANDS!$G$2:$CK$25,MATCH($E92,DEMANDS!$E$2:$E$25,0),FALSE)</f>
        <v>0.43359351894587572</v>
      </c>
      <c r="S92" s="19">
        <f>HLOOKUP(REG_TRA_DEMANDS!S$3,'BY-Demands'!$J$5:$AK$14,MATCH($E92,'BY-Demands'!$I$5:$I$14,0),FALSE)*HLOOKUP(REG_TRA_DEMANDS!$F92,DEMANDS!$G$2:$CK$25,MATCH($E92,DEMANDS!$E$2:$E$25,0),FALSE)/HLOOKUP(2018,DEMANDS!$G$2:$CK$25,MATCH($E92,DEMANDS!$E$2:$E$25,0),FALSE)</f>
        <v>0.42667878633596473</v>
      </c>
      <c r="T92" s="19">
        <f>HLOOKUP(REG_TRA_DEMANDS!T$3,'BY-Demands'!$J$5:$AK$14,MATCH($E92,'BY-Demands'!$I$5:$I$14,0),FALSE)*HLOOKUP(REG_TRA_DEMANDS!$F92,DEMANDS!$G$2:$CK$25,MATCH($E92,DEMANDS!$E$2:$E$25,0),FALSE)/HLOOKUP(2018,DEMANDS!$G$2:$CK$25,MATCH($E92,DEMANDS!$E$2:$E$25,0),FALSE)</f>
        <v>2.2829644168808318</v>
      </c>
      <c r="U92" s="19">
        <f>HLOOKUP(REG_TRA_DEMANDS!U$3,'BY-Demands'!$J$5:$AK$14,MATCH($E92,'BY-Demands'!$I$5:$I$14,0),FALSE)*HLOOKUP(REG_TRA_DEMANDS!$F92,DEMANDS!$G$2:$CK$25,MATCH($E92,DEMANDS!$E$2:$E$25,0),FALSE)/HLOOKUP(2018,DEMANDS!$G$2:$CK$25,MATCH($E92,DEMANDS!$E$2:$E$25,0),FALSE)</f>
        <v>0.62116357037846426</v>
      </c>
      <c r="V92" s="19">
        <f>HLOOKUP(REG_TRA_DEMANDS!V$3,'BY-Demands'!$J$5:$AK$14,MATCH($E92,'BY-Demands'!$I$5:$I$14,0),FALSE)*HLOOKUP(REG_TRA_DEMANDS!$F92,DEMANDS!$G$2:$CK$25,MATCH($E92,DEMANDS!$E$2:$E$25,0),FALSE)/HLOOKUP(2018,DEMANDS!$G$2:$CK$25,MATCH($E92,DEMANDS!$E$2:$E$25,0),FALSE)</f>
        <v>0.6998936917957308</v>
      </c>
      <c r="W92" s="19">
        <f>HLOOKUP(REG_TRA_DEMANDS!W$3,'BY-Demands'!$J$5:$AK$14,MATCH($E92,'BY-Demands'!$I$5:$I$14,0),FALSE)*HLOOKUP(REG_TRA_DEMANDS!$F92,DEMANDS!$G$2:$CK$25,MATCH($E92,DEMANDS!$E$2:$E$25,0),FALSE)/HLOOKUP(2018,DEMANDS!$G$2:$CK$25,MATCH($E92,DEMANDS!$E$2:$E$25,0),FALSE)</f>
        <v>0.57296414146344588</v>
      </c>
      <c r="X92" s="19">
        <f>HLOOKUP(REG_TRA_DEMANDS!X$3,'BY-Demands'!$J$5:$AK$14,MATCH($E92,'BY-Demands'!$I$5:$I$14,0),FALSE)*HLOOKUP(REG_TRA_DEMANDS!$F92,DEMANDS!$G$2:$CK$25,MATCH($E92,DEMANDS!$E$2:$E$25,0),FALSE)/HLOOKUP(2018,DEMANDS!$G$2:$CK$25,MATCH($E92,DEMANDS!$E$2:$E$25,0),FALSE)</f>
        <v>0.53220623951424273</v>
      </c>
      <c r="Y92" s="19">
        <f>HLOOKUP(REG_TRA_DEMANDS!Y$3,'BY-Demands'!$J$5:$AK$14,MATCH($E92,'BY-Demands'!$I$5:$I$14,0),FALSE)*HLOOKUP(REG_TRA_DEMANDS!$F92,DEMANDS!$G$2:$CK$25,MATCH($E92,DEMANDS!$E$2:$E$25,0),FALSE)/HLOOKUP(2018,DEMANDS!$G$2:$CK$25,MATCH($E92,DEMANDS!$E$2:$E$25,0),FALSE)</f>
        <v>0.84982719042041388</v>
      </c>
      <c r="Z92" s="19">
        <f>HLOOKUP(REG_TRA_DEMANDS!Z$3,'BY-Demands'!$J$5:$AK$14,MATCH($E92,'BY-Demands'!$I$5:$I$14,0),FALSE)*HLOOKUP(REG_TRA_DEMANDS!$F92,DEMANDS!$G$2:$CK$25,MATCH($E92,DEMANDS!$E$2:$E$25,0),FALSE)/HLOOKUP(2018,DEMANDS!$G$2:$CK$25,MATCH($E92,DEMANDS!$E$2:$E$25,0),FALSE)</f>
        <v>0.11333652091747699</v>
      </c>
      <c r="AA92" s="19">
        <f>HLOOKUP(REG_TRA_DEMANDS!AA$3,'BY-Demands'!$J$5:$AK$14,MATCH($E92,'BY-Demands'!$I$5:$I$14,0),FALSE)*HLOOKUP(REG_TRA_DEMANDS!$F92,DEMANDS!$G$2:$CK$25,MATCH($E92,DEMANDS!$E$2:$E$25,0),FALSE)/HLOOKUP(2018,DEMANDS!$G$2:$CK$25,MATCH($E92,DEMANDS!$E$2:$E$25,0),FALSE)</f>
        <v>0.4786415823048939</v>
      </c>
      <c r="AB92" s="19">
        <f>HLOOKUP(REG_TRA_DEMANDS!AB$3,'BY-Demands'!$J$5:$AK$14,MATCH($E92,'BY-Demands'!$I$5:$I$14,0),FALSE)*HLOOKUP(REG_TRA_DEMANDS!$F92,DEMANDS!$G$2:$CK$25,MATCH($E92,DEMANDS!$E$2:$E$25,0),FALSE)/HLOOKUP(2018,DEMANDS!$G$2:$CK$25,MATCH($E92,DEMANDS!$E$2:$E$25,0),FALSE)</f>
        <v>0.21255394592880297</v>
      </c>
      <c r="AC92" s="19">
        <f>HLOOKUP(REG_TRA_DEMANDS!AC$3,'BY-Demands'!$J$5:$AK$14,MATCH($E92,'BY-Demands'!$I$5:$I$14,0),FALSE)*HLOOKUP(REG_TRA_DEMANDS!$F92,DEMANDS!$G$2:$CK$25,MATCH($E92,DEMANDS!$E$2:$E$25,0),FALSE)/HLOOKUP(2018,DEMANDS!$G$2:$CK$25,MATCH($E92,DEMANDS!$E$2:$E$25,0),FALSE)</f>
        <v>0.23179094052948654</v>
      </c>
      <c r="AD92" s="19">
        <f>HLOOKUP(REG_TRA_DEMANDS!AD$3,'BY-Demands'!$J$5:$AK$14,MATCH($E92,'BY-Demands'!$I$5:$I$14,0),FALSE)*HLOOKUP(REG_TRA_DEMANDS!$F92,DEMANDS!$G$2:$CK$25,MATCH($E92,DEMANDS!$E$2:$E$25,0),FALSE)/HLOOKUP(2018,DEMANDS!$G$2:$CK$25,MATCH($E92,DEMANDS!$E$2:$E$25,0),FALSE)</f>
        <v>0.26942712574615318</v>
      </c>
      <c r="AE92" s="19">
        <f>HLOOKUP(REG_TRA_DEMANDS!AE$3,'BY-Demands'!$J$5:$AK$14,MATCH($E92,'BY-Demands'!$I$5:$I$14,0),FALSE)*HLOOKUP(REG_TRA_DEMANDS!$F92,DEMANDS!$G$2:$CK$25,MATCH($E92,DEMANDS!$E$2:$E$25,0),FALSE)/HLOOKUP(2018,DEMANDS!$G$2:$CK$25,MATCH($E92,DEMANDS!$E$2:$E$25,0),FALSE)</f>
        <v>0.56304666826535343</v>
      </c>
      <c r="AF92" s="19">
        <f>HLOOKUP(REG_TRA_DEMANDS!AF$3,'BY-Demands'!$J$5:$AK$14,MATCH($E92,'BY-Demands'!$I$5:$I$14,0),FALSE)*HLOOKUP(REG_TRA_DEMANDS!$F92,DEMANDS!$G$2:$CK$25,MATCH($E92,DEMANDS!$E$2:$E$25,0),FALSE)/HLOOKUP(2018,DEMANDS!$G$2:$CK$25,MATCH($E92,DEMANDS!$E$2:$E$25,0),FALSE)</f>
        <v>0.21711632982899332</v>
      </c>
    </row>
    <row r="93" spans="4:32" ht="14.5">
      <c r="D93" t="s">
        <v>6</v>
      </c>
      <c r="E93" t="str">
        <f>DEMANDS!$E$20</f>
        <v>TRAF</v>
      </c>
      <c r="F93">
        <v>2028</v>
      </c>
      <c r="G93" s="19">
        <f>HLOOKUP(REG_TRA_DEMANDS!G$3,'BY-Demands'!$J$5:$AK$14,MATCH($E93,'BY-Demands'!$I$5:$I$14,0),FALSE)*HLOOKUP(REG_TRA_DEMANDS!$F93,DEMANDS!$G$2:$CK$25,MATCH($E93,DEMANDS!$E$2:$E$25,0),FALSE)/HLOOKUP(2018,DEMANDS!$G$2:$CK$25,MATCH($E93,DEMANDS!$E$2:$E$25,0),FALSE)</f>
        <v>0.25492220912368185</v>
      </c>
      <c r="H93" s="19">
        <f>HLOOKUP(REG_TRA_DEMANDS!H$3,'BY-Demands'!$J$5:$AK$14,MATCH($E93,'BY-Demands'!$I$5:$I$14,0),FALSE)*HLOOKUP(REG_TRA_DEMANDS!$F93,DEMANDS!$G$2:$CK$25,MATCH($E93,DEMANDS!$E$2:$E$25,0),FALSE)/HLOOKUP(2018,DEMANDS!$G$2:$CK$25,MATCH($E93,DEMANDS!$E$2:$E$25,0),FALSE)</f>
        <v>3.8074666512358397</v>
      </c>
      <c r="I93" s="19">
        <f>HLOOKUP(REG_TRA_DEMANDS!I$3,'BY-Demands'!$J$5:$AK$14,MATCH($E93,'BY-Demands'!$I$5:$I$14,0),FALSE)*HLOOKUP(REG_TRA_DEMANDS!$F93,DEMANDS!$G$2:$CK$25,MATCH($E93,DEMANDS!$E$2:$E$25,0),FALSE)/HLOOKUP(2018,DEMANDS!$G$2:$CK$25,MATCH($E93,DEMANDS!$E$2:$E$25,0),FALSE)</f>
        <v>0.69093079295294935</v>
      </c>
      <c r="J93" s="19">
        <f>HLOOKUP(REG_TRA_DEMANDS!J$3,'BY-Demands'!$J$5:$AK$14,MATCH($E93,'BY-Demands'!$I$5:$I$14,0),FALSE)*HLOOKUP(REG_TRA_DEMANDS!$F93,DEMANDS!$G$2:$CK$25,MATCH($E93,DEMANDS!$E$2:$E$25,0),FALSE)/HLOOKUP(2018,DEMANDS!$G$2:$CK$25,MATCH($E93,DEMANDS!$E$2:$E$25,0),FALSE)</f>
        <v>0.44432727913583175</v>
      </c>
      <c r="K93" s="19">
        <f>HLOOKUP(REG_TRA_DEMANDS!K$3,'BY-Demands'!$J$5:$AK$14,MATCH($E93,'BY-Demands'!$I$5:$I$14,0),FALSE)*HLOOKUP(REG_TRA_DEMANDS!$F93,DEMANDS!$G$2:$CK$25,MATCH($E93,DEMANDS!$E$2:$E$25,0),FALSE)/HLOOKUP(2018,DEMANDS!$G$2:$CK$25,MATCH($E93,DEMANDS!$E$2:$E$25,0),FALSE)</f>
        <v>0.31647293399596454</v>
      </c>
      <c r="L93" s="19">
        <f>HLOOKUP(REG_TRA_DEMANDS!L$3,'BY-Demands'!$J$5:$AK$14,MATCH($E93,'BY-Demands'!$I$5:$I$14,0),FALSE)*HLOOKUP(REG_TRA_DEMANDS!$F93,DEMANDS!$G$2:$CK$25,MATCH($E93,DEMANDS!$E$2:$E$25,0),FALSE)/HLOOKUP(2018,DEMANDS!$G$2:$CK$25,MATCH($E93,DEMANDS!$E$2:$E$25,0),FALSE)</f>
        <v>0.15272321606688677</v>
      </c>
      <c r="M93" s="19">
        <f>HLOOKUP(REG_TRA_DEMANDS!M$3,'BY-Demands'!$J$5:$AK$14,MATCH($E93,'BY-Demands'!$I$5:$I$14,0),FALSE)*HLOOKUP(REG_TRA_DEMANDS!$F93,DEMANDS!$G$2:$CK$25,MATCH($E93,DEMANDS!$E$2:$E$25,0),FALSE)/HLOOKUP(2018,DEMANDS!$G$2:$CK$25,MATCH($E93,DEMANDS!$E$2:$E$25,0),FALSE)</f>
        <v>0.40021718404589579</v>
      </c>
      <c r="N93" s="19">
        <f>HLOOKUP(REG_TRA_DEMANDS!N$3,'BY-Demands'!$J$5:$AK$14,MATCH($E93,'BY-Demands'!$I$5:$I$14,0),FALSE)*HLOOKUP(REG_TRA_DEMANDS!$F93,DEMANDS!$G$2:$CK$25,MATCH($E93,DEMANDS!$E$2:$E$25,0),FALSE)/HLOOKUP(2018,DEMANDS!$G$2:$CK$25,MATCH($E93,DEMANDS!$E$2:$E$25,0),FALSE)</f>
        <v>0.61925275345221431</v>
      </c>
      <c r="O93" s="19">
        <f>HLOOKUP(REG_TRA_DEMANDS!O$3,'BY-Demands'!$J$5:$AK$14,MATCH($E93,'BY-Demands'!$I$5:$I$14,0),FALSE)*HLOOKUP(REG_TRA_DEMANDS!$F93,DEMANDS!$G$2:$CK$25,MATCH($E93,DEMANDS!$E$2:$E$25,0),FALSE)/HLOOKUP(2018,DEMANDS!$G$2:$CK$25,MATCH($E93,DEMANDS!$E$2:$E$25,0),FALSE)</f>
        <v>0.29130366373377281</v>
      </c>
      <c r="P93" s="19">
        <f>HLOOKUP(REG_TRA_DEMANDS!P$3,'BY-Demands'!$J$5:$AK$14,MATCH($E93,'BY-Demands'!$I$5:$I$14,0),FALSE)*HLOOKUP(REG_TRA_DEMANDS!$F93,DEMANDS!$G$2:$CK$25,MATCH($E93,DEMANDS!$E$2:$E$25,0),FALSE)/HLOOKUP(2018,DEMANDS!$G$2:$CK$25,MATCH($E93,DEMANDS!$E$2:$E$25,0),FALSE)</f>
        <v>0.33169182321477492</v>
      </c>
      <c r="Q93" s="19">
        <f>HLOOKUP(REG_TRA_DEMANDS!Q$3,'BY-Demands'!$J$5:$AK$14,MATCH($E93,'BY-Demands'!$I$5:$I$14,0),FALSE)*HLOOKUP(REG_TRA_DEMANDS!$F93,DEMANDS!$G$2:$CK$25,MATCH($E93,DEMANDS!$E$2:$E$25,0),FALSE)/HLOOKUP(2018,DEMANDS!$G$2:$CK$25,MATCH($E93,DEMANDS!$E$2:$E$25,0),FALSE)</f>
        <v>0.67040439461841883</v>
      </c>
      <c r="R93" s="19">
        <f>HLOOKUP(REG_TRA_DEMANDS!R$3,'BY-Demands'!$J$5:$AK$14,MATCH($E93,'BY-Demands'!$I$5:$I$14,0),FALSE)*HLOOKUP(REG_TRA_DEMANDS!$F93,DEMANDS!$G$2:$CK$25,MATCH($E93,DEMANDS!$E$2:$E$25,0),FALSE)/HLOOKUP(2018,DEMANDS!$G$2:$CK$25,MATCH($E93,DEMANDS!$E$2:$E$25,0),FALSE)</f>
        <v>0.44226538932479315</v>
      </c>
      <c r="S93" s="19">
        <f>HLOOKUP(REG_TRA_DEMANDS!S$3,'BY-Demands'!$J$5:$AK$14,MATCH($E93,'BY-Demands'!$I$5:$I$14,0),FALSE)*HLOOKUP(REG_TRA_DEMANDS!$F93,DEMANDS!$G$2:$CK$25,MATCH($E93,DEMANDS!$E$2:$E$25,0),FALSE)/HLOOKUP(2018,DEMANDS!$G$2:$CK$25,MATCH($E93,DEMANDS!$E$2:$E$25,0),FALSE)</f>
        <v>0.43521236206268404</v>
      </c>
      <c r="T93" s="19">
        <f>HLOOKUP(REG_TRA_DEMANDS!T$3,'BY-Demands'!$J$5:$AK$14,MATCH($E93,'BY-Demands'!$I$5:$I$14,0),FALSE)*HLOOKUP(REG_TRA_DEMANDS!$F93,DEMANDS!$G$2:$CK$25,MATCH($E93,DEMANDS!$E$2:$E$25,0),FALSE)/HLOOKUP(2018,DEMANDS!$G$2:$CK$25,MATCH($E93,DEMANDS!$E$2:$E$25,0),FALSE)</f>
        <v>2.3286237052184484</v>
      </c>
      <c r="U93" s="19">
        <f>HLOOKUP(REG_TRA_DEMANDS!U$3,'BY-Demands'!$J$5:$AK$14,MATCH($E93,'BY-Demands'!$I$5:$I$14,0),FALSE)*HLOOKUP(REG_TRA_DEMANDS!$F93,DEMANDS!$G$2:$CK$25,MATCH($E93,DEMANDS!$E$2:$E$25,0),FALSE)/HLOOKUP(2018,DEMANDS!$G$2:$CK$25,MATCH($E93,DEMANDS!$E$2:$E$25,0),FALSE)</f>
        <v>0.63358684178603364</v>
      </c>
      <c r="V93" s="19">
        <f>HLOOKUP(REG_TRA_DEMANDS!V$3,'BY-Demands'!$J$5:$AK$14,MATCH($E93,'BY-Demands'!$I$5:$I$14,0),FALSE)*HLOOKUP(REG_TRA_DEMANDS!$F93,DEMANDS!$G$2:$CK$25,MATCH($E93,DEMANDS!$E$2:$E$25,0),FALSE)/HLOOKUP(2018,DEMANDS!$G$2:$CK$25,MATCH($E93,DEMANDS!$E$2:$E$25,0),FALSE)</f>
        <v>0.71389156563164535</v>
      </c>
      <c r="W93" s="19">
        <f>HLOOKUP(REG_TRA_DEMANDS!W$3,'BY-Demands'!$J$5:$AK$14,MATCH($E93,'BY-Demands'!$I$5:$I$14,0),FALSE)*HLOOKUP(REG_TRA_DEMANDS!$F93,DEMANDS!$G$2:$CK$25,MATCH($E93,DEMANDS!$E$2:$E$25,0),FALSE)/HLOOKUP(2018,DEMANDS!$G$2:$CK$25,MATCH($E93,DEMANDS!$E$2:$E$25,0),FALSE)</f>
        <v>0.58442342429271477</v>
      </c>
      <c r="X93" s="19">
        <f>HLOOKUP(REG_TRA_DEMANDS!X$3,'BY-Demands'!$J$5:$AK$14,MATCH($E93,'BY-Demands'!$I$5:$I$14,0),FALSE)*HLOOKUP(REG_TRA_DEMANDS!$F93,DEMANDS!$G$2:$CK$25,MATCH($E93,DEMANDS!$E$2:$E$25,0),FALSE)/HLOOKUP(2018,DEMANDS!$G$2:$CK$25,MATCH($E93,DEMANDS!$E$2:$E$25,0),FALSE)</f>
        <v>0.5428503643045276</v>
      </c>
      <c r="Y93" s="19">
        <f>HLOOKUP(REG_TRA_DEMANDS!Y$3,'BY-Demands'!$J$5:$AK$14,MATCH($E93,'BY-Demands'!$I$5:$I$14,0),FALSE)*HLOOKUP(REG_TRA_DEMANDS!$F93,DEMANDS!$G$2:$CK$25,MATCH($E93,DEMANDS!$E$2:$E$25,0),FALSE)/HLOOKUP(2018,DEMANDS!$G$2:$CK$25,MATCH($E93,DEMANDS!$E$2:$E$25,0),FALSE)</f>
        <v>0.86682373422882197</v>
      </c>
      <c r="Z93" s="19">
        <f>HLOOKUP(REG_TRA_DEMANDS!Z$3,'BY-Demands'!$J$5:$AK$14,MATCH($E93,'BY-Demands'!$I$5:$I$14,0),FALSE)*HLOOKUP(REG_TRA_DEMANDS!$F93,DEMANDS!$G$2:$CK$25,MATCH($E93,DEMANDS!$E$2:$E$25,0),FALSE)/HLOOKUP(2018,DEMANDS!$G$2:$CK$25,MATCH($E93,DEMANDS!$E$2:$E$25,0),FALSE)</f>
        <v>0.11560325133582652</v>
      </c>
      <c r="AA93" s="19">
        <f>HLOOKUP(REG_TRA_DEMANDS!AA$3,'BY-Demands'!$J$5:$AK$14,MATCH($E93,'BY-Demands'!$I$5:$I$14,0),FALSE)*HLOOKUP(REG_TRA_DEMANDS!$F93,DEMANDS!$G$2:$CK$25,MATCH($E93,DEMANDS!$E$2:$E$25,0),FALSE)/HLOOKUP(2018,DEMANDS!$G$2:$CK$25,MATCH($E93,DEMANDS!$E$2:$E$25,0),FALSE)</f>
        <v>0.48821441395099185</v>
      </c>
      <c r="AB93" s="19">
        <f>HLOOKUP(REG_TRA_DEMANDS!AB$3,'BY-Demands'!$J$5:$AK$14,MATCH($E93,'BY-Demands'!$I$5:$I$14,0),FALSE)*HLOOKUP(REG_TRA_DEMANDS!$F93,DEMANDS!$G$2:$CK$25,MATCH($E93,DEMANDS!$E$2:$E$25,0),FALSE)/HLOOKUP(2018,DEMANDS!$G$2:$CK$25,MATCH($E93,DEMANDS!$E$2:$E$25,0),FALSE)</f>
        <v>0.21680502484737901</v>
      </c>
      <c r="AC93" s="19">
        <f>HLOOKUP(REG_TRA_DEMANDS!AC$3,'BY-Demands'!$J$5:$AK$14,MATCH($E93,'BY-Demands'!$I$5:$I$14,0),FALSE)*HLOOKUP(REG_TRA_DEMANDS!$F93,DEMANDS!$G$2:$CK$25,MATCH($E93,DEMANDS!$E$2:$E$25,0),FALSE)/HLOOKUP(2018,DEMANDS!$G$2:$CK$25,MATCH($E93,DEMANDS!$E$2:$E$25,0),FALSE)</f>
        <v>0.23642675934007623</v>
      </c>
      <c r="AD93" s="19">
        <f>HLOOKUP(REG_TRA_DEMANDS!AD$3,'BY-Demands'!$J$5:$AK$14,MATCH($E93,'BY-Demands'!$I$5:$I$14,0),FALSE)*HLOOKUP(REG_TRA_DEMANDS!$F93,DEMANDS!$G$2:$CK$25,MATCH($E93,DEMANDS!$E$2:$E$25,0),FALSE)/HLOOKUP(2018,DEMANDS!$G$2:$CK$25,MATCH($E93,DEMANDS!$E$2:$E$25,0),FALSE)</f>
        <v>0.27481566826107623</v>
      </c>
      <c r="AE93" s="19">
        <f>HLOOKUP(REG_TRA_DEMANDS!AE$3,'BY-Demands'!$J$5:$AK$14,MATCH($E93,'BY-Demands'!$I$5:$I$14,0),FALSE)*HLOOKUP(REG_TRA_DEMANDS!$F93,DEMANDS!$G$2:$CK$25,MATCH($E93,DEMANDS!$E$2:$E$25,0),FALSE)/HLOOKUP(2018,DEMANDS!$G$2:$CK$25,MATCH($E93,DEMANDS!$E$2:$E$25,0),FALSE)</f>
        <v>0.57430760163066052</v>
      </c>
      <c r="AF93" s="19">
        <f>HLOOKUP(REG_TRA_DEMANDS!AF$3,'BY-Demands'!$J$5:$AK$14,MATCH($E93,'BY-Demands'!$I$5:$I$14,0),FALSE)*HLOOKUP(REG_TRA_DEMANDS!$F93,DEMANDS!$G$2:$CK$25,MATCH($E93,DEMANDS!$E$2:$E$25,0),FALSE)/HLOOKUP(2018,DEMANDS!$G$2:$CK$25,MATCH($E93,DEMANDS!$E$2:$E$25,0),FALSE)</f>
        <v>0.22145865642557316</v>
      </c>
    </row>
    <row r="94" spans="4:32" ht="14.5">
      <c r="D94" t="s">
        <v>6</v>
      </c>
      <c r="E94" t="str">
        <f>DEMANDS!$E$20</f>
        <v>TRAF</v>
      </c>
      <c r="F94">
        <v>2029</v>
      </c>
      <c r="G94" s="19">
        <f>HLOOKUP(REG_TRA_DEMANDS!G$3,'BY-Demands'!$J$5:$AK$14,MATCH($E94,'BY-Demands'!$I$5:$I$14,0),FALSE)*HLOOKUP(REG_TRA_DEMANDS!$F94,DEMANDS!$G$2:$CK$25,MATCH($E94,DEMANDS!$E$2:$E$25,0),FALSE)/HLOOKUP(2018,DEMANDS!$G$2:$CK$25,MATCH($E94,DEMANDS!$E$2:$E$25,0),FALSE)</f>
        <v>0.26002065330615548</v>
      </c>
      <c r="H94" s="19">
        <f>HLOOKUP(REG_TRA_DEMANDS!H$3,'BY-Demands'!$J$5:$AK$14,MATCH($E94,'BY-Demands'!$I$5:$I$14,0),FALSE)*HLOOKUP(REG_TRA_DEMANDS!$F94,DEMANDS!$G$2:$CK$25,MATCH($E94,DEMANDS!$E$2:$E$25,0),FALSE)/HLOOKUP(2018,DEMANDS!$G$2:$CK$25,MATCH($E94,DEMANDS!$E$2:$E$25,0),FALSE)</f>
        <v>3.8836159842605564</v>
      </c>
      <c r="I94" s="19">
        <f>HLOOKUP(REG_TRA_DEMANDS!I$3,'BY-Demands'!$J$5:$AK$14,MATCH($E94,'BY-Demands'!$I$5:$I$14,0),FALSE)*HLOOKUP(REG_TRA_DEMANDS!$F94,DEMANDS!$G$2:$CK$25,MATCH($E94,DEMANDS!$E$2:$E$25,0),FALSE)/HLOOKUP(2018,DEMANDS!$G$2:$CK$25,MATCH($E94,DEMANDS!$E$2:$E$25,0),FALSE)</f>
        <v>0.70474940881200832</v>
      </c>
      <c r="J94" s="19">
        <f>HLOOKUP(REG_TRA_DEMANDS!J$3,'BY-Demands'!$J$5:$AK$14,MATCH($E94,'BY-Demands'!$I$5:$I$14,0),FALSE)*HLOOKUP(REG_TRA_DEMANDS!$F94,DEMANDS!$G$2:$CK$25,MATCH($E94,DEMANDS!$E$2:$E$25,0),FALSE)/HLOOKUP(2018,DEMANDS!$G$2:$CK$25,MATCH($E94,DEMANDS!$E$2:$E$25,0),FALSE)</f>
        <v>0.45321382471854837</v>
      </c>
      <c r="K94" s="19">
        <f>HLOOKUP(REG_TRA_DEMANDS!K$3,'BY-Demands'!$J$5:$AK$14,MATCH($E94,'BY-Demands'!$I$5:$I$14,0),FALSE)*HLOOKUP(REG_TRA_DEMANDS!$F94,DEMANDS!$G$2:$CK$25,MATCH($E94,DEMANDS!$E$2:$E$25,0),FALSE)/HLOOKUP(2018,DEMANDS!$G$2:$CK$25,MATCH($E94,DEMANDS!$E$2:$E$25,0),FALSE)</f>
        <v>0.32280239267588384</v>
      </c>
      <c r="L94" s="19">
        <f>HLOOKUP(REG_TRA_DEMANDS!L$3,'BY-Demands'!$J$5:$AK$14,MATCH($E94,'BY-Demands'!$I$5:$I$14,0),FALSE)*HLOOKUP(REG_TRA_DEMANDS!$F94,DEMANDS!$G$2:$CK$25,MATCH($E94,DEMANDS!$E$2:$E$25,0),FALSE)/HLOOKUP(2018,DEMANDS!$G$2:$CK$25,MATCH($E94,DEMANDS!$E$2:$E$25,0),FALSE)</f>
        <v>0.15577768038822451</v>
      </c>
      <c r="M94" s="19">
        <f>HLOOKUP(REG_TRA_DEMANDS!M$3,'BY-Demands'!$J$5:$AK$14,MATCH($E94,'BY-Demands'!$I$5:$I$14,0),FALSE)*HLOOKUP(REG_TRA_DEMANDS!$F94,DEMANDS!$G$2:$CK$25,MATCH($E94,DEMANDS!$E$2:$E$25,0),FALSE)/HLOOKUP(2018,DEMANDS!$G$2:$CK$25,MATCH($E94,DEMANDS!$E$2:$E$25,0),FALSE)</f>
        <v>0.40822152772681364</v>
      </c>
      <c r="N94" s="19">
        <f>HLOOKUP(REG_TRA_DEMANDS!N$3,'BY-Demands'!$J$5:$AK$14,MATCH($E94,'BY-Demands'!$I$5:$I$14,0),FALSE)*HLOOKUP(REG_TRA_DEMANDS!$F94,DEMANDS!$G$2:$CK$25,MATCH($E94,DEMANDS!$E$2:$E$25,0),FALSE)/HLOOKUP(2018,DEMANDS!$G$2:$CK$25,MATCH($E94,DEMANDS!$E$2:$E$25,0),FALSE)</f>
        <v>0.63163780852125861</v>
      </c>
      <c r="O94" s="19">
        <f>HLOOKUP(REG_TRA_DEMANDS!O$3,'BY-Demands'!$J$5:$AK$14,MATCH($E94,'BY-Demands'!$I$5:$I$14,0),FALSE)*HLOOKUP(REG_TRA_DEMANDS!$F94,DEMANDS!$G$2:$CK$25,MATCH($E94,DEMANDS!$E$2:$E$25,0),FALSE)/HLOOKUP(2018,DEMANDS!$G$2:$CK$25,MATCH($E94,DEMANDS!$E$2:$E$25,0),FALSE)</f>
        <v>0.29712973700844825</v>
      </c>
      <c r="P94" s="19">
        <f>HLOOKUP(REG_TRA_DEMANDS!P$3,'BY-Demands'!$J$5:$AK$14,MATCH($E94,'BY-Demands'!$I$5:$I$14,0),FALSE)*HLOOKUP(REG_TRA_DEMANDS!$F94,DEMANDS!$G$2:$CK$25,MATCH($E94,DEMANDS!$E$2:$E$25,0),FALSE)/HLOOKUP(2018,DEMANDS!$G$2:$CK$25,MATCH($E94,DEMANDS!$E$2:$E$25,0),FALSE)</f>
        <v>0.33832565967907041</v>
      </c>
      <c r="Q94" s="19">
        <f>HLOOKUP(REG_TRA_DEMANDS!Q$3,'BY-Demands'!$J$5:$AK$14,MATCH($E94,'BY-Demands'!$I$5:$I$14,0),FALSE)*HLOOKUP(REG_TRA_DEMANDS!$F94,DEMANDS!$G$2:$CK$25,MATCH($E94,DEMANDS!$E$2:$E$25,0),FALSE)/HLOOKUP(2018,DEMANDS!$G$2:$CK$25,MATCH($E94,DEMANDS!$E$2:$E$25,0),FALSE)</f>
        <v>0.68381248251078719</v>
      </c>
      <c r="R94" s="19">
        <f>HLOOKUP(REG_TRA_DEMANDS!R$3,'BY-Demands'!$J$5:$AK$14,MATCH($E94,'BY-Demands'!$I$5:$I$14,0),FALSE)*HLOOKUP(REG_TRA_DEMANDS!$F94,DEMANDS!$G$2:$CK$25,MATCH($E94,DEMANDS!$E$2:$E$25,0),FALSE)/HLOOKUP(2018,DEMANDS!$G$2:$CK$25,MATCH($E94,DEMANDS!$E$2:$E$25,0),FALSE)</f>
        <v>0.45111069711128904</v>
      </c>
      <c r="S94" s="19">
        <f>HLOOKUP(REG_TRA_DEMANDS!S$3,'BY-Demands'!$J$5:$AK$14,MATCH($E94,'BY-Demands'!$I$5:$I$14,0),FALSE)*HLOOKUP(REG_TRA_DEMANDS!$F94,DEMANDS!$G$2:$CK$25,MATCH($E94,DEMANDS!$E$2:$E$25,0),FALSE)/HLOOKUP(2018,DEMANDS!$G$2:$CK$25,MATCH($E94,DEMANDS!$E$2:$E$25,0),FALSE)</f>
        <v>0.44391660930393767</v>
      </c>
      <c r="T94" s="19">
        <f>HLOOKUP(REG_TRA_DEMANDS!T$3,'BY-Demands'!$J$5:$AK$14,MATCH($E94,'BY-Demands'!$I$5:$I$14,0),FALSE)*HLOOKUP(REG_TRA_DEMANDS!$F94,DEMANDS!$G$2:$CK$25,MATCH($E94,DEMANDS!$E$2:$E$25,0),FALSE)/HLOOKUP(2018,DEMANDS!$G$2:$CK$25,MATCH($E94,DEMANDS!$E$2:$E$25,0),FALSE)</f>
        <v>2.3751961793228173</v>
      </c>
      <c r="U94" s="19">
        <f>HLOOKUP(REG_TRA_DEMANDS!U$3,'BY-Demands'!$J$5:$AK$14,MATCH($E94,'BY-Demands'!$I$5:$I$14,0),FALSE)*HLOOKUP(REG_TRA_DEMANDS!$F94,DEMANDS!$G$2:$CK$25,MATCH($E94,DEMANDS!$E$2:$E$25,0),FALSE)/HLOOKUP(2018,DEMANDS!$G$2:$CK$25,MATCH($E94,DEMANDS!$E$2:$E$25,0),FALSE)</f>
        <v>0.64625857862175418</v>
      </c>
      <c r="V94" s="19">
        <f>HLOOKUP(REG_TRA_DEMANDS!V$3,'BY-Demands'!$J$5:$AK$14,MATCH($E94,'BY-Demands'!$I$5:$I$14,0),FALSE)*HLOOKUP(REG_TRA_DEMANDS!$F94,DEMANDS!$G$2:$CK$25,MATCH($E94,DEMANDS!$E$2:$E$25,0),FALSE)/HLOOKUP(2018,DEMANDS!$G$2:$CK$25,MATCH($E94,DEMANDS!$E$2:$E$25,0),FALSE)</f>
        <v>0.72816939694427818</v>
      </c>
      <c r="W94" s="19">
        <f>HLOOKUP(REG_TRA_DEMANDS!W$3,'BY-Demands'!$J$5:$AK$14,MATCH($E94,'BY-Demands'!$I$5:$I$14,0),FALSE)*HLOOKUP(REG_TRA_DEMANDS!$F94,DEMANDS!$G$2:$CK$25,MATCH($E94,DEMANDS!$E$2:$E$25,0),FALSE)/HLOOKUP(2018,DEMANDS!$G$2:$CK$25,MATCH($E94,DEMANDS!$E$2:$E$25,0),FALSE)</f>
        <v>0.59611189277856902</v>
      </c>
      <c r="X94" s="19">
        <f>HLOOKUP(REG_TRA_DEMANDS!X$3,'BY-Demands'!$J$5:$AK$14,MATCH($E94,'BY-Demands'!$I$5:$I$14,0),FALSE)*HLOOKUP(REG_TRA_DEMANDS!$F94,DEMANDS!$G$2:$CK$25,MATCH($E94,DEMANDS!$E$2:$E$25,0),FALSE)/HLOOKUP(2018,DEMANDS!$G$2:$CK$25,MATCH($E94,DEMANDS!$E$2:$E$25,0),FALSE)</f>
        <v>0.55370737159061811</v>
      </c>
      <c r="Y94" s="19">
        <f>HLOOKUP(REG_TRA_DEMANDS!Y$3,'BY-Demands'!$J$5:$AK$14,MATCH($E94,'BY-Demands'!$I$5:$I$14,0),FALSE)*HLOOKUP(REG_TRA_DEMANDS!$F94,DEMANDS!$G$2:$CK$25,MATCH($E94,DEMANDS!$E$2:$E$25,0),FALSE)/HLOOKUP(2018,DEMANDS!$G$2:$CK$25,MATCH($E94,DEMANDS!$E$2:$E$25,0),FALSE)</f>
        <v>0.88416020891339853</v>
      </c>
      <c r="Z94" s="19">
        <f>HLOOKUP(REG_TRA_DEMANDS!Z$3,'BY-Demands'!$J$5:$AK$14,MATCH($E94,'BY-Demands'!$I$5:$I$14,0),FALSE)*HLOOKUP(REG_TRA_DEMANDS!$F94,DEMANDS!$G$2:$CK$25,MATCH($E94,DEMANDS!$E$2:$E$25,0),FALSE)/HLOOKUP(2018,DEMANDS!$G$2:$CK$25,MATCH($E94,DEMANDS!$E$2:$E$25,0),FALSE)</f>
        <v>0.11791531636254304</v>
      </c>
      <c r="AA94" s="19">
        <f>HLOOKUP(REG_TRA_DEMANDS!AA$3,'BY-Demands'!$J$5:$AK$14,MATCH($E94,'BY-Demands'!$I$5:$I$14,0),FALSE)*HLOOKUP(REG_TRA_DEMANDS!$F94,DEMANDS!$G$2:$CK$25,MATCH($E94,DEMANDS!$E$2:$E$25,0),FALSE)/HLOOKUP(2018,DEMANDS!$G$2:$CK$25,MATCH($E94,DEMANDS!$E$2:$E$25,0),FALSE)</f>
        <v>0.49797870223001162</v>
      </c>
      <c r="AB94" s="19">
        <f>HLOOKUP(REG_TRA_DEMANDS!AB$3,'BY-Demands'!$J$5:$AK$14,MATCH($E94,'BY-Demands'!$I$5:$I$14,0),FALSE)*HLOOKUP(REG_TRA_DEMANDS!$F94,DEMANDS!$G$2:$CK$25,MATCH($E94,DEMANDS!$E$2:$E$25,0),FALSE)/HLOOKUP(2018,DEMANDS!$G$2:$CK$25,MATCH($E94,DEMANDS!$E$2:$E$25,0),FALSE)</f>
        <v>0.22114112534432659</v>
      </c>
      <c r="AC94" s="19">
        <f>HLOOKUP(REG_TRA_DEMANDS!AC$3,'BY-Demands'!$J$5:$AK$14,MATCH($E94,'BY-Demands'!$I$5:$I$14,0),FALSE)*HLOOKUP(REG_TRA_DEMANDS!$F94,DEMANDS!$G$2:$CK$25,MATCH($E94,DEMANDS!$E$2:$E$25,0),FALSE)/HLOOKUP(2018,DEMANDS!$G$2:$CK$25,MATCH($E94,DEMANDS!$E$2:$E$25,0),FALSE)</f>
        <v>0.24115529452687778</v>
      </c>
      <c r="AD94" s="19">
        <f>HLOOKUP(REG_TRA_DEMANDS!AD$3,'BY-Demands'!$J$5:$AK$14,MATCH($E94,'BY-Demands'!$I$5:$I$14,0),FALSE)*HLOOKUP(REG_TRA_DEMANDS!$F94,DEMANDS!$G$2:$CK$25,MATCH($E94,DEMANDS!$E$2:$E$25,0),FALSE)/HLOOKUP(2018,DEMANDS!$G$2:$CK$25,MATCH($E94,DEMANDS!$E$2:$E$25,0),FALSE)</f>
        <v>0.28031198162629772</v>
      </c>
      <c r="AE94" s="19">
        <f>HLOOKUP(REG_TRA_DEMANDS!AE$3,'BY-Demands'!$J$5:$AK$14,MATCH($E94,'BY-Demands'!$I$5:$I$14,0),FALSE)*HLOOKUP(REG_TRA_DEMANDS!$F94,DEMANDS!$G$2:$CK$25,MATCH($E94,DEMANDS!$E$2:$E$25,0),FALSE)/HLOOKUP(2018,DEMANDS!$G$2:$CK$25,MATCH($E94,DEMANDS!$E$2:$E$25,0),FALSE)</f>
        <v>0.5857937536632738</v>
      </c>
      <c r="AF94" s="19">
        <f>HLOOKUP(REG_TRA_DEMANDS!AF$3,'BY-Demands'!$J$5:$AK$14,MATCH($E94,'BY-Demands'!$I$5:$I$14,0),FALSE)*HLOOKUP(REG_TRA_DEMANDS!$F94,DEMANDS!$G$2:$CK$25,MATCH($E94,DEMANDS!$E$2:$E$25,0),FALSE)/HLOOKUP(2018,DEMANDS!$G$2:$CK$25,MATCH($E94,DEMANDS!$E$2:$E$25,0),FALSE)</f>
        <v>0.22588782955408462</v>
      </c>
    </row>
    <row r="95" spans="4:32" ht="14.5">
      <c r="D95" t="s">
        <v>6</v>
      </c>
      <c r="E95" t="str">
        <f>DEMANDS!$E$20</f>
        <v>TRAF</v>
      </c>
      <c r="F95">
        <v>2030</v>
      </c>
      <c r="G95" s="19">
        <f>HLOOKUP(REG_TRA_DEMANDS!G$3,'BY-Demands'!$J$5:$AK$14,MATCH($E95,'BY-Demands'!$I$5:$I$14,0),FALSE)*HLOOKUP(REG_TRA_DEMANDS!$F95,DEMANDS!$G$2:$CK$25,MATCH($E95,DEMANDS!$E$2:$E$25,0),FALSE)/HLOOKUP(2018,DEMANDS!$G$2:$CK$25,MATCH($E95,DEMANDS!$E$2:$E$25,0),FALSE)</f>
        <v>0.26522106637227866</v>
      </c>
      <c r="H95" s="19">
        <f>HLOOKUP(REG_TRA_DEMANDS!H$3,'BY-Demands'!$J$5:$AK$14,MATCH($E95,'BY-Demands'!$I$5:$I$14,0),FALSE)*HLOOKUP(REG_TRA_DEMANDS!$F95,DEMANDS!$G$2:$CK$25,MATCH($E95,DEMANDS!$E$2:$E$25,0),FALSE)/HLOOKUP(2018,DEMANDS!$G$2:$CK$25,MATCH($E95,DEMANDS!$E$2:$E$25,0),FALSE)</f>
        <v>3.9612883039457678</v>
      </c>
      <c r="I95" s="19">
        <f>HLOOKUP(REG_TRA_DEMANDS!I$3,'BY-Demands'!$J$5:$AK$14,MATCH($E95,'BY-Demands'!$I$5:$I$14,0),FALSE)*HLOOKUP(REG_TRA_DEMANDS!$F95,DEMANDS!$G$2:$CK$25,MATCH($E95,DEMANDS!$E$2:$E$25,0),FALSE)/HLOOKUP(2018,DEMANDS!$G$2:$CK$25,MATCH($E95,DEMANDS!$E$2:$E$25,0),FALSE)</f>
        <v>0.71884439698824854</v>
      </c>
      <c r="J95" s="19">
        <f>HLOOKUP(REG_TRA_DEMANDS!J$3,'BY-Demands'!$J$5:$AK$14,MATCH($E95,'BY-Demands'!$I$5:$I$14,0),FALSE)*HLOOKUP(REG_TRA_DEMANDS!$F95,DEMANDS!$G$2:$CK$25,MATCH($E95,DEMANDS!$E$2:$E$25,0),FALSE)/HLOOKUP(2018,DEMANDS!$G$2:$CK$25,MATCH($E95,DEMANDS!$E$2:$E$25,0),FALSE)</f>
        <v>0.46227810121291929</v>
      </c>
      <c r="K95" s="19">
        <f>HLOOKUP(REG_TRA_DEMANDS!K$3,'BY-Demands'!$J$5:$AK$14,MATCH($E95,'BY-Demands'!$I$5:$I$14,0),FALSE)*HLOOKUP(REG_TRA_DEMANDS!$F95,DEMANDS!$G$2:$CK$25,MATCH($E95,DEMANDS!$E$2:$E$25,0),FALSE)/HLOOKUP(2018,DEMANDS!$G$2:$CK$25,MATCH($E95,DEMANDS!$E$2:$E$25,0),FALSE)</f>
        <v>0.32925844052940151</v>
      </c>
      <c r="L95" s="19">
        <f>HLOOKUP(REG_TRA_DEMANDS!L$3,'BY-Demands'!$J$5:$AK$14,MATCH($E95,'BY-Demands'!$I$5:$I$14,0),FALSE)*HLOOKUP(REG_TRA_DEMANDS!$F95,DEMANDS!$G$2:$CK$25,MATCH($E95,DEMANDS!$E$2:$E$25,0),FALSE)/HLOOKUP(2018,DEMANDS!$G$2:$CK$25,MATCH($E95,DEMANDS!$E$2:$E$25,0),FALSE)</f>
        <v>0.15889323399598901</v>
      </c>
      <c r="M95" s="19">
        <f>HLOOKUP(REG_TRA_DEMANDS!M$3,'BY-Demands'!$J$5:$AK$14,MATCH($E95,'BY-Demands'!$I$5:$I$14,0),FALSE)*HLOOKUP(REG_TRA_DEMANDS!$F95,DEMANDS!$G$2:$CK$25,MATCH($E95,DEMANDS!$E$2:$E$25,0),FALSE)/HLOOKUP(2018,DEMANDS!$G$2:$CK$25,MATCH($E95,DEMANDS!$E$2:$E$25,0),FALSE)</f>
        <v>0.41638595828135</v>
      </c>
      <c r="N95" s="19">
        <f>HLOOKUP(REG_TRA_DEMANDS!N$3,'BY-Demands'!$J$5:$AK$14,MATCH($E95,'BY-Demands'!$I$5:$I$14,0),FALSE)*HLOOKUP(REG_TRA_DEMANDS!$F95,DEMANDS!$G$2:$CK$25,MATCH($E95,DEMANDS!$E$2:$E$25,0),FALSE)/HLOOKUP(2018,DEMANDS!$G$2:$CK$25,MATCH($E95,DEMANDS!$E$2:$E$25,0),FALSE)</f>
        <v>0.64427056469168376</v>
      </c>
      <c r="O95" s="19">
        <f>HLOOKUP(REG_TRA_DEMANDS!O$3,'BY-Demands'!$J$5:$AK$14,MATCH($E95,'BY-Demands'!$I$5:$I$14,0),FALSE)*HLOOKUP(REG_TRA_DEMANDS!$F95,DEMANDS!$G$2:$CK$25,MATCH($E95,DEMANDS!$E$2:$E$25,0),FALSE)/HLOOKUP(2018,DEMANDS!$G$2:$CK$25,MATCH($E95,DEMANDS!$E$2:$E$25,0),FALSE)</f>
        <v>0.3030723317486172</v>
      </c>
      <c r="P95" s="19">
        <f>HLOOKUP(REG_TRA_DEMANDS!P$3,'BY-Demands'!$J$5:$AK$14,MATCH($E95,'BY-Demands'!$I$5:$I$14,0),FALSE)*HLOOKUP(REG_TRA_DEMANDS!$F95,DEMANDS!$G$2:$CK$25,MATCH($E95,DEMANDS!$E$2:$E$25,0),FALSE)/HLOOKUP(2018,DEMANDS!$G$2:$CK$25,MATCH($E95,DEMANDS!$E$2:$E$25,0),FALSE)</f>
        <v>0.34509217287265181</v>
      </c>
      <c r="Q95" s="19">
        <f>HLOOKUP(REG_TRA_DEMANDS!Q$3,'BY-Demands'!$J$5:$AK$14,MATCH($E95,'BY-Demands'!$I$5:$I$14,0),FALSE)*HLOOKUP(REG_TRA_DEMANDS!$F95,DEMANDS!$G$2:$CK$25,MATCH($E95,DEMANDS!$E$2:$E$25,0),FALSE)/HLOOKUP(2018,DEMANDS!$G$2:$CK$25,MATCH($E95,DEMANDS!$E$2:$E$25,0),FALSE)</f>
        <v>0.69748873216100293</v>
      </c>
      <c r="R95" s="19">
        <f>HLOOKUP(REG_TRA_DEMANDS!R$3,'BY-Demands'!$J$5:$AK$14,MATCH($E95,'BY-Demands'!$I$5:$I$14,0),FALSE)*HLOOKUP(REG_TRA_DEMANDS!$F95,DEMANDS!$G$2:$CK$25,MATCH($E95,DEMANDS!$E$2:$E$25,0),FALSE)/HLOOKUP(2018,DEMANDS!$G$2:$CK$25,MATCH($E95,DEMANDS!$E$2:$E$25,0),FALSE)</f>
        <v>0.46013291105351484</v>
      </c>
      <c r="S95" s="19">
        <f>HLOOKUP(REG_TRA_DEMANDS!S$3,'BY-Demands'!$J$5:$AK$14,MATCH($E95,'BY-Demands'!$I$5:$I$14,0),FALSE)*HLOOKUP(REG_TRA_DEMANDS!$F95,DEMANDS!$G$2:$CK$25,MATCH($E95,DEMANDS!$E$2:$E$25,0),FALSE)/HLOOKUP(2018,DEMANDS!$G$2:$CK$25,MATCH($E95,DEMANDS!$E$2:$E$25,0),FALSE)</f>
        <v>0.45279494149001648</v>
      </c>
      <c r="T95" s="19">
        <f>HLOOKUP(REG_TRA_DEMANDS!T$3,'BY-Demands'!$J$5:$AK$14,MATCH($E95,'BY-Demands'!$I$5:$I$14,0),FALSE)*HLOOKUP(REG_TRA_DEMANDS!$F95,DEMANDS!$G$2:$CK$25,MATCH($E95,DEMANDS!$E$2:$E$25,0),FALSE)/HLOOKUP(2018,DEMANDS!$G$2:$CK$25,MATCH($E95,DEMANDS!$E$2:$E$25,0),FALSE)</f>
        <v>2.4227001029092738</v>
      </c>
      <c r="U95" s="19">
        <f>HLOOKUP(REG_TRA_DEMANDS!U$3,'BY-Demands'!$J$5:$AK$14,MATCH($E95,'BY-Demands'!$I$5:$I$14,0),FALSE)*HLOOKUP(REG_TRA_DEMANDS!$F95,DEMANDS!$G$2:$CK$25,MATCH($E95,DEMANDS!$E$2:$E$25,0),FALSE)/HLOOKUP(2018,DEMANDS!$G$2:$CK$25,MATCH($E95,DEMANDS!$E$2:$E$25,0),FALSE)</f>
        <v>0.65918375019418929</v>
      </c>
      <c r="V95" s="19">
        <f>HLOOKUP(REG_TRA_DEMANDS!V$3,'BY-Demands'!$J$5:$AK$14,MATCH($E95,'BY-Demands'!$I$5:$I$14,0),FALSE)*HLOOKUP(REG_TRA_DEMANDS!$F95,DEMANDS!$G$2:$CK$25,MATCH($E95,DEMANDS!$E$2:$E$25,0),FALSE)/HLOOKUP(2018,DEMANDS!$G$2:$CK$25,MATCH($E95,DEMANDS!$E$2:$E$25,0),FALSE)</f>
        <v>0.74273278488316374</v>
      </c>
      <c r="W95" s="19">
        <f>HLOOKUP(REG_TRA_DEMANDS!W$3,'BY-Demands'!$J$5:$AK$14,MATCH($E95,'BY-Demands'!$I$5:$I$14,0),FALSE)*HLOOKUP(REG_TRA_DEMANDS!$F95,DEMANDS!$G$2:$CK$25,MATCH($E95,DEMANDS!$E$2:$E$25,0),FALSE)/HLOOKUP(2018,DEMANDS!$G$2:$CK$25,MATCH($E95,DEMANDS!$E$2:$E$25,0),FALSE)</f>
        <v>0.60803413063414047</v>
      </c>
      <c r="X95" s="19">
        <f>HLOOKUP(REG_TRA_DEMANDS!X$3,'BY-Demands'!$J$5:$AK$14,MATCH($E95,'BY-Demands'!$I$5:$I$14,0),FALSE)*HLOOKUP(REG_TRA_DEMANDS!$F95,DEMANDS!$G$2:$CK$25,MATCH($E95,DEMANDS!$E$2:$E$25,0),FALSE)/HLOOKUP(2018,DEMANDS!$G$2:$CK$25,MATCH($E95,DEMANDS!$E$2:$E$25,0),FALSE)</f>
        <v>0.56478151902243057</v>
      </c>
      <c r="Y95" s="19">
        <f>HLOOKUP(REG_TRA_DEMANDS!Y$3,'BY-Demands'!$J$5:$AK$14,MATCH($E95,'BY-Demands'!$I$5:$I$14,0),FALSE)*HLOOKUP(REG_TRA_DEMANDS!$F95,DEMANDS!$G$2:$CK$25,MATCH($E95,DEMANDS!$E$2:$E$25,0),FALSE)/HLOOKUP(2018,DEMANDS!$G$2:$CK$25,MATCH($E95,DEMANDS!$E$2:$E$25,0),FALSE)</f>
        <v>0.90184341309166649</v>
      </c>
      <c r="Z95" s="19">
        <f>HLOOKUP(REG_TRA_DEMANDS!Z$3,'BY-Demands'!$J$5:$AK$14,MATCH($E95,'BY-Demands'!$I$5:$I$14,0),FALSE)*HLOOKUP(REG_TRA_DEMANDS!$F95,DEMANDS!$G$2:$CK$25,MATCH($E95,DEMANDS!$E$2:$E$25,0),FALSE)/HLOOKUP(2018,DEMANDS!$G$2:$CK$25,MATCH($E95,DEMANDS!$E$2:$E$25,0),FALSE)</f>
        <v>0.12027362268979393</v>
      </c>
      <c r="AA95" s="19">
        <f>HLOOKUP(REG_TRA_DEMANDS!AA$3,'BY-Demands'!$J$5:$AK$14,MATCH($E95,'BY-Demands'!$I$5:$I$14,0),FALSE)*HLOOKUP(REG_TRA_DEMANDS!$F95,DEMANDS!$G$2:$CK$25,MATCH($E95,DEMANDS!$E$2:$E$25,0),FALSE)/HLOOKUP(2018,DEMANDS!$G$2:$CK$25,MATCH($E95,DEMANDS!$E$2:$E$25,0),FALSE)</f>
        <v>0.50793827627461186</v>
      </c>
      <c r="AB95" s="19">
        <f>HLOOKUP(REG_TRA_DEMANDS!AB$3,'BY-Demands'!$J$5:$AK$14,MATCH($E95,'BY-Demands'!$I$5:$I$14,0),FALSE)*HLOOKUP(REG_TRA_DEMANDS!$F95,DEMANDS!$G$2:$CK$25,MATCH($E95,DEMANDS!$E$2:$E$25,0),FALSE)/HLOOKUP(2018,DEMANDS!$G$2:$CK$25,MATCH($E95,DEMANDS!$E$2:$E$25,0),FALSE)</f>
        <v>0.22556394785121311</v>
      </c>
      <c r="AC95" s="19">
        <f>HLOOKUP(REG_TRA_DEMANDS!AC$3,'BY-Demands'!$J$5:$AK$14,MATCH($E95,'BY-Demands'!$I$5:$I$14,0),FALSE)*HLOOKUP(REG_TRA_DEMANDS!$F95,DEMANDS!$G$2:$CK$25,MATCH($E95,DEMANDS!$E$2:$E$25,0),FALSE)/HLOOKUP(2018,DEMANDS!$G$2:$CK$25,MATCH($E95,DEMANDS!$E$2:$E$25,0),FALSE)</f>
        <v>0.24597840041741534</v>
      </c>
      <c r="AD95" s="19">
        <f>HLOOKUP(REG_TRA_DEMANDS!AD$3,'BY-Demands'!$J$5:$AK$14,MATCH($E95,'BY-Demands'!$I$5:$I$14,0),FALSE)*HLOOKUP(REG_TRA_DEMANDS!$F95,DEMANDS!$G$2:$CK$25,MATCH($E95,DEMANDS!$E$2:$E$25,0),FALSE)/HLOOKUP(2018,DEMANDS!$G$2:$CK$25,MATCH($E95,DEMANDS!$E$2:$E$25,0),FALSE)</f>
        <v>0.28591822125882371</v>
      </c>
      <c r="AE95" s="19">
        <f>HLOOKUP(REG_TRA_DEMANDS!AE$3,'BY-Demands'!$J$5:$AK$14,MATCH($E95,'BY-Demands'!$I$5:$I$14,0),FALSE)*HLOOKUP(REG_TRA_DEMANDS!$F95,DEMANDS!$G$2:$CK$25,MATCH($E95,DEMANDS!$E$2:$E$25,0),FALSE)/HLOOKUP(2018,DEMANDS!$G$2:$CK$25,MATCH($E95,DEMANDS!$E$2:$E$25,0),FALSE)</f>
        <v>0.59750962873653923</v>
      </c>
      <c r="AF95" s="19">
        <f>HLOOKUP(REG_TRA_DEMANDS!AF$3,'BY-Demands'!$J$5:$AK$14,MATCH($E95,'BY-Demands'!$I$5:$I$14,0),FALSE)*HLOOKUP(REG_TRA_DEMANDS!$F95,DEMANDS!$G$2:$CK$25,MATCH($E95,DEMANDS!$E$2:$E$25,0),FALSE)/HLOOKUP(2018,DEMANDS!$G$2:$CK$25,MATCH($E95,DEMANDS!$E$2:$E$25,0),FALSE)</f>
        <v>0.23040558614516632</v>
      </c>
    </row>
    <row r="96" spans="4:32" ht="14.5">
      <c r="D96" t="s">
        <v>6</v>
      </c>
      <c r="E96" t="str">
        <f>DEMANDS!$E$20</f>
        <v>TRAF</v>
      </c>
      <c r="F96">
        <v>2031</v>
      </c>
      <c r="G96" s="19">
        <f>HLOOKUP(REG_TRA_DEMANDS!G$3,'BY-Demands'!$J$5:$AK$14,MATCH($E96,'BY-Demands'!$I$5:$I$14,0),FALSE)*HLOOKUP(REG_TRA_DEMANDS!$F96,DEMANDS!$G$2:$CK$25,MATCH($E96,DEMANDS!$E$2:$E$25,0),FALSE)/HLOOKUP(2018,DEMANDS!$G$2:$CK$25,MATCH($E96,DEMANDS!$E$2:$E$25,0),FALSE)</f>
        <v>0.27132115089884107</v>
      </c>
      <c r="H96" s="19">
        <f>HLOOKUP(REG_TRA_DEMANDS!H$3,'BY-Demands'!$J$5:$AK$14,MATCH($E96,'BY-Demands'!$I$5:$I$14,0),FALSE)*HLOOKUP(REG_TRA_DEMANDS!$F96,DEMANDS!$G$2:$CK$25,MATCH($E96,DEMANDS!$E$2:$E$25,0),FALSE)/HLOOKUP(2018,DEMANDS!$G$2:$CK$25,MATCH($E96,DEMANDS!$E$2:$E$25,0),FALSE)</f>
        <v>4.0523979349365202</v>
      </c>
      <c r="I96" s="19">
        <f>HLOOKUP(REG_TRA_DEMANDS!I$3,'BY-Demands'!$J$5:$AK$14,MATCH($E96,'BY-Demands'!$I$5:$I$14,0),FALSE)*HLOOKUP(REG_TRA_DEMANDS!$F96,DEMANDS!$G$2:$CK$25,MATCH($E96,DEMANDS!$E$2:$E$25,0),FALSE)/HLOOKUP(2018,DEMANDS!$G$2:$CK$25,MATCH($E96,DEMANDS!$E$2:$E$25,0),FALSE)</f>
        <v>0.7353778181189784</v>
      </c>
      <c r="J96" s="19">
        <f>HLOOKUP(REG_TRA_DEMANDS!J$3,'BY-Demands'!$J$5:$AK$14,MATCH($E96,'BY-Demands'!$I$5:$I$14,0),FALSE)*HLOOKUP(REG_TRA_DEMANDS!$F96,DEMANDS!$G$2:$CK$25,MATCH($E96,DEMANDS!$E$2:$E$25,0),FALSE)/HLOOKUP(2018,DEMANDS!$G$2:$CK$25,MATCH($E96,DEMANDS!$E$2:$E$25,0),FALSE)</f>
        <v>0.47291049754081654</v>
      </c>
      <c r="K96" s="19">
        <f>HLOOKUP(REG_TRA_DEMANDS!K$3,'BY-Demands'!$J$5:$AK$14,MATCH($E96,'BY-Demands'!$I$5:$I$14,0),FALSE)*HLOOKUP(REG_TRA_DEMANDS!$F96,DEMANDS!$G$2:$CK$25,MATCH($E96,DEMANDS!$E$2:$E$25,0),FALSE)/HLOOKUP(2018,DEMANDS!$G$2:$CK$25,MATCH($E96,DEMANDS!$E$2:$E$25,0),FALSE)</f>
        <v>0.3368313846615778</v>
      </c>
      <c r="L96" s="19">
        <f>HLOOKUP(REG_TRA_DEMANDS!L$3,'BY-Demands'!$J$5:$AK$14,MATCH($E96,'BY-Demands'!$I$5:$I$14,0),FALSE)*HLOOKUP(REG_TRA_DEMANDS!$F96,DEMANDS!$G$2:$CK$25,MATCH($E96,DEMANDS!$E$2:$E$25,0),FALSE)/HLOOKUP(2018,DEMANDS!$G$2:$CK$25,MATCH($E96,DEMANDS!$E$2:$E$25,0),FALSE)</f>
        <v>0.16254777837789677</v>
      </c>
      <c r="M96" s="19">
        <f>HLOOKUP(REG_TRA_DEMANDS!M$3,'BY-Demands'!$J$5:$AK$14,MATCH($E96,'BY-Demands'!$I$5:$I$14,0),FALSE)*HLOOKUP(REG_TRA_DEMANDS!$F96,DEMANDS!$G$2:$CK$25,MATCH($E96,DEMANDS!$E$2:$E$25,0),FALSE)/HLOOKUP(2018,DEMANDS!$G$2:$CK$25,MATCH($E96,DEMANDS!$E$2:$E$25,0),FALSE)</f>
        <v>0.42596283532182105</v>
      </c>
      <c r="N96" s="19">
        <f>HLOOKUP(REG_TRA_DEMANDS!N$3,'BY-Demands'!$J$5:$AK$14,MATCH($E96,'BY-Demands'!$I$5:$I$14,0),FALSE)*HLOOKUP(REG_TRA_DEMANDS!$F96,DEMANDS!$G$2:$CK$25,MATCH($E96,DEMANDS!$E$2:$E$25,0),FALSE)/HLOOKUP(2018,DEMANDS!$G$2:$CK$25,MATCH($E96,DEMANDS!$E$2:$E$25,0),FALSE)</f>
        <v>0.65908878767959267</v>
      </c>
      <c r="O96" s="19">
        <f>HLOOKUP(REG_TRA_DEMANDS!O$3,'BY-Demands'!$J$5:$AK$14,MATCH($E96,'BY-Demands'!$I$5:$I$14,0),FALSE)*HLOOKUP(REG_TRA_DEMANDS!$F96,DEMANDS!$G$2:$CK$25,MATCH($E96,DEMANDS!$E$2:$E$25,0),FALSE)/HLOOKUP(2018,DEMANDS!$G$2:$CK$25,MATCH($E96,DEMANDS!$E$2:$E$25,0),FALSE)</f>
        <v>0.31004299537883545</v>
      </c>
      <c r="P96" s="19">
        <f>HLOOKUP(REG_TRA_DEMANDS!P$3,'BY-Demands'!$J$5:$AK$14,MATCH($E96,'BY-Demands'!$I$5:$I$14,0),FALSE)*HLOOKUP(REG_TRA_DEMANDS!$F96,DEMANDS!$G$2:$CK$25,MATCH($E96,DEMANDS!$E$2:$E$25,0),FALSE)/HLOOKUP(2018,DEMANDS!$G$2:$CK$25,MATCH($E96,DEMANDS!$E$2:$E$25,0),FALSE)</f>
        <v>0.35302929284872286</v>
      </c>
      <c r="Q96" s="19">
        <f>HLOOKUP(REG_TRA_DEMANDS!Q$3,'BY-Demands'!$J$5:$AK$14,MATCH($E96,'BY-Demands'!$I$5:$I$14,0),FALSE)*HLOOKUP(REG_TRA_DEMANDS!$F96,DEMANDS!$G$2:$CK$25,MATCH($E96,DEMANDS!$E$2:$E$25,0),FALSE)/HLOOKUP(2018,DEMANDS!$G$2:$CK$25,MATCH($E96,DEMANDS!$E$2:$E$25,0),FALSE)</f>
        <v>0.71353097300070611</v>
      </c>
      <c r="R96" s="19">
        <f>HLOOKUP(REG_TRA_DEMANDS!R$3,'BY-Demands'!$J$5:$AK$14,MATCH($E96,'BY-Demands'!$I$5:$I$14,0),FALSE)*HLOOKUP(REG_TRA_DEMANDS!$F96,DEMANDS!$G$2:$CK$25,MATCH($E96,DEMANDS!$E$2:$E$25,0),FALSE)/HLOOKUP(2018,DEMANDS!$G$2:$CK$25,MATCH($E96,DEMANDS!$E$2:$E$25,0),FALSE)</f>
        <v>0.47071596800774573</v>
      </c>
      <c r="S96" s="19">
        <f>HLOOKUP(REG_TRA_DEMANDS!S$3,'BY-Demands'!$J$5:$AK$14,MATCH($E96,'BY-Demands'!$I$5:$I$14,0),FALSE)*HLOOKUP(REG_TRA_DEMANDS!$F96,DEMANDS!$G$2:$CK$25,MATCH($E96,DEMANDS!$E$2:$E$25,0),FALSE)/HLOOKUP(2018,DEMANDS!$G$2:$CK$25,MATCH($E96,DEMANDS!$E$2:$E$25,0),FALSE)</f>
        <v>0.46320922514428686</v>
      </c>
      <c r="T96" s="19">
        <f>HLOOKUP(REG_TRA_DEMANDS!T$3,'BY-Demands'!$J$5:$AK$14,MATCH($E96,'BY-Demands'!$I$5:$I$14,0),FALSE)*HLOOKUP(REG_TRA_DEMANDS!$F96,DEMANDS!$G$2:$CK$25,MATCH($E96,DEMANDS!$E$2:$E$25,0),FALSE)/HLOOKUP(2018,DEMANDS!$G$2:$CK$25,MATCH($E96,DEMANDS!$E$2:$E$25,0),FALSE)</f>
        <v>2.4784222052761873</v>
      </c>
      <c r="U96" s="19">
        <f>HLOOKUP(REG_TRA_DEMANDS!U$3,'BY-Demands'!$J$5:$AK$14,MATCH($E96,'BY-Demands'!$I$5:$I$14,0),FALSE)*HLOOKUP(REG_TRA_DEMANDS!$F96,DEMANDS!$G$2:$CK$25,MATCH($E96,DEMANDS!$E$2:$E$25,0),FALSE)/HLOOKUP(2018,DEMANDS!$G$2:$CK$25,MATCH($E96,DEMANDS!$E$2:$E$25,0),FALSE)</f>
        <v>0.67434497644865576</v>
      </c>
      <c r="V96" s="19">
        <f>HLOOKUP(REG_TRA_DEMANDS!V$3,'BY-Demands'!$J$5:$AK$14,MATCH($E96,'BY-Demands'!$I$5:$I$14,0),FALSE)*HLOOKUP(REG_TRA_DEMANDS!$F96,DEMANDS!$G$2:$CK$25,MATCH($E96,DEMANDS!$E$2:$E$25,0),FALSE)/HLOOKUP(2018,DEMANDS!$G$2:$CK$25,MATCH($E96,DEMANDS!$E$2:$E$25,0),FALSE)</f>
        <v>0.75981563893547666</v>
      </c>
      <c r="W96" s="19">
        <f>HLOOKUP(REG_TRA_DEMANDS!W$3,'BY-Demands'!$J$5:$AK$14,MATCH($E96,'BY-Demands'!$I$5:$I$14,0),FALSE)*HLOOKUP(REG_TRA_DEMANDS!$F96,DEMANDS!$G$2:$CK$25,MATCH($E96,DEMANDS!$E$2:$E$25,0),FALSE)/HLOOKUP(2018,DEMANDS!$G$2:$CK$25,MATCH($E96,DEMANDS!$E$2:$E$25,0),FALSE)</f>
        <v>0.6220189156387258</v>
      </c>
      <c r="X96" s="19">
        <f>HLOOKUP(REG_TRA_DEMANDS!X$3,'BY-Demands'!$J$5:$AK$14,MATCH($E96,'BY-Demands'!$I$5:$I$14,0),FALSE)*HLOOKUP(REG_TRA_DEMANDS!$F96,DEMANDS!$G$2:$CK$25,MATCH($E96,DEMANDS!$E$2:$E$25,0),FALSE)/HLOOKUP(2018,DEMANDS!$G$2:$CK$25,MATCH($E96,DEMANDS!$E$2:$E$25,0),FALSE)</f>
        <v>0.57777149395994643</v>
      </c>
      <c r="Y96" s="19">
        <f>HLOOKUP(REG_TRA_DEMANDS!Y$3,'BY-Demands'!$J$5:$AK$14,MATCH($E96,'BY-Demands'!$I$5:$I$14,0),FALSE)*HLOOKUP(REG_TRA_DEMANDS!$F96,DEMANDS!$G$2:$CK$25,MATCH($E96,DEMANDS!$E$2:$E$25,0),FALSE)/HLOOKUP(2018,DEMANDS!$G$2:$CK$25,MATCH($E96,DEMANDS!$E$2:$E$25,0),FALSE)</f>
        <v>0.92258581159277486</v>
      </c>
      <c r="Z96" s="19">
        <f>HLOOKUP(REG_TRA_DEMANDS!Z$3,'BY-Demands'!$J$5:$AK$14,MATCH($E96,'BY-Demands'!$I$5:$I$14,0),FALSE)*HLOOKUP(REG_TRA_DEMANDS!$F96,DEMANDS!$G$2:$CK$25,MATCH($E96,DEMANDS!$E$2:$E$25,0),FALSE)/HLOOKUP(2018,DEMANDS!$G$2:$CK$25,MATCH($E96,DEMANDS!$E$2:$E$25,0),FALSE)</f>
        <v>0.12303991601165919</v>
      </c>
      <c r="AA96" s="19">
        <f>HLOOKUP(REG_TRA_DEMANDS!AA$3,'BY-Demands'!$J$5:$AK$14,MATCH($E96,'BY-Demands'!$I$5:$I$14,0),FALSE)*HLOOKUP(REG_TRA_DEMANDS!$F96,DEMANDS!$G$2:$CK$25,MATCH($E96,DEMANDS!$E$2:$E$25,0),FALSE)/HLOOKUP(2018,DEMANDS!$G$2:$CK$25,MATCH($E96,DEMANDS!$E$2:$E$25,0),FALSE)</f>
        <v>0.51962085662892799</v>
      </c>
      <c r="AB96" s="19">
        <f>HLOOKUP(REG_TRA_DEMANDS!AB$3,'BY-Demands'!$J$5:$AK$14,MATCH($E96,'BY-Demands'!$I$5:$I$14,0),FALSE)*HLOOKUP(REG_TRA_DEMANDS!$F96,DEMANDS!$G$2:$CK$25,MATCH($E96,DEMANDS!$E$2:$E$25,0),FALSE)/HLOOKUP(2018,DEMANDS!$G$2:$CK$25,MATCH($E96,DEMANDS!$E$2:$E$25,0),FALSE)</f>
        <v>0.23075191865179107</v>
      </c>
      <c r="AC96" s="19">
        <f>HLOOKUP(REG_TRA_DEMANDS!AC$3,'BY-Demands'!$J$5:$AK$14,MATCH($E96,'BY-Demands'!$I$5:$I$14,0),FALSE)*HLOOKUP(REG_TRA_DEMANDS!$F96,DEMANDS!$G$2:$CK$25,MATCH($E96,DEMANDS!$E$2:$E$25,0),FALSE)/HLOOKUP(2018,DEMANDS!$G$2:$CK$25,MATCH($E96,DEMANDS!$E$2:$E$25,0),FALSE)</f>
        <v>0.25163590362701593</v>
      </c>
      <c r="AD96" s="19">
        <f>HLOOKUP(REG_TRA_DEMANDS!AD$3,'BY-Demands'!$J$5:$AK$14,MATCH($E96,'BY-Demands'!$I$5:$I$14,0),FALSE)*HLOOKUP(REG_TRA_DEMANDS!$F96,DEMANDS!$G$2:$CK$25,MATCH($E96,DEMANDS!$E$2:$E$25,0),FALSE)/HLOOKUP(2018,DEMANDS!$G$2:$CK$25,MATCH($E96,DEMANDS!$E$2:$E$25,0),FALSE)</f>
        <v>0.29249434034777666</v>
      </c>
      <c r="AE96" s="19">
        <f>HLOOKUP(REG_TRA_DEMANDS!AE$3,'BY-Demands'!$J$5:$AK$14,MATCH($E96,'BY-Demands'!$I$5:$I$14,0),FALSE)*HLOOKUP(REG_TRA_DEMANDS!$F96,DEMANDS!$G$2:$CK$25,MATCH($E96,DEMANDS!$E$2:$E$25,0),FALSE)/HLOOKUP(2018,DEMANDS!$G$2:$CK$25,MATCH($E96,DEMANDS!$E$2:$E$25,0),FALSE)</f>
        <v>0.61125235019747959</v>
      </c>
      <c r="AF96" s="19">
        <f>HLOOKUP(REG_TRA_DEMANDS!AF$3,'BY-Demands'!$J$5:$AK$14,MATCH($E96,'BY-Demands'!$I$5:$I$14,0),FALSE)*HLOOKUP(REG_TRA_DEMANDS!$F96,DEMANDS!$G$2:$CK$25,MATCH($E96,DEMANDS!$E$2:$E$25,0),FALSE)/HLOOKUP(2018,DEMANDS!$G$2:$CK$25,MATCH($E96,DEMANDS!$E$2:$E$25,0),FALSE)</f>
        <v>0.2357049146265052</v>
      </c>
    </row>
    <row r="97" spans="4:32" ht="14.5">
      <c r="D97" t="s">
        <v>6</v>
      </c>
      <c r="E97" t="str">
        <f>DEMANDS!$E$20</f>
        <v>TRAF</v>
      </c>
      <c r="F97">
        <v>2032</v>
      </c>
      <c r="G97" s="19">
        <f>HLOOKUP(REG_TRA_DEMANDS!G$3,'BY-Demands'!$J$5:$AK$14,MATCH($E97,'BY-Demands'!$I$5:$I$14,0),FALSE)*HLOOKUP(REG_TRA_DEMANDS!$F97,DEMANDS!$G$2:$CK$25,MATCH($E97,DEMANDS!$E$2:$E$25,0),FALSE)/HLOOKUP(2018,DEMANDS!$G$2:$CK$25,MATCH($E97,DEMANDS!$E$2:$E$25,0),FALSE)</f>
        <v>0.27756153736951439</v>
      </c>
      <c r="H97" s="19">
        <f>HLOOKUP(REG_TRA_DEMANDS!H$3,'BY-Demands'!$J$5:$AK$14,MATCH($E97,'BY-Demands'!$I$5:$I$14,0),FALSE)*HLOOKUP(REG_TRA_DEMANDS!$F97,DEMANDS!$G$2:$CK$25,MATCH($E97,DEMANDS!$E$2:$E$25,0),FALSE)/HLOOKUP(2018,DEMANDS!$G$2:$CK$25,MATCH($E97,DEMANDS!$E$2:$E$25,0),FALSE)</f>
        <v>4.1456030874400609</v>
      </c>
      <c r="I97" s="19">
        <f>HLOOKUP(REG_TRA_DEMANDS!I$3,'BY-Demands'!$J$5:$AK$14,MATCH($E97,'BY-Demands'!$I$5:$I$14,0),FALSE)*HLOOKUP(REG_TRA_DEMANDS!$F97,DEMANDS!$G$2:$CK$25,MATCH($E97,DEMANDS!$E$2:$E$25,0),FALSE)/HLOOKUP(2018,DEMANDS!$G$2:$CK$25,MATCH($E97,DEMANDS!$E$2:$E$25,0),FALSE)</f>
        <v>0.75229150793571486</v>
      </c>
      <c r="J97" s="19">
        <f>HLOOKUP(REG_TRA_DEMANDS!J$3,'BY-Demands'!$J$5:$AK$14,MATCH($E97,'BY-Demands'!$I$5:$I$14,0),FALSE)*HLOOKUP(REG_TRA_DEMANDS!$F97,DEMANDS!$G$2:$CK$25,MATCH($E97,DEMANDS!$E$2:$E$25,0),FALSE)/HLOOKUP(2018,DEMANDS!$G$2:$CK$25,MATCH($E97,DEMANDS!$E$2:$E$25,0),FALSE)</f>
        <v>0.4837874389842553</v>
      </c>
      <c r="K97" s="19">
        <f>HLOOKUP(REG_TRA_DEMANDS!K$3,'BY-Demands'!$J$5:$AK$14,MATCH($E97,'BY-Demands'!$I$5:$I$14,0),FALSE)*HLOOKUP(REG_TRA_DEMANDS!$F97,DEMANDS!$G$2:$CK$25,MATCH($E97,DEMANDS!$E$2:$E$25,0),FALSE)/HLOOKUP(2018,DEMANDS!$G$2:$CK$25,MATCH($E97,DEMANDS!$E$2:$E$25,0),FALSE)</f>
        <v>0.34457850650879407</v>
      </c>
      <c r="L97" s="19">
        <f>HLOOKUP(REG_TRA_DEMANDS!L$3,'BY-Demands'!$J$5:$AK$14,MATCH($E97,'BY-Demands'!$I$5:$I$14,0),FALSE)*HLOOKUP(REG_TRA_DEMANDS!$F97,DEMANDS!$G$2:$CK$25,MATCH($E97,DEMANDS!$E$2:$E$25,0),FALSE)/HLOOKUP(2018,DEMANDS!$G$2:$CK$25,MATCH($E97,DEMANDS!$E$2:$E$25,0),FALSE)</f>
        <v>0.1662863772805884</v>
      </c>
      <c r="M97" s="19">
        <f>HLOOKUP(REG_TRA_DEMANDS!M$3,'BY-Demands'!$J$5:$AK$14,MATCH($E97,'BY-Demands'!$I$5:$I$14,0),FALSE)*HLOOKUP(REG_TRA_DEMANDS!$F97,DEMANDS!$G$2:$CK$25,MATCH($E97,DEMANDS!$E$2:$E$25,0),FALSE)/HLOOKUP(2018,DEMANDS!$G$2:$CK$25,MATCH($E97,DEMANDS!$E$2:$E$25,0),FALSE)</f>
        <v>0.43575998053422293</v>
      </c>
      <c r="N97" s="19">
        <f>HLOOKUP(REG_TRA_DEMANDS!N$3,'BY-Demands'!$J$5:$AK$14,MATCH($E97,'BY-Demands'!$I$5:$I$14,0),FALSE)*HLOOKUP(REG_TRA_DEMANDS!$F97,DEMANDS!$G$2:$CK$25,MATCH($E97,DEMANDS!$E$2:$E$25,0),FALSE)/HLOOKUP(2018,DEMANDS!$G$2:$CK$25,MATCH($E97,DEMANDS!$E$2:$E$25,0),FALSE)</f>
        <v>0.67424782979622322</v>
      </c>
      <c r="O97" s="19">
        <f>HLOOKUP(REG_TRA_DEMANDS!O$3,'BY-Demands'!$J$5:$AK$14,MATCH($E97,'BY-Demands'!$I$5:$I$14,0),FALSE)*HLOOKUP(REG_TRA_DEMANDS!$F97,DEMANDS!$G$2:$CK$25,MATCH($E97,DEMANDS!$E$2:$E$25,0),FALSE)/HLOOKUP(2018,DEMANDS!$G$2:$CK$25,MATCH($E97,DEMANDS!$E$2:$E$25,0),FALSE)</f>
        <v>0.31717398427254867</v>
      </c>
      <c r="P97" s="19">
        <f>HLOOKUP(REG_TRA_DEMANDS!P$3,'BY-Demands'!$J$5:$AK$14,MATCH($E97,'BY-Demands'!$I$5:$I$14,0),FALSE)*HLOOKUP(REG_TRA_DEMANDS!$F97,DEMANDS!$G$2:$CK$25,MATCH($E97,DEMANDS!$E$2:$E$25,0),FALSE)/HLOOKUP(2018,DEMANDS!$G$2:$CK$25,MATCH($E97,DEMANDS!$E$2:$E$25,0),FALSE)</f>
        <v>0.3611489665842435</v>
      </c>
      <c r="Q97" s="19">
        <f>HLOOKUP(REG_TRA_DEMANDS!Q$3,'BY-Demands'!$J$5:$AK$14,MATCH($E97,'BY-Demands'!$I$5:$I$14,0),FALSE)*HLOOKUP(REG_TRA_DEMANDS!$F97,DEMANDS!$G$2:$CK$25,MATCH($E97,DEMANDS!$E$2:$E$25,0),FALSE)/HLOOKUP(2018,DEMANDS!$G$2:$CK$25,MATCH($E97,DEMANDS!$E$2:$E$25,0),FALSE)</f>
        <v>0.72994218537972244</v>
      </c>
      <c r="R97" s="19">
        <f>HLOOKUP(REG_TRA_DEMANDS!R$3,'BY-Demands'!$J$5:$AK$14,MATCH($E97,'BY-Demands'!$I$5:$I$14,0),FALSE)*HLOOKUP(REG_TRA_DEMANDS!$F97,DEMANDS!$G$2:$CK$25,MATCH($E97,DEMANDS!$E$2:$E$25,0),FALSE)/HLOOKUP(2018,DEMANDS!$G$2:$CK$25,MATCH($E97,DEMANDS!$E$2:$E$25,0),FALSE)</f>
        <v>0.48154243527192386</v>
      </c>
      <c r="S97" s="19">
        <f>HLOOKUP(REG_TRA_DEMANDS!S$3,'BY-Demands'!$J$5:$AK$14,MATCH($E97,'BY-Demands'!$I$5:$I$14,0),FALSE)*HLOOKUP(REG_TRA_DEMANDS!$F97,DEMANDS!$G$2:$CK$25,MATCH($E97,DEMANDS!$E$2:$E$25,0),FALSE)/HLOOKUP(2018,DEMANDS!$G$2:$CK$25,MATCH($E97,DEMANDS!$E$2:$E$25,0),FALSE)</f>
        <v>0.47386303732260543</v>
      </c>
      <c r="T97" s="19">
        <f>HLOOKUP(REG_TRA_DEMANDS!T$3,'BY-Demands'!$J$5:$AK$14,MATCH($E97,'BY-Demands'!$I$5:$I$14,0),FALSE)*HLOOKUP(REG_TRA_DEMANDS!$F97,DEMANDS!$G$2:$CK$25,MATCH($E97,DEMANDS!$E$2:$E$25,0),FALSE)/HLOOKUP(2018,DEMANDS!$G$2:$CK$25,MATCH($E97,DEMANDS!$E$2:$E$25,0),FALSE)</f>
        <v>2.5354259159975396</v>
      </c>
      <c r="U97" s="19">
        <f>HLOOKUP(REG_TRA_DEMANDS!U$3,'BY-Demands'!$J$5:$AK$14,MATCH($E97,'BY-Demands'!$I$5:$I$14,0),FALSE)*HLOOKUP(REG_TRA_DEMANDS!$F97,DEMANDS!$G$2:$CK$25,MATCH($E97,DEMANDS!$E$2:$E$25,0),FALSE)/HLOOKUP(2018,DEMANDS!$G$2:$CK$25,MATCH($E97,DEMANDS!$E$2:$E$25,0),FALSE)</f>
        <v>0.68985491090697482</v>
      </c>
      <c r="V97" s="19">
        <f>HLOOKUP(REG_TRA_DEMANDS!V$3,'BY-Demands'!$J$5:$AK$14,MATCH($E97,'BY-Demands'!$I$5:$I$14,0),FALSE)*HLOOKUP(REG_TRA_DEMANDS!$F97,DEMANDS!$G$2:$CK$25,MATCH($E97,DEMANDS!$E$2:$E$25,0),FALSE)/HLOOKUP(2018,DEMANDS!$G$2:$CK$25,MATCH($E97,DEMANDS!$E$2:$E$25,0),FALSE)</f>
        <v>0.77729139863099261</v>
      </c>
      <c r="W97" s="19">
        <f>HLOOKUP(REG_TRA_DEMANDS!W$3,'BY-Demands'!$J$5:$AK$14,MATCH($E97,'BY-Demands'!$I$5:$I$14,0),FALSE)*HLOOKUP(REG_TRA_DEMANDS!$F97,DEMANDS!$G$2:$CK$25,MATCH($E97,DEMANDS!$E$2:$E$25,0),FALSE)/HLOOKUP(2018,DEMANDS!$G$2:$CK$25,MATCH($E97,DEMANDS!$E$2:$E$25,0),FALSE)</f>
        <v>0.63632535069841645</v>
      </c>
      <c r="X97" s="19">
        <f>HLOOKUP(REG_TRA_DEMANDS!X$3,'BY-Demands'!$J$5:$AK$14,MATCH($E97,'BY-Demands'!$I$5:$I$14,0),FALSE)*HLOOKUP(REG_TRA_DEMANDS!$F97,DEMANDS!$G$2:$CK$25,MATCH($E97,DEMANDS!$E$2:$E$25,0),FALSE)/HLOOKUP(2018,DEMANDS!$G$2:$CK$25,MATCH($E97,DEMANDS!$E$2:$E$25,0),FALSE)</f>
        <v>0.59106023832102517</v>
      </c>
      <c r="Y97" s="19">
        <f>HLOOKUP(REG_TRA_DEMANDS!Y$3,'BY-Demands'!$J$5:$AK$14,MATCH($E97,'BY-Demands'!$I$5:$I$14,0),FALSE)*HLOOKUP(REG_TRA_DEMANDS!$F97,DEMANDS!$G$2:$CK$25,MATCH($E97,DEMANDS!$E$2:$E$25,0),FALSE)/HLOOKUP(2018,DEMANDS!$G$2:$CK$25,MATCH($E97,DEMANDS!$E$2:$E$25,0),FALSE)</f>
        <v>0.94380528525940877</v>
      </c>
      <c r="Z97" s="19">
        <f>HLOOKUP(REG_TRA_DEMANDS!Z$3,'BY-Demands'!$J$5:$AK$14,MATCH($E97,'BY-Demands'!$I$5:$I$14,0),FALSE)*HLOOKUP(REG_TRA_DEMANDS!$F97,DEMANDS!$G$2:$CK$25,MATCH($E97,DEMANDS!$E$2:$E$25,0),FALSE)/HLOOKUP(2018,DEMANDS!$G$2:$CK$25,MATCH($E97,DEMANDS!$E$2:$E$25,0),FALSE)</f>
        <v>0.12586983407992736</v>
      </c>
      <c r="AA97" s="19">
        <f>HLOOKUP(REG_TRA_DEMANDS!AA$3,'BY-Demands'!$J$5:$AK$14,MATCH($E97,'BY-Demands'!$I$5:$I$14,0),FALSE)*HLOOKUP(REG_TRA_DEMANDS!$F97,DEMANDS!$G$2:$CK$25,MATCH($E97,DEMANDS!$E$2:$E$25,0),FALSE)/HLOOKUP(2018,DEMANDS!$G$2:$CK$25,MATCH($E97,DEMANDS!$E$2:$E$25,0),FALSE)</f>
        <v>0.53157213633139333</v>
      </c>
      <c r="AB97" s="19">
        <f>HLOOKUP(REG_TRA_DEMANDS!AB$3,'BY-Demands'!$J$5:$AK$14,MATCH($E97,'BY-Demands'!$I$5:$I$14,0),FALSE)*HLOOKUP(REG_TRA_DEMANDS!$F97,DEMANDS!$G$2:$CK$25,MATCH($E97,DEMANDS!$E$2:$E$25,0),FALSE)/HLOOKUP(2018,DEMANDS!$G$2:$CK$25,MATCH($E97,DEMANDS!$E$2:$E$25,0),FALSE)</f>
        <v>0.23605921278078226</v>
      </c>
      <c r="AC97" s="19">
        <f>HLOOKUP(REG_TRA_DEMANDS!AC$3,'BY-Demands'!$J$5:$AK$14,MATCH($E97,'BY-Demands'!$I$5:$I$14,0),FALSE)*HLOOKUP(REG_TRA_DEMANDS!$F97,DEMANDS!$G$2:$CK$25,MATCH($E97,DEMANDS!$E$2:$E$25,0),FALSE)/HLOOKUP(2018,DEMANDS!$G$2:$CK$25,MATCH($E97,DEMANDS!$E$2:$E$25,0),FALSE)</f>
        <v>0.25742352941043728</v>
      </c>
      <c r="AD97" s="19">
        <f>HLOOKUP(REG_TRA_DEMANDS!AD$3,'BY-Demands'!$J$5:$AK$14,MATCH($E97,'BY-Demands'!$I$5:$I$14,0),FALSE)*HLOOKUP(REG_TRA_DEMANDS!$F97,DEMANDS!$G$2:$CK$25,MATCH($E97,DEMANDS!$E$2:$E$25,0),FALSE)/HLOOKUP(2018,DEMANDS!$G$2:$CK$25,MATCH($E97,DEMANDS!$E$2:$E$25,0),FALSE)</f>
        <v>0.29922171017577553</v>
      </c>
      <c r="AE97" s="19">
        <f>HLOOKUP(REG_TRA_DEMANDS!AE$3,'BY-Demands'!$J$5:$AK$14,MATCH($E97,'BY-Demands'!$I$5:$I$14,0),FALSE)*HLOOKUP(REG_TRA_DEMANDS!$F97,DEMANDS!$G$2:$CK$25,MATCH($E97,DEMANDS!$E$2:$E$25,0),FALSE)/HLOOKUP(2018,DEMANDS!$G$2:$CK$25,MATCH($E97,DEMANDS!$E$2:$E$25,0),FALSE)</f>
        <v>0.62531115425202177</v>
      </c>
      <c r="AF97" s="19">
        <f>HLOOKUP(REG_TRA_DEMANDS!AF$3,'BY-Demands'!$J$5:$AK$14,MATCH($E97,'BY-Demands'!$I$5:$I$14,0),FALSE)*HLOOKUP(REG_TRA_DEMANDS!$F97,DEMANDS!$G$2:$CK$25,MATCH($E97,DEMANDS!$E$2:$E$25,0),FALSE)/HLOOKUP(2018,DEMANDS!$G$2:$CK$25,MATCH($E97,DEMANDS!$E$2:$E$25,0),FALSE)</f>
        <v>0.2411261276629148</v>
      </c>
    </row>
    <row r="98" spans="4:32" ht="14.5">
      <c r="D98" t="s">
        <v>6</v>
      </c>
      <c r="E98" t="str">
        <f>DEMANDS!$E$20</f>
        <v>TRAF</v>
      </c>
      <c r="F98">
        <v>2033</v>
      </c>
      <c r="G98" s="19">
        <f>HLOOKUP(REG_TRA_DEMANDS!G$3,'BY-Demands'!$J$5:$AK$14,MATCH($E98,'BY-Demands'!$I$5:$I$14,0),FALSE)*HLOOKUP(REG_TRA_DEMANDS!$F98,DEMANDS!$G$2:$CK$25,MATCH($E98,DEMANDS!$E$2:$E$25,0),FALSE)/HLOOKUP(2018,DEMANDS!$G$2:$CK$25,MATCH($E98,DEMANDS!$E$2:$E$25,0),FALSE)</f>
        <v>0.28394545272901323</v>
      </c>
      <c r="H98" s="19">
        <f>HLOOKUP(REG_TRA_DEMANDS!H$3,'BY-Demands'!$J$5:$AK$14,MATCH($E98,'BY-Demands'!$I$5:$I$14,0),FALSE)*HLOOKUP(REG_TRA_DEMANDS!$F98,DEMANDS!$G$2:$CK$25,MATCH($E98,DEMANDS!$E$2:$E$25,0),FALSE)/HLOOKUP(2018,DEMANDS!$G$2:$CK$25,MATCH($E98,DEMANDS!$E$2:$E$25,0),FALSE)</f>
        <v>4.2409519584511823</v>
      </c>
      <c r="I98" s="19">
        <f>HLOOKUP(REG_TRA_DEMANDS!I$3,'BY-Demands'!$J$5:$AK$14,MATCH($E98,'BY-Demands'!$I$5:$I$14,0),FALSE)*HLOOKUP(REG_TRA_DEMANDS!$F98,DEMANDS!$G$2:$CK$25,MATCH($E98,DEMANDS!$E$2:$E$25,0),FALSE)/HLOOKUP(2018,DEMANDS!$G$2:$CK$25,MATCH($E98,DEMANDS!$E$2:$E$25,0),FALSE)</f>
        <v>0.76959421261823624</v>
      </c>
      <c r="J98" s="19">
        <f>HLOOKUP(REG_TRA_DEMANDS!J$3,'BY-Demands'!$J$5:$AK$14,MATCH($E98,'BY-Demands'!$I$5:$I$14,0),FALSE)*HLOOKUP(REG_TRA_DEMANDS!$F98,DEMANDS!$G$2:$CK$25,MATCH($E98,DEMANDS!$E$2:$E$25,0),FALSE)/HLOOKUP(2018,DEMANDS!$G$2:$CK$25,MATCH($E98,DEMANDS!$E$2:$E$25,0),FALSE)</f>
        <v>0.49491455008089313</v>
      </c>
      <c r="K98" s="19">
        <f>HLOOKUP(REG_TRA_DEMANDS!K$3,'BY-Demands'!$J$5:$AK$14,MATCH($E98,'BY-Demands'!$I$5:$I$14,0),FALSE)*HLOOKUP(REG_TRA_DEMANDS!$F98,DEMANDS!$G$2:$CK$25,MATCH($E98,DEMANDS!$E$2:$E$25,0),FALSE)/HLOOKUP(2018,DEMANDS!$G$2:$CK$25,MATCH($E98,DEMANDS!$E$2:$E$25,0),FALSE)</f>
        <v>0.3525038121584963</v>
      </c>
      <c r="L98" s="19">
        <f>HLOOKUP(REG_TRA_DEMANDS!L$3,'BY-Demands'!$J$5:$AK$14,MATCH($E98,'BY-Demands'!$I$5:$I$14,0),FALSE)*HLOOKUP(REG_TRA_DEMANDS!$F98,DEMANDS!$G$2:$CK$25,MATCH($E98,DEMANDS!$E$2:$E$25,0),FALSE)/HLOOKUP(2018,DEMANDS!$G$2:$CK$25,MATCH($E98,DEMANDS!$E$2:$E$25,0),FALSE)</f>
        <v>0.1701109639580419</v>
      </c>
      <c r="M98" s="19">
        <f>HLOOKUP(REG_TRA_DEMANDS!M$3,'BY-Demands'!$J$5:$AK$14,MATCH($E98,'BY-Demands'!$I$5:$I$14,0),FALSE)*HLOOKUP(REG_TRA_DEMANDS!$F98,DEMANDS!$G$2:$CK$25,MATCH($E98,DEMANDS!$E$2:$E$25,0),FALSE)/HLOOKUP(2018,DEMANDS!$G$2:$CK$25,MATCH($E98,DEMANDS!$E$2:$E$25,0),FALSE)</f>
        <v>0.44578246008650996</v>
      </c>
      <c r="N98" s="19">
        <f>HLOOKUP(REG_TRA_DEMANDS!N$3,'BY-Demands'!$J$5:$AK$14,MATCH($E98,'BY-Demands'!$I$5:$I$14,0),FALSE)*HLOOKUP(REG_TRA_DEMANDS!$F98,DEMANDS!$G$2:$CK$25,MATCH($E98,DEMANDS!$E$2:$E$25,0),FALSE)/HLOOKUP(2018,DEMANDS!$G$2:$CK$25,MATCH($E98,DEMANDS!$E$2:$E$25,0),FALSE)</f>
        <v>0.68975552988153632</v>
      </c>
      <c r="O98" s="19">
        <f>HLOOKUP(REG_TRA_DEMANDS!O$3,'BY-Demands'!$J$5:$AK$14,MATCH($E98,'BY-Demands'!$I$5:$I$14,0),FALSE)*HLOOKUP(REG_TRA_DEMANDS!$F98,DEMANDS!$G$2:$CK$25,MATCH($E98,DEMANDS!$E$2:$E$25,0),FALSE)/HLOOKUP(2018,DEMANDS!$G$2:$CK$25,MATCH($E98,DEMANDS!$E$2:$E$25,0),FALSE)</f>
        <v>0.32446898591081724</v>
      </c>
      <c r="P98" s="19">
        <f>HLOOKUP(REG_TRA_DEMANDS!P$3,'BY-Demands'!$J$5:$AK$14,MATCH($E98,'BY-Demands'!$I$5:$I$14,0),FALSE)*HLOOKUP(REG_TRA_DEMANDS!$F98,DEMANDS!$G$2:$CK$25,MATCH($E98,DEMANDS!$E$2:$E$25,0),FALSE)/HLOOKUP(2018,DEMANDS!$G$2:$CK$25,MATCH($E98,DEMANDS!$E$2:$E$25,0),FALSE)</f>
        <v>0.36945539281568102</v>
      </c>
      <c r="Q98" s="19">
        <f>HLOOKUP(REG_TRA_DEMANDS!Q$3,'BY-Demands'!$J$5:$AK$14,MATCH($E98,'BY-Demands'!$I$5:$I$14,0),FALSE)*HLOOKUP(REG_TRA_DEMANDS!$F98,DEMANDS!$G$2:$CK$25,MATCH($E98,DEMANDS!$E$2:$E$25,0),FALSE)/HLOOKUP(2018,DEMANDS!$G$2:$CK$25,MATCH($E98,DEMANDS!$E$2:$E$25,0),FALSE)</f>
        <v>0.74673085564345587</v>
      </c>
      <c r="R98" s="19">
        <f>HLOOKUP(REG_TRA_DEMANDS!R$3,'BY-Demands'!$J$5:$AK$14,MATCH($E98,'BY-Demands'!$I$5:$I$14,0),FALSE)*HLOOKUP(REG_TRA_DEMANDS!$F98,DEMANDS!$G$2:$CK$25,MATCH($E98,DEMANDS!$E$2:$E$25,0),FALSE)/HLOOKUP(2018,DEMANDS!$G$2:$CK$25,MATCH($E98,DEMANDS!$E$2:$E$25,0),FALSE)</f>
        <v>0.49261791128317806</v>
      </c>
      <c r="S98" s="19">
        <f>HLOOKUP(REG_TRA_DEMANDS!S$3,'BY-Demands'!$J$5:$AK$14,MATCH($E98,'BY-Demands'!$I$5:$I$14,0),FALSE)*HLOOKUP(REG_TRA_DEMANDS!$F98,DEMANDS!$G$2:$CK$25,MATCH($E98,DEMANDS!$E$2:$E$25,0),FALSE)/HLOOKUP(2018,DEMANDS!$G$2:$CK$25,MATCH($E98,DEMANDS!$E$2:$E$25,0),FALSE)</f>
        <v>0.48476188718102531</v>
      </c>
      <c r="T98" s="19">
        <f>HLOOKUP(REG_TRA_DEMANDS!T$3,'BY-Demands'!$J$5:$AK$14,MATCH($E98,'BY-Demands'!$I$5:$I$14,0),FALSE)*HLOOKUP(REG_TRA_DEMANDS!$F98,DEMANDS!$G$2:$CK$25,MATCH($E98,DEMANDS!$E$2:$E$25,0),FALSE)/HLOOKUP(2018,DEMANDS!$G$2:$CK$25,MATCH($E98,DEMANDS!$E$2:$E$25,0),FALSE)</f>
        <v>2.593740712065483</v>
      </c>
      <c r="U98" s="19">
        <f>HLOOKUP(REG_TRA_DEMANDS!U$3,'BY-Demands'!$J$5:$AK$14,MATCH($E98,'BY-Demands'!$I$5:$I$14,0),FALSE)*HLOOKUP(REG_TRA_DEMANDS!$F98,DEMANDS!$G$2:$CK$25,MATCH($E98,DEMANDS!$E$2:$E$25,0),FALSE)/HLOOKUP(2018,DEMANDS!$G$2:$CK$25,MATCH($E98,DEMANDS!$E$2:$E$25,0),FALSE)</f>
        <v>0.70572157385783518</v>
      </c>
      <c r="V98" s="19">
        <f>HLOOKUP(REG_TRA_DEMANDS!V$3,'BY-Demands'!$J$5:$AK$14,MATCH($E98,'BY-Demands'!$I$5:$I$14,0),FALSE)*HLOOKUP(REG_TRA_DEMANDS!$F98,DEMANDS!$G$2:$CK$25,MATCH($E98,DEMANDS!$E$2:$E$25,0),FALSE)/HLOOKUP(2018,DEMANDS!$G$2:$CK$25,MATCH($E98,DEMANDS!$E$2:$E$25,0),FALSE)</f>
        <v>0.79516910079950542</v>
      </c>
      <c r="W98" s="19">
        <f>HLOOKUP(REG_TRA_DEMANDS!W$3,'BY-Demands'!$J$5:$AK$14,MATCH($E98,'BY-Demands'!$I$5:$I$14,0),FALSE)*HLOOKUP(REG_TRA_DEMANDS!$F98,DEMANDS!$G$2:$CK$25,MATCH($E98,DEMANDS!$E$2:$E$25,0),FALSE)/HLOOKUP(2018,DEMANDS!$G$2:$CK$25,MATCH($E98,DEMANDS!$E$2:$E$25,0),FALSE)</f>
        <v>0.65096083376447988</v>
      </c>
      <c r="X98" s="19">
        <f>HLOOKUP(REG_TRA_DEMANDS!X$3,'BY-Demands'!$J$5:$AK$14,MATCH($E98,'BY-Demands'!$I$5:$I$14,0),FALSE)*HLOOKUP(REG_TRA_DEMANDS!$F98,DEMANDS!$G$2:$CK$25,MATCH($E98,DEMANDS!$E$2:$E$25,0),FALSE)/HLOOKUP(2018,DEMANDS!$G$2:$CK$25,MATCH($E98,DEMANDS!$E$2:$E$25,0),FALSE)</f>
        <v>0.60465462380240864</v>
      </c>
      <c r="Y98" s="19">
        <f>HLOOKUP(REG_TRA_DEMANDS!Y$3,'BY-Demands'!$J$5:$AK$14,MATCH($E98,'BY-Demands'!$I$5:$I$14,0),FALSE)*HLOOKUP(REG_TRA_DEMANDS!$F98,DEMANDS!$G$2:$CK$25,MATCH($E98,DEMANDS!$E$2:$E$25,0),FALSE)/HLOOKUP(2018,DEMANDS!$G$2:$CK$25,MATCH($E98,DEMANDS!$E$2:$E$25,0),FALSE)</f>
        <v>0.9655128068203751</v>
      </c>
      <c r="Z98" s="19">
        <f>HLOOKUP(REG_TRA_DEMANDS!Z$3,'BY-Demands'!$J$5:$AK$14,MATCH($E98,'BY-Demands'!$I$5:$I$14,0),FALSE)*HLOOKUP(REG_TRA_DEMANDS!$F98,DEMANDS!$G$2:$CK$25,MATCH($E98,DEMANDS!$E$2:$E$25,0),FALSE)/HLOOKUP(2018,DEMANDS!$G$2:$CK$25,MATCH($E98,DEMANDS!$E$2:$E$25,0),FALSE)</f>
        <v>0.12876484026376567</v>
      </c>
      <c r="AA98" s="19">
        <f>HLOOKUP(REG_TRA_DEMANDS!AA$3,'BY-Demands'!$J$5:$AK$14,MATCH($E98,'BY-Demands'!$I$5:$I$14,0),FALSE)*HLOOKUP(REG_TRA_DEMANDS!$F98,DEMANDS!$G$2:$CK$25,MATCH($E98,DEMANDS!$E$2:$E$25,0),FALSE)/HLOOKUP(2018,DEMANDS!$G$2:$CK$25,MATCH($E98,DEMANDS!$E$2:$E$25,0),FALSE)</f>
        <v>0.54379829546701541</v>
      </c>
      <c r="AB98" s="19">
        <f>HLOOKUP(REG_TRA_DEMANDS!AB$3,'BY-Demands'!$J$5:$AK$14,MATCH($E98,'BY-Demands'!$I$5:$I$14,0),FALSE)*HLOOKUP(REG_TRA_DEMANDS!$F98,DEMANDS!$G$2:$CK$25,MATCH($E98,DEMANDS!$E$2:$E$25,0),FALSE)/HLOOKUP(2018,DEMANDS!$G$2:$CK$25,MATCH($E98,DEMANDS!$E$2:$E$25,0),FALSE)</f>
        <v>0.24148857467474025</v>
      </c>
      <c r="AC98" s="19">
        <f>HLOOKUP(REG_TRA_DEMANDS!AC$3,'BY-Demands'!$J$5:$AK$14,MATCH($E98,'BY-Demands'!$I$5:$I$14,0),FALSE)*HLOOKUP(REG_TRA_DEMANDS!$F98,DEMANDS!$G$2:$CK$25,MATCH($E98,DEMANDS!$E$2:$E$25,0),FALSE)/HLOOKUP(2018,DEMANDS!$G$2:$CK$25,MATCH($E98,DEMANDS!$E$2:$E$25,0),FALSE)</f>
        <v>0.26334427058687732</v>
      </c>
      <c r="AD98" s="19">
        <f>HLOOKUP(REG_TRA_DEMANDS!AD$3,'BY-Demands'!$J$5:$AK$14,MATCH($E98,'BY-Demands'!$I$5:$I$14,0),FALSE)*HLOOKUP(REG_TRA_DEMANDS!$F98,DEMANDS!$G$2:$CK$25,MATCH($E98,DEMANDS!$E$2:$E$25,0),FALSE)/HLOOKUP(2018,DEMANDS!$G$2:$CK$25,MATCH($E98,DEMANDS!$E$2:$E$25,0),FALSE)</f>
        <v>0.30610380950981836</v>
      </c>
      <c r="AE98" s="19">
        <f>HLOOKUP(REG_TRA_DEMANDS!AE$3,'BY-Demands'!$J$5:$AK$14,MATCH($E98,'BY-Demands'!$I$5:$I$14,0),FALSE)*HLOOKUP(REG_TRA_DEMANDS!$F98,DEMANDS!$G$2:$CK$25,MATCH($E98,DEMANDS!$E$2:$E$25,0),FALSE)/HLOOKUP(2018,DEMANDS!$G$2:$CK$25,MATCH($E98,DEMANDS!$E$2:$E$25,0),FALSE)</f>
        <v>0.63969331079981817</v>
      </c>
      <c r="AF98" s="19">
        <f>HLOOKUP(REG_TRA_DEMANDS!AF$3,'BY-Demands'!$J$5:$AK$14,MATCH($E98,'BY-Demands'!$I$5:$I$14,0),FALSE)*HLOOKUP(REG_TRA_DEMANDS!$F98,DEMANDS!$G$2:$CK$25,MATCH($E98,DEMANDS!$E$2:$E$25,0),FALSE)/HLOOKUP(2018,DEMANDS!$G$2:$CK$25,MATCH($E98,DEMANDS!$E$2:$E$25,0),FALSE)</f>
        <v>0.24667202859916182</v>
      </c>
    </row>
    <row r="99" spans="4:32" ht="14.5">
      <c r="D99" t="s">
        <v>6</v>
      </c>
      <c r="E99" t="str">
        <f>DEMANDS!$E$20</f>
        <v>TRAF</v>
      </c>
      <c r="F99">
        <v>2034</v>
      </c>
      <c r="G99" s="19">
        <f>HLOOKUP(REG_TRA_DEMANDS!G$3,'BY-Demands'!$J$5:$AK$14,MATCH($E99,'BY-Demands'!$I$5:$I$14,0),FALSE)*HLOOKUP(REG_TRA_DEMANDS!$F99,DEMANDS!$G$2:$CK$25,MATCH($E99,DEMANDS!$E$2:$E$25,0),FALSE)/HLOOKUP(2018,DEMANDS!$G$2:$CK$25,MATCH($E99,DEMANDS!$E$2:$E$25,0),FALSE)</f>
        <v>0.2904761981417805</v>
      </c>
      <c r="H99" s="19">
        <f>HLOOKUP(REG_TRA_DEMANDS!H$3,'BY-Demands'!$J$5:$AK$14,MATCH($E99,'BY-Demands'!$I$5:$I$14,0),FALSE)*HLOOKUP(REG_TRA_DEMANDS!$F99,DEMANDS!$G$2:$CK$25,MATCH($E99,DEMANDS!$E$2:$E$25,0),FALSE)/HLOOKUP(2018,DEMANDS!$G$2:$CK$25,MATCH($E99,DEMANDS!$E$2:$E$25,0),FALSE)</f>
        <v>4.3384938534955584</v>
      </c>
      <c r="I99" s="19">
        <f>HLOOKUP(REG_TRA_DEMANDS!I$3,'BY-Demands'!$J$5:$AK$14,MATCH($E99,'BY-Demands'!$I$5:$I$14,0),FALSE)*HLOOKUP(REG_TRA_DEMANDS!$F99,DEMANDS!$G$2:$CK$25,MATCH($E99,DEMANDS!$E$2:$E$25,0),FALSE)/HLOOKUP(2018,DEMANDS!$G$2:$CK$25,MATCH($E99,DEMANDS!$E$2:$E$25,0),FALSE)</f>
        <v>0.78729487950845556</v>
      </c>
      <c r="J99" s="19">
        <f>HLOOKUP(REG_TRA_DEMANDS!J$3,'BY-Demands'!$J$5:$AK$14,MATCH($E99,'BY-Demands'!$I$5:$I$14,0),FALSE)*HLOOKUP(REG_TRA_DEMANDS!$F99,DEMANDS!$G$2:$CK$25,MATCH($E99,DEMANDS!$E$2:$E$25,0),FALSE)/HLOOKUP(2018,DEMANDS!$G$2:$CK$25,MATCH($E99,DEMANDS!$E$2:$E$25,0),FALSE)</f>
        <v>0.50629758473275355</v>
      </c>
      <c r="K99" s="19">
        <f>HLOOKUP(REG_TRA_DEMANDS!K$3,'BY-Demands'!$J$5:$AK$14,MATCH($E99,'BY-Demands'!$I$5:$I$14,0),FALSE)*HLOOKUP(REG_TRA_DEMANDS!$F99,DEMANDS!$G$2:$CK$25,MATCH($E99,DEMANDS!$E$2:$E$25,0),FALSE)/HLOOKUP(2018,DEMANDS!$G$2:$CK$25,MATCH($E99,DEMANDS!$E$2:$E$25,0),FALSE)</f>
        <v>0.36061139983814167</v>
      </c>
      <c r="L99" s="19">
        <f>HLOOKUP(REG_TRA_DEMANDS!L$3,'BY-Demands'!$J$5:$AK$14,MATCH($E99,'BY-Demands'!$I$5:$I$14,0),FALSE)*HLOOKUP(REG_TRA_DEMANDS!$F99,DEMANDS!$G$2:$CK$25,MATCH($E99,DEMANDS!$E$2:$E$25,0),FALSE)/HLOOKUP(2018,DEMANDS!$G$2:$CK$25,MATCH($E99,DEMANDS!$E$2:$E$25,0),FALSE)</f>
        <v>0.17402351612907685</v>
      </c>
      <c r="M99" s="19">
        <f>HLOOKUP(REG_TRA_DEMANDS!M$3,'BY-Demands'!$J$5:$AK$14,MATCH($E99,'BY-Demands'!$I$5:$I$14,0),FALSE)*HLOOKUP(REG_TRA_DEMANDS!$F99,DEMANDS!$G$2:$CK$25,MATCH($E99,DEMANDS!$E$2:$E$25,0),FALSE)/HLOOKUP(2018,DEMANDS!$G$2:$CK$25,MATCH($E99,DEMANDS!$E$2:$E$25,0),FALSE)</f>
        <v>0.45603545666849965</v>
      </c>
      <c r="N99" s="19">
        <f>HLOOKUP(REG_TRA_DEMANDS!N$3,'BY-Demands'!$J$5:$AK$14,MATCH($E99,'BY-Demands'!$I$5:$I$14,0),FALSE)*HLOOKUP(REG_TRA_DEMANDS!$F99,DEMANDS!$G$2:$CK$25,MATCH($E99,DEMANDS!$E$2:$E$25,0),FALSE)/HLOOKUP(2018,DEMANDS!$G$2:$CK$25,MATCH($E99,DEMANDS!$E$2:$E$25,0),FALSE)</f>
        <v>0.70561990706881161</v>
      </c>
      <c r="O99" s="19">
        <f>HLOOKUP(REG_TRA_DEMANDS!O$3,'BY-Demands'!$J$5:$AK$14,MATCH($E99,'BY-Demands'!$I$5:$I$14,0),FALSE)*HLOOKUP(REG_TRA_DEMANDS!$F99,DEMANDS!$G$2:$CK$25,MATCH($E99,DEMANDS!$E$2:$E$25,0),FALSE)/HLOOKUP(2018,DEMANDS!$G$2:$CK$25,MATCH($E99,DEMANDS!$E$2:$E$25,0),FALSE)</f>
        <v>0.33193177258676598</v>
      </c>
      <c r="P99" s="19">
        <f>HLOOKUP(REG_TRA_DEMANDS!P$3,'BY-Demands'!$J$5:$AK$14,MATCH($E99,'BY-Demands'!$I$5:$I$14,0),FALSE)*HLOOKUP(REG_TRA_DEMANDS!$F99,DEMANDS!$G$2:$CK$25,MATCH($E99,DEMANDS!$E$2:$E$25,0),FALSE)/HLOOKUP(2018,DEMANDS!$G$2:$CK$25,MATCH($E99,DEMANDS!$E$2:$E$25,0),FALSE)</f>
        <v>0.37795286685044166</v>
      </c>
      <c r="Q99" s="19">
        <f>HLOOKUP(REG_TRA_DEMANDS!Q$3,'BY-Demands'!$J$5:$AK$14,MATCH($E99,'BY-Demands'!$I$5:$I$14,0),FALSE)*HLOOKUP(REG_TRA_DEMANDS!$F99,DEMANDS!$G$2:$CK$25,MATCH($E99,DEMANDS!$E$2:$E$25,0),FALSE)/HLOOKUP(2018,DEMANDS!$G$2:$CK$25,MATCH($E99,DEMANDS!$E$2:$E$25,0),FALSE)</f>
        <v>0.76390566532325532</v>
      </c>
      <c r="R99" s="19">
        <f>HLOOKUP(REG_TRA_DEMANDS!R$3,'BY-Demands'!$J$5:$AK$14,MATCH($E99,'BY-Demands'!$I$5:$I$14,0),FALSE)*HLOOKUP(REG_TRA_DEMANDS!$F99,DEMANDS!$G$2:$CK$25,MATCH($E99,DEMANDS!$E$2:$E$25,0),FALSE)/HLOOKUP(2018,DEMANDS!$G$2:$CK$25,MATCH($E99,DEMANDS!$E$2:$E$25,0),FALSE)</f>
        <v>0.50394812324269112</v>
      </c>
      <c r="S99" s="19">
        <f>HLOOKUP(REG_TRA_DEMANDS!S$3,'BY-Demands'!$J$5:$AK$14,MATCH($E99,'BY-Demands'!$I$5:$I$14,0),FALSE)*HLOOKUP(REG_TRA_DEMANDS!$F99,DEMANDS!$G$2:$CK$25,MATCH($E99,DEMANDS!$E$2:$E$25,0),FALSE)/HLOOKUP(2018,DEMANDS!$G$2:$CK$25,MATCH($E99,DEMANDS!$E$2:$E$25,0),FALSE)</f>
        <v>0.49591141058618882</v>
      </c>
      <c r="T99" s="19">
        <f>HLOOKUP(REG_TRA_DEMANDS!T$3,'BY-Demands'!$J$5:$AK$14,MATCH($E99,'BY-Demands'!$I$5:$I$14,0),FALSE)*HLOOKUP(REG_TRA_DEMANDS!$F99,DEMANDS!$G$2:$CK$25,MATCH($E99,DEMANDS!$E$2:$E$25,0),FALSE)/HLOOKUP(2018,DEMANDS!$G$2:$CK$25,MATCH($E99,DEMANDS!$E$2:$E$25,0),FALSE)</f>
        <v>2.6533967484429888</v>
      </c>
      <c r="U99" s="19">
        <f>HLOOKUP(REG_TRA_DEMANDS!U$3,'BY-Demands'!$J$5:$AK$14,MATCH($E99,'BY-Demands'!$I$5:$I$14,0),FALSE)*HLOOKUP(REG_TRA_DEMANDS!$F99,DEMANDS!$G$2:$CK$25,MATCH($E99,DEMANDS!$E$2:$E$25,0),FALSE)/HLOOKUP(2018,DEMANDS!$G$2:$CK$25,MATCH($E99,DEMANDS!$E$2:$E$25,0),FALSE)</f>
        <v>0.72195317005656534</v>
      </c>
      <c r="V99" s="19">
        <f>HLOOKUP(REG_TRA_DEMANDS!V$3,'BY-Demands'!$J$5:$AK$14,MATCH($E99,'BY-Demands'!$I$5:$I$14,0),FALSE)*HLOOKUP(REG_TRA_DEMANDS!$F99,DEMANDS!$G$2:$CK$25,MATCH($E99,DEMANDS!$E$2:$E$25,0),FALSE)/HLOOKUP(2018,DEMANDS!$G$2:$CK$25,MATCH($E99,DEMANDS!$E$2:$E$25,0),FALSE)</f>
        <v>0.81345799011789399</v>
      </c>
      <c r="W99" s="19">
        <f>HLOOKUP(REG_TRA_DEMANDS!W$3,'BY-Demands'!$J$5:$AK$14,MATCH($E99,'BY-Demands'!$I$5:$I$14,0),FALSE)*HLOOKUP(REG_TRA_DEMANDS!$F99,DEMANDS!$G$2:$CK$25,MATCH($E99,DEMANDS!$E$2:$E$25,0),FALSE)/HLOOKUP(2018,DEMANDS!$G$2:$CK$25,MATCH($E99,DEMANDS!$E$2:$E$25,0),FALSE)</f>
        <v>0.66593293294106293</v>
      </c>
      <c r="X99" s="19">
        <f>HLOOKUP(REG_TRA_DEMANDS!X$3,'BY-Demands'!$J$5:$AK$14,MATCH($E99,'BY-Demands'!$I$5:$I$14,0),FALSE)*HLOOKUP(REG_TRA_DEMANDS!$F99,DEMANDS!$G$2:$CK$25,MATCH($E99,DEMANDS!$E$2:$E$25,0),FALSE)/HLOOKUP(2018,DEMANDS!$G$2:$CK$25,MATCH($E99,DEMANDS!$E$2:$E$25,0),FALSE)</f>
        <v>0.61856168014986401</v>
      </c>
      <c r="Y99" s="19">
        <f>HLOOKUP(REG_TRA_DEMANDS!Y$3,'BY-Demands'!$J$5:$AK$14,MATCH($E99,'BY-Demands'!$I$5:$I$14,0),FALSE)*HLOOKUP(REG_TRA_DEMANDS!$F99,DEMANDS!$G$2:$CK$25,MATCH($E99,DEMANDS!$E$2:$E$25,0),FALSE)/HLOOKUP(2018,DEMANDS!$G$2:$CK$25,MATCH($E99,DEMANDS!$E$2:$E$25,0),FALSE)</f>
        <v>0.98771960137724346</v>
      </c>
      <c r="Z99" s="19">
        <f>HLOOKUP(REG_TRA_DEMANDS!Z$3,'BY-Demands'!$J$5:$AK$14,MATCH($E99,'BY-Demands'!$I$5:$I$14,0),FALSE)*HLOOKUP(REG_TRA_DEMANDS!$F99,DEMANDS!$G$2:$CK$25,MATCH($E99,DEMANDS!$E$2:$E$25,0),FALSE)/HLOOKUP(2018,DEMANDS!$G$2:$CK$25,MATCH($E99,DEMANDS!$E$2:$E$25,0),FALSE)</f>
        <v>0.13172643158983227</v>
      </c>
      <c r="AA99" s="19">
        <f>HLOOKUP(REG_TRA_DEMANDS!AA$3,'BY-Demands'!$J$5:$AK$14,MATCH($E99,'BY-Demands'!$I$5:$I$14,0),FALSE)*HLOOKUP(REG_TRA_DEMANDS!$F99,DEMANDS!$G$2:$CK$25,MATCH($E99,DEMANDS!$E$2:$E$25,0),FALSE)/HLOOKUP(2018,DEMANDS!$G$2:$CK$25,MATCH($E99,DEMANDS!$E$2:$E$25,0),FALSE)</f>
        <v>0.55630565626275663</v>
      </c>
      <c r="AB99" s="19">
        <f>HLOOKUP(REG_TRA_DEMANDS!AB$3,'BY-Demands'!$J$5:$AK$14,MATCH($E99,'BY-Demands'!$I$5:$I$14,0),FALSE)*HLOOKUP(REG_TRA_DEMANDS!$F99,DEMANDS!$G$2:$CK$25,MATCH($E99,DEMANDS!$E$2:$E$25,0),FALSE)/HLOOKUP(2018,DEMANDS!$G$2:$CK$25,MATCH($E99,DEMANDS!$E$2:$E$25,0),FALSE)</f>
        <v>0.24704281189225921</v>
      </c>
      <c r="AC99" s="19">
        <f>HLOOKUP(REG_TRA_DEMANDS!AC$3,'BY-Demands'!$J$5:$AK$14,MATCH($E99,'BY-Demands'!$I$5:$I$14,0),FALSE)*HLOOKUP(REG_TRA_DEMANDS!$F99,DEMANDS!$G$2:$CK$25,MATCH($E99,DEMANDS!$E$2:$E$25,0),FALSE)/HLOOKUP(2018,DEMANDS!$G$2:$CK$25,MATCH($E99,DEMANDS!$E$2:$E$25,0),FALSE)</f>
        <v>0.26940118881037545</v>
      </c>
      <c r="AD99" s="19">
        <f>HLOOKUP(REG_TRA_DEMANDS!AD$3,'BY-Demands'!$J$5:$AK$14,MATCH($E99,'BY-Demands'!$I$5:$I$14,0),FALSE)*HLOOKUP(REG_TRA_DEMANDS!$F99,DEMANDS!$G$2:$CK$25,MATCH($E99,DEMANDS!$E$2:$E$25,0),FALSE)/HLOOKUP(2018,DEMANDS!$G$2:$CK$25,MATCH($E99,DEMANDS!$E$2:$E$25,0),FALSE)</f>
        <v>0.31314419712854413</v>
      </c>
      <c r="AE99" s="19">
        <f>HLOOKUP(REG_TRA_DEMANDS!AE$3,'BY-Demands'!$J$5:$AK$14,MATCH($E99,'BY-Demands'!$I$5:$I$14,0),FALSE)*HLOOKUP(REG_TRA_DEMANDS!$F99,DEMANDS!$G$2:$CK$25,MATCH($E99,DEMANDS!$E$2:$E$25,0),FALSE)/HLOOKUP(2018,DEMANDS!$G$2:$CK$25,MATCH($E99,DEMANDS!$E$2:$E$25,0),FALSE)</f>
        <v>0.65440625694821386</v>
      </c>
      <c r="AF99" s="19">
        <f>HLOOKUP(REG_TRA_DEMANDS!AF$3,'BY-Demands'!$J$5:$AK$14,MATCH($E99,'BY-Demands'!$I$5:$I$14,0),FALSE)*HLOOKUP(REG_TRA_DEMANDS!$F99,DEMANDS!$G$2:$CK$25,MATCH($E99,DEMANDS!$E$2:$E$25,0),FALSE)/HLOOKUP(2018,DEMANDS!$G$2:$CK$25,MATCH($E99,DEMANDS!$E$2:$E$25,0),FALSE)</f>
        <v>0.2523454852569425</v>
      </c>
    </row>
    <row r="100" spans="4:32" ht="14.5">
      <c r="D100" t="s">
        <v>6</v>
      </c>
      <c r="E100" t="str">
        <f>DEMANDS!$E$20</f>
        <v>TRAF</v>
      </c>
      <c r="F100">
        <v>2035</v>
      </c>
      <c r="G100" s="19">
        <f>HLOOKUP(REG_TRA_DEMANDS!G$3,'BY-Demands'!$J$5:$AK$14,MATCH($E100,'BY-Demands'!$I$5:$I$14,0),FALSE)*HLOOKUP(REG_TRA_DEMANDS!$F100,DEMANDS!$G$2:$CK$25,MATCH($E100,DEMANDS!$E$2:$E$25,0),FALSE)/HLOOKUP(2018,DEMANDS!$G$2:$CK$25,MATCH($E100,DEMANDS!$E$2:$E$25,0),FALSE)</f>
        <v>0.29715715069904142</v>
      </c>
      <c r="H100" s="19">
        <f>HLOOKUP(REG_TRA_DEMANDS!H$3,'BY-Demands'!$J$5:$AK$14,MATCH($E100,'BY-Demands'!$I$5:$I$14,0),FALSE)*HLOOKUP(REG_TRA_DEMANDS!$F100,DEMANDS!$G$2:$CK$25,MATCH($E100,DEMANDS!$E$2:$E$25,0),FALSE)/HLOOKUP(2018,DEMANDS!$G$2:$CK$25,MATCH($E100,DEMANDS!$E$2:$E$25,0),FALSE)</f>
        <v>4.4382792121259556</v>
      </c>
      <c r="I100" s="19">
        <f>HLOOKUP(REG_TRA_DEMANDS!I$3,'BY-Demands'!$J$5:$AK$14,MATCH($E100,'BY-Demands'!$I$5:$I$14,0),FALSE)*HLOOKUP(REG_TRA_DEMANDS!$F100,DEMANDS!$G$2:$CK$25,MATCH($E100,DEMANDS!$E$2:$E$25,0),FALSE)/HLOOKUP(2018,DEMANDS!$G$2:$CK$25,MATCH($E100,DEMANDS!$E$2:$E$25,0),FALSE)</f>
        <v>0.80540266173715003</v>
      </c>
      <c r="J100" s="19">
        <f>HLOOKUP(REG_TRA_DEMANDS!J$3,'BY-Demands'!$J$5:$AK$14,MATCH($E100,'BY-Demands'!$I$5:$I$14,0),FALSE)*HLOOKUP(REG_TRA_DEMANDS!$F100,DEMANDS!$G$2:$CK$25,MATCH($E100,DEMANDS!$E$2:$E$25,0),FALSE)/HLOOKUP(2018,DEMANDS!$G$2:$CK$25,MATCH($E100,DEMANDS!$E$2:$E$25,0),FALSE)</f>
        <v>0.51794242918160693</v>
      </c>
      <c r="K100" s="19">
        <f>HLOOKUP(REG_TRA_DEMANDS!K$3,'BY-Demands'!$J$5:$AK$14,MATCH($E100,'BY-Demands'!$I$5:$I$14,0),FALSE)*HLOOKUP(REG_TRA_DEMANDS!$F100,DEMANDS!$G$2:$CK$25,MATCH($E100,DEMANDS!$E$2:$E$25,0),FALSE)/HLOOKUP(2018,DEMANDS!$G$2:$CK$25,MATCH($E100,DEMANDS!$E$2:$E$25,0),FALSE)</f>
        <v>0.36890546203441893</v>
      </c>
      <c r="L100" s="19">
        <f>HLOOKUP(REG_TRA_DEMANDS!L$3,'BY-Demands'!$J$5:$AK$14,MATCH($E100,'BY-Demands'!$I$5:$I$14,0),FALSE)*HLOOKUP(REG_TRA_DEMANDS!$F100,DEMANDS!$G$2:$CK$25,MATCH($E100,DEMANDS!$E$2:$E$25,0),FALSE)/HLOOKUP(2018,DEMANDS!$G$2:$CK$25,MATCH($E100,DEMANDS!$E$2:$E$25,0),FALSE)</f>
        <v>0.17802605700004562</v>
      </c>
      <c r="M100" s="19">
        <f>HLOOKUP(REG_TRA_DEMANDS!M$3,'BY-Demands'!$J$5:$AK$14,MATCH($E100,'BY-Demands'!$I$5:$I$14,0),FALSE)*HLOOKUP(REG_TRA_DEMANDS!$F100,DEMANDS!$G$2:$CK$25,MATCH($E100,DEMANDS!$E$2:$E$25,0),FALSE)/HLOOKUP(2018,DEMANDS!$G$2:$CK$25,MATCH($E100,DEMANDS!$E$2:$E$25,0),FALSE)</f>
        <v>0.46652427217187514</v>
      </c>
      <c r="N100" s="19">
        <f>HLOOKUP(REG_TRA_DEMANDS!N$3,'BY-Demands'!$J$5:$AK$14,MATCH($E100,'BY-Demands'!$I$5:$I$14,0),FALSE)*HLOOKUP(REG_TRA_DEMANDS!$F100,DEMANDS!$G$2:$CK$25,MATCH($E100,DEMANDS!$E$2:$E$25,0),FALSE)/HLOOKUP(2018,DEMANDS!$G$2:$CK$25,MATCH($E100,DEMANDS!$E$2:$E$25,0),FALSE)</f>
        <v>0.72184916493139417</v>
      </c>
      <c r="O100" s="19">
        <f>HLOOKUP(REG_TRA_DEMANDS!O$3,'BY-Demands'!$J$5:$AK$14,MATCH($E100,'BY-Demands'!$I$5:$I$14,0),FALSE)*HLOOKUP(REG_TRA_DEMANDS!$F100,DEMANDS!$G$2:$CK$25,MATCH($E100,DEMANDS!$E$2:$E$25,0),FALSE)/HLOOKUP(2018,DEMANDS!$G$2:$CK$25,MATCH($E100,DEMANDS!$E$2:$E$25,0),FALSE)</f>
        <v>0.33956620335626164</v>
      </c>
      <c r="P100" s="19">
        <f>HLOOKUP(REG_TRA_DEMANDS!P$3,'BY-Demands'!$J$5:$AK$14,MATCH($E100,'BY-Demands'!$I$5:$I$14,0),FALSE)*HLOOKUP(REG_TRA_DEMANDS!$F100,DEMANDS!$G$2:$CK$25,MATCH($E100,DEMANDS!$E$2:$E$25,0),FALSE)/HLOOKUP(2018,DEMANDS!$G$2:$CK$25,MATCH($E100,DEMANDS!$E$2:$E$25,0),FALSE)</f>
        <v>0.38664578278800182</v>
      </c>
      <c r="Q100" s="19">
        <f>HLOOKUP(REG_TRA_DEMANDS!Q$3,'BY-Demands'!$J$5:$AK$14,MATCH($E100,'BY-Demands'!$I$5:$I$14,0),FALSE)*HLOOKUP(REG_TRA_DEMANDS!$F100,DEMANDS!$G$2:$CK$25,MATCH($E100,DEMANDS!$E$2:$E$25,0),FALSE)/HLOOKUP(2018,DEMANDS!$G$2:$CK$25,MATCH($E100,DEMANDS!$E$2:$E$25,0),FALSE)</f>
        <v>0.78147549562569019</v>
      </c>
      <c r="R100" s="19">
        <f>HLOOKUP(REG_TRA_DEMANDS!R$3,'BY-Demands'!$J$5:$AK$14,MATCH($E100,'BY-Demands'!$I$5:$I$14,0),FALSE)*HLOOKUP(REG_TRA_DEMANDS!$F100,DEMANDS!$G$2:$CK$25,MATCH($E100,DEMANDS!$E$2:$E$25,0),FALSE)/HLOOKUP(2018,DEMANDS!$G$2:$CK$25,MATCH($E100,DEMANDS!$E$2:$E$25,0),FALSE)</f>
        <v>0.51553893007727292</v>
      </c>
      <c r="S100" s="19">
        <f>HLOOKUP(REG_TRA_DEMANDS!S$3,'BY-Demands'!$J$5:$AK$14,MATCH($E100,'BY-Demands'!$I$5:$I$14,0),FALSE)*HLOOKUP(REG_TRA_DEMANDS!$F100,DEMANDS!$G$2:$CK$25,MATCH($E100,DEMANDS!$E$2:$E$25,0),FALSE)/HLOOKUP(2018,DEMANDS!$G$2:$CK$25,MATCH($E100,DEMANDS!$E$2:$E$25,0),FALSE)</f>
        <v>0.50731737302967117</v>
      </c>
      <c r="T100" s="19">
        <f>HLOOKUP(REG_TRA_DEMANDS!T$3,'BY-Demands'!$J$5:$AK$14,MATCH($E100,'BY-Demands'!$I$5:$I$14,0),FALSE)*HLOOKUP(REG_TRA_DEMANDS!$F100,DEMANDS!$G$2:$CK$25,MATCH($E100,DEMANDS!$E$2:$E$25,0),FALSE)/HLOOKUP(2018,DEMANDS!$G$2:$CK$25,MATCH($E100,DEMANDS!$E$2:$E$25,0),FALSE)</f>
        <v>2.714424873657177</v>
      </c>
      <c r="U100" s="19">
        <f>HLOOKUP(REG_TRA_DEMANDS!U$3,'BY-Demands'!$J$5:$AK$14,MATCH($E100,'BY-Demands'!$I$5:$I$14,0),FALSE)*HLOOKUP(REG_TRA_DEMANDS!$F100,DEMANDS!$G$2:$CK$25,MATCH($E100,DEMANDS!$E$2:$E$25,0),FALSE)/HLOOKUP(2018,DEMANDS!$G$2:$CK$25,MATCH($E100,DEMANDS!$E$2:$E$25,0),FALSE)</f>
        <v>0.73855809296786634</v>
      </c>
      <c r="V100" s="19">
        <f>HLOOKUP(REG_TRA_DEMANDS!V$3,'BY-Demands'!$J$5:$AK$14,MATCH($E100,'BY-Demands'!$I$5:$I$14,0),FALSE)*HLOOKUP(REG_TRA_DEMANDS!$F100,DEMANDS!$G$2:$CK$25,MATCH($E100,DEMANDS!$E$2:$E$25,0),FALSE)/HLOOKUP(2018,DEMANDS!$G$2:$CK$25,MATCH($E100,DEMANDS!$E$2:$E$25,0),FALSE)</f>
        <v>0.83216752389060533</v>
      </c>
      <c r="W100" s="19">
        <f>HLOOKUP(REG_TRA_DEMANDS!W$3,'BY-Demands'!$J$5:$AK$14,MATCH($E100,'BY-Demands'!$I$5:$I$14,0),FALSE)*HLOOKUP(REG_TRA_DEMANDS!$F100,DEMANDS!$G$2:$CK$25,MATCH($E100,DEMANDS!$E$2:$E$25,0),FALSE)/HLOOKUP(2018,DEMANDS!$G$2:$CK$25,MATCH($E100,DEMANDS!$E$2:$E$25,0),FALSE)</f>
        <v>0.68124939039870736</v>
      </c>
      <c r="X100" s="19">
        <f>HLOOKUP(REG_TRA_DEMANDS!X$3,'BY-Demands'!$J$5:$AK$14,MATCH($E100,'BY-Demands'!$I$5:$I$14,0),FALSE)*HLOOKUP(REG_TRA_DEMANDS!$F100,DEMANDS!$G$2:$CK$25,MATCH($E100,DEMANDS!$E$2:$E$25,0),FALSE)/HLOOKUP(2018,DEMANDS!$G$2:$CK$25,MATCH($E100,DEMANDS!$E$2:$E$25,0),FALSE)</f>
        <v>0.63278859879331095</v>
      </c>
      <c r="Y100" s="19">
        <f>HLOOKUP(REG_TRA_DEMANDS!Y$3,'BY-Demands'!$J$5:$AK$14,MATCH($E100,'BY-Demands'!$I$5:$I$14,0),FALSE)*HLOOKUP(REG_TRA_DEMANDS!$F100,DEMANDS!$G$2:$CK$25,MATCH($E100,DEMANDS!$E$2:$E$25,0),FALSE)/HLOOKUP(2018,DEMANDS!$G$2:$CK$25,MATCH($E100,DEMANDS!$E$2:$E$25,0),FALSE)</f>
        <v>1.0104371522089199</v>
      </c>
      <c r="Z100" s="19">
        <f>HLOOKUP(REG_TRA_DEMANDS!Z$3,'BY-Demands'!$J$5:$AK$14,MATCH($E100,'BY-Demands'!$I$5:$I$14,0),FALSE)*HLOOKUP(REG_TRA_DEMANDS!$F100,DEMANDS!$G$2:$CK$25,MATCH($E100,DEMANDS!$E$2:$E$25,0),FALSE)/HLOOKUP(2018,DEMANDS!$G$2:$CK$25,MATCH($E100,DEMANDS!$E$2:$E$25,0),FALSE)</f>
        <v>0.13475613951639842</v>
      </c>
      <c r="AA100" s="19">
        <f>HLOOKUP(REG_TRA_DEMANDS!AA$3,'BY-Demands'!$J$5:$AK$14,MATCH($E100,'BY-Demands'!$I$5:$I$14,0),FALSE)*HLOOKUP(REG_TRA_DEMANDS!$F100,DEMANDS!$G$2:$CK$25,MATCH($E100,DEMANDS!$E$2:$E$25,0),FALSE)/HLOOKUP(2018,DEMANDS!$G$2:$CK$25,MATCH($E100,DEMANDS!$E$2:$E$25,0),FALSE)</f>
        <v>0.5691006863568</v>
      </c>
      <c r="AB100" s="19">
        <f>HLOOKUP(REG_TRA_DEMANDS!AB$3,'BY-Demands'!$J$5:$AK$14,MATCH($E100,'BY-Demands'!$I$5:$I$14,0),FALSE)*HLOOKUP(REG_TRA_DEMANDS!$F100,DEMANDS!$G$2:$CK$25,MATCH($E100,DEMANDS!$E$2:$E$25,0),FALSE)/HLOOKUP(2018,DEMANDS!$G$2:$CK$25,MATCH($E100,DEMANDS!$E$2:$E$25,0),FALSE)</f>
        <v>0.25272479656578117</v>
      </c>
      <c r="AC100" s="19">
        <f>HLOOKUP(REG_TRA_DEMANDS!AC$3,'BY-Demands'!$J$5:$AK$14,MATCH($E100,'BY-Demands'!$I$5:$I$14,0),FALSE)*HLOOKUP(REG_TRA_DEMANDS!$F100,DEMANDS!$G$2:$CK$25,MATCH($E100,DEMANDS!$E$2:$E$25,0),FALSE)/HLOOKUP(2018,DEMANDS!$G$2:$CK$25,MATCH($E100,DEMANDS!$E$2:$E$25,0),FALSE)</f>
        <v>0.27559741615301409</v>
      </c>
      <c r="AD100" s="19">
        <f>HLOOKUP(REG_TRA_DEMANDS!AD$3,'BY-Demands'!$J$5:$AK$14,MATCH($E100,'BY-Demands'!$I$5:$I$14,0),FALSE)*HLOOKUP(REG_TRA_DEMANDS!$F100,DEMANDS!$G$2:$CK$25,MATCH($E100,DEMANDS!$E$2:$E$25,0),FALSE)/HLOOKUP(2018,DEMANDS!$G$2:$CK$25,MATCH($E100,DEMANDS!$E$2:$E$25,0),FALSE)</f>
        <v>0.32034651366250061</v>
      </c>
      <c r="AE100" s="19">
        <f>HLOOKUP(REG_TRA_DEMANDS!AE$3,'BY-Demands'!$J$5:$AK$14,MATCH($E100,'BY-Demands'!$I$5:$I$14,0),FALSE)*HLOOKUP(REG_TRA_DEMANDS!$F100,DEMANDS!$G$2:$CK$25,MATCH($E100,DEMANDS!$E$2:$E$25,0),FALSE)/HLOOKUP(2018,DEMANDS!$G$2:$CK$25,MATCH($E100,DEMANDS!$E$2:$E$25,0),FALSE)</f>
        <v>0.66945760085802275</v>
      </c>
      <c r="AF100" s="19">
        <f>HLOOKUP(REG_TRA_DEMANDS!AF$3,'BY-Demands'!$J$5:$AK$14,MATCH($E100,'BY-Demands'!$I$5:$I$14,0),FALSE)*HLOOKUP(REG_TRA_DEMANDS!$F100,DEMANDS!$G$2:$CK$25,MATCH($E100,DEMANDS!$E$2:$E$25,0),FALSE)/HLOOKUP(2018,DEMANDS!$G$2:$CK$25,MATCH($E100,DEMANDS!$E$2:$E$25,0),FALSE)</f>
        <v>0.25814943141785218</v>
      </c>
    </row>
    <row r="101" spans="4:32" ht="14.5">
      <c r="D101" t="s">
        <v>6</v>
      </c>
      <c r="E101" t="str">
        <f>DEMANDS!$E$20</f>
        <v>TRAF</v>
      </c>
      <c r="F101">
        <v>2036</v>
      </c>
      <c r="G101" s="19">
        <f>HLOOKUP(REG_TRA_DEMANDS!G$3,'BY-Demands'!$J$5:$AK$14,MATCH($E101,'BY-Demands'!$I$5:$I$14,0),FALSE)*HLOOKUP(REG_TRA_DEMANDS!$F101,DEMANDS!$G$2:$CK$25,MATCH($E101,DEMANDS!$E$2:$E$25,0),FALSE)/HLOOKUP(2018,DEMANDS!$G$2:$CK$25,MATCH($E101,DEMANDS!$E$2:$E$25,0),FALSE)</f>
        <v>0.30399176516511939</v>
      </c>
      <c r="H101" s="19">
        <f>HLOOKUP(REG_TRA_DEMANDS!H$3,'BY-Demands'!$J$5:$AK$14,MATCH($E101,'BY-Demands'!$I$5:$I$14,0),FALSE)*HLOOKUP(REG_TRA_DEMANDS!$F101,DEMANDS!$G$2:$CK$25,MATCH($E101,DEMANDS!$E$2:$E$25,0),FALSE)/HLOOKUP(2018,DEMANDS!$G$2:$CK$25,MATCH($E101,DEMANDS!$E$2:$E$25,0),FALSE)</f>
        <v>4.5403596340048535</v>
      </c>
      <c r="I101" s="19">
        <f>HLOOKUP(REG_TRA_DEMANDS!I$3,'BY-Demands'!$J$5:$AK$14,MATCH($E101,'BY-Demands'!$I$5:$I$14,0),FALSE)*HLOOKUP(REG_TRA_DEMANDS!$F101,DEMANDS!$G$2:$CK$25,MATCH($E101,DEMANDS!$E$2:$E$25,0),FALSE)/HLOOKUP(2018,DEMANDS!$G$2:$CK$25,MATCH($E101,DEMANDS!$E$2:$E$25,0),FALSE)</f>
        <v>0.82392692295710446</v>
      </c>
      <c r="J101" s="19">
        <f>HLOOKUP(REG_TRA_DEMANDS!J$3,'BY-Demands'!$J$5:$AK$14,MATCH($E101,'BY-Demands'!$I$5:$I$14,0),FALSE)*HLOOKUP(REG_TRA_DEMANDS!$F101,DEMANDS!$G$2:$CK$25,MATCH($E101,DEMANDS!$E$2:$E$25,0),FALSE)/HLOOKUP(2018,DEMANDS!$G$2:$CK$25,MATCH($E101,DEMANDS!$E$2:$E$25,0),FALSE)</f>
        <v>0.52985510505278388</v>
      </c>
      <c r="K101" s="19">
        <f>HLOOKUP(REG_TRA_DEMANDS!K$3,'BY-Demands'!$J$5:$AK$14,MATCH($E101,'BY-Demands'!$I$5:$I$14,0),FALSE)*HLOOKUP(REG_TRA_DEMANDS!$F101,DEMANDS!$G$2:$CK$25,MATCH($E101,DEMANDS!$E$2:$E$25,0),FALSE)/HLOOKUP(2018,DEMANDS!$G$2:$CK$25,MATCH($E101,DEMANDS!$E$2:$E$25,0),FALSE)</f>
        <v>0.37739028766121052</v>
      </c>
      <c r="L101" s="19">
        <f>HLOOKUP(REG_TRA_DEMANDS!L$3,'BY-Demands'!$J$5:$AK$14,MATCH($E101,'BY-Demands'!$I$5:$I$14,0),FALSE)*HLOOKUP(REG_TRA_DEMANDS!$F101,DEMANDS!$G$2:$CK$25,MATCH($E101,DEMANDS!$E$2:$E$25,0),FALSE)/HLOOKUP(2018,DEMANDS!$G$2:$CK$25,MATCH($E101,DEMANDS!$E$2:$E$25,0),FALSE)</f>
        <v>0.18212065631104665</v>
      </c>
      <c r="M101" s="19">
        <f>HLOOKUP(REG_TRA_DEMANDS!M$3,'BY-Demands'!$J$5:$AK$14,MATCH($E101,'BY-Demands'!$I$5:$I$14,0),FALSE)*HLOOKUP(REG_TRA_DEMANDS!$F101,DEMANDS!$G$2:$CK$25,MATCH($E101,DEMANDS!$E$2:$E$25,0),FALSE)/HLOOKUP(2018,DEMANDS!$G$2:$CK$25,MATCH($E101,DEMANDS!$E$2:$E$25,0),FALSE)</f>
        <v>0.4772543304318283</v>
      </c>
      <c r="N101" s="19">
        <f>HLOOKUP(REG_TRA_DEMANDS!N$3,'BY-Demands'!$J$5:$AK$14,MATCH($E101,'BY-Demands'!$I$5:$I$14,0),FALSE)*HLOOKUP(REG_TRA_DEMANDS!$F101,DEMANDS!$G$2:$CK$25,MATCH($E101,DEMANDS!$E$2:$E$25,0),FALSE)/HLOOKUP(2018,DEMANDS!$G$2:$CK$25,MATCH($E101,DEMANDS!$E$2:$E$25,0),FALSE)</f>
        <v>0.73845169572481628</v>
      </c>
      <c r="O101" s="19">
        <f>HLOOKUP(REG_TRA_DEMANDS!O$3,'BY-Demands'!$J$5:$AK$14,MATCH($E101,'BY-Demands'!$I$5:$I$14,0),FALSE)*HLOOKUP(REG_TRA_DEMANDS!$F101,DEMANDS!$G$2:$CK$25,MATCH($E101,DEMANDS!$E$2:$E$25,0),FALSE)/HLOOKUP(2018,DEMANDS!$G$2:$CK$25,MATCH($E101,DEMANDS!$E$2:$E$25,0),FALSE)</f>
        <v>0.34737622603345564</v>
      </c>
      <c r="P101" s="19">
        <f>HLOOKUP(REG_TRA_DEMANDS!P$3,'BY-Demands'!$J$5:$AK$14,MATCH($E101,'BY-Demands'!$I$5:$I$14,0),FALSE)*HLOOKUP(REG_TRA_DEMANDS!$F101,DEMANDS!$G$2:$CK$25,MATCH($E101,DEMANDS!$E$2:$E$25,0),FALSE)/HLOOKUP(2018,DEMANDS!$G$2:$CK$25,MATCH($E101,DEMANDS!$E$2:$E$25,0),FALSE)</f>
        <v>0.39553863579212584</v>
      </c>
      <c r="Q101" s="19">
        <f>HLOOKUP(REG_TRA_DEMANDS!Q$3,'BY-Demands'!$J$5:$AK$14,MATCH($E101,'BY-Demands'!$I$5:$I$14,0),FALSE)*HLOOKUP(REG_TRA_DEMANDS!$F101,DEMANDS!$G$2:$CK$25,MATCH($E101,DEMANDS!$E$2:$E$25,0),FALSE)/HLOOKUP(2018,DEMANDS!$G$2:$CK$25,MATCH($E101,DEMANDS!$E$2:$E$25,0),FALSE)</f>
        <v>0.79944943202508101</v>
      </c>
      <c r="R101" s="19">
        <f>HLOOKUP(REG_TRA_DEMANDS!R$3,'BY-Demands'!$J$5:$AK$14,MATCH($E101,'BY-Demands'!$I$5:$I$14,0),FALSE)*HLOOKUP(REG_TRA_DEMANDS!$F101,DEMANDS!$G$2:$CK$25,MATCH($E101,DEMANDS!$E$2:$E$25,0),FALSE)/HLOOKUP(2018,DEMANDS!$G$2:$CK$25,MATCH($E101,DEMANDS!$E$2:$E$25,0),FALSE)</f>
        <v>0.52739632546905024</v>
      </c>
      <c r="S101" s="19">
        <f>HLOOKUP(REG_TRA_DEMANDS!S$3,'BY-Demands'!$J$5:$AK$14,MATCH($E101,'BY-Demands'!$I$5:$I$14,0),FALSE)*HLOOKUP(REG_TRA_DEMANDS!$F101,DEMANDS!$G$2:$CK$25,MATCH($E101,DEMANDS!$E$2:$E$25,0),FALSE)/HLOOKUP(2018,DEMANDS!$G$2:$CK$25,MATCH($E101,DEMANDS!$E$2:$E$25,0),FALSE)</f>
        <v>0.51898567260935358</v>
      </c>
      <c r="T101" s="19">
        <f>HLOOKUP(REG_TRA_DEMANDS!T$3,'BY-Demands'!$J$5:$AK$14,MATCH($E101,'BY-Demands'!$I$5:$I$14,0),FALSE)*HLOOKUP(REG_TRA_DEMANDS!$F101,DEMANDS!$G$2:$CK$25,MATCH($E101,DEMANDS!$E$2:$E$25,0),FALSE)/HLOOKUP(2018,DEMANDS!$G$2:$CK$25,MATCH($E101,DEMANDS!$E$2:$E$25,0),FALSE)</f>
        <v>2.7768566457512924</v>
      </c>
      <c r="U101" s="19">
        <f>HLOOKUP(REG_TRA_DEMANDS!U$3,'BY-Demands'!$J$5:$AK$14,MATCH($E101,'BY-Demands'!$I$5:$I$14,0),FALSE)*HLOOKUP(REG_TRA_DEMANDS!$F101,DEMANDS!$G$2:$CK$25,MATCH($E101,DEMANDS!$E$2:$E$25,0),FALSE)/HLOOKUP(2018,DEMANDS!$G$2:$CK$25,MATCH($E101,DEMANDS!$E$2:$E$25,0),FALSE)</f>
        <v>0.75554492910612725</v>
      </c>
      <c r="V101" s="19">
        <f>HLOOKUP(REG_TRA_DEMANDS!V$3,'BY-Demands'!$J$5:$AK$14,MATCH($E101,'BY-Demands'!$I$5:$I$14,0),FALSE)*HLOOKUP(REG_TRA_DEMANDS!$F101,DEMANDS!$G$2:$CK$25,MATCH($E101,DEMANDS!$E$2:$E$25,0),FALSE)/HLOOKUP(2018,DEMANDS!$G$2:$CK$25,MATCH($E101,DEMANDS!$E$2:$E$25,0),FALSE)</f>
        <v>0.85130737694008929</v>
      </c>
      <c r="W101" s="19">
        <f>HLOOKUP(REG_TRA_DEMANDS!W$3,'BY-Demands'!$J$5:$AK$14,MATCH($E101,'BY-Demands'!$I$5:$I$14,0),FALSE)*HLOOKUP(REG_TRA_DEMANDS!$F101,DEMANDS!$G$2:$CK$25,MATCH($E101,DEMANDS!$E$2:$E$25,0),FALSE)/HLOOKUP(2018,DEMANDS!$G$2:$CK$25,MATCH($E101,DEMANDS!$E$2:$E$25,0),FALSE)</f>
        <v>0.69691812637787753</v>
      </c>
      <c r="X101" s="19">
        <f>HLOOKUP(REG_TRA_DEMANDS!X$3,'BY-Demands'!$J$5:$AK$14,MATCH($E101,'BY-Demands'!$I$5:$I$14,0),FALSE)*HLOOKUP(REG_TRA_DEMANDS!$F101,DEMANDS!$G$2:$CK$25,MATCH($E101,DEMANDS!$E$2:$E$25,0),FALSE)/HLOOKUP(2018,DEMANDS!$G$2:$CK$25,MATCH($E101,DEMANDS!$E$2:$E$25,0),FALSE)</f>
        <v>0.64734273656555708</v>
      </c>
      <c r="Y101" s="19">
        <f>HLOOKUP(REG_TRA_DEMANDS!Y$3,'BY-Demands'!$J$5:$AK$14,MATCH($E101,'BY-Demands'!$I$5:$I$14,0),FALSE)*HLOOKUP(REG_TRA_DEMANDS!$F101,DEMANDS!$G$2:$CK$25,MATCH($E101,DEMANDS!$E$2:$E$25,0),FALSE)/HLOOKUP(2018,DEMANDS!$G$2:$CK$25,MATCH($E101,DEMANDS!$E$2:$E$25,0),FALSE)</f>
        <v>1.0336772067097253</v>
      </c>
      <c r="Z101" s="19">
        <f>HLOOKUP(REG_TRA_DEMANDS!Z$3,'BY-Demands'!$J$5:$AK$14,MATCH($E101,'BY-Demands'!$I$5:$I$14,0),FALSE)*HLOOKUP(REG_TRA_DEMANDS!$F101,DEMANDS!$G$2:$CK$25,MATCH($E101,DEMANDS!$E$2:$E$25,0),FALSE)/HLOOKUP(2018,DEMANDS!$G$2:$CK$25,MATCH($E101,DEMANDS!$E$2:$E$25,0),FALSE)</f>
        <v>0.13785553072527557</v>
      </c>
      <c r="AA101" s="19">
        <f>HLOOKUP(REG_TRA_DEMANDS!AA$3,'BY-Demands'!$J$5:$AK$14,MATCH($E101,'BY-Demands'!$I$5:$I$14,0),FALSE)*HLOOKUP(REG_TRA_DEMANDS!$F101,DEMANDS!$G$2:$CK$25,MATCH($E101,DEMANDS!$E$2:$E$25,0),FALSE)/HLOOKUP(2018,DEMANDS!$G$2:$CK$25,MATCH($E101,DEMANDS!$E$2:$E$25,0),FALSE)</f>
        <v>0.58219000214300642</v>
      </c>
      <c r="AB101" s="19">
        <f>HLOOKUP(REG_TRA_DEMANDS!AB$3,'BY-Demands'!$J$5:$AK$14,MATCH($E101,'BY-Demands'!$I$5:$I$14,0),FALSE)*HLOOKUP(REG_TRA_DEMANDS!$F101,DEMANDS!$G$2:$CK$25,MATCH($E101,DEMANDS!$E$2:$E$25,0),FALSE)/HLOOKUP(2018,DEMANDS!$G$2:$CK$25,MATCH($E101,DEMANDS!$E$2:$E$25,0),FALSE)</f>
        <v>0.25853746688679413</v>
      </c>
      <c r="AC101" s="19">
        <f>HLOOKUP(REG_TRA_DEMANDS!AC$3,'BY-Demands'!$J$5:$AK$14,MATCH($E101,'BY-Demands'!$I$5:$I$14,0),FALSE)*HLOOKUP(REG_TRA_DEMANDS!$F101,DEMANDS!$G$2:$CK$25,MATCH($E101,DEMANDS!$E$2:$E$25,0),FALSE)/HLOOKUP(2018,DEMANDS!$G$2:$CK$25,MATCH($E101,DEMANDS!$E$2:$E$25,0),FALSE)</f>
        <v>0.28193615672453343</v>
      </c>
      <c r="AD101" s="19">
        <f>HLOOKUP(REG_TRA_DEMANDS!AD$3,'BY-Demands'!$J$5:$AK$14,MATCH($E101,'BY-Demands'!$I$5:$I$14,0),FALSE)*HLOOKUP(REG_TRA_DEMANDS!$F101,DEMANDS!$G$2:$CK$25,MATCH($E101,DEMANDS!$E$2:$E$25,0),FALSE)/HLOOKUP(2018,DEMANDS!$G$2:$CK$25,MATCH($E101,DEMANDS!$E$2:$E$25,0),FALSE)</f>
        <v>0.32771448347673815</v>
      </c>
      <c r="AE101" s="19">
        <f>HLOOKUP(REG_TRA_DEMANDS!AE$3,'BY-Demands'!$J$5:$AK$14,MATCH($E101,'BY-Demands'!$I$5:$I$14,0),FALSE)*HLOOKUP(REG_TRA_DEMANDS!$F101,DEMANDS!$G$2:$CK$25,MATCH($E101,DEMANDS!$E$2:$E$25,0),FALSE)/HLOOKUP(2018,DEMANDS!$G$2:$CK$25,MATCH($E101,DEMANDS!$E$2:$E$25,0),FALSE)</f>
        <v>0.68485512567775719</v>
      </c>
      <c r="AF101" s="19">
        <f>HLOOKUP(REG_TRA_DEMANDS!AF$3,'BY-Demands'!$J$5:$AK$14,MATCH($E101,'BY-Demands'!$I$5:$I$14,0),FALSE)*HLOOKUP(REG_TRA_DEMANDS!$F101,DEMANDS!$G$2:$CK$25,MATCH($E101,DEMANDS!$E$2:$E$25,0),FALSE)/HLOOKUP(2018,DEMANDS!$G$2:$CK$25,MATCH($E101,DEMANDS!$E$2:$E$25,0),FALSE)</f>
        <v>0.2640868683404628</v>
      </c>
    </row>
    <row r="102" spans="4:32" ht="14.5">
      <c r="D102" t="s">
        <v>6</v>
      </c>
      <c r="E102" t="str">
        <f>DEMANDS!$E$20</f>
        <v>TRAF</v>
      </c>
      <c r="F102">
        <v>2037</v>
      </c>
      <c r="G102" s="19">
        <f>HLOOKUP(REG_TRA_DEMANDS!G$3,'BY-Demands'!$J$5:$AK$14,MATCH($E102,'BY-Demands'!$I$5:$I$14,0),FALSE)*HLOOKUP(REG_TRA_DEMANDS!$F102,DEMANDS!$G$2:$CK$25,MATCH($E102,DEMANDS!$E$2:$E$25,0),FALSE)/HLOOKUP(2018,DEMANDS!$G$2:$CK$25,MATCH($E102,DEMANDS!$E$2:$E$25,0),FALSE)</f>
        <v>0.31098357576391711</v>
      </c>
      <c r="H102" s="19">
        <f>HLOOKUP(REG_TRA_DEMANDS!H$3,'BY-Demands'!$J$5:$AK$14,MATCH($E102,'BY-Demands'!$I$5:$I$14,0),FALSE)*HLOOKUP(REG_TRA_DEMANDS!$F102,DEMANDS!$G$2:$CK$25,MATCH($E102,DEMANDS!$E$2:$E$25,0),FALSE)/HLOOKUP(2018,DEMANDS!$G$2:$CK$25,MATCH($E102,DEMANDS!$E$2:$E$25,0),FALSE)</f>
        <v>4.6447879055869645</v>
      </c>
      <c r="I102" s="19">
        <f>HLOOKUP(REG_TRA_DEMANDS!I$3,'BY-Demands'!$J$5:$AK$14,MATCH($E102,'BY-Demands'!$I$5:$I$14,0),FALSE)*HLOOKUP(REG_TRA_DEMANDS!$F102,DEMANDS!$G$2:$CK$25,MATCH($E102,DEMANDS!$E$2:$E$25,0),FALSE)/HLOOKUP(2018,DEMANDS!$G$2:$CK$25,MATCH($E102,DEMANDS!$E$2:$E$25,0),FALSE)</f>
        <v>0.84287724218511784</v>
      </c>
      <c r="J102" s="19">
        <f>HLOOKUP(REG_TRA_DEMANDS!J$3,'BY-Demands'!$J$5:$AK$14,MATCH($E102,'BY-Demands'!$I$5:$I$14,0),FALSE)*HLOOKUP(REG_TRA_DEMANDS!$F102,DEMANDS!$G$2:$CK$25,MATCH($E102,DEMANDS!$E$2:$E$25,0),FALSE)/HLOOKUP(2018,DEMANDS!$G$2:$CK$25,MATCH($E102,DEMANDS!$E$2:$E$25,0),FALSE)</f>
        <v>0.54204177246899787</v>
      </c>
      <c r="K102" s="19">
        <f>HLOOKUP(REG_TRA_DEMANDS!K$3,'BY-Demands'!$J$5:$AK$14,MATCH($E102,'BY-Demands'!$I$5:$I$14,0),FALSE)*HLOOKUP(REG_TRA_DEMANDS!$F102,DEMANDS!$G$2:$CK$25,MATCH($E102,DEMANDS!$E$2:$E$25,0),FALSE)/HLOOKUP(2018,DEMANDS!$G$2:$CK$25,MATCH($E102,DEMANDS!$E$2:$E$25,0),FALSE)</f>
        <v>0.38607026427741842</v>
      </c>
      <c r="L102" s="19">
        <f>HLOOKUP(REG_TRA_DEMANDS!L$3,'BY-Demands'!$J$5:$AK$14,MATCH($E102,'BY-Demands'!$I$5:$I$14,0),FALSE)*HLOOKUP(REG_TRA_DEMANDS!$F102,DEMANDS!$G$2:$CK$25,MATCH($E102,DEMANDS!$E$2:$E$25,0),FALSE)/HLOOKUP(2018,DEMANDS!$G$2:$CK$25,MATCH($E102,DEMANDS!$E$2:$E$25,0),FALSE)</f>
        <v>0.18630943140620074</v>
      </c>
      <c r="M102" s="19">
        <f>HLOOKUP(REG_TRA_DEMANDS!M$3,'BY-Demands'!$J$5:$AK$14,MATCH($E102,'BY-Demands'!$I$5:$I$14,0),FALSE)*HLOOKUP(REG_TRA_DEMANDS!$F102,DEMANDS!$G$2:$CK$25,MATCH($E102,DEMANDS!$E$2:$E$25,0),FALSE)/HLOOKUP(2018,DEMANDS!$G$2:$CK$25,MATCH($E102,DEMANDS!$E$2:$E$25,0),FALSE)</f>
        <v>0.48823118003176036</v>
      </c>
      <c r="N102" s="19">
        <f>HLOOKUP(REG_TRA_DEMANDS!N$3,'BY-Demands'!$J$5:$AK$14,MATCH($E102,'BY-Demands'!$I$5:$I$14,0),FALSE)*HLOOKUP(REG_TRA_DEMANDS!$F102,DEMANDS!$G$2:$CK$25,MATCH($E102,DEMANDS!$E$2:$E$25,0),FALSE)/HLOOKUP(2018,DEMANDS!$G$2:$CK$25,MATCH($E102,DEMANDS!$E$2:$E$25,0),FALSE)</f>
        <v>0.75543608472648704</v>
      </c>
      <c r="O102" s="19">
        <f>HLOOKUP(REG_TRA_DEMANDS!O$3,'BY-Demands'!$J$5:$AK$14,MATCH($E102,'BY-Demands'!$I$5:$I$14,0),FALSE)*HLOOKUP(REG_TRA_DEMANDS!$F102,DEMANDS!$G$2:$CK$25,MATCH($E102,DEMANDS!$E$2:$E$25,0),FALSE)/HLOOKUP(2018,DEMANDS!$G$2:$CK$25,MATCH($E102,DEMANDS!$E$2:$E$25,0),FALSE)</f>
        <v>0.35536587923222507</v>
      </c>
      <c r="P102" s="19">
        <f>HLOOKUP(REG_TRA_DEMANDS!P$3,'BY-Demands'!$J$5:$AK$14,MATCH($E102,'BY-Demands'!$I$5:$I$14,0),FALSE)*HLOOKUP(REG_TRA_DEMANDS!$F102,DEMANDS!$G$2:$CK$25,MATCH($E102,DEMANDS!$E$2:$E$25,0),FALSE)/HLOOKUP(2018,DEMANDS!$G$2:$CK$25,MATCH($E102,DEMANDS!$E$2:$E$25,0),FALSE)</f>
        <v>0.40463602441534474</v>
      </c>
      <c r="Q102" s="19">
        <f>HLOOKUP(REG_TRA_DEMANDS!Q$3,'BY-Demands'!$J$5:$AK$14,MATCH($E102,'BY-Demands'!$I$5:$I$14,0),FALSE)*HLOOKUP(REG_TRA_DEMANDS!$F102,DEMANDS!$G$2:$CK$25,MATCH($E102,DEMANDS!$E$2:$E$25,0),FALSE)/HLOOKUP(2018,DEMANDS!$G$2:$CK$25,MATCH($E102,DEMANDS!$E$2:$E$25,0),FALSE)</f>
        <v>0.81783676896165791</v>
      </c>
      <c r="R102" s="19">
        <f>HLOOKUP(REG_TRA_DEMANDS!R$3,'BY-Demands'!$J$5:$AK$14,MATCH($E102,'BY-Demands'!$I$5:$I$14,0),FALSE)*HLOOKUP(REG_TRA_DEMANDS!$F102,DEMANDS!$G$2:$CK$25,MATCH($E102,DEMANDS!$E$2:$E$25,0),FALSE)/HLOOKUP(2018,DEMANDS!$G$2:$CK$25,MATCH($E102,DEMANDS!$E$2:$E$25,0),FALSE)</f>
        <v>0.53952644095483837</v>
      </c>
      <c r="S102" s="19">
        <f>HLOOKUP(REG_TRA_DEMANDS!S$3,'BY-Demands'!$J$5:$AK$14,MATCH($E102,'BY-Demands'!$I$5:$I$14,0),FALSE)*HLOOKUP(REG_TRA_DEMANDS!$F102,DEMANDS!$G$2:$CK$25,MATCH($E102,DEMANDS!$E$2:$E$25,0),FALSE)/HLOOKUP(2018,DEMANDS!$G$2:$CK$25,MATCH($E102,DEMANDS!$E$2:$E$25,0),FALSE)</f>
        <v>0.53092234307936881</v>
      </c>
      <c r="T102" s="19">
        <f>HLOOKUP(REG_TRA_DEMANDS!T$3,'BY-Demands'!$J$5:$AK$14,MATCH($E102,'BY-Demands'!$I$5:$I$14,0),FALSE)*HLOOKUP(REG_TRA_DEMANDS!$F102,DEMANDS!$G$2:$CK$25,MATCH($E102,DEMANDS!$E$2:$E$25,0),FALSE)/HLOOKUP(2018,DEMANDS!$G$2:$CK$25,MATCH($E102,DEMANDS!$E$2:$E$25,0),FALSE)</f>
        <v>2.840724348603572</v>
      </c>
      <c r="U102" s="19">
        <f>HLOOKUP(REG_TRA_DEMANDS!U$3,'BY-Demands'!$J$5:$AK$14,MATCH($E102,'BY-Demands'!$I$5:$I$14,0),FALSE)*HLOOKUP(REG_TRA_DEMANDS!$F102,DEMANDS!$G$2:$CK$25,MATCH($E102,DEMANDS!$E$2:$E$25,0),FALSE)/HLOOKUP(2018,DEMANDS!$G$2:$CK$25,MATCH($E102,DEMANDS!$E$2:$E$25,0),FALSE)</f>
        <v>0.77292246247556806</v>
      </c>
      <c r="V102" s="19">
        <f>HLOOKUP(REG_TRA_DEMANDS!V$3,'BY-Demands'!$J$5:$AK$14,MATCH($E102,'BY-Demands'!$I$5:$I$14,0),FALSE)*HLOOKUP(REG_TRA_DEMANDS!$F102,DEMANDS!$G$2:$CK$25,MATCH($E102,DEMANDS!$E$2:$E$25,0),FALSE)/HLOOKUP(2018,DEMANDS!$G$2:$CK$25,MATCH($E102,DEMANDS!$E$2:$E$25,0),FALSE)</f>
        <v>0.87088744660971129</v>
      </c>
      <c r="W102" s="19">
        <f>HLOOKUP(REG_TRA_DEMANDS!W$3,'BY-Demands'!$J$5:$AK$14,MATCH($E102,'BY-Demands'!$I$5:$I$14,0),FALSE)*HLOOKUP(REG_TRA_DEMANDS!$F102,DEMANDS!$G$2:$CK$25,MATCH($E102,DEMANDS!$E$2:$E$25,0),FALSE)/HLOOKUP(2018,DEMANDS!$G$2:$CK$25,MATCH($E102,DEMANDS!$E$2:$E$25,0),FALSE)</f>
        <v>0.71294724328456882</v>
      </c>
      <c r="X102" s="19">
        <f>HLOOKUP(REG_TRA_DEMANDS!X$3,'BY-Demands'!$J$5:$AK$14,MATCH($E102,'BY-Demands'!$I$5:$I$14,0),FALSE)*HLOOKUP(REG_TRA_DEMANDS!$F102,DEMANDS!$G$2:$CK$25,MATCH($E102,DEMANDS!$E$2:$E$25,0),FALSE)/HLOOKUP(2018,DEMANDS!$G$2:$CK$25,MATCH($E102,DEMANDS!$E$2:$E$25,0),FALSE)</f>
        <v>0.66223161950656484</v>
      </c>
      <c r="Y102" s="19">
        <f>HLOOKUP(REG_TRA_DEMANDS!Y$3,'BY-Demands'!$J$5:$AK$14,MATCH($E102,'BY-Demands'!$I$5:$I$14,0),FALSE)*HLOOKUP(REG_TRA_DEMANDS!$F102,DEMANDS!$G$2:$CK$25,MATCH($E102,DEMANDS!$E$2:$E$25,0),FALSE)/HLOOKUP(2018,DEMANDS!$G$2:$CK$25,MATCH($E102,DEMANDS!$E$2:$E$25,0),FALSE)</f>
        <v>1.0574517824640488</v>
      </c>
      <c r="Z102" s="19">
        <f>HLOOKUP(REG_TRA_DEMANDS!Z$3,'BY-Demands'!$J$5:$AK$14,MATCH($E102,'BY-Demands'!$I$5:$I$14,0),FALSE)*HLOOKUP(REG_TRA_DEMANDS!$F102,DEMANDS!$G$2:$CK$25,MATCH($E102,DEMANDS!$E$2:$E$25,0),FALSE)/HLOOKUP(2018,DEMANDS!$G$2:$CK$25,MATCH($E102,DEMANDS!$E$2:$E$25,0),FALSE)</f>
        <v>0.14102620793195692</v>
      </c>
      <c r="AA102" s="19">
        <f>HLOOKUP(REG_TRA_DEMANDS!AA$3,'BY-Demands'!$J$5:$AK$14,MATCH($E102,'BY-Demands'!$I$5:$I$14,0),FALSE)*HLOOKUP(REG_TRA_DEMANDS!$F102,DEMANDS!$G$2:$CK$25,MATCH($E102,DEMANDS!$E$2:$E$25,0),FALSE)/HLOOKUP(2018,DEMANDS!$G$2:$CK$25,MATCH($E102,DEMANDS!$E$2:$E$25,0),FALSE)</f>
        <v>0.59558037219229554</v>
      </c>
      <c r="AB102" s="19">
        <f>HLOOKUP(REG_TRA_DEMANDS!AB$3,'BY-Demands'!$J$5:$AK$14,MATCH($E102,'BY-Demands'!$I$5:$I$14,0),FALSE)*HLOOKUP(REG_TRA_DEMANDS!$F102,DEMANDS!$G$2:$CK$25,MATCH($E102,DEMANDS!$E$2:$E$25,0),FALSE)/HLOOKUP(2018,DEMANDS!$G$2:$CK$25,MATCH($E102,DEMANDS!$E$2:$E$25,0),FALSE)</f>
        <v>0.26448382862519043</v>
      </c>
      <c r="AC102" s="19">
        <f>HLOOKUP(REG_TRA_DEMANDS!AC$3,'BY-Demands'!$J$5:$AK$14,MATCH($E102,'BY-Demands'!$I$5:$I$14,0),FALSE)*HLOOKUP(REG_TRA_DEMANDS!$F102,DEMANDS!$G$2:$CK$25,MATCH($E102,DEMANDS!$E$2:$E$25,0),FALSE)/HLOOKUP(2018,DEMANDS!$G$2:$CK$25,MATCH($E102,DEMANDS!$E$2:$E$25,0),FALSE)</f>
        <v>0.28842068832919771</v>
      </c>
      <c r="AD102" s="19">
        <f>HLOOKUP(REG_TRA_DEMANDS!AD$3,'BY-Demands'!$J$5:$AK$14,MATCH($E102,'BY-Demands'!$I$5:$I$14,0),FALSE)*HLOOKUP(REG_TRA_DEMANDS!$F102,DEMANDS!$G$2:$CK$25,MATCH($E102,DEMANDS!$E$2:$E$25,0),FALSE)/HLOOKUP(2018,DEMANDS!$G$2:$CK$25,MATCH($E102,DEMANDS!$E$2:$E$25,0),FALSE)</f>
        <v>0.33525191659670311</v>
      </c>
      <c r="AE102" s="19">
        <f>HLOOKUP(REG_TRA_DEMANDS!AE$3,'BY-Demands'!$J$5:$AK$14,MATCH($E102,'BY-Demands'!$I$5:$I$14,0),FALSE)*HLOOKUP(REG_TRA_DEMANDS!$F102,DEMANDS!$G$2:$CK$25,MATCH($E102,DEMANDS!$E$2:$E$25,0),FALSE)/HLOOKUP(2018,DEMANDS!$G$2:$CK$25,MATCH($E102,DEMANDS!$E$2:$E$25,0),FALSE)</f>
        <v>0.70060679356834576</v>
      </c>
      <c r="AF102" s="19">
        <f>HLOOKUP(REG_TRA_DEMANDS!AF$3,'BY-Demands'!$J$5:$AK$14,MATCH($E102,'BY-Demands'!$I$5:$I$14,0),FALSE)*HLOOKUP(REG_TRA_DEMANDS!$F102,DEMANDS!$G$2:$CK$25,MATCH($E102,DEMANDS!$E$2:$E$25,0),FALSE)/HLOOKUP(2018,DEMANDS!$G$2:$CK$25,MATCH($E102,DEMANDS!$E$2:$E$25,0),FALSE)</f>
        <v>0.27016086631229341</v>
      </c>
    </row>
    <row r="103" spans="4:32" ht="14.5">
      <c r="D103" t="s">
        <v>6</v>
      </c>
      <c r="E103" t="str">
        <f>DEMANDS!$E$20</f>
        <v>TRAF</v>
      </c>
      <c r="F103">
        <v>2038</v>
      </c>
      <c r="G103" s="19">
        <f>HLOOKUP(REG_TRA_DEMANDS!G$3,'BY-Demands'!$J$5:$AK$14,MATCH($E103,'BY-Demands'!$I$5:$I$14,0),FALSE)*HLOOKUP(REG_TRA_DEMANDS!$F103,DEMANDS!$G$2:$CK$25,MATCH($E103,DEMANDS!$E$2:$E$25,0),FALSE)/HLOOKUP(2018,DEMANDS!$G$2:$CK$25,MATCH($E103,DEMANDS!$E$2:$E$25,0),FALSE)</f>
        <v>0.31813619800648713</v>
      </c>
      <c r="H103" s="19">
        <f>HLOOKUP(REG_TRA_DEMANDS!H$3,'BY-Demands'!$J$5:$AK$14,MATCH($E103,'BY-Demands'!$I$5:$I$14,0),FALSE)*HLOOKUP(REG_TRA_DEMANDS!$F103,DEMANDS!$G$2:$CK$25,MATCH($E103,DEMANDS!$E$2:$E$25,0),FALSE)/HLOOKUP(2018,DEMANDS!$G$2:$CK$25,MATCH($E103,DEMANDS!$E$2:$E$25,0),FALSE)</f>
        <v>4.7516180274154634</v>
      </c>
      <c r="I103" s="19">
        <f>HLOOKUP(REG_TRA_DEMANDS!I$3,'BY-Demands'!$J$5:$AK$14,MATCH($E103,'BY-Demands'!$I$5:$I$14,0),FALSE)*HLOOKUP(REG_TRA_DEMANDS!$F103,DEMANDS!$G$2:$CK$25,MATCH($E103,DEMANDS!$E$2:$E$25,0),FALSE)/HLOOKUP(2018,DEMANDS!$G$2:$CK$25,MATCH($E103,DEMANDS!$E$2:$E$25,0),FALSE)</f>
        <v>0.86226341875537538</v>
      </c>
      <c r="J103" s="19">
        <f>HLOOKUP(REG_TRA_DEMANDS!J$3,'BY-Demands'!$J$5:$AK$14,MATCH($E103,'BY-Demands'!$I$5:$I$14,0),FALSE)*HLOOKUP(REG_TRA_DEMANDS!$F103,DEMANDS!$G$2:$CK$25,MATCH($E103,DEMANDS!$E$2:$E$25,0),FALSE)/HLOOKUP(2018,DEMANDS!$G$2:$CK$25,MATCH($E103,DEMANDS!$E$2:$E$25,0),FALSE)</f>
        <v>0.55450873323578476</v>
      </c>
      <c r="K103" s="19">
        <f>HLOOKUP(REG_TRA_DEMANDS!K$3,'BY-Demands'!$J$5:$AK$14,MATCH($E103,'BY-Demands'!$I$5:$I$14,0),FALSE)*HLOOKUP(REG_TRA_DEMANDS!$F103,DEMANDS!$G$2:$CK$25,MATCH($E103,DEMANDS!$E$2:$E$25,0),FALSE)/HLOOKUP(2018,DEMANDS!$G$2:$CK$25,MATCH($E103,DEMANDS!$E$2:$E$25,0),FALSE)</f>
        <v>0.39494988035579887</v>
      </c>
      <c r="L103" s="19">
        <f>HLOOKUP(REG_TRA_DEMANDS!L$3,'BY-Demands'!$J$5:$AK$14,MATCH($E103,'BY-Demands'!$I$5:$I$14,0),FALSE)*HLOOKUP(REG_TRA_DEMANDS!$F103,DEMANDS!$G$2:$CK$25,MATCH($E103,DEMANDS!$E$2:$E$25,0),FALSE)/HLOOKUP(2018,DEMANDS!$G$2:$CK$25,MATCH($E103,DEMANDS!$E$2:$E$25,0),FALSE)</f>
        <v>0.19059454832854328</v>
      </c>
      <c r="M103" s="19">
        <f>HLOOKUP(REG_TRA_DEMANDS!M$3,'BY-Demands'!$J$5:$AK$14,MATCH($E103,'BY-Demands'!$I$5:$I$14,0),FALSE)*HLOOKUP(REG_TRA_DEMANDS!$F103,DEMANDS!$G$2:$CK$25,MATCH($E103,DEMANDS!$E$2:$E$25,0),FALSE)/HLOOKUP(2018,DEMANDS!$G$2:$CK$25,MATCH($E103,DEMANDS!$E$2:$E$25,0),FALSE)</f>
        <v>0.49946049717249069</v>
      </c>
      <c r="N103" s="19">
        <f>HLOOKUP(REG_TRA_DEMANDS!N$3,'BY-Demands'!$J$5:$AK$14,MATCH($E103,'BY-Demands'!$I$5:$I$14,0),FALSE)*HLOOKUP(REG_TRA_DEMANDS!$F103,DEMANDS!$G$2:$CK$25,MATCH($E103,DEMANDS!$E$2:$E$25,0),FALSE)/HLOOKUP(2018,DEMANDS!$G$2:$CK$25,MATCH($E103,DEMANDS!$E$2:$E$25,0),FALSE)</f>
        <v>0.77281111467519614</v>
      </c>
      <c r="O103" s="19">
        <f>HLOOKUP(REG_TRA_DEMANDS!O$3,'BY-Demands'!$J$5:$AK$14,MATCH($E103,'BY-Demands'!$I$5:$I$14,0),FALSE)*HLOOKUP(REG_TRA_DEMANDS!$F103,DEMANDS!$G$2:$CK$25,MATCH($E103,DEMANDS!$E$2:$E$25,0),FALSE)/HLOOKUP(2018,DEMANDS!$G$2:$CK$25,MATCH($E103,DEMANDS!$E$2:$E$25,0),FALSE)</f>
        <v>0.36353929445456618</v>
      </c>
      <c r="P103" s="19">
        <f>HLOOKUP(REG_TRA_DEMANDS!P$3,'BY-Demands'!$J$5:$AK$14,MATCH($E103,'BY-Demands'!$I$5:$I$14,0),FALSE)*HLOOKUP(REG_TRA_DEMANDS!$F103,DEMANDS!$G$2:$CK$25,MATCH($E103,DEMANDS!$E$2:$E$25,0),FALSE)/HLOOKUP(2018,DEMANDS!$G$2:$CK$25,MATCH($E103,DEMANDS!$E$2:$E$25,0),FALSE)</f>
        <v>0.41394265297689753</v>
      </c>
      <c r="Q103" s="19">
        <f>HLOOKUP(REG_TRA_DEMANDS!Q$3,'BY-Demands'!$J$5:$AK$14,MATCH($E103,'BY-Demands'!$I$5:$I$14,0),FALSE)*HLOOKUP(REG_TRA_DEMANDS!$F103,DEMANDS!$G$2:$CK$25,MATCH($E103,DEMANDS!$E$2:$E$25,0),FALSE)/HLOOKUP(2018,DEMANDS!$G$2:$CK$25,MATCH($E103,DEMANDS!$E$2:$E$25,0),FALSE)</f>
        <v>0.8366470146477758</v>
      </c>
      <c r="R103" s="19">
        <f>HLOOKUP(REG_TRA_DEMANDS!R$3,'BY-Demands'!$J$5:$AK$14,MATCH($E103,'BY-Demands'!$I$5:$I$14,0),FALSE)*HLOOKUP(REG_TRA_DEMANDS!$F103,DEMANDS!$G$2:$CK$25,MATCH($E103,DEMANDS!$E$2:$E$25,0),FALSE)/HLOOKUP(2018,DEMANDS!$G$2:$CK$25,MATCH($E103,DEMANDS!$E$2:$E$25,0),FALSE)</f>
        <v>0.55193554909679954</v>
      </c>
      <c r="S103" s="19">
        <f>HLOOKUP(REG_TRA_DEMANDS!S$3,'BY-Demands'!$J$5:$AK$14,MATCH($E103,'BY-Demands'!$I$5:$I$14,0),FALSE)*HLOOKUP(REG_TRA_DEMANDS!$F103,DEMANDS!$G$2:$CK$25,MATCH($E103,DEMANDS!$E$2:$E$25,0),FALSE)/HLOOKUP(2018,DEMANDS!$G$2:$CK$25,MATCH($E103,DEMANDS!$E$2:$E$25,0),FALSE)</f>
        <v>0.54313355697019405</v>
      </c>
      <c r="T103" s="19">
        <f>HLOOKUP(REG_TRA_DEMANDS!T$3,'BY-Demands'!$J$5:$AK$14,MATCH($E103,'BY-Demands'!$I$5:$I$14,0),FALSE)*HLOOKUP(REG_TRA_DEMANDS!$F103,DEMANDS!$G$2:$CK$25,MATCH($E103,DEMANDS!$E$2:$E$25,0),FALSE)/HLOOKUP(2018,DEMANDS!$G$2:$CK$25,MATCH($E103,DEMANDS!$E$2:$E$25,0),FALSE)</f>
        <v>2.9060610086214536</v>
      </c>
      <c r="U103" s="19">
        <f>HLOOKUP(REG_TRA_DEMANDS!U$3,'BY-Demands'!$J$5:$AK$14,MATCH($E103,'BY-Demands'!$I$5:$I$14,0),FALSE)*HLOOKUP(REG_TRA_DEMANDS!$F103,DEMANDS!$G$2:$CK$25,MATCH($E103,DEMANDS!$E$2:$E$25,0),FALSE)/HLOOKUP(2018,DEMANDS!$G$2:$CK$25,MATCH($E103,DEMANDS!$E$2:$E$25,0),FALSE)</f>
        <v>0.79069967911250605</v>
      </c>
      <c r="V103" s="19">
        <f>HLOOKUP(REG_TRA_DEMANDS!V$3,'BY-Demands'!$J$5:$AK$14,MATCH($E103,'BY-Demands'!$I$5:$I$14,0),FALSE)*HLOOKUP(REG_TRA_DEMANDS!$F103,DEMANDS!$G$2:$CK$25,MATCH($E103,DEMANDS!$E$2:$E$25,0),FALSE)/HLOOKUP(2018,DEMANDS!$G$2:$CK$25,MATCH($E103,DEMANDS!$E$2:$E$25,0),FALSE)</f>
        <v>0.89091785788173461</v>
      </c>
      <c r="W103" s="19">
        <f>HLOOKUP(REG_TRA_DEMANDS!W$3,'BY-Demands'!$J$5:$AK$14,MATCH($E103,'BY-Demands'!$I$5:$I$14,0),FALSE)*HLOOKUP(REG_TRA_DEMANDS!$F103,DEMANDS!$G$2:$CK$25,MATCH($E103,DEMANDS!$E$2:$E$25,0),FALSE)/HLOOKUP(2018,DEMANDS!$G$2:$CK$25,MATCH($E103,DEMANDS!$E$2:$E$25,0),FALSE)</f>
        <v>0.72934502988011363</v>
      </c>
      <c r="X103" s="19">
        <f>HLOOKUP(REG_TRA_DEMANDS!X$3,'BY-Demands'!$J$5:$AK$14,MATCH($E103,'BY-Demands'!$I$5:$I$14,0),FALSE)*HLOOKUP(REG_TRA_DEMANDS!$F103,DEMANDS!$G$2:$CK$25,MATCH($E103,DEMANDS!$E$2:$E$25,0),FALSE)/HLOOKUP(2018,DEMANDS!$G$2:$CK$25,MATCH($E103,DEMANDS!$E$2:$E$25,0),FALSE)</f>
        <v>0.67746294675521568</v>
      </c>
      <c r="Y103" s="19">
        <f>HLOOKUP(REG_TRA_DEMANDS!Y$3,'BY-Demands'!$J$5:$AK$14,MATCH($E103,'BY-Demands'!$I$5:$I$14,0),FALSE)*HLOOKUP(REG_TRA_DEMANDS!$F103,DEMANDS!$G$2:$CK$25,MATCH($E103,DEMANDS!$E$2:$E$25,0),FALSE)/HLOOKUP(2018,DEMANDS!$G$2:$CK$25,MATCH($E103,DEMANDS!$E$2:$E$25,0),FALSE)</f>
        <v>1.0817731734607219</v>
      </c>
      <c r="Z103" s="19">
        <f>HLOOKUP(REG_TRA_DEMANDS!Z$3,'BY-Demands'!$J$5:$AK$14,MATCH($E103,'BY-Demands'!$I$5:$I$14,0),FALSE)*HLOOKUP(REG_TRA_DEMANDS!$F103,DEMANDS!$G$2:$CK$25,MATCH($E103,DEMANDS!$E$2:$E$25,0),FALSE)/HLOOKUP(2018,DEMANDS!$G$2:$CK$25,MATCH($E103,DEMANDS!$E$2:$E$25,0),FALSE)</f>
        <v>0.14426981071439188</v>
      </c>
      <c r="AA103" s="19">
        <f>HLOOKUP(REG_TRA_DEMANDS!AA$3,'BY-Demands'!$J$5:$AK$14,MATCH($E103,'BY-Demands'!$I$5:$I$14,0),FALSE)*HLOOKUP(REG_TRA_DEMANDS!$F103,DEMANDS!$G$2:$CK$25,MATCH($E103,DEMANDS!$E$2:$E$25,0),FALSE)/HLOOKUP(2018,DEMANDS!$G$2:$CK$25,MATCH($E103,DEMANDS!$E$2:$E$25,0),FALSE)</f>
        <v>0.60927872075271816</v>
      </c>
      <c r="AB103" s="19">
        <f>HLOOKUP(REG_TRA_DEMANDS!AB$3,'BY-Demands'!$J$5:$AK$14,MATCH($E103,'BY-Demands'!$I$5:$I$14,0),FALSE)*HLOOKUP(REG_TRA_DEMANDS!$F103,DEMANDS!$G$2:$CK$25,MATCH($E103,DEMANDS!$E$2:$E$25,0),FALSE)/HLOOKUP(2018,DEMANDS!$G$2:$CK$25,MATCH($E103,DEMANDS!$E$2:$E$25,0),FALSE)</f>
        <v>0.27056695668356973</v>
      </c>
      <c r="AC103" s="19">
        <f>HLOOKUP(REG_TRA_DEMANDS!AC$3,'BY-Demands'!$J$5:$AK$14,MATCH($E103,'BY-Demands'!$I$5:$I$14,0),FALSE)*HLOOKUP(REG_TRA_DEMANDS!$F103,DEMANDS!$G$2:$CK$25,MATCH($E103,DEMANDS!$E$2:$E$25,0),FALSE)/HLOOKUP(2018,DEMANDS!$G$2:$CK$25,MATCH($E103,DEMANDS!$E$2:$E$25,0),FALSE)</f>
        <v>0.29505436416076913</v>
      </c>
      <c r="AD103" s="19">
        <f>HLOOKUP(REG_TRA_DEMANDS!AD$3,'BY-Demands'!$J$5:$AK$14,MATCH($E103,'BY-Demands'!$I$5:$I$14,0),FALSE)*HLOOKUP(REG_TRA_DEMANDS!$F103,DEMANDS!$G$2:$CK$25,MATCH($E103,DEMANDS!$E$2:$E$25,0),FALSE)/HLOOKUP(2018,DEMANDS!$G$2:$CK$25,MATCH($E103,DEMANDS!$E$2:$E$25,0),FALSE)</f>
        <v>0.34296271067842721</v>
      </c>
      <c r="AE103" s="19">
        <f>HLOOKUP(REG_TRA_DEMANDS!AE$3,'BY-Demands'!$J$5:$AK$14,MATCH($E103,'BY-Demands'!$I$5:$I$14,0),FALSE)*HLOOKUP(REG_TRA_DEMANDS!$F103,DEMANDS!$G$2:$CK$25,MATCH($E103,DEMANDS!$E$2:$E$25,0),FALSE)/HLOOKUP(2018,DEMANDS!$G$2:$CK$25,MATCH($E103,DEMANDS!$E$2:$E$25,0),FALSE)</f>
        <v>0.71672074982041745</v>
      </c>
      <c r="AF103" s="19">
        <f>HLOOKUP(REG_TRA_DEMANDS!AF$3,'BY-Demands'!$J$5:$AK$14,MATCH($E103,'BY-Demands'!$I$5:$I$14,0),FALSE)*HLOOKUP(REG_TRA_DEMANDS!$F103,DEMANDS!$G$2:$CK$25,MATCH($E103,DEMANDS!$E$2:$E$25,0),FALSE)/HLOOKUP(2018,DEMANDS!$G$2:$CK$25,MATCH($E103,DEMANDS!$E$2:$E$25,0),FALSE)</f>
        <v>0.27637456623747608</v>
      </c>
    </row>
    <row r="104" spans="4:32" ht="14.5">
      <c r="D104" t="s">
        <v>6</v>
      </c>
      <c r="E104" t="str">
        <f>DEMANDS!$E$20</f>
        <v>TRAF</v>
      </c>
      <c r="F104">
        <v>2039</v>
      </c>
      <c r="G104" s="19">
        <f>HLOOKUP(REG_TRA_DEMANDS!G$3,'BY-Demands'!$J$5:$AK$14,MATCH($E104,'BY-Demands'!$I$5:$I$14,0),FALSE)*HLOOKUP(REG_TRA_DEMANDS!$F104,DEMANDS!$G$2:$CK$25,MATCH($E104,DEMANDS!$E$2:$E$25,0),FALSE)/HLOOKUP(2018,DEMANDS!$G$2:$CK$25,MATCH($E104,DEMANDS!$E$2:$E$25,0),FALSE)</f>
        <v>0.3254533305606363</v>
      </c>
      <c r="H104" s="19">
        <f>HLOOKUP(REG_TRA_DEMANDS!H$3,'BY-Demands'!$J$5:$AK$14,MATCH($E104,'BY-Demands'!$I$5:$I$14,0),FALSE)*HLOOKUP(REG_TRA_DEMANDS!$F104,DEMANDS!$G$2:$CK$25,MATCH($E104,DEMANDS!$E$2:$E$25,0),FALSE)/HLOOKUP(2018,DEMANDS!$G$2:$CK$25,MATCH($E104,DEMANDS!$E$2:$E$25,0),FALSE)</f>
        <v>4.8609052420460195</v>
      </c>
      <c r="I104" s="19">
        <f>HLOOKUP(REG_TRA_DEMANDS!I$3,'BY-Demands'!$J$5:$AK$14,MATCH($E104,'BY-Demands'!$I$5:$I$14,0),FALSE)*HLOOKUP(REG_TRA_DEMANDS!$F104,DEMANDS!$G$2:$CK$25,MATCH($E104,DEMANDS!$E$2:$E$25,0),FALSE)/HLOOKUP(2018,DEMANDS!$G$2:$CK$25,MATCH($E104,DEMANDS!$E$2:$E$25,0),FALSE)</f>
        <v>0.88209547738674898</v>
      </c>
      <c r="J104" s="19">
        <f>HLOOKUP(REG_TRA_DEMANDS!J$3,'BY-Demands'!$J$5:$AK$14,MATCH($E104,'BY-Demands'!$I$5:$I$14,0),FALSE)*HLOOKUP(REG_TRA_DEMANDS!$F104,DEMANDS!$G$2:$CK$25,MATCH($E104,DEMANDS!$E$2:$E$25,0),FALSE)/HLOOKUP(2018,DEMANDS!$G$2:$CK$25,MATCH($E104,DEMANDS!$E$2:$E$25,0),FALSE)</f>
        <v>0.56726243410020782</v>
      </c>
      <c r="K104" s="19">
        <f>HLOOKUP(REG_TRA_DEMANDS!K$3,'BY-Demands'!$J$5:$AK$14,MATCH($E104,'BY-Demands'!$I$5:$I$14,0),FALSE)*HLOOKUP(REG_TRA_DEMANDS!$F104,DEMANDS!$G$2:$CK$25,MATCH($E104,DEMANDS!$E$2:$E$25,0),FALSE)/HLOOKUP(2018,DEMANDS!$G$2:$CK$25,MATCH($E104,DEMANDS!$E$2:$E$25,0),FALSE)</f>
        <v>0.40403372760398226</v>
      </c>
      <c r="L104" s="19">
        <f>HLOOKUP(REG_TRA_DEMANDS!L$3,'BY-Demands'!$J$5:$AK$14,MATCH($E104,'BY-Demands'!$I$5:$I$14,0),FALSE)*HLOOKUP(REG_TRA_DEMANDS!$F104,DEMANDS!$G$2:$CK$25,MATCH($E104,DEMANDS!$E$2:$E$25,0),FALSE)/HLOOKUP(2018,DEMANDS!$G$2:$CK$25,MATCH($E104,DEMANDS!$E$2:$E$25,0),FALSE)</f>
        <v>0.19497822294009978</v>
      </c>
      <c r="M104" s="19">
        <f>HLOOKUP(REG_TRA_DEMANDS!M$3,'BY-Demands'!$J$5:$AK$14,MATCH($E104,'BY-Demands'!$I$5:$I$14,0),FALSE)*HLOOKUP(REG_TRA_DEMANDS!$F104,DEMANDS!$G$2:$CK$25,MATCH($E104,DEMANDS!$E$2:$E$25,0),FALSE)/HLOOKUP(2018,DEMANDS!$G$2:$CK$25,MATCH($E104,DEMANDS!$E$2:$E$25,0),FALSE)</f>
        <v>0.510948088607458</v>
      </c>
      <c r="N104" s="19">
        <f>HLOOKUP(REG_TRA_DEMANDS!N$3,'BY-Demands'!$J$5:$AK$14,MATCH($E104,'BY-Demands'!$I$5:$I$14,0),FALSE)*HLOOKUP(REG_TRA_DEMANDS!$F104,DEMANDS!$G$2:$CK$25,MATCH($E104,DEMANDS!$E$2:$E$25,0),FALSE)/HLOOKUP(2018,DEMANDS!$G$2:$CK$25,MATCH($E104,DEMANDS!$E$2:$E$25,0),FALSE)</f>
        <v>0.79058577031272559</v>
      </c>
      <c r="O104" s="19">
        <f>HLOOKUP(REG_TRA_DEMANDS!O$3,'BY-Demands'!$J$5:$AK$14,MATCH($E104,'BY-Demands'!$I$5:$I$14,0),FALSE)*HLOOKUP(REG_TRA_DEMANDS!$F104,DEMANDS!$G$2:$CK$25,MATCH($E104,DEMANDS!$E$2:$E$25,0),FALSE)/HLOOKUP(2018,DEMANDS!$G$2:$CK$25,MATCH($E104,DEMANDS!$E$2:$E$25,0),FALSE)</f>
        <v>0.37190069822702121</v>
      </c>
      <c r="P104" s="19">
        <f>HLOOKUP(REG_TRA_DEMANDS!P$3,'BY-Demands'!$J$5:$AK$14,MATCH($E104,'BY-Demands'!$I$5:$I$14,0),FALSE)*HLOOKUP(REG_TRA_DEMANDS!$F104,DEMANDS!$G$2:$CK$25,MATCH($E104,DEMANDS!$E$2:$E$25,0),FALSE)/HLOOKUP(2018,DEMANDS!$G$2:$CK$25,MATCH($E104,DEMANDS!$E$2:$E$25,0),FALSE)</f>
        <v>0.42346333399536618</v>
      </c>
      <c r="Q104" s="19">
        <f>HLOOKUP(REG_TRA_DEMANDS!Q$3,'BY-Demands'!$J$5:$AK$14,MATCH($E104,'BY-Demands'!$I$5:$I$14,0),FALSE)*HLOOKUP(REG_TRA_DEMANDS!$F104,DEMANDS!$G$2:$CK$25,MATCH($E104,DEMANDS!$E$2:$E$25,0),FALSE)/HLOOKUP(2018,DEMANDS!$G$2:$CK$25,MATCH($E104,DEMANDS!$E$2:$E$25,0),FALSE)</f>
        <v>0.85588989598467469</v>
      </c>
      <c r="R104" s="19">
        <f>HLOOKUP(REG_TRA_DEMANDS!R$3,'BY-Demands'!$J$5:$AK$14,MATCH($E104,'BY-Demands'!$I$5:$I$14,0),FALSE)*HLOOKUP(REG_TRA_DEMANDS!$F104,DEMANDS!$G$2:$CK$25,MATCH($E104,DEMANDS!$E$2:$E$25,0),FALSE)/HLOOKUP(2018,DEMANDS!$G$2:$CK$25,MATCH($E104,DEMANDS!$E$2:$E$25,0),FALSE)</f>
        <v>0.56463006672602589</v>
      </c>
      <c r="S104" s="19">
        <f>HLOOKUP(REG_TRA_DEMANDS!S$3,'BY-Demands'!$J$5:$AK$14,MATCH($E104,'BY-Demands'!$I$5:$I$14,0),FALSE)*HLOOKUP(REG_TRA_DEMANDS!$F104,DEMANDS!$G$2:$CK$25,MATCH($E104,DEMANDS!$E$2:$E$25,0),FALSE)/HLOOKUP(2018,DEMANDS!$G$2:$CK$25,MATCH($E104,DEMANDS!$E$2:$E$25,0),FALSE)</f>
        <v>0.55562562878050847</v>
      </c>
      <c r="T104" s="19">
        <f>HLOOKUP(REG_TRA_DEMANDS!T$3,'BY-Demands'!$J$5:$AK$14,MATCH($E104,'BY-Demands'!$I$5:$I$14,0),FALSE)*HLOOKUP(REG_TRA_DEMANDS!$F104,DEMANDS!$G$2:$CK$25,MATCH($E104,DEMANDS!$E$2:$E$25,0),FALSE)/HLOOKUP(2018,DEMANDS!$G$2:$CK$25,MATCH($E104,DEMANDS!$E$2:$E$25,0),FALSE)</f>
        <v>2.9729004118197468</v>
      </c>
      <c r="U104" s="19">
        <f>HLOOKUP(REG_TRA_DEMANDS!U$3,'BY-Demands'!$J$5:$AK$14,MATCH($E104,'BY-Demands'!$I$5:$I$14,0),FALSE)*HLOOKUP(REG_TRA_DEMANDS!$F104,DEMANDS!$G$2:$CK$25,MATCH($E104,DEMANDS!$E$2:$E$25,0),FALSE)/HLOOKUP(2018,DEMANDS!$G$2:$CK$25,MATCH($E104,DEMANDS!$E$2:$E$25,0),FALSE)</f>
        <v>0.80888577173209364</v>
      </c>
      <c r="V104" s="19">
        <f>HLOOKUP(REG_TRA_DEMANDS!V$3,'BY-Demands'!$J$5:$AK$14,MATCH($E104,'BY-Demands'!$I$5:$I$14,0),FALSE)*HLOOKUP(REG_TRA_DEMANDS!$F104,DEMANDS!$G$2:$CK$25,MATCH($E104,DEMANDS!$E$2:$E$25,0),FALSE)/HLOOKUP(2018,DEMANDS!$G$2:$CK$25,MATCH($E104,DEMANDS!$E$2:$E$25,0),FALSE)</f>
        <v>0.91140896861301435</v>
      </c>
      <c r="W104" s="19">
        <f>HLOOKUP(REG_TRA_DEMANDS!W$3,'BY-Demands'!$J$5:$AK$14,MATCH($E104,'BY-Demands'!$I$5:$I$14,0),FALSE)*HLOOKUP(REG_TRA_DEMANDS!$F104,DEMANDS!$G$2:$CK$25,MATCH($E104,DEMANDS!$E$2:$E$25,0),FALSE)/HLOOKUP(2018,DEMANDS!$G$2:$CK$25,MATCH($E104,DEMANDS!$E$2:$E$25,0),FALSE)</f>
        <v>0.74611996556735627</v>
      </c>
      <c r="X104" s="19">
        <f>HLOOKUP(REG_TRA_DEMANDS!X$3,'BY-Demands'!$J$5:$AK$14,MATCH($E104,'BY-Demands'!$I$5:$I$14,0),FALSE)*HLOOKUP(REG_TRA_DEMANDS!$F104,DEMANDS!$G$2:$CK$25,MATCH($E104,DEMANDS!$E$2:$E$25,0),FALSE)/HLOOKUP(2018,DEMANDS!$G$2:$CK$25,MATCH($E104,DEMANDS!$E$2:$E$25,0),FALSE)</f>
        <v>0.69304459453058564</v>
      </c>
      <c r="Y104" s="19">
        <f>HLOOKUP(REG_TRA_DEMANDS!Y$3,'BY-Demands'!$J$5:$AK$14,MATCH($E104,'BY-Demands'!$I$5:$I$14,0),FALSE)*HLOOKUP(REG_TRA_DEMANDS!$F104,DEMANDS!$G$2:$CK$25,MATCH($E104,DEMANDS!$E$2:$E$25,0),FALSE)/HLOOKUP(2018,DEMANDS!$G$2:$CK$25,MATCH($E104,DEMANDS!$E$2:$E$25,0),FALSE)</f>
        <v>1.1066539564503184</v>
      </c>
      <c r="Z104" s="19">
        <f>HLOOKUP(REG_TRA_DEMANDS!Z$3,'BY-Demands'!$J$5:$AK$14,MATCH($E104,'BY-Demands'!$I$5:$I$14,0),FALSE)*HLOOKUP(REG_TRA_DEMANDS!$F104,DEMANDS!$G$2:$CK$25,MATCH($E104,DEMANDS!$E$2:$E$25,0),FALSE)/HLOOKUP(2018,DEMANDS!$G$2:$CK$25,MATCH($E104,DEMANDS!$E$2:$E$25,0),FALSE)</f>
        <v>0.14758801636082289</v>
      </c>
      <c r="AA104" s="19">
        <f>HLOOKUP(REG_TRA_DEMANDS!AA$3,'BY-Demands'!$J$5:$AK$14,MATCH($E104,'BY-Demands'!$I$5:$I$14,0),FALSE)*HLOOKUP(REG_TRA_DEMANDS!$F104,DEMANDS!$G$2:$CK$25,MATCH($E104,DEMANDS!$E$2:$E$25,0),FALSE)/HLOOKUP(2018,DEMANDS!$G$2:$CK$25,MATCH($E104,DEMANDS!$E$2:$E$25,0),FALSE)</f>
        <v>0.6232921313300307</v>
      </c>
      <c r="AB104" s="19">
        <f>HLOOKUP(REG_TRA_DEMANDS!AB$3,'BY-Demands'!$J$5:$AK$14,MATCH($E104,'BY-Demands'!$I$5:$I$14,0),FALSE)*HLOOKUP(REG_TRA_DEMANDS!$F104,DEMANDS!$G$2:$CK$25,MATCH($E104,DEMANDS!$E$2:$E$25,0),FALSE)/HLOOKUP(2018,DEMANDS!$G$2:$CK$25,MATCH($E104,DEMANDS!$E$2:$E$25,0),FALSE)</f>
        <v>0.27678999668729182</v>
      </c>
      <c r="AC104" s="19">
        <f>HLOOKUP(REG_TRA_DEMANDS!AC$3,'BY-Demands'!$J$5:$AK$14,MATCH($E104,'BY-Demands'!$I$5:$I$14,0),FALSE)*HLOOKUP(REG_TRA_DEMANDS!$F104,DEMANDS!$G$2:$CK$25,MATCH($E104,DEMANDS!$E$2:$E$25,0),FALSE)/HLOOKUP(2018,DEMANDS!$G$2:$CK$25,MATCH($E104,DEMANDS!$E$2:$E$25,0),FALSE)</f>
        <v>0.30184061453646688</v>
      </c>
      <c r="AD104" s="19">
        <f>HLOOKUP(REG_TRA_DEMANDS!AD$3,'BY-Demands'!$J$5:$AK$14,MATCH($E104,'BY-Demands'!$I$5:$I$14,0),FALSE)*HLOOKUP(REG_TRA_DEMANDS!$F104,DEMANDS!$G$2:$CK$25,MATCH($E104,DEMANDS!$E$2:$E$25,0),FALSE)/HLOOKUP(2018,DEMANDS!$G$2:$CK$25,MATCH($E104,DEMANDS!$E$2:$E$25,0),FALSE)</f>
        <v>0.35085085302403102</v>
      </c>
      <c r="AE104" s="19">
        <f>HLOOKUP(REG_TRA_DEMANDS!AE$3,'BY-Demands'!$J$5:$AK$14,MATCH($E104,'BY-Demands'!$I$5:$I$14,0),FALSE)*HLOOKUP(REG_TRA_DEMANDS!$F104,DEMANDS!$G$2:$CK$25,MATCH($E104,DEMANDS!$E$2:$E$25,0),FALSE)/HLOOKUP(2018,DEMANDS!$G$2:$CK$25,MATCH($E104,DEMANDS!$E$2:$E$25,0),FALSE)</f>
        <v>0.73320532706628705</v>
      </c>
      <c r="AF104" s="19">
        <f>HLOOKUP(REG_TRA_DEMANDS!AF$3,'BY-Demands'!$J$5:$AK$14,MATCH($E104,'BY-Demands'!$I$5:$I$14,0),FALSE)*HLOOKUP(REG_TRA_DEMANDS!$F104,DEMANDS!$G$2:$CK$25,MATCH($E104,DEMANDS!$E$2:$E$25,0),FALSE)/HLOOKUP(2018,DEMANDS!$G$2:$CK$25,MATCH($E104,DEMANDS!$E$2:$E$25,0),FALSE)</f>
        <v>0.28273118126093805</v>
      </c>
    </row>
    <row r="105" spans="4:32" ht="14.5">
      <c r="D105" t="s">
        <v>6</v>
      </c>
      <c r="E105" t="str">
        <f>DEMANDS!$E$20</f>
        <v>TRAF</v>
      </c>
      <c r="F105">
        <v>2040</v>
      </c>
      <c r="G105" s="19">
        <f>HLOOKUP(REG_TRA_DEMANDS!G$3,'BY-Demands'!$J$5:$AK$14,MATCH($E105,'BY-Demands'!$I$5:$I$14,0),FALSE)*HLOOKUP(REG_TRA_DEMANDS!$F105,DEMANDS!$G$2:$CK$25,MATCH($E105,DEMANDS!$E$2:$E$25,0),FALSE)/HLOOKUP(2018,DEMANDS!$G$2:$CK$25,MATCH($E105,DEMANDS!$E$2:$E$25,0),FALSE)</f>
        <v>0.33293875716353089</v>
      </c>
      <c r="H105" s="19">
        <f>HLOOKUP(REG_TRA_DEMANDS!H$3,'BY-Demands'!$J$5:$AK$14,MATCH($E105,'BY-Demands'!$I$5:$I$14,0),FALSE)*HLOOKUP(REG_TRA_DEMANDS!$F105,DEMANDS!$G$2:$CK$25,MATCH($E105,DEMANDS!$E$2:$E$25,0),FALSE)/HLOOKUP(2018,DEMANDS!$G$2:$CK$25,MATCH($E105,DEMANDS!$E$2:$E$25,0),FALSE)</f>
        <v>4.972706062613077</v>
      </c>
      <c r="I105" s="19">
        <f>HLOOKUP(REG_TRA_DEMANDS!I$3,'BY-Demands'!$J$5:$AK$14,MATCH($E105,'BY-Demands'!$I$5:$I$14,0),FALSE)*HLOOKUP(REG_TRA_DEMANDS!$F105,DEMANDS!$G$2:$CK$25,MATCH($E105,DEMANDS!$E$2:$E$25,0),FALSE)/HLOOKUP(2018,DEMANDS!$G$2:$CK$25,MATCH($E105,DEMANDS!$E$2:$E$25,0),FALSE)</f>
        <v>0.90238367336664405</v>
      </c>
      <c r="J105" s="19">
        <f>HLOOKUP(REG_TRA_DEMANDS!J$3,'BY-Demands'!$J$5:$AK$14,MATCH($E105,'BY-Demands'!$I$5:$I$14,0),FALSE)*HLOOKUP(REG_TRA_DEMANDS!$F105,DEMANDS!$G$2:$CK$25,MATCH($E105,DEMANDS!$E$2:$E$25,0),FALSE)/HLOOKUP(2018,DEMANDS!$G$2:$CK$25,MATCH($E105,DEMANDS!$E$2:$E$25,0),FALSE)</f>
        <v>0.58030947008451239</v>
      </c>
      <c r="K105" s="19">
        <f>HLOOKUP(REG_TRA_DEMANDS!K$3,'BY-Demands'!$J$5:$AK$14,MATCH($E105,'BY-Demands'!$I$5:$I$14,0),FALSE)*HLOOKUP(REG_TRA_DEMANDS!$F105,DEMANDS!$G$2:$CK$25,MATCH($E105,DEMANDS!$E$2:$E$25,0),FALSE)/HLOOKUP(2018,DEMANDS!$G$2:$CK$25,MATCH($E105,DEMANDS!$E$2:$E$25,0),FALSE)</f>
        <v>0.41332650333887377</v>
      </c>
      <c r="L105" s="19">
        <f>HLOOKUP(REG_TRA_DEMANDS!L$3,'BY-Demands'!$J$5:$AK$14,MATCH($E105,'BY-Demands'!$I$5:$I$14,0),FALSE)*HLOOKUP(REG_TRA_DEMANDS!$F105,DEMANDS!$G$2:$CK$25,MATCH($E105,DEMANDS!$E$2:$E$25,0),FALSE)/HLOOKUP(2018,DEMANDS!$G$2:$CK$25,MATCH($E105,DEMANDS!$E$2:$E$25,0),FALSE)</f>
        <v>0.19946272206772206</v>
      </c>
      <c r="M105" s="19">
        <f>HLOOKUP(REG_TRA_DEMANDS!M$3,'BY-Demands'!$J$5:$AK$14,MATCH($E105,'BY-Demands'!$I$5:$I$14,0),FALSE)*HLOOKUP(REG_TRA_DEMANDS!$F105,DEMANDS!$G$2:$CK$25,MATCH($E105,DEMANDS!$E$2:$E$25,0),FALSE)/HLOOKUP(2018,DEMANDS!$G$2:$CK$25,MATCH($E105,DEMANDS!$E$2:$E$25,0),FALSE)</f>
        <v>0.52269989464542943</v>
      </c>
      <c r="N105" s="19">
        <f>HLOOKUP(REG_TRA_DEMANDS!N$3,'BY-Demands'!$J$5:$AK$14,MATCH($E105,'BY-Demands'!$I$5:$I$14,0),FALSE)*HLOOKUP(REG_TRA_DEMANDS!$F105,DEMANDS!$G$2:$CK$25,MATCH($E105,DEMANDS!$E$2:$E$25,0),FALSE)/HLOOKUP(2018,DEMANDS!$G$2:$CK$25,MATCH($E105,DEMANDS!$E$2:$E$25,0),FALSE)</f>
        <v>0.80876924302991815</v>
      </c>
      <c r="O105" s="19">
        <f>HLOOKUP(REG_TRA_DEMANDS!O$3,'BY-Demands'!$J$5:$AK$14,MATCH($E105,'BY-Demands'!$I$5:$I$14,0),FALSE)*HLOOKUP(REG_TRA_DEMANDS!$F105,DEMANDS!$G$2:$CK$25,MATCH($E105,DEMANDS!$E$2:$E$25,0),FALSE)/HLOOKUP(2018,DEMANDS!$G$2:$CK$25,MATCH($E105,DEMANDS!$E$2:$E$25,0),FALSE)</f>
        <v>0.3804544142862426</v>
      </c>
      <c r="P105" s="19">
        <f>HLOOKUP(REG_TRA_DEMANDS!P$3,'BY-Demands'!$J$5:$AK$14,MATCH($E105,'BY-Demands'!$I$5:$I$14,0),FALSE)*HLOOKUP(REG_TRA_DEMANDS!$F105,DEMANDS!$G$2:$CK$25,MATCH($E105,DEMANDS!$E$2:$E$25,0),FALSE)/HLOOKUP(2018,DEMANDS!$G$2:$CK$25,MATCH($E105,DEMANDS!$E$2:$E$25,0),FALSE)</f>
        <v>0.43320299067725954</v>
      </c>
      <c r="Q105" s="19">
        <f>HLOOKUP(REG_TRA_DEMANDS!Q$3,'BY-Demands'!$J$5:$AK$14,MATCH($E105,'BY-Demands'!$I$5:$I$14,0),FALSE)*HLOOKUP(REG_TRA_DEMANDS!$F105,DEMANDS!$G$2:$CK$25,MATCH($E105,DEMANDS!$E$2:$E$25,0),FALSE)/HLOOKUP(2018,DEMANDS!$G$2:$CK$25,MATCH($E105,DEMANDS!$E$2:$E$25,0),FALSE)</f>
        <v>0.87557536359232202</v>
      </c>
      <c r="R105" s="19">
        <f>HLOOKUP(REG_TRA_DEMANDS!R$3,'BY-Demands'!$J$5:$AK$14,MATCH($E105,'BY-Demands'!$I$5:$I$14,0),FALSE)*HLOOKUP(REG_TRA_DEMANDS!$F105,DEMANDS!$G$2:$CK$25,MATCH($E105,DEMANDS!$E$2:$E$25,0),FALSE)/HLOOKUP(2018,DEMANDS!$G$2:$CK$25,MATCH($E105,DEMANDS!$E$2:$E$25,0),FALSE)</f>
        <v>0.57761655826072433</v>
      </c>
      <c r="S105" s="19">
        <f>HLOOKUP(REG_TRA_DEMANDS!S$3,'BY-Demands'!$J$5:$AK$14,MATCH($E105,'BY-Demands'!$I$5:$I$14,0),FALSE)*HLOOKUP(REG_TRA_DEMANDS!$F105,DEMANDS!$G$2:$CK$25,MATCH($E105,DEMANDS!$E$2:$E$25,0),FALSE)/HLOOKUP(2018,DEMANDS!$G$2:$CK$25,MATCH($E105,DEMANDS!$E$2:$E$25,0),FALSE)</f>
        <v>0.56840501824246015</v>
      </c>
      <c r="T105" s="19">
        <f>HLOOKUP(REG_TRA_DEMANDS!T$3,'BY-Demands'!$J$5:$AK$14,MATCH($E105,'BY-Demands'!$I$5:$I$14,0),FALSE)*HLOOKUP(REG_TRA_DEMANDS!$F105,DEMANDS!$G$2:$CK$25,MATCH($E105,DEMANDS!$E$2:$E$25,0),FALSE)/HLOOKUP(2018,DEMANDS!$G$2:$CK$25,MATCH($E105,DEMANDS!$E$2:$E$25,0),FALSE)</f>
        <v>3.0412771212916003</v>
      </c>
      <c r="U105" s="19">
        <f>HLOOKUP(REG_TRA_DEMANDS!U$3,'BY-Demands'!$J$5:$AK$14,MATCH($E105,'BY-Demands'!$I$5:$I$14,0),FALSE)*HLOOKUP(REG_TRA_DEMANDS!$F105,DEMANDS!$G$2:$CK$25,MATCH($E105,DEMANDS!$E$2:$E$25,0),FALSE)/HLOOKUP(2018,DEMANDS!$G$2:$CK$25,MATCH($E105,DEMANDS!$E$2:$E$25,0),FALSE)</f>
        <v>0.82749014448193159</v>
      </c>
      <c r="V105" s="19">
        <f>HLOOKUP(REG_TRA_DEMANDS!V$3,'BY-Demands'!$J$5:$AK$14,MATCH($E105,'BY-Demands'!$I$5:$I$14,0),FALSE)*HLOOKUP(REG_TRA_DEMANDS!$F105,DEMANDS!$G$2:$CK$25,MATCH($E105,DEMANDS!$E$2:$E$25,0),FALSE)/HLOOKUP(2018,DEMANDS!$G$2:$CK$25,MATCH($E105,DEMANDS!$E$2:$E$25,0),FALSE)</f>
        <v>0.93237137489111355</v>
      </c>
      <c r="W105" s="19">
        <f>HLOOKUP(REG_TRA_DEMANDS!W$3,'BY-Demands'!$J$5:$AK$14,MATCH($E105,'BY-Demands'!$I$5:$I$14,0),FALSE)*HLOOKUP(REG_TRA_DEMANDS!$F105,DEMANDS!$G$2:$CK$25,MATCH($E105,DEMANDS!$E$2:$E$25,0),FALSE)/HLOOKUP(2018,DEMANDS!$G$2:$CK$25,MATCH($E105,DEMANDS!$E$2:$E$25,0),FALSE)</f>
        <v>0.76328072477540532</v>
      </c>
      <c r="X105" s="19">
        <f>HLOOKUP(REG_TRA_DEMANDS!X$3,'BY-Demands'!$J$5:$AK$14,MATCH($E105,'BY-Demands'!$I$5:$I$14,0),FALSE)*HLOOKUP(REG_TRA_DEMANDS!$F105,DEMANDS!$G$2:$CK$25,MATCH($E105,DEMANDS!$E$2:$E$25,0),FALSE)/HLOOKUP(2018,DEMANDS!$G$2:$CK$25,MATCH($E105,DEMANDS!$E$2:$E$25,0),FALSE)</f>
        <v>0.70898462020478892</v>
      </c>
      <c r="Y105" s="19">
        <f>HLOOKUP(REG_TRA_DEMANDS!Y$3,'BY-Demands'!$J$5:$AK$14,MATCH($E105,'BY-Demands'!$I$5:$I$14,0),FALSE)*HLOOKUP(REG_TRA_DEMANDS!$F105,DEMANDS!$G$2:$CK$25,MATCH($E105,DEMANDS!$E$2:$E$25,0),FALSE)/HLOOKUP(2018,DEMANDS!$G$2:$CK$25,MATCH($E105,DEMANDS!$E$2:$E$25,0),FALSE)</f>
        <v>1.1321069974486755</v>
      </c>
      <c r="Z105" s="19">
        <f>HLOOKUP(REG_TRA_DEMANDS!Z$3,'BY-Demands'!$J$5:$AK$14,MATCH($E105,'BY-Demands'!$I$5:$I$14,0),FALSE)*HLOOKUP(REG_TRA_DEMANDS!$F105,DEMANDS!$G$2:$CK$25,MATCH($E105,DEMANDS!$E$2:$E$25,0),FALSE)/HLOOKUP(2018,DEMANDS!$G$2:$CK$25,MATCH($E105,DEMANDS!$E$2:$E$25,0),FALSE)</f>
        <v>0.15098254073712178</v>
      </c>
      <c r="AA105" s="19">
        <f>HLOOKUP(REG_TRA_DEMANDS!AA$3,'BY-Demands'!$J$5:$AK$14,MATCH($E105,'BY-Demands'!$I$5:$I$14,0),FALSE)*HLOOKUP(REG_TRA_DEMANDS!$F105,DEMANDS!$G$2:$CK$25,MATCH($E105,DEMANDS!$E$2:$E$25,0),FALSE)/HLOOKUP(2018,DEMANDS!$G$2:$CK$25,MATCH($E105,DEMANDS!$E$2:$E$25,0),FALSE)</f>
        <v>0.63762785035062131</v>
      </c>
      <c r="AB105" s="19">
        <f>HLOOKUP(REG_TRA_DEMANDS!AB$3,'BY-Demands'!$J$5:$AK$14,MATCH($E105,'BY-Demands'!$I$5:$I$14,0),FALSE)*HLOOKUP(REG_TRA_DEMANDS!$F105,DEMANDS!$G$2:$CK$25,MATCH($E105,DEMANDS!$E$2:$E$25,0),FALSE)/HLOOKUP(2018,DEMANDS!$G$2:$CK$25,MATCH($E105,DEMANDS!$E$2:$E$25,0),FALSE)</f>
        <v>0.28315616661109949</v>
      </c>
      <c r="AC105" s="19">
        <f>HLOOKUP(REG_TRA_DEMANDS!AC$3,'BY-Demands'!$J$5:$AK$14,MATCH($E105,'BY-Demands'!$I$5:$I$14,0),FALSE)*HLOOKUP(REG_TRA_DEMANDS!$F105,DEMANDS!$G$2:$CK$25,MATCH($E105,DEMANDS!$E$2:$E$25,0),FALSE)/HLOOKUP(2018,DEMANDS!$G$2:$CK$25,MATCH($E105,DEMANDS!$E$2:$E$25,0),FALSE)</f>
        <v>0.30878294867080552</v>
      </c>
      <c r="AD105" s="19">
        <f>HLOOKUP(REG_TRA_DEMANDS!AD$3,'BY-Demands'!$J$5:$AK$14,MATCH($E105,'BY-Demands'!$I$5:$I$14,0),FALSE)*HLOOKUP(REG_TRA_DEMANDS!$F105,DEMANDS!$G$2:$CK$25,MATCH($E105,DEMANDS!$E$2:$E$25,0),FALSE)/HLOOKUP(2018,DEMANDS!$G$2:$CK$25,MATCH($E105,DEMANDS!$E$2:$E$25,0),FALSE)</f>
        <v>0.35892042264358365</v>
      </c>
      <c r="AE105" s="19">
        <f>HLOOKUP(REG_TRA_DEMANDS!AE$3,'BY-Demands'!$J$5:$AK$14,MATCH($E105,'BY-Demands'!$I$5:$I$14,0),FALSE)*HLOOKUP(REG_TRA_DEMANDS!$F105,DEMANDS!$G$2:$CK$25,MATCH($E105,DEMANDS!$E$2:$E$25,0),FALSE)/HLOOKUP(2018,DEMANDS!$G$2:$CK$25,MATCH($E105,DEMANDS!$E$2:$E$25,0),FALSE)</f>
        <v>0.7500690495888116</v>
      </c>
      <c r="AF105" s="19">
        <f>HLOOKUP(REG_TRA_DEMANDS!AF$3,'BY-Demands'!$J$5:$AK$14,MATCH($E105,'BY-Demands'!$I$5:$I$14,0),FALSE)*HLOOKUP(REG_TRA_DEMANDS!$F105,DEMANDS!$G$2:$CK$25,MATCH($E105,DEMANDS!$E$2:$E$25,0),FALSE)/HLOOKUP(2018,DEMANDS!$G$2:$CK$25,MATCH($E105,DEMANDS!$E$2:$E$25,0),FALSE)</f>
        <v>0.28923399842993958</v>
      </c>
    </row>
    <row r="106" spans="4:32" ht="14.5">
      <c r="D106" t="s">
        <v>6</v>
      </c>
      <c r="E106" t="str">
        <f>DEMANDS!$E$20</f>
        <v>TRAF</v>
      </c>
      <c r="F106">
        <v>2045</v>
      </c>
      <c r="G106" s="19">
        <f>HLOOKUP(REG_TRA_DEMANDS!G$3,'BY-Demands'!$J$5:$AK$14,MATCH($E106,'BY-Demands'!$I$5:$I$14,0),FALSE)*HLOOKUP(REG_TRA_DEMANDS!$F106,DEMANDS!$G$2:$CK$25,MATCH($E106,DEMANDS!$E$2:$E$25,0),FALSE)/HLOOKUP(2018,DEMANDS!$G$2:$CK$25,MATCH($E106,DEMANDS!$E$2:$E$25,0),FALSE)</f>
        <v>0.37302893691379763</v>
      </c>
      <c r="H106" s="19">
        <f>HLOOKUP(REG_TRA_DEMANDS!H$3,'BY-Demands'!$J$5:$AK$14,MATCH($E106,'BY-Demands'!$I$5:$I$14,0),FALSE)*HLOOKUP(REG_TRA_DEMANDS!$F106,DEMANDS!$G$2:$CK$25,MATCH($E106,DEMANDS!$E$2:$E$25,0),FALSE)/HLOOKUP(2018,DEMANDS!$G$2:$CK$25,MATCH($E106,DEMANDS!$E$2:$E$25,0),FALSE)</f>
        <v>5.5714848938726664</v>
      </c>
      <c r="I106" s="19">
        <f>HLOOKUP(REG_TRA_DEMANDS!I$3,'BY-Demands'!$J$5:$AK$14,MATCH($E106,'BY-Demands'!$I$5:$I$14,0),FALSE)*HLOOKUP(REG_TRA_DEMANDS!$F106,DEMANDS!$G$2:$CK$25,MATCH($E106,DEMANDS!$E$2:$E$25,0),FALSE)/HLOOKUP(2018,DEMANDS!$G$2:$CK$25,MATCH($E106,DEMANDS!$E$2:$E$25,0),FALSE)</f>
        <v>1.011042466885254</v>
      </c>
      <c r="J106" s="19">
        <f>HLOOKUP(REG_TRA_DEMANDS!J$3,'BY-Demands'!$J$5:$AK$14,MATCH($E106,'BY-Demands'!$I$5:$I$14,0),FALSE)*HLOOKUP(REG_TRA_DEMANDS!$F106,DEMANDS!$G$2:$CK$25,MATCH($E106,DEMANDS!$E$2:$E$25,0),FALSE)/HLOOKUP(2018,DEMANDS!$G$2:$CK$25,MATCH($E106,DEMANDS!$E$2:$E$25,0),FALSE)</f>
        <v>0.65018631820118611</v>
      </c>
      <c r="K106" s="19">
        <f>HLOOKUP(REG_TRA_DEMANDS!K$3,'BY-Demands'!$J$5:$AK$14,MATCH($E106,'BY-Demands'!$I$5:$I$14,0),FALSE)*HLOOKUP(REG_TRA_DEMANDS!$F106,DEMANDS!$G$2:$CK$25,MATCH($E106,DEMANDS!$E$2:$E$25,0),FALSE)/HLOOKUP(2018,DEMANDS!$G$2:$CK$25,MATCH($E106,DEMANDS!$E$2:$E$25,0),FALSE)</f>
        <v>0.46309641884998914</v>
      </c>
      <c r="L106" s="19">
        <f>HLOOKUP(REG_TRA_DEMANDS!L$3,'BY-Demands'!$J$5:$AK$14,MATCH($E106,'BY-Demands'!$I$5:$I$14,0),FALSE)*HLOOKUP(REG_TRA_DEMANDS!$F106,DEMANDS!$G$2:$CK$25,MATCH($E106,DEMANDS!$E$2:$E$25,0),FALSE)/HLOOKUP(2018,DEMANDS!$G$2:$CK$25,MATCH($E106,DEMANDS!$E$2:$E$25,0),FALSE)</f>
        <v>0.22348064190769074</v>
      </c>
      <c r="M106" s="19">
        <f>HLOOKUP(REG_TRA_DEMANDS!M$3,'BY-Demands'!$J$5:$AK$14,MATCH($E106,'BY-Demands'!$I$5:$I$14,0),FALSE)*HLOOKUP(REG_TRA_DEMANDS!$F106,DEMANDS!$G$2:$CK$25,MATCH($E106,DEMANDS!$E$2:$E$25,0),FALSE)/HLOOKUP(2018,DEMANDS!$G$2:$CK$25,MATCH($E106,DEMANDS!$E$2:$E$25,0),FALSE)</f>
        <v>0.5856397965970912</v>
      </c>
      <c r="N106" s="19">
        <f>HLOOKUP(REG_TRA_DEMANDS!N$3,'BY-Demands'!$J$5:$AK$14,MATCH($E106,'BY-Demands'!$I$5:$I$14,0),FALSE)*HLOOKUP(REG_TRA_DEMANDS!$F106,DEMANDS!$G$2:$CK$25,MATCH($E106,DEMANDS!$E$2:$E$25,0),FALSE)/HLOOKUP(2018,DEMANDS!$G$2:$CK$25,MATCH($E106,DEMANDS!$E$2:$E$25,0),FALSE)</f>
        <v>0.90615563506727081</v>
      </c>
      <c r="O106" s="19">
        <f>HLOOKUP(REG_TRA_DEMANDS!O$3,'BY-Demands'!$J$5:$AK$14,MATCH($E106,'BY-Demands'!$I$5:$I$14,0),FALSE)*HLOOKUP(REG_TRA_DEMANDS!$F106,DEMANDS!$G$2:$CK$25,MATCH($E106,DEMANDS!$E$2:$E$25,0),FALSE)/HLOOKUP(2018,DEMANDS!$G$2:$CK$25,MATCH($E106,DEMANDS!$E$2:$E$25,0),FALSE)</f>
        <v>0.4262661004517746</v>
      </c>
      <c r="P106" s="19">
        <f>HLOOKUP(REG_TRA_DEMANDS!P$3,'BY-Demands'!$J$5:$AK$14,MATCH($E106,'BY-Demands'!$I$5:$I$14,0),FALSE)*HLOOKUP(REG_TRA_DEMANDS!$F106,DEMANDS!$G$2:$CK$25,MATCH($E106,DEMANDS!$E$2:$E$25,0),FALSE)/HLOOKUP(2018,DEMANDS!$G$2:$CK$25,MATCH($E106,DEMANDS!$E$2:$E$25,0),FALSE)</f>
        <v>0.48536629516173613</v>
      </c>
      <c r="Q106" s="19">
        <f>HLOOKUP(REG_TRA_DEMANDS!Q$3,'BY-Demands'!$J$5:$AK$14,MATCH($E106,'BY-Demands'!$I$5:$I$14,0),FALSE)*HLOOKUP(REG_TRA_DEMANDS!$F106,DEMANDS!$G$2:$CK$25,MATCH($E106,DEMANDS!$E$2:$E$25,0),FALSE)/HLOOKUP(2018,DEMANDS!$G$2:$CK$25,MATCH($E106,DEMANDS!$E$2:$E$25,0),FALSE)</f>
        <v>0.98100608607826012</v>
      </c>
      <c r="R106" s="19">
        <f>HLOOKUP(REG_TRA_DEMANDS!R$3,'BY-Demands'!$J$5:$AK$14,MATCH($E106,'BY-Demands'!$I$5:$I$14,0),FALSE)*HLOOKUP(REG_TRA_DEMANDS!$F106,DEMANDS!$G$2:$CK$25,MATCH($E106,DEMANDS!$E$2:$E$25,0),FALSE)/HLOOKUP(2018,DEMANDS!$G$2:$CK$25,MATCH($E106,DEMANDS!$E$2:$E$25,0),FALSE)</f>
        <v>0.64716914458226482</v>
      </c>
      <c r="S106" s="19">
        <f>HLOOKUP(REG_TRA_DEMANDS!S$3,'BY-Demands'!$J$5:$AK$14,MATCH($E106,'BY-Demands'!$I$5:$I$14,0),FALSE)*HLOOKUP(REG_TRA_DEMANDS!$F106,DEMANDS!$G$2:$CK$25,MATCH($E106,DEMANDS!$E$2:$E$25,0),FALSE)/HLOOKUP(2018,DEMANDS!$G$2:$CK$25,MATCH($E106,DEMANDS!$E$2:$E$25,0),FALSE)</f>
        <v>0.6368484146990081</v>
      </c>
      <c r="T106" s="19">
        <f>HLOOKUP(REG_TRA_DEMANDS!T$3,'BY-Demands'!$J$5:$AK$14,MATCH($E106,'BY-Demands'!$I$5:$I$14,0),FALSE)*HLOOKUP(REG_TRA_DEMANDS!$F106,DEMANDS!$G$2:$CK$25,MATCH($E106,DEMANDS!$E$2:$E$25,0),FALSE)/HLOOKUP(2018,DEMANDS!$G$2:$CK$25,MATCH($E106,DEMANDS!$E$2:$E$25,0),FALSE)</f>
        <v>3.4074866533439701</v>
      </c>
      <c r="U106" s="19">
        <f>HLOOKUP(REG_TRA_DEMANDS!U$3,'BY-Demands'!$J$5:$AK$14,MATCH($E106,'BY-Demands'!$I$5:$I$14,0),FALSE)*HLOOKUP(REG_TRA_DEMANDS!$F106,DEMANDS!$G$2:$CK$25,MATCH($E106,DEMANDS!$E$2:$E$25,0),FALSE)/HLOOKUP(2018,DEMANDS!$G$2:$CK$25,MATCH($E106,DEMANDS!$E$2:$E$25,0),FALSE)</f>
        <v>0.92713077784189979</v>
      </c>
      <c r="V106" s="19">
        <f>HLOOKUP(REG_TRA_DEMANDS!V$3,'BY-Demands'!$J$5:$AK$14,MATCH($E106,'BY-Demands'!$I$5:$I$14,0),FALSE)*HLOOKUP(REG_TRA_DEMANDS!$F106,DEMANDS!$G$2:$CK$25,MATCH($E106,DEMANDS!$E$2:$E$25,0),FALSE)/HLOOKUP(2018,DEMANDS!$G$2:$CK$25,MATCH($E106,DEMANDS!$E$2:$E$25,0),FALSE)</f>
        <v>1.0446410797816994</v>
      </c>
      <c r="W106" s="19">
        <f>HLOOKUP(REG_TRA_DEMANDS!W$3,'BY-Demands'!$J$5:$AK$14,MATCH($E106,'BY-Demands'!$I$5:$I$14,0),FALSE)*HLOOKUP(REG_TRA_DEMANDS!$F106,DEMANDS!$G$2:$CK$25,MATCH($E106,DEMANDS!$E$2:$E$25,0),FALSE)/HLOOKUP(2018,DEMANDS!$G$2:$CK$25,MATCH($E106,DEMANDS!$E$2:$E$25,0),FALSE)</f>
        <v>0.85518970442336473</v>
      </c>
      <c r="X106" s="19">
        <f>HLOOKUP(REG_TRA_DEMANDS!X$3,'BY-Demands'!$J$5:$AK$14,MATCH($E106,'BY-Demands'!$I$5:$I$14,0),FALSE)*HLOOKUP(REG_TRA_DEMANDS!$F106,DEMANDS!$G$2:$CK$25,MATCH($E106,DEMANDS!$E$2:$E$25,0),FALSE)/HLOOKUP(2018,DEMANDS!$G$2:$CK$25,MATCH($E106,DEMANDS!$E$2:$E$25,0),FALSE)</f>
        <v>0.79435563890605665</v>
      </c>
      <c r="Y106" s="19">
        <f>HLOOKUP(REG_TRA_DEMANDS!Y$3,'BY-Demands'!$J$5:$AK$14,MATCH($E106,'BY-Demands'!$I$5:$I$14,0),FALSE)*HLOOKUP(REG_TRA_DEMANDS!$F106,DEMANDS!$G$2:$CK$25,MATCH($E106,DEMANDS!$E$2:$E$25,0),FALSE)/HLOOKUP(2018,DEMANDS!$G$2:$CK$25,MATCH($E106,DEMANDS!$E$2:$E$25,0),FALSE)</f>
        <v>1.2684274829665558</v>
      </c>
      <c r="Z106" s="19">
        <f>HLOOKUP(REG_TRA_DEMANDS!Z$3,'BY-Demands'!$J$5:$AK$14,MATCH($E106,'BY-Demands'!$I$5:$I$14,0),FALSE)*HLOOKUP(REG_TRA_DEMANDS!$F106,DEMANDS!$G$2:$CK$25,MATCH($E106,DEMANDS!$E$2:$E$25,0),FALSE)/HLOOKUP(2018,DEMANDS!$G$2:$CK$25,MATCH($E106,DEMANDS!$E$2:$E$25,0),FALSE)</f>
        <v>0.16916281283542289</v>
      </c>
      <c r="AA106" s="19">
        <f>HLOOKUP(REG_TRA_DEMANDS!AA$3,'BY-Demands'!$J$5:$AK$14,MATCH($E106,'BY-Demands'!$I$5:$I$14,0),FALSE)*HLOOKUP(REG_TRA_DEMANDS!$F106,DEMANDS!$G$2:$CK$25,MATCH($E106,DEMANDS!$E$2:$E$25,0),FALSE)/HLOOKUP(2018,DEMANDS!$G$2:$CK$25,MATCH($E106,DEMANDS!$E$2:$E$25,0),FALSE)</f>
        <v>0.71440658092591713</v>
      </c>
      <c r="AB106" s="19">
        <f>HLOOKUP(REG_TRA_DEMANDS!AB$3,'BY-Demands'!$J$5:$AK$14,MATCH($E106,'BY-Demands'!$I$5:$I$14,0),FALSE)*HLOOKUP(REG_TRA_DEMANDS!$F106,DEMANDS!$G$2:$CK$25,MATCH($E106,DEMANDS!$E$2:$E$25,0),FALSE)/HLOOKUP(2018,DEMANDS!$G$2:$CK$25,MATCH($E106,DEMANDS!$E$2:$E$25,0),FALSE)</f>
        <v>0.31725187151955431</v>
      </c>
      <c r="AC106" s="19">
        <f>HLOOKUP(REG_TRA_DEMANDS!AC$3,'BY-Demands'!$J$5:$AK$14,MATCH($E106,'BY-Demands'!$I$5:$I$14,0),FALSE)*HLOOKUP(REG_TRA_DEMANDS!$F106,DEMANDS!$G$2:$CK$25,MATCH($E106,DEMANDS!$E$2:$E$25,0),FALSE)/HLOOKUP(2018,DEMANDS!$G$2:$CK$25,MATCH($E106,DEMANDS!$E$2:$E$25,0),FALSE)</f>
        <v>0.34596445322585995</v>
      </c>
      <c r="AD106" s="19">
        <f>HLOOKUP(REG_TRA_DEMANDS!AD$3,'BY-Demands'!$J$5:$AK$14,MATCH($E106,'BY-Demands'!$I$5:$I$14,0),FALSE)*HLOOKUP(REG_TRA_DEMANDS!$F106,DEMANDS!$G$2:$CK$25,MATCH($E106,DEMANDS!$E$2:$E$25,0),FALSE)/HLOOKUP(2018,DEMANDS!$G$2:$CK$25,MATCH($E106,DEMANDS!$E$2:$E$25,0),FALSE)</f>
        <v>0.402139134644588</v>
      </c>
      <c r="AE106" s="19">
        <f>HLOOKUP(REG_TRA_DEMANDS!AE$3,'BY-Demands'!$J$5:$AK$14,MATCH($E106,'BY-Demands'!$I$5:$I$14,0),FALSE)*HLOOKUP(REG_TRA_DEMANDS!$F106,DEMANDS!$G$2:$CK$25,MATCH($E106,DEMANDS!$E$2:$E$25,0),FALSE)/HLOOKUP(2018,DEMANDS!$G$2:$CK$25,MATCH($E106,DEMANDS!$E$2:$E$25,0),FALSE)</f>
        <v>0.84038717079317882</v>
      </c>
      <c r="AF106" s="19">
        <f>HLOOKUP(REG_TRA_DEMANDS!AF$3,'BY-Demands'!$J$5:$AK$14,MATCH($E106,'BY-Demands'!$I$5:$I$14,0),FALSE)*HLOOKUP(REG_TRA_DEMANDS!$F106,DEMANDS!$G$2:$CK$25,MATCH($E106,DEMANDS!$E$2:$E$25,0),FALSE)/HLOOKUP(2018,DEMANDS!$G$2:$CK$25,MATCH($E106,DEMANDS!$E$2:$E$25,0),FALSE)</f>
        <v>0.32406155376093176</v>
      </c>
    </row>
    <row r="107" spans="4:32" ht="14.5">
      <c r="D107" t="s">
        <v>6</v>
      </c>
      <c r="E107" t="str">
        <f>DEMANDS!$E$20</f>
        <v>TRAF</v>
      </c>
      <c r="F107">
        <v>2050</v>
      </c>
      <c r="G107" s="19">
        <f>HLOOKUP(REG_TRA_DEMANDS!G$3,'BY-Demands'!$J$5:$AK$14,MATCH($E107,'BY-Demands'!$I$5:$I$14,0),FALSE)*HLOOKUP(REG_TRA_DEMANDS!$F107,DEMANDS!$G$2:$CK$25,MATCH($E107,DEMANDS!$E$2:$E$25,0),FALSE)/HLOOKUP(2018,DEMANDS!$G$2:$CK$25,MATCH($E107,DEMANDS!$E$2:$E$25,0),FALSE)</f>
        <v>0.41794649851080828</v>
      </c>
      <c r="H107" s="19">
        <f>HLOOKUP(REG_TRA_DEMANDS!H$3,'BY-Demands'!$J$5:$AK$14,MATCH($E107,'BY-Demands'!$I$5:$I$14,0),FALSE)*HLOOKUP(REG_TRA_DEMANDS!$F107,DEMANDS!$G$2:$CK$25,MATCH($E107,DEMANDS!$E$2:$E$25,0),FALSE)/HLOOKUP(2018,DEMANDS!$G$2:$CK$25,MATCH($E107,DEMANDS!$E$2:$E$25,0),FALSE)</f>
        <v>6.2423645258331524</v>
      </c>
      <c r="I107" s="19">
        <f>HLOOKUP(REG_TRA_DEMANDS!I$3,'BY-Demands'!$J$5:$AK$14,MATCH($E107,'BY-Demands'!$I$5:$I$14,0),FALSE)*HLOOKUP(REG_TRA_DEMANDS!$F107,DEMANDS!$G$2:$CK$25,MATCH($E107,DEMANDS!$E$2:$E$25,0),FALSE)/HLOOKUP(2018,DEMANDS!$G$2:$CK$25,MATCH($E107,DEMANDS!$E$2:$E$25,0),FALSE)</f>
        <v>1.1327851999269176</v>
      </c>
      <c r="J107" s="19">
        <f>HLOOKUP(REG_TRA_DEMANDS!J$3,'BY-Demands'!$J$5:$AK$14,MATCH($E107,'BY-Demands'!$I$5:$I$14,0),FALSE)*HLOOKUP(REG_TRA_DEMANDS!$F107,DEMANDS!$G$2:$CK$25,MATCH($E107,DEMANDS!$E$2:$E$25,0),FALSE)/HLOOKUP(2018,DEMANDS!$G$2:$CK$25,MATCH($E107,DEMANDS!$E$2:$E$25,0),FALSE)</f>
        <v>0.72847725251571149</v>
      </c>
      <c r="K107" s="19">
        <f>HLOOKUP(REG_TRA_DEMANDS!K$3,'BY-Demands'!$J$5:$AK$14,MATCH($E107,'BY-Demands'!$I$5:$I$14,0),FALSE)*HLOOKUP(REG_TRA_DEMANDS!$F107,DEMANDS!$G$2:$CK$25,MATCH($E107,DEMANDS!$E$2:$E$25,0),FALSE)/HLOOKUP(2018,DEMANDS!$G$2:$CK$25,MATCH($E107,DEMANDS!$E$2:$E$25,0),FALSE)</f>
        <v>0.51885928296220762</v>
      </c>
      <c r="L107" s="19">
        <f>HLOOKUP(REG_TRA_DEMANDS!L$3,'BY-Demands'!$J$5:$AK$14,MATCH($E107,'BY-Demands'!$I$5:$I$14,0),FALSE)*HLOOKUP(REG_TRA_DEMANDS!$F107,DEMANDS!$G$2:$CK$25,MATCH($E107,DEMANDS!$E$2:$E$25,0),FALSE)/HLOOKUP(2018,DEMANDS!$G$2:$CK$25,MATCH($E107,DEMANDS!$E$2:$E$25,0),FALSE)</f>
        <v>0.25039063334609724</v>
      </c>
      <c r="M107" s="19">
        <f>HLOOKUP(REG_TRA_DEMANDS!M$3,'BY-Demands'!$J$5:$AK$14,MATCH($E107,'BY-Demands'!$I$5:$I$14,0),FALSE)*HLOOKUP(REG_TRA_DEMANDS!$F107,DEMANDS!$G$2:$CK$25,MATCH($E107,DEMANDS!$E$2:$E$25,0),FALSE)/HLOOKUP(2018,DEMANDS!$G$2:$CK$25,MATCH($E107,DEMANDS!$E$2:$E$25,0),FALSE)</f>
        <v>0.65615848572331714</v>
      </c>
      <c r="N107" s="19">
        <f>HLOOKUP(REG_TRA_DEMANDS!N$3,'BY-Demands'!$J$5:$AK$14,MATCH($E107,'BY-Demands'!$I$5:$I$14,0),FALSE)*HLOOKUP(REG_TRA_DEMANDS!$F107,DEMANDS!$G$2:$CK$25,MATCH($E107,DEMANDS!$E$2:$E$25,0),FALSE)/HLOOKUP(2018,DEMANDS!$G$2:$CK$25,MATCH($E107,DEMANDS!$E$2:$E$25,0),FALSE)</f>
        <v>1.0152686220954548</v>
      </c>
      <c r="O107" s="19">
        <f>HLOOKUP(REG_TRA_DEMANDS!O$3,'BY-Demands'!$J$5:$AK$14,MATCH($E107,'BY-Demands'!$I$5:$I$14,0),FALSE)*HLOOKUP(REG_TRA_DEMANDS!$F107,DEMANDS!$G$2:$CK$25,MATCH($E107,DEMANDS!$E$2:$E$25,0),FALSE)/HLOOKUP(2018,DEMANDS!$G$2:$CK$25,MATCH($E107,DEMANDS!$E$2:$E$25,0),FALSE)</f>
        <v>0.47759411264881413</v>
      </c>
      <c r="P107" s="19">
        <f>HLOOKUP(REG_TRA_DEMANDS!P$3,'BY-Demands'!$J$5:$AK$14,MATCH($E107,'BY-Demands'!$I$5:$I$14,0),FALSE)*HLOOKUP(REG_TRA_DEMANDS!$F107,DEMANDS!$G$2:$CK$25,MATCH($E107,DEMANDS!$E$2:$E$25,0),FALSE)/HLOOKUP(2018,DEMANDS!$G$2:$CK$25,MATCH($E107,DEMANDS!$E$2:$E$25,0),FALSE)</f>
        <v>0.54381074357480441</v>
      </c>
      <c r="Q107" s="19">
        <f>HLOOKUP(REG_TRA_DEMANDS!Q$3,'BY-Demands'!$J$5:$AK$14,MATCH($E107,'BY-Demands'!$I$5:$I$14,0),FALSE)*HLOOKUP(REG_TRA_DEMANDS!$F107,DEMANDS!$G$2:$CK$25,MATCH($E107,DEMANDS!$E$2:$E$25,0),FALSE)/HLOOKUP(2018,DEMANDS!$G$2:$CK$25,MATCH($E107,DEMANDS!$E$2:$E$25,0),FALSE)</f>
        <v>1.0991320461258189</v>
      </c>
      <c r="R107" s="19">
        <f>HLOOKUP(REG_TRA_DEMANDS!R$3,'BY-Demands'!$J$5:$AK$14,MATCH($E107,'BY-Demands'!$I$5:$I$14,0),FALSE)*HLOOKUP(REG_TRA_DEMANDS!$F107,DEMANDS!$G$2:$CK$25,MATCH($E107,DEMANDS!$E$2:$E$25,0),FALSE)/HLOOKUP(2018,DEMANDS!$G$2:$CK$25,MATCH($E107,DEMANDS!$E$2:$E$25,0),FALSE)</f>
        <v>0.72509677174159193</v>
      </c>
      <c r="S107" s="19">
        <f>HLOOKUP(REG_TRA_DEMANDS!S$3,'BY-Demands'!$J$5:$AK$14,MATCH($E107,'BY-Demands'!$I$5:$I$14,0),FALSE)*HLOOKUP(REG_TRA_DEMANDS!$F107,DEMANDS!$G$2:$CK$25,MATCH($E107,DEMANDS!$E$2:$E$25,0),FALSE)/HLOOKUP(2018,DEMANDS!$G$2:$CK$25,MATCH($E107,DEMANDS!$E$2:$E$25,0),FALSE)</f>
        <v>0.71353329103022867</v>
      </c>
      <c r="T107" s="19">
        <f>HLOOKUP(REG_TRA_DEMANDS!T$3,'BY-Demands'!$J$5:$AK$14,MATCH($E107,'BY-Demands'!$I$5:$I$14,0),FALSE)*HLOOKUP(REG_TRA_DEMANDS!$F107,DEMANDS!$G$2:$CK$25,MATCH($E107,DEMANDS!$E$2:$E$25,0),FALSE)/HLOOKUP(2018,DEMANDS!$G$2:$CK$25,MATCH($E107,DEMANDS!$E$2:$E$25,0),FALSE)</f>
        <v>3.8177926014799421</v>
      </c>
      <c r="U107" s="19">
        <f>HLOOKUP(REG_TRA_DEMANDS!U$3,'BY-Demands'!$J$5:$AK$14,MATCH($E107,'BY-Demands'!$I$5:$I$14,0),FALSE)*HLOOKUP(REG_TRA_DEMANDS!$F107,DEMANDS!$G$2:$CK$25,MATCH($E107,DEMANDS!$E$2:$E$25,0),FALSE)/HLOOKUP(2018,DEMANDS!$G$2:$CK$25,MATCH($E107,DEMANDS!$E$2:$E$25,0),FALSE)</f>
        <v>1.038769446323593</v>
      </c>
      <c r="V107" s="19">
        <f>HLOOKUP(REG_TRA_DEMANDS!V$3,'BY-Demands'!$J$5:$AK$14,MATCH($E107,'BY-Demands'!$I$5:$I$14,0),FALSE)*HLOOKUP(REG_TRA_DEMANDS!$F107,DEMANDS!$G$2:$CK$25,MATCH($E107,DEMANDS!$E$2:$E$25,0),FALSE)/HLOOKUP(2018,DEMANDS!$G$2:$CK$25,MATCH($E107,DEMANDS!$E$2:$E$25,0),FALSE)</f>
        <v>1.1704295251395069</v>
      </c>
      <c r="W107" s="19">
        <f>HLOOKUP(REG_TRA_DEMANDS!W$3,'BY-Demands'!$J$5:$AK$14,MATCH($E107,'BY-Demands'!$I$5:$I$14,0),FALSE)*HLOOKUP(REG_TRA_DEMANDS!$F107,DEMANDS!$G$2:$CK$25,MATCH($E107,DEMANDS!$E$2:$E$25,0),FALSE)/HLOOKUP(2018,DEMANDS!$G$2:$CK$25,MATCH($E107,DEMANDS!$E$2:$E$25,0),FALSE)</f>
        <v>0.95816572698979274</v>
      </c>
      <c r="X107" s="19">
        <f>HLOOKUP(REG_TRA_DEMANDS!X$3,'BY-Demands'!$J$5:$AK$14,MATCH($E107,'BY-Demands'!$I$5:$I$14,0),FALSE)*HLOOKUP(REG_TRA_DEMANDS!$F107,DEMANDS!$G$2:$CK$25,MATCH($E107,DEMANDS!$E$2:$E$25,0),FALSE)/HLOOKUP(2018,DEMANDS!$G$2:$CK$25,MATCH($E107,DEMANDS!$E$2:$E$25,0),FALSE)</f>
        <v>0.8900064445397784</v>
      </c>
      <c r="Y107" s="19">
        <f>HLOOKUP(REG_TRA_DEMANDS!Y$3,'BY-Demands'!$J$5:$AK$14,MATCH($E107,'BY-Demands'!$I$5:$I$14,0),FALSE)*HLOOKUP(REG_TRA_DEMANDS!$F107,DEMANDS!$G$2:$CK$25,MATCH($E107,DEMANDS!$E$2:$E$25,0),FALSE)/HLOOKUP(2018,DEMANDS!$G$2:$CK$25,MATCH($E107,DEMANDS!$E$2:$E$25,0),FALSE)</f>
        <v>1.4211627374185651</v>
      </c>
      <c r="Z107" s="19">
        <f>HLOOKUP(REG_TRA_DEMANDS!Z$3,'BY-Demands'!$J$5:$AK$14,MATCH($E107,'BY-Demands'!$I$5:$I$14,0),FALSE)*HLOOKUP(REG_TRA_DEMANDS!$F107,DEMANDS!$G$2:$CK$25,MATCH($E107,DEMANDS!$E$2:$E$25,0),FALSE)/HLOOKUP(2018,DEMANDS!$G$2:$CK$25,MATCH($E107,DEMANDS!$E$2:$E$25,0),FALSE)</f>
        <v>0.18953222741307688</v>
      </c>
      <c r="AA107" s="19">
        <f>HLOOKUP(REG_TRA_DEMANDS!AA$3,'BY-Demands'!$J$5:$AK$14,MATCH($E107,'BY-Demands'!$I$5:$I$14,0),FALSE)*HLOOKUP(REG_TRA_DEMANDS!$F107,DEMANDS!$G$2:$CK$25,MATCH($E107,DEMANDS!$E$2:$E$25,0),FALSE)/HLOOKUP(2018,DEMANDS!$G$2:$CK$25,MATCH($E107,DEMANDS!$E$2:$E$25,0),FALSE)</f>
        <v>0.80043047459362238</v>
      </c>
      <c r="AB107" s="19">
        <f>HLOOKUP(REG_TRA_DEMANDS!AB$3,'BY-Demands'!$J$5:$AK$14,MATCH($E107,'BY-Demands'!$I$5:$I$14,0),FALSE)*HLOOKUP(REG_TRA_DEMANDS!$F107,DEMANDS!$G$2:$CK$25,MATCH($E107,DEMANDS!$E$2:$E$25,0),FALSE)/HLOOKUP(2018,DEMANDS!$G$2:$CK$25,MATCH($E107,DEMANDS!$E$2:$E$25,0),FALSE)</f>
        <v>0.35545314512219583</v>
      </c>
      <c r="AC107" s="19">
        <f>HLOOKUP(REG_TRA_DEMANDS!AC$3,'BY-Demands'!$J$5:$AK$14,MATCH($E107,'BY-Demands'!$I$5:$I$14,0),FALSE)*HLOOKUP(REG_TRA_DEMANDS!$F107,DEMANDS!$G$2:$CK$25,MATCH($E107,DEMANDS!$E$2:$E$25,0),FALSE)/HLOOKUP(2018,DEMANDS!$G$2:$CK$25,MATCH($E107,DEMANDS!$E$2:$E$25,0),FALSE)</f>
        <v>0.38762309710136106</v>
      </c>
      <c r="AD107" s="19">
        <f>HLOOKUP(REG_TRA_DEMANDS!AD$3,'BY-Demands'!$J$5:$AK$14,MATCH($E107,'BY-Demands'!$I$5:$I$14,0),FALSE)*HLOOKUP(REG_TRA_DEMANDS!$F107,DEMANDS!$G$2:$CK$25,MATCH($E107,DEMANDS!$E$2:$E$25,0),FALSE)/HLOOKUP(2018,DEMANDS!$G$2:$CK$25,MATCH($E107,DEMANDS!$E$2:$E$25,0),FALSE)</f>
        <v>0.45056194468289085</v>
      </c>
      <c r="AE107" s="19">
        <f>HLOOKUP(REG_TRA_DEMANDS!AE$3,'BY-Demands'!$J$5:$AK$14,MATCH($E107,'BY-Demands'!$I$5:$I$14,0),FALSE)*HLOOKUP(REG_TRA_DEMANDS!$F107,DEMANDS!$G$2:$CK$25,MATCH($E107,DEMANDS!$E$2:$E$25,0),FALSE)/HLOOKUP(2018,DEMANDS!$G$2:$CK$25,MATCH($E107,DEMANDS!$E$2:$E$25,0),FALSE)</f>
        <v>0.94158077475791158</v>
      </c>
      <c r="AF107" s="19">
        <f>HLOOKUP(REG_TRA_DEMANDS!AF$3,'BY-Demands'!$J$5:$AK$14,MATCH($E107,'BY-Demands'!$I$5:$I$14,0),FALSE)*HLOOKUP(REG_TRA_DEMANDS!$F107,DEMANDS!$G$2:$CK$25,MATCH($E107,DEMANDS!$E$2:$E$25,0),FALSE)/HLOOKUP(2018,DEMANDS!$G$2:$CK$25,MATCH($E107,DEMANDS!$E$2:$E$25,0),FALSE)</f>
        <v>0.36308280214639782</v>
      </c>
    </row>
    <row r="108" spans="4:32" ht="14.5">
      <c r="D108" t="s">
        <v>6</v>
      </c>
      <c r="E108" t="str">
        <f>DEMANDS!$E$20</f>
        <v>TRAF</v>
      </c>
      <c r="F108">
        <v>2055</v>
      </c>
      <c r="G108" s="19">
        <f>HLOOKUP(REG_TRA_DEMANDS!G$3,'BY-Demands'!$J$5:$AK$14,MATCH($E108,'BY-Demands'!$I$5:$I$14,0),FALSE)*HLOOKUP(REG_TRA_DEMANDS!$F108,DEMANDS!$G$2:$CK$25,MATCH($E108,DEMANDS!$E$2:$E$25,0),FALSE)/HLOOKUP(2018,DEMANDS!$G$2:$CK$25,MATCH($E108,DEMANDS!$E$2:$E$25,0),FALSE)</f>
        <v>0.4682727218500245</v>
      </c>
      <c r="H108" s="19">
        <f>HLOOKUP(REG_TRA_DEMANDS!H$3,'BY-Demands'!$J$5:$AK$14,MATCH($E108,'BY-Demands'!$I$5:$I$14,0),FALSE)*HLOOKUP(REG_TRA_DEMANDS!$F108,DEMANDS!$G$2:$CK$25,MATCH($E108,DEMANDS!$E$2:$E$25,0),FALSE)/HLOOKUP(2018,DEMANDS!$G$2:$CK$25,MATCH($E108,DEMANDS!$E$2:$E$25,0),FALSE)</f>
        <v>6.9940268376631325</v>
      </c>
      <c r="I108" s="19">
        <f>HLOOKUP(REG_TRA_DEMANDS!I$3,'BY-Demands'!$J$5:$AK$14,MATCH($E108,'BY-Demands'!$I$5:$I$14,0),FALSE)*HLOOKUP(REG_TRA_DEMANDS!$F108,DEMANDS!$G$2:$CK$25,MATCH($E108,DEMANDS!$E$2:$E$25,0),FALSE)/HLOOKUP(2018,DEMANDS!$G$2:$CK$25,MATCH($E108,DEMANDS!$E$2:$E$25,0),FALSE)</f>
        <v>1.2691873498911108</v>
      </c>
      <c r="J108" s="19">
        <f>HLOOKUP(REG_TRA_DEMANDS!J$3,'BY-Demands'!$J$5:$AK$14,MATCH($E108,'BY-Demands'!$I$5:$I$14,0),FALSE)*HLOOKUP(REG_TRA_DEMANDS!$F108,DEMANDS!$G$2:$CK$25,MATCH($E108,DEMANDS!$E$2:$E$25,0),FALSE)/HLOOKUP(2018,DEMANDS!$G$2:$CK$25,MATCH($E108,DEMANDS!$E$2:$E$25,0),FALSE)</f>
        <v>0.81619543902588321</v>
      </c>
      <c r="K108" s="19">
        <f>HLOOKUP(REG_TRA_DEMANDS!K$3,'BY-Demands'!$J$5:$AK$14,MATCH($E108,'BY-Demands'!$I$5:$I$14,0),FALSE)*HLOOKUP(REG_TRA_DEMANDS!$F108,DEMANDS!$G$2:$CK$25,MATCH($E108,DEMANDS!$E$2:$E$25,0),FALSE)/HLOOKUP(2018,DEMANDS!$G$2:$CK$25,MATCH($E108,DEMANDS!$E$2:$E$25,0),FALSE)</f>
        <v>0.58133672504874867</v>
      </c>
      <c r="L108" s="19">
        <f>HLOOKUP(REG_TRA_DEMANDS!L$3,'BY-Demands'!$J$5:$AK$14,MATCH($E108,'BY-Demands'!$I$5:$I$14,0),FALSE)*HLOOKUP(REG_TRA_DEMANDS!$F108,DEMANDS!$G$2:$CK$25,MATCH($E108,DEMANDS!$E$2:$E$25,0),FALSE)/HLOOKUP(2018,DEMANDS!$G$2:$CK$25,MATCH($E108,DEMANDS!$E$2:$E$25,0),FALSE)</f>
        <v>0.28054093961908444</v>
      </c>
      <c r="M108" s="19">
        <f>HLOOKUP(REG_TRA_DEMANDS!M$3,'BY-Demands'!$J$5:$AK$14,MATCH($E108,'BY-Demands'!$I$5:$I$14,0),FALSE)*HLOOKUP(REG_TRA_DEMANDS!$F108,DEMANDS!$G$2:$CK$25,MATCH($E108,DEMANDS!$E$2:$E$25,0),FALSE)/HLOOKUP(2018,DEMANDS!$G$2:$CK$25,MATCH($E108,DEMANDS!$E$2:$E$25,0),FALSE)</f>
        <v>0.73516854709742763</v>
      </c>
      <c r="N108" s="19">
        <f>HLOOKUP(REG_TRA_DEMANDS!N$3,'BY-Demands'!$J$5:$AK$14,MATCH($E108,'BY-Demands'!$I$5:$I$14,0),FALSE)*HLOOKUP(REG_TRA_DEMANDS!$F108,DEMANDS!$G$2:$CK$25,MATCH($E108,DEMANDS!$E$2:$E$25,0),FALSE)/HLOOKUP(2018,DEMANDS!$G$2:$CK$25,MATCH($E108,DEMANDS!$E$2:$E$25,0),FALSE)</f>
        <v>1.1375202394841162</v>
      </c>
      <c r="O108" s="19">
        <f>HLOOKUP(REG_TRA_DEMANDS!O$3,'BY-Demands'!$J$5:$AK$14,MATCH($E108,'BY-Demands'!$I$5:$I$14,0),FALSE)*HLOOKUP(REG_TRA_DEMANDS!$F108,DEMANDS!$G$2:$CK$25,MATCH($E108,DEMANDS!$E$2:$E$25,0),FALSE)/HLOOKUP(2018,DEMANDS!$G$2:$CK$25,MATCH($E108,DEMANDS!$E$2:$E$25,0),FALSE)</f>
        <v>0.53510268866105559</v>
      </c>
      <c r="P108" s="19">
        <f>HLOOKUP(REG_TRA_DEMANDS!P$3,'BY-Demands'!$J$5:$AK$14,MATCH($E108,'BY-Demands'!$I$5:$I$14,0),FALSE)*HLOOKUP(REG_TRA_DEMANDS!$F108,DEMANDS!$G$2:$CK$25,MATCH($E108,DEMANDS!$E$2:$E$25,0),FALSE)/HLOOKUP(2018,DEMANDS!$G$2:$CK$25,MATCH($E108,DEMANDS!$E$2:$E$25,0),FALSE)</f>
        <v>0.60929266777545188</v>
      </c>
      <c r="Q108" s="19">
        <f>HLOOKUP(REG_TRA_DEMANDS!Q$3,'BY-Demands'!$J$5:$AK$14,MATCH($E108,'BY-Demands'!$I$5:$I$14,0),FALSE)*HLOOKUP(REG_TRA_DEMANDS!$F108,DEMANDS!$G$2:$CK$25,MATCH($E108,DEMANDS!$E$2:$E$25,0),FALSE)/HLOOKUP(2018,DEMANDS!$G$2:$CK$25,MATCH($E108,DEMANDS!$E$2:$E$25,0),FALSE)</f>
        <v>1.2314819163357906</v>
      </c>
      <c r="R108" s="19">
        <f>HLOOKUP(REG_TRA_DEMANDS!R$3,'BY-Demands'!$J$5:$AK$14,MATCH($E108,'BY-Demands'!$I$5:$I$14,0),FALSE)*HLOOKUP(REG_TRA_DEMANDS!$F108,DEMANDS!$G$2:$CK$25,MATCH($E108,DEMANDS!$E$2:$E$25,0),FALSE)/HLOOKUP(2018,DEMANDS!$G$2:$CK$25,MATCH($E108,DEMANDS!$E$2:$E$25,0),FALSE)</f>
        <v>0.81240790416460551</v>
      </c>
      <c r="S108" s="19">
        <f>HLOOKUP(REG_TRA_DEMANDS!S$3,'BY-Demands'!$J$5:$AK$14,MATCH($E108,'BY-Demands'!$I$5:$I$14,0),FALSE)*HLOOKUP(REG_TRA_DEMANDS!$F108,DEMANDS!$G$2:$CK$25,MATCH($E108,DEMANDS!$E$2:$E$25,0),FALSE)/HLOOKUP(2018,DEMANDS!$G$2:$CK$25,MATCH($E108,DEMANDS!$E$2:$E$25,0),FALSE)</f>
        <v>0.79945202917566771</v>
      </c>
      <c r="T108" s="19">
        <f>HLOOKUP(REG_TRA_DEMANDS!T$3,'BY-Demands'!$J$5:$AK$14,MATCH($E108,'BY-Demands'!$I$5:$I$14,0),FALSE)*HLOOKUP(REG_TRA_DEMANDS!$F108,DEMANDS!$G$2:$CK$25,MATCH($E108,DEMANDS!$E$2:$E$25,0),FALSE)/HLOOKUP(2018,DEMANDS!$G$2:$CK$25,MATCH($E108,DEMANDS!$E$2:$E$25,0),FALSE)</f>
        <v>4.277504750784904</v>
      </c>
      <c r="U108" s="19">
        <f>HLOOKUP(REG_TRA_DEMANDS!U$3,'BY-Demands'!$J$5:$AK$14,MATCH($E108,'BY-Demands'!$I$5:$I$14,0),FALSE)*HLOOKUP(REG_TRA_DEMANDS!$F108,DEMANDS!$G$2:$CK$25,MATCH($E108,DEMANDS!$E$2:$E$25,0),FALSE)/HLOOKUP(2018,DEMANDS!$G$2:$CK$25,MATCH($E108,DEMANDS!$E$2:$E$25,0),FALSE)</f>
        <v>1.1638508702376713</v>
      </c>
      <c r="V108" s="19">
        <f>HLOOKUP(REG_TRA_DEMANDS!V$3,'BY-Demands'!$J$5:$AK$14,MATCH($E108,'BY-Demands'!$I$5:$I$14,0),FALSE)*HLOOKUP(REG_TRA_DEMANDS!$F108,DEMANDS!$G$2:$CK$25,MATCH($E108,DEMANDS!$E$2:$E$25,0),FALSE)/HLOOKUP(2018,DEMANDS!$G$2:$CK$25,MATCH($E108,DEMANDS!$E$2:$E$25,0),FALSE)</f>
        <v>1.3113645440829909</v>
      </c>
      <c r="W108" s="19">
        <f>HLOOKUP(REG_TRA_DEMANDS!W$3,'BY-Demands'!$J$5:$AK$14,MATCH($E108,'BY-Demands'!$I$5:$I$14,0),FALSE)*HLOOKUP(REG_TRA_DEMANDS!$F108,DEMANDS!$G$2:$CK$25,MATCH($E108,DEMANDS!$E$2:$E$25,0),FALSE)/HLOOKUP(2018,DEMANDS!$G$2:$CK$25,MATCH($E108,DEMANDS!$E$2:$E$25,0),FALSE)</f>
        <v>1.0735414091507565</v>
      </c>
      <c r="X108" s="19">
        <f>HLOOKUP(REG_TRA_DEMANDS!X$3,'BY-Demands'!$J$5:$AK$14,MATCH($E108,'BY-Demands'!$I$5:$I$14,0),FALSE)*HLOOKUP(REG_TRA_DEMANDS!$F108,DEMANDS!$G$2:$CK$25,MATCH($E108,DEMANDS!$E$2:$E$25,0),FALSE)/HLOOKUP(2018,DEMANDS!$G$2:$CK$25,MATCH($E108,DEMANDS!$E$2:$E$25,0),FALSE)</f>
        <v>0.9971748578674291</v>
      </c>
      <c r="Y108" s="19">
        <f>HLOOKUP(REG_TRA_DEMANDS!Y$3,'BY-Demands'!$J$5:$AK$14,MATCH($E108,'BY-Demands'!$I$5:$I$14,0),FALSE)*HLOOKUP(REG_TRA_DEMANDS!$F108,DEMANDS!$G$2:$CK$25,MATCH($E108,DEMANDS!$E$2:$E$25,0),FALSE)/HLOOKUP(2018,DEMANDS!$G$2:$CK$25,MATCH($E108,DEMANDS!$E$2:$E$25,0),FALSE)</f>
        <v>1.5922893136180041</v>
      </c>
      <c r="Z108" s="19">
        <f>HLOOKUP(REG_TRA_DEMANDS!Z$3,'BY-Demands'!$J$5:$AK$14,MATCH($E108,'BY-Demands'!$I$5:$I$14,0),FALSE)*HLOOKUP(REG_TRA_DEMANDS!$F108,DEMANDS!$G$2:$CK$25,MATCH($E108,DEMANDS!$E$2:$E$25,0),FALSE)/HLOOKUP(2018,DEMANDS!$G$2:$CK$25,MATCH($E108,DEMANDS!$E$2:$E$25,0),FALSE)</f>
        <v>0.21235438584903985</v>
      </c>
      <c r="AA108" s="19">
        <f>HLOOKUP(REG_TRA_DEMANDS!AA$3,'BY-Demands'!$J$5:$AK$14,MATCH($E108,'BY-Demands'!$I$5:$I$14,0),FALSE)*HLOOKUP(REG_TRA_DEMANDS!$F108,DEMANDS!$G$2:$CK$25,MATCH($E108,DEMANDS!$E$2:$E$25,0),FALSE)/HLOOKUP(2018,DEMANDS!$G$2:$CK$25,MATCH($E108,DEMANDS!$E$2:$E$25,0),FALSE)</f>
        <v>0.89681276987649983</v>
      </c>
      <c r="AB108" s="19">
        <f>HLOOKUP(REG_TRA_DEMANDS!AB$3,'BY-Demands'!$J$5:$AK$14,MATCH($E108,'BY-Demands'!$I$5:$I$14,0),FALSE)*HLOOKUP(REG_TRA_DEMANDS!$F108,DEMANDS!$G$2:$CK$25,MATCH($E108,DEMANDS!$E$2:$E$25,0),FALSE)/HLOOKUP(2018,DEMANDS!$G$2:$CK$25,MATCH($E108,DEMANDS!$E$2:$E$25,0),FALSE)</f>
        <v>0.39825435157274797</v>
      </c>
      <c r="AC108" s="19">
        <f>HLOOKUP(REG_TRA_DEMANDS!AC$3,'BY-Demands'!$J$5:$AK$14,MATCH($E108,'BY-Demands'!$I$5:$I$14,0),FALSE)*HLOOKUP(REG_TRA_DEMANDS!$F108,DEMANDS!$G$2:$CK$25,MATCH($E108,DEMANDS!$E$2:$E$25,0),FALSE)/HLOOKUP(2018,DEMANDS!$G$2:$CK$25,MATCH($E108,DEMANDS!$E$2:$E$25,0),FALSE)</f>
        <v>0.43429798641295875</v>
      </c>
      <c r="AD108" s="19">
        <f>HLOOKUP(REG_TRA_DEMANDS!AD$3,'BY-Demands'!$J$5:$AK$14,MATCH($E108,'BY-Demands'!$I$5:$I$14,0),FALSE)*HLOOKUP(REG_TRA_DEMANDS!$F108,DEMANDS!$G$2:$CK$25,MATCH($E108,DEMANDS!$E$2:$E$25,0),FALSE)/HLOOKUP(2018,DEMANDS!$G$2:$CK$25,MATCH($E108,DEMANDS!$E$2:$E$25,0),FALSE)</f>
        <v>0.5048154942091021</v>
      </c>
      <c r="AE108" s="19">
        <f>HLOOKUP(REG_TRA_DEMANDS!AE$3,'BY-Demands'!$J$5:$AK$14,MATCH($E108,'BY-Demands'!$I$5:$I$14,0),FALSE)*HLOOKUP(REG_TRA_DEMANDS!$F108,DEMANDS!$G$2:$CK$25,MATCH($E108,DEMANDS!$E$2:$E$25,0),FALSE)/HLOOKUP(2018,DEMANDS!$G$2:$CK$25,MATCH($E108,DEMANDS!$E$2:$E$25,0),FALSE)</f>
        <v>1.05495941181127</v>
      </c>
      <c r="AF108" s="19">
        <f>HLOOKUP(REG_TRA_DEMANDS!AF$3,'BY-Demands'!$J$5:$AK$14,MATCH($E108,'BY-Demands'!$I$5:$I$14,0),FALSE)*HLOOKUP(REG_TRA_DEMANDS!$F108,DEMANDS!$G$2:$CK$25,MATCH($E108,DEMANDS!$E$2:$E$25,0),FALSE)/HLOOKUP(2018,DEMANDS!$G$2:$CK$25,MATCH($E108,DEMANDS!$E$2:$E$25,0),FALSE)</f>
        <v>0.40680271906532256</v>
      </c>
    </row>
    <row r="109" spans="4:32" ht="14.5">
      <c r="D109" t="s">
        <v>6</v>
      </c>
      <c r="E109" t="str">
        <f>DEMANDS!$E$20</f>
        <v>TRAF</v>
      </c>
      <c r="F109">
        <v>2060</v>
      </c>
      <c r="G109" s="19">
        <f>HLOOKUP(REG_TRA_DEMANDS!G$3,'BY-Demands'!$J$5:$AK$14,MATCH($E109,'BY-Demands'!$I$5:$I$14,0),FALSE)*HLOOKUP(REG_TRA_DEMANDS!$F109,DEMANDS!$G$2:$CK$25,MATCH($E109,DEMANDS!$E$2:$E$25,0),FALSE)/HLOOKUP(2018,DEMANDS!$G$2:$CK$25,MATCH($E109,DEMANDS!$E$2:$E$25,0),FALSE)</f>
        <v>0.52465888052692888</v>
      </c>
      <c r="H109" s="19">
        <f>HLOOKUP(REG_TRA_DEMANDS!H$3,'BY-Demands'!$J$5:$AK$14,MATCH($E109,'BY-Demands'!$I$5:$I$14,0),FALSE)*HLOOKUP(REG_TRA_DEMANDS!$F109,DEMANDS!$G$2:$CK$25,MATCH($E109,DEMANDS!$E$2:$E$25,0),FALSE)/HLOOKUP(2018,DEMANDS!$G$2:$CK$25,MATCH($E109,DEMANDS!$E$2:$E$25,0),FALSE)</f>
        <v>7.8361991203042445</v>
      </c>
      <c r="I109" s="19">
        <f>HLOOKUP(REG_TRA_DEMANDS!I$3,'BY-Demands'!$J$5:$AK$14,MATCH($E109,'BY-Demands'!$I$5:$I$14,0),FALSE)*HLOOKUP(REG_TRA_DEMANDS!$F109,DEMANDS!$G$2:$CK$25,MATCH($E109,DEMANDS!$E$2:$E$25,0),FALSE)/HLOOKUP(2018,DEMANDS!$G$2:$CK$25,MATCH($E109,DEMANDS!$E$2:$E$25,0),FALSE)</f>
        <v>1.4220141022565842</v>
      </c>
      <c r="J109" s="19">
        <f>HLOOKUP(REG_TRA_DEMANDS!J$3,'BY-Demands'!$J$5:$AK$14,MATCH($E109,'BY-Demands'!$I$5:$I$14,0),FALSE)*HLOOKUP(REG_TRA_DEMANDS!$F109,DEMANDS!$G$2:$CK$25,MATCH($E109,DEMANDS!$E$2:$E$25,0),FALSE)/HLOOKUP(2018,DEMANDS!$G$2:$CK$25,MATCH($E109,DEMANDS!$E$2:$E$25,0),FALSE)</f>
        <v>0.91447604216342571</v>
      </c>
      <c r="K109" s="19">
        <f>HLOOKUP(REG_TRA_DEMANDS!K$3,'BY-Demands'!$J$5:$AK$14,MATCH($E109,'BY-Demands'!$I$5:$I$14,0),FALSE)*HLOOKUP(REG_TRA_DEMANDS!$F109,DEMANDS!$G$2:$CK$25,MATCH($E109,DEMANDS!$E$2:$E$25,0),FALSE)/HLOOKUP(2018,DEMANDS!$G$2:$CK$25,MATCH($E109,DEMANDS!$E$2:$E$25,0),FALSE)</f>
        <v>0.65133726809513415</v>
      </c>
      <c r="L109" s="19">
        <f>HLOOKUP(REG_TRA_DEMANDS!L$3,'BY-Demands'!$J$5:$AK$14,MATCH($E109,'BY-Demands'!$I$5:$I$14,0),FALSE)*HLOOKUP(REG_TRA_DEMANDS!$F109,DEMANDS!$G$2:$CK$25,MATCH($E109,DEMANDS!$E$2:$E$25,0),FALSE)/HLOOKUP(2018,DEMANDS!$G$2:$CK$25,MATCH($E109,DEMANDS!$E$2:$E$25,0),FALSE)</f>
        <v>0.31432173700193067</v>
      </c>
      <c r="M109" s="19">
        <f>HLOOKUP(REG_TRA_DEMANDS!M$3,'BY-Demands'!$J$5:$AK$14,MATCH($E109,'BY-Demands'!$I$5:$I$14,0),FALSE)*HLOOKUP(REG_TRA_DEMANDS!$F109,DEMANDS!$G$2:$CK$25,MATCH($E109,DEMANDS!$E$2:$E$25,0),FALSE)/HLOOKUP(2018,DEMANDS!$G$2:$CK$25,MATCH($E109,DEMANDS!$E$2:$E$25,0),FALSE)</f>
        <v>0.82369245296820615</v>
      </c>
      <c r="N109" s="19">
        <f>HLOOKUP(REG_TRA_DEMANDS!N$3,'BY-Demands'!$J$5:$AK$14,MATCH($E109,'BY-Demands'!$I$5:$I$14,0),FALSE)*HLOOKUP(REG_TRA_DEMANDS!$F109,DEMANDS!$G$2:$CK$25,MATCH($E109,DEMANDS!$E$2:$E$25,0),FALSE)/HLOOKUP(2018,DEMANDS!$G$2:$CK$25,MATCH($E109,DEMANDS!$E$2:$E$25,0),FALSE)</f>
        <v>1.2744925501246753</v>
      </c>
      <c r="O109" s="19">
        <f>HLOOKUP(REG_TRA_DEMANDS!O$3,'BY-Demands'!$J$5:$AK$14,MATCH($E109,'BY-Demands'!$I$5:$I$14,0),FALSE)*HLOOKUP(REG_TRA_DEMANDS!$F109,DEMANDS!$G$2:$CK$25,MATCH($E109,DEMANDS!$E$2:$E$25,0),FALSE)/HLOOKUP(2018,DEMANDS!$G$2:$CK$25,MATCH($E109,DEMANDS!$E$2:$E$25,0),FALSE)</f>
        <v>0.59953604918668513</v>
      </c>
      <c r="P109" s="19">
        <f>HLOOKUP(REG_TRA_DEMANDS!P$3,'BY-Demands'!$J$5:$AK$14,MATCH($E109,'BY-Demands'!$I$5:$I$14,0),FALSE)*HLOOKUP(REG_TRA_DEMANDS!$F109,DEMANDS!$G$2:$CK$25,MATCH($E109,DEMANDS!$E$2:$E$25,0),FALSE)/HLOOKUP(2018,DEMANDS!$G$2:$CK$25,MATCH($E109,DEMANDS!$E$2:$E$25,0),FALSE)</f>
        <v>0.6826594718680129</v>
      </c>
      <c r="Q109" s="19">
        <f>HLOOKUP(REG_TRA_DEMANDS!Q$3,'BY-Demands'!$J$5:$AK$14,MATCH($E109,'BY-Demands'!$I$5:$I$14,0),FALSE)*HLOOKUP(REG_TRA_DEMANDS!$F109,DEMANDS!$G$2:$CK$25,MATCH($E109,DEMANDS!$E$2:$E$25,0),FALSE)/HLOOKUP(2018,DEMANDS!$G$2:$CK$25,MATCH($E109,DEMANDS!$E$2:$E$25,0),FALSE)</f>
        <v>1.3797684414784777</v>
      </c>
      <c r="R109" s="19">
        <f>HLOOKUP(REG_TRA_DEMANDS!R$3,'BY-Demands'!$J$5:$AK$14,MATCH($E109,'BY-Demands'!$I$5:$I$14,0),FALSE)*HLOOKUP(REG_TRA_DEMANDS!$F109,DEMANDS!$G$2:$CK$25,MATCH($E109,DEMANDS!$E$2:$E$25,0),FALSE)/HLOOKUP(2018,DEMANDS!$G$2:$CK$25,MATCH($E109,DEMANDS!$E$2:$E$25,0),FALSE)</f>
        <v>0.91023243858040281</v>
      </c>
      <c r="S109" s="19">
        <f>HLOOKUP(REG_TRA_DEMANDS!S$3,'BY-Demands'!$J$5:$AK$14,MATCH($E109,'BY-Demands'!$I$5:$I$14,0),FALSE)*HLOOKUP(REG_TRA_DEMANDS!$F109,DEMANDS!$G$2:$CK$25,MATCH($E109,DEMANDS!$E$2:$E$25,0),FALSE)/HLOOKUP(2018,DEMANDS!$G$2:$CK$25,MATCH($E109,DEMANDS!$E$2:$E$25,0),FALSE)</f>
        <v>0.89571650683642212</v>
      </c>
      <c r="T109" s="19">
        <f>HLOOKUP(REG_TRA_DEMANDS!T$3,'BY-Demands'!$J$5:$AK$14,MATCH($E109,'BY-Demands'!$I$5:$I$14,0),FALSE)*HLOOKUP(REG_TRA_DEMANDS!$F109,DEMANDS!$G$2:$CK$25,MATCH($E109,DEMANDS!$E$2:$E$25,0),FALSE)/HLOOKUP(2018,DEMANDS!$G$2:$CK$25,MATCH($E109,DEMANDS!$E$2:$E$25,0),FALSE)</f>
        <v>4.7925722538973687</v>
      </c>
      <c r="U109" s="19">
        <f>HLOOKUP(REG_TRA_DEMANDS!U$3,'BY-Demands'!$J$5:$AK$14,MATCH($E109,'BY-Demands'!$I$5:$I$14,0),FALSE)*HLOOKUP(REG_TRA_DEMANDS!$F109,DEMANDS!$G$2:$CK$25,MATCH($E109,DEMANDS!$E$2:$E$25,0),FALSE)/HLOOKUP(2018,DEMANDS!$G$2:$CK$25,MATCH($E109,DEMANDS!$E$2:$E$25,0),FALSE)</f>
        <v>1.3039937331108424</v>
      </c>
      <c r="V109" s="19">
        <f>HLOOKUP(REG_TRA_DEMANDS!V$3,'BY-Demands'!$J$5:$AK$14,MATCH($E109,'BY-Demands'!$I$5:$I$14,0),FALSE)*HLOOKUP(REG_TRA_DEMANDS!$F109,DEMANDS!$G$2:$CK$25,MATCH($E109,DEMANDS!$E$2:$E$25,0),FALSE)/HLOOKUP(2018,DEMANDS!$G$2:$CK$25,MATCH($E109,DEMANDS!$E$2:$E$25,0),FALSE)</f>
        <v>1.4692699821230308</v>
      </c>
      <c r="W109" s="19">
        <f>HLOOKUP(REG_TRA_DEMANDS!W$3,'BY-Demands'!$J$5:$AK$14,MATCH($E109,'BY-Demands'!$I$5:$I$14,0),FALSE)*HLOOKUP(REG_TRA_DEMANDS!$F109,DEMANDS!$G$2:$CK$25,MATCH($E109,DEMANDS!$E$2:$E$25,0),FALSE)/HLOOKUP(2018,DEMANDS!$G$2:$CK$25,MATCH($E109,DEMANDS!$E$2:$E$25,0),FALSE)</f>
        <v>1.2028098320549401</v>
      </c>
      <c r="X109" s="19">
        <f>HLOOKUP(REG_TRA_DEMANDS!X$3,'BY-Demands'!$J$5:$AK$14,MATCH($E109,'BY-Demands'!$I$5:$I$14,0),FALSE)*HLOOKUP(REG_TRA_DEMANDS!$F109,DEMANDS!$G$2:$CK$25,MATCH($E109,DEMANDS!$E$2:$E$25,0),FALSE)/HLOOKUP(2018,DEMANDS!$G$2:$CK$25,MATCH($E109,DEMANDS!$E$2:$E$25,0),FALSE)</f>
        <v>1.1172477494554649</v>
      </c>
      <c r="Y109" s="19">
        <f>HLOOKUP(REG_TRA_DEMANDS!Y$3,'BY-Demands'!$J$5:$AK$14,MATCH($E109,'BY-Demands'!$I$5:$I$14,0),FALSE)*HLOOKUP(REG_TRA_DEMANDS!$F109,DEMANDS!$G$2:$CK$25,MATCH($E109,DEMANDS!$E$2:$E$25,0),FALSE)/HLOOKUP(2018,DEMANDS!$G$2:$CK$25,MATCH($E109,DEMANDS!$E$2:$E$25,0),FALSE)</f>
        <v>1.7840217671815906</v>
      </c>
      <c r="Z109" s="19">
        <f>HLOOKUP(REG_TRA_DEMANDS!Z$3,'BY-Demands'!$J$5:$AK$14,MATCH($E109,'BY-Demands'!$I$5:$I$14,0),FALSE)*HLOOKUP(REG_TRA_DEMANDS!$F109,DEMANDS!$G$2:$CK$25,MATCH($E109,DEMANDS!$E$2:$E$25,0),FALSE)/HLOOKUP(2018,DEMANDS!$G$2:$CK$25,MATCH($E109,DEMANDS!$E$2:$E$25,0),FALSE)</f>
        <v>0.23792463057505114</v>
      </c>
      <c r="AA109" s="19">
        <f>HLOOKUP(REG_TRA_DEMANDS!AA$3,'BY-Demands'!$J$5:$AK$14,MATCH($E109,'BY-Demands'!$I$5:$I$14,0),FALSE)*HLOOKUP(REG_TRA_DEMANDS!$F109,DEMANDS!$G$2:$CK$25,MATCH($E109,DEMANDS!$E$2:$E$25,0),FALSE)/HLOOKUP(2018,DEMANDS!$G$2:$CK$25,MATCH($E109,DEMANDS!$E$2:$E$25,0),FALSE)</f>
        <v>1.0048007537717609</v>
      </c>
      <c r="AB109" s="19">
        <f>HLOOKUP(REG_TRA_DEMANDS!AB$3,'BY-Demands'!$J$5:$AK$14,MATCH($E109,'BY-Demands'!$I$5:$I$14,0),FALSE)*HLOOKUP(REG_TRA_DEMANDS!$F109,DEMANDS!$G$2:$CK$25,MATCH($E109,DEMANDS!$E$2:$E$25,0),FALSE)/HLOOKUP(2018,DEMANDS!$G$2:$CK$25,MATCH($E109,DEMANDS!$E$2:$E$25,0),FALSE)</f>
        <v>0.44620938293317103</v>
      </c>
      <c r="AC109" s="19">
        <f>HLOOKUP(REG_TRA_DEMANDS!AC$3,'BY-Demands'!$J$5:$AK$14,MATCH($E109,'BY-Demands'!$I$5:$I$14,0),FALSE)*HLOOKUP(REG_TRA_DEMANDS!$F109,DEMANDS!$G$2:$CK$25,MATCH($E109,DEMANDS!$E$2:$E$25,0),FALSE)/HLOOKUP(2018,DEMANDS!$G$2:$CK$25,MATCH($E109,DEMANDS!$E$2:$E$25,0),FALSE)</f>
        <v>0.48659314270178516</v>
      </c>
      <c r="AD109" s="19">
        <f>HLOOKUP(REG_TRA_DEMANDS!AD$3,'BY-Demands'!$J$5:$AK$14,MATCH($E109,'BY-Demands'!$I$5:$I$14,0),FALSE)*HLOOKUP(REG_TRA_DEMANDS!$F109,DEMANDS!$G$2:$CK$25,MATCH($E109,DEMANDS!$E$2:$E$25,0),FALSE)/HLOOKUP(2018,DEMANDS!$G$2:$CK$25,MATCH($E109,DEMANDS!$E$2:$E$25,0),FALSE)</f>
        <v>0.56560188049822457</v>
      </c>
      <c r="AE109" s="19">
        <f>HLOOKUP(REG_TRA_DEMANDS!AE$3,'BY-Demands'!$J$5:$AK$14,MATCH($E109,'BY-Demands'!$I$5:$I$14,0),FALSE)*HLOOKUP(REG_TRA_DEMANDS!$F109,DEMANDS!$G$2:$CK$25,MATCH($E109,DEMANDS!$E$2:$E$25,0),FALSE)/HLOOKUP(2018,DEMANDS!$G$2:$CK$25,MATCH($E109,DEMANDS!$E$2:$E$25,0),FALSE)</f>
        <v>1.1819903192642465</v>
      </c>
      <c r="AF109" s="19">
        <f>HLOOKUP(REG_TRA_DEMANDS!AF$3,'BY-Demands'!$J$5:$AK$14,MATCH($E109,'BY-Demands'!$I$5:$I$14,0),FALSE)*HLOOKUP(REG_TRA_DEMANDS!$F109,DEMANDS!$G$2:$CK$25,MATCH($E109,DEMANDS!$E$2:$E$25,0),FALSE)/HLOOKUP(2018,DEMANDS!$G$2:$CK$25,MATCH($E109,DEMANDS!$E$2:$E$25,0),FALSE)</f>
        <v>0.45578708564723913</v>
      </c>
    </row>
    <row r="110" spans="4:32" ht="14.5">
      <c r="D110" t="s">
        <v>6</v>
      </c>
      <c r="E110" t="str">
        <f>DEMANDS!$E$20</f>
        <v>TRAF</v>
      </c>
      <c r="F110">
        <v>2065</v>
      </c>
      <c r="G110" s="19">
        <f>HLOOKUP(REG_TRA_DEMANDS!G$3,'BY-Demands'!$J$5:$AK$14,MATCH($E110,'BY-Demands'!$I$5:$I$14,0),FALSE)*HLOOKUP(REG_TRA_DEMANDS!$F110,DEMANDS!$G$2:$CK$25,MATCH($E110,DEMANDS!$E$2:$E$25,0),FALSE)/HLOOKUP(2018,DEMANDS!$G$2:$CK$25,MATCH($E110,DEMANDS!$E$2:$E$25,0),FALSE)</f>
        <v>0.58783466999372003</v>
      </c>
      <c r="H110" s="19">
        <f>HLOOKUP(REG_TRA_DEMANDS!H$3,'BY-Demands'!$J$5:$AK$14,MATCH($E110,'BY-Demands'!$I$5:$I$14,0),FALSE)*HLOOKUP(REG_TRA_DEMANDS!$F110,DEMANDS!$G$2:$CK$25,MATCH($E110,DEMANDS!$E$2:$E$25,0),FALSE)/HLOOKUP(2018,DEMANDS!$G$2:$CK$25,MATCH($E110,DEMANDS!$E$2:$E$25,0),FALSE)</f>
        <v>8.7797799577180609</v>
      </c>
      <c r="I110" s="19">
        <f>HLOOKUP(REG_TRA_DEMANDS!I$3,'BY-Demands'!$J$5:$AK$14,MATCH($E110,'BY-Demands'!$I$5:$I$14,0),FALSE)*HLOOKUP(REG_TRA_DEMANDS!$F110,DEMANDS!$G$2:$CK$25,MATCH($E110,DEMANDS!$E$2:$E$25,0),FALSE)/HLOOKUP(2018,DEMANDS!$G$2:$CK$25,MATCH($E110,DEMANDS!$E$2:$E$25,0),FALSE)</f>
        <v>1.5932431939146621</v>
      </c>
      <c r="J110" s="19">
        <f>HLOOKUP(REG_TRA_DEMANDS!J$3,'BY-Demands'!$J$5:$AK$14,MATCH($E110,'BY-Demands'!$I$5:$I$14,0),FALSE)*HLOOKUP(REG_TRA_DEMANDS!$F110,DEMANDS!$G$2:$CK$25,MATCH($E110,DEMANDS!$E$2:$E$25,0),FALSE)/HLOOKUP(2018,DEMANDS!$G$2:$CK$25,MATCH($E110,DEMANDS!$E$2:$E$25,0),FALSE)</f>
        <v>1.0245909150006458</v>
      </c>
      <c r="K110" s="19">
        <f>HLOOKUP(REG_TRA_DEMANDS!K$3,'BY-Demands'!$J$5:$AK$14,MATCH($E110,'BY-Demands'!$I$5:$I$14,0),FALSE)*HLOOKUP(REG_TRA_DEMANDS!$F110,DEMANDS!$G$2:$CK$25,MATCH($E110,DEMANDS!$E$2:$E$25,0),FALSE)/HLOOKUP(2018,DEMANDS!$G$2:$CK$25,MATCH($E110,DEMANDS!$E$2:$E$25,0),FALSE)</f>
        <v>0.72976679182629878</v>
      </c>
      <c r="L110" s="19">
        <f>HLOOKUP(REG_TRA_DEMANDS!L$3,'BY-Demands'!$J$5:$AK$14,MATCH($E110,'BY-Demands'!$I$5:$I$14,0),FALSE)*HLOOKUP(REG_TRA_DEMANDS!$F110,DEMANDS!$G$2:$CK$25,MATCH($E110,DEMANDS!$E$2:$E$25,0),FALSE)/HLOOKUP(2018,DEMANDS!$G$2:$CK$25,MATCH($E110,DEMANDS!$E$2:$E$25,0),FALSE)</f>
        <v>0.35217018409526224</v>
      </c>
      <c r="M110" s="19">
        <f>HLOOKUP(REG_TRA_DEMANDS!M$3,'BY-Demands'!$J$5:$AK$14,MATCH($E110,'BY-Demands'!$I$5:$I$14,0),FALSE)*HLOOKUP(REG_TRA_DEMANDS!$F110,DEMANDS!$G$2:$CK$25,MATCH($E110,DEMANDS!$E$2:$E$25,0),FALSE)/HLOOKUP(2018,DEMANDS!$G$2:$CK$25,MATCH($E110,DEMANDS!$E$2:$E$25,0),FALSE)</f>
        <v>0.92287579461266966</v>
      </c>
      <c r="N110" s="19">
        <f>HLOOKUP(REG_TRA_DEMANDS!N$3,'BY-Demands'!$J$5:$AK$14,MATCH($E110,'BY-Demands'!$I$5:$I$14,0),FALSE)*HLOOKUP(REG_TRA_DEMANDS!$F110,DEMANDS!$G$2:$CK$25,MATCH($E110,DEMANDS!$E$2:$E$25,0),FALSE)/HLOOKUP(2018,DEMANDS!$G$2:$CK$25,MATCH($E110,DEMANDS!$E$2:$E$25,0),FALSE)</f>
        <v>1.4279581179671652</v>
      </c>
      <c r="O110" s="19">
        <f>HLOOKUP(REG_TRA_DEMANDS!O$3,'BY-Demands'!$J$5:$AK$14,MATCH($E110,'BY-Demands'!$I$5:$I$14,0),FALSE)*HLOOKUP(REG_TRA_DEMANDS!$F110,DEMANDS!$G$2:$CK$25,MATCH($E110,DEMANDS!$E$2:$E$25,0),FALSE)/HLOOKUP(2018,DEMANDS!$G$2:$CK$25,MATCH($E110,DEMANDS!$E$2:$E$25,0),FALSE)</f>
        <v>0.67172802882711302</v>
      </c>
      <c r="P110" s="19">
        <f>HLOOKUP(REG_TRA_DEMANDS!P$3,'BY-Demands'!$J$5:$AK$14,MATCH($E110,'BY-Demands'!$I$5:$I$14,0),FALSE)*HLOOKUP(REG_TRA_DEMANDS!$F110,DEMANDS!$G$2:$CK$25,MATCH($E110,DEMANDS!$E$2:$E$25,0),FALSE)/HLOOKUP(2018,DEMANDS!$G$2:$CK$25,MATCH($E110,DEMANDS!$E$2:$E$25,0),FALSE)</f>
        <v>0.76486059849133481</v>
      </c>
      <c r="Q110" s="19">
        <f>HLOOKUP(REG_TRA_DEMANDS!Q$3,'BY-Demands'!$J$5:$AK$14,MATCH($E110,'BY-Demands'!$I$5:$I$14,0),FALSE)*HLOOKUP(REG_TRA_DEMANDS!$F110,DEMANDS!$G$2:$CK$25,MATCH($E110,DEMANDS!$E$2:$E$25,0),FALSE)/HLOOKUP(2018,DEMANDS!$G$2:$CK$25,MATCH($E110,DEMANDS!$E$2:$E$25,0),FALSE)</f>
        <v>1.5459106031897629</v>
      </c>
      <c r="R110" s="19">
        <f>HLOOKUP(REG_TRA_DEMANDS!R$3,'BY-Demands'!$J$5:$AK$14,MATCH($E110,'BY-Demands'!$I$5:$I$14,0),FALSE)*HLOOKUP(REG_TRA_DEMANDS!$F110,DEMANDS!$G$2:$CK$25,MATCH($E110,DEMANDS!$E$2:$E$25,0),FALSE)/HLOOKUP(2018,DEMANDS!$G$2:$CK$25,MATCH($E110,DEMANDS!$E$2:$E$25,0),FALSE)</f>
        <v>1.0198363260583885</v>
      </c>
      <c r="S110" s="19">
        <f>HLOOKUP(REG_TRA_DEMANDS!S$3,'BY-Demands'!$J$5:$AK$14,MATCH($E110,'BY-Demands'!$I$5:$I$14,0),FALSE)*HLOOKUP(REG_TRA_DEMANDS!$F110,DEMANDS!$G$2:$CK$25,MATCH($E110,DEMANDS!$E$2:$E$25,0),FALSE)/HLOOKUP(2018,DEMANDS!$G$2:$CK$25,MATCH($E110,DEMANDS!$E$2:$E$25,0),FALSE)</f>
        <v>1.0035724863273154</v>
      </c>
      <c r="T110" s="19">
        <f>HLOOKUP(REG_TRA_DEMANDS!T$3,'BY-Demands'!$J$5:$AK$14,MATCH($E110,'BY-Demands'!$I$5:$I$14,0),FALSE)*HLOOKUP(REG_TRA_DEMANDS!$F110,DEMANDS!$G$2:$CK$25,MATCH($E110,DEMANDS!$E$2:$E$25,0),FALSE)/HLOOKUP(2018,DEMANDS!$G$2:$CK$25,MATCH($E110,DEMANDS!$E$2:$E$25,0),FALSE)</f>
        <v>5.369660619222512</v>
      </c>
      <c r="U110" s="19">
        <f>HLOOKUP(REG_TRA_DEMANDS!U$3,'BY-Demands'!$J$5:$AK$14,MATCH($E110,'BY-Demands'!$I$5:$I$14,0),FALSE)*HLOOKUP(REG_TRA_DEMANDS!$F110,DEMANDS!$G$2:$CK$25,MATCH($E110,DEMANDS!$E$2:$E$25,0),FALSE)/HLOOKUP(2018,DEMANDS!$G$2:$CK$25,MATCH($E110,DEMANDS!$E$2:$E$25,0),FALSE)</f>
        <v>1.4610116291317548</v>
      </c>
      <c r="V110" s="19">
        <f>HLOOKUP(REG_TRA_DEMANDS!V$3,'BY-Demands'!$J$5:$AK$14,MATCH($E110,'BY-Demands'!$I$5:$I$14,0),FALSE)*HLOOKUP(REG_TRA_DEMANDS!$F110,DEMANDS!$G$2:$CK$25,MATCH($E110,DEMANDS!$E$2:$E$25,0),FALSE)/HLOOKUP(2018,DEMANDS!$G$2:$CK$25,MATCH($E110,DEMANDS!$E$2:$E$25,0),FALSE)</f>
        <v>1.6461892996179652</v>
      </c>
      <c r="W110" s="19">
        <f>HLOOKUP(REG_TRA_DEMANDS!W$3,'BY-Demands'!$J$5:$AK$14,MATCH($E110,'BY-Demands'!$I$5:$I$14,0),FALSE)*HLOOKUP(REG_TRA_DEMANDS!$F110,DEMANDS!$G$2:$CK$25,MATCH($E110,DEMANDS!$E$2:$E$25,0),FALSE)/HLOOKUP(2018,DEMANDS!$G$2:$CK$25,MATCH($E110,DEMANDS!$E$2:$E$25,0),FALSE)</f>
        <v>1.347643863344322</v>
      </c>
      <c r="X110" s="19">
        <f>HLOOKUP(REG_TRA_DEMANDS!X$3,'BY-Demands'!$J$5:$AK$14,MATCH($E110,'BY-Demands'!$I$5:$I$14,0),FALSE)*HLOOKUP(REG_TRA_DEMANDS!$F110,DEMANDS!$G$2:$CK$25,MATCH($E110,DEMANDS!$E$2:$E$25,0),FALSE)/HLOOKUP(2018,DEMANDS!$G$2:$CK$25,MATCH($E110,DEMANDS!$E$2:$E$25,0),FALSE)</f>
        <v>1.2517789872207654</v>
      </c>
      <c r="Y110" s="19">
        <f>HLOOKUP(REG_TRA_DEMANDS!Y$3,'BY-Demands'!$J$5:$AK$14,MATCH($E110,'BY-Demands'!$I$5:$I$14,0),FALSE)*HLOOKUP(REG_TRA_DEMANDS!$F110,DEMANDS!$G$2:$CK$25,MATCH($E110,DEMANDS!$E$2:$E$25,0),FALSE)/HLOOKUP(2018,DEMANDS!$G$2:$CK$25,MATCH($E110,DEMANDS!$E$2:$E$25,0),FALSE)</f>
        <v>1.9988413151790287</v>
      </c>
      <c r="Z110" s="19">
        <f>HLOOKUP(REG_TRA_DEMANDS!Z$3,'BY-Demands'!$J$5:$AK$14,MATCH($E110,'BY-Demands'!$I$5:$I$14,0),FALSE)*HLOOKUP(REG_TRA_DEMANDS!$F110,DEMANDS!$G$2:$CK$25,MATCH($E110,DEMANDS!$E$2:$E$25,0),FALSE)/HLOOKUP(2018,DEMANDS!$G$2:$CK$25,MATCH($E110,DEMANDS!$E$2:$E$25,0),FALSE)</f>
        <v>0.26657386711342324</v>
      </c>
      <c r="AA110" s="19">
        <f>HLOOKUP(REG_TRA_DEMANDS!AA$3,'BY-Demands'!$J$5:$AK$14,MATCH($E110,'BY-Demands'!$I$5:$I$14,0),FALSE)*HLOOKUP(REG_TRA_DEMANDS!$F110,DEMANDS!$G$2:$CK$25,MATCH($E110,DEMANDS!$E$2:$E$25,0),FALSE)/HLOOKUP(2018,DEMANDS!$G$2:$CK$25,MATCH($E110,DEMANDS!$E$2:$E$25,0),FALSE)</f>
        <v>1.1257919029401577</v>
      </c>
      <c r="AB110" s="19">
        <f>HLOOKUP(REG_TRA_DEMANDS!AB$3,'BY-Demands'!$J$5:$AK$14,MATCH($E110,'BY-Demands'!$I$5:$I$14,0),FALSE)*HLOOKUP(REG_TRA_DEMANDS!$F110,DEMANDS!$G$2:$CK$25,MATCH($E110,DEMANDS!$E$2:$E$25,0),FALSE)/HLOOKUP(2018,DEMANDS!$G$2:$CK$25,MATCH($E110,DEMANDS!$E$2:$E$25,0),FALSE)</f>
        <v>0.49993882711217968</v>
      </c>
      <c r="AC110" s="19">
        <f>HLOOKUP(REG_TRA_DEMANDS!AC$3,'BY-Demands'!$J$5:$AK$14,MATCH($E110,'BY-Demands'!$I$5:$I$14,0),FALSE)*HLOOKUP(REG_TRA_DEMANDS!$F110,DEMANDS!$G$2:$CK$25,MATCH($E110,DEMANDS!$E$2:$E$25,0),FALSE)/HLOOKUP(2018,DEMANDS!$G$2:$CK$25,MATCH($E110,DEMANDS!$E$2:$E$25,0),FALSE)</f>
        <v>0.54518531960049366</v>
      </c>
      <c r="AD110" s="19">
        <f>HLOOKUP(REG_TRA_DEMANDS!AD$3,'BY-Demands'!$J$5:$AK$14,MATCH($E110,'BY-Demands'!$I$5:$I$14,0),FALSE)*HLOOKUP(REG_TRA_DEMANDS!$F110,DEMANDS!$G$2:$CK$25,MATCH($E110,DEMANDS!$E$2:$E$25,0),FALSE)/HLOOKUP(2018,DEMANDS!$G$2:$CK$25,MATCH($E110,DEMANDS!$E$2:$E$25,0),FALSE)</f>
        <v>0.63370774251754269</v>
      </c>
      <c r="AE110" s="19">
        <f>HLOOKUP(REG_TRA_DEMANDS!AE$3,'BY-Demands'!$J$5:$AK$14,MATCH($E110,'BY-Demands'!$I$5:$I$14,0),FALSE)*HLOOKUP(REG_TRA_DEMANDS!$F110,DEMANDS!$G$2:$CK$25,MATCH($E110,DEMANDS!$E$2:$E$25,0),FALSE)/HLOOKUP(2018,DEMANDS!$G$2:$CK$25,MATCH($E110,DEMANDS!$E$2:$E$25,0),FALSE)</f>
        <v>1.3243174089851468</v>
      </c>
      <c r="AF110" s="19">
        <f>HLOOKUP(REG_TRA_DEMANDS!AF$3,'BY-Demands'!$J$5:$AK$14,MATCH($E110,'BY-Demands'!$I$5:$I$14,0),FALSE)*HLOOKUP(REG_TRA_DEMANDS!$F110,DEMANDS!$G$2:$CK$25,MATCH($E110,DEMANDS!$E$2:$E$25,0),FALSE)/HLOOKUP(2018,DEMANDS!$G$2:$CK$25,MATCH($E110,DEMANDS!$E$2:$E$25,0),FALSE)</f>
        <v>0.51066981046762716</v>
      </c>
    </row>
    <row r="111" spans="4:32" ht="14.5">
      <c r="D111" t="s">
        <v>6</v>
      </c>
      <c r="E111" t="str">
        <f>DEMANDS!$E$20</f>
        <v>TRAF</v>
      </c>
      <c r="F111">
        <v>2070</v>
      </c>
      <c r="G111" s="18">
        <f>HLOOKUP(REG_TRA_DEMANDS!G$3,'BY-Demands'!$J$5:$AK$14,MATCH($E111,'BY-Demands'!$I$5:$I$14,0),FALSE)*HLOOKUP(REG_TRA_DEMANDS!$F111,DEMANDS!$G$2:$CK$25,MATCH($E111,DEMANDS!$E$2:$E$25,0),FALSE)/HLOOKUP(2018,DEMANDS!$G$2:$CK$25,MATCH($E111,DEMANDS!$E$2:$E$25,0),FALSE)</f>
        <v>0.65861765057627741</v>
      </c>
      <c r="H111" s="18">
        <f>HLOOKUP(REG_TRA_DEMANDS!H$3,'BY-Demands'!$J$5:$AK$14,MATCH($E111,'BY-Demands'!$I$5:$I$14,0),FALSE)*HLOOKUP(REG_TRA_DEMANDS!$F111,DEMANDS!$G$2:$CK$25,MATCH($E111,DEMANDS!$E$2:$E$25,0),FALSE)/HLOOKUP(2018,DEMANDS!$G$2:$CK$25,MATCH($E111,DEMANDS!$E$2:$E$25,0),FALSE)</f>
        <v>9.8369802658811079</v>
      </c>
      <c r="I111" s="18">
        <f>HLOOKUP(REG_TRA_DEMANDS!I$3,'BY-Demands'!$J$5:$AK$14,MATCH($E111,'BY-Demands'!$I$5:$I$14,0),FALSE)*HLOOKUP(REG_TRA_DEMANDS!$F111,DEMANDS!$G$2:$CK$25,MATCH($E111,DEMANDS!$E$2:$E$25,0),FALSE)/HLOOKUP(2018,DEMANDS!$G$2:$CK$25,MATCH($E111,DEMANDS!$E$2:$E$25,0),FALSE)</f>
        <v>1.7850905071385621</v>
      </c>
      <c r="J111" s="18">
        <f>HLOOKUP(REG_TRA_DEMANDS!J$3,'BY-Demands'!$J$5:$AK$14,MATCH($E111,'BY-Demands'!$I$5:$I$14,0),FALSE)*HLOOKUP(REG_TRA_DEMANDS!$F111,DEMANDS!$G$2:$CK$25,MATCH($E111,DEMANDS!$E$2:$E$25,0),FALSE)/HLOOKUP(2018,DEMANDS!$G$2:$CK$25,MATCH($E111,DEMANDS!$E$2:$E$25,0),FALSE)</f>
        <v>1.1479650583500507</v>
      </c>
      <c r="K111" s="18">
        <f>HLOOKUP(REG_TRA_DEMANDS!K$3,'BY-Demands'!$J$5:$AK$14,MATCH($E111,'BY-Demands'!$I$5:$I$14,0),FALSE)*HLOOKUP(REG_TRA_DEMANDS!$F111,DEMANDS!$G$2:$CK$25,MATCH($E111,DEMANDS!$E$2:$E$25,0),FALSE)/HLOOKUP(2018,DEMANDS!$G$2:$CK$25,MATCH($E111,DEMANDS!$E$2:$E$25,0),FALSE)</f>
        <v>0.81764025573101862</v>
      </c>
      <c r="L111" s="18">
        <f>HLOOKUP(REG_TRA_DEMANDS!L$3,'BY-Demands'!$J$5:$AK$14,MATCH($E111,'BY-Demands'!$I$5:$I$14,0),FALSE)*HLOOKUP(REG_TRA_DEMANDS!$F111,DEMANDS!$G$2:$CK$25,MATCH($E111,DEMANDS!$E$2:$E$25,0),FALSE)/HLOOKUP(2018,DEMANDS!$G$2:$CK$25,MATCH($E111,DEMANDS!$E$2:$E$25,0),FALSE)</f>
        <v>0.39457607911135056</v>
      </c>
      <c r="M111" s="18">
        <f>HLOOKUP(REG_TRA_DEMANDS!M$3,'BY-Demands'!$J$5:$AK$14,MATCH($E111,'BY-Demands'!$I$5:$I$14,0),FALSE)*HLOOKUP(REG_TRA_DEMANDS!$F111,DEMANDS!$G$2:$CK$25,MATCH($E111,DEMANDS!$E$2:$E$25,0),FALSE)/HLOOKUP(2018,DEMANDS!$G$2:$CK$25,MATCH($E111,DEMANDS!$E$2:$E$25,0),FALSE)</f>
        <v>1.034002107476929</v>
      </c>
      <c r="N111" s="18">
        <f>HLOOKUP(REG_TRA_DEMANDS!N$3,'BY-Demands'!$J$5:$AK$14,MATCH($E111,'BY-Demands'!$I$5:$I$14,0),FALSE)*HLOOKUP(REG_TRA_DEMANDS!$F111,DEMANDS!$G$2:$CK$25,MATCH($E111,DEMANDS!$E$2:$E$25,0),FALSE)/HLOOKUP(2018,DEMANDS!$G$2:$CK$25,MATCH($E111,DEMANDS!$E$2:$E$25,0),FALSE)</f>
        <v>1.5999029468386146</v>
      </c>
      <c r="O111" s="18">
        <f>HLOOKUP(REG_TRA_DEMANDS!O$3,'BY-Demands'!$J$5:$AK$14,MATCH($E111,'BY-Demands'!$I$5:$I$14,0),FALSE)*HLOOKUP(REG_TRA_DEMANDS!$F111,DEMANDS!$G$2:$CK$25,MATCH($E111,DEMANDS!$E$2:$E$25,0),FALSE)/HLOOKUP(2018,DEMANDS!$G$2:$CK$25,MATCH($E111,DEMANDS!$E$2:$E$25,0),FALSE)</f>
        <v>0.75261286677268202</v>
      </c>
      <c r="P111" s="18">
        <f>HLOOKUP(REG_TRA_DEMANDS!P$3,'BY-Demands'!$J$5:$AK$14,MATCH($E111,'BY-Demands'!$I$5:$I$14,0),FALSE)*HLOOKUP(REG_TRA_DEMANDS!$F111,DEMANDS!$G$2:$CK$25,MATCH($E111,DEMANDS!$E$2:$E$25,0),FALSE)/HLOOKUP(2018,DEMANDS!$G$2:$CK$25,MATCH($E111,DEMANDS!$E$2:$E$25,0),FALSE)</f>
        <v>0.8569598155925543</v>
      </c>
      <c r="Q111" s="18">
        <f>HLOOKUP(REG_TRA_DEMANDS!Q$3,'BY-Demands'!$J$5:$AK$14,MATCH($E111,'BY-Demands'!$I$5:$I$14,0),FALSE)*HLOOKUP(REG_TRA_DEMANDS!$F111,DEMANDS!$G$2:$CK$25,MATCH($E111,DEMANDS!$E$2:$E$25,0),FALSE)/HLOOKUP(2018,DEMANDS!$G$2:$CK$25,MATCH($E111,DEMANDS!$E$2:$E$25,0),FALSE)</f>
        <v>1.732058453586405</v>
      </c>
      <c r="R111" s="18">
        <f>HLOOKUP(REG_TRA_DEMANDS!R$3,'BY-Demands'!$J$5:$AK$14,MATCH($E111,'BY-Demands'!$I$5:$I$14,0),FALSE)*HLOOKUP(REG_TRA_DEMANDS!$F111,DEMANDS!$G$2:$CK$25,MATCH($E111,DEMANDS!$E$2:$E$25,0),FALSE)/HLOOKUP(2018,DEMANDS!$G$2:$CK$25,MATCH($E111,DEMANDS!$E$2:$E$25,0),FALSE)</f>
        <v>1.1426379547298458</v>
      </c>
      <c r="S111" s="18">
        <f>HLOOKUP(REG_TRA_DEMANDS!S$3,'BY-Demands'!$J$5:$AK$14,MATCH($E111,'BY-Demands'!$I$5:$I$14,0),FALSE)*HLOOKUP(REG_TRA_DEMANDS!$F111,DEMANDS!$G$2:$CK$25,MATCH($E111,DEMANDS!$E$2:$E$25,0),FALSE)/HLOOKUP(2018,DEMANDS!$G$2:$CK$25,MATCH($E111,DEMANDS!$E$2:$E$25,0),FALSE)</f>
        <v>1.1244157360350162</v>
      </c>
      <c r="T111" s="18">
        <f>HLOOKUP(REG_TRA_DEMANDS!T$3,'BY-Demands'!$J$5:$AK$14,MATCH($E111,'BY-Demands'!$I$5:$I$14,0),FALSE)*HLOOKUP(REG_TRA_DEMANDS!$F111,DEMANDS!$G$2:$CK$25,MATCH($E111,DEMANDS!$E$2:$E$25,0),FALSE)/HLOOKUP(2018,DEMANDS!$G$2:$CK$25,MATCH($E111,DEMANDS!$E$2:$E$25,0),FALSE)</f>
        <v>6.0162379695332895</v>
      </c>
      <c r="U111" s="18">
        <f>HLOOKUP(REG_TRA_DEMANDS!U$3,'BY-Demands'!$J$5:$AK$14,MATCH($E111,'BY-Demands'!$I$5:$I$14,0),FALSE)*HLOOKUP(REG_TRA_DEMANDS!$F111,DEMANDS!$G$2:$CK$25,MATCH($E111,DEMANDS!$E$2:$E$25,0),FALSE)/HLOOKUP(2018,DEMANDS!$G$2:$CK$25,MATCH($E111,DEMANDS!$E$2:$E$25,0),FALSE)</f>
        <v>1.6369365329432777</v>
      </c>
      <c r="V111" s="18">
        <f>HLOOKUP(REG_TRA_DEMANDS!V$3,'BY-Demands'!$J$5:$AK$14,MATCH($E111,'BY-Demands'!$I$5:$I$14,0),FALSE)*HLOOKUP(REG_TRA_DEMANDS!$F111,DEMANDS!$G$2:$CK$25,MATCH($E111,DEMANDS!$E$2:$E$25,0),FALSE)/HLOOKUP(2018,DEMANDS!$G$2:$CK$25,MATCH($E111,DEMANDS!$E$2:$E$25,0),FALSE)</f>
        <v>1.8444120162728317</v>
      </c>
      <c r="W111" s="18">
        <f>HLOOKUP(REG_TRA_DEMANDS!W$3,'BY-Demands'!$J$5:$AK$14,MATCH($E111,'BY-Demands'!$I$5:$I$14,0),FALSE)*HLOOKUP(REG_TRA_DEMANDS!$F111,DEMANDS!$G$2:$CK$25,MATCH($E111,DEMANDS!$E$2:$E$25,0),FALSE)/HLOOKUP(2018,DEMANDS!$G$2:$CK$25,MATCH($E111,DEMANDS!$E$2:$E$25,0),FALSE)</f>
        <v>1.5099178057987928</v>
      </c>
      <c r="X111" s="18">
        <f>HLOOKUP(REG_TRA_DEMANDS!X$3,'BY-Demands'!$J$5:$AK$14,MATCH($E111,'BY-Demands'!$I$5:$I$14,0),FALSE)*HLOOKUP(REG_TRA_DEMANDS!$F111,DEMANDS!$G$2:$CK$25,MATCH($E111,DEMANDS!$E$2:$E$25,0),FALSE)/HLOOKUP(2018,DEMANDS!$G$2:$CK$25,MATCH($E111,DEMANDS!$E$2:$E$25,0),FALSE)</f>
        <v>1.4025095450952223</v>
      </c>
      <c r="Y111" s="18">
        <f>HLOOKUP(REG_TRA_DEMANDS!Y$3,'BY-Demands'!$J$5:$AK$14,MATCH($E111,'BY-Demands'!$I$5:$I$14,0),FALSE)*HLOOKUP(REG_TRA_DEMANDS!$F111,DEMANDS!$G$2:$CK$25,MATCH($E111,DEMANDS!$E$2:$E$25,0),FALSE)/HLOOKUP(2018,DEMANDS!$G$2:$CK$25,MATCH($E111,DEMANDS!$E$2:$E$25,0),FALSE)</f>
        <v>2.2395279456587214</v>
      </c>
      <c r="Z111" s="18">
        <f>HLOOKUP(REG_TRA_DEMANDS!Z$3,'BY-Demands'!$J$5:$AK$14,MATCH($E111,'BY-Demands'!$I$5:$I$14,0),FALSE)*HLOOKUP(REG_TRA_DEMANDS!$F111,DEMANDS!$G$2:$CK$25,MATCH($E111,DEMANDS!$E$2:$E$25,0),FALSE)/HLOOKUP(2018,DEMANDS!$G$2:$CK$25,MATCH($E111,DEMANDS!$E$2:$E$25,0),FALSE)</f>
        <v>0.29867284633815705</v>
      </c>
      <c r="AA111" s="18">
        <f>HLOOKUP(REG_TRA_DEMANDS!AA$3,'BY-Demands'!$J$5:$AK$14,MATCH($E111,'BY-Demands'!$I$5:$I$14,0),FALSE)*HLOOKUP(REG_TRA_DEMANDS!$F111,DEMANDS!$G$2:$CK$25,MATCH($E111,DEMANDS!$E$2:$E$25,0),FALSE)/HLOOKUP(2018,DEMANDS!$G$2:$CK$25,MATCH($E111,DEMANDS!$E$2:$E$25,0),FALSE)</f>
        <v>1.2613519685053018</v>
      </c>
      <c r="AB111" s="18">
        <f>HLOOKUP(REG_TRA_DEMANDS!AB$3,'BY-Demands'!$J$5:$AK$14,MATCH($E111,'BY-Demands'!$I$5:$I$14,0),FALSE)*HLOOKUP(REG_TRA_DEMANDS!$F111,DEMANDS!$G$2:$CK$25,MATCH($E111,DEMANDS!$E$2:$E$25,0),FALSE)/HLOOKUP(2018,DEMANDS!$G$2:$CK$25,MATCH($E111,DEMANDS!$E$2:$E$25,0),FALSE)</f>
        <v>0.56013799891728255</v>
      </c>
      <c r="AC111" s="18">
        <f>HLOOKUP(REG_TRA_DEMANDS!AC$3,'BY-Demands'!$J$5:$AK$14,MATCH($E111,'BY-Demands'!$I$5:$I$14,0),FALSE)*HLOOKUP(REG_TRA_DEMANDS!$F111,DEMANDS!$G$2:$CK$25,MATCH($E111,DEMANDS!$E$2:$E$25,0),FALSE)/HLOOKUP(2018,DEMANDS!$G$2:$CK$25,MATCH($E111,DEMANDS!$E$2:$E$25,0),FALSE)</f>
        <v>0.61083276072809733</v>
      </c>
      <c r="AD111" s="18">
        <f>HLOOKUP(REG_TRA_DEMANDS!AD$3,'BY-Demands'!$J$5:$AK$14,MATCH($E111,'BY-Demands'!$I$5:$I$14,0),FALSE)*HLOOKUP(REG_TRA_DEMANDS!$F111,DEMANDS!$G$2:$CK$25,MATCH($E111,DEMANDS!$E$2:$E$25,0),FALSE)/HLOOKUP(2018,DEMANDS!$G$2:$CK$25,MATCH($E111,DEMANDS!$E$2:$E$25,0),FALSE)</f>
        <v>0.71001444085181198</v>
      </c>
      <c r="AE111" s="18">
        <f>HLOOKUP(REG_TRA_DEMANDS!AE$3,'BY-Demands'!$J$5:$AK$14,MATCH($E111,'BY-Demands'!$I$5:$I$14,0),FALSE)*HLOOKUP(REG_TRA_DEMANDS!$F111,DEMANDS!$G$2:$CK$25,MATCH($E111,DEMANDS!$E$2:$E$25,0),FALSE)/HLOOKUP(2018,DEMANDS!$G$2:$CK$25,MATCH($E111,DEMANDS!$E$2:$E$25,0),FALSE)</f>
        <v>1.4837825413264218</v>
      </c>
      <c r="AF111" s="18">
        <f>HLOOKUP(REG_TRA_DEMANDS!AF$3,'BY-Demands'!$J$5:$AK$14,MATCH($E111,'BY-Demands'!$I$5:$I$14,0),FALSE)*HLOOKUP(REG_TRA_DEMANDS!$F111,DEMANDS!$G$2:$CK$25,MATCH($E111,DEMANDS!$E$2:$E$25,0),FALSE)/HLOOKUP(2018,DEMANDS!$G$2:$CK$25,MATCH($E111,DEMANDS!$E$2:$E$25,0),FALSE)</f>
        <v>0.57216113298321547</v>
      </c>
    </row>
    <row r="112" spans="4:32" ht="14.5">
      <c r="D112" s="20" t="s">
        <v>6</v>
      </c>
      <c r="E112" s="20" t="str">
        <f>DEMANDS!$E$21</f>
        <v>TTURS</v>
      </c>
      <c r="F112" s="20">
        <v>2020</v>
      </c>
      <c r="G112" s="21">
        <f>HLOOKUP(REG_TRA_DEMANDS!G$3,'BY-Demands'!$J$5:$AK$14,MATCH($E112,'BY-Demands'!$I$5:$I$14,0),FALSE)*HLOOKUP(REG_TRA_DEMANDS!$F112,DEMANDS!$G$2:$CK$25,MATCH($E112,DEMANDS!$E$2:$E$25,0),FALSE)/HLOOKUP(2018,DEMANDS!$G$2:$CK$25,MATCH($E112,DEMANDS!$E$2:$E$25,0),FALSE)</f>
        <v>0.040298189842888223</v>
      </c>
      <c r="H112" s="21">
        <f>HLOOKUP(REG_TRA_DEMANDS!H$3,'BY-Demands'!$J$5:$AK$14,MATCH($E112,'BY-Demands'!$I$5:$I$14,0),FALSE)*HLOOKUP(REG_TRA_DEMANDS!$F112,DEMANDS!$G$2:$CK$25,MATCH($E112,DEMANDS!$E$2:$E$25,0),FALSE)/HLOOKUP(2018,DEMANDS!$G$2:$CK$25,MATCH($E112,DEMANDS!$E$2:$E$25,0),FALSE)</f>
        <v>0.953701411658192</v>
      </c>
      <c r="I112" s="21">
        <f>HLOOKUP(REG_TRA_DEMANDS!I$3,'BY-Demands'!$J$5:$AK$14,MATCH($E112,'BY-Demands'!$I$5:$I$14,0),FALSE)*HLOOKUP(REG_TRA_DEMANDS!$F112,DEMANDS!$G$2:$CK$25,MATCH($E112,DEMANDS!$E$2:$E$25,0),FALSE)/HLOOKUP(2018,DEMANDS!$G$2:$CK$25,MATCH($E112,DEMANDS!$E$2:$E$25,0),FALSE)</f>
        <v>0.1574950543244924</v>
      </c>
      <c r="J112" s="21">
        <f>HLOOKUP(REG_TRA_DEMANDS!J$3,'BY-Demands'!$J$5:$AK$14,MATCH($E112,'BY-Demands'!$I$5:$I$14,0),FALSE)*HLOOKUP(REG_TRA_DEMANDS!$F112,DEMANDS!$G$2:$CK$25,MATCH($E112,DEMANDS!$E$2:$E$25,0),FALSE)/HLOOKUP(2018,DEMANDS!$G$2:$CK$25,MATCH($E112,DEMANDS!$E$2:$E$25,0),FALSE)</f>
        <v>0.070239407968971462</v>
      </c>
      <c r="K112" s="21">
        <f>HLOOKUP(REG_TRA_DEMANDS!K$3,'BY-Demands'!$J$5:$AK$14,MATCH($E112,'BY-Demands'!$I$5:$I$14,0),FALSE)*HLOOKUP(REG_TRA_DEMANDS!$F112,DEMANDS!$G$2:$CK$25,MATCH($E112,DEMANDS!$E$2:$E$25,0),FALSE)/HLOOKUP(2018,DEMANDS!$G$2:$CK$25,MATCH($E112,DEMANDS!$E$2:$E$25,0),FALSE)</f>
        <v>0.059951095783093877</v>
      </c>
      <c r="L112" s="21">
        <f>HLOOKUP(REG_TRA_DEMANDS!L$3,'BY-Demands'!$J$5:$AK$14,MATCH($E112,'BY-Demands'!$I$5:$I$14,0),FALSE)*HLOOKUP(REG_TRA_DEMANDS!$F112,DEMANDS!$G$2:$CK$25,MATCH($E112,DEMANDS!$E$2:$E$25,0),FALSE)/HLOOKUP(2018,DEMANDS!$G$2:$CK$25,MATCH($E112,DEMANDS!$E$2:$E$25,0),FALSE)</f>
        <v>0.028931144408212772</v>
      </c>
      <c r="M112" s="21">
        <f>HLOOKUP(REG_TRA_DEMANDS!M$3,'BY-Demands'!$J$5:$AK$14,MATCH($E112,'BY-Demands'!$I$5:$I$14,0),FALSE)*HLOOKUP(REG_TRA_DEMANDS!$F112,DEMANDS!$G$2:$CK$25,MATCH($E112,DEMANDS!$E$2:$E$25,0),FALSE)/HLOOKUP(2018,DEMANDS!$G$2:$CK$25,MATCH($E112,DEMANDS!$E$2:$E$25,0),FALSE)</f>
        <v>0.091227989526291062</v>
      </c>
      <c r="N112" s="21">
        <f>HLOOKUP(REG_TRA_DEMANDS!N$3,'BY-Demands'!$J$5:$AK$14,MATCH($E112,'BY-Demands'!$I$5:$I$14,0),FALSE)*HLOOKUP(REG_TRA_DEMANDS!$F112,DEMANDS!$G$2:$CK$25,MATCH($E112,DEMANDS!$E$2:$E$25,0),FALSE)/HLOOKUP(2018,DEMANDS!$G$2:$CK$25,MATCH($E112,DEMANDS!$E$2:$E$25,0),FALSE)</f>
        <v>0.1380580366000895</v>
      </c>
      <c r="O112" s="21">
        <f>HLOOKUP(REG_TRA_DEMANDS!O$3,'BY-Demands'!$J$5:$AK$14,MATCH($E112,'BY-Demands'!$I$5:$I$14,0),FALSE)*HLOOKUP(REG_TRA_DEMANDS!$F112,DEMANDS!$G$2:$CK$25,MATCH($E112,DEMANDS!$E$2:$E$25,0),FALSE)/HLOOKUP(2018,DEMANDS!$G$2:$CK$25,MATCH($E112,DEMANDS!$E$2:$E$25,0),FALSE)</f>
        <v>0.055183151449824552</v>
      </c>
      <c r="P112" s="21">
        <f>HLOOKUP(REG_TRA_DEMANDS!P$3,'BY-Demands'!$J$5:$AK$14,MATCH($E112,'BY-Demands'!$I$5:$I$14,0),FALSE)*HLOOKUP(REG_TRA_DEMANDS!$F112,DEMANDS!$G$2:$CK$25,MATCH($E112,DEMANDS!$E$2:$E$25,0),FALSE)/HLOOKUP(2018,DEMANDS!$G$2:$CK$25,MATCH($E112,DEMANDS!$E$2:$E$25,0),FALSE)</f>
        <v>0.062834088251830053</v>
      </c>
      <c r="Q112" s="21">
        <f>HLOOKUP(REG_TRA_DEMANDS!Q$3,'BY-Demands'!$J$5:$AK$14,MATCH($E112,'BY-Demands'!$I$5:$I$14,0),FALSE)*HLOOKUP(REG_TRA_DEMANDS!$F112,DEMANDS!$G$2:$CK$25,MATCH($E112,DEMANDS!$E$2:$E$25,0),FALSE)/HLOOKUP(2018,DEMANDS!$G$2:$CK$25,MATCH($E112,DEMANDS!$E$2:$E$25,0),FALSE)</f>
        <v>0.10597775556201978</v>
      </c>
      <c r="R112" s="21">
        <f>HLOOKUP(REG_TRA_DEMANDS!R$3,'BY-Demands'!$J$5:$AK$14,MATCH($E112,'BY-Demands'!$I$5:$I$14,0),FALSE)*HLOOKUP(REG_TRA_DEMANDS!$F112,DEMANDS!$G$2:$CK$25,MATCH($E112,DEMANDS!$E$2:$E$25,0),FALSE)/HLOOKUP(2018,DEMANDS!$G$2:$CK$25,MATCH($E112,DEMANDS!$E$2:$E$25,0),FALSE)</f>
        <v>0.10081271847771658</v>
      </c>
      <c r="S112" s="21">
        <f>HLOOKUP(REG_TRA_DEMANDS!S$3,'BY-Demands'!$J$5:$AK$14,MATCH($E112,'BY-Demands'!$I$5:$I$14,0),FALSE)*HLOOKUP(REG_TRA_DEMANDS!$F112,DEMANDS!$G$2:$CK$25,MATCH($E112,DEMANDS!$E$2:$E$25,0),FALSE)/HLOOKUP(2018,DEMANDS!$G$2:$CK$25,MATCH($E112,DEMANDS!$E$2:$E$25,0),FALSE)</f>
        <v>0.084102262744369605</v>
      </c>
      <c r="T112" s="21">
        <f>HLOOKUP(REG_TRA_DEMANDS!T$3,'BY-Demands'!$J$5:$AK$14,MATCH($E112,'BY-Demands'!$I$5:$I$14,0),FALSE)*HLOOKUP(REG_TRA_DEMANDS!$F112,DEMANDS!$G$2:$CK$25,MATCH($E112,DEMANDS!$E$2:$E$25,0),FALSE)/HLOOKUP(2018,DEMANDS!$G$2:$CK$25,MATCH($E112,DEMANDS!$E$2:$E$25,0),FALSE)</f>
        <v>0.38425837356195192</v>
      </c>
      <c r="U112" s="21">
        <f>HLOOKUP(REG_TRA_DEMANDS!U$3,'BY-Demands'!$J$5:$AK$14,MATCH($E112,'BY-Demands'!$I$5:$I$14,0),FALSE)*HLOOKUP(REG_TRA_DEMANDS!$F112,DEMANDS!$G$2:$CK$25,MATCH($E112,DEMANDS!$E$2:$E$25,0),FALSE)/HLOOKUP(2018,DEMANDS!$G$2:$CK$25,MATCH($E112,DEMANDS!$E$2:$E$25,0),FALSE)</f>
        <v>0.10455147767729034</v>
      </c>
      <c r="V112" s="21">
        <f>HLOOKUP(REG_TRA_DEMANDS!V$3,'BY-Demands'!$J$5:$AK$14,MATCH($E112,'BY-Demands'!$I$5:$I$14,0),FALSE)*HLOOKUP(REG_TRA_DEMANDS!$F112,DEMANDS!$G$2:$CK$25,MATCH($E112,DEMANDS!$E$2:$E$25,0),FALSE)/HLOOKUP(2018,DEMANDS!$G$2:$CK$25,MATCH($E112,DEMANDS!$E$2:$E$25,0),FALSE)</f>
        <v>0.13795540121880615</v>
      </c>
      <c r="W112" s="21">
        <f>HLOOKUP(REG_TRA_DEMANDS!W$3,'BY-Demands'!$J$5:$AK$14,MATCH($E112,'BY-Demands'!$I$5:$I$14,0),FALSE)*HLOOKUP(REG_TRA_DEMANDS!$F112,DEMANDS!$G$2:$CK$25,MATCH($E112,DEMANDS!$E$2:$E$25,0),FALSE)/HLOOKUP(2018,DEMANDS!$G$2:$CK$25,MATCH($E112,DEMANDS!$E$2:$E$25,0),FALSE)</f>
        <v>0.11293643441302517</v>
      </c>
      <c r="X112" s="21">
        <f>HLOOKUP(REG_TRA_DEMANDS!X$3,'BY-Demands'!$J$5:$AK$14,MATCH($E112,'BY-Demands'!$I$5:$I$14,0),FALSE)*HLOOKUP(REG_TRA_DEMANDS!$F112,DEMANDS!$G$2:$CK$25,MATCH($E112,DEMANDS!$E$2:$E$25,0),FALSE)/HLOOKUP(2018,DEMANDS!$G$2:$CK$25,MATCH($E112,DEMANDS!$E$2:$E$25,0),FALSE)</f>
        <v>0.082232883144582727</v>
      </c>
      <c r="Y112" s="21">
        <f>HLOOKUP(REG_TRA_DEMANDS!Y$3,'BY-Demands'!$J$5:$AK$14,MATCH($E112,'BY-Demands'!$I$5:$I$14,0),FALSE)*HLOOKUP(REG_TRA_DEMANDS!$F112,DEMANDS!$G$2:$CK$25,MATCH($E112,DEMANDS!$E$2:$E$25,0),FALSE)/HLOOKUP(2018,DEMANDS!$G$2:$CK$25,MATCH($E112,DEMANDS!$E$2:$E$25,0),FALSE)</f>
        <v>0.18266124981514886</v>
      </c>
      <c r="Z112" s="21">
        <f>HLOOKUP(REG_TRA_DEMANDS!Z$3,'BY-Demands'!$J$5:$AK$14,MATCH($E112,'BY-Demands'!$I$5:$I$14,0),FALSE)*HLOOKUP(REG_TRA_DEMANDS!$F112,DEMANDS!$G$2:$CK$25,MATCH($E112,DEMANDS!$E$2:$E$25,0),FALSE)/HLOOKUP(2018,DEMANDS!$G$2:$CK$25,MATCH($E112,DEMANDS!$E$2:$E$25,0),FALSE)</f>
        <v>0.022681711433385598</v>
      </c>
      <c r="AA112" s="21">
        <f>HLOOKUP(REG_TRA_DEMANDS!AA$3,'BY-Demands'!$J$5:$AK$14,MATCH($E112,'BY-Demands'!$I$5:$I$14,0),FALSE)*HLOOKUP(REG_TRA_DEMANDS!$F112,DEMANDS!$G$2:$CK$25,MATCH($E112,DEMANDS!$E$2:$E$25,0),FALSE)/HLOOKUP(2018,DEMANDS!$G$2:$CK$25,MATCH($E112,DEMANDS!$E$2:$E$25,0),FALSE)</f>
        <v>0.09237679796644771</v>
      </c>
      <c r="AB112" s="21">
        <f>HLOOKUP(REG_TRA_DEMANDS!AB$3,'BY-Demands'!$J$5:$AK$14,MATCH($E112,'BY-Demands'!$I$5:$I$14,0),FALSE)*HLOOKUP(REG_TRA_DEMANDS!$F112,DEMANDS!$G$2:$CK$25,MATCH($E112,DEMANDS!$E$2:$E$25,0),FALSE)/HLOOKUP(2018,DEMANDS!$G$2:$CK$25,MATCH($E112,DEMANDS!$E$2:$E$25,0),FALSE)</f>
        <v>0.045686193445151825</v>
      </c>
      <c r="AC112" s="21">
        <f>HLOOKUP(REG_TRA_DEMANDS!AC$3,'BY-Demands'!$J$5:$AK$14,MATCH($E112,'BY-Demands'!$I$5:$I$14,0),FALSE)*HLOOKUP(REG_TRA_DEMANDS!$F112,DEMANDS!$G$2:$CK$25,MATCH($E112,DEMANDS!$E$2:$E$25,0),FALSE)/HLOOKUP(2018,DEMANDS!$G$2:$CK$25,MATCH($E112,DEMANDS!$E$2:$E$25,0),FALSE)</f>
        <v>0.046387653188956733</v>
      </c>
      <c r="AD112" s="21">
        <f>HLOOKUP(REG_TRA_DEMANDS!AD$3,'BY-Demands'!$J$5:$AK$14,MATCH($E112,'BY-Demands'!$I$5:$I$14,0),FALSE)*HLOOKUP(REG_TRA_DEMANDS!$F112,DEMANDS!$G$2:$CK$25,MATCH($E112,DEMANDS!$E$2:$E$25,0),FALSE)/HLOOKUP(2018,DEMANDS!$G$2:$CK$25,MATCH($E112,DEMANDS!$E$2:$E$25,0),FALSE)</f>
        <v>0.053919674514716867</v>
      </c>
      <c r="AE112" s="21">
        <f>HLOOKUP(REG_TRA_DEMANDS!AE$3,'BY-Demands'!$J$5:$AK$14,MATCH($E112,'BY-Demands'!$I$5:$I$14,0),FALSE)*HLOOKUP(REG_TRA_DEMANDS!$F112,DEMANDS!$G$2:$CK$25,MATCH($E112,DEMANDS!$E$2:$E$25,0),FALSE)/HLOOKUP(2018,DEMANDS!$G$2:$CK$25,MATCH($E112,DEMANDS!$E$2:$E$25,0),FALSE)</f>
        <v>0.11268090770514057</v>
      </c>
      <c r="AF112" s="21">
        <f>HLOOKUP(REG_TRA_DEMANDS!AF$3,'BY-Demands'!$J$5:$AK$14,MATCH($E112,'BY-Demands'!$I$5:$I$14,0),FALSE)*HLOOKUP(REG_TRA_DEMANDS!$F112,DEMANDS!$G$2:$CK$25,MATCH($E112,DEMANDS!$E$2:$E$25,0),FALSE)/HLOOKUP(2018,DEMANDS!$G$2:$CK$25,MATCH($E112,DEMANDS!$E$2:$E$25,0),FALSE)</f>
        <v>0.043450865623823776</v>
      </c>
    </row>
    <row r="113" spans="4:32" ht="14.5">
      <c r="D113" t="s">
        <v>6</v>
      </c>
      <c r="E113" t="str">
        <f>DEMANDS!$E$21</f>
        <v>TTURS</v>
      </c>
      <c r="F113">
        <v>2021</v>
      </c>
      <c r="G113" s="19">
        <f>HLOOKUP(REG_TRA_DEMANDS!G$3,'BY-Demands'!$J$5:$AK$14,MATCH($E113,'BY-Demands'!$I$5:$I$14,0),FALSE)*HLOOKUP(REG_TRA_DEMANDS!$F113,DEMANDS!$G$2:$CK$25,MATCH($E113,DEMANDS!$E$2:$E$25,0),FALSE)/HLOOKUP(2018,DEMANDS!$G$2:$CK$25,MATCH($E113,DEMANDS!$E$2:$E$25,0),FALSE)</f>
        <v>0.10300786940522516</v>
      </c>
      <c r="H113" s="19">
        <f>HLOOKUP(REG_TRA_DEMANDS!H$3,'BY-Demands'!$J$5:$AK$14,MATCH($E113,'BY-Demands'!$I$5:$I$14,0),FALSE)*HLOOKUP(REG_TRA_DEMANDS!$F113,DEMANDS!$G$2:$CK$25,MATCH($E113,DEMANDS!$E$2:$E$25,0),FALSE)/HLOOKUP(2018,DEMANDS!$G$2:$CK$25,MATCH($E113,DEMANDS!$E$2:$E$25,0),FALSE)</f>
        <v>2.4377956143110233</v>
      </c>
      <c r="I113" s="19">
        <f>HLOOKUP(REG_TRA_DEMANDS!I$3,'BY-Demands'!$J$5:$AK$14,MATCH($E113,'BY-Demands'!$I$5:$I$14,0),FALSE)*HLOOKUP(REG_TRA_DEMANDS!$F113,DEMANDS!$G$2:$CK$25,MATCH($E113,DEMANDS!$E$2:$E$25,0),FALSE)/HLOOKUP(2018,DEMANDS!$G$2:$CK$25,MATCH($E113,DEMANDS!$E$2:$E$25,0),FALSE)</f>
        <v>0.40257962084838445</v>
      </c>
      <c r="J113" s="19">
        <f>HLOOKUP(REG_TRA_DEMANDS!J$3,'BY-Demands'!$J$5:$AK$14,MATCH($E113,'BY-Demands'!$I$5:$I$14,0),FALSE)*HLOOKUP(REG_TRA_DEMANDS!$F113,DEMANDS!$G$2:$CK$25,MATCH($E113,DEMANDS!$E$2:$E$25,0),FALSE)/HLOOKUP(2018,DEMANDS!$G$2:$CK$25,MATCH($E113,DEMANDS!$E$2:$E$25,0),FALSE)</f>
        <v>0.1795418551398037</v>
      </c>
      <c r="K113" s="19">
        <f>HLOOKUP(REG_TRA_DEMANDS!K$3,'BY-Demands'!$J$5:$AK$14,MATCH($E113,'BY-Demands'!$I$5:$I$14,0),FALSE)*HLOOKUP(REG_TRA_DEMANDS!$F113,DEMANDS!$G$2:$CK$25,MATCH($E113,DEMANDS!$E$2:$E$25,0),FALSE)/HLOOKUP(2018,DEMANDS!$G$2:$CK$25,MATCH($E113,DEMANDS!$E$2:$E$25,0),FALSE)</f>
        <v>0.15324347493526222</v>
      </c>
      <c r="L113" s="19">
        <f>HLOOKUP(REG_TRA_DEMANDS!L$3,'BY-Demands'!$J$5:$AK$14,MATCH($E113,'BY-Demands'!$I$5:$I$14,0),FALSE)*HLOOKUP(REG_TRA_DEMANDS!$F113,DEMANDS!$G$2:$CK$25,MATCH($E113,DEMANDS!$E$2:$E$25,0),FALSE)/HLOOKUP(2018,DEMANDS!$G$2:$CK$25,MATCH($E113,DEMANDS!$E$2:$E$25,0),FALSE)</f>
        <v>0.073952094537338697</v>
      </c>
      <c r="M113" s="19">
        <f>HLOOKUP(REG_TRA_DEMANDS!M$3,'BY-Demands'!$J$5:$AK$14,MATCH($E113,'BY-Demands'!$I$5:$I$14,0),FALSE)*HLOOKUP(REG_TRA_DEMANDS!$F113,DEMANDS!$G$2:$CK$25,MATCH($E113,DEMANDS!$E$2:$E$25,0),FALSE)/HLOOKUP(2018,DEMANDS!$G$2:$CK$25,MATCH($E113,DEMANDS!$E$2:$E$25,0),FALSE)</f>
        <v>0.23319163634551807</v>
      </c>
      <c r="N113" s="19">
        <f>HLOOKUP(REG_TRA_DEMANDS!N$3,'BY-Demands'!$J$5:$AK$14,MATCH($E113,'BY-Demands'!$I$5:$I$14,0),FALSE)*HLOOKUP(REG_TRA_DEMANDS!$F113,DEMANDS!$G$2:$CK$25,MATCH($E113,DEMANDS!$E$2:$E$25,0),FALSE)/HLOOKUP(2018,DEMANDS!$G$2:$CK$25,MATCH($E113,DEMANDS!$E$2:$E$25,0),FALSE)</f>
        <v>0.35289585611383317</v>
      </c>
      <c r="O113" s="19">
        <f>HLOOKUP(REG_TRA_DEMANDS!O$3,'BY-Demands'!$J$5:$AK$14,MATCH($E113,'BY-Demands'!$I$5:$I$14,0),FALSE)*HLOOKUP(REG_TRA_DEMANDS!$F113,DEMANDS!$G$2:$CK$25,MATCH($E113,DEMANDS!$E$2:$E$25,0),FALSE)/HLOOKUP(2018,DEMANDS!$G$2:$CK$25,MATCH($E113,DEMANDS!$E$2:$E$25,0),FALSE)</f>
        <v>0.14105593526840385</v>
      </c>
      <c r="P113" s="19">
        <f>HLOOKUP(REG_TRA_DEMANDS!P$3,'BY-Demands'!$J$5:$AK$14,MATCH($E113,'BY-Demands'!$I$5:$I$14,0),FALSE)*HLOOKUP(REG_TRA_DEMANDS!$F113,DEMANDS!$G$2:$CK$25,MATCH($E113,DEMANDS!$E$2:$E$25,0),FALSE)/HLOOKUP(2018,DEMANDS!$G$2:$CK$25,MATCH($E113,DEMANDS!$E$2:$E$25,0),FALSE)</f>
        <v>0.16061281119760137</v>
      </c>
      <c r="Q113" s="19">
        <f>HLOOKUP(REG_TRA_DEMANDS!Q$3,'BY-Demands'!$J$5:$AK$14,MATCH($E113,'BY-Demands'!$I$5:$I$14,0),FALSE)*HLOOKUP(REG_TRA_DEMANDS!$F113,DEMANDS!$G$2:$CK$25,MATCH($E113,DEMANDS!$E$2:$E$25,0),FALSE)/HLOOKUP(2018,DEMANDS!$G$2:$CK$25,MATCH($E113,DEMANDS!$E$2:$E$25,0),FALSE)</f>
        <v>0.27089412321873685</v>
      </c>
      <c r="R113" s="19">
        <f>HLOOKUP(REG_TRA_DEMANDS!R$3,'BY-Demands'!$J$5:$AK$14,MATCH($E113,'BY-Demands'!$I$5:$I$14,0),FALSE)*HLOOKUP(REG_TRA_DEMANDS!$F113,DEMANDS!$G$2:$CK$25,MATCH($E113,DEMANDS!$E$2:$E$25,0),FALSE)/HLOOKUP(2018,DEMANDS!$G$2:$CK$25,MATCH($E113,DEMANDS!$E$2:$E$25,0),FALSE)</f>
        <v>0.25769155835100138</v>
      </c>
      <c r="S113" s="19">
        <f>HLOOKUP(REG_TRA_DEMANDS!S$3,'BY-Demands'!$J$5:$AK$14,MATCH($E113,'BY-Demands'!$I$5:$I$14,0),FALSE)*HLOOKUP(REG_TRA_DEMANDS!$F113,DEMANDS!$G$2:$CK$25,MATCH($E113,DEMANDS!$E$2:$E$25,0),FALSE)/HLOOKUP(2018,DEMANDS!$G$2:$CK$25,MATCH($E113,DEMANDS!$E$2:$E$25,0),FALSE)</f>
        <v>0.21497727146632192</v>
      </c>
      <c r="T113" s="19">
        <f>HLOOKUP(REG_TRA_DEMANDS!T$3,'BY-Demands'!$J$5:$AK$14,MATCH($E113,'BY-Demands'!$I$5:$I$14,0),FALSE)*HLOOKUP(REG_TRA_DEMANDS!$F113,DEMANDS!$G$2:$CK$25,MATCH($E113,DEMANDS!$E$2:$E$25,0),FALSE)/HLOOKUP(2018,DEMANDS!$G$2:$CK$25,MATCH($E113,DEMANDS!$E$2:$E$25,0),FALSE)</f>
        <v>0.98221871791392867</v>
      </c>
      <c r="U113" s="19">
        <f>HLOOKUP(REG_TRA_DEMANDS!U$3,'BY-Demands'!$J$5:$AK$14,MATCH($E113,'BY-Demands'!$I$5:$I$14,0),FALSE)*HLOOKUP(REG_TRA_DEMANDS!$F113,DEMANDS!$G$2:$CK$25,MATCH($E113,DEMANDS!$E$2:$E$25,0),FALSE)/HLOOKUP(2018,DEMANDS!$G$2:$CK$25,MATCH($E113,DEMANDS!$E$2:$E$25,0),FALSE)</f>
        <v>0.26724835534036395</v>
      </c>
      <c r="V113" s="19">
        <f>HLOOKUP(REG_TRA_DEMANDS!V$3,'BY-Demands'!$J$5:$AK$14,MATCH($E113,'BY-Demands'!$I$5:$I$14,0),FALSE)*HLOOKUP(REG_TRA_DEMANDS!$F113,DEMANDS!$G$2:$CK$25,MATCH($E113,DEMANDS!$E$2:$E$25,0),FALSE)/HLOOKUP(2018,DEMANDS!$G$2:$CK$25,MATCH($E113,DEMANDS!$E$2:$E$25,0),FALSE)</f>
        <v>0.35263350557171685</v>
      </c>
      <c r="W113" s="19">
        <f>HLOOKUP(REG_TRA_DEMANDS!W$3,'BY-Demands'!$J$5:$AK$14,MATCH($E113,'BY-Demands'!$I$5:$I$14,0),FALSE)*HLOOKUP(REG_TRA_DEMANDS!$F113,DEMANDS!$G$2:$CK$25,MATCH($E113,DEMANDS!$E$2:$E$25,0),FALSE)/HLOOKUP(2018,DEMANDS!$G$2:$CK$25,MATCH($E113,DEMANDS!$E$2:$E$25,0),FALSE)</f>
        <v>0.28868148997421322</v>
      </c>
      <c r="X113" s="19">
        <f>HLOOKUP(REG_TRA_DEMANDS!X$3,'BY-Demands'!$J$5:$AK$14,MATCH($E113,'BY-Demands'!$I$5:$I$14,0),FALSE)*HLOOKUP(REG_TRA_DEMANDS!$F113,DEMANDS!$G$2:$CK$25,MATCH($E113,DEMANDS!$E$2:$E$25,0),FALSE)/HLOOKUP(2018,DEMANDS!$G$2:$CK$25,MATCH($E113,DEMANDS!$E$2:$E$25,0),FALSE)</f>
        <v>0.21019887297164064</v>
      </c>
      <c r="Y113" s="19">
        <f>HLOOKUP(REG_TRA_DEMANDS!Y$3,'BY-Demands'!$J$5:$AK$14,MATCH($E113,'BY-Demands'!$I$5:$I$14,0),FALSE)*HLOOKUP(REG_TRA_DEMANDS!$F113,DEMANDS!$G$2:$CK$25,MATCH($E113,DEMANDS!$E$2:$E$25,0),FALSE)/HLOOKUP(2018,DEMANDS!$G$2:$CK$25,MATCH($E113,DEMANDS!$E$2:$E$25,0),FALSE)</f>
        <v>0.46690797377526899</v>
      </c>
      <c r="Z113" s="19">
        <f>HLOOKUP(REG_TRA_DEMANDS!Z$3,'BY-Demands'!$J$5:$AK$14,MATCH($E113,'BY-Demands'!$I$5:$I$14,0),FALSE)*HLOOKUP(REG_TRA_DEMANDS!$F113,DEMANDS!$G$2:$CK$25,MATCH($E113,DEMANDS!$E$2:$E$25,0),FALSE)/HLOOKUP(2018,DEMANDS!$G$2:$CK$25,MATCH($E113,DEMANDS!$E$2:$E$25,0),FALSE)</f>
        <v>0.057977660493589413</v>
      </c>
      <c r="AA113" s="19">
        <f>HLOOKUP(REG_TRA_DEMANDS!AA$3,'BY-Demands'!$J$5:$AK$14,MATCH($E113,'BY-Demands'!$I$5:$I$14,0),FALSE)*HLOOKUP(REG_TRA_DEMANDS!$F113,DEMANDS!$G$2:$CK$25,MATCH($E113,DEMANDS!$E$2:$E$25,0),FALSE)/HLOOKUP(2018,DEMANDS!$G$2:$CK$25,MATCH($E113,DEMANDS!$E$2:$E$25,0),FALSE)</f>
        <v>0.2361281531031352</v>
      </c>
      <c r="AB113" s="19">
        <f>HLOOKUP(REG_TRA_DEMANDS!AB$3,'BY-Demands'!$J$5:$AK$14,MATCH($E113,'BY-Demands'!$I$5:$I$14,0),FALSE)*HLOOKUP(REG_TRA_DEMANDS!$F113,DEMANDS!$G$2:$CK$25,MATCH($E113,DEMANDS!$E$2:$E$25,0),FALSE)/HLOOKUP(2018,DEMANDS!$G$2:$CK$25,MATCH($E113,DEMANDS!$E$2:$E$25,0),FALSE)</f>
        <v>0.11678036820928248</v>
      </c>
      <c r="AC113" s="19">
        <f>HLOOKUP(REG_TRA_DEMANDS!AC$3,'BY-Demands'!$J$5:$AK$14,MATCH($E113,'BY-Demands'!$I$5:$I$14,0),FALSE)*HLOOKUP(REG_TRA_DEMANDS!$F113,DEMANDS!$G$2:$CK$25,MATCH($E113,DEMANDS!$E$2:$E$25,0),FALSE)/HLOOKUP(2018,DEMANDS!$G$2:$CK$25,MATCH($E113,DEMANDS!$E$2:$E$25,0),FALSE)</f>
        <v>0.11857339846609016</v>
      </c>
      <c r="AD113" s="19">
        <f>HLOOKUP(REG_TRA_DEMANDS!AD$3,'BY-Demands'!$J$5:$AK$14,MATCH($E113,'BY-Demands'!$I$5:$I$14,0),FALSE)*HLOOKUP(REG_TRA_DEMANDS!$F113,DEMANDS!$G$2:$CK$25,MATCH($E113,DEMANDS!$E$2:$E$25,0),FALSE)/HLOOKUP(2018,DEMANDS!$G$2:$CK$25,MATCH($E113,DEMANDS!$E$2:$E$25,0),FALSE)</f>
        <v>0.13782630962924983</v>
      </c>
      <c r="AE113" s="19">
        <f>HLOOKUP(REG_TRA_DEMANDS!AE$3,'BY-Demands'!$J$5:$AK$14,MATCH($E113,'BY-Demands'!$I$5:$I$14,0),FALSE)*HLOOKUP(REG_TRA_DEMANDS!$F113,DEMANDS!$G$2:$CK$25,MATCH($E113,DEMANDS!$E$2:$E$25,0),FALSE)/HLOOKUP(2018,DEMANDS!$G$2:$CK$25,MATCH($E113,DEMANDS!$E$2:$E$25,0),FALSE)</f>
        <v>0.28802832759004793</v>
      </c>
      <c r="AF113" s="19">
        <f>HLOOKUP(REG_TRA_DEMANDS!AF$3,'BY-Demands'!$J$5:$AK$14,MATCH($E113,'BY-Demands'!$I$5:$I$14,0),FALSE)*HLOOKUP(REG_TRA_DEMANDS!$F113,DEMANDS!$G$2:$CK$25,MATCH($E113,DEMANDS!$E$2:$E$25,0),FALSE)/HLOOKUP(2018,DEMANDS!$G$2:$CK$25,MATCH($E113,DEMANDS!$E$2:$E$25,0),FALSE)</f>
        <v>0.11106655433340036</v>
      </c>
    </row>
    <row r="114" spans="4:32" ht="14.5">
      <c r="D114" t="s">
        <v>6</v>
      </c>
      <c r="E114" t="str">
        <f>DEMANDS!$E$21</f>
        <v>TTURS</v>
      </c>
      <c r="F114">
        <v>2022</v>
      </c>
      <c r="G114" s="19">
        <f>HLOOKUP(REG_TRA_DEMANDS!G$3,'BY-Demands'!$J$5:$AK$14,MATCH($E114,'BY-Demands'!$I$5:$I$14,0),FALSE)*HLOOKUP(REG_TRA_DEMANDS!$F114,DEMANDS!$G$2:$CK$25,MATCH($E114,DEMANDS!$E$2:$E$25,0),FALSE)/HLOOKUP(2018,DEMANDS!$G$2:$CK$25,MATCH($E114,DEMANDS!$E$2:$E$25,0),FALSE)</f>
        <v>0.091837705905009476</v>
      </c>
      <c r="H114" s="19">
        <f>HLOOKUP(REG_TRA_DEMANDS!H$3,'BY-Demands'!$J$5:$AK$14,MATCH($E114,'BY-Demands'!$I$5:$I$14,0),FALSE)*HLOOKUP(REG_TRA_DEMANDS!$F114,DEMANDS!$G$2:$CK$25,MATCH($E114,DEMANDS!$E$2:$E$25,0),FALSE)/HLOOKUP(2018,DEMANDS!$G$2:$CK$25,MATCH($E114,DEMANDS!$E$2:$E$25,0),FALSE)</f>
        <v>2.1734412911977099</v>
      </c>
      <c r="I114" s="19">
        <f>HLOOKUP(REG_TRA_DEMANDS!I$3,'BY-Demands'!$J$5:$AK$14,MATCH($E114,'BY-Demands'!$I$5:$I$14,0),FALSE)*HLOOKUP(REG_TRA_DEMANDS!$F114,DEMANDS!$G$2:$CK$25,MATCH($E114,DEMANDS!$E$2:$E$25,0),FALSE)/HLOOKUP(2018,DEMANDS!$G$2:$CK$25,MATCH($E114,DEMANDS!$E$2:$E$25,0),FALSE)</f>
        <v>0.35892392529136918</v>
      </c>
      <c r="J114" s="19">
        <f>HLOOKUP(REG_TRA_DEMANDS!J$3,'BY-Demands'!$J$5:$AK$14,MATCH($E114,'BY-Demands'!$I$5:$I$14,0),FALSE)*HLOOKUP(REG_TRA_DEMANDS!$F114,DEMANDS!$G$2:$CK$25,MATCH($E114,DEMANDS!$E$2:$E$25,0),FALSE)/HLOOKUP(2018,DEMANDS!$G$2:$CK$25,MATCH($E114,DEMANDS!$E$2:$E$25,0),FALSE)</f>
        <v>0.16007235355100646</v>
      </c>
      <c r="K114" s="19">
        <f>HLOOKUP(REG_TRA_DEMANDS!K$3,'BY-Demands'!$J$5:$AK$14,MATCH($E114,'BY-Demands'!$I$5:$I$14,0),FALSE)*HLOOKUP(REG_TRA_DEMANDS!$F114,DEMANDS!$G$2:$CK$25,MATCH($E114,DEMANDS!$E$2:$E$25,0),FALSE)/HLOOKUP(2018,DEMANDS!$G$2:$CK$25,MATCH($E114,DEMANDS!$E$2:$E$25,0),FALSE)</f>
        <v>0.1366257671790308</v>
      </c>
      <c r="L114" s="19">
        <f>HLOOKUP(REG_TRA_DEMANDS!L$3,'BY-Demands'!$J$5:$AK$14,MATCH($E114,'BY-Demands'!$I$5:$I$14,0),FALSE)*HLOOKUP(REG_TRA_DEMANDS!$F114,DEMANDS!$G$2:$CK$25,MATCH($E114,DEMANDS!$E$2:$E$25,0),FALSE)/HLOOKUP(2018,DEMANDS!$G$2:$CK$25,MATCH($E114,DEMANDS!$E$2:$E$25,0),FALSE)</f>
        <v>0.065932736483093002</v>
      </c>
      <c r="M114" s="19">
        <f>HLOOKUP(REG_TRA_DEMANDS!M$3,'BY-Demands'!$J$5:$AK$14,MATCH($E114,'BY-Demands'!$I$5:$I$14,0),FALSE)*HLOOKUP(REG_TRA_DEMANDS!$F114,DEMANDS!$G$2:$CK$25,MATCH($E114,DEMANDS!$E$2:$E$25,0),FALSE)/HLOOKUP(2018,DEMANDS!$G$2:$CK$25,MATCH($E114,DEMANDS!$E$2:$E$25,0),FALSE)</f>
        <v>0.20790435761717901</v>
      </c>
      <c r="N114" s="19">
        <f>HLOOKUP(REG_TRA_DEMANDS!N$3,'BY-Demands'!$J$5:$AK$14,MATCH($E114,'BY-Demands'!$I$5:$I$14,0),FALSE)*HLOOKUP(REG_TRA_DEMANDS!$F114,DEMANDS!$G$2:$CK$25,MATCH($E114,DEMANDS!$E$2:$E$25,0),FALSE)/HLOOKUP(2018,DEMANDS!$G$2:$CK$25,MATCH($E114,DEMANDS!$E$2:$E$25,0),FALSE)</f>
        <v>0.31462786324978359</v>
      </c>
      <c r="O114" s="19">
        <f>HLOOKUP(REG_TRA_DEMANDS!O$3,'BY-Demands'!$J$5:$AK$14,MATCH($E114,'BY-Demands'!$I$5:$I$14,0),FALSE)*HLOOKUP(REG_TRA_DEMANDS!$F114,DEMANDS!$G$2:$CK$25,MATCH($E114,DEMANDS!$E$2:$E$25,0),FALSE)/HLOOKUP(2018,DEMANDS!$G$2:$CK$25,MATCH($E114,DEMANDS!$E$2:$E$25,0),FALSE)</f>
        <v>0.12575984314727132</v>
      </c>
      <c r="P114" s="19">
        <f>HLOOKUP(REG_TRA_DEMANDS!P$3,'BY-Demands'!$J$5:$AK$14,MATCH($E114,'BY-Demands'!$I$5:$I$14,0),FALSE)*HLOOKUP(REG_TRA_DEMANDS!$F114,DEMANDS!$G$2:$CK$25,MATCH($E114,DEMANDS!$E$2:$E$25,0),FALSE)/HLOOKUP(2018,DEMANDS!$G$2:$CK$25,MATCH($E114,DEMANDS!$E$2:$E$25,0),FALSE)</f>
        <v>0.1431959733223441</v>
      </c>
      <c r="Q114" s="19">
        <f>HLOOKUP(REG_TRA_DEMANDS!Q$3,'BY-Demands'!$J$5:$AK$14,MATCH($E114,'BY-Demands'!$I$5:$I$14,0),FALSE)*HLOOKUP(REG_TRA_DEMANDS!$F114,DEMANDS!$G$2:$CK$25,MATCH($E114,DEMANDS!$E$2:$E$25,0),FALSE)/HLOOKUP(2018,DEMANDS!$G$2:$CK$25,MATCH($E114,DEMANDS!$E$2:$E$25,0),FALSE)</f>
        <v>0.24151839042207951</v>
      </c>
      <c r="R114" s="19">
        <f>HLOOKUP(REG_TRA_DEMANDS!R$3,'BY-Demands'!$J$5:$AK$14,MATCH($E114,'BY-Demands'!$I$5:$I$14,0),FALSE)*HLOOKUP(REG_TRA_DEMANDS!$F114,DEMANDS!$G$2:$CK$25,MATCH($E114,DEMANDS!$E$2:$E$25,0),FALSE)/HLOOKUP(2018,DEMANDS!$G$2:$CK$25,MATCH($E114,DEMANDS!$E$2:$E$25,0),FALSE)</f>
        <v>0.22974751042508584</v>
      </c>
      <c r="S114" s="19">
        <f>HLOOKUP(REG_TRA_DEMANDS!S$3,'BY-Demands'!$J$5:$AK$14,MATCH($E114,'BY-Demands'!$I$5:$I$14,0),FALSE)*HLOOKUP(REG_TRA_DEMANDS!$F114,DEMANDS!$G$2:$CK$25,MATCH($E114,DEMANDS!$E$2:$E$25,0),FALSE)/HLOOKUP(2018,DEMANDS!$G$2:$CK$25,MATCH($E114,DEMANDS!$E$2:$E$25,0),FALSE)</f>
        <v>0.19166515672232687</v>
      </c>
      <c r="T114" s="19">
        <f>HLOOKUP(REG_TRA_DEMANDS!T$3,'BY-Demands'!$J$5:$AK$14,MATCH($E114,'BY-Demands'!$I$5:$I$14,0),FALSE)*HLOOKUP(REG_TRA_DEMANDS!$F114,DEMANDS!$G$2:$CK$25,MATCH($E114,DEMANDS!$E$2:$E$25,0),FALSE)/HLOOKUP(2018,DEMANDS!$G$2:$CK$25,MATCH($E114,DEMANDS!$E$2:$E$25,0),FALSE)</f>
        <v>0.87570701414390317</v>
      </c>
      <c r="U114" s="19">
        <f>HLOOKUP(REG_TRA_DEMANDS!U$3,'BY-Demands'!$J$5:$AK$14,MATCH($E114,'BY-Demands'!$I$5:$I$14,0),FALSE)*HLOOKUP(REG_TRA_DEMANDS!$F114,DEMANDS!$G$2:$CK$25,MATCH($E114,DEMANDS!$E$2:$E$25,0),FALSE)/HLOOKUP(2018,DEMANDS!$G$2:$CK$25,MATCH($E114,DEMANDS!$E$2:$E$25,0),FALSE)</f>
        <v>0.23826796926352917</v>
      </c>
      <c r="V114" s="19">
        <f>HLOOKUP(REG_TRA_DEMANDS!V$3,'BY-Demands'!$J$5:$AK$14,MATCH($E114,'BY-Demands'!$I$5:$I$14,0),FALSE)*HLOOKUP(REG_TRA_DEMANDS!$F114,DEMANDS!$G$2:$CK$25,MATCH($E114,DEMANDS!$E$2:$E$25,0),FALSE)/HLOOKUP(2018,DEMANDS!$G$2:$CK$25,MATCH($E114,DEMANDS!$E$2:$E$25,0),FALSE)</f>
        <v>0.3143939619753468</v>
      </c>
      <c r="W114" s="19">
        <f>HLOOKUP(REG_TRA_DEMANDS!W$3,'BY-Demands'!$J$5:$AK$14,MATCH($E114,'BY-Demands'!$I$5:$I$14,0),FALSE)*HLOOKUP(REG_TRA_DEMANDS!$F114,DEMANDS!$G$2:$CK$25,MATCH($E114,DEMANDS!$E$2:$E$25,0),FALSE)/HLOOKUP(2018,DEMANDS!$G$2:$CK$25,MATCH($E114,DEMANDS!$E$2:$E$25,0),FALSE)</f>
        <v>0.25737689682888343</v>
      </c>
      <c r="X114" s="19">
        <f>HLOOKUP(REG_TRA_DEMANDS!X$3,'BY-Demands'!$J$5:$AK$14,MATCH($E114,'BY-Demands'!$I$5:$I$14,0),FALSE)*HLOOKUP(REG_TRA_DEMANDS!$F114,DEMANDS!$G$2:$CK$25,MATCH($E114,DEMANDS!$E$2:$E$25,0),FALSE)/HLOOKUP(2018,DEMANDS!$G$2:$CK$25,MATCH($E114,DEMANDS!$E$2:$E$25,0),FALSE)</f>
        <v>0.18740492730310521</v>
      </c>
      <c r="Y114" s="19">
        <f>HLOOKUP(REG_TRA_DEMANDS!Y$3,'BY-Demands'!$J$5:$AK$14,MATCH($E114,'BY-Demands'!$I$5:$I$14,0),FALSE)*HLOOKUP(REG_TRA_DEMANDS!$F114,DEMANDS!$G$2:$CK$25,MATCH($E114,DEMANDS!$E$2:$E$25,0),FALSE)/HLOOKUP(2018,DEMANDS!$G$2:$CK$25,MATCH($E114,DEMANDS!$E$2:$E$25,0),FALSE)</f>
        <v>0.41627651778323177</v>
      </c>
      <c r="Z114" s="19">
        <f>HLOOKUP(REG_TRA_DEMANDS!Z$3,'BY-Demands'!$J$5:$AK$14,MATCH($E114,'BY-Demands'!$I$5:$I$14,0),FALSE)*HLOOKUP(REG_TRA_DEMANDS!$F114,DEMANDS!$G$2:$CK$25,MATCH($E114,DEMANDS!$E$2:$E$25,0),FALSE)/HLOOKUP(2018,DEMANDS!$G$2:$CK$25,MATCH($E114,DEMANDS!$E$2:$E$25,0),FALSE)</f>
        <v>0.051690568538258291</v>
      </c>
      <c r="AA114" s="19">
        <f>HLOOKUP(REG_TRA_DEMANDS!AA$3,'BY-Demands'!$J$5:$AK$14,MATCH($E114,'BY-Demands'!$I$5:$I$14,0),FALSE)*HLOOKUP(REG_TRA_DEMANDS!$F114,DEMANDS!$G$2:$CK$25,MATCH($E114,DEMANDS!$E$2:$E$25,0),FALSE)/HLOOKUP(2018,DEMANDS!$G$2:$CK$25,MATCH($E114,DEMANDS!$E$2:$E$25,0),FALSE)</f>
        <v>0.21052243877863147</v>
      </c>
      <c r="AB114" s="19">
        <f>HLOOKUP(REG_TRA_DEMANDS!AB$3,'BY-Demands'!$J$5:$AK$14,MATCH($E114,'BY-Demands'!$I$5:$I$14,0),FALSE)*HLOOKUP(REG_TRA_DEMANDS!$F114,DEMANDS!$G$2:$CK$25,MATCH($E114,DEMANDS!$E$2:$E$25,0),FALSE)/HLOOKUP(2018,DEMANDS!$G$2:$CK$25,MATCH($E114,DEMANDS!$E$2:$E$25,0),FALSE)</f>
        <v>0.10411671625681421</v>
      </c>
      <c r="AC114" s="19">
        <f>HLOOKUP(REG_TRA_DEMANDS!AC$3,'BY-Demands'!$J$5:$AK$14,MATCH($E114,'BY-Demands'!$I$5:$I$14,0),FALSE)*HLOOKUP(REG_TRA_DEMANDS!$F114,DEMANDS!$G$2:$CK$25,MATCH($E114,DEMANDS!$E$2:$E$25,0),FALSE)/HLOOKUP(2018,DEMANDS!$G$2:$CK$25,MATCH($E114,DEMANDS!$E$2:$E$25,0),FALSE)</f>
        <v>0.10571531048417072</v>
      </c>
      <c r="AD114" s="19">
        <f>HLOOKUP(REG_TRA_DEMANDS!AD$3,'BY-Demands'!$J$5:$AK$14,MATCH($E114,'BY-Demands'!$I$5:$I$14,0),FALSE)*HLOOKUP(REG_TRA_DEMANDS!$F114,DEMANDS!$G$2:$CK$25,MATCH($E114,DEMANDS!$E$2:$E$25,0),FALSE)/HLOOKUP(2018,DEMANDS!$G$2:$CK$25,MATCH($E114,DEMANDS!$E$2:$E$25,0),FALSE)</f>
        <v>0.12288043780334469</v>
      </c>
      <c r="AE114" s="19">
        <f>HLOOKUP(REG_TRA_DEMANDS!AE$3,'BY-Demands'!$J$5:$AK$14,MATCH($E114,'BY-Demands'!$I$5:$I$14,0),FALSE)*HLOOKUP(REG_TRA_DEMANDS!$F114,DEMANDS!$G$2:$CK$25,MATCH($E114,DEMANDS!$E$2:$E$25,0),FALSE)/HLOOKUP(2018,DEMANDS!$G$2:$CK$25,MATCH($E114,DEMANDS!$E$2:$E$25,0),FALSE)</f>
        <v>0.25679456331114792</v>
      </c>
      <c r="AF114" s="19">
        <f>HLOOKUP(REG_TRA_DEMANDS!AF$3,'BY-Demands'!$J$5:$AK$14,MATCH($E114,'BY-Demands'!$I$5:$I$14,0),FALSE)*HLOOKUP(REG_TRA_DEMANDS!$F114,DEMANDS!$G$2:$CK$25,MATCH($E114,DEMANDS!$E$2:$E$25,0),FALSE)/HLOOKUP(2018,DEMANDS!$G$2:$CK$25,MATCH($E114,DEMANDS!$E$2:$E$25,0),FALSE)</f>
        <v>0.099022507810807792</v>
      </c>
    </row>
    <row r="115" spans="4:32" ht="14.5">
      <c r="D115" t="s">
        <v>6</v>
      </c>
      <c r="E115" t="str">
        <f>DEMANDS!$E$21</f>
        <v>TTURS</v>
      </c>
      <c r="F115">
        <v>2023</v>
      </c>
      <c r="G115" s="19">
        <f>HLOOKUP(REG_TRA_DEMANDS!G$3,'BY-Demands'!$J$5:$AK$14,MATCH($E115,'BY-Demands'!$I$5:$I$14,0),FALSE)*HLOOKUP(REG_TRA_DEMANDS!$F115,DEMANDS!$G$2:$CK$25,MATCH($E115,DEMANDS!$E$2:$E$25,0),FALSE)/HLOOKUP(2018,DEMANDS!$G$2:$CK$25,MATCH($E115,DEMANDS!$E$2:$E$25,0),FALSE)</f>
        <v>0.080667542404793777</v>
      </c>
      <c r="H115" s="19">
        <f>HLOOKUP(REG_TRA_DEMANDS!H$3,'BY-Demands'!$J$5:$AK$14,MATCH($E115,'BY-Demands'!$I$5:$I$14,0),FALSE)*HLOOKUP(REG_TRA_DEMANDS!$F115,DEMANDS!$G$2:$CK$25,MATCH($E115,DEMANDS!$E$2:$E$25,0),FALSE)/HLOOKUP(2018,DEMANDS!$G$2:$CK$25,MATCH($E115,DEMANDS!$E$2:$E$25,0),FALSE)</f>
        <v>1.9090869680843967</v>
      </c>
      <c r="I115" s="19">
        <f>HLOOKUP(REG_TRA_DEMANDS!I$3,'BY-Demands'!$J$5:$AK$14,MATCH($E115,'BY-Demands'!$I$5:$I$14,0),FALSE)*HLOOKUP(REG_TRA_DEMANDS!$F115,DEMANDS!$G$2:$CK$25,MATCH($E115,DEMANDS!$E$2:$E$25,0),FALSE)/HLOOKUP(2018,DEMANDS!$G$2:$CK$25,MATCH($E115,DEMANDS!$E$2:$E$25,0),FALSE)</f>
        <v>0.31526822973435392</v>
      </c>
      <c r="J115" s="19">
        <f>HLOOKUP(REG_TRA_DEMANDS!J$3,'BY-Demands'!$J$5:$AK$14,MATCH($E115,'BY-Demands'!$I$5:$I$14,0),FALSE)*HLOOKUP(REG_TRA_DEMANDS!$F115,DEMANDS!$G$2:$CK$25,MATCH($E115,DEMANDS!$E$2:$E$25,0),FALSE)/HLOOKUP(2018,DEMANDS!$G$2:$CK$25,MATCH($E115,DEMANDS!$E$2:$E$25,0),FALSE)</f>
        <v>0.14060285196220926</v>
      </c>
      <c r="K115" s="19">
        <f>HLOOKUP(REG_TRA_DEMANDS!K$3,'BY-Demands'!$J$5:$AK$14,MATCH($E115,'BY-Demands'!$I$5:$I$14,0),FALSE)*HLOOKUP(REG_TRA_DEMANDS!$F115,DEMANDS!$G$2:$CK$25,MATCH($E115,DEMANDS!$E$2:$E$25,0),FALSE)/HLOOKUP(2018,DEMANDS!$G$2:$CK$25,MATCH($E115,DEMANDS!$E$2:$E$25,0),FALSE)</f>
        <v>0.12000805942279937</v>
      </c>
      <c r="L115" s="19">
        <f>HLOOKUP(REG_TRA_DEMANDS!L$3,'BY-Demands'!$J$5:$AK$14,MATCH($E115,'BY-Demands'!$I$5:$I$14,0),FALSE)*HLOOKUP(REG_TRA_DEMANDS!$F115,DEMANDS!$G$2:$CK$25,MATCH($E115,DEMANDS!$E$2:$E$25,0),FALSE)/HLOOKUP(2018,DEMANDS!$G$2:$CK$25,MATCH($E115,DEMANDS!$E$2:$E$25,0),FALSE)</f>
        <v>0.057913378428847313</v>
      </c>
      <c r="M115" s="19">
        <f>HLOOKUP(REG_TRA_DEMANDS!M$3,'BY-Demands'!$J$5:$AK$14,MATCH($E115,'BY-Demands'!$I$5:$I$14,0),FALSE)*HLOOKUP(REG_TRA_DEMANDS!$F115,DEMANDS!$G$2:$CK$25,MATCH($E115,DEMANDS!$E$2:$E$25,0),FALSE)/HLOOKUP(2018,DEMANDS!$G$2:$CK$25,MATCH($E115,DEMANDS!$E$2:$E$25,0),FALSE)</f>
        <v>0.18261707888883996</v>
      </c>
      <c r="N115" s="19">
        <f>HLOOKUP(REG_TRA_DEMANDS!N$3,'BY-Demands'!$J$5:$AK$14,MATCH($E115,'BY-Demands'!$I$5:$I$14,0),FALSE)*HLOOKUP(REG_TRA_DEMANDS!$F115,DEMANDS!$G$2:$CK$25,MATCH($E115,DEMANDS!$E$2:$E$25,0),FALSE)/HLOOKUP(2018,DEMANDS!$G$2:$CK$25,MATCH($E115,DEMANDS!$E$2:$E$25,0),FALSE)</f>
        <v>0.27635987038573406</v>
      </c>
      <c r="O115" s="19">
        <f>HLOOKUP(REG_TRA_DEMANDS!O$3,'BY-Demands'!$J$5:$AK$14,MATCH($E115,'BY-Demands'!$I$5:$I$14,0),FALSE)*HLOOKUP(REG_TRA_DEMANDS!$F115,DEMANDS!$G$2:$CK$25,MATCH($E115,DEMANDS!$E$2:$E$25,0),FALSE)/HLOOKUP(2018,DEMANDS!$G$2:$CK$25,MATCH($E115,DEMANDS!$E$2:$E$25,0),FALSE)</f>
        <v>0.1104637510261388</v>
      </c>
      <c r="P115" s="19">
        <f>HLOOKUP(REG_TRA_DEMANDS!P$3,'BY-Demands'!$J$5:$AK$14,MATCH($E115,'BY-Demands'!$I$5:$I$14,0),FALSE)*HLOOKUP(REG_TRA_DEMANDS!$F115,DEMANDS!$G$2:$CK$25,MATCH($E115,DEMANDS!$E$2:$E$25,0),FALSE)/HLOOKUP(2018,DEMANDS!$G$2:$CK$25,MATCH($E115,DEMANDS!$E$2:$E$25,0),FALSE)</f>
        <v>0.12577913544708683</v>
      </c>
      <c r="Q115" s="19">
        <f>HLOOKUP(REG_TRA_DEMANDS!Q$3,'BY-Demands'!$J$5:$AK$14,MATCH($E115,'BY-Demands'!$I$5:$I$14,0),FALSE)*HLOOKUP(REG_TRA_DEMANDS!$F115,DEMANDS!$G$2:$CK$25,MATCH($E115,DEMANDS!$E$2:$E$25,0),FALSE)/HLOOKUP(2018,DEMANDS!$G$2:$CK$25,MATCH($E115,DEMANDS!$E$2:$E$25,0),FALSE)</f>
        <v>0.2121426576254222</v>
      </c>
      <c r="R115" s="19">
        <f>HLOOKUP(REG_TRA_DEMANDS!R$3,'BY-Demands'!$J$5:$AK$14,MATCH($E115,'BY-Demands'!$I$5:$I$14,0),FALSE)*HLOOKUP(REG_TRA_DEMANDS!$F115,DEMANDS!$G$2:$CK$25,MATCH($E115,DEMANDS!$E$2:$E$25,0),FALSE)/HLOOKUP(2018,DEMANDS!$G$2:$CK$25,MATCH($E115,DEMANDS!$E$2:$E$25,0),FALSE)</f>
        <v>0.20180346249917036</v>
      </c>
      <c r="S115" s="19">
        <f>HLOOKUP(REG_TRA_DEMANDS!S$3,'BY-Demands'!$J$5:$AK$14,MATCH($E115,'BY-Demands'!$I$5:$I$14,0),FALSE)*HLOOKUP(REG_TRA_DEMANDS!$F115,DEMANDS!$G$2:$CK$25,MATCH($E115,DEMANDS!$E$2:$E$25,0),FALSE)/HLOOKUP(2018,DEMANDS!$G$2:$CK$25,MATCH($E115,DEMANDS!$E$2:$E$25,0),FALSE)</f>
        <v>0.16835304197833179</v>
      </c>
      <c r="T115" s="19">
        <f>HLOOKUP(REG_TRA_DEMANDS!T$3,'BY-Demands'!$J$5:$AK$14,MATCH($E115,'BY-Demands'!$I$5:$I$14,0),FALSE)*HLOOKUP(REG_TRA_DEMANDS!$F115,DEMANDS!$G$2:$CK$25,MATCH($E115,DEMANDS!$E$2:$E$25,0),FALSE)/HLOOKUP(2018,DEMANDS!$G$2:$CK$25,MATCH($E115,DEMANDS!$E$2:$E$25,0),FALSE)</f>
        <v>0.76919531037387767</v>
      </c>
      <c r="U115" s="19">
        <f>HLOOKUP(REG_TRA_DEMANDS!U$3,'BY-Demands'!$J$5:$AK$14,MATCH($E115,'BY-Demands'!$I$5:$I$14,0),FALSE)*HLOOKUP(REG_TRA_DEMANDS!$F115,DEMANDS!$G$2:$CK$25,MATCH($E115,DEMANDS!$E$2:$E$25,0),FALSE)/HLOOKUP(2018,DEMANDS!$G$2:$CK$25,MATCH($E115,DEMANDS!$E$2:$E$25,0),FALSE)</f>
        <v>0.20928758318669435</v>
      </c>
      <c r="V115" s="19">
        <f>HLOOKUP(REG_TRA_DEMANDS!V$3,'BY-Demands'!$J$5:$AK$14,MATCH($E115,'BY-Demands'!$I$5:$I$14,0),FALSE)*HLOOKUP(REG_TRA_DEMANDS!$F115,DEMANDS!$G$2:$CK$25,MATCH($E115,DEMANDS!$E$2:$E$25,0),FALSE)/HLOOKUP(2018,DEMANDS!$G$2:$CK$25,MATCH($E115,DEMANDS!$E$2:$E$25,0),FALSE)</f>
        <v>0.27615441837897681</v>
      </c>
      <c r="W115" s="19">
        <f>HLOOKUP(REG_TRA_DEMANDS!W$3,'BY-Demands'!$J$5:$AK$14,MATCH($E115,'BY-Demands'!$I$5:$I$14,0),FALSE)*HLOOKUP(REG_TRA_DEMANDS!$F115,DEMANDS!$G$2:$CK$25,MATCH($E115,DEMANDS!$E$2:$E$25,0),FALSE)/HLOOKUP(2018,DEMANDS!$G$2:$CK$25,MATCH($E115,DEMANDS!$E$2:$E$25,0),FALSE)</f>
        <v>0.2260723036835536</v>
      </c>
      <c r="X115" s="19">
        <f>HLOOKUP(REG_TRA_DEMANDS!X$3,'BY-Demands'!$J$5:$AK$14,MATCH($E115,'BY-Demands'!$I$5:$I$14,0),FALSE)*HLOOKUP(REG_TRA_DEMANDS!$F115,DEMANDS!$G$2:$CK$25,MATCH($E115,DEMANDS!$E$2:$E$25,0),FALSE)/HLOOKUP(2018,DEMANDS!$G$2:$CK$25,MATCH($E115,DEMANDS!$E$2:$E$25,0),FALSE)</f>
        <v>0.16461098163456978</v>
      </c>
      <c r="Y115" s="19">
        <f>HLOOKUP(REG_TRA_DEMANDS!Y$3,'BY-Demands'!$J$5:$AK$14,MATCH($E115,'BY-Demands'!$I$5:$I$14,0),FALSE)*HLOOKUP(REG_TRA_DEMANDS!$F115,DEMANDS!$G$2:$CK$25,MATCH($E115,DEMANDS!$E$2:$E$25,0),FALSE)/HLOOKUP(2018,DEMANDS!$G$2:$CK$25,MATCH($E115,DEMANDS!$E$2:$E$25,0),FALSE)</f>
        <v>0.36564506179119455</v>
      </c>
      <c r="Z115" s="19">
        <f>HLOOKUP(REG_TRA_DEMANDS!Z$3,'BY-Demands'!$J$5:$AK$14,MATCH($E115,'BY-Demands'!$I$5:$I$14,0),FALSE)*HLOOKUP(REG_TRA_DEMANDS!$F115,DEMANDS!$G$2:$CK$25,MATCH($E115,DEMANDS!$E$2:$E$25,0),FALSE)/HLOOKUP(2018,DEMANDS!$G$2:$CK$25,MATCH($E115,DEMANDS!$E$2:$E$25,0),FALSE)</f>
        <v>0.04540347658292717</v>
      </c>
      <c r="AA115" s="19">
        <f>HLOOKUP(REG_TRA_DEMANDS!AA$3,'BY-Demands'!$J$5:$AK$14,MATCH($E115,'BY-Demands'!$I$5:$I$14,0),FALSE)*HLOOKUP(REG_TRA_DEMANDS!$F115,DEMANDS!$G$2:$CK$25,MATCH($E115,DEMANDS!$E$2:$E$25,0),FALSE)/HLOOKUP(2018,DEMANDS!$G$2:$CK$25,MATCH($E115,DEMANDS!$E$2:$E$25,0),FALSE)</f>
        <v>0.18491672445412774</v>
      </c>
      <c r="AB115" s="19">
        <f>HLOOKUP(REG_TRA_DEMANDS!AB$3,'BY-Demands'!$J$5:$AK$14,MATCH($E115,'BY-Demands'!$I$5:$I$14,0),FALSE)*HLOOKUP(REG_TRA_DEMANDS!$F115,DEMANDS!$G$2:$CK$25,MATCH($E115,DEMANDS!$E$2:$E$25,0),FALSE)/HLOOKUP(2018,DEMANDS!$G$2:$CK$25,MATCH($E115,DEMANDS!$E$2:$E$25,0),FALSE)</f>
        <v>0.091453064304345938</v>
      </c>
      <c r="AC115" s="19">
        <f>HLOOKUP(REG_TRA_DEMANDS!AC$3,'BY-Demands'!$J$5:$AK$14,MATCH($E115,'BY-Demands'!$I$5:$I$14,0),FALSE)*HLOOKUP(REG_TRA_DEMANDS!$F115,DEMANDS!$G$2:$CK$25,MATCH($E115,DEMANDS!$E$2:$E$25,0),FALSE)/HLOOKUP(2018,DEMANDS!$G$2:$CK$25,MATCH($E115,DEMANDS!$E$2:$E$25,0),FALSE)</f>
        <v>0.092857222502251313</v>
      </c>
      <c r="AD115" s="19">
        <f>HLOOKUP(REG_TRA_DEMANDS!AD$3,'BY-Demands'!$J$5:$AK$14,MATCH($E115,'BY-Demands'!$I$5:$I$14,0),FALSE)*HLOOKUP(REG_TRA_DEMANDS!$F115,DEMANDS!$G$2:$CK$25,MATCH($E115,DEMANDS!$E$2:$E$25,0),FALSE)/HLOOKUP(2018,DEMANDS!$G$2:$CK$25,MATCH($E115,DEMANDS!$E$2:$E$25,0),FALSE)</f>
        <v>0.10793456597743951</v>
      </c>
      <c r="AE115" s="19">
        <f>HLOOKUP(REG_TRA_DEMANDS!AE$3,'BY-Demands'!$J$5:$AK$14,MATCH($E115,'BY-Demands'!$I$5:$I$14,0),FALSE)*HLOOKUP(REG_TRA_DEMANDS!$F115,DEMANDS!$G$2:$CK$25,MATCH($E115,DEMANDS!$E$2:$E$25,0),FALSE)/HLOOKUP(2018,DEMANDS!$G$2:$CK$25,MATCH($E115,DEMANDS!$E$2:$E$25,0),FALSE)</f>
        <v>0.22556079903224788</v>
      </c>
      <c r="AF115" s="19">
        <f>HLOOKUP(REG_TRA_DEMANDS!AF$3,'BY-Demands'!$J$5:$AK$14,MATCH($E115,'BY-Demands'!$I$5:$I$14,0),FALSE)*HLOOKUP(REG_TRA_DEMANDS!$F115,DEMANDS!$G$2:$CK$25,MATCH($E115,DEMANDS!$E$2:$E$25,0),FALSE)/HLOOKUP(2018,DEMANDS!$G$2:$CK$25,MATCH($E115,DEMANDS!$E$2:$E$25,0),FALSE)</f>
        <v>0.086978461288215222</v>
      </c>
    </row>
    <row r="116" spans="4:32" ht="14.5">
      <c r="D116" t="s">
        <v>6</v>
      </c>
      <c r="E116" t="str">
        <f>DEMANDS!$E$21</f>
        <v>TTURS</v>
      </c>
      <c r="F116">
        <v>2024</v>
      </c>
      <c r="G116" s="19">
        <f>HLOOKUP(REG_TRA_DEMANDS!G$3,'BY-Demands'!$J$5:$AK$14,MATCH($E116,'BY-Demands'!$I$5:$I$14,0),FALSE)*HLOOKUP(REG_TRA_DEMANDS!$F116,DEMANDS!$G$2:$CK$25,MATCH($E116,DEMANDS!$E$2:$E$25,0),FALSE)/HLOOKUP(2018,DEMANDS!$G$2:$CK$25,MATCH($E116,DEMANDS!$E$2:$E$25,0),FALSE)</f>
        <v>0.069497378904578105</v>
      </c>
      <c r="H116" s="19">
        <f>HLOOKUP(REG_TRA_DEMANDS!H$3,'BY-Demands'!$J$5:$AK$14,MATCH($E116,'BY-Demands'!$I$5:$I$14,0),FALSE)*HLOOKUP(REG_TRA_DEMANDS!$F116,DEMANDS!$G$2:$CK$25,MATCH($E116,DEMANDS!$E$2:$E$25,0),FALSE)/HLOOKUP(2018,DEMANDS!$G$2:$CK$25,MATCH($E116,DEMANDS!$E$2:$E$25,0),FALSE)</f>
        <v>1.6447326449710831</v>
      </c>
      <c r="I116" s="19">
        <f>HLOOKUP(REG_TRA_DEMANDS!I$3,'BY-Demands'!$J$5:$AK$14,MATCH($E116,'BY-Demands'!$I$5:$I$14,0),FALSE)*HLOOKUP(REG_TRA_DEMANDS!$F116,DEMANDS!$G$2:$CK$25,MATCH($E116,DEMANDS!$E$2:$E$25,0),FALSE)/HLOOKUP(2018,DEMANDS!$G$2:$CK$25,MATCH($E116,DEMANDS!$E$2:$E$25,0),FALSE)</f>
        <v>0.27161253417733866</v>
      </c>
      <c r="J116" s="19">
        <f>HLOOKUP(REG_TRA_DEMANDS!J$3,'BY-Demands'!$J$5:$AK$14,MATCH($E116,'BY-Demands'!$I$5:$I$14,0),FALSE)*HLOOKUP(REG_TRA_DEMANDS!$F116,DEMANDS!$G$2:$CK$25,MATCH($E116,DEMANDS!$E$2:$E$25,0),FALSE)/HLOOKUP(2018,DEMANDS!$G$2:$CK$25,MATCH($E116,DEMANDS!$E$2:$E$25,0),FALSE)</f>
        <v>0.12113335037341202</v>
      </c>
      <c r="K116" s="19">
        <f>HLOOKUP(REG_TRA_DEMANDS!K$3,'BY-Demands'!$J$5:$AK$14,MATCH($E116,'BY-Demands'!$I$5:$I$14,0),FALSE)*HLOOKUP(REG_TRA_DEMANDS!$F116,DEMANDS!$G$2:$CK$25,MATCH($E116,DEMANDS!$E$2:$E$25,0),FALSE)/HLOOKUP(2018,DEMANDS!$G$2:$CK$25,MATCH($E116,DEMANDS!$E$2:$E$25,0),FALSE)</f>
        <v>0.10339035166656793</v>
      </c>
      <c r="L116" s="19">
        <f>HLOOKUP(REG_TRA_DEMANDS!L$3,'BY-Demands'!$J$5:$AK$14,MATCH($E116,'BY-Demands'!$I$5:$I$14,0),FALSE)*HLOOKUP(REG_TRA_DEMANDS!$F116,DEMANDS!$G$2:$CK$25,MATCH($E116,DEMANDS!$E$2:$E$25,0),FALSE)/HLOOKUP(2018,DEMANDS!$G$2:$CK$25,MATCH($E116,DEMANDS!$E$2:$E$25,0),FALSE)</f>
        <v>0.049894020374601618</v>
      </c>
      <c r="M116" s="19">
        <f>HLOOKUP(REG_TRA_DEMANDS!M$3,'BY-Demands'!$J$5:$AK$14,MATCH($E116,'BY-Demands'!$I$5:$I$14,0),FALSE)*HLOOKUP(REG_TRA_DEMANDS!$F116,DEMANDS!$G$2:$CK$25,MATCH($E116,DEMANDS!$E$2:$E$25,0),FALSE)/HLOOKUP(2018,DEMANDS!$G$2:$CK$25,MATCH($E116,DEMANDS!$E$2:$E$25,0),FALSE)</f>
        <v>0.15732980016050091</v>
      </c>
      <c r="N116" s="19">
        <f>HLOOKUP(REG_TRA_DEMANDS!N$3,'BY-Demands'!$J$5:$AK$14,MATCH($E116,'BY-Demands'!$I$5:$I$14,0),FALSE)*HLOOKUP(REG_TRA_DEMANDS!$F116,DEMANDS!$G$2:$CK$25,MATCH($E116,DEMANDS!$E$2:$E$25,0),FALSE)/HLOOKUP(2018,DEMANDS!$G$2:$CK$25,MATCH($E116,DEMANDS!$E$2:$E$25,0),FALSE)</f>
        <v>0.23809187752168445</v>
      </c>
      <c r="O116" s="19">
        <f>HLOOKUP(REG_TRA_DEMANDS!O$3,'BY-Demands'!$J$5:$AK$14,MATCH($E116,'BY-Demands'!$I$5:$I$14,0),FALSE)*HLOOKUP(REG_TRA_DEMANDS!$F116,DEMANDS!$G$2:$CK$25,MATCH($E116,DEMANDS!$E$2:$E$25,0),FALSE)/HLOOKUP(2018,DEMANDS!$G$2:$CK$25,MATCH($E116,DEMANDS!$E$2:$E$25,0),FALSE)</f>
        <v>0.09516765890500628</v>
      </c>
      <c r="P116" s="19">
        <f>HLOOKUP(REG_TRA_DEMANDS!P$3,'BY-Demands'!$J$5:$AK$14,MATCH($E116,'BY-Demands'!$I$5:$I$14,0),FALSE)*HLOOKUP(REG_TRA_DEMANDS!$F116,DEMANDS!$G$2:$CK$25,MATCH($E116,DEMANDS!$E$2:$E$25,0),FALSE)/HLOOKUP(2018,DEMANDS!$G$2:$CK$25,MATCH($E116,DEMANDS!$E$2:$E$25,0),FALSE)</f>
        <v>0.10836229757182954</v>
      </c>
      <c r="Q116" s="19">
        <f>HLOOKUP(REG_TRA_DEMANDS!Q$3,'BY-Demands'!$J$5:$AK$14,MATCH($E116,'BY-Demands'!$I$5:$I$14,0),FALSE)*HLOOKUP(REG_TRA_DEMANDS!$F116,DEMANDS!$G$2:$CK$25,MATCH($E116,DEMANDS!$E$2:$E$25,0),FALSE)/HLOOKUP(2018,DEMANDS!$G$2:$CK$25,MATCH($E116,DEMANDS!$E$2:$E$25,0),FALSE)</f>
        <v>0.18276692482876489</v>
      </c>
      <c r="R116" s="19">
        <f>HLOOKUP(REG_TRA_DEMANDS!R$3,'BY-Demands'!$J$5:$AK$14,MATCH($E116,'BY-Demands'!$I$5:$I$14,0),FALSE)*HLOOKUP(REG_TRA_DEMANDS!$F116,DEMANDS!$G$2:$CK$25,MATCH($E116,DEMANDS!$E$2:$E$25,0),FALSE)/HLOOKUP(2018,DEMANDS!$G$2:$CK$25,MATCH($E116,DEMANDS!$E$2:$E$25,0),FALSE)</f>
        <v>0.17385941457325485</v>
      </c>
      <c r="S116" s="19">
        <f>HLOOKUP(REG_TRA_DEMANDS!S$3,'BY-Demands'!$J$5:$AK$14,MATCH($E116,'BY-Demands'!$I$5:$I$14,0),FALSE)*HLOOKUP(REG_TRA_DEMANDS!$F116,DEMANDS!$G$2:$CK$25,MATCH($E116,DEMANDS!$E$2:$E$25,0),FALSE)/HLOOKUP(2018,DEMANDS!$G$2:$CK$25,MATCH($E116,DEMANDS!$E$2:$E$25,0),FALSE)</f>
        <v>0.1450409272343367</v>
      </c>
      <c r="T116" s="19">
        <f>HLOOKUP(REG_TRA_DEMANDS!T$3,'BY-Demands'!$J$5:$AK$14,MATCH($E116,'BY-Demands'!$I$5:$I$14,0),FALSE)*HLOOKUP(REG_TRA_DEMANDS!$F116,DEMANDS!$G$2:$CK$25,MATCH($E116,DEMANDS!$E$2:$E$25,0),FALSE)/HLOOKUP(2018,DEMANDS!$G$2:$CK$25,MATCH($E116,DEMANDS!$E$2:$E$25,0),FALSE)</f>
        <v>0.66268360660385217</v>
      </c>
      <c r="U116" s="19">
        <f>HLOOKUP(REG_TRA_DEMANDS!U$3,'BY-Demands'!$J$5:$AK$14,MATCH($E116,'BY-Demands'!$I$5:$I$14,0),FALSE)*HLOOKUP(REG_TRA_DEMANDS!$F116,DEMANDS!$G$2:$CK$25,MATCH($E116,DEMANDS!$E$2:$E$25,0),FALSE)/HLOOKUP(2018,DEMANDS!$G$2:$CK$25,MATCH($E116,DEMANDS!$E$2:$E$25,0),FALSE)</f>
        <v>0.18030719710985951</v>
      </c>
      <c r="V116" s="19">
        <f>HLOOKUP(REG_TRA_DEMANDS!V$3,'BY-Demands'!$J$5:$AK$14,MATCH($E116,'BY-Demands'!$I$5:$I$14,0),FALSE)*HLOOKUP(REG_TRA_DEMANDS!$F116,DEMANDS!$G$2:$CK$25,MATCH($E116,DEMANDS!$E$2:$E$25,0),FALSE)/HLOOKUP(2018,DEMANDS!$G$2:$CK$25,MATCH($E116,DEMANDS!$E$2:$E$25,0),FALSE)</f>
        <v>0.23791487478260676</v>
      </c>
      <c r="W116" s="19">
        <f>HLOOKUP(REG_TRA_DEMANDS!W$3,'BY-Demands'!$J$5:$AK$14,MATCH($E116,'BY-Demands'!$I$5:$I$14,0),FALSE)*HLOOKUP(REG_TRA_DEMANDS!$F116,DEMANDS!$G$2:$CK$25,MATCH($E116,DEMANDS!$E$2:$E$25,0),FALSE)/HLOOKUP(2018,DEMANDS!$G$2:$CK$25,MATCH($E116,DEMANDS!$E$2:$E$25,0),FALSE)</f>
        <v>0.19476771053822381</v>
      </c>
      <c r="X116" s="19">
        <f>HLOOKUP(REG_TRA_DEMANDS!X$3,'BY-Demands'!$J$5:$AK$14,MATCH($E116,'BY-Demands'!$I$5:$I$14,0),FALSE)*HLOOKUP(REG_TRA_DEMANDS!$F116,DEMANDS!$G$2:$CK$25,MATCH($E116,DEMANDS!$E$2:$E$25,0),FALSE)/HLOOKUP(2018,DEMANDS!$G$2:$CK$25,MATCH($E116,DEMANDS!$E$2:$E$25,0),FALSE)</f>
        <v>0.14181703596603437</v>
      </c>
      <c r="Y116" s="19">
        <f>HLOOKUP(REG_TRA_DEMANDS!Y$3,'BY-Demands'!$J$5:$AK$14,MATCH($E116,'BY-Demands'!$I$5:$I$14,0),FALSE)*HLOOKUP(REG_TRA_DEMANDS!$F116,DEMANDS!$G$2:$CK$25,MATCH($E116,DEMANDS!$E$2:$E$25,0),FALSE)/HLOOKUP(2018,DEMANDS!$G$2:$CK$25,MATCH($E116,DEMANDS!$E$2:$E$25,0),FALSE)</f>
        <v>0.31501360579915738</v>
      </c>
      <c r="Z116" s="19">
        <f>HLOOKUP(REG_TRA_DEMANDS!Z$3,'BY-Demands'!$J$5:$AK$14,MATCH($E116,'BY-Demands'!$I$5:$I$14,0),FALSE)*HLOOKUP(REG_TRA_DEMANDS!$F116,DEMANDS!$G$2:$CK$25,MATCH($E116,DEMANDS!$E$2:$E$25,0),FALSE)/HLOOKUP(2018,DEMANDS!$G$2:$CK$25,MATCH($E116,DEMANDS!$E$2:$E$25,0),FALSE)</f>
        <v>0.039116384627596049</v>
      </c>
      <c r="AA116" s="19">
        <f>HLOOKUP(REG_TRA_DEMANDS!AA$3,'BY-Demands'!$J$5:$AK$14,MATCH($E116,'BY-Demands'!$I$5:$I$14,0),FALSE)*HLOOKUP(REG_TRA_DEMANDS!$F116,DEMANDS!$G$2:$CK$25,MATCH($E116,DEMANDS!$E$2:$E$25,0),FALSE)/HLOOKUP(2018,DEMANDS!$G$2:$CK$25,MATCH($E116,DEMANDS!$E$2:$E$25,0),FALSE)</f>
        <v>0.15931101012962401</v>
      </c>
      <c r="AB116" s="19">
        <f>HLOOKUP(REG_TRA_DEMANDS!AB$3,'BY-Demands'!$J$5:$AK$14,MATCH($E116,'BY-Demands'!$I$5:$I$14,0),FALSE)*HLOOKUP(REG_TRA_DEMANDS!$F116,DEMANDS!$G$2:$CK$25,MATCH($E116,DEMANDS!$E$2:$E$25,0),FALSE)/HLOOKUP(2018,DEMANDS!$G$2:$CK$25,MATCH($E116,DEMANDS!$E$2:$E$25,0),FALSE)</f>
        <v>0.078789412351877683</v>
      </c>
      <c r="AC116" s="19">
        <f>HLOOKUP(REG_TRA_DEMANDS!AC$3,'BY-Demands'!$J$5:$AK$14,MATCH($E116,'BY-Demands'!$I$5:$I$14,0),FALSE)*HLOOKUP(REG_TRA_DEMANDS!$F116,DEMANDS!$G$2:$CK$25,MATCH($E116,DEMANDS!$E$2:$E$25,0),FALSE)/HLOOKUP(2018,DEMANDS!$G$2:$CK$25,MATCH($E116,DEMANDS!$E$2:$E$25,0),FALSE)</f>
        <v>0.079999134520331888</v>
      </c>
      <c r="AD116" s="19">
        <f>HLOOKUP(REG_TRA_DEMANDS!AD$3,'BY-Demands'!$J$5:$AK$14,MATCH($E116,'BY-Demands'!$I$5:$I$14,0),FALSE)*HLOOKUP(REG_TRA_DEMANDS!$F116,DEMANDS!$G$2:$CK$25,MATCH($E116,DEMANDS!$E$2:$E$25,0),FALSE)/HLOOKUP(2018,DEMANDS!$G$2:$CK$25,MATCH($E116,DEMANDS!$E$2:$E$25,0),FALSE)</f>
        <v>0.092988694151534365</v>
      </c>
      <c r="AE116" s="19">
        <f>HLOOKUP(REG_TRA_DEMANDS!AE$3,'BY-Demands'!$J$5:$AK$14,MATCH($E116,'BY-Demands'!$I$5:$I$14,0),FALSE)*HLOOKUP(REG_TRA_DEMANDS!$F116,DEMANDS!$G$2:$CK$25,MATCH($E116,DEMANDS!$E$2:$E$25,0),FALSE)/HLOOKUP(2018,DEMANDS!$G$2:$CK$25,MATCH($E116,DEMANDS!$E$2:$E$25,0),FALSE)</f>
        <v>0.19432703475334784</v>
      </c>
      <c r="AF116" s="19">
        <f>HLOOKUP(REG_TRA_DEMANDS!AF$3,'BY-Demands'!$J$5:$AK$14,MATCH($E116,'BY-Demands'!$I$5:$I$14,0),FALSE)*HLOOKUP(REG_TRA_DEMANDS!$F116,DEMANDS!$G$2:$CK$25,MATCH($E116,DEMANDS!$E$2:$E$25,0),FALSE)/HLOOKUP(2018,DEMANDS!$G$2:$CK$25,MATCH($E116,DEMANDS!$E$2:$E$25,0),FALSE)</f>
        <v>0.074934414765622653</v>
      </c>
    </row>
    <row r="117" spans="4:32" ht="14.5">
      <c r="D117" t="s">
        <v>6</v>
      </c>
      <c r="E117" t="str">
        <f>DEMANDS!$E$21</f>
        <v>TTURS</v>
      </c>
      <c r="F117">
        <v>2025</v>
      </c>
      <c r="G117" s="19">
        <f>HLOOKUP(REG_TRA_DEMANDS!G$3,'BY-Demands'!$J$5:$AK$14,MATCH($E117,'BY-Demands'!$I$5:$I$14,0),FALSE)*HLOOKUP(REG_TRA_DEMANDS!$F117,DEMANDS!$G$2:$CK$25,MATCH($E117,DEMANDS!$E$2:$E$25,0),FALSE)/HLOOKUP(2018,DEMANDS!$G$2:$CK$25,MATCH($E117,DEMANDS!$E$2:$E$25,0),FALSE)</f>
        <v>0.058327215404362399</v>
      </c>
      <c r="H117" s="19">
        <f>HLOOKUP(REG_TRA_DEMANDS!H$3,'BY-Demands'!$J$5:$AK$14,MATCH($E117,'BY-Demands'!$I$5:$I$14,0),FALSE)*HLOOKUP(REG_TRA_DEMANDS!$F117,DEMANDS!$G$2:$CK$25,MATCH($E117,DEMANDS!$E$2:$E$25,0),FALSE)/HLOOKUP(2018,DEMANDS!$G$2:$CK$25,MATCH($E117,DEMANDS!$E$2:$E$25,0),FALSE)</f>
        <v>1.3803783218577697</v>
      </c>
      <c r="I117" s="19">
        <f>HLOOKUP(REG_TRA_DEMANDS!I$3,'BY-Demands'!$J$5:$AK$14,MATCH($E117,'BY-Demands'!$I$5:$I$14,0),FALSE)*HLOOKUP(REG_TRA_DEMANDS!$F117,DEMANDS!$G$2:$CK$25,MATCH($E117,DEMANDS!$E$2:$E$25,0),FALSE)/HLOOKUP(2018,DEMANDS!$G$2:$CK$25,MATCH($E117,DEMANDS!$E$2:$E$25,0),FALSE)</f>
        <v>0.2279568386203234</v>
      </c>
      <c r="J117" s="19">
        <f>HLOOKUP(REG_TRA_DEMANDS!J$3,'BY-Demands'!$J$5:$AK$14,MATCH($E117,'BY-Demands'!$I$5:$I$14,0),FALSE)*HLOOKUP(REG_TRA_DEMANDS!$F117,DEMANDS!$G$2:$CK$25,MATCH($E117,DEMANDS!$E$2:$E$25,0),FALSE)/HLOOKUP(2018,DEMANDS!$G$2:$CK$25,MATCH($E117,DEMANDS!$E$2:$E$25,0),FALSE)</f>
        <v>0.1016638487846148</v>
      </c>
      <c r="K117" s="19">
        <f>HLOOKUP(REG_TRA_DEMANDS!K$3,'BY-Demands'!$J$5:$AK$14,MATCH($E117,'BY-Demands'!$I$5:$I$14,0),FALSE)*HLOOKUP(REG_TRA_DEMANDS!$F117,DEMANDS!$G$2:$CK$25,MATCH($E117,DEMANDS!$E$2:$E$25,0),FALSE)/HLOOKUP(2018,DEMANDS!$G$2:$CK$25,MATCH($E117,DEMANDS!$E$2:$E$25,0),FALSE)</f>
        <v>0.086772643910336511</v>
      </c>
      <c r="L117" s="19">
        <f>HLOOKUP(REG_TRA_DEMANDS!L$3,'BY-Demands'!$J$5:$AK$14,MATCH($E117,'BY-Demands'!$I$5:$I$14,0),FALSE)*HLOOKUP(REG_TRA_DEMANDS!$F117,DEMANDS!$G$2:$CK$25,MATCH($E117,DEMANDS!$E$2:$E$25,0),FALSE)/HLOOKUP(2018,DEMANDS!$G$2:$CK$25,MATCH($E117,DEMANDS!$E$2:$E$25,0),FALSE)</f>
        <v>0.041874662320355922</v>
      </c>
      <c r="M117" s="19">
        <f>HLOOKUP(REG_TRA_DEMANDS!M$3,'BY-Demands'!$J$5:$AK$14,MATCH($E117,'BY-Demands'!$I$5:$I$14,0),FALSE)*HLOOKUP(REG_TRA_DEMANDS!$F117,DEMANDS!$G$2:$CK$25,MATCH($E117,DEMANDS!$E$2:$E$25,0),FALSE)/HLOOKUP(2018,DEMANDS!$G$2:$CK$25,MATCH($E117,DEMANDS!$E$2:$E$25,0),FALSE)</f>
        <v>0.13204252143216189</v>
      </c>
      <c r="N117" s="19">
        <f>HLOOKUP(REG_TRA_DEMANDS!N$3,'BY-Demands'!$J$5:$AK$14,MATCH($E117,'BY-Demands'!$I$5:$I$14,0),FALSE)*HLOOKUP(REG_TRA_DEMANDS!$F117,DEMANDS!$G$2:$CK$25,MATCH($E117,DEMANDS!$E$2:$E$25,0),FALSE)/HLOOKUP(2018,DEMANDS!$G$2:$CK$25,MATCH($E117,DEMANDS!$E$2:$E$25,0),FALSE)</f>
        <v>0.19982388465763487</v>
      </c>
      <c r="O117" s="19">
        <f>HLOOKUP(REG_TRA_DEMANDS!O$3,'BY-Demands'!$J$5:$AK$14,MATCH($E117,'BY-Demands'!$I$5:$I$14,0),FALSE)*HLOOKUP(REG_TRA_DEMANDS!$F117,DEMANDS!$G$2:$CK$25,MATCH($E117,DEMANDS!$E$2:$E$25,0),FALSE)/HLOOKUP(2018,DEMANDS!$G$2:$CK$25,MATCH($E117,DEMANDS!$E$2:$E$25,0),FALSE)</f>
        <v>0.079871566783873763</v>
      </c>
      <c r="P117" s="19">
        <f>HLOOKUP(REG_TRA_DEMANDS!P$3,'BY-Demands'!$J$5:$AK$14,MATCH($E117,'BY-Demands'!$I$5:$I$14,0),FALSE)*HLOOKUP(REG_TRA_DEMANDS!$F117,DEMANDS!$G$2:$CK$25,MATCH($E117,DEMANDS!$E$2:$E$25,0),FALSE)/HLOOKUP(2018,DEMANDS!$G$2:$CK$25,MATCH($E117,DEMANDS!$E$2:$E$25,0),FALSE)</f>
        <v>0.090945459696572264</v>
      </c>
      <c r="Q117" s="19">
        <f>HLOOKUP(REG_TRA_DEMANDS!Q$3,'BY-Demands'!$J$5:$AK$14,MATCH($E117,'BY-Demands'!$I$5:$I$14,0),FALSE)*HLOOKUP(REG_TRA_DEMANDS!$F117,DEMANDS!$G$2:$CK$25,MATCH($E117,DEMANDS!$E$2:$E$25,0),FALSE)/HLOOKUP(2018,DEMANDS!$G$2:$CK$25,MATCH($E117,DEMANDS!$E$2:$E$25,0),FALSE)</f>
        <v>0.15339119203210758</v>
      </c>
      <c r="R117" s="19">
        <f>HLOOKUP(REG_TRA_DEMANDS!R$3,'BY-Demands'!$J$5:$AK$14,MATCH($E117,'BY-Demands'!$I$5:$I$14,0),FALSE)*HLOOKUP(REG_TRA_DEMANDS!$F117,DEMANDS!$G$2:$CK$25,MATCH($E117,DEMANDS!$E$2:$E$25,0),FALSE)/HLOOKUP(2018,DEMANDS!$G$2:$CK$25,MATCH($E117,DEMANDS!$E$2:$E$25,0),FALSE)</f>
        <v>0.14591536664733934</v>
      </c>
      <c r="S117" s="19">
        <f>HLOOKUP(REG_TRA_DEMANDS!S$3,'BY-Demands'!$J$5:$AK$14,MATCH($E117,'BY-Demands'!$I$5:$I$14,0),FALSE)*HLOOKUP(REG_TRA_DEMANDS!$F117,DEMANDS!$G$2:$CK$25,MATCH($E117,DEMANDS!$E$2:$E$25,0),FALSE)/HLOOKUP(2018,DEMANDS!$G$2:$CK$25,MATCH($E117,DEMANDS!$E$2:$E$25,0),FALSE)</f>
        <v>0.12172881249034162</v>
      </c>
      <c r="T117" s="19">
        <f>HLOOKUP(REG_TRA_DEMANDS!T$3,'BY-Demands'!$J$5:$AK$14,MATCH($E117,'BY-Demands'!$I$5:$I$14,0),FALSE)*HLOOKUP(REG_TRA_DEMANDS!$F117,DEMANDS!$G$2:$CK$25,MATCH($E117,DEMANDS!$E$2:$E$25,0),FALSE)/HLOOKUP(2018,DEMANDS!$G$2:$CK$25,MATCH($E117,DEMANDS!$E$2:$E$25,0),FALSE)</f>
        <v>0.55617190283382656</v>
      </c>
      <c r="U117" s="19">
        <f>HLOOKUP(REG_TRA_DEMANDS!U$3,'BY-Demands'!$J$5:$AK$14,MATCH($E117,'BY-Demands'!$I$5:$I$14,0),FALSE)*HLOOKUP(REG_TRA_DEMANDS!$F117,DEMANDS!$G$2:$CK$25,MATCH($E117,DEMANDS!$E$2:$E$25,0),FALSE)/HLOOKUP(2018,DEMANDS!$G$2:$CK$25,MATCH($E117,DEMANDS!$E$2:$E$25,0),FALSE)</f>
        <v>0.15132681103302473</v>
      </c>
      <c r="V117" s="19">
        <f>HLOOKUP(REG_TRA_DEMANDS!V$3,'BY-Demands'!$J$5:$AK$14,MATCH($E117,'BY-Demands'!$I$5:$I$14,0),FALSE)*HLOOKUP(REG_TRA_DEMANDS!$F117,DEMANDS!$G$2:$CK$25,MATCH($E117,DEMANDS!$E$2:$E$25,0),FALSE)/HLOOKUP(2018,DEMANDS!$G$2:$CK$25,MATCH($E117,DEMANDS!$E$2:$E$25,0),FALSE)</f>
        <v>0.19967533118623673</v>
      </c>
      <c r="W117" s="19">
        <f>HLOOKUP(REG_TRA_DEMANDS!W$3,'BY-Demands'!$J$5:$AK$14,MATCH($E117,'BY-Demands'!$I$5:$I$14,0),FALSE)*HLOOKUP(REG_TRA_DEMANDS!$F117,DEMANDS!$G$2:$CK$25,MATCH($E117,DEMANDS!$E$2:$E$25,0),FALSE)/HLOOKUP(2018,DEMANDS!$G$2:$CK$25,MATCH($E117,DEMANDS!$E$2:$E$25,0),FALSE)</f>
        <v>0.16346311739289401</v>
      </c>
      <c r="X117" s="19">
        <f>HLOOKUP(REG_TRA_DEMANDS!X$3,'BY-Demands'!$J$5:$AK$14,MATCH($E117,'BY-Demands'!$I$5:$I$14,0),FALSE)*HLOOKUP(REG_TRA_DEMANDS!$F117,DEMANDS!$G$2:$CK$25,MATCH($E117,DEMANDS!$E$2:$E$25,0),FALSE)/HLOOKUP(2018,DEMANDS!$G$2:$CK$25,MATCH($E117,DEMANDS!$E$2:$E$25,0),FALSE)</f>
        <v>0.11902309029749894</v>
      </c>
      <c r="Y117" s="19">
        <f>HLOOKUP(REG_TRA_DEMANDS!Y$3,'BY-Demands'!$J$5:$AK$14,MATCH($E117,'BY-Demands'!$I$5:$I$14,0),FALSE)*HLOOKUP(REG_TRA_DEMANDS!$F117,DEMANDS!$G$2:$CK$25,MATCH($E117,DEMANDS!$E$2:$E$25,0),FALSE)/HLOOKUP(2018,DEMANDS!$G$2:$CK$25,MATCH($E117,DEMANDS!$E$2:$E$25,0),FALSE)</f>
        <v>0.2643821498071201</v>
      </c>
      <c r="Z117" s="19">
        <f>HLOOKUP(REG_TRA_DEMANDS!Z$3,'BY-Demands'!$J$5:$AK$14,MATCH($E117,'BY-Demands'!$I$5:$I$14,0),FALSE)*HLOOKUP(REG_TRA_DEMANDS!$F117,DEMANDS!$G$2:$CK$25,MATCH($E117,DEMANDS!$E$2:$E$25,0),FALSE)/HLOOKUP(2018,DEMANDS!$G$2:$CK$25,MATCH($E117,DEMANDS!$E$2:$E$25,0),FALSE)</f>
        <v>0.032829292672264934</v>
      </c>
      <c r="AA117" s="19">
        <f>HLOOKUP(REG_TRA_DEMANDS!AA$3,'BY-Demands'!$J$5:$AK$14,MATCH($E117,'BY-Demands'!$I$5:$I$14,0),FALSE)*HLOOKUP(REG_TRA_DEMANDS!$F117,DEMANDS!$G$2:$CK$25,MATCH($E117,DEMANDS!$E$2:$E$25,0),FALSE)/HLOOKUP(2018,DEMANDS!$G$2:$CK$25,MATCH($E117,DEMANDS!$E$2:$E$25,0),FALSE)</f>
        <v>0.13370529580512028</v>
      </c>
      <c r="AB117" s="19">
        <f>HLOOKUP(REG_TRA_DEMANDS!AB$3,'BY-Demands'!$J$5:$AK$14,MATCH($E117,'BY-Demands'!$I$5:$I$14,0),FALSE)*HLOOKUP(REG_TRA_DEMANDS!$F117,DEMANDS!$G$2:$CK$25,MATCH($E117,DEMANDS!$E$2:$E$25,0),FALSE)/HLOOKUP(2018,DEMANDS!$G$2:$CK$25,MATCH($E117,DEMANDS!$E$2:$E$25,0),FALSE)</f>
        <v>0.066125760399409414</v>
      </c>
      <c r="AC117" s="19">
        <f>HLOOKUP(REG_TRA_DEMANDS!AC$3,'BY-Demands'!$J$5:$AK$14,MATCH($E117,'BY-Demands'!$I$5:$I$14,0),FALSE)*HLOOKUP(REG_TRA_DEMANDS!$F117,DEMANDS!$G$2:$CK$25,MATCH($E117,DEMANDS!$E$2:$E$25,0),FALSE)/HLOOKUP(2018,DEMANDS!$G$2:$CK$25,MATCH($E117,DEMANDS!$E$2:$E$25,0),FALSE)</f>
        <v>0.067141046538412449</v>
      </c>
      <c r="AD117" s="19">
        <f>HLOOKUP(REG_TRA_DEMANDS!AD$3,'BY-Demands'!$J$5:$AK$14,MATCH($E117,'BY-Demands'!$I$5:$I$14,0),FALSE)*HLOOKUP(REG_TRA_DEMANDS!$F117,DEMANDS!$G$2:$CK$25,MATCH($E117,DEMANDS!$E$2:$E$25,0),FALSE)/HLOOKUP(2018,DEMANDS!$G$2:$CK$25,MATCH($E117,DEMANDS!$E$2:$E$25,0),FALSE)</f>
        <v>0.078042822325629202</v>
      </c>
      <c r="AE117" s="19">
        <f>HLOOKUP(REG_TRA_DEMANDS!AE$3,'BY-Demands'!$J$5:$AK$14,MATCH($E117,'BY-Demands'!$I$5:$I$14,0),FALSE)*HLOOKUP(REG_TRA_DEMANDS!$F117,DEMANDS!$G$2:$CK$25,MATCH($E117,DEMANDS!$E$2:$E$25,0),FALSE)/HLOOKUP(2018,DEMANDS!$G$2:$CK$25,MATCH($E117,DEMANDS!$E$2:$E$25,0),FALSE)</f>
        <v>0.1630932704744478</v>
      </c>
      <c r="AF117" s="19">
        <f>HLOOKUP(REG_TRA_DEMANDS!AF$3,'BY-Demands'!$J$5:$AK$14,MATCH($E117,'BY-Demands'!$I$5:$I$14,0),FALSE)*HLOOKUP(REG_TRA_DEMANDS!$F117,DEMANDS!$G$2:$CK$25,MATCH($E117,DEMANDS!$E$2:$E$25,0),FALSE)/HLOOKUP(2018,DEMANDS!$G$2:$CK$25,MATCH($E117,DEMANDS!$E$2:$E$25,0),FALSE)</f>
        <v>0.062890368243030098</v>
      </c>
    </row>
    <row r="118" spans="4:32" ht="14.5">
      <c r="D118" t="s">
        <v>6</v>
      </c>
      <c r="E118" t="str">
        <f>DEMANDS!$E$21</f>
        <v>TTURS</v>
      </c>
      <c r="F118">
        <v>2026</v>
      </c>
      <c r="G118" s="19">
        <f>HLOOKUP(REG_TRA_DEMANDS!G$3,'BY-Demands'!$J$5:$AK$14,MATCH($E118,'BY-Demands'!$I$5:$I$14,0),FALSE)*HLOOKUP(REG_TRA_DEMANDS!$F118,DEMANDS!$G$2:$CK$25,MATCH($E118,DEMANDS!$E$2:$E$25,0),FALSE)/HLOOKUP(2018,DEMANDS!$G$2:$CK$25,MATCH($E118,DEMANDS!$E$2:$E$25,0),FALSE)</f>
        <v>0.047157051904146714</v>
      </c>
      <c r="H118" s="19">
        <f>HLOOKUP(REG_TRA_DEMANDS!H$3,'BY-Demands'!$J$5:$AK$14,MATCH($E118,'BY-Demands'!$I$5:$I$14,0),FALSE)*HLOOKUP(REG_TRA_DEMANDS!$F118,DEMANDS!$G$2:$CK$25,MATCH($E118,DEMANDS!$E$2:$E$25,0),FALSE)/HLOOKUP(2018,DEMANDS!$G$2:$CK$25,MATCH($E118,DEMANDS!$E$2:$E$25,0),FALSE)</f>
        <v>1.1160239987444565</v>
      </c>
      <c r="I118" s="19">
        <f>HLOOKUP(REG_TRA_DEMANDS!I$3,'BY-Demands'!$J$5:$AK$14,MATCH($E118,'BY-Demands'!$I$5:$I$14,0),FALSE)*HLOOKUP(REG_TRA_DEMANDS!$F118,DEMANDS!$G$2:$CK$25,MATCH($E118,DEMANDS!$E$2:$E$25,0),FALSE)/HLOOKUP(2018,DEMANDS!$G$2:$CK$25,MATCH($E118,DEMANDS!$E$2:$E$25,0),FALSE)</f>
        <v>0.18430114306330819</v>
      </c>
      <c r="J118" s="19">
        <f>HLOOKUP(REG_TRA_DEMANDS!J$3,'BY-Demands'!$J$5:$AK$14,MATCH($E118,'BY-Demands'!$I$5:$I$14,0),FALSE)*HLOOKUP(REG_TRA_DEMANDS!$F118,DEMANDS!$G$2:$CK$25,MATCH($E118,DEMANDS!$E$2:$E$25,0),FALSE)/HLOOKUP(2018,DEMANDS!$G$2:$CK$25,MATCH($E118,DEMANDS!$E$2:$E$25,0),FALSE)</f>
        <v>0.082194347195817585</v>
      </c>
      <c r="K118" s="19">
        <f>HLOOKUP(REG_TRA_DEMANDS!K$3,'BY-Demands'!$J$5:$AK$14,MATCH($E118,'BY-Demands'!$I$5:$I$14,0),FALSE)*HLOOKUP(REG_TRA_DEMANDS!$F118,DEMANDS!$G$2:$CK$25,MATCH($E118,DEMANDS!$E$2:$E$25,0),FALSE)/HLOOKUP(2018,DEMANDS!$G$2:$CK$25,MATCH($E118,DEMANDS!$E$2:$E$25,0),FALSE)</f>
        <v>0.070154936154105091</v>
      </c>
      <c r="L118" s="19">
        <f>HLOOKUP(REG_TRA_DEMANDS!L$3,'BY-Demands'!$J$5:$AK$14,MATCH($E118,'BY-Demands'!$I$5:$I$14,0),FALSE)*HLOOKUP(REG_TRA_DEMANDS!$F118,DEMANDS!$G$2:$CK$25,MATCH($E118,DEMANDS!$E$2:$E$25,0),FALSE)/HLOOKUP(2018,DEMANDS!$G$2:$CK$25,MATCH($E118,DEMANDS!$E$2:$E$25,0),FALSE)</f>
        <v>0.033855304266110241</v>
      </c>
      <c r="M118" s="19">
        <f>HLOOKUP(REG_TRA_DEMANDS!M$3,'BY-Demands'!$J$5:$AK$14,MATCH($E118,'BY-Demands'!$I$5:$I$14,0),FALSE)*HLOOKUP(REG_TRA_DEMANDS!$F118,DEMANDS!$G$2:$CK$25,MATCH($E118,DEMANDS!$E$2:$E$25,0),FALSE)/HLOOKUP(2018,DEMANDS!$G$2:$CK$25,MATCH($E118,DEMANDS!$E$2:$E$25,0),FALSE)</f>
        <v>0.10675524270382285</v>
      </c>
      <c r="N118" s="19">
        <f>HLOOKUP(REG_TRA_DEMANDS!N$3,'BY-Demands'!$J$5:$AK$14,MATCH($E118,'BY-Demands'!$I$5:$I$14,0),FALSE)*HLOOKUP(REG_TRA_DEMANDS!$F118,DEMANDS!$G$2:$CK$25,MATCH($E118,DEMANDS!$E$2:$E$25,0),FALSE)/HLOOKUP(2018,DEMANDS!$G$2:$CK$25,MATCH($E118,DEMANDS!$E$2:$E$25,0),FALSE)</f>
        <v>0.16155589179358529</v>
      </c>
      <c r="O118" s="19">
        <f>HLOOKUP(REG_TRA_DEMANDS!O$3,'BY-Demands'!$J$5:$AK$14,MATCH($E118,'BY-Demands'!$I$5:$I$14,0),FALSE)*HLOOKUP(REG_TRA_DEMANDS!$F118,DEMANDS!$G$2:$CK$25,MATCH($E118,DEMANDS!$E$2:$E$25,0),FALSE)/HLOOKUP(2018,DEMANDS!$G$2:$CK$25,MATCH($E118,DEMANDS!$E$2:$E$25,0),FALSE)</f>
        <v>0.064575474662741258</v>
      </c>
      <c r="P118" s="19">
        <f>HLOOKUP(REG_TRA_DEMANDS!P$3,'BY-Demands'!$J$5:$AK$14,MATCH($E118,'BY-Demands'!$I$5:$I$14,0),FALSE)*HLOOKUP(REG_TRA_DEMANDS!$F118,DEMANDS!$G$2:$CK$25,MATCH($E118,DEMANDS!$E$2:$E$25,0),FALSE)/HLOOKUP(2018,DEMANDS!$G$2:$CK$25,MATCH($E118,DEMANDS!$E$2:$E$25,0),FALSE)</f>
        <v>0.073528621821315004</v>
      </c>
      <c r="Q118" s="19">
        <f>HLOOKUP(REG_TRA_DEMANDS!Q$3,'BY-Demands'!$J$5:$AK$14,MATCH($E118,'BY-Demands'!$I$5:$I$14,0),FALSE)*HLOOKUP(REG_TRA_DEMANDS!$F118,DEMANDS!$G$2:$CK$25,MATCH($E118,DEMANDS!$E$2:$E$25,0),FALSE)/HLOOKUP(2018,DEMANDS!$G$2:$CK$25,MATCH($E118,DEMANDS!$E$2:$E$25,0),FALSE)</f>
        <v>0.12401545923545029</v>
      </c>
      <c r="R118" s="19">
        <f>HLOOKUP(REG_TRA_DEMANDS!R$3,'BY-Demands'!$J$5:$AK$14,MATCH($E118,'BY-Demands'!$I$5:$I$14,0),FALSE)*HLOOKUP(REG_TRA_DEMANDS!$F118,DEMANDS!$G$2:$CK$25,MATCH($E118,DEMANDS!$E$2:$E$25,0),FALSE)/HLOOKUP(2018,DEMANDS!$G$2:$CK$25,MATCH($E118,DEMANDS!$E$2:$E$25,0),FALSE)</f>
        <v>0.11797131872142386</v>
      </c>
      <c r="S118" s="19">
        <f>HLOOKUP(REG_TRA_DEMANDS!S$3,'BY-Demands'!$J$5:$AK$14,MATCH($E118,'BY-Demands'!$I$5:$I$14,0),FALSE)*HLOOKUP(REG_TRA_DEMANDS!$F118,DEMANDS!$G$2:$CK$25,MATCH($E118,DEMANDS!$E$2:$E$25,0),FALSE)/HLOOKUP(2018,DEMANDS!$G$2:$CK$25,MATCH($E118,DEMANDS!$E$2:$E$25,0),FALSE)</f>
        <v>0.098416697746346538</v>
      </c>
      <c r="T118" s="19">
        <f>HLOOKUP(REG_TRA_DEMANDS!T$3,'BY-Demands'!$J$5:$AK$14,MATCH($E118,'BY-Demands'!$I$5:$I$14,0),FALSE)*HLOOKUP(REG_TRA_DEMANDS!$F118,DEMANDS!$G$2:$CK$25,MATCH($E118,DEMANDS!$E$2:$E$25,0),FALSE)/HLOOKUP(2018,DEMANDS!$G$2:$CK$25,MATCH($E118,DEMANDS!$E$2:$E$25,0),FALSE)</f>
        <v>0.44966019906380111</v>
      </c>
      <c r="U118" s="19">
        <f>HLOOKUP(REG_TRA_DEMANDS!U$3,'BY-Demands'!$J$5:$AK$14,MATCH($E118,'BY-Demands'!$I$5:$I$14,0),FALSE)*HLOOKUP(REG_TRA_DEMANDS!$F118,DEMANDS!$G$2:$CK$25,MATCH($E118,DEMANDS!$E$2:$E$25,0),FALSE)/HLOOKUP(2018,DEMANDS!$G$2:$CK$25,MATCH($E118,DEMANDS!$E$2:$E$25,0),FALSE)</f>
        <v>0.1223464249561899</v>
      </c>
      <c r="V118" s="19">
        <f>HLOOKUP(REG_TRA_DEMANDS!V$3,'BY-Demands'!$J$5:$AK$14,MATCH($E118,'BY-Demands'!$I$5:$I$14,0),FALSE)*HLOOKUP(REG_TRA_DEMANDS!$F118,DEMANDS!$G$2:$CK$25,MATCH($E118,DEMANDS!$E$2:$E$25,0),FALSE)/HLOOKUP(2018,DEMANDS!$G$2:$CK$25,MATCH($E118,DEMANDS!$E$2:$E$25,0),FALSE)</f>
        <v>0.16143578758986674</v>
      </c>
      <c r="W118" s="19">
        <f>HLOOKUP(REG_TRA_DEMANDS!W$3,'BY-Demands'!$J$5:$AK$14,MATCH($E118,'BY-Demands'!$I$5:$I$14,0),FALSE)*HLOOKUP(REG_TRA_DEMANDS!$F118,DEMANDS!$G$2:$CK$25,MATCH($E118,DEMANDS!$E$2:$E$25,0),FALSE)/HLOOKUP(2018,DEMANDS!$G$2:$CK$25,MATCH($E118,DEMANDS!$E$2:$E$25,0),FALSE)</f>
        <v>0.13215852424756425</v>
      </c>
      <c r="X118" s="19">
        <f>HLOOKUP(REG_TRA_DEMANDS!X$3,'BY-Demands'!$J$5:$AK$14,MATCH($E118,'BY-Demands'!$I$5:$I$14,0),FALSE)*HLOOKUP(REG_TRA_DEMANDS!$F118,DEMANDS!$G$2:$CK$25,MATCH($E118,DEMANDS!$E$2:$E$25,0),FALSE)/HLOOKUP(2018,DEMANDS!$G$2:$CK$25,MATCH($E118,DEMANDS!$E$2:$E$25,0),FALSE)</f>
        <v>0.096229144628963523</v>
      </c>
      <c r="Y118" s="19">
        <f>HLOOKUP(REG_TRA_DEMANDS!Y$3,'BY-Demands'!$J$5:$AK$14,MATCH($E118,'BY-Demands'!$I$5:$I$14,0),FALSE)*HLOOKUP(REG_TRA_DEMANDS!$F118,DEMANDS!$G$2:$CK$25,MATCH($E118,DEMANDS!$E$2:$E$25,0),FALSE)/HLOOKUP(2018,DEMANDS!$G$2:$CK$25,MATCH($E118,DEMANDS!$E$2:$E$25,0),FALSE)</f>
        <v>0.21375069381508294</v>
      </c>
      <c r="Z118" s="19">
        <f>HLOOKUP(REG_TRA_DEMANDS!Z$3,'BY-Demands'!$J$5:$AK$14,MATCH($E118,'BY-Demands'!$I$5:$I$14,0),FALSE)*HLOOKUP(REG_TRA_DEMANDS!$F118,DEMANDS!$G$2:$CK$25,MATCH($E118,DEMANDS!$E$2:$E$25,0),FALSE)/HLOOKUP(2018,DEMANDS!$G$2:$CK$25,MATCH($E118,DEMANDS!$E$2:$E$25,0),FALSE)</f>
        <v>0.026542200716933816</v>
      </c>
      <c r="AA118" s="19">
        <f>HLOOKUP(REG_TRA_DEMANDS!AA$3,'BY-Demands'!$J$5:$AK$14,MATCH($E118,'BY-Demands'!$I$5:$I$14,0),FALSE)*HLOOKUP(REG_TRA_DEMANDS!$F118,DEMANDS!$G$2:$CK$25,MATCH($E118,DEMANDS!$E$2:$E$25,0),FALSE)/HLOOKUP(2018,DEMANDS!$G$2:$CK$25,MATCH($E118,DEMANDS!$E$2:$E$25,0),FALSE)</f>
        <v>0.10809958148061657</v>
      </c>
      <c r="AB118" s="19">
        <f>HLOOKUP(REG_TRA_DEMANDS!AB$3,'BY-Demands'!$J$5:$AK$14,MATCH($E118,'BY-Demands'!$I$5:$I$14,0),FALSE)*HLOOKUP(REG_TRA_DEMANDS!$F118,DEMANDS!$G$2:$CK$25,MATCH($E118,DEMANDS!$E$2:$E$25,0),FALSE)/HLOOKUP(2018,DEMANDS!$G$2:$CK$25,MATCH($E118,DEMANDS!$E$2:$E$25,0),FALSE)</f>
        <v>0.053462108446941145</v>
      </c>
      <c r="AC118" s="19">
        <f>HLOOKUP(REG_TRA_DEMANDS!AC$3,'BY-Demands'!$J$5:$AK$14,MATCH($E118,'BY-Demands'!$I$5:$I$14,0),FALSE)*HLOOKUP(REG_TRA_DEMANDS!$F118,DEMANDS!$G$2:$CK$25,MATCH($E118,DEMANDS!$E$2:$E$25,0),FALSE)/HLOOKUP(2018,DEMANDS!$G$2:$CK$25,MATCH($E118,DEMANDS!$E$2:$E$25,0),FALSE)</f>
        <v>0.054282958556493031</v>
      </c>
      <c r="AD118" s="19">
        <f>HLOOKUP(REG_TRA_DEMANDS!AD$3,'BY-Demands'!$J$5:$AK$14,MATCH($E118,'BY-Demands'!$I$5:$I$14,0),FALSE)*HLOOKUP(REG_TRA_DEMANDS!$F118,DEMANDS!$G$2:$CK$25,MATCH($E118,DEMANDS!$E$2:$E$25,0),FALSE)/HLOOKUP(2018,DEMANDS!$G$2:$CK$25,MATCH($E118,DEMANDS!$E$2:$E$25,0),FALSE)</f>
        <v>0.063096950499724039</v>
      </c>
      <c r="AE118" s="19">
        <f>HLOOKUP(REG_TRA_DEMANDS!AE$3,'BY-Demands'!$J$5:$AK$14,MATCH($E118,'BY-Demands'!$I$5:$I$14,0),FALSE)*HLOOKUP(REG_TRA_DEMANDS!$F118,DEMANDS!$G$2:$CK$25,MATCH($E118,DEMANDS!$E$2:$E$25,0),FALSE)/HLOOKUP(2018,DEMANDS!$G$2:$CK$25,MATCH($E118,DEMANDS!$E$2:$E$25,0),FALSE)</f>
        <v>0.13185950619554779</v>
      </c>
      <c r="AF118" s="19">
        <f>HLOOKUP(REG_TRA_DEMANDS!AF$3,'BY-Demands'!$J$5:$AK$14,MATCH($E118,'BY-Demands'!$I$5:$I$14,0),FALSE)*HLOOKUP(REG_TRA_DEMANDS!$F118,DEMANDS!$G$2:$CK$25,MATCH($E118,DEMANDS!$E$2:$E$25,0),FALSE)/HLOOKUP(2018,DEMANDS!$G$2:$CK$25,MATCH($E118,DEMANDS!$E$2:$E$25,0),FALSE)</f>
        <v>0.050846321720437522</v>
      </c>
    </row>
    <row r="119" spans="4:32" ht="14.5">
      <c r="D119" t="s">
        <v>6</v>
      </c>
      <c r="E119" t="str">
        <f>DEMANDS!$E$21</f>
        <v>TTURS</v>
      </c>
      <c r="F119">
        <v>2027</v>
      </c>
      <c r="G119" s="19">
        <f>HLOOKUP(REG_TRA_DEMANDS!G$3,'BY-Demands'!$J$5:$AK$14,MATCH($E119,'BY-Demands'!$I$5:$I$14,0),FALSE)*HLOOKUP(REG_TRA_DEMANDS!$F119,DEMANDS!$G$2:$CK$25,MATCH($E119,DEMANDS!$E$2:$E$25,0),FALSE)/HLOOKUP(2018,DEMANDS!$G$2:$CK$25,MATCH($E119,DEMANDS!$E$2:$E$25,0),FALSE)</f>
        <v>0.035986888403931029</v>
      </c>
      <c r="H119" s="19">
        <f>HLOOKUP(REG_TRA_DEMANDS!H$3,'BY-Demands'!$J$5:$AK$14,MATCH($E119,'BY-Demands'!$I$5:$I$14,0),FALSE)*HLOOKUP(REG_TRA_DEMANDS!$F119,DEMANDS!$G$2:$CK$25,MATCH($E119,DEMANDS!$E$2:$E$25,0),FALSE)/HLOOKUP(2018,DEMANDS!$G$2:$CK$25,MATCH($E119,DEMANDS!$E$2:$E$25,0),FALSE)</f>
        <v>0.85166967563114326</v>
      </c>
      <c r="I119" s="19">
        <f>HLOOKUP(REG_TRA_DEMANDS!I$3,'BY-Demands'!$J$5:$AK$14,MATCH($E119,'BY-Demands'!$I$5:$I$14,0),FALSE)*HLOOKUP(REG_TRA_DEMANDS!$F119,DEMANDS!$G$2:$CK$25,MATCH($E119,DEMANDS!$E$2:$E$25,0),FALSE)/HLOOKUP(2018,DEMANDS!$G$2:$CK$25,MATCH($E119,DEMANDS!$E$2:$E$25,0),FALSE)</f>
        <v>0.14064544750629296</v>
      </c>
      <c r="J119" s="19">
        <f>HLOOKUP(REG_TRA_DEMANDS!J$3,'BY-Demands'!$J$5:$AK$14,MATCH($E119,'BY-Demands'!$I$5:$I$14,0),FALSE)*HLOOKUP(REG_TRA_DEMANDS!$F119,DEMANDS!$G$2:$CK$25,MATCH($E119,DEMANDS!$E$2:$E$25,0),FALSE)/HLOOKUP(2018,DEMANDS!$G$2:$CK$25,MATCH($E119,DEMANDS!$E$2:$E$25,0),FALSE)</f>
        <v>0.06272484560702038</v>
      </c>
      <c r="K119" s="19">
        <f>HLOOKUP(REG_TRA_DEMANDS!K$3,'BY-Demands'!$J$5:$AK$14,MATCH($E119,'BY-Demands'!$I$5:$I$14,0),FALSE)*HLOOKUP(REG_TRA_DEMANDS!$F119,DEMANDS!$G$2:$CK$25,MATCH($E119,DEMANDS!$E$2:$E$25,0),FALSE)/HLOOKUP(2018,DEMANDS!$G$2:$CK$25,MATCH($E119,DEMANDS!$E$2:$E$25,0),FALSE)</f>
        <v>0.053537228397873671</v>
      </c>
      <c r="L119" s="19">
        <f>HLOOKUP(REG_TRA_DEMANDS!L$3,'BY-Demands'!$J$5:$AK$14,MATCH($E119,'BY-Demands'!$I$5:$I$14,0),FALSE)*HLOOKUP(REG_TRA_DEMANDS!$F119,DEMANDS!$G$2:$CK$25,MATCH($E119,DEMANDS!$E$2:$E$25,0),FALSE)/HLOOKUP(2018,DEMANDS!$G$2:$CK$25,MATCH($E119,DEMANDS!$E$2:$E$25,0),FALSE)</f>
        <v>0.025835946211864549</v>
      </c>
      <c r="M119" s="19">
        <f>HLOOKUP(REG_TRA_DEMANDS!M$3,'BY-Demands'!$J$5:$AK$14,MATCH($E119,'BY-Demands'!$I$5:$I$14,0),FALSE)*HLOOKUP(REG_TRA_DEMANDS!$F119,DEMANDS!$G$2:$CK$25,MATCH($E119,DEMANDS!$E$2:$E$25,0),FALSE)/HLOOKUP(2018,DEMANDS!$G$2:$CK$25,MATCH($E119,DEMANDS!$E$2:$E$25,0),FALSE)</f>
        <v>0.081467963975483809</v>
      </c>
      <c r="N119" s="19">
        <f>HLOOKUP(REG_TRA_DEMANDS!N$3,'BY-Demands'!$J$5:$AK$14,MATCH($E119,'BY-Demands'!$I$5:$I$14,0),FALSE)*HLOOKUP(REG_TRA_DEMANDS!$F119,DEMANDS!$G$2:$CK$25,MATCH($E119,DEMANDS!$E$2:$E$25,0),FALSE)/HLOOKUP(2018,DEMANDS!$G$2:$CK$25,MATCH($E119,DEMANDS!$E$2:$E$25,0),FALSE)</f>
        <v>0.12328789892953573</v>
      </c>
      <c r="O119" s="19">
        <f>HLOOKUP(REG_TRA_DEMANDS!O$3,'BY-Demands'!$J$5:$AK$14,MATCH($E119,'BY-Demands'!$I$5:$I$14,0),FALSE)*HLOOKUP(REG_TRA_DEMANDS!$F119,DEMANDS!$G$2:$CK$25,MATCH($E119,DEMANDS!$E$2:$E$25,0),FALSE)/HLOOKUP(2018,DEMANDS!$G$2:$CK$25,MATCH($E119,DEMANDS!$E$2:$E$25,0),FALSE)</f>
        <v>0.049279382541608754</v>
      </c>
      <c r="P119" s="19">
        <f>HLOOKUP(REG_TRA_DEMANDS!P$3,'BY-Demands'!$J$5:$AK$14,MATCH($E119,'BY-Demands'!$I$5:$I$14,0),FALSE)*HLOOKUP(REG_TRA_DEMANDS!$F119,DEMANDS!$G$2:$CK$25,MATCH($E119,DEMANDS!$E$2:$E$25,0),FALSE)/HLOOKUP(2018,DEMANDS!$G$2:$CK$25,MATCH($E119,DEMANDS!$E$2:$E$25,0),FALSE)</f>
        <v>0.056111783946057731</v>
      </c>
      <c r="Q119" s="19">
        <f>HLOOKUP(REG_TRA_DEMANDS!Q$3,'BY-Demands'!$J$5:$AK$14,MATCH($E119,'BY-Demands'!$I$5:$I$14,0),FALSE)*HLOOKUP(REG_TRA_DEMANDS!$F119,DEMANDS!$G$2:$CK$25,MATCH($E119,DEMANDS!$E$2:$E$25,0),FALSE)/HLOOKUP(2018,DEMANDS!$G$2:$CK$25,MATCH($E119,DEMANDS!$E$2:$E$25,0),FALSE)</f>
        <v>0.094639726438792995</v>
      </c>
      <c r="R119" s="19">
        <f>HLOOKUP(REG_TRA_DEMANDS!R$3,'BY-Demands'!$J$5:$AK$14,MATCH($E119,'BY-Demands'!$I$5:$I$14,0),FALSE)*HLOOKUP(REG_TRA_DEMANDS!$F119,DEMANDS!$G$2:$CK$25,MATCH($E119,DEMANDS!$E$2:$E$25,0),FALSE)/HLOOKUP(2018,DEMANDS!$G$2:$CK$25,MATCH($E119,DEMANDS!$E$2:$E$25,0),FALSE)</f>
        <v>0.09002727079550836</v>
      </c>
      <c r="S119" s="19">
        <f>HLOOKUP(REG_TRA_DEMANDS!S$3,'BY-Demands'!$J$5:$AK$14,MATCH($E119,'BY-Demands'!$I$5:$I$14,0),FALSE)*HLOOKUP(REG_TRA_DEMANDS!$F119,DEMANDS!$G$2:$CK$25,MATCH($E119,DEMANDS!$E$2:$E$25,0),FALSE)/HLOOKUP(2018,DEMANDS!$G$2:$CK$25,MATCH($E119,DEMANDS!$E$2:$E$25,0),FALSE)</f>
        <v>0.075104583002351469</v>
      </c>
      <c r="T119" s="19">
        <f>HLOOKUP(REG_TRA_DEMANDS!T$3,'BY-Demands'!$J$5:$AK$14,MATCH($E119,'BY-Demands'!$I$5:$I$14,0),FALSE)*HLOOKUP(REG_TRA_DEMANDS!$F119,DEMANDS!$G$2:$CK$25,MATCH($E119,DEMANDS!$E$2:$E$25,0),FALSE)/HLOOKUP(2018,DEMANDS!$G$2:$CK$25,MATCH($E119,DEMANDS!$E$2:$E$25,0),FALSE)</f>
        <v>0.34314849529377561</v>
      </c>
      <c r="U119" s="19">
        <f>HLOOKUP(REG_TRA_DEMANDS!U$3,'BY-Demands'!$J$5:$AK$14,MATCH($E119,'BY-Demands'!$I$5:$I$14,0),FALSE)*HLOOKUP(REG_TRA_DEMANDS!$F119,DEMANDS!$G$2:$CK$25,MATCH($E119,DEMANDS!$E$2:$E$25,0),FALSE)/HLOOKUP(2018,DEMANDS!$G$2:$CK$25,MATCH($E119,DEMANDS!$E$2:$E$25,0),FALSE)</f>
        <v>0.093366038879355087</v>
      </c>
      <c r="V119" s="19">
        <f>HLOOKUP(REG_TRA_DEMANDS!V$3,'BY-Demands'!$J$5:$AK$14,MATCH($E119,'BY-Demands'!$I$5:$I$14,0),FALSE)*HLOOKUP(REG_TRA_DEMANDS!$F119,DEMANDS!$G$2:$CK$25,MATCH($E119,DEMANDS!$E$2:$E$25,0),FALSE)/HLOOKUP(2018,DEMANDS!$G$2:$CK$25,MATCH($E119,DEMANDS!$E$2:$E$25,0),FALSE)</f>
        <v>0.12319624399349671</v>
      </c>
      <c r="W119" s="19">
        <f>HLOOKUP(REG_TRA_DEMANDS!W$3,'BY-Demands'!$J$5:$AK$14,MATCH($E119,'BY-Demands'!$I$5:$I$14,0),FALSE)*HLOOKUP(REG_TRA_DEMANDS!$F119,DEMANDS!$G$2:$CK$25,MATCH($E119,DEMANDS!$E$2:$E$25,0),FALSE)/HLOOKUP(2018,DEMANDS!$G$2:$CK$25,MATCH($E119,DEMANDS!$E$2:$E$25,0),FALSE)</f>
        <v>0.10085393110223446</v>
      </c>
      <c r="X119" s="19">
        <f>HLOOKUP(REG_TRA_DEMANDS!X$3,'BY-Demands'!$J$5:$AK$14,MATCH($E119,'BY-Demands'!$I$5:$I$14,0),FALSE)*HLOOKUP(REG_TRA_DEMANDS!$F119,DEMANDS!$G$2:$CK$25,MATCH($E119,DEMANDS!$E$2:$E$25,0),FALSE)/HLOOKUP(2018,DEMANDS!$G$2:$CK$25,MATCH($E119,DEMANDS!$E$2:$E$25,0),FALSE)</f>
        <v>0.073435198960428119</v>
      </c>
      <c r="Y119" s="19">
        <f>HLOOKUP(REG_TRA_DEMANDS!Y$3,'BY-Demands'!$J$5:$AK$14,MATCH($E119,'BY-Demands'!$I$5:$I$14,0),FALSE)*HLOOKUP(REG_TRA_DEMANDS!$F119,DEMANDS!$G$2:$CK$25,MATCH($E119,DEMANDS!$E$2:$E$25,0),FALSE)/HLOOKUP(2018,DEMANDS!$G$2:$CK$25,MATCH($E119,DEMANDS!$E$2:$E$25,0),FALSE)</f>
        <v>0.16311923782304572</v>
      </c>
      <c r="Z119" s="19">
        <f>HLOOKUP(REG_TRA_DEMANDS!Z$3,'BY-Demands'!$J$5:$AK$14,MATCH($E119,'BY-Demands'!$I$5:$I$14,0),FALSE)*HLOOKUP(REG_TRA_DEMANDS!$F119,DEMANDS!$G$2:$CK$25,MATCH($E119,DEMANDS!$E$2:$E$25,0),FALSE)/HLOOKUP(2018,DEMANDS!$G$2:$CK$25,MATCH($E119,DEMANDS!$E$2:$E$25,0),FALSE)</f>
        <v>0.020255108761602698</v>
      </c>
      <c r="AA119" s="19">
        <f>HLOOKUP(REG_TRA_DEMANDS!AA$3,'BY-Demands'!$J$5:$AK$14,MATCH($E119,'BY-Demands'!$I$5:$I$14,0),FALSE)*HLOOKUP(REG_TRA_DEMANDS!$F119,DEMANDS!$G$2:$CK$25,MATCH($E119,DEMANDS!$E$2:$E$25,0),FALSE)/HLOOKUP(2018,DEMANDS!$G$2:$CK$25,MATCH($E119,DEMANDS!$E$2:$E$25,0),FALSE)</f>
        <v>0.082493867156112857</v>
      </c>
      <c r="AB119" s="19">
        <f>HLOOKUP(REG_TRA_DEMANDS!AB$3,'BY-Demands'!$J$5:$AK$14,MATCH($E119,'BY-Demands'!$I$5:$I$14,0),FALSE)*HLOOKUP(REG_TRA_DEMANDS!$F119,DEMANDS!$G$2:$CK$25,MATCH($E119,DEMANDS!$E$2:$E$25,0),FALSE)/HLOOKUP(2018,DEMANDS!$G$2:$CK$25,MATCH($E119,DEMANDS!$E$2:$E$25,0),FALSE)</f>
        <v>0.040798456494472883</v>
      </c>
      <c r="AC119" s="19">
        <f>HLOOKUP(REG_TRA_DEMANDS!AC$3,'BY-Demands'!$J$5:$AK$14,MATCH($E119,'BY-Demands'!$I$5:$I$14,0),FALSE)*HLOOKUP(REG_TRA_DEMANDS!$F119,DEMANDS!$G$2:$CK$25,MATCH($E119,DEMANDS!$E$2:$E$25,0),FALSE)/HLOOKUP(2018,DEMANDS!$G$2:$CK$25,MATCH($E119,DEMANDS!$E$2:$E$25,0),FALSE)</f>
        <v>0.041424870574573606</v>
      </c>
      <c r="AD119" s="19">
        <f>HLOOKUP(REG_TRA_DEMANDS!AD$3,'BY-Demands'!$J$5:$AK$14,MATCH($E119,'BY-Demands'!$I$5:$I$14,0),FALSE)*HLOOKUP(REG_TRA_DEMANDS!$F119,DEMANDS!$G$2:$CK$25,MATCH($E119,DEMANDS!$E$2:$E$25,0),FALSE)/HLOOKUP(2018,DEMANDS!$G$2:$CK$25,MATCH($E119,DEMANDS!$E$2:$E$25,0),FALSE)</f>
        <v>0.04815107867381889</v>
      </c>
      <c r="AE119" s="19">
        <f>HLOOKUP(REG_TRA_DEMANDS!AE$3,'BY-Demands'!$J$5:$AK$14,MATCH($E119,'BY-Demands'!$I$5:$I$14,0),FALSE)*HLOOKUP(REG_TRA_DEMANDS!$F119,DEMANDS!$G$2:$CK$25,MATCH($E119,DEMANDS!$E$2:$E$25,0),FALSE)/HLOOKUP(2018,DEMANDS!$G$2:$CK$25,MATCH($E119,DEMANDS!$E$2:$E$25,0),FALSE)</f>
        <v>0.10062574191664775</v>
      </c>
      <c r="AF119" s="19">
        <f>HLOOKUP(REG_TRA_DEMANDS!AF$3,'BY-Demands'!$J$5:$AK$14,MATCH($E119,'BY-Demands'!$I$5:$I$14,0),FALSE)*HLOOKUP(REG_TRA_DEMANDS!$F119,DEMANDS!$G$2:$CK$25,MATCH($E119,DEMANDS!$E$2:$E$25,0),FALSE)/HLOOKUP(2018,DEMANDS!$G$2:$CK$25,MATCH($E119,DEMANDS!$E$2:$E$25,0),FALSE)</f>
        <v>0.03880227519784496</v>
      </c>
    </row>
    <row r="120" spans="4:32" ht="14.5">
      <c r="D120" t="s">
        <v>6</v>
      </c>
      <c r="E120" t="str">
        <f>DEMANDS!$E$21</f>
        <v>TTURS</v>
      </c>
      <c r="F120">
        <v>2028</v>
      </c>
      <c r="G120" s="19">
        <f>HLOOKUP(REG_TRA_DEMANDS!G$3,'BY-Demands'!$J$5:$AK$14,MATCH($E120,'BY-Demands'!$I$5:$I$14,0),FALSE)*HLOOKUP(REG_TRA_DEMANDS!$F120,DEMANDS!$G$2:$CK$25,MATCH($E120,DEMANDS!$E$2:$E$25,0),FALSE)/HLOOKUP(2018,DEMANDS!$G$2:$CK$25,MATCH($E120,DEMANDS!$E$2:$E$25,0),FALSE)</f>
        <v>0.024816724903715344</v>
      </c>
      <c r="H120" s="19">
        <f>HLOOKUP(REG_TRA_DEMANDS!H$3,'BY-Demands'!$J$5:$AK$14,MATCH($E120,'BY-Demands'!$I$5:$I$14,0),FALSE)*HLOOKUP(REG_TRA_DEMANDS!$F120,DEMANDS!$G$2:$CK$25,MATCH($E120,DEMANDS!$E$2:$E$25,0),FALSE)/HLOOKUP(2018,DEMANDS!$G$2:$CK$25,MATCH($E120,DEMANDS!$E$2:$E$25,0),FALSE)</f>
        <v>0.58731535251782996</v>
      </c>
      <c r="I120" s="19">
        <f>HLOOKUP(REG_TRA_DEMANDS!I$3,'BY-Demands'!$J$5:$AK$14,MATCH($E120,'BY-Demands'!$I$5:$I$14,0),FALSE)*HLOOKUP(REG_TRA_DEMANDS!$F120,DEMANDS!$G$2:$CK$25,MATCH($E120,DEMANDS!$E$2:$E$25,0),FALSE)/HLOOKUP(2018,DEMANDS!$G$2:$CK$25,MATCH($E120,DEMANDS!$E$2:$E$25,0),FALSE)</f>
        <v>0.096989751949277725</v>
      </c>
      <c r="J120" s="19">
        <f>HLOOKUP(REG_TRA_DEMANDS!J$3,'BY-Demands'!$J$5:$AK$14,MATCH($E120,'BY-Demands'!$I$5:$I$14,0),FALSE)*HLOOKUP(REG_TRA_DEMANDS!$F120,DEMANDS!$G$2:$CK$25,MATCH($E120,DEMANDS!$E$2:$E$25,0),FALSE)/HLOOKUP(2018,DEMANDS!$G$2:$CK$25,MATCH($E120,DEMANDS!$E$2:$E$25,0),FALSE)</f>
        <v>0.04325534401822316</v>
      </c>
      <c r="K120" s="19">
        <f>HLOOKUP(REG_TRA_DEMANDS!K$3,'BY-Demands'!$J$5:$AK$14,MATCH($E120,'BY-Demands'!$I$5:$I$14,0),FALSE)*HLOOKUP(REG_TRA_DEMANDS!$F120,DEMANDS!$G$2:$CK$25,MATCH($E120,DEMANDS!$E$2:$E$25,0),FALSE)/HLOOKUP(2018,DEMANDS!$G$2:$CK$25,MATCH($E120,DEMANDS!$E$2:$E$25,0),FALSE)</f>
        <v>0.036919520641642257</v>
      </c>
      <c r="L120" s="19">
        <f>HLOOKUP(REG_TRA_DEMANDS!L$3,'BY-Demands'!$J$5:$AK$14,MATCH($E120,'BY-Demands'!$I$5:$I$14,0),FALSE)*HLOOKUP(REG_TRA_DEMANDS!$F120,DEMANDS!$G$2:$CK$25,MATCH($E120,DEMANDS!$E$2:$E$25,0),FALSE)/HLOOKUP(2018,DEMANDS!$G$2:$CK$25,MATCH($E120,DEMANDS!$E$2:$E$25,0),FALSE)</f>
        <v>0.017816588157618857</v>
      </c>
      <c r="M120" s="19">
        <f>HLOOKUP(REG_TRA_DEMANDS!M$3,'BY-Demands'!$J$5:$AK$14,MATCH($E120,'BY-Demands'!$I$5:$I$14,0),FALSE)*HLOOKUP(REG_TRA_DEMANDS!$F120,DEMANDS!$G$2:$CK$25,MATCH($E120,DEMANDS!$E$2:$E$25,0),FALSE)/HLOOKUP(2018,DEMANDS!$G$2:$CK$25,MATCH($E120,DEMANDS!$E$2:$E$25,0),FALSE)</f>
        <v>0.056180685247144785</v>
      </c>
      <c r="N120" s="19">
        <f>HLOOKUP(REG_TRA_DEMANDS!N$3,'BY-Demands'!$J$5:$AK$14,MATCH($E120,'BY-Demands'!$I$5:$I$14,0),FALSE)*HLOOKUP(REG_TRA_DEMANDS!$F120,DEMANDS!$G$2:$CK$25,MATCH($E120,DEMANDS!$E$2:$E$25,0),FALSE)/HLOOKUP(2018,DEMANDS!$G$2:$CK$25,MATCH($E120,DEMANDS!$E$2:$E$25,0),FALSE)</f>
        <v>0.085019906065486178</v>
      </c>
      <c r="O120" s="19">
        <f>HLOOKUP(REG_TRA_DEMANDS!O$3,'BY-Demands'!$J$5:$AK$14,MATCH($E120,'BY-Demands'!$I$5:$I$14,0),FALSE)*HLOOKUP(REG_TRA_DEMANDS!$F120,DEMANDS!$G$2:$CK$25,MATCH($E120,DEMANDS!$E$2:$E$25,0),FALSE)/HLOOKUP(2018,DEMANDS!$G$2:$CK$25,MATCH($E120,DEMANDS!$E$2:$E$25,0),FALSE)</f>
        <v>0.033983290420476243</v>
      </c>
      <c r="P120" s="19">
        <f>HLOOKUP(REG_TRA_DEMANDS!P$3,'BY-Demands'!$J$5:$AK$14,MATCH($E120,'BY-Demands'!$I$5:$I$14,0),FALSE)*HLOOKUP(REG_TRA_DEMANDS!$F120,DEMANDS!$G$2:$CK$25,MATCH($E120,DEMANDS!$E$2:$E$25,0),FALSE)/HLOOKUP(2018,DEMANDS!$G$2:$CK$25,MATCH($E120,DEMANDS!$E$2:$E$25,0),FALSE)</f>
        <v>0.038694946070800464</v>
      </c>
      <c r="Q120" s="19">
        <f>HLOOKUP(REG_TRA_DEMANDS!Q$3,'BY-Demands'!$J$5:$AK$14,MATCH($E120,'BY-Demands'!$I$5:$I$14,0),FALSE)*HLOOKUP(REG_TRA_DEMANDS!$F120,DEMANDS!$G$2:$CK$25,MATCH($E120,DEMANDS!$E$2:$E$25,0),FALSE)/HLOOKUP(2018,DEMANDS!$G$2:$CK$25,MATCH($E120,DEMANDS!$E$2:$E$25,0),FALSE)</f>
        <v>0.065263993642135698</v>
      </c>
      <c r="R120" s="19">
        <f>HLOOKUP(REG_TRA_DEMANDS!R$3,'BY-Demands'!$J$5:$AK$14,MATCH($E120,'BY-Demands'!$I$5:$I$14,0),FALSE)*HLOOKUP(REG_TRA_DEMANDS!$F120,DEMANDS!$G$2:$CK$25,MATCH($E120,DEMANDS!$E$2:$E$25,0),FALSE)/HLOOKUP(2018,DEMANDS!$G$2:$CK$25,MATCH($E120,DEMANDS!$E$2:$E$25,0),FALSE)</f>
        <v>0.062083222869592877</v>
      </c>
      <c r="S120" s="19">
        <f>HLOOKUP(REG_TRA_DEMANDS!S$3,'BY-Demands'!$J$5:$AK$14,MATCH($E120,'BY-Demands'!$I$5:$I$14,0),FALSE)*HLOOKUP(REG_TRA_DEMANDS!$F120,DEMANDS!$G$2:$CK$25,MATCH($E120,DEMANDS!$E$2:$E$25,0),FALSE)/HLOOKUP(2018,DEMANDS!$G$2:$CK$25,MATCH($E120,DEMANDS!$E$2:$E$25,0),FALSE)</f>
        <v>0.051792468258356407</v>
      </c>
      <c r="T120" s="19">
        <f>HLOOKUP(REG_TRA_DEMANDS!T$3,'BY-Demands'!$J$5:$AK$14,MATCH($E120,'BY-Demands'!$I$5:$I$14,0),FALSE)*HLOOKUP(REG_TRA_DEMANDS!$F120,DEMANDS!$G$2:$CK$25,MATCH($E120,DEMANDS!$E$2:$E$25,0),FALSE)/HLOOKUP(2018,DEMANDS!$G$2:$CK$25,MATCH($E120,DEMANDS!$E$2:$E$25,0),FALSE)</f>
        <v>0.23663679152375017</v>
      </c>
      <c r="U120" s="19">
        <f>HLOOKUP(REG_TRA_DEMANDS!U$3,'BY-Demands'!$J$5:$AK$14,MATCH($E120,'BY-Demands'!$I$5:$I$14,0),FALSE)*HLOOKUP(REG_TRA_DEMANDS!$F120,DEMANDS!$G$2:$CK$25,MATCH($E120,DEMANDS!$E$2:$E$25,0),FALSE)/HLOOKUP(2018,DEMANDS!$G$2:$CK$25,MATCH($E120,DEMANDS!$E$2:$E$25,0),FALSE)</f>
        <v>0.064385652802520274</v>
      </c>
      <c r="V120" s="19">
        <f>HLOOKUP(REG_TRA_DEMANDS!V$3,'BY-Demands'!$J$5:$AK$14,MATCH($E120,'BY-Demands'!$I$5:$I$14,0),FALSE)*HLOOKUP(REG_TRA_DEMANDS!$F120,DEMANDS!$G$2:$CK$25,MATCH($E120,DEMANDS!$E$2:$E$25,0),FALSE)/HLOOKUP(2018,DEMANDS!$G$2:$CK$25,MATCH($E120,DEMANDS!$E$2:$E$25,0),FALSE)</f>
        <v>0.084956700397126703</v>
      </c>
      <c r="W120" s="19">
        <f>HLOOKUP(REG_TRA_DEMANDS!W$3,'BY-Demands'!$J$5:$AK$14,MATCH($E120,'BY-Demands'!$I$5:$I$14,0),FALSE)*HLOOKUP(REG_TRA_DEMANDS!$F120,DEMANDS!$G$2:$CK$25,MATCH($E120,DEMANDS!$E$2:$E$25,0),FALSE)/HLOOKUP(2018,DEMANDS!$G$2:$CK$25,MATCH($E120,DEMANDS!$E$2:$E$25,0),FALSE)</f>
        <v>0.069549337956904683</v>
      </c>
      <c r="X120" s="19">
        <f>HLOOKUP(REG_TRA_DEMANDS!X$3,'BY-Demands'!$J$5:$AK$14,MATCH($E120,'BY-Demands'!$I$5:$I$14,0),FALSE)*HLOOKUP(REG_TRA_DEMANDS!$F120,DEMANDS!$G$2:$CK$25,MATCH($E120,DEMANDS!$E$2:$E$25,0),FALSE)/HLOOKUP(2018,DEMANDS!$G$2:$CK$25,MATCH($E120,DEMANDS!$E$2:$E$25,0),FALSE)</f>
        <v>0.050641253291892702</v>
      </c>
      <c r="Y120" s="19">
        <f>HLOOKUP(REG_TRA_DEMANDS!Y$3,'BY-Demands'!$J$5:$AK$14,MATCH($E120,'BY-Demands'!$I$5:$I$14,0),FALSE)*HLOOKUP(REG_TRA_DEMANDS!$F120,DEMANDS!$G$2:$CK$25,MATCH($E120,DEMANDS!$E$2:$E$25,0),FALSE)/HLOOKUP(2018,DEMANDS!$G$2:$CK$25,MATCH($E120,DEMANDS!$E$2:$E$25,0),FALSE)</f>
        <v>0.11248778183100853</v>
      </c>
      <c r="Z120" s="19">
        <f>HLOOKUP(REG_TRA_DEMANDS!Z$3,'BY-Demands'!$J$5:$AK$14,MATCH($E120,'BY-Demands'!$I$5:$I$14,0),FALSE)*HLOOKUP(REG_TRA_DEMANDS!$F120,DEMANDS!$G$2:$CK$25,MATCH($E120,DEMANDS!$E$2:$E$25,0),FALSE)/HLOOKUP(2018,DEMANDS!$G$2:$CK$25,MATCH($E120,DEMANDS!$E$2:$E$25,0),FALSE)</f>
        <v>0.013968016806271584</v>
      </c>
      <c r="AA120" s="19">
        <f>HLOOKUP(REG_TRA_DEMANDS!AA$3,'BY-Demands'!$J$5:$AK$14,MATCH($E120,'BY-Demands'!$I$5:$I$14,0),FALSE)*HLOOKUP(REG_TRA_DEMANDS!$F120,DEMANDS!$G$2:$CK$25,MATCH($E120,DEMANDS!$E$2:$E$25,0),FALSE)/HLOOKUP(2018,DEMANDS!$G$2:$CK$25,MATCH($E120,DEMANDS!$E$2:$E$25,0),FALSE)</f>
        <v>0.05688815283160914</v>
      </c>
      <c r="AB120" s="19">
        <f>HLOOKUP(REG_TRA_DEMANDS!AB$3,'BY-Demands'!$J$5:$AK$14,MATCH($E120,'BY-Demands'!$I$5:$I$14,0),FALSE)*HLOOKUP(REG_TRA_DEMANDS!$F120,DEMANDS!$G$2:$CK$25,MATCH($E120,DEMANDS!$E$2:$E$25,0),FALSE)/HLOOKUP(2018,DEMANDS!$G$2:$CK$25,MATCH($E120,DEMANDS!$E$2:$E$25,0),FALSE)</f>
        <v>0.028134804542004625</v>
      </c>
      <c r="AC120" s="19">
        <f>HLOOKUP(REG_TRA_DEMANDS!AC$3,'BY-Demands'!$J$5:$AK$14,MATCH($E120,'BY-Demands'!$I$5:$I$14,0),FALSE)*HLOOKUP(REG_TRA_DEMANDS!$F120,DEMANDS!$G$2:$CK$25,MATCH($E120,DEMANDS!$E$2:$E$25,0),FALSE)/HLOOKUP(2018,DEMANDS!$G$2:$CK$25,MATCH($E120,DEMANDS!$E$2:$E$25,0),FALSE)</f>
        <v>0.028566782592654192</v>
      </c>
      <c r="AD120" s="19">
        <f>HLOOKUP(REG_TRA_DEMANDS!AD$3,'BY-Demands'!$J$5:$AK$14,MATCH($E120,'BY-Demands'!$I$5:$I$14,0),FALSE)*HLOOKUP(REG_TRA_DEMANDS!$F120,DEMANDS!$G$2:$CK$25,MATCH($E120,DEMANDS!$E$2:$E$25,0),FALSE)/HLOOKUP(2018,DEMANDS!$G$2:$CK$25,MATCH($E120,DEMANDS!$E$2:$E$25,0),FALSE)</f>
        <v>0.03320520684791374</v>
      </c>
      <c r="AE120" s="19">
        <f>HLOOKUP(REG_TRA_DEMANDS!AE$3,'BY-Demands'!$J$5:$AK$14,MATCH($E120,'BY-Demands'!$I$5:$I$14,0),FALSE)*HLOOKUP(REG_TRA_DEMANDS!$F120,DEMANDS!$G$2:$CK$25,MATCH($E120,DEMANDS!$E$2:$E$25,0),FALSE)/HLOOKUP(2018,DEMANDS!$G$2:$CK$25,MATCH($E120,DEMANDS!$E$2:$E$25,0),FALSE)</f>
        <v>0.069391977637747737</v>
      </c>
      <c r="AF120" s="19">
        <f>HLOOKUP(REG_TRA_DEMANDS!AF$3,'BY-Demands'!$J$5:$AK$14,MATCH($E120,'BY-Demands'!$I$5:$I$14,0),FALSE)*HLOOKUP(REG_TRA_DEMANDS!$F120,DEMANDS!$G$2:$CK$25,MATCH($E120,DEMANDS!$E$2:$E$25,0),FALSE)/HLOOKUP(2018,DEMANDS!$G$2:$CK$25,MATCH($E120,DEMANDS!$E$2:$E$25,0),FALSE)</f>
        <v>0.026758228675252401</v>
      </c>
    </row>
    <row r="121" spans="4:32" ht="14.5">
      <c r="D121" t="s">
        <v>6</v>
      </c>
      <c r="E121" t="str">
        <f>DEMANDS!$E$21</f>
        <v>TTURS</v>
      </c>
      <c r="F121">
        <v>2029</v>
      </c>
      <c r="G121" s="19">
        <f>HLOOKUP(REG_TRA_DEMANDS!G$3,'BY-Demands'!$J$5:$AK$14,MATCH($E121,'BY-Demands'!$I$5:$I$14,0),FALSE)*HLOOKUP(REG_TRA_DEMANDS!$F121,DEMANDS!$G$2:$CK$25,MATCH($E121,DEMANDS!$E$2:$E$25,0),FALSE)/HLOOKUP(2018,DEMANDS!$G$2:$CK$25,MATCH($E121,DEMANDS!$E$2:$E$25,0),FALSE)</f>
        <v>0.013646561403499659</v>
      </c>
      <c r="H121" s="19">
        <f>HLOOKUP(REG_TRA_DEMANDS!H$3,'BY-Demands'!$J$5:$AK$14,MATCH($E121,'BY-Demands'!$I$5:$I$14,0),FALSE)*HLOOKUP(REG_TRA_DEMANDS!$F121,DEMANDS!$G$2:$CK$25,MATCH($E121,DEMANDS!$E$2:$E$25,0),FALSE)/HLOOKUP(2018,DEMANDS!$G$2:$CK$25,MATCH($E121,DEMANDS!$E$2:$E$25,0),FALSE)</f>
        <v>0.32296102940451676</v>
      </c>
      <c r="I121" s="19">
        <f>HLOOKUP(REG_TRA_DEMANDS!I$3,'BY-Demands'!$J$5:$AK$14,MATCH($E121,'BY-Demands'!$I$5:$I$14,0),FALSE)*HLOOKUP(REG_TRA_DEMANDS!$F121,DEMANDS!$G$2:$CK$25,MATCH($E121,DEMANDS!$E$2:$E$25,0),FALSE)/HLOOKUP(2018,DEMANDS!$G$2:$CK$25,MATCH($E121,DEMANDS!$E$2:$E$25,0),FALSE)</f>
        <v>0.053334056392262491</v>
      </c>
      <c r="J121" s="19">
        <f>HLOOKUP(REG_TRA_DEMANDS!J$3,'BY-Demands'!$J$5:$AK$14,MATCH($E121,'BY-Demands'!$I$5:$I$14,0),FALSE)*HLOOKUP(REG_TRA_DEMANDS!$F121,DEMANDS!$G$2:$CK$25,MATCH($E121,DEMANDS!$E$2:$E$25,0),FALSE)/HLOOKUP(2018,DEMANDS!$G$2:$CK$25,MATCH($E121,DEMANDS!$E$2:$E$25,0),FALSE)</f>
        <v>0.023785842429425944</v>
      </c>
      <c r="K121" s="19">
        <f>HLOOKUP(REG_TRA_DEMANDS!K$3,'BY-Demands'!$J$5:$AK$14,MATCH($E121,'BY-Demands'!$I$5:$I$14,0),FALSE)*HLOOKUP(REG_TRA_DEMANDS!$F121,DEMANDS!$G$2:$CK$25,MATCH($E121,DEMANDS!$E$2:$E$25,0),FALSE)/HLOOKUP(2018,DEMANDS!$G$2:$CK$25,MATCH($E121,DEMANDS!$E$2:$E$25,0),FALSE)</f>
        <v>0.020301812885410834</v>
      </c>
      <c r="L121" s="19">
        <f>HLOOKUP(REG_TRA_DEMANDS!L$3,'BY-Demands'!$J$5:$AK$14,MATCH($E121,'BY-Demands'!$I$5:$I$14,0),FALSE)*HLOOKUP(REG_TRA_DEMANDS!$F121,DEMANDS!$G$2:$CK$25,MATCH($E121,DEMANDS!$E$2:$E$25,0),FALSE)/HLOOKUP(2018,DEMANDS!$G$2:$CK$25,MATCH($E121,DEMANDS!$E$2:$E$25,0),FALSE)</f>
        <v>0.0097972301033731699</v>
      </c>
      <c r="M121" s="19">
        <f>HLOOKUP(REG_TRA_DEMANDS!M$3,'BY-Demands'!$J$5:$AK$14,MATCH($E121,'BY-Demands'!$I$5:$I$14,0),FALSE)*HLOOKUP(REG_TRA_DEMANDS!$F121,DEMANDS!$G$2:$CK$25,MATCH($E121,DEMANDS!$E$2:$E$25,0),FALSE)/HLOOKUP(2018,DEMANDS!$G$2:$CK$25,MATCH($E121,DEMANDS!$E$2:$E$25,0),FALSE)</f>
        <v>0.03089340651880575</v>
      </c>
      <c r="N121" s="19">
        <f>HLOOKUP(REG_TRA_DEMANDS!N$3,'BY-Demands'!$J$5:$AK$14,MATCH($E121,'BY-Demands'!$I$5:$I$14,0),FALSE)*HLOOKUP(REG_TRA_DEMANDS!$F121,DEMANDS!$G$2:$CK$25,MATCH($E121,DEMANDS!$E$2:$E$25,0),FALSE)/HLOOKUP(2018,DEMANDS!$G$2:$CK$25,MATCH($E121,DEMANDS!$E$2:$E$25,0),FALSE)</f>
        <v>0.04675191320143661</v>
      </c>
      <c r="O121" s="19">
        <f>HLOOKUP(REG_TRA_DEMANDS!O$3,'BY-Demands'!$J$5:$AK$14,MATCH($E121,'BY-Demands'!$I$5:$I$14,0),FALSE)*HLOOKUP(REG_TRA_DEMANDS!$F121,DEMANDS!$G$2:$CK$25,MATCH($E121,DEMANDS!$E$2:$E$25,0),FALSE)/HLOOKUP(2018,DEMANDS!$G$2:$CK$25,MATCH($E121,DEMANDS!$E$2:$E$25,0),FALSE)</f>
        <v>0.018687198299343739</v>
      </c>
      <c r="P121" s="19">
        <f>HLOOKUP(REG_TRA_DEMANDS!P$3,'BY-Demands'!$J$5:$AK$14,MATCH($E121,'BY-Demands'!$I$5:$I$14,0),FALSE)*HLOOKUP(REG_TRA_DEMANDS!$F121,DEMANDS!$G$2:$CK$25,MATCH($E121,DEMANDS!$E$2:$E$25,0),FALSE)/HLOOKUP(2018,DEMANDS!$G$2:$CK$25,MATCH($E121,DEMANDS!$E$2:$E$25,0),FALSE)</f>
        <v>0.021278108195543193</v>
      </c>
      <c r="Q121" s="19">
        <f>HLOOKUP(REG_TRA_DEMANDS!Q$3,'BY-Demands'!$J$5:$AK$14,MATCH($E121,'BY-Demands'!$I$5:$I$14,0),FALSE)*HLOOKUP(REG_TRA_DEMANDS!$F121,DEMANDS!$G$2:$CK$25,MATCH($E121,DEMANDS!$E$2:$E$25,0),FALSE)/HLOOKUP(2018,DEMANDS!$G$2:$CK$25,MATCH($E121,DEMANDS!$E$2:$E$25,0),FALSE)</f>
        <v>0.035888260845478394</v>
      </c>
      <c r="R121" s="19">
        <f>HLOOKUP(REG_TRA_DEMANDS!R$3,'BY-Demands'!$J$5:$AK$14,MATCH($E121,'BY-Demands'!$I$5:$I$14,0),FALSE)*HLOOKUP(REG_TRA_DEMANDS!$F121,DEMANDS!$G$2:$CK$25,MATCH($E121,DEMANDS!$E$2:$E$25,0),FALSE)/HLOOKUP(2018,DEMANDS!$G$2:$CK$25,MATCH($E121,DEMANDS!$E$2:$E$25,0),FALSE)</f>
        <v>0.034139174943677388</v>
      </c>
      <c r="S121" s="19">
        <f>HLOOKUP(REG_TRA_DEMANDS!S$3,'BY-Demands'!$J$5:$AK$14,MATCH($E121,'BY-Demands'!$I$5:$I$14,0),FALSE)*HLOOKUP(REG_TRA_DEMANDS!$F121,DEMANDS!$G$2:$CK$25,MATCH($E121,DEMANDS!$E$2:$E$25,0),FALSE)/HLOOKUP(2018,DEMANDS!$G$2:$CK$25,MATCH($E121,DEMANDS!$E$2:$E$25,0),FALSE)</f>
        <v>0.028480353514361328</v>
      </c>
      <c r="T121" s="19">
        <f>HLOOKUP(REG_TRA_DEMANDS!T$3,'BY-Demands'!$J$5:$AK$14,MATCH($E121,'BY-Demands'!$I$5:$I$14,0),FALSE)*HLOOKUP(REG_TRA_DEMANDS!$F121,DEMANDS!$G$2:$CK$25,MATCH($E121,DEMANDS!$E$2:$E$25,0),FALSE)/HLOOKUP(2018,DEMANDS!$G$2:$CK$25,MATCH($E121,DEMANDS!$E$2:$E$25,0),FALSE)</f>
        <v>0.13012508775372469</v>
      </c>
      <c r="U121" s="19">
        <f>HLOOKUP(REG_TRA_DEMANDS!U$3,'BY-Demands'!$J$5:$AK$14,MATCH($E121,'BY-Demands'!$I$5:$I$14,0),FALSE)*HLOOKUP(REG_TRA_DEMANDS!$F121,DEMANDS!$G$2:$CK$25,MATCH($E121,DEMANDS!$E$2:$E$25,0),FALSE)/HLOOKUP(2018,DEMANDS!$G$2:$CK$25,MATCH($E121,DEMANDS!$E$2:$E$25,0),FALSE)</f>
        <v>0.035405266725685468</v>
      </c>
      <c r="V121" s="19">
        <f>HLOOKUP(REG_TRA_DEMANDS!V$3,'BY-Demands'!$J$5:$AK$14,MATCH($E121,'BY-Demands'!$I$5:$I$14,0),FALSE)*HLOOKUP(REG_TRA_DEMANDS!$F121,DEMANDS!$G$2:$CK$25,MATCH($E121,DEMANDS!$E$2:$E$25,0),FALSE)/HLOOKUP(2018,DEMANDS!$G$2:$CK$25,MATCH($E121,DEMANDS!$E$2:$E$25,0),FALSE)</f>
        <v>0.046717156800756693</v>
      </c>
      <c r="W121" s="19">
        <f>HLOOKUP(REG_TRA_DEMANDS!W$3,'BY-Demands'!$J$5:$AK$14,MATCH($E121,'BY-Demands'!$I$5:$I$14,0),FALSE)*HLOOKUP(REG_TRA_DEMANDS!$F121,DEMANDS!$G$2:$CK$25,MATCH($E121,DEMANDS!$E$2:$E$25,0),FALSE)/HLOOKUP(2018,DEMANDS!$G$2:$CK$25,MATCH($E121,DEMANDS!$E$2:$E$25,0),FALSE)</f>
        <v>0.038244744811574909</v>
      </c>
      <c r="X121" s="19">
        <f>HLOOKUP(REG_TRA_DEMANDS!X$3,'BY-Demands'!$J$5:$AK$14,MATCH($E121,'BY-Demands'!$I$5:$I$14,0),FALSE)*HLOOKUP(REG_TRA_DEMANDS!$F121,DEMANDS!$G$2:$CK$25,MATCH($E121,DEMANDS!$E$2:$E$25,0),FALSE)/HLOOKUP(2018,DEMANDS!$G$2:$CK$25,MATCH($E121,DEMANDS!$E$2:$E$25,0),FALSE)</f>
        <v>0.027847307623357288</v>
      </c>
      <c r="Y121" s="19">
        <f>HLOOKUP(REG_TRA_DEMANDS!Y$3,'BY-Demands'!$J$5:$AK$14,MATCH($E121,'BY-Demands'!$I$5:$I$14,0),FALSE)*HLOOKUP(REG_TRA_DEMANDS!$F121,DEMANDS!$G$2:$CK$25,MATCH($E121,DEMANDS!$E$2:$E$25,0),FALSE)/HLOOKUP(2018,DEMANDS!$G$2:$CK$25,MATCH($E121,DEMANDS!$E$2:$E$25,0),FALSE)</f>
        <v>0.061856325838971347</v>
      </c>
      <c r="Z121" s="19">
        <f>HLOOKUP(REG_TRA_DEMANDS!Z$3,'BY-Demands'!$J$5:$AK$14,MATCH($E121,'BY-Demands'!$I$5:$I$14,0),FALSE)*HLOOKUP(REG_TRA_DEMANDS!$F121,DEMANDS!$G$2:$CK$25,MATCH($E121,DEMANDS!$E$2:$E$25,0),FALSE)/HLOOKUP(2018,DEMANDS!$G$2:$CK$25,MATCH($E121,DEMANDS!$E$2:$E$25,0),FALSE)</f>
        <v>0.007680924850940467</v>
      </c>
      <c r="AA121" s="19">
        <f>HLOOKUP(REG_TRA_DEMANDS!AA$3,'BY-Demands'!$J$5:$AK$14,MATCH($E121,'BY-Demands'!$I$5:$I$14,0),FALSE)*HLOOKUP(REG_TRA_DEMANDS!$F121,DEMANDS!$G$2:$CK$25,MATCH($E121,DEMANDS!$E$2:$E$25,0),FALSE)/HLOOKUP(2018,DEMANDS!$G$2:$CK$25,MATCH($E121,DEMANDS!$E$2:$E$25,0),FALSE)</f>
        <v>0.03128243850710543</v>
      </c>
      <c r="AB121" s="19">
        <f>HLOOKUP(REG_TRA_DEMANDS!AB$3,'BY-Demands'!$J$5:$AK$14,MATCH($E121,'BY-Demands'!$I$5:$I$14,0),FALSE)*HLOOKUP(REG_TRA_DEMANDS!$F121,DEMANDS!$G$2:$CK$25,MATCH($E121,DEMANDS!$E$2:$E$25,0),FALSE)/HLOOKUP(2018,DEMANDS!$G$2:$CK$25,MATCH($E121,DEMANDS!$E$2:$E$25,0),FALSE)</f>
        <v>0.015471152589536363</v>
      </c>
      <c r="AC121" s="19">
        <f>HLOOKUP(REG_TRA_DEMANDS!AC$3,'BY-Demands'!$J$5:$AK$14,MATCH($E121,'BY-Demands'!$I$5:$I$14,0),FALSE)*HLOOKUP(REG_TRA_DEMANDS!$F121,DEMANDS!$G$2:$CK$25,MATCH($E121,DEMANDS!$E$2:$E$25,0),FALSE)/HLOOKUP(2018,DEMANDS!$G$2:$CK$25,MATCH($E121,DEMANDS!$E$2:$E$25,0),FALSE)</f>
        <v>0.015708694610734771</v>
      </c>
      <c r="AD121" s="19">
        <f>HLOOKUP(REG_TRA_DEMANDS!AD$3,'BY-Demands'!$J$5:$AK$14,MATCH($E121,'BY-Demands'!$I$5:$I$14,0),FALSE)*HLOOKUP(REG_TRA_DEMANDS!$F121,DEMANDS!$G$2:$CK$25,MATCH($E121,DEMANDS!$E$2:$E$25,0),FALSE)/HLOOKUP(2018,DEMANDS!$G$2:$CK$25,MATCH($E121,DEMANDS!$E$2:$E$25,0),FALSE)</f>
        <v>0.018259335022008584</v>
      </c>
      <c r="AE121" s="19">
        <f>HLOOKUP(REG_TRA_DEMANDS!AE$3,'BY-Demands'!$J$5:$AK$14,MATCH($E121,'BY-Demands'!$I$5:$I$14,0),FALSE)*HLOOKUP(REG_TRA_DEMANDS!$F121,DEMANDS!$G$2:$CK$25,MATCH($E121,DEMANDS!$E$2:$E$25,0),FALSE)/HLOOKUP(2018,DEMANDS!$G$2:$CK$25,MATCH($E121,DEMANDS!$E$2:$E$25,0),FALSE)</f>
        <v>0.038158213358847712</v>
      </c>
      <c r="AF121" s="19">
        <f>HLOOKUP(REG_TRA_DEMANDS!AF$3,'BY-Demands'!$J$5:$AK$14,MATCH($E121,'BY-Demands'!$I$5:$I$14,0),FALSE)*HLOOKUP(REG_TRA_DEMANDS!$F121,DEMANDS!$G$2:$CK$25,MATCH($E121,DEMANDS!$E$2:$E$25,0),FALSE)/HLOOKUP(2018,DEMANDS!$G$2:$CK$25,MATCH($E121,DEMANDS!$E$2:$E$25,0),FALSE)</f>
        <v>0.014714182152659835</v>
      </c>
    </row>
    <row r="122" spans="4:32" ht="14.5">
      <c r="D122" t="s">
        <v>6</v>
      </c>
      <c r="E122" t="str">
        <f>DEMANDS!$E$21</f>
        <v>TTURS</v>
      </c>
      <c r="F122">
        <v>2030</v>
      </c>
      <c r="G122" s="19">
        <f>HLOOKUP(REG_TRA_DEMANDS!G$3,'BY-Demands'!$J$5:$AK$14,MATCH($E122,'BY-Demands'!$I$5:$I$14,0),FALSE)*HLOOKUP(REG_TRA_DEMANDS!$F122,DEMANDS!$G$2:$CK$25,MATCH($E122,DEMANDS!$E$2:$E$25,0),FALSE)/HLOOKUP(2018,DEMANDS!$G$2:$CK$25,MATCH($E122,DEMANDS!$E$2:$E$25,0),FALSE)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H122" s="19">
        <f>HLOOKUP(REG_TRA_DEMANDS!H$3,'BY-Demands'!$J$5:$AK$14,MATCH($E122,'BY-Demands'!$I$5:$I$14,0),FALSE)*HLOOKUP(REG_TRA_DEMANDS!$F122,DEMANDS!$G$2:$CK$25,MATCH($E122,DEMANDS!$E$2:$E$25,0),FALSE)/HLOOKUP(2018,DEMANDS!$G$2:$CK$25,MATCH($E122,DEMANDS!$E$2:$E$25,0),FALSE)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I122" s="19">
        <f>HLOOKUP(REG_TRA_DEMANDS!I$3,'BY-Demands'!$J$5:$AK$14,MATCH($E122,'BY-Demands'!$I$5:$I$14,0),FALSE)*HLOOKUP(REG_TRA_DEMANDS!$F122,DEMANDS!$G$2:$CK$25,MATCH($E122,DEMANDS!$E$2:$E$25,0),FALSE)/HLOOKUP(2018,DEMANDS!$G$2:$CK$25,MATCH($E122,DEMANDS!$E$2:$E$25,0),FALSE)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J122" s="19">
        <f>HLOOKUP(REG_TRA_DEMANDS!J$3,'BY-Demands'!$J$5:$AK$14,MATCH($E122,'BY-Demands'!$I$5:$I$14,0),FALSE)*HLOOKUP(REG_TRA_DEMANDS!$F122,DEMANDS!$G$2:$CK$25,MATCH($E122,DEMANDS!$E$2:$E$25,0),FALSE)/HLOOKUP(2018,DEMANDS!$G$2:$CK$25,MATCH($E122,DEMANDS!$E$2:$E$25,0),FALSE)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K122" s="19">
        <f>HLOOKUP(REG_TRA_DEMANDS!K$3,'BY-Demands'!$J$5:$AK$14,MATCH($E122,'BY-Demands'!$I$5:$I$14,0),FALSE)*HLOOKUP(REG_TRA_DEMANDS!$F122,DEMANDS!$G$2:$CK$25,MATCH($E122,DEMANDS!$E$2:$E$25,0),FALSE)/HLOOKUP(2018,DEMANDS!$G$2:$CK$25,MATCH($E122,DEMANDS!$E$2:$E$25,0),FALSE)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L122" s="19">
        <f>HLOOKUP(REG_TRA_DEMANDS!L$3,'BY-Demands'!$J$5:$AK$14,MATCH($E122,'BY-Demands'!$I$5:$I$14,0),FALSE)*HLOOKUP(REG_TRA_DEMANDS!$F122,DEMANDS!$G$2:$CK$25,MATCH($E122,DEMANDS!$E$2:$E$25,0),FALSE)/HLOOKUP(2018,DEMANDS!$G$2:$CK$25,MATCH($E122,DEMANDS!$E$2:$E$25,0),FALSE)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M122" s="19">
        <f>HLOOKUP(REG_TRA_DEMANDS!M$3,'BY-Demands'!$J$5:$AK$14,MATCH($E122,'BY-Demands'!$I$5:$I$14,0),FALSE)*HLOOKUP(REG_TRA_DEMANDS!$F122,DEMANDS!$G$2:$CK$25,MATCH($E122,DEMANDS!$E$2:$E$25,0),FALSE)/HLOOKUP(2018,DEMANDS!$G$2:$CK$25,MATCH($E122,DEMANDS!$E$2:$E$25,0),FALSE)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N122" s="19">
        <f>HLOOKUP(REG_TRA_DEMANDS!N$3,'BY-Demands'!$J$5:$AK$14,MATCH($E122,'BY-Demands'!$I$5:$I$14,0),FALSE)*HLOOKUP(REG_TRA_DEMANDS!$F122,DEMANDS!$G$2:$CK$25,MATCH($E122,DEMANDS!$E$2:$E$25,0),FALSE)/HLOOKUP(2018,DEMANDS!$G$2:$CK$25,MATCH($E122,DEMANDS!$E$2:$E$25,0),FALSE)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O122" s="19">
        <f>HLOOKUP(REG_TRA_DEMANDS!O$3,'BY-Demands'!$J$5:$AK$14,MATCH($E122,'BY-Demands'!$I$5:$I$14,0),FALSE)*HLOOKUP(REG_TRA_DEMANDS!$F122,DEMANDS!$G$2:$CK$25,MATCH($E122,DEMANDS!$E$2:$E$25,0),FALSE)/HLOOKUP(2018,DEMANDS!$G$2:$CK$25,MATCH($E122,DEMANDS!$E$2:$E$25,0),FALSE)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P122" s="19">
        <f>HLOOKUP(REG_TRA_DEMANDS!P$3,'BY-Demands'!$J$5:$AK$14,MATCH($E122,'BY-Demands'!$I$5:$I$14,0),FALSE)*HLOOKUP(REG_TRA_DEMANDS!$F122,DEMANDS!$G$2:$CK$25,MATCH($E122,DEMANDS!$E$2:$E$25,0),FALSE)/HLOOKUP(2018,DEMANDS!$G$2:$CK$25,MATCH($E122,DEMANDS!$E$2:$E$25,0),FALSE)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Q122" s="19">
        <f>HLOOKUP(REG_TRA_DEMANDS!Q$3,'BY-Demands'!$J$5:$AK$14,MATCH($E122,'BY-Demands'!$I$5:$I$14,0),FALSE)*HLOOKUP(REG_TRA_DEMANDS!$F122,DEMANDS!$G$2:$CK$25,MATCH($E122,DEMANDS!$E$2:$E$25,0),FALSE)/HLOOKUP(2018,DEMANDS!$G$2:$CK$25,MATCH($E122,DEMANDS!$E$2:$E$25,0),FALSE)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R122" s="19">
        <f>HLOOKUP(REG_TRA_DEMANDS!R$3,'BY-Demands'!$J$5:$AK$14,MATCH($E122,'BY-Demands'!$I$5:$I$14,0),FALSE)*HLOOKUP(REG_TRA_DEMANDS!$F122,DEMANDS!$G$2:$CK$25,MATCH($E122,DEMANDS!$E$2:$E$25,0),FALSE)/HLOOKUP(2018,DEMANDS!$G$2:$CK$25,MATCH($E122,DEMANDS!$E$2:$E$25,0),FALSE)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S122" s="19">
        <f>HLOOKUP(REG_TRA_DEMANDS!S$3,'BY-Demands'!$J$5:$AK$14,MATCH($E122,'BY-Demands'!$I$5:$I$14,0),FALSE)*HLOOKUP(REG_TRA_DEMANDS!$F122,DEMANDS!$G$2:$CK$25,MATCH($E122,DEMANDS!$E$2:$E$25,0),FALSE)/HLOOKUP(2018,DEMANDS!$G$2:$CK$25,MATCH($E122,DEMANDS!$E$2:$E$25,0),FALSE)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T122" s="19">
        <f>HLOOKUP(REG_TRA_DEMANDS!T$3,'BY-Demands'!$J$5:$AK$14,MATCH($E122,'BY-Demands'!$I$5:$I$14,0),FALSE)*HLOOKUP(REG_TRA_DEMANDS!$F122,DEMANDS!$G$2:$CK$25,MATCH($E122,DEMANDS!$E$2:$E$25,0),FALSE)/HLOOKUP(2018,DEMANDS!$G$2:$CK$25,MATCH($E122,DEMANDS!$E$2:$E$25,0),FALSE)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U122" s="19">
        <f>HLOOKUP(REG_TRA_DEMANDS!U$3,'BY-Demands'!$J$5:$AK$14,MATCH($E122,'BY-Demands'!$I$5:$I$14,0),FALSE)*HLOOKUP(REG_TRA_DEMANDS!$F122,DEMANDS!$G$2:$CK$25,MATCH($E122,DEMANDS!$E$2:$E$25,0),FALSE)/HLOOKUP(2018,DEMANDS!$G$2:$CK$25,MATCH($E122,DEMANDS!$E$2:$E$25,0),FALSE)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V122" s="19">
        <f>HLOOKUP(REG_TRA_DEMANDS!V$3,'BY-Demands'!$J$5:$AK$14,MATCH($E122,'BY-Demands'!$I$5:$I$14,0),FALSE)*HLOOKUP(REG_TRA_DEMANDS!$F122,DEMANDS!$G$2:$CK$25,MATCH($E122,DEMANDS!$E$2:$E$25,0),FALSE)/HLOOKUP(2018,DEMANDS!$G$2:$CK$25,MATCH($E122,DEMANDS!$E$2:$E$25,0),FALSE)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W122" s="19">
        <f>HLOOKUP(REG_TRA_DEMANDS!W$3,'BY-Demands'!$J$5:$AK$14,MATCH($E122,'BY-Demands'!$I$5:$I$14,0),FALSE)*HLOOKUP(REG_TRA_DEMANDS!$F122,DEMANDS!$G$2:$CK$25,MATCH($E122,DEMANDS!$E$2:$E$25,0),FALSE)/HLOOKUP(2018,DEMANDS!$G$2:$CK$25,MATCH($E122,DEMANDS!$E$2:$E$25,0),FALSE)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X122" s="19">
        <f>HLOOKUP(REG_TRA_DEMANDS!X$3,'BY-Demands'!$J$5:$AK$14,MATCH($E122,'BY-Demands'!$I$5:$I$14,0),FALSE)*HLOOKUP(REG_TRA_DEMANDS!$F122,DEMANDS!$G$2:$CK$25,MATCH($E122,DEMANDS!$E$2:$E$25,0),FALSE)/HLOOKUP(2018,DEMANDS!$G$2:$CK$25,MATCH($E122,DEMANDS!$E$2:$E$25,0),FALSE)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Y122" s="19">
        <f>HLOOKUP(REG_TRA_DEMANDS!Y$3,'BY-Demands'!$J$5:$AK$14,MATCH($E122,'BY-Demands'!$I$5:$I$14,0),FALSE)*HLOOKUP(REG_TRA_DEMANDS!$F122,DEMANDS!$G$2:$CK$25,MATCH($E122,DEMANDS!$E$2:$E$25,0),FALSE)/HLOOKUP(2018,DEMANDS!$G$2:$CK$25,MATCH($E122,DEMANDS!$E$2:$E$25,0),FALSE)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Z122" s="19">
        <f>HLOOKUP(REG_TRA_DEMANDS!Z$3,'BY-Demands'!$J$5:$AK$14,MATCH($E122,'BY-Demands'!$I$5:$I$14,0),FALSE)*HLOOKUP(REG_TRA_DEMANDS!$F122,DEMANDS!$G$2:$CK$25,MATCH($E122,DEMANDS!$E$2:$E$25,0),FALSE)/HLOOKUP(2018,DEMANDS!$G$2:$CK$25,MATCH($E122,DEMANDS!$E$2:$E$25,0),FALSE)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A122" s="19">
        <f>HLOOKUP(REG_TRA_DEMANDS!AA$3,'BY-Demands'!$J$5:$AK$14,MATCH($E122,'BY-Demands'!$I$5:$I$14,0),FALSE)*HLOOKUP(REG_TRA_DEMANDS!$F122,DEMANDS!$G$2:$CK$25,MATCH($E122,DEMANDS!$E$2:$E$25,0),FALSE)/HLOOKUP(2018,DEMANDS!$G$2:$CK$25,MATCH($E122,DEMANDS!$E$2:$E$25,0),FALSE)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B122" s="19">
        <f>HLOOKUP(REG_TRA_DEMANDS!AB$3,'BY-Demands'!$J$5:$AK$14,MATCH($E122,'BY-Demands'!$I$5:$I$14,0),FALSE)*HLOOKUP(REG_TRA_DEMANDS!$F122,DEMANDS!$G$2:$CK$25,MATCH($E122,DEMANDS!$E$2:$E$25,0),FALSE)/HLOOKUP(2018,DEMANDS!$G$2:$CK$25,MATCH($E122,DEMANDS!$E$2:$E$25,0),FALSE)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C122" s="19">
        <f>HLOOKUP(REG_TRA_DEMANDS!AC$3,'BY-Demands'!$J$5:$AK$14,MATCH($E122,'BY-Demands'!$I$5:$I$14,0),FALSE)*HLOOKUP(REG_TRA_DEMANDS!$F122,DEMANDS!$G$2:$CK$25,MATCH($E122,DEMANDS!$E$2:$E$25,0),FALSE)/HLOOKUP(2018,DEMANDS!$G$2:$CK$25,MATCH($E122,DEMANDS!$E$2:$E$25,0),FALSE)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D122" s="19">
        <f>HLOOKUP(REG_TRA_DEMANDS!AD$3,'BY-Demands'!$J$5:$AK$14,MATCH($E122,'BY-Demands'!$I$5:$I$14,0),FALSE)*HLOOKUP(REG_TRA_DEMANDS!$F122,DEMANDS!$G$2:$CK$25,MATCH($E122,DEMANDS!$E$2:$E$25,0),FALSE)/HLOOKUP(2018,DEMANDS!$G$2:$CK$25,MATCH($E122,DEMANDS!$E$2:$E$25,0),FALSE)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E122" s="19">
        <f>HLOOKUP(REG_TRA_DEMANDS!AE$3,'BY-Demands'!$J$5:$AK$14,MATCH($E122,'BY-Demands'!$I$5:$I$14,0),FALSE)*HLOOKUP(REG_TRA_DEMANDS!$F122,DEMANDS!$G$2:$CK$25,MATCH($E122,DEMANDS!$E$2:$E$25,0),FALSE)/HLOOKUP(2018,DEMANDS!$G$2:$CK$25,MATCH($E122,DEMANDS!$E$2:$E$25,0),FALSE)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F122" s="19">
        <f>HLOOKUP(REG_TRA_DEMANDS!AF$3,'BY-Demands'!$J$5:$AK$14,MATCH($E122,'BY-Demands'!$I$5:$I$14,0),FALSE)*HLOOKUP(REG_TRA_DEMANDS!$F122,DEMANDS!$G$2:$CK$25,MATCH($E122,DEMANDS!$E$2:$E$25,0),FALSE)/HLOOKUP(2018,DEMANDS!$G$2:$CK$25,MATCH($E122,DEMANDS!$E$2:$E$25,0),FALSE)</f>
        <v>0</v>
      </c>
    </row>
    <row r="123" spans="4:32" ht="14.5">
      <c r="D123" t="s">
        <v>6</v>
      </c>
      <c r="E123" t="str">
        <f>DEMANDS!$E$21</f>
        <v>TTURS</v>
      </c>
      <c r="F123">
        <v>2031</v>
      </c>
      <c r="G123" s="19">
        <f>HLOOKUP(REG_TRA_DEMANDS!G$3,'BY-Demands'!$J$5:$AK$14,MATCH($E123,'BY-Demands'!$I$5:$I$14,0),FALSE)*HLOOKUP(REG_TRA_DEMANDS!$F123,DEMANDS!$G$2:$CK$25,MATCH($E123,DEMANDS!$E$2:$E$25,0),FALSE)/HLOOKUP(2018,DEMANDS!$G$2:$CK$25,MATCH($E123,DEMANDS!$E$2:$E$25,0),FALSE)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H123" s="19">
        <f>HLOOKUP(REG_TRA_DEMANDS!H$3,'BY-Demands'!$J$5:$AK$14,MATCH($E123,'BY-Demands'!$I$5:$I$14,0),FALSE)*HLOOKUP(REG_TRA_DEMANDS!$F123,DEMANDS!$G$2:$CK$25,MATCH($E123,DEMANDS!$E$2:$E$25,0),FALSE)/HLOOKUP(2018,DEMANDS!$G$2:$CK$25,MATCH($E123,DEMANDS!$E$2:$E$25,0),FALSE)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I123" s="19">
        <f>HLOOKUP(REG_TRA_DEMANDS!I$3,'BY-Demands'!$J$5:$AK$14,MATCH($E123,'BY-Demands'!$I$5:$I$14,0),FALSE)*HLOOKUP(REG_TRA_DEMANDS!$F123,DEMANDS!$G$2:$CK$25,MATCH($E123,DEMANDS!$E$2:$E$25,0),FALSE)/HLOOKUP(2018,DEMANDS!$G$2:$CK$25,MATCH($E123,DEMANDS!$E$2:$E$25,0),FALSE)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J123" s="19">
        <f>HLOOKUP(REG_TRA_DEMANDS!J$3,'BY-Demands'!$J$5:$AK$14,MATCH($E123,'BY-Demands'!$I$5:$I$14,0),FALSE)*HLOOKUP(REG_TRA_DEMANDS!$F123,DEMANDS!$G$2:$CK$25,MATCH($E123,DEMANDS!$E$2:$E$25,0),FALSE)/HLOOKUP(2018,DEMANDS!$G$2:$CK$25,MATCH($E123,DEMANDS!$E$2:$E$25,0),FALSE)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K123" s="19">
        <f>HLOOKUP(REG_TRA_DEMANDS!K$3,'BY-Demands'!$J$5:$AK$14,MATCH($E123,'BY-Demands'!$I$5:$I$14,0),FALSE)*HLOOKUP(REG_TRA_DEMANDS!$F123,DEMANDS!$G$2:$CK$25,MATCH($E123,DEMANDS!$E$2:$E$25,0),FALSE)/HLOOKUP(2018,DEMANDS!$G$2:$CK$25,MATCH($E123,DEMANDS!$E$2:$E$25,0),FALSE)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L123" s="19">
        <f>HLOOKUP(REG_TRA_DEMANDS!L$3,'BY-Demands'!$J$5:$AK$14,MATCH($E123,'BY-Demands'!$I$5:$I$14,0),FALSE)*HLOOKUP(REG_TRA_DEMANDS!$F123,DEMANDS!$G$2:$CK$25,MATCH($E123,DEMANDS!$E$2:$E$25,0),FALSE)/HLOOKUP(2018,DEMANDS!$G$2:$CK$25,MATCH($E123,DEMANDS!$E$2:$E$25,0),FALSE)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M123" s="19">
        <f>HLOOKUP(REG_TRA_DEMANDS!M$3,'BY-Demands'!$J$5:$AK$14,MATCH($E123,'BY-Demands'!$I$5:$I$14,0),FALSE)*HLOOKUP(REG_TRA_DEMANDS!$F123,DEMANDS!$G$2:$CK$25,MATCH($E123,DEMANDS!$E$2:$E$25,0),FALSE)/HLOOKUP(2018,DEMANDS!$G$2:$CK$25,MATCH($E123,DEMANDS!$E$2:$E$25,0),FALSE)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N123" s="19">
        <f>HLOOKUP(REG_TRA_DEMANDS!N$3,'BY-Demands'!$J$5:$AK$14,MATCH($E123,'BY-Demands'!$I$5:$I$14,0),FALSE)*HLOOKUP(REG_TRA_DEMANDS!$F123,DEMANDS!$G$2:$CK$25,MATCH($E123,DEMANDS!$E$2:$E$25,0),FALSE)/HLOOKUP(2018,DEMANDS!$G$2:$CK$25,MATCH($E123,DEMANDS!$E$2:$E$25,0),FALSE)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O123" s="19">
        <f>HLOOKUP(REG_TRA_DEMANDS!O$3,'BY-Demands'!$J$5:$AK$14,MATCH($E123,'BY-Demands'!$I$5:$I$14,0),FALSE)*HLOOKUP(REG_TRA_DEMANDS!$F123,DEMANDS!$G$2:$CK$25,MATCH($E123,DEMANDS!$E$2:$E$25,0),FALSE)/HLOOKUP(2018,DEMANDS!$G$2:$CK$25,MATCH($E123,DEMANDS!$E$2:$E$25,0),FALSE)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P123" s="19">
        <f>HLOOKUP(REG_TRA_DEMANDS!P$3,'BY-Demands'!$J$5:$AK$14,MATCH($E123,'BY-Demands'!$I$5:$I$14,0),FALSE)*HLOOKUP(REG_TRA_DEMANDS!$F123,DEMANDS!$G$2:$CK$25,MATCH($E123,DEMANDS!$E$2:$E$25,0),FALSE)/HLOOKUP(2018,DEMANDS!$G$2:$CK$25,MATCH($E123,DEMANDS!$E$2:$E$25,0),FALSE)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Q123" s="19">
        <f>HLOOKUP(REG_TRA_DEMANDS!Q$3,'BY-Demands'!$J$5:$AK$14,MATCH($E123,'BY-Demands'!$I$5:$I$14,0),FALSE)*HLOOKUP(REG_TRA_DEMANDS!$F123,DEMANDS!$G$2:$CK$25,MATCH($E123,DEMANDS!$E$2:$E$25,0),FALSE)/HLOOKUP(2018,DEMANDS!$G$2:$CK$25,MATCH($E123,DEMANDS!$E$2:$E$25,0),FALSE)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R123" s="19">
        <f>HLOOKUP(REG_TRA_DEMANDS!R$3,'BY-Demands'!$J$5:$AK$14,MATCH($E123,'BY-Demands'!$I$5:$I$14,0),FALSE)*HLOOKUP(REG_TRA_DEMANDS!$F123,DEMANDS!$G$2:$CK$25,MATCH($E123,DEMANDS!$E$2:$E$25,0),FALSE)/HLOOKUP(2018,DEMANDS!$G$2:$CK$25,MATCH($E123,DEMANDS!$E$2:$E$25,0),FALSE)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S123" s="19">
        <f>HLOOKUP(REG_TRA_DEMANDS!S$3,'BY-Demands'!$J$5:$AK$14,MATCH($E123,'BY-Demands'!$I$5:$I$14,0),FALSE)*HLOOKUP(REG_TRA_DEMANDS!$F123,DEMANDS!$G$2:$CK$25,MATCH($E123,DEMANDS!$E$2:$E$25,0),FALSE)/HLOOKUP(2018,DEMANDS!$G$2:$CK$25,MATCH($E123,DEMANDS!$E$2:$E$25,0),FALSE)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T123" s="19">
        <f>HLOOKUP(REG_TRA_DEMANDS!T$3,'BY-Demands'!$J$5:$AK$14,MATCH($E123,'BY-Demands'!$I$5:$I$14,0),FALSE)*HLOOKUP(REG_TRA_DEMANDS!$F123,DEMANDS!$G$2:$CK$25,MATCH($E123,DEMANDS!$E$2:$E$25,0),FALSE)/HLOOKUP(2018,DEMANDS!$G$2:$CK$25,MATCH($E123,DEMANDS!$E$2:$E$25,0),FALSE)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U123" s="19">
        <f>HLOOKUP(REG_TRA_DEMANDS!U$3,'BY-Demands'!$J$5:$AK$14,MATCH($E123,'BY-Demands'!$I$5:$I$14,0),FALSE)*HLOOKUP(REG_TRA_DEMANDS!$F123,DEMANDS!$G$2:$CK$25,MATCH($E123,DEMANDS!$E$2:$E$25,0),FALSE)/HLOOKUP(2018,DEMANDS!$G$2:$CK$25,MATCH($E123,DEMANDS!$E$2:$E$25,0),FALSE)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V123" s="19">
        <f>HLOOKUP(REG_TRA_DEMANDS!V$3,'BY-Demands'!$J$5:$AK$14,MATCH($E123,'BY-Demands'!$I$5:$I$14,0),FALSE)*HLOOKUP(REG_TRA_DEMANDS!$F123,DEMANDS!$G$2:$CK$25,MATCH($E123,DEMANDS!$E$2:$E$25,0),FALSE)/HLOOKUP(2018,DEMANDS!$G$2:$CK$25,MATCH($E123,DEMANDS!$E$2:$E$25,0),FALSE)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W123" s="19">
        <f>HLOOKUP(REG_TRA_DEMANDS!W$3,'BY-Demands'!$J$5:$AK$14,MATCH($E123,'BY-Demands'!$I$5:$I$14,0),FALSE)*HLOOKUP(REG_TRA_DEMANDS!$F123,DEMANDS!$G$2:$CK$25,MATCH($E123,DEMANDS!$E$2:$E$25,0),FALSE)/HLOOKUP(2018,DEMANDS!$G$2:$CK$25,MATCH($E123,DEMANDS!$E$2:$E$25,0),FALSE)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X123" s="19">
        <f>HLOOKUP(REG_TRA_DEMANDS!X$3,'BY-Demands'!$J$5:$AK$14,MATCH($E123,'BY-Demands'!$I$5:$I$14,0),FALSE)*HLOOKUP(REG_TRA_DEMANDS!$F123,DEMANDS!$G$2:$CK$25,MATCH($E123,DEMANDS!$E$2:$E$25,0),FALSE)/HLOOKUP(2018,DEMANDS!$G$2:$CK$25,MATCH($E123,DEMANDS!$E$2:$E$25,0),FALSE)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Y123" s="19">
        <f>HLOOKUP(REG_TRA_DEMANDS!Y$3,'BY-Demands'!$J$5:$AK$14,MATCH($E123,'BY-Demands'!$I$5:$I$14,0),FALSE)*HLOOKUP(REG_TRA_DEMANDS!$F123,DEMANDS!$G$2:$CK$25,MATCH($E123,DEMANDS!$E$2:$E$25,0),FALSE)/HLOOKUP(2018,DEMANDS!$G$2:$CK$25,MATCH($E123,DEMANDS!$E$2:$E$25,0),FALSE)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Z123" s="19">
        <f>HLOOKUP(REG_TRA_DEMANDS!Z$3,'BY-Demands'!$J$5:$AK$14,MATCH($E123,'BY-Demands'!$I$5:$I$14,0),FALSE)*HLOOKUP(REG_TRA_DEMANDS!$F123,DEMANDS!$G$2:$CK$25,MATCH($E123,DEMANDS!$E$2:$E$25,0),FALSE)/HLOOKUP(2018,DEMANDS!$G$2:$CK$25,MATCH($E123,DEMANDS!$E$2:$E$25,0),FALSE)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A123" s="19">
        <f>HLOOKUP(REG_TRA_DEMANDS!AA$3,'BY-Demands'!$J$5:$AK$14,MATCH($E123,'BY-Demands'!$I$5:$I$14,0),FALSE)*HLOOKUP(REG_TRA_DEMANDS!$F123,DEMANDS!$G$2:$CK$25,MATCH($E123,DEMANDS!$E$2:$E$25,0),FALSE)/HLOOKUP(2018,DEMANDS!$G$2:$CK$25,MATCH($E123,DEMANDS!$E$2:$E$25,0),FALSE)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B123" s="19">
        <f>HLOOKUP(REG_TRA_DEMANDS!AB$3,'BY-Demands'!$J$5:$AK$14,MATCH($E123,'BY-Demands'!$I$5:$I$14,0),FALSE)*HLOOKUP(REG_TRA_DEMANDS!$F123,DEMANDS!$G$2:$CK$25,MATCH($E123,DEMANDS!$E$2:$E$25,0),FALSE)/HLOOKUP(2018,DEMANDS!$G$2:$CK$25,MATCH($E123,DEMANDS!$E$2:$E$25,0),FALSE)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C123" s="19">
        <f>HLOOKUP(REG_TRA_DEMANDS!AC$3,'BY-Demands'!$J$5:$AK$14,MATCH($E123,'BY-Demands'!$I$5:$I$14,0),FALSE)*HLOOKUP(REG_TRA_DEMANDS!$F123,DEMANDS!$G$2:$CK$25,MATCH($E123,DEMANDS!$E$2:$E$25,0),FALSE)/HLOOKUP(2018,DEMANDS!$G$2:$CK$25,MATCH($E123,DEMANDS!$E$2:$E$25,0),FALSE)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D123" s="19">
        <f>HLOOKUP(REG_TRA_DEMANDS!AD$3,'BY-Demands'!$J$5:$AK$14,MATCH($E123,'BY-Demands'!$I$5:$I$14,0),FALSE)*HLOOKUP(REG_TRA_DEMANDS!$F123,DEMANDS!$G$2:$CK$25,MATCH($E123,DEMANDS!$E$2:$E$25,0),FALSE)/HLOOKUP(2018,DEMANDS!$G$2:$CK$25,MATCH($E123,DEMANDS!$E$2:$E$25,0),FALSE)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E123" s="19">
        <f>HLOOKUP(REG_TRA_DEMANDS!AE$3,'BY-Demands'!$J$5:$AK$14,MATCH($E123,'BY-Demands'!$I$5:$I$14,0),FALSE)*HLOOKUP(REG_TRA_DEMANDS!$F123,DEMANDS!$G$2:$CK$25,MATCH($E123,DEMANDS!$E$2:$E$25,0),FALSE)/HLOOKUP(2018,DEMANDS!$G$2:$CK$25,MATCH($E123,DEMANDS!$E$2:$E$25,0),FALSE)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F123" s="19">
        <f>HLOOKUP(REG_TRA_DEMANDS!AF$3,'BY-Demands'!$J$5:$AK$14,MATCH($E123,'BY-Demands'!$I$5:$I$14,0),FALSE)*HLOOKUP(REG_TRA_DEMANDS!$F123,DEMANDS!$G$2:$CK$25,MATCH($E123,DEMANDS!$E$2:$E$25,0),FALSE)/HLOOKUP(2018,DEMANDS!$G$2:$CK$25,MATCH($E123,DEMANDS!$E$2:$E$25,0),FALSE)</f>
        <v>0</v>
      </c>
    </row>
    <row r="124" spans="4:32" ht="14.5">
      <c r="D124" t="s">
        <v>6</v>
      </c>
      <c r="E124" t="str">
        <f>DEMANDS!$E$21</f>
        <v>TTURS</v>
      </c>
      <c r="F124">
        <v>2032</v>
      </c>
      <c r="G124" s="19">
        <f>HLOOKUP(REG_TRA_DEMANDS!G$3,'BY-Demands'!$J$5:$AK$14,MATCH($E124,'BY-Demands'!$I$5:$I$14,0),FALSE)*HLOOKUP(REG_TRA_DEMANDS!$F124,DEMANDS!$G$2:$CK$25,MATCH($E124,DEMANDS!$E$2:$E$25,0),FALSE)/HLOOKUP(2018,DEMANDS!$G$2:$CK$25,MATCH($E124,DEMANDS!$E$2:$E$25,0),FALSE)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H124" s="19">
        <f>HLOOKUP(REG_TRA_DEMANDS!H$3,'BY-Demands'!$J$5:$AK$14,MATCH($E124,'BY-Demands'!$I$5:$I$14,0),FALSE)*HLOOKUP(REG_TRA_DEMANDS!$F124,DEMANDS!$G$2:$CK$25,MATCH($E124,DEMANDS!$E$2:$E$25,0),FALSE)/HLOOKUP(2018,DEMANDS!$G$2:$CK$25,MATCH($E124,DEMANDS!$E$2:$E$25,0),FALSE)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I124" s="19">
        <f>HLOOKUP(REG_TRA_DEMANDS!I$3,'BY-Demands'!$J$5:$AK$14,MATCH($E124,'BY-Demands'!$I$5:$I$14,0),FALSE)*HLOOKUP(REG_TRA_DEMANDS!$F124,DEMANDS!$G$2:$CK$25,MATCH($E124,DEMANDS!$E$2:$E$25,0),FALSE)/HLOOKUP(2018,DEMANDS!$G$2:$CK$25,MATCH($E124,DEMANDS!$E$2:$E$25,0),FALSE)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J124" s="19">
        <f>HLOOKUP(REG_TRA_DEMANDS!J$3,'BY-Demands'!$J$5:$AK$14,MATCH($E124,'BY-Demands'!$I$5:$I$14,0),FALSE)*HLOOKUP(REG_TRA_DEMANDS!$F124,DEMANDS!$G$2:$CK$25,MATCH($E124,DEMANDS!$E$2:$E$25,0),FALSE)/HLOOKUP(2018,DEMANDS!$G$2:$CK$25,MATCH($E124,DEMANDS!$E$2:$E$25,0),FALSE)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K124" s="19">
        <f>HLOOKUP(REG_TRA_DEMANDS!K$3,'BY-Demands'!$J$5:$AK$14,MATCH($E124,'BY-Demands'!$I$5:$I$14,0),FALSE)*HLOOKUP(REG_TRA_DEMANDS!$F124,DEMANDS!$G$2:$CK$25,MATCH($E124,DEMANDS!$E$2:$E$25,0),FALSE)/HLOOKUP(2018,DEMANDS!$G$2:$CK$25,MATCH($E124,DEMANDS!$E$2:$E$25,0),FALSE)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L124" s="19">
        <f>HLOOKUP(REG_TRA_DEMANDS!L$3,'BY-Demands'!$J$5:$AK$14,MATCH($E124,'BY-Demands'!$I$5:$I$14,0),FALSE)*HLOOKUP(REG_TRA_DEMANDS!$F124,DEMANDS!$G$2:$CK$25,MATCH($E124,DEMANDS!$E$2:$E$25,0),FALSE)/HLOOKUP(2018,DEMANDS!$G$2:$CK$25,MATCH($E124,DEMANDS!$E$2:$E$25,0),FALSE)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M124" s="19">
        <f>HLOOKUP(REG_TRA_DEMANDS!M$3,'BY-Demands'!$J$5:$AK$14,MATCH($E124,'BY-Demands'!$I$5:$I$14,0),FALSE)*HLOOKUP(REG_TRA_DEMANDS!$F124,DEMANDS!$G$2:$CK$25,MATCH($E124,DEMANDS!$E$2:$E$25,0),FALSE)/HLOOKUP(2018,DEMANDS!$G$2:$CK$25,MATCH($E124,DEMANDS!$E$2:$E$25,0),FALSE)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N124" s="19">
        <f>HLOOKUP(REG_TRA_DEMANDS!N$3,'BY-Demands'!$J$5:$AK$14,MATCH($E124,'BY-Demands'!$I$5:$I$14,0),FALSE)*HLOOKUP(REG_TRA_DEMANDS!$F124,DEMANDS!$G$2:$CK$25,MATCH($E124,DEMANDS!$E$2:$E$25,0),FALSE)/HLOOKUP(2018,DEMANDS!$G$2:$CK$25,MATCH($E124,DEMANDS!$E$2:$E$25,0),FALSE)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O124" s="19">
        <f>HLOOKUP(REG_TRA_DEMANDS!O$3,'BY-Demands'!$J$5:$AK$14,MATCH($E124,'BY-Demands'!$I$5:$I$14,0),FALSE)*HLOOKUP(REG_TRA_DEMANDS!$F124,DEMANDS!$G$2:$CK$25,MATCH($E124,DEMANDS!$E$2:$E$25,0),FALSE)/HLOOKUP(2018,DEMANDS!$G$2:$CK$25,MATCH($E124,DEMANDS!$E$2:$E$25,0),FALSE)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P124" s="19">
        <f>HLOOKUP(REG_TRA_DEMANDS!P$3,'BY-Demands'!$J$5:$AK$14,MATCH($E124,'BY-Demands'!$I$5:$I$14,0),FALSE)*HLOOKUP(REG_TRA_DEMANDS!$F124,DEMANDS!$G$2:$CK$25,MATCH($E124,DEMANDS!$E$2:$E$25,0),FALSE)/HLOOKUP(2018,DEMANDS!$G$2:$CK$25,MATCH($E124,DEMANDS!$E$2:$E$25,0),FALSE)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Q124" s="19">
        <f>HLOOKUP(REG_TRA_DEMANDS!Q$3,'BY-Demands'!$J$5:$AK$14,MATCH($E124,'BY-Demands'!$I$5:$I$14,0),FALSE)*HLOOKUP(REG_TRA_DEMANDS!$F124,DEMANDS!$G$2:$CK$25,MATCH($E124,DEMANDS!$E$2:$E$25,0),FALSE)/HLOOKUP(2018,DEMANDS!$G$2:$CK$25,MATCH($E124,DEMANDS!$E$2:$E$25,0),FALSE)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R124" s="19">
        <f>HLOOKUP(REG_TRA_DEMANDS!R$3,'BY-Demands'!$J$5:$AK$14,MATCH($E124,'BY-Demands'!$I$5:$I$14,0),FALSE)*HLOOKUP(REG_TRA_DEMANDS!$F124,DEMANDS!$G$2:$CK$25,MATCH($E124,DEMANDS!$E$2:$E$25,0),FALSE)/HLOOKUP(2018,DEMANDS!$G$2:$CK$25,MATCH($E124,DEMANDS!$E$2:$E$25,0),FALSE)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S124" s="19">
        <f>HLOOKUP(REG_TRA_DEMANDS!S$3,'BY-Demands'!$J$5:$AK$14,MATCH($E124,'BY-Demands'!$I$5:$I$14,0),FALSE)*HLOOKUP(REG_TRA_DEMANDS!$F124,DEMANDS!$G$2:$CK$25,MATCH($E124,DEMANDS!$E$2:$E$25,0),FALSE)/HLOOKUP(2018,DEMANDS!$G$2:$CK$25,MATCH($E124,DEMANDS!$E$2:$E$25,0),FALSE)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T124" s="19">
        <f>HLOOKUP(REG_TRA_DEMANDS!T$3,'BY-Demands'!$J$5:$AK$14,MATCH($E124,'BY-Demands'!$I$5:$I$14,0),FALSE)*HLOOKUP(REG_TRA_DEMANDS!$F124,DEMANDS!$G$2:$CK$25,MATCH($E124,DEMANDS!$E$2:$E$25,0),FALSE)/HLOOKUP(2018,DEMANDS!$G$2:$CK$25,MATCH($E124,DEMANDS!$E$2:$E$25,0),FALSE)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U124" s="19">
        <f>HLOOKUP(REG_TRA_DEMANDS!U$3,'BY-Demands'!$J$5:$AK$14,MATCH($E124,'BY-Demands'!$I$5:$I$14,0),FALSE)*HLOOKUP(REG_TRA_DEMANDS!$F124,DEMANDS!$G$2:$CK$25,MATCH($E124,DEMANDS!$E$2:$E$25,0),FALSE)/HLOOKUP(2018,DEMANDS!$G$2:$CK$25,MATCH($E124,DEMANDS!$E$2:$E$25,0),FALSE)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V124" s="19">
        <f>HLOOKUP(REG_TRA_DEMANDS!V$3,'BY-Demands'!$J$5:$AK$14,MATCH($E124,'BY-Demands'!$I$5:$I$14,0),FALSE)*HLOOKUP(REG_TRA_DEMANDS!$F124,DEMANDS!$G$2:$CK$25,MATCH($E124,DEMANDS!$E$2:$E$25,0),FALSE)/HLOOKUP(2018,DEMANDS!$G$2:$CK$25,MATCH($E124,DEMANDS!$E$2:$E$25,0),FALSE)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W124" s="19">
        <f>HLOOKUP(REG_TRA_DEMANDS!W$3,'BY-Demands'!$J$5:$AK$14,MATCH($E124,'BY-Demands'!$I$5:$I$14,0),FALSE)*HLOOKUP(REG_TRA_DEMANDS!$F124,DEMANDS!$G$2:$CK$25,MATCH($E124,DEMANDS!$E$2:$E$25,0),FALSE)/HLOOKUP(2018,DEMANDS!$G$2:$CK$25,MATCH($E124,DEMANDS!$E$2:$E$25,0),FALSE)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X124" s="19">
        <f>HLOOKUP(REG_TRA_DEMANDS!X$3,'BY-Demands'!$J$5:$AK$14,MATCH($E124,'BY-Demands'!$I$5:$I$14,0),FALSE)*HLOOKUP(REG_TRA_DEMANDS!$F124,DEMANDS!$G$2:$CK$25,MATCH($E124,DEMANDS!$E$2:$E$25,0),FALSE)/HLOOKUP(2018,DEMANDS!$G$2:$CK$25,MATCH($E124,DEMANDS!$E$2:$E$25,0),FALSE)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Y124" s="19">
        <f>HLOOKUP(REG_TRA_DEMANDS!Y$3,'BY-Demands'!$J$5:$AK$14,MATCH($E124,'BY-Demands'!$I$5:$I$14,0),FALSE)*HLOOKUP(REG_TRA_DEMANDS!$F124,DEMANDS!$G$2:$CK$25,MATCH($E124,DEMANDS!$E$2:$E$25,0),FALSE)/HLOOKUP(2018,DEMANDS!$G$2:$CK$25,MATCH($E124,DEMANDS!$E$2:$E$25,0),FALSE)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Z124" s="19">
        <f>HLOOKUP(REG_TRA_DEMANDS!Z$3,'BY-Demands'!$J$5:$AK$14,MATCH($E124,'BY-Demands'!$I$5:$I$14,0),FALSE)*HLOOKUP(REG_TRA_DEMANDS!$F124,DEMANDS!$G$2:$CK$25,MATCH($E124,DEMANDS!$E$2:$E$25,0),FALSE)/HLOOKUP(2018,DEMANDS!$G$2:$CK$25,MATCH($E124,DEMANDS!$E$2:$E$25,0),FALSE)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A124" s="19">
        <f>HLOOKUP(REG_TRA_DEMANDS!AA$3,'BY-Demands'!$J$5:$AK$14,MATCH($E124,'BY-Demands'!$I$5:$I$14,0),FALSE)*HLOOKUP(REG_TRA_DEMANDS!$F124,DEMANDS!$G$2:$CK$25,MATCH($E124,DEMANDS!$E$2:$E$25,0),FALSE)/HLOOKUP(2018,DEMANDS!$G$2:$CK$25,MATCH($E124,DEMANDS!$E$2:$E$25,0),FALSE)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B124" s="19">
        <f>HLOOKUP(REG_TRA_DEMANDS!AB$3,'BY-Demands'!$J$5:$AK$14,MATCH($E124,'BY-Demands'!$I$5:$I$14,0),FALSE)*HLOOKUP(REG_TRA_DEMANDS!$F124,DEMANDS!$G$2:$CK$25,MATCH($E124,DEMANDS!$E$2:$E$25,0),FALSE)/HLOOKUP(2018,DEMANDS!$G$2:$CK$25,MATCH($E124,DEMANDS!$E$2:$E$25,0),FALSE)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C124" s="19">
        <f>HLOOKUP(REG_TRA_DEMANDS!AC$3,'BY-Demands'!$J$5:$AK$14,MATCH($E124,'BY-Demands'!$I$5:$I$14,0),FALSE)*HLOOKUP(REG_TRA_DEMANDS!$F124,DEMANDS!$G$2:$CK$25,MATCH($E124,DEMANDS!$E$2:$E$25,0),FALSE)/HLOOKUP(2018,DEMANDS!$G$2:$CK$25,MATCH($E124,DEMANDS!$E$2:$E$25,0),FALSE)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D124" s="19">
        <f>HLOOKUP(REG_TRA_DEMANDS!AD$3,'BY-Demands'!$J$5:$AK$14,MATCH($E124,'BY-Demands'!$I$5:$I$14,0),FALSE)*HLOOKUP(REG_TRA_DEMANDS!$F124,DEMANDS!$G$2:$CK$25,MATCH($E124,DEMANDS!$E$2:$E$25,0),FALSE)/HLOOKUP(2018,DEMANDS!$G$2:$CK$25,MATCH($E124,DEMANDS!$E$2:$E$25,0),FALSE)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E124" s="19">
        <f>HLOOKUP(REG_TRA_DEMANDS!AE$3,'BY-Demands'!$J$5:$AK$14,MATCH($E124,'BY-Demands'!$I$5:$I$14,0),FALSE)*HLOOKUP(REG_TRA_DEMANDS!$F124,DEMANDS!$G$2:$CK$25,MATCH($E124,DEMANDS!$E$2:$E$25,0),FALSE)/HLOOKUP(2018,DEMANDS!$G$2:$CK$25,MATCH($E124,DEMANDS!$E$2:$E$25,0),FALSE)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F124" s="19">
        <f>HLOOKUP(REG_TRA_DEMANDS!AF$3,'BY-Demands'!$J$5:$AK$14,MATCH($E124,'BY-Demands'!$I$5:$I$14,0),FALSE)*HLOOKUP(REG_TRA_DEMANDS!$F124,DEMANDS!$G$2:$CK$25,MATCH($E124,DEMANDS!$E$2:$E$25,0),FALSE)/HLOOKUP(2018,DEMANDS!$G$2:$CK$25,MATCH($E124,DEMANDS!$E$2:$E$25,0),FALSE)</f>
        <v>0</v>
      </c>
    </row>
    <row r="125" spans="4:32" ht="14.5">
      <c r="D125" t="s">
        <v>6</v>
      </c>
      <c r="E125" t="str">
        <f>DEMANDS!$E$21</f>
        <v>TTURS</v>
      </c>
      <c r="F125">
        <v>2033</v>
      </c>
      <c r="G125" s="19">
        <f>HLOOKUP(REG_TRA_DEMANDS!G$3,'BY-Demands'!$J$5:$AK$14,MATCH($E125,'BY-Demands'!$I$5:$I$14,0),FALSE)*HLOOKUP(REG_TRA_DEMANDS!$F125,DEMANDS!$G$2:$CK$25,MATCH($E125,DEMANDS!$E$2:$E$25,0),FALSE)/HLOOKUP(2018,DEMANDS!$G$2:$CK$25,MATCH($E125,DEMANDS!$E$2:$E$25,0),FALSE)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H125" s="19">
        <f>HLOOKUP(REG_TRA_DEMANDS!H$3,'BY-Demands'!$J$5:$AK$14,MATCH($E125,'BY-Demands'!$I$5:$I$14,0),FALSE)*HLOOKUP(REG_TRA_DEMANDS!$F125,DEMANDS!$G$2:$CK$25,MATCH($E125,DEMANDS!$E$2:$E$25,0),FALSE)/HLOOKUP(2018,DEMANDS!$G$2:$CK$25,MATCH($E125,DEMANDS!$E$2:$E$25,0),FALSE)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I125" s="19">
        <f>HLOOKUP(REG_TRA_DEMANDS!I$3,'BY-Demands'!$J$5:$AK$14,MATCH($E125,'BY-Demands'!$I$5:$I$14,0),FALSE)*HLOOKUP(REG_TRA_DEMANDS!$F125,DEMANDS!$G$2:$CK$25,MATCH($E125,DEMANDS!$E$2:$E$25,0),FALSE)/HLOOKUP(2018,DEMANDS!$G$2:$CK$25,MATCH($E125,DEMANDS!$E$2:$E$25,0),FALSE)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J125" s="19">
        <f>HLOOKUP(REG_TRA_DEMANDS!J$3,'BY-Demands'!$J$5:$AK$14,MATCH($E125,'BY-Demands'!$I$5:$I$14,0),FALSE)*HLOOKUP(REG_TRA_DEMANDS!$F125,DEMANDS!$G$2:$CK$25,MATCH($E125,DEMANDS!$E$2:$E$25,0),FALSE)/HLOOKUP(2018,DEMANDS!$G$2:$CK$25,MATCH($E125,DEMANDS!$E$2:$E$25,0),FALSE)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K125" s="19">
        <f>HLOOKUP(REG_TRA_DEMANDS!K$3,'BY-Demands'!$J$5:$AK$14,MATCH($E125,'BY-Demands'!$I$5:$I$14,0),FALSE)*HLOOKUP(REG_TRA_DEMANDS!$F125,DEMANDS!$G$2:$CK$25,MATCH($E125,DEMANDS!$E$2:$E$25,0),FALSE)/HLOOKUP(2018,DEMANDS!$G$2:$CK$25,MATCH($E125,DEMANDS!$E$2:$E$25,0),FALSE)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L125" s="19">
        <f>HLOOKUP(REG_TRA_DEMANDS!L$3,'BY-Demands'!$J$5:$AK$14,MATCH($E125,'BY-Demands'!$I$5:$I$14,0),FALSE)*HLOOKUP(REG_TRA_DEMANDS!$F125,DEMANDS!$G$2:$CK$25,MATCH($E125,DEMANDS!$E$2:$E$25,0),FALSE)/HLOOKUP(2018,DEMANDS!$G$2:$CK$25,MATCH($E125,DEMANDS!$E$2:$E$25,0),FALSE)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M125" s="19">
        <f>HLOOKUP(REG_TRA_DEMANDS!M$3,'BY-Demands'!$J$5:$AK$14,MATCH($E125,'BY-Demands'!$I$5:$I$14,0),FALSE)*HLOOKUP(REG_TRA_DEMANDS!$F125,DEMANDS!$G$2:$CK$25,MATCH($E125,DEMANDS!$E$2:$E$25,0),FALSE)/HLOOKUP(2018,DEMANDS!$G$2:$CK$25,MATCH($E125,DEMANDS!$E$2:$E$25,0),FALSE)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N125" s="19">
        <f>HLOOKUP(REG_TRA_DEMANDS!N$3,'BY-Demands'!$J$5:$AK$14,MATCH($E125,'BY-Demands'!$I$5:$I$14,0),FALSE)*HLOOKUP(REG_TRA_DEMANDS!$F125,DEMANDS!$G$2:$CK$25,MATCH($E125,DEMANDS!$E$2:$E$25,0),FALSE)/HLOOKUP(2018,DEMANDS!$G$2:$CK$25,MATCH($E125,DEMANDS!$E$2:$E$25,0),FALSE)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O125" s="19">
        <f>HLOOKUP(REG_TRA_DEMANDS!O$3,'BY-Demands'!$J$5:$AK$14,MATCH($E125,'BY-Demands'!$I$5:$I$14,0),FALSE)*HLOOKUP(REG_TRA_DEMANDS!$F125,DEMANDS!$G$2:$CK$25,MATCH($E125,DEMANDS!$E$2:$E$25,0),FALSE)/HLOOKUP(2018,DEMANDS!$G$2:$CK$25,MATCH($E125,DEMANDS!$E$2:$E$25,0),FALSE)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P125" s="19">
        <f>HLOOKUP(REG_TRA_DEMANDS!P$3,'BY-Demands'!$J$5:$AK$14,MATCH($E125,'BY-Demands'!$I$5:$I$14,0),FALSE)*HLOOKUP(REG_TRA_DEMANDS!$F125,DEMANDS!$G$2:$CK$25,MATCH($E125,DEMANDS!$E$2:$E$25,0),FALSE)/HLOOKUP(2018,DEMANDS!$G$2:$CK$25,MATCH($E125,DEMANDS!$E$2:$E$25,0),FALSE)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Q125" s="19">
        <f>HLOOKUP(REG_TRA_DEMANDS!Q$3,'BY-Demands'!$J$5:$AK$14,MATCH($E125,'BY-Demands'!$I$5:$I$14,0),FALSE)*HLOOKUP(REG_TRA_DEMANDS!$F125,DEMANDS!$G$2:$CK$25,MATCH($E125,DEMANDS!$E$2:$E$25,0),FALSE)/HLOOKUP(2018,DEMANDS!$G$2:$CK$25,MATCH($E125,DEMANDS!$E$2:$E$25,0),FALSE)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R125" s="19">
        <f>HLOOKUP(REG_TRA_DEMANDS!R$3,'BY-Demands'!$J$5:$AK$14,MATCH($E125,'BY-Demands'!$I$5:$I$14,0),FALSE)*HLOOKUP(REG_TRA_DEMANDS!$F125,DEMANDS!$G$2:$CK$25,MATCH($E125,DEMANDS!$E$2:$E$25,0),FALSE)/HLOOKUP(2018,DEMANDS!$G$2:$CK$25,MATCH($E125,DEMANDS!$E$2:$E$25,0),FALSE)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S125" s="19">
        <f>HLOOKUP(REG_TRA_DEMANDS!S$3,'BY-Demands'!$J$5:$AK$14,MATCH($E125,'BY-Demands'!$I$5:$I$14,0),FALSE)*HLOOKUP(REG_TRA_DEMANDS!$F125,DEMANDS!$G$2:$CK$25,MATCH($E125,DEMANDS!$E$2:$E$25,0),FALSE)/HLOOKUP(2018,DEMANDS!$G$2:$CK$25,MATCH($E125,DEMANDS!$E$2:$E$25,0),FALSE)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T125" s="19">
        <f>HLOOKUP(REG_TRA_DEMANDS!T$3,'BY-Demands'!$J$5:$AK$14,MATCH($E125,'BY-Demands'!$I$5:$I$14,0),FALSE)*HLOOKUP(REG_TRA_DEMANDS!$F125,DEMANDS!$G$2:$CK$25,MATCH($E125,DEMANDS!$E$2:$E$25,0),FALSE)/HLOOKUP(2018,DEMANDS!$G$2:$CK$25,MATCH($E125,DEMANDS!$E$2:$E$25,0),FALSE)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U125" s="19">
        <f>HLOOKUP(REG_TRA_DEMANDS!U$3,'BY-Demands'!$J$5:$AK$14,MATCH($E125,'BY-Demands'!$I$5:$I$14,0),FALSE)*HLOOKUP(REG_TRA_DEMANDS!$F125,DEMANDS!$G$2:$CK$25,MATCH($E125,DEMANDS!$E$2:$E$25,0),FALSE)/HLOOKUP(2018,DEMANDS!$G$2:$CK$25,MATCH($E125,DEMANDS!$E$2:$E$25,0),FALSE)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V125" s="19">
        <f>HLOOKUP(REG_TRA_DEMANDS!V$3,'BY-Demands'!$J$5:$AK$14,MATCH($E125,'BY-Demands'!$I$5:$I$14,0),FALSE)*HLOOKUP(REG_TRA_DEMANDS!$F125,DEMANDS!$G$2:$CK$25,MATCH($E125,DEMANDS!$E$2:$E$25,0),FALSE)/HLOOKUP(2018,DEMANDS!$G$2:$CK$25,MATCH($E125,DEMANDS!$E$2:$E$25,0),FALSE)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W125" s="19">
        <f>HLOOKUP(REG_TRA_DEMANDS!W$3,'BY-Demands'!$J$5:$AK$14,MATCH($E125,'BY-Demands'!$I$5:$I$14,0),FALSE)*HLOOKUP(REG_TRA_DEMANDS!$F125,DEMANDS!$G$2:$CK$25,MATCH($E125,DEMANDS!$E$2:$E$25,0),FALSE)/HLOOKUP(2018,DEMANDS!$G$2:$CK$25,MATCH($E125,DEMANDS!$E$2:$E$25,0),FALSE)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X125" s="19">
        <f>HLOOKUP(REG_TRA_DEMANDS!X$3,'BY-Demands'!$J$5:$AK$14,MATCH($E125,'BY-Demands'!$I$5:$I$14,0),FALSE)*HLOOKUP(REG_TRA_DEMANDS!$F125,DEMANDS!$G$2:$CK$25,MATCH($E125,DEMANDS!$E$2:$E$25,0),FALSE)/HLOOKUP(2018,DEMANDS!$G$2:$CK$25,MATCH($E125,DEMANDS!$E$2:$E$25,0),FALSE)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Y125" s="19">
        <f>HLOOKUP(REG_TRA_DEMANDS!Y$3,'BY-Demands'!$J$5:$AK$14,MATCH($E125,'BY-Demands'!$I$5:$I$14,0),FALSE)*HLOOKUP(REG_TRA_DEMANDS!$F125,DEMANDS!$G$2:$CK$25,MATCH($E125,DEMANDS!$E$2:$E$25,0),FALSE)/HLOOKUP(2018,DEMANDS!$G$2:$CK$25,MATCH($E125,DEMANDS!$E$2:$E$25,0),FALSE)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Z125" s="19">
        <f>HLOOKUP(REG_TRA_DEMANDS!Z$3,'BY-Demands'!$J$5:$AK$14,MATCH($E125,'BY-Demands'!$I$5:$I$14,0),FALSE)*HLOOKUP(REG_TRA_DEMANDS!$F125,DEMANDS!$G$2:$CK$25,MATCH($E125,DEMANDS!$E$2:$E$25,0),FALSE)/HLOOKUP(2018,DEMANDS!$G$2:$CK$25,MATCH($E125,DEMANDS!$E$2:$E$25,0),FALSE)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A125" s="19">
        <f>HLOOKUP(REG_TRA_DEMANDS!AA$3,'BY-Demands'!$J$5:$AK$14,MATCH($E125,'BY-Demands'!$I$5:$I$14,0),FALSE)*HLOOKUP(REG_TRA_DEMANDS!$F125,DEMANDS!$G$2:$CK$25,MATCH($E125,DEMANDS!$E$2:$E$25,0),FALSE)/HLOOKUP(2018,DEMANDS!$G$2:$CK$25,MATCH($E125,DEMANDS!$E$2:$E$25,0),FALSE)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B125" s="19">
        <f>HLOOKUP(REG_TRA_DEMANDS!AB$3,'BY-Demands'!$J$5:$AK$14,MATCH($E125,'BY-Demands'!$I$5:$I$14,0),FALSE)*HLOOKUP(REG_TRA_DEMANDS!$F125,DEMANDS!$G$2:$CK$25,MATCH($E125,DEMANDS!$E$2:$E$25,0),FALSE)/HLOOKUP(2018,DEMANDS!$G$2:$CK$25,MATCH($E125,DEMANDS!$E$2:$E$25,0),FALSE)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C125" s="19">
        <f>HLOOKUP(REG_TRA_DEMANDS!AC$3,'BY-Demands'!$J$5:$AK$14,MATCH($E125,'BY-Demands'!$I$5:$I$14,0),FALSE)*HLOOKUP(REG_TRA_DEMANDS!$F125,DEMANDS!$G$2:$CK$25,MATCH($E125,DEMANDS!$E$2:$E$25,0),FALSE)/HLOOKUP(2018,DEMANDS!$G$2:$CK$25,MATCH($E125,DEMANDS!$E$2:$E$25,0),FALSE)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D125" s="19">
        <f>HLOOKUP(REG_TRA_DEMANDS!AD$3,'BY-Demands'!$J$5:$AK$14,MATCH($E125,'BY-Demands'!$I$5:$I$14,0),FALSE)*HLOOKUP(REG_TRA_DEMANDS!$F125,DEMANDS!$G$2:$CK$25,MATCH($E125,DEMANDS!$E$2:$E$25,0),FALSE)/HLOOKUP(2018,DEMANDS!$G$2:$CK$25,MATCH($E125,DEMANDS!$E$2:$E$25,0),FALSE)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E125" s="19">
        <f>HLOOKUP(REG_TRA_DEMANDS!AE$3,'BY-Demands'!$J$5:$AK$14,MATCH($E125,'BY-Demands'!$I$5:$I$14,0),FALSE)*HLOOKUP(REG_TRA_DEMANDS!$F125,DEMANDS!$G$2:$CK$25,MATCH($E125,DEMANDS!$E$2:$E$25,0),FALSE)/HLOOKUP(2018,DEMANDS!$G$2:$CK$25,MATCH($E125,DEMANDS!$E$2:$E$25,0),FALSE)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F125" s="19">
        <f>HLOOKUP(REG_TRA_DEMANDS!AF$3,'BY-Demands'!$J$5:$AK$14,MATCH($E125,'BY-Demands'!$I$5:$I$14,0),FALSE)*HLOOKUP(REG_TRA_DEMANDS!$F125,DEMANDS!$G$2:$CK$25,MATCH($E125,DEMANDS!$E$2:$E$25,0),FALSE)/HLOOKUP(2018,DEMANDS!$G$2:$CK$25,MATCH($E125,DEMANDS!$E$2:$E$25,0),FALSE)</f>
        <v>0</v>
      </c>
    </row>
    <row r="126" spans="4:32" ht="14.5">
      <c r="D126" t="s">
        <v>6</v>
      </c>
      <c r="E126" t="str">
        <f>DEMANDS!$E$21</f>
        <v>TTURS</v>
      </c>
      <c r="F126">
        <v>2034</v>
      </c>
      <c r="G126" s="19">
        <f>HLOOKUP(REG_TRA_DEMANDS!G$3,'BY-Demands'!$J$5:$AK$14,MATCH($E126,'BY-Demands'!$I$5:$I$14,0),FALSE)*HLOOKUP(REG_TRA_DEMANDS!$F126,DEMANDS!$G$2:$CK$25,MATCH($E126,DEMANDS!$E$2:$E$25,0),FALSE)/HLOOKUP(2018,DEMANDS!$G$2:$CK$25,MATCH($E126,DEMANDS!$E$2:$E$25,0),FALSE)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H126" s="19">
        <f>HLOOKUP(REG_TRA_DEMANDS!H$3,'BY-Demands'!$J$5:$AK$14,MATCH($E126,'BY-Demands'!$I$5:$I$14,0),FALSE)*HLOOKUP(REG_TRA_DEMANDS!$F126,DEMANDS!$G$2:$CK$25,MATCH($E126,DEMANDS!$E$2:$E$25,0),FALSE)/HLOOKUP(2018,DEMANDS!$G$2:$CK$25,MATCH($E126,DEMANDS!$E$2:$E$25,0),FALSE)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I126" s="19">
        <f>HLOOKUP(REG_TRA_DEMANDS!I$3,'BY-Demands'!$J$5:$AK$14,MATCH($E126,'BY-Demands'!$I$5:$I$14,0),FALSE)*HLOOKUP(REG_TRA_DEMANDS!$F126,DEMANDS!$G$2:$CK$25,MATCH($E126,DEMANDS!$E$2:$E$25,0),FALSE)/HLOOKUP(2018,DEMANDS!$G$2:$CK$25,MATCH($E126,DEMANDS!$E$2:$E$25,0),FALSE)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J126" s="19">
        <f>HLOOKUP(REG_TRA_DEMANDS!J$3,'BY-Demands'!$J$5:$AK$14,MATCH($E126,'BY-Demands'!$I$5:$I$14,0),FALSE)*HLOOKUP(REG_TRA_DEMANDS!$F126,DEMANDS!$G$2:$CK$25,MATCH($E126,DEMANDS!$E$2:$E$25,0),FALSE)/HLOOKUP(2018,DEMANDS!$G$2:$CK$25,MATCH($E126,DEMANDS!$E$2:$E$25,0),FALSE)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K126" s="19">
        <f>HLOOKUP(REG_TRA_DEMANDS!K$3,'BY-Demands'!$J$5:$AK$14,MATCH($E126,'BY-Demands'!$I$5:$I$14,0),FALSE)*HLOOKUP(REG_TRA_DEMANDS!$F126,DEMANDS!$G$2:$CK$25,MATCH($E126,DEMANDS!$E$2:$E$25,0),FALSE)/HLOOKUP(2018,DEMANDS!$G$2:$CK$25,MATCH($E126,DEMANDS!$E$2:$E$25,0),FALSE)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L126" s="19">
        <f>HLOOKUP(REG_TRA_DEMANDS!L$3,'BY-Demands'!$J$5:$AK$14,MATCH($E126,'BY-Demands'!$I$5:$I$14,0),FALSE)*HLOOKUP(REG_TRA_DEMANDS!$F126,DEMANDS!$G$2:$CK$25,MATCH($E126,DEMANDS!$E$2:$E$25,0),FALSE)/HLOOKUP(2018,DEMANDS!$G$2:$CK$25,MATCH($E126,DEMANDS!$E$2:$E$25,0),FALSE)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M126" s="19">
        <f>HLOOKUP(REG_TRA_DEMANDS!M$3,'BY-Demands'!$J$5:$AK$14,MATCH($E126,'BY-Demands'!$I$5:$I$14,0),FALSE)*HLOOKUP(REG_TRA_DEMANDS!$F126,DEMANDS!$G$2:$CK$25,MATCH($E126,DEMANDS!$E$2:$E$25,0),FALSE)/HLOOKUP(2018,DEMANDS!$G$2:$CK$25,MATCH($E126,DEMANDS!$E$2:$E$25,0),FALSE)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N126" s="19">
        <f>HLOOKUP(REG_TRA_DEMANDS!N$3,'BY-Demands'!$J$5:$AK$14,MATCH($E126,'BY-Demands'!$I$5:$I$14,0),FALSE)*HLOOKUP(REG_TRA_DEMANDS!$F126,DEMANDS!$G$2:$CK$25,MATCH($E126,DEMANDS!$E$2:$E$25,0),FALSE)/HLOOKUP(2018,DEMANDS!$G$2:$CK$25,MATCH($E126,DEMANDS!$E$2:$E$25,0),FALSE)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O126" s="19">
        <f>HLOOKUP(REG_TRA_DEMANDS!O$3,'BY-Demands'!$J$5:$AK$14,MATCH($E126,'BY-Demands'!$I$5:$I$14,0),FALSE)*HLOOKUP(REG_TRA_DEMANDS!$F126,DEMANDS!$G$2:$CK$25,MATCH($E126,DEMANDS!$E$2:$E$25,0),FALSE)/HLOOKUP(2018,DEMANDS!$G$2:$CK$25,MATCH($E126,DEMANDS!$E$2:$E$25,0),FALSE)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P126" s="19">
        <f>HLOOKUP(REG_TRA_DEMANDS!P$3,'BY-Demands'!$J$5:$AK$14,MATCH($E126,'BY-Demands'!$I$5:$I$14,0),FALSE)*HLOOKUP(REG_TRA_DEMANDS!$F126,DEMANDS!$G$2:$CK$25,MATCH($E126,DEMANDS!$E$2:$E$25,0),FALSE)/HLOOKUP(2018,DEMANDS!$G$2:$CK$25,MATCH($E126,DEMANDS!$E$2:$E$25,0),FALSE)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Q126" s="19">
        <f>HLOOKUP(REG_TRA_DEMANDS!Q$3,'BY-Demands'!$J$5:$AK$14,MATCH($E126,'BY-Demands'!$I$5:$I$14,0),FALSE)*HLOOKUP(REG_TRA_DEMANDS!$F126,DEMANDS!$G$2:$CK$25,MATCH($E126,DEMANDS!$E$2:$E$25,0),FALSE)/HLOOKUP(2018,DEMANDS!$G$2:$CK$25,MATCH($E126,DEMANDS!$E$2:$E$25,0),FALSE)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R126" s="19">
        <f>HLOOKUP(REG_TRA_DEMANDS!R$3,'BY-Demands'!$J$5:$AK$14,MATCH($E126,'BY-Demands'!$I$5:$I$14,0),FALSE)*HLOOKUP(REG_TRA_DEMANDS!$F126,DEMANDS!$G$2:$CK$25,MATCH($E126,DEMANDS!$E$2:$E$25,0),FALSE)/HLOOKUP(2018,DEMANDS!$G$2:$CK$25,MATCH($E126,DEMANDS!$E$2:$E$25,0),FALSE)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S126" s="19">
        <f>HLOOKUP(REG_TRA_DEMANDS!S$3,'BY-Demands'!$J$5:$AK$14,MATCH($E126,'BY-Demands'!$I$5:$I$14,0),FALSE)*HLOOKUP(REG_TRA_DEMANDS!$F126,DEMANDS!$G$2:$CK$25,MATCH($E126,DEMANDS!$E$2:$E$25,0),FALSE)/HLOOKUP(2018,DEMANDS!$G$2:$CK$25,MATCH($E126,DEMANDS!$E$2:$E$25,0),FALSE)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T126" s="19">
        <f>HLOOKUP(REG_TRA_DEMANDS!T$3,'BY-Demands'!$J$5:$AK$14,MATCH($E126,'BY-Demands'!$I$5:$I$14,0),FALSE)*HLOOKUP(REG_TRA_DEMANDS!$F126,DEMANDS!$G$2:$CK$25,MATCH($E126,DEMANDS!$E$2:$E$25,0),FALSE)/HLOOKUP(2018,DEMANDS!$G$2:$CK$25,MATCH($E126,DEMANDS!$E$2:$E$25,0),FALSE)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U126" s="19">
        <f>HLOOKUP(REG_TRA_DEMANDS!U$3,'BY-Demands'!$J$5:$AK$14,MATCH($E126,'BY-Demands'!$I$5:$I$14,0),FALSE)*HLOOKUP(REG_TRA_DEMANDS!$F126,DEMANDS!$G$2:$CK$25,MATCH($E126,DEMANDS!$E$2:$E$25,0),FALSE)/HLOOKUP(2018,DEMANDS!$G$2:$CK$25,MATCH($E126,DEMANDS!$E$2:$E$25,0),FALSE)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V126" s="19">
        <f>HLOOKUP(REG_TRA_DEMANDS!V$3,'BY-Demands'!$J$5:$AK$14,MATCH($E126,'BY-Demands'!$I$5:$I$14,0),FALSE)*HLOOKUP(REG_TRA_DEMANDS!$F126,DEMANDS!$G$2:$CK$25,MATCH($E126,DEMANDS!$E$2:$E$25,0),FALSE)/HLOOKUP(2018,DEMANDS!$G$2:$CK$25,MATCH($E126,DEMANDS!$E$2:$E$25,0),FALSE)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W126" s="19">
        <f>HLOOKUP(REG_TRA_DEMANDS!W$3,'BY-Demands'!$J$5:$AK$14,MATCH($E126,'BY-Demands'!$I$5:$I$14,0),FALSE)*HLOOKUP(REG_TRA_DEMANDS!$F126,DEMANDS!$G$2:$CK$25,MATCH($E126,DEMANDS!$E$2:$E$25,0),FALSE)/HLOOKUP(2018,DEMANDS!$G$2:$CK$25,MATCH($E126,DEMANDS!$E$2:$E$25,0),FALSE)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X126" s="19">
        <f>HLOOKUP(REG_TRA_DEMANDS!X$3,'BY-Demands'!$J$5:$AK$14,MATCH($E126,'BY-Demands'!$I$5:$I$14,0),FALSE)*HLOOKUP(REG_TRA_DEMANDS!$F126,DEMANDS!$G$2:$CK$25,MATCH($E126,DEMANDS!$E$2:$E$25,0),FALSE)/HLOOKUP(2018,DEMANDS!$G$2:$CK$25,MATCH($E126,DEMANDS!$E$2:$E$25,0),FALSE)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Y126" s="19">
        <f>HLOOKUP(REG_TRA_DEMANDS!Y$3,'BY-Demands'!$J$5:$AK$14,MATCH($E126,'BY-Demands'!$I$5:$I$14,0),FALSE)*HLOOKUP(REG_TRA_DEMANDS!$F126,DEMANDS!$G$2:$CK$25,MATCH($E126,DEMANDS!$E$2:$E$25,0),FALSE)/HLOOKUP(2018,DEMANDS!$G$2:$CK$25,MATCH($E126,DEMANDS!$E$2:$E$25,0),FALSE)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Z126" s="19">
        <f>HLOOKUP(REG_TRA_DEMANDS!Z$3,'BY-Demands'!$J$5:$AK$14,MATCH($E126,'BY-Demands'!$I$5:$I$14,0),FALSE)*HLOOKUP(REG_TRA_DEMANDS!$F126,DEMANDS!$G$2:$CK$25,MATCH($E126,DEMANDS!$E$2:$E$25,0),FALSE)/HLOOKUP(2018,DEMANDS!$G$2:$CK$25,MATCH($E126,DEMANDS!$E$2:$E$25,0),FALSE)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A126" s="19">
        <f>HLOOKUP(REG_TRA_DEMANDS!AA$3,'BY-Demands'!$J$5:$AK$14,MATCH($E126,'BY-Demands'!$I$5:$I$14,0),FALSE)*HLOOKUP(REG_TRA_DEMANDS!$F126,DEMANDS!$G$2:$CK$25,MATCH($E126,DEMANDS!$E$2:$E$25,0),FALSE)/HLOOKUP(2018,DEMANDS!$G$2:$CK$25,MATCH($E126,DEMANDS!$E$2:$E$25,0),FALSE)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B126" s="19">
        <f>HLOOKUP(REG_TRA_DEMANDS!AB$3,'BY-Demands'!$J$5:$AK$14,MATCH($E126,'BY-Demands'!$I$5:$I$14,0),FALSE)*HLOOKUP(REG_TRA_DEMANDS!$F126,DEMANDS!$G$2:$CK$25,MATCH($E126,DEMANDS!$E$2:$E$25,0),FALSE)/HLOOKUP(2018,DEMANDS!$G$2:$CK$25,MATCH($E126,DEMANDS!$E$2:$E$25,0),FALSE)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C126" s="19">
        <f>HLOOKUP(REG_TRA_DEMANDS!AC$3,'BY-Demands'!$J$5:$AK$14,MATCH($E126,'BY-Demands'!$I$5:$I$14,0),FALSE)*HLOOKUP(REG_TRA_DEMANDS!$F126,DEMANDS!$G$2:$CK$25,MATCH($E126,DEMANDS!$E$2:$E$25,0),FALSE)/HLOOKUP(2018,DEMANDS!$G$2:$CK$25,MATCH($E126,DEMANDS!$E$2:$E$25,0),FALSE)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D126" s="19">
        <f>HLOOKUP(REG_TRA_DEMANDS!AD$3,'BY-Demands'!$J$5:$AK$14,MATCH($E126,'BY-Demands'!$I$5:$I$14,0),FALSE)*HLOOKUP(REG_TRA_DEMANDS!$F126,DEMANDS!$G$2:$CK$25,MATCH($E126,DEMANDS!$E$2:$E$25,0),FALSE)/HLOOKUP(2018,DEMANDS!$G$2:$CK$25,MATCH($E126,DEMANDS!$E$2:$E$25,0),FALSE)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E126" s="19">
        <f>HLOOKUP(REG_TRA_DEMANDS!AE$3,'BY-Demands'!$J$5:$AK$14,MATCH($E126,'BY-Demands'!$I$5:$I$14,0),FALSE)*HLOOKUP(REG_TRA_DEMANDS!$F126,DEMANDS!$G$2:$CK$25,MATCH($E126,DEMANDS!$E$2:$E$25,0),FALSE)/HLOOKUP(2018,DEMANDS!$G$2:$CK$25,MATCH($E126,DEMANDS!$E$2:$E$25,0),FALSE)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F126" s="19">
        <f>HLOOKUP(REG_TRA_DEMANDS!AF$3,'BY-Demands'!$J$5:$AK$14,MATCH($E126,'BY-Demands'!$I$5:$I$14,0),FALSE)*HLOOKUP(REG_TRA_DEMANDS!$F126,DEMANDS!$G$2:$CK$25,MATCH($E126,DEMANDS!$E$2:$E$25,0),FALSE)/HLOOKUP(2018,DEMANDS!$G$2:$CK$25,MATCH($E126,DEMANDS!$E$2:$E$25,0),FALSE)</f>
        <v>0</v>
      </c>
    </row>
    <row r="127" spans="4:32" ht="14.5">
      <c r="D127" t="s">
        <v>6</v>
      </c>
      <c r="E127" t="str">
        <f>DEMANDS!$E$21</f>
        <v>TTURS</v>
      </c>
      <c r="F127">
        <v>2035</v>
      </c>
      <c r="G127" s="19">
        <f>HLOOKUP(REG_TRA_DEMANDS!G$3,'BY-Demands'!$J$5:$AK$14,MATCH($E127,'BY-Demands'!$I$5:$I$14,0),FALSE)*HLOOKUP(REG_TRA_DEMANDS!$F127,DEMANDS!$G$2:$CK$25,MATCH($E127,DEMANDS!$E$2:$E$25,0),FALSE)/HLOOKUP(2018,DEMANDS!$G$2:$CK$25,MATCH($E127,DEMANDS!$E$2:$E$25,0),FALSE)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H127" s="19">
        <f>HLOOKUP(REG_TRA_DEMANDS!H$3,'BY-Demands'!$J$5:$AK$14,MATCH($E127,'BY-Demands'!$I$5:$I$14,0),FALSE)*HLOOKUP(REG_TRA_DEMANDS!$F127,DEMANDS!$G$2:$CK$25,MATCH($E127,DEMANDS!$E$2:$E$25,0),FALSE)/HLOOKUP(2018,DEMANDS!$G$2:$CK$25,MATCH($E127,DEMANDS!$E$2:$E$25,0),FALSE)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I127" s="19">
        <f>HLOOKUP(REG_TRA_DEMANDS!I$3,'BY-Demands'!$J$5:$AK$14,MATCH($E127,'BY-Demands'!$I$5:$I$14,0),FALSE)*HLOOKUP(REG_TRA_DEMANDS!$F127,DEMANDS!$G$2:$CK$25,MATCH($E127,DEMANDS!$E$2:$E$25,0),FALSE)/HLOOKUP(2018,DEMANDS!$G$2:$CK$25,MATCH($E127,DEMANDS!$E$2:$E$25,0),FALSE)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J127" s="19">
        <f>HLOOKUP(REG_TRA_DEMANDS!J$3,'BY-Demands'!$J$5:$AK$14,MATCH($E127,'BY-Demands'!$I$5:$I$14,0),FALSE)*HLOOKUP(REG_TRA_DEMANDS!$F127,DEMANDS!$G$2:$CK$25,MATCH($E127,DEMANDS!$E$2:$E$25,0),FALSE)/HLOOKUP(2018,DEMANDS!$G$2:$CK$25,MATCH($E127,DEMANDS!$E$2:$E$25,0),FALSE)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K127" s="19">
        <f>HLOOKUP(REG_TRA_DEMANDS!K$3,'BY-Demands'!$J$5:$AK$14,MATCH($E127,'BY-Demands'!$I$5:$I$14,0),FALSE)*HLOOKUP(REG_TRA_DEMANDS!$F127,DEMANDS!$G$2:$CK$25,MATCH($E127,DEMANDS!$E$2:$E$25,0),FALSE)/HLOOKUP(2018,DEMANDS!$G$2:$CK$25,MATCH($E127,DEMANDS!$E$2:$E$25,0),FALSE)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L127" s="19">
        <f>HLOOKUP(REG_TRA_DEMANDS!L$3,'BY-Demands'!$J$5:$AK$14,MATCH($E127,'BY-Demands'!$I$5:$I$14,0),FALSE)*HLOOKUP(REG_TRA_DEMANDS!$F127,DEMANDS!$G$2:$CK$25,MATCH($E127,DEMANDS!$E$2:$E$25,0),FALSE)/HLOOKUP(2018,DEMANDS!$G$2:$CK$25,MATCH($E127,DEMANDS!$E$2:$E$25,0),FALSE)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M127" s="19">
        <f>HLOOKUP(REG_TRA_DEMANDS!M$3,'BY-Demands'!$J$5:$AK$14,MATCH($E127,'BY-Demands'!$I$5:$I$14,0),FALSE)*HLOOKUP(REG_TRA_DEMANDS!$F127,DEMANDS!$G$2:$CK$25,MATCH($E127,DEMANDS!$E$2:$E$25,0),FALSE)/HLOOKUP(2018,DEMANDS!$G$2:$CK$25,MATCH($E127,DEMANDS!$E$2:$E$25,0),FALSE)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N127" s="19">
        <f>HLOOKUP(REG_TRA_DEMANDS!N$3,'BY-Demands'!$J$5:$AK$14,MATCH($E127,'BY-Demands'!$I$5:$I$14,0),FALSE)*HLOOKUP(REG_TRA_DEMANDS!$F127,DEMANDS!$G$2:$CK$25,MATCH($E127,DEMANDS!$E$2:$E$25,0),FALSE)/HLOOKUP(2018,DEMANDS!$G$2:$CK$25,MATCH($E127,DEMANDS!$E$2:$E$25,0),FALSE)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O127" s="19">
        <f>HLOOKUP(REG_TRA_DEMANDS!O$3,'BY-Demands'!$J$5:$AK$14,MATCH($E127,'BY-Demands'!$I$5:$I$14,0),FALSE)*HLOOKUP(REG_TRA_DEMANDS!$F127,DEMANDS!$G$2:$CK$25,MATCH($E127,DEMANDS!$E$2:$E$25,0),FALSE)/HLOOKUP(2018,DEMANDS!$G$2:$CK$25,MATCH($E127,DEMANDS!$E$2:$E$25,0),FALSE)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P127" s="19">
        <f>HLOOKUP(REG_TRA_DEMANDS!P$3,'BY-Demands'!$J$5:$AK$14,MATCH($E127,'BY-Demands'!$I$5:$I$14,0),FALSE)*HLOOKUP(REG_TRA_DEMANDS!$F127,DEMANDS!$G$2:$CK$25,MATCH($E127,DEMANDS!$E$2:$E$25,0),FALSE)/HLOOKUP(2018,DEMANDS!$G$2:$CK$25,MATCH($E127,DEMANDS!$E$2:$E$25,0),FALSE)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Q127" s="19">
        <f>HLOOKUP(REG_TRA_DEMANDS!Q$3,'BY-Demands'!$J$5:$AK$14,MATCH($E127,'BY-Demands'!$I$5:$I$14,0),FALSE)*HLOOKUP(REG_TRA_DEMANDS!$F127,DEMANDS!$G$2:$CK$25,MATCH($E127,DEMANDS!$E$2:$E$25,0),FALSE)/HLOOKUP(2018,DEMANDS!$G$2:$CK$25,MATCH($E127,DEMANDS!$E$2:$E$25,0),FALSE)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R127" s="19">
        <f>HLOOKUP(REG_TRA_DEMANDS!R$3,'BY-Demands'!$J$5:$AK$14,MATCH($E127,'BY-Demands'!$I$5:$I$14,0),FALSE)*HLOOKUP(REG_TRA_DEMANDS!$F127,DEMANDS!$G$2:$CK$25,MATCH($E127,DEMANDS!$E$2:$E$25,0),FALSE)/HLOOKUP(2018,DEMANDS!$G$2:$CK$25,MATCH($E127,DEMANDS!$E$2:$E$25,0),FALSE)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S127" s="19">
        <f>HLOOKUP(REG_TRA_DEMANDS!S$3,'BY-Demands'!$J$5:$AK$14,MATCH($E127,'BY-Demands'!$I$5:$I$14,0),FALSE)*HLOOKUP(REG_TRA_DEMANDS!$F127,DEMANDS!$G$2:$CK$25,MATCH($E127,DEMANDS!$E$2:$E$25,0),FALSE)/HLOOKUP(2018,DEMANDS!$G$2:$CK$25,MATCH($E127,DEMANDS!$E$2:$E$25,0),FALSE)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T127" s="19">
        <f>HLOOKUP(REG_TRA_DEMANDS!T$3,'BY-Demands'!$J$5:$AK$14,MATCH($E127,'BY-Demands'!$I$5:$I$14,0),FALSE)*HLOOKUP(REG_TRA_DEMANDS!$F127,DEMANDS!$G$2:$CK$25,MATCH($E127,DEMANDS!$E$2:$E$25,0),FALSE)/HLOOKUP(2018,DEMANDS!$G$2:$CK$25,MATCH($E127,DEMANDS!$E$2:$E$25,0),FALSE)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U127" s="19">
        <f>HLOOKUP(REG_TRA_DEMANDS!U$3,'BY-Demands'!$J$5:$AK$14,MATCH($E127,'BY-Demands'!$I$5:$I$14,0),FALSE)*HLOOKUP(REG_TRA_DEMANDS!$F127,DEMANDS!$G$2:$CK$25,MATCH($E127,DEMANDS!$E$2:$E$25,0),FALSE)/HLOOKUP(2018,DEMANDS!$G$2:$CK$25,MATCH($E127,DEMANDS!$E$2:$E$25,0),FALSE)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V127" s="19">
        <f>HLOOKUP(REG_TRA_DEMANDS!V$3,'BY-Demands'!$J$5:$AK$14,MATCH($E127,'BY-Demands'!$I$5:$I$14,0),FALSE)*HLOOKUP(REG_TRA_DEMANDS!$F127,DEMANDS!$G$2:$CK$25,MATCH($E127,DEMANDS!$E$2:$E$25,0),FALSE)/HLOOKUP(2018,DEMANDS!$G$2:$CK$25,MATCH($E127,DEMANDS!$E$2:$E$25,0),FALSE)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W127" s="19">
        <f>HLOOKUP(REG_TRA_DEMANDS!W$3,'BY-Demands'!$J$5:$AK$14,MATCH($E127,'BY-Demands'!$I$5:$I$14,0),FALSE)*HLOOKUP(REG_TRA_DEMANDS!$F127,DEMANDS!$G$2:$CK$25,MATCH($E127,DEMANDS!$E$2:$E$25,0),FALSE)/HLOOKUP(2018,DEMANDS!$G$2:$CK$25,MATCH($E127,DEMANDS!$E$2:$E$25,0),FALSE)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X127" s="19">
        <f>HLOOKUP(REG_TRA_DEMANDS!X$3,'BY-Demands'!$J$5:$AK$14,MATCH($E127,'BY-Demands'!$I$5:$I$14,0),FALSE)*HLOOKUP(REG_TRA_DEMANDS!$F127,DEMANDS!$G$2:$CK$25,MATCH($E127,DEMANDS!$E$2:$E$25,0),FALSE)/HLOOKUP(2018,DEMANDS!$G$2:$CK$25,MATCH($E127,DEMANDS!$E$2:$E$25,0),FALSE)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Y127" s="19">
        <f>HLOOKUP(REG_TRA_DEMANDS!Y$3,'BY-Demands'!$J$5:$AK$14,MATCH($E127,'BY-Demands'!$I$5:$I$14,0),FALSE)*HLOOKUP(REG_TRA_DEMANDS!$F127,DEMANDS!$G$2:$CK$25,MATCH($E127,DEMANDS!$E$2:$E$25,0),FALSE)/HLOOKUP(2018,DEMANDS!$G$2:$CK$25,MATCH($E127,DEMANDS!$E$2:$E$25,0),FALSE)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Z127" s="19">
        <f>HLOOKUP(REG_TRA_DEMANDS!Z$3,'BY-Demands'!$J$5:$AK$14,MATCH($E127,'BY-Demands'!$I$5:$I$14,0),FALSE)*HLOOKUP(REG_TRA_DEMANDS!$F127,DEMANDS!$G$2:$CK$25,MATCH($E127,DEMANDS!$E$2:$E$25,0),FALSE)/HLOOKUP(2018,DEMANDS!$G$2:$CK$25,MATCH($E127,DEMANDS!$E$2:$E$25,0),FALSE)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A127" s="19">
        <f>HLOOKUP(REG_TRA_DEMANDS!AA$3,'BY-Demands'!$J$5:$AK$14,MATCH($E127,'BY-Demands'!$I$5:$I$14,0),FALSE)*HLOOKUP(REG_TRA_DEMANDS!$F127,DEMANDS!$G$2:$CK$25,MATCH($E127,DEMANDS!$E$2:$E$25,0),FALSE)/HLOOKUP(2018,DEMANDS!$G$2:$CK$25,MATCH($E127,DEMANDS!$E$2:$E$25,0),FALSE)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B127" s="19">
        <f>HLOOKUP(REG_TRA_DEMANDS!AB$3,'BY-Demands'!$J$5:$AK$14,MATCH($E127,'BY-Demands'!$I$5:$I$14,0),FALSE)*HLOOKUP(REG_TRA_DEMANDS!$F127,DEMANDS!$G$2:$CK$25,MATCH($E127,DEMANDS!$E$2:$E$25,0),FALSE)/HLOOKUP(2018,DEMANDS!$G$2:$CK$25,MATCH($E127,DEMANDS!$E$2:$E$25,0),FALSE)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C127" s="19">
        <f>HLOOKUP(REG_TRA_DEMANDS!AC$3,'BY-Demands'!$J$5:$AK$14,MATCH($E127,'BY-Demands'!$I$5:$I$14,0),FALSE)*HLOOKUP(REG_TRA_DEMANDS!$F127,DEMANDS!$G$2:$CK$25,MATCH($E127,DEMANDS!$E$2:$E$25,0),FALSE)/HLOOKUP(2018,DEMANDS!$G$2:$CK$25,MATCH($E127,DEMANDS!$E$2:$E$25,0),FALSE)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D127" s="19">
        <f>HLOOKUP(REG_TRA_DEMANDS!AD$3,'BY-Demands'!$J$5:$AK$14,MATCH($E127,'BY-Demands'!$I$5:$I$14,0),FALSE)*HLOOKUP(REG_TRA_DEMANDS!$F127,DEMANDS!$G$2:$CK$25,MATCH($E127,DEMANDS!$E$2:$E$25,0),FALSE)/HLOOKUP(2018,DEMANDS!$G$2:$CK$25,MATCH($E127,DEMANDS!$E$2:$E$25,0),FALSE)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E127" s="19">
        <f>HLOOKUP(REG_TRA_DEMANDS!AE$3,'BY-Demands'!$J$5:$AK$14,MATCH($E127,'BY-Demands'!$I$5:$I$14,0),FALSE)*HLOOKUP(REG_TRA_DEMANDS!$F127,DEMANDS!$G$2:$CK$25,MATCH($E127,DEMANDS!$E$2:$E$25,0),FALSE)/HLOOKUP(2018,DEMANDS!$G$2:$CK$25,MATCH($E127,DEMANDS!$E$2:$E$25,0),FALSE)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F127" s="19">
        <f>HLOOKUP(REG_TRA_DEMANDS!AF$3,'BY-Demands'!$J$5:$AK$14,MATCH($E127,'BY-Demands'!$I$5:$I$14,0),FALSE)*HLOOKUP(REG_TRA_DEMANDS!$F127,DEMANDS!$G$2:$CK$25,MATCH($E127,DEMANDS!$E$2:$E$25,0),FALSE)/HLOOKUP(2018,DEMANDS!$G$2:$CK$25,MATCH($E127,DEMANDS!$E$2:$E$25,0),FALSE)</f>
        <v>0</v>
      </c>
    </row>
    <row r="128" spans="4:32" ht="14.5">
      <c r="D128" t="s">
        <v>6</v>
      </c>
      <c r="E128" t="str">
        <f>DEMANDS!$E$21</f>
        <v>TTURS</v>
      </c>
      <c r="F128">
        <v>2036</v>
      </c>
      <c r="G128" s="19">
        <f>HLOOKUP(REG_TRA_DEMANDS!G$3,'BY-Demands'!$J$5:$AK$14,MATCH($E128,'BY-Demands'!$I$5:$I$14,0),FALSE)*HLOOKUP(REG_TRA_DEMANDS!$F128,DEMANDS!$G$2:$CK$25,MATCH($E128,DEMANDS!$E$2:$E$25,0),FALSE)/HLOOKUP(2018,DEMANDS!$G$2:$CK$25,MATCH($E128,DEMANDS!$E$2:$E$25,0),FALSE)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H128" s="19">
        <f>HLOOKUP(REG_TRA_DEMANDS!H$3,'BY-Demands'!$J$5:$AK$14,MATCH($E128,'BY-Demands'!$I$5:$I$14,0),FALSE)*HLOOKUP(REG_TRA_DEMANDS!$F128,DEMANDS!$G$2:$CK$25,MATCH($E128,DEMANDS!$E$2:$E$25,0),FALSE)/HLOOKUP(2018,DEMANDS!$G$2:$CK$25,MATCH($E128,DEMANDS!$E$2:$E$25,0),FALSE)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I128" s="19">
        <f>HLOOKUP(REG_TRA_DEMANDS!I$3,'BY-Demands'!$J$5:$AK$14,MATCH($E128,'BY-Demands'!$I$5:$I$14,0),FALSE)*HLOOKUP(REG_TRA_DEMANDS!$F128,DEMANDS!$G$2:$CK$25,MATCH($E128,DEMANDS!$E$2:$E$25,0),FALSE)/HLOOKUP(2018,DEMANDS!$G$2:$CK$25,MATCH($E128,DEMANDS!$E$2:$E$25,0),FALSE)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J128" s="19">
        <f>HLOOKUP(REG_TRA_DEMANDS!J$3,'BY-Demands'!$J$5:$AK$14,MATCH($E128,'BY-Demands'!$I$5:$I$14,0),FALSE)*HLOOKUP(REG_TRA_DEMANDS!$F128,DEMANDS!$G$2:$CK$25,MATCH($E128,DEMANDS!$E$2:$E$25,0),FALSE)/HLOOKUP(2018,DEMANDS!$G$2:$CK$25,MATCH($E128,DEMANDS!$E$2:$E$25,0),FALSE)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K128" s="19">
        <f>HLOOKUP(REG_TRA_DEMANDS!K$3,'BY-Demands'!$J$5:$AK$14,MATCH($E128,'BY-Demands'!$I$5:$I$14,0),FALSE)*HLOOKUP(REG_TRA_DEMANDS!$F128,DEMANDS!$G$2:$CK$25,MATCH($E128,DEMANDS!$E$2:$E$25,0),FALSE)/HLOOKUP(2018,DEMANDS!$G$2:$CK$25,MATCH($E128,DEMANDS!$E$2:$E$25,0),FALSE)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L128" s="19">
        <f>HLOOKUP(REG_TRA_DEMANDS!L$3,'BY-Demands'!$J$5:$AK$14,MATCH($E128,'BY-Demands'!$I$5:$I$14,0),FALSE)*HLOOKUP(REG_TRA_DEMANDS!$F128,DEMANDS!$G$2:$CK$25,MATCH($E128,DEMANDS!$E$2:$E$25,0),FALSE)/HLOOKUP(2018,DEMANDS!$G$2:$CK$25,MATCH($E128,DEMANDS!$E$2:$E$25,0),FALSE)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M128" s="19">
        <f>HLOOKUP(REG_TRA_DEMANDS!M$3,'BY-Demands'!$J$5:$AK$14,MATCH($E128,'BY-Demands'!$I$5:$I$14,0),FALSE)*HLOOKUP(REG_TRA_DEMANDS!$F128,DEMANDS!$G$2:$CK$25,MATCH($E128,DEMANDS!$E$2:$E$25,0),FALSE)/HLOOKUP(2018,DEMANDS!$G$2:$CK$25,MATCH($E128,DEMANDS!$E$2:$E$25,0),FALSE)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N128" s="19">
        <f>HLOOKUP(REG_TRA_DEMANDS!N$3,'BY-Demands'!$J$5:$AK$14,MATCH($E128,'BY-Demands'!$I$5:$I$14,0),FALSE)*HLOOKUP(REG_TRA_DEMANDS!$F128,DEMANDS!$G$2:$CK$25,MATCH($E128,DEMANDS!$E$2:$E$25,0),FALSE)/HLOOKUP(2018,DEMANDS!$G$2:$CK$25,MATCH($E128,DEMANDS!$E$2:$E$25,0),FALSE)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O128" s="19">
        <f>HLOOKUP(REG_TRA_DEMANDS!O$3,'BY-Demands'!$J$5:$AK$14,MATCH($E128,'BY-Demands'!$I$5:$I$14,0),FALSE)*HLOOKUP(REG_TRA_DEMANDS!$F128,DEMANDS!$G$2:$CK$25,MATCH($E128,DEMANDS!$E$2:$E$25,0),FALSE)/HLOOKUP(2018,DEMANDS!$G$2:$CK$25,MATCH($E128,DEMANDS!$E$2:$E$25,0),FALSE)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P128" s="19">
        <f>HLOOKUP(REG_TRA_DEMANDS!P$3,'BY-Demands'!$J$5:$AK$14,MATCH($E128,'BY-Demands'!$I$5:$I$14,0),FALSE)*HLOOKUP(REG_TRA_DEMANDS!$F128,DEMANDS!$G$2:$CK$25,MATCH($E128,DEMANDS!$E$2:$E$25,0),FALSE)/HLOOKUP(2018,DEMANDS!$G$2:$CK$25,MATCH($E128,DEMANDS!$E$2:$E$25,0),FALSE)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Q128" s="19">
        <f>HLOOKUP(REG_TRA_DEMANDS!Q$3,'BY-Demands'!$J$5:$AK$14,MATCH($E128,'BY-Demands'!$I$5:$I$14,0),FALSE)*HLOOKUP(REG_TRA_DEMANDS!$F128,DEMANDS!$G$2:$CK$25,MATCH($E128,DEMANDS!$E$2:$E$25,0),FALSE)/HLOOKUP(2018,DEMANDS!$G$2:$CK$25,MATCH($E128,DEMANDS!$E$2:$E$25,0),FALSE)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R128" s="19">
        <f>HLOOKUP(REG_TRA_DEMANDS!R$3,'BY-Demands'!$J$5:$AK$14,MATCH($E128,'BY-Demands'!$I$5:$I$14,0),FALSE)*HLOOKUP(REG_TRA_DEMANDS!$F128,DEMANDS!$G$2:$CK$25,MATCH($E128,DEMANDS!$E$2:$E$25,0),FALSE)/HLOOKUP(2018,DEMANDS!$G$2:$CK$25,MATCH($E128,DEMANDS!$E$2:$E$25,0),FALSE)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S128" s="19">
        <f>HLOOKUP(REG_TRA_DEMANDS!S$3,'BY-Demands'!$J$5:$AK$14,MATCH($E128,'BY-Demands'!$I$5:$I$14,0),FALSE)*HLOOKUP(REG_TRA_DEMANDS!$F128,DEMANDS!$G$2:$CK$25,MATCH($E128,DEMANDS!$E$2:$E$25,0),FALSE)/HLOOKUP(2018,DEMANDS!$G$2:$CK$25,MATCH($E128,DEMANDS!$E$2:$E$25,0),FALSE)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T128" s="19">
        <f>HLOOKUP(REG_TRA_DEMANDS!T$3,'BY-Demands'!$J$5:$AK$14,MATCH($E128,'BY-Demands'!$I$5:$I$14,0),FALSE)*HLOOKUP(REG_TRA_DEMANDS!$F128,DEMANDS!$G$2:$CK$25,MATCH($E128,DEMANDS!$E$2:$E$25,0),FALSE)/HLOOKUP(2018,DEMANDS!$G$2:$CK$25,MATCH($E128,DEMANDS!$E$2:$E$25,0),FALSE)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U128" s="19">
        <f>HLOOKUP(REG_TRA_DEMANDS!U$3,'BY-Demands'!$J$5:$AK$14,MATCH($E128,'BY-Demands'!$I$5:$I$14,0),FALSE)*HLOOKUP(REG_TRA_DEMANDS!$F128,DEMANDS!$G$2:$CK$25,MATCH($E128,DEMANDS!$E$2:$E$25,0),FALSE)/HLOOKUP(2018,DEMANDS!$G$2:$CK$25,MATCH($E128,DEMANDS!$E$2:$E$25,0),FALSE)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V128" s="19">
        <f>HLOOKUP(REG_TRA_DEMANDS!V$3,'BY-Demands'!$J$5:$AK$14,MATCH($E128,'BY-Demands'!$I$5:$I$14,0),FALSE)*HLOOKUP(REG_TRA_DEMANDS!$F128,DEMANDS!$G$2:$CK$25,MATCH($E128,DEMANDS!$E$2:$E$25,0),FALSE)/HLOOKUP(2018,DEMANDS!$G$2:$CK$25,MATCH($E128,DEMANDS!$E$2:$E$25,0),FALSE)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W128" s="19">
        <f>HLOOKUP(REG_TRA_DEMANDS!W$3,'BY-Demands'!$J$5:$AK$14,MATCH($E128,'BY-Demands'!$I$5:$I$14,0),FALSE)*HLOOKUP(REG_TRA_DEMANDS!$F128,DEMANDS!$G$2:$CK$25,MATCH($E128,DEMANDS!$E$2:$E$25,0),FALSE)/HLOOKUP(2018,DEMANDS!$G$2:$CK$25,MATCH($E128,DEMANDS!$E$2:$E$25,0),FALSE)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X128" s="19">
        <f>HLOOKUP(REG_TRA_DEMANDS!X$3,'BY-Demands'!$J$5:$AK$14,MATCH($E128,'BY-Demands'!$I$5:$I$14,0),FALSE)*HLOOKUP(REG_TRA_DEMANDS!$F128,DEMANDS!$G$2:$CK$25,MATCH($E128,DEMANDS!$E$2:$E$25,0),FALSE)/HLOOKUP(2018,DEMANDS!$G$2:$CK$25,MATCH($E128,DEMANDS!$E$2:$E$25,0),FALSE)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Y128" s="19">
        <f>HLOOKUP(REG_TRA_DEMANDS!Y$3,'BY-Demands'!$J$5:$AK$14,MATCH($E128,'BY-Demands'!$I$5:$I$14,0),FALSE)*HLOOKUP(REG_TRA_DEMANDS!$F128,DEMANDS!$G$2:$CK$25,MATCH($E128,DEMANDS!$E$2:$E$25,0),FALSE)/HLOOKUP(2018,DEMANDS!$G$2:$CK$25,MATCH($E128,DEMANDS!$E$2:$E$25,0),FALSE)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Z128" s="19">
        <f>HLOOKUP(REG_TRA_DEMANDS!Z$3,'BY-Demands'!$J$5:$AK$14,MATCH($E128,'BY-Demands'!$I$5:$I$14,0),FALSE)*HLOOKUP(REG_TRA_DEMANDS!$F128,DEMANDS!$G$2:$CK$25,MATCH($E128,DEMANDS!$E$2:$E$25,0),FALSE)/HLOOKUP(2018,DEMANDS!$G$2:$CK$25,MATCH($E128,DEMANDS!$E$2:$E$25,0),FALSE)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A128" s="19">
        <f>HLOOKUP(REG_TRA_DEMANDS!AA$3,'BY-Demands'!$J$5:$AK$14,MATCH($E128,'BY-Demands'!$I$5:$I$14,0),FALSE)*HLOOKUP(REG_TRA_DEMANDS!$F128,DEMANDS!$G$2:$CK$25,MATCH($E128,DEMANDS!$E$2:$E$25,0),FALSE)/HLOOKUP(2018,DEMANDS!$G$2:$CK$25,MATCH($E128,DEMANDS!$E$2:$E$25,0),FALSE)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B128" s="19">
        <f>HLOOKUP(REG_TRA_DEMANDS!AB$3,'BY-Demands'!$J$5:$AK$14,MATCH($E128,'BY-Demands'!$I$5:$I$14,0),FALSE)*HLOOKUP(REG_TRA_DEMANDS!$F128,DEMANDS!$G$2:$CK$25,MATCH($E128,DEMANDS!$E$2:$E$25,0),FALSE)/HLOOKUP(2018,DEMANDS!$G$2:$CK$25,MATCH($E128,DEMANDS!$E$2:$E$25,0),FALSE)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C128" s="19">
        <f>HLOOKUP(REG_TRA_DEMANDS!AC$3,'BY-Demands'!$J$5:$AK$14,MATCH($E128,'BY-Demands'!$I$5:$I$14,0),FALSE)*HLOOKUP(REG_TRA_DEMANDS!$F128,DEMANDS!$G$2:$CK$25,MATCH($E128,DEMANDS!$E$2:$E$25,0),FALSE)/HLOOKUP(2018,DEMANDS!$G$2:$CK$25,MATCH($E128,DEMANDS!$E$2:$E$25,0),FALSE)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D128" s="19">
        <f>HLOOKUP(REG_TRA_DEMANDS!AD$3,'BY-Demands'!$J$5:$AK$14,MATCH($E128,'BY-Demands'!$I$5:$I$14,0),FALSE)*HLOOKUP(REG_TRA_DEMANDS!$F128,DEMANDS!$G$2:$CK$25,MATCH($E128,DEMANDS!$E$2:$E$25,0),FALSE)/HLOOKUP(2018,DEMANDS!$G$2:$CK$25,MATCH($E128,DEMANDS!$E$2:$E$25,0),FALSE)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E128" s="19">
        <f>HLOOKUP(REG_TRA_DEMANDS!AE$3,'BY-Demands'!$J$5:$AK$14,MATCH($E128,'BY-Demands'!$I$5:$I$14,0),FALSE)*HLOOKUP(REG_TRA_DEMANDS!$F128,DEMANDS!$G$2:$CK$25,MATCH($E128,DEMANDS!$E$2:$E$25,0),FALSE)/HLOOKUP(2018,DEMANDS!$G$2:$CK$25,MATCH($E128,DEMANDS!$E$2:$E$25,0),FALSE)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F128" s="19">
        <f>HLOOKUP(REG_TRA_DEMANDS!AF$3,'BY-Demands'!$J$5:$AK$14,MATCH($E128,'BY-Demands'!$I$5:$I$14,0),FALSE)*HLOOKUP(REG_TRA_DEMANDS!$F128,DEMANDS!$G$2:$CK$25,MATCH($E128,DEMANDS!$E$2:$E$25,0),FALSE)/HLOOKUP(2018,DEMANDS!$G$2:$CK$25,MATCH($E128,DEMANDS!$E$2:$E$25,0),FALSE)</f>
        <v>0</v>
      </c>
    </row>
    <row r="129" spans="4:32" ht="14.5">
      <c r="D129" t="s">
        <v>6</v>
      </c>
      <c r="E129" t="str">
        <f>DEMANDS!$E$21</f>
        <v>TTURS</v>
      </c>
      <c r="F129">
        <v>2037</v>
      </c>
      <c r="G129" s="19">
        <f>HLOOKUP(REG_TRA_DEMANDS!G$3,'BY-Demands'!$J$5:$AK$14,MATCH($E129,'BY-Demands'!$I$5:$I$14,0),FALSE)*HLOOKUP(REG_TRA_DEMANDS!$F129,DEMANDS!$G$2:$CK$25,MATCH($E129,DEMANDS!$E$2:$E$25,0),FALSE)/HLOOKUP(2018,DEMANDS!$G$2:$CK$25,MATCH($E129,DEMANDS!$E$2:$E$25,0),FALSE)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H129" s="19">
        <f>HLOOKUP(REG_TRA_DEMANDS!H$3,'BY-Demands'!$J$5:$AK$14,MATCH($E129,'BY-Demands'!$I$5:$I$14,0),FALSE)*HLOOKUP(REG_TRA_DEMANDS!$F129,DEMANDS!$G$2:$CK$25,MATCH($E129,DEMANDS!$E$2:$E$25,0),FALSE)/HLOOKUP(2018,DEMANDS!$G$2:$CK$25,MATCH($E129,DEMANDS!$E$2:$E$25,0),FALSE)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I129" s="19">
        <f>HLOOKUP(REG_TRA_DEMANDS!I$3,'BY-Demands'!$J$5:$AK$14,MATCH($E129,'BY-Demands'!$I$5:$I$14,0),FALSE)*HLOOKUP(REG_TRA_DEMANDS!$F129,DEMANDS!$G$2:$CK$25,MATCH($E129,DEMANDS!$E$2:$E$25,0),FALSE)/HLOOKUP(2018,DEMANDS!$G$2:$CK$25,MATCH($E129,DEMANDS!$E$2:$E$25,0),FALSE)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J129" s="19">
        <f>HLOOKUP(REG_TRA_DEMANDS!J$3,'BY-Demands'!$J$5:$AK$14,MATCH($E129,'BY-Demands'!$I$5:$I$14,0),FALSE)*HLOOKUP(REG_TRA_DEMANDS!$F129,DEMANDS!$G$2:$CK$25,MATCH($E129,DEMANDS!$E$2:$E$25,0),FALSE)/HLOOKUP(2018,DEMANDS!$G$2:$CK$25,MATCH($E129,DEMANDS!$E$2:$E$25,0),FALSE)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K129" s="19">
        <f>HLOOKUP(REG_TRA_DEMANDS!K$3,'BY-Demands'!$J$5:$AK$14,MATCH($E129,'BY-Demands'!$I$5:$I$14,0),FALSE)*HLOOKUP(REG_TRA_DEMANDS!$F129,DEMANDS!$G$2:$CK$25,MATCH($E129,DEMANDS!$E$2:$E$25,0),FALSE)/HLOOKUP(2018,DEMANDS!$G$2:$CK$25,MATCH($E129,DEMANDS!$E$2:$E$25,0),FALSE)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L129" s="19">
        <f>HLOOKUP(REG_TRA_DEMANDS!L$3,'BY-Demands'!$J$5:$AK$14,MATCH($E129,'BY-Demands'!$I$5:$I$14,0),FALSE)*HLOOKUP(REG_TRA_DEMANDS!$F129,DEMANDS!$G$2:$CK$25,MATCH($E129,DEMANDS!$E$2:$E$25,0),FALSE)/HLOOKUP(2018,DEMANDS!$G$2:$CK$25,MATCH($E129,DEMANDS!$E$2:$E$25,0),FALSE)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M129" s="19">
        <f>HLOOKUP(REG_TRA_DEMANDS!M$3,'BY-Demands'!$J$5:$AK$14,MATCH($E129,'BY-Demands'!$I$5:$I$14,0),FALSE)*HLOOKUP(REG_TRA_DEMANDS!$F129,DEMANDS!$G$2:$CK$25,MATCH($E129,DEMANDS!$E$2:$E$25,0),FALSE)/HLOOKUP(2018,DEMANDS!$G$2:$CK$25,MATCH($E129,DEMANDS!$E$2:$E$25,0),FALSE)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N129" s="19">
        <f>HLOOKUP(REG_TRA_DEMANDS!N$3,'BY-Demands'!$J$5:$AK$14,MATCH($E129,'BY-Demands'!$I$5:$I$14,0),FALSE)*HLOOKUP(REG_TRA_DEMANDS!$F129,DEMANDS!$G$2:$CK$25,MATCH($E129,DEMANDS!$E$2:$E$25,0),FALSE)/HLOOKUP(2018,DEMANDS!$G$2:$CK$25,MATCH($E129,DEMANDS!$E$2:$E$25,0),FALSE)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O129" s="19">
        <f>HLOOKUP(REG_TRA_DEMANDS!O$3,'BY-Demands'!$J$5:$AK$14,MATCH($E129,'BY-Demands'!$I$5:$I$14,0),FALSE)*HLOOKUP(REG_TRA_DEMANDS!$F129,DEMANDS!$G$2:$CK$25,MATCH($E129,DEMANDS!$E$2:$E$25,0),FALSE)/HLOOKUP(2018,DEMANDS!$G$2:$CK$25,MATCH($E129,DEMANDS!$E$2:$E$25,0),FALSE)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P129" s="19">
        <f>HLOOKUP(REG_TRA_DEMANDS!P$3,'BY-Demands'!$J$5:$AK$14,MATCH($E129,'BY-Demands'!$I$5:$I$14,0),FALSE)*HLOOKUP(REG_TRA_DEMANDS!$F129,DEMANDS!$G$2:$CK$25,MATCH($E129,DEMANDS!$E$2:$E$25,0),FALSE)/HLOOKUP(2018,DEMANDS!$G$2:$CK$25,MATCH($E129,DEMANDS!$E$2:$E$25,0),FALSE)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Q129" s="19">
        <f>HLOOKUP(REG_TRA_DEMANDS!Q$3,'BY-Demands'!$J$5:$AK$14,MATCH($E129,'BY-Demands'!$I$5:$I$14,0),FALSE)*HLOOKUP(REG_TRA_DEMANDS!$F129,DEMANDS!$G$2:$CK$25,MATCH($E129,DEMANDS!$E$2:$E$25,0),FALSE)/HLOOKUP(2018,DEMANDS!$G$2:$CK$25,MATCH($E129,DEMANDS!$E$2:$E$25,0),FALSE)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R129" s="19">
        <f>HLOOKUP(REG_TRA_DEMANDS!R$3,'BY-Demands'!$J$5:$AK$14,MATCH($E129,'BY-Demands'!$I$5:$I$14,0),FALSE)*HLOOKUP(REG_TRA_DEMANDS!$F129,DEMANDS!$G$2:$CK$25,MATCH($E129,DEMANDS!$E$2:$E$25,0),FALSE)/HLOOKUP(2018,DEMANDS!$G$2:$CK$25,MATCH($E129,DEMANDS!$E$2:$E$25,0),FALSE)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S129" s="19">
        <f>HLOOKUP(REG_TRA_DEMANDS!S$3,'BY-Demands'!$J$5:$AK$14,MATCH($E129,'BY-Demands'!$I$5:$I$14,0),FALSE)*HLOOKUP(REG_TRA_DEMANDS!$F129,DEMANDS!$G$2:$CK$25,MATCH($E129,DEMANDS!$E$2:$E$25,0),FALSE)/HLOOKUP(2018,DEMANDS!$G$2:$CK$25,MATCH($E129,DEMANDS!$E$2:$E$25,0),FALSE)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T129" s="19">
        <f>HLOOKUP(REG_TRA_DEMANDS!T$3,'BY-Demands'!$J$5:$AK$14,MATCH($E129,'BY-Demands'!$I$5:$I$14,0),FALSE)*HLOOKUP(REG_TRA_DEMANDS!$F129,DEMANDS!$G$2:$CK$25,MATCH($E129,DEMANDS!$E$2:$E$25,0),FALSE)/HLOOKUP(2018,DEMANDS!$G$2:$CK$25,MATCH($E129,DEMANDS!$E$2:$E$25,0),FALSE)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U129" s="19">
        <f>HLOOKUP(REG_TRA_DEMANDS!U$3,'BY-Demands'!$J$5:$AK$14,MATCH($E129,'BY-Demands'!$I$5:$I$14,0),FALSE)*HLOOKUP(REG_TRA_DEMANDS!$F129,DEMANDS!$G$2:$CK$25,MATCH($E129,DEMANDS!$E$2:$E$25,0),FALSE)/HLOOKUP(2018,DEMANDS!$G$2:$CK$25,MATCH($E129,DEMANDS!$E$2:$E$25,0),FALSE)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V129" s="19">
        <f>HLOOKUP(REG_TRA_DEMANDS!V$3,'BY-Demands'!$J$5:$AK$14,MATCH($E129,'BY-Demands'!$I$5:$I$14,0),FALSE)*HLOOKUP(REG_TRA_DEMANDS!$F129,DEMANDS!$G$2:$CK$25,MATCH($E129,DEMANDS!$E$2:$E$25,0),FALSE)/HLOOKUP(2018,DEMANDS!$G$2:$CK$25,MATCH($E129,DEMANDS!$E$2:$E$25,0),FALSE)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W129" s="19">
        <f>HLOOKUP(REG_TRA_DEMANDS!W$3,'BY-Demands'!$J$5:$AK$14,MATCH($E129,'BY-Demands'!$I$5:$I$14,0),FALSE)*HLOOKUP(REG_TRA_DEMANDS!$F129,DEMANDS!$G$2:$CK$25,MATCH($E129,DEMANDS!$E$2:$E$25,0),FALSE)/HLOOKUP(2018,DEMANDS!$G$2:$CK$25,MATCH($E129,DEMANDS!$E$2:$E$25,0),FALSE)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X129" s="19">
        <f>HLOOKUP(REG_TRA_DEMANDS!X$3,'BY-Demands'!$J$5:$AK$14,MATCH($E129,'BY-Demands'!$I$5:$I$14,0),FALSE)*HLOOKUP(REG_TRA_DEMANDS!$F129,DEMANDS!$G$2:$CK$25,MATCH($E129,DEMANDS!$E$2:$E$25,0),FALSE)/HLOOKUP(2018,DEMANDS!$G$2:$CK$25,MATCH($E129,DEMANDS!$E$2:$E$25,0),FALSE)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Y129" s="19">
        <f>HLOOKUP(REG_TRA_DEMANDS!Y$3,'BY-Demands'!$J$5:$AK$14,MATCH($E129,'BY-Demands'!$I$5:$I$14,0),FALSE)*HLOOKUP(REG_TRA_DEMANDS!$F129,DEMANDS!$G$2:$CK$25,MATCH($E129,DEMANDS!$E$2:$E$25,0),FALSE)/HLOOKUP(2018,DEMANDS!$G$2:$CK$25,MATCH($E129,DEMANDS!$E$2:$E$25,0),FALSE)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Z129" s="19">
        <f>HLOOKUP(REG_TRA_DEMANDS!Z$3,'BY-Demands'!$J$5:$AK$14,MATCH($E129,'BY-Demands'!$I$5:$I$14,0),FALSE)*HLOOKUP(REG_TRA_DEMANDS!$F129,DEMANDS!$G$2:$CK$25,MATCH($E129,DEMANDS!$E$2:$E$25,0),FALSE)/HLOOKUP(2018,DEMANDS!$G$2:$CK$25,MATCH($E129,DEMANDS!$E$2:$E$25,0),FALSE)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A129" s="19">
        <f>HLOOKUP(REG_TRA_DEMANDS!AA$3,'BY-Demands'!$J$5:$AK$14,MATCH($E129,'BY-Demands'!$I$5:$I$14,0),FALSE)*HLOOKUP(REG_TRA_DEMANDS!$F129,DEMANDS!$G$2:$CK$25,MATCH($E129,DEMANDS!$E$2:$E$25,0),FALSE)/HLOOKUP(2018,DEMANDS!$G$2:$CK$25,MATCH($E129,DEMANDS!$E$2:$E$25,0),FALSE)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B129" s="19">
        <f>HLOOKUP(REG_TRA_DEMANDS!AB$3,'BY-Demands'!$J$5:$AK$14,MATCH($E129,'BY-Demands'!$I$5:$I$14,0),FALSE)*HLOOKUP(REG_TRA_DEMANDS!$F129,DEMANDS!$G$2:$CK$25,MATCH($E129,DEMANDS!$E$2:$E$25,0),FALSE)/HLOOKUP(2018,DEMANDS!$G$2:$CK$25,MATCH($E129,DEMANDS!$E$2:$E$25,0),FALSE)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C129" s="19">
        <f>HLOOKUP(REG_TRA_DEMANDS!AC$3,'BY-Demands'!$J$5:$AK$14,MATCH($E129,'BY-Demands'!$I$5:$I$14,0),FALSE)*HLOOKUP(REG_TRA_DEMANDS!$F129,DEMANDS!$G$2:$CK$25,MATCH($E129,DEMANDS!$E$2:$E$25,0),FALSE)/HLOOKUP(2018,DEMANDS!$G$2:$CK$25,MATCH($E129,DEMANDS!$E$2:$E$25,0),FALSE)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D129" s="19">
        <f>HLOOKUP(REG_TRA_DEMANDS!AD$3,'BY-Demands'!$J$5:$AK$14,MATCH($E129,'BY-Demands'!$I$5:$I$14,0),FALSE)*HLOOKUP(REG_TRA_DEMANDS!$F129,DEMANDS!$G$2:$CK$25,MATCH($E129,DEMANDS!$E$2:$E$25,0),FALSE)/HLOOKUP(2018,DEMANDS!$G$2:$CK$25,MATCH($E129,DEMANDS!$E$2:$E$25,0),FALSE)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E129" s="19">
        <f>HLOOKUP(REG_TRA_DEMANDS!AE$3,'BY-Demands'!$J$5:$AK$14,MATCH($E129,'BY-Demands'!$I$5:$I$14,0),FALSE)*HLOOKUP(REG_TRA_DEMANDS!$F129,DEMANDS!$G$2:$CK$25,MATCH($E129,DEMANDS!$E$2:$E$25,0),FALSE)/HLOOKUP(2018,DEMANDS!$G$2:$CK$25,MATCH($E129,DEMANDS!$E$2:$E$25,0),FALSE)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F129" s="19">
        <f>HLOOKUP(REG_TRA_DEMANDS!AF$3,'BY-Demands'!$J$5:$AK$14,MATCH($E129,'BY-Demands'!$I$5:$I$14,0),FALSE)*HLOOKUP(REG_TRA_DEMANDS!$F129,DEMANDS!$G$2:$CK$25,MATCH($E129,DEMANDS!$E$2:$E$25,0),FALSE)/HLOOKUP(2018,DEMANDS!$G$2:$CK$25,MATCH($E129,DEMANDS!$E$2:$E$25,0),FALSE)</f>
        <v>0</v>
      </c>
    </row>
    <row r="130" spans="4:32" ht="14.5">
      <c r="D130" t="s">
        <v>6</v>
      </c>
      <c r="E130" t="str">
        <f>DEMANDS!$E$21</f>
        <v>TTURS</v>
      </c>
      <c r="F130">
        <v>2038</v>
      </c>
      <c r="G130" s="19">
        <f>HLOOKUP(REG_TRA_DEMANDS!G$3,'BY-Demands'!$J$5:$AK$14,MATCH($E130,'BY-Demands'!$I$5:$I$14,0),FALSE)*HLOOKUP(REG_TRA_DEMANDS!$F130,DEMANDS!$G$2:$CK$25,MATCH($E130,DEMANDS!$E$2:$E$25,0),FALSE)/HLOOKUP(2018,DEMANDS!$G$2:$CK$25,MATCH($E130,DEMANDS!$E$2:$E$25,0),FALSE)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H130" s="19">
        <f>HLOOKUP(REG_TRA_DEMANDS!H$3,'BY-Demands'!$J$5:$AK$14,MATCH($E130,'BY-Demands'!$I$5:$I$14,0),FALSE)*HLOOKUP(REG_TRA_DEMANDS!$F130,DEMANDS!$G$2:$CK$25,MATCH($E130,DEMANDS!$E$2:$E$25,0),FALSE)/HLOOKUP(2018,DEMANDS!$G$2:$CK$25,MATCH($E130,DEMANDS!$E$2:$E$25,0),FALSE)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I130" s="19">
        <f>HLOOKUP(REG_TRA_DEMANDS!I$3,'BY-Demands'!$J$5:$AK$14,MATCH($E130,'BY-Demands'!$I$5:$I$14,0),FALSE)*HLOOKUP(REG_TRA_DEMANDS!$F130,DEMANDS!$G$2:$CK$25,MATCH($E130,DEMANDS!$E$2:$E$25,0),FALSE)/HLOOKUP(2018,DEMANDS!$G$2:$CK$25,MATCH($E130,DEMANDS!$E$2:$E$25,0),FALSE)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J130" s="19">
        <f>HLOOKUP(REG_TRA_DEMANDS!J$3,'BY-Demands'!$J$5:$AK$14,MATCH($E130,'BY-Demands'!$I$5:$I$14,0),FALSE)*HLOOKUP(REG_TRA_DEMANDS!$F130,DEMANDS!$G$2:$CK$25,MATCH($E130,DEMANDS!$E$2:$E$25,0),FALSE)/HLOOKUP(2018,DEMANDS!$G$2:$CK$25,MATCH($E130,DEMANDS!$E$2:$E$25,0),FALSE)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K130" s="19">
        <f>HLOOKUP(REG_TRA_DEMANDS!K$3,'BY-Demands'!$J$5:$AK$14,MATCH($E130,'BY-Demands'!$I$5:$I$14,0),FALSE)*HLOOKUP(REG_TRA_DEMANDS!$F130,DEMANDS!$G$2:$CK$25,MATCH($E130,DEMANDS!$E$2:$E$25,0),FALSE)/HLOOKUP(2018,DEMANDS!$G$2:$CK$25,MATCH($E130,DEMANDS!$E$2:$E$25,0),FALSE)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L130" s="19">
        <f>HLOOKUP(REG_TRA_DEMANDS!L$3,'BY-Demands'!$J$5:$AK$14,MATCH($E130,'BY-Demands'!$I$5:$I$14,0),FALSE)*HLOOKUP(REG_TRA_DEMANDS!$F130,DEMANDS!$G$2:$CK$25,MATCH($E130,DEMANDS!$E$2:$E$25,0),FALSE)/HLOOKUP(2018,DEMANDS!$G$2:$CK$25,MATCH($E130,DEMANDS!$E$2:$E$25,0),FALSE)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M130" s="19">
        <f>HLOOKUP(REG_TRA_DEMANDS!M$3,'BY-Demands'!$J$5:$AK$14,MATCH($E130,'BY-Demands'!$I$5:$I$14,0),FALSE)*HLOOKUP(REG_TRA_DEMANDS!$F130,DEMANDS!$G$2:$CK$25,MATCH($E130,DEMANDS!$E$2:$E$25,0),FALSE)/HLOOKUP(2018,DEMANDS!$G$2:$CK$25,MATCH($E130,DEMANDS!$E$2:$E$25,0),FALSE)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N130" s="19">
        <f>HLOOKUP(REG_TRA_DEMANDS!N$3,'BY-Demands'!$J$5:$AK$14,MATCH($E130,'BY-Demands'!$I$5:$I$14,0),FALSE)*HLOOKUP(REG_TRA_DEMANDS!$F130,DEMANDS!$G$2:$CK$25,MATCH($E130,DEMANDS!$E$2:$E$25,0),FALSE)/HLOOKUP(2018,DEMANDS!$G$2:$CK$25,MATCH($E130,DEMANDS!$E$2:$E$25,0),FALSE)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O130" s="19">
        <f>HLOOKUP(REG_TRA_DEMANDS!O$3,'BY-Demands'!$J$5:$AK$14,MATCH($E130,'BY-Demands'!$I$5:$I$14,0),FALSE)*HLOOKUP(REG_TRA_DEMANDS!$F130,DEMANDS!$G$2:$CK$25,MATCH($E130,DEMANDS!$E$2:$E$25,0),FALSE)/HLOOKUP(2018,DEMANDS!$G$2:$CK$25,MATCH($E130,DEMANDS!$E$2:$E$25,0),FALSE)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P130" s="19">
        <f>HLOOKUP(REG_TRA_DEMANDS!P$3,'BY-Demands'!$J$5:$AK$14,MATCH($E130,'BY-Demands'!$I$5:$I$14,0),FALSE)*HLOOKUP(REG_TRA_DEMANDS!$F130,DEMANDS!$G$2:$CK$25,MATCH($E130,DEMANDS!$E$2:$E$25,0),FALSE)/HLOOKUP(2018,DEMANDS!$G$2:$CK$25,MATCH($E130,DEMANDS!$E$2:$E$25,0),FALSE)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Q130" s="19">
        <f>HLOOKUP(REG_TRA_DEMANDS!Q$3,'BY-Demands'!$J$5:$AK$14,MATCH($E130,'BY-Demands'!$I$5:$I$14,0),FALSE)*HLOOKUP(REG_TRA_DEMANDS!$F130,DEMANDS!$G$2:$CK$25,MATCH($E130,DEMANDS!$E$2:$E$25,0),FALSE)/HLOOKUP(2018,DEMANDS!$G$2:$CK$25,MATCH($E130,DEMANDS!$E$2:$E$25,0),FALSE)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R130" s="19">
        <f>HLOOKUP(REG_TRA_DEMANDS!R$3,'BY-Demands'!$J$5:$AK$14,MATCH($E130,'BY-Demands'!$I$5:$I$14,0),FALSE)*HLOOKUP(REG_TRA_DEMANDS!$F130,DEMANDS!$G$2:$CK$25,MATCH($E130,DEMANDS!$E$2:$E$25,0),FALSE)/HLOOKUP(2018,DEMANDS!$G$2:$CK$25,MATCH($E130,DEMANDS!$E$2:$E$25,0),FALSE)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S130" s="19">
        <f>HLOOKUP(REG_TRA_DEMANDS!S$3,'BY-Demands'!$J$5:$AK$14,MATCH($E130,'BY-Demands'!$I$5:$I$14,0),FALSE)*HLOOKUP(REG_TRA_DEMANDS!$F130,DEMANDS!$G$2:$CK$25,MATCH($E130,DEMANDS!$E$2:$E$25,0),FALSE)/HLOOKUP(2018,DEMANDS!$G$2:$CK$25,MATCH($E130,DEMANDS!$E$2:$E$25,0),FALSE)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T130" s="19">
        <f>HLOOKUP(REG_TRA_DEMANDS!T$3,'BY-Demands'!$J$5:$AK$14,MATCH($E130,'BY-Demands'!$I$5:$I$14,0),FALSE)*HLOOKUP(REG_TRA_DEMANDS!$F130,DEMANDS!$G$2:$CK$25,MATCH($E130,DEMANDS!$E$2:$E$25,0),FALSE)/HLOOKUP(2018,DEMANDS!$G$2:$CK$25,MATCH($E130,DEMANDS!$E$2:$E$25,0),FALSE)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U130" s="19">
        <f>HLOOKUP(REG_TRA_DEMANDS!U$3,'BY-Demands'!$J$5:$AK$14,MATCH($E130,'BY-Demands'!$I$5:$I$14,0),FALSE)*HLOOKUP(REG_TRA_DEMANDS!$F130,DEMANDS!$G$2:$CK$25,MATCH($E130,DEMANDS!$E$2:$E$25,0),FALSE)/HLOOKUP(2018,DEMANDS!$G$2:$CK$25,MATCH($E130,DEMANDS!$E$2:$E$25,0),FALSE)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V130" s="19">
        <f>HLOOKUP(REG_TRA_DEMANDS!V$3,'BY-Demands'!$J$5:$AK$14,MATCH($E130,'BY-Demands'!$I$5:$I$14,0),FALSE)*HLOOKUP(REG_TRA_DEMANDS!$F130,DEMANDS!$G$2:$CK$25,MATCH($E130,DEMANDS!$E$2:$E$25,0),FALSE)/HLOOKUP(2018,DEMANDS!$G$2:$CK$25,MATCH($E130,DEMANDS!$E$2:$E$25,0),FALSE)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W130" s="19">
        <f>HLOOKUP(REG_TRA_DEMANDS!W$3,'BY-Demands'!$J$5:$AK$14,MATCH($E130,'BY-Demands'!$I$5:$I$14,0),FALSE)*HLOOKUP(REG_TRA_DEMANDS!$F130,DEMANDS!$G$2:$CK$25,MATCH($E130,DEMANDS!$E$2:$E$25,0),FALSE)/HLOOKUP(2018,DEMANDS!$G$2:$CK$25,MATCH($E130,DEMANDS!$E$2:$E$25,0),FALSE)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X130" s="19">
        <f>HLOOKUP(REG_TRA_DEMANDS!X$3,'BY-Demands'!$J$5:$AK$14,MATCH($E130,'BY-Demands'!$I$5:$I$14,0),FALSE)*HLOOKUP(REG_TRA_DEMANDS!$F130,DEMANDS!$G$2:$CK$25,MATCH($E130,DEMANDS!$E$2:$E$25,0),FALSE)/HLOOKUP(2018,DEMANDS!$G$2:$CK$25,MATCH($E130,DEMANDS!$E$2:$E$25,0),FALSE)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Y130" s="19">
        <f>HLOOKUP(REG_TRA_DEMANDS!Y$3,'BY-Demands'!$J$5:$AK$14,MATCH($E130,'BY-Demands'!$I$5:$I$14,0),FALSE)*HLOOKUP(REG_TRA_DEMANDS!$F130,DEMANDS!$G$2:$CK$25,MATCH($E130,DEMANDS!$E$2:$E$25,0),FALSE)/HLOOKUP(2018,DEMANDS!$G$2:$CK$25,MATCH($E130,DEMANDS!$E$2:$E$25,0),FALSE)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Z130" s="19">
        <f>HLOOKUP(REG_TRA_DEMANDS!Z$3,'BY-Demands'!$J$5:$AK$14,MATCH($E130,'BY-Demands'!$I$5:$I$14,0),FALSE)*HLOOKUP(REG_TRA_DEMANDS!$F130,DEMANDS!$G$2:$CK$25,MATCH($E130,DEMANDS!$E$2:$E$25,0),FALSE)/HLOOKUP(2018,DEMANDS!$G$2:$CK$25,MATCH($E130,DEMANDS!$E$2:$E$25,0),FALSE)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A130" s="19">
        <f>HLOOKUP(REG_TRA_DEMANDS!AA$3,'BY-Demands'!$J$5:$AK$14,MATCH($E130,'BY-Demands'!$I$5:$I$14,0),FALSE)*HLOOKUP(REG_TRA_DEMANDS!$F130,DEMANDS!$G$2:$CK$25,MATCH($E130,DEMANDS!$E$2:$E$25,0),FALSE)/HLOOKUP(2018,DEMANDS!$G$2:$CK$25,MATCH($E130,DEMANDS!$E$2:$E$25,0),FALSE)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B130" s="19">
        <f>HLOOKUP(REG_TRA_DEMANDS!AB$3,'BY-Demands'!$J$5:$AK$14,MATCH($E130,'BY-Demands'!$I$5:$I$14,0),FALSE)*HLOOKUP(REG_TRA_DEMANDS!$F130,DEMANDS!$G$2:$CK$25,MATCH($E130,DEMANDS!$E$2:$E$25,0),FALSE)/HLOOKUP(2018,DEMANDS!$G$2:$CK$25,MATCH($E130,DEMANDS!$E$2:$E$25,0),FALSE)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C130" s="19">
        <f>HLOOKUP(REG_TRA_DEMANDS!AC$3,'BY-Demands'!$J$5:$AK$14,MATCH($E130,'BY-Demands'!$I$5:$I$14,0),FALSE)*HLOOKUP(REG_TRA_DEMANDS!$F130,DEMANDS!$G$2:$CK$25,MATCH($E130,DEMANDS!$E$2:$E$25,0),FALSE)/HLOOKUP(2018,DEMANDS!$G$2:$CK$25,MATCH($E130,DEMANDS!$E$2:$E$25,0),FALSE)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D130" s="19">
        <f>HLOOKUP(REG_TRA_DEMANDS!AD$3,'BY-Demands'!$J$5:$AK$14,MATCH($E130,'BY-Demands'!$I$5:$I$14,0),FALSE)*HLOOKUP(REG_TRA_DEMANDS!$F130,DEMANDS!$G$2:$CK$25,MATCH($E130,DEMANDS!$E$2:$E$25,0),FALSE)/HLOOKUP(2018,DEMANDS!$G$2:$CK$25,MATCH($E130,DEMANDS!$E$2:$E$25,0),FALSE)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E130" s="19">
        <f>HLOOKUP(REG_TRA_DEMANDS!AE$3,'BY-Demands'!$J$5:$AK$14,MATCH($E130,'BY-Demands'!$I$5:$I$14,0),FALSE)*HLOOKUP(REG_TRA_DEMANDS!$F130,DEMANDS!$G$2:$CK$25,MATCH($E130,DEMANDS!$E$2:$E$25,0),FALSE)/HLOOKUP(2018,DEMANDS!$G$2:$CK$25,MATCH($E130,DEMANDS!$E$2:$E$25,0),FALSE)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F130" s="19">
        <f>HLOOKUP(REG_TRA_DEMANDS!AF$3,'BY-Demands'!$J$5:$AK$14,MATCH($E130,'BY-Demands'!$I$5:$I$14,0),FALSE)*HLOOKUP(REG_TRA_DEMANDS!$F130,DEMANDS!$G$2:$CK$25,MATCH($E130,DEMANDS!$E$2:$E$25,0),FALSE)/HLOOKUP(2018,DEMANDS!$G$2:$CK$25,MATCH($E130,DEMANDS!$E$2:$E$25,0),FALSE)</f>
        <v>0</v>
      </c>
    </row>
    <row r="131" spans="4:32" ht="14.5">
      <c r="D131" t="s">
        <v>6</v>
      </c>
      <c r="E131" t="str">
        <f>DEMANDS!$E$21</f>
        <v>TTURS</v>
      </c>
      <c r="F131">
        <v>2039</v>
      </c>
      <c r="G131" s="19">
        <f>HLOOKUP(REG_TRA_DEMANDS!G$3,'BY-Demands'!$J$5:$AK$14,MATCH($E131,'BY-Demands'!$I$5:$I$14,0),FALSE)*HLOOKUP(REG_TRA_DEMANDS!$F131,DEMANDS!$G$2:$CK$25,MATCH($E131,DEMANDS!$E$2:$E$25,0),FALSE)/HLOOKUP(2018,DEMANDS!$G$2:$CK$25,MATCH($E131,DEMANDS!$E$2:$E$25,0),FALSE)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H131" s="19">
        <f>HLOOKUP(REG_TRA_DEMANDS!H$3,'BY-Demands'!$J$5:$AK$14,MATCH($E131,'BY-Demands'!$I$5:$I$14,0),FALSE)*HLOOKUP(REG_TRA_DEMANDS!$F131,DEMANDS!$G$2:$CK$25,MATCH($E131,DEMANDS!$E$2:$E$25,0),FALSE)/HLOOKUP(2018,DEMANDS!$G$2:$CK$25,MATCH($E131,DEMANDS!$E$2:$E$25,0),FALSE)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I131" s="19">
        <f>HLOOKUP(REG_TRA_DEMANDS!I$3,'BY-Demands'!$J$5:$AK$14,MATCH($E131,'BY-Demands'!$I$5:$I$14,0),FALSE)*HLOOKUP(REG_TRA_DEMANDS!$F131,DEMANDS!$G$2:$CK$25,MATCH($E131,DEMANDS!$E$2:$E$25,0),FALSE)/HLOOKUP(2018,DEMANDS!$G$2:$CK$25,MATCH($E131,DEMANDS!$E$2:$E$25,0),FALSE)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J131" s="19">
        <f>HLOOKUP(REG_TRA_DEMANDS!J$3,'BY-Demands'!$J$5:$AK$14,MATCH($E131,'BY-Demands'!$I$5:$I$14,0),FALSE)*HLOOKUP(REG_TRA_DEMANDS!$F131,DEMANDS!$G$2:$CK$25,MATCH($E131,DEMANDS!$E$2:$E$25,0),FALSE)/HLOOKUP(2018,DEMANDS!$G$2:$CK$25,MATCH($E131,DEMANDS!$E$2:$E$25,0),FALSE)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K131" s="19">
        <f>HLOOKUP(REG_TRA_DEMANDS!K$3,'BY-Demands'!$J$5:$AK$14,MATCH($E131,'BY-Demands'!$I$5:$I$14,0),FALSE)*HLOOKUP(REG_TRA_DEMANDS!$F131,DEMANDS!$G$2:$CK$25,MATCH($E131,DEMANDS!$E$2:$E$25,0),FALSE)/HLOOKUP(2018,DEMANDS!$G$2:$CK$25,MATCH($E131,DEMANDS!$E$2:$E$25,0),FALSE)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L131" s="19">
        <f>HLOOKUP(REG_TRA_DEMANDS!L$3,'BY-Demands'!$J$5:$AK$14,MATCH($E131,'BY-Demands'!$I$5:$I$14,0),FALSE)*HLOOKUP(REG_TRA_DEMANDS!$F131,DEMANDS!$G$2:$CK$25,MATCH($E131,DEMANDS!$E$2:$E$25,0),FALSE)/HLOOKUP(2018,DEMANDS!$G$2:$CK$25,MATCH($E131,DEMANDS!$E$2:$E$25,0),FALSE)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M131" s="19">
        <f>HLOOKUP(REG_TRA_DEMANDS!M$3,'BY-Demands'!$J$5:$AK$14,MATCH($E131,'BY-Demands'!$I$5:$I$14,0),FALSE)*HLOOKUP(REG_TRA_DEMANDS!$F131,DEMANDS!$G$2:$CK$25,MATCH($E131,DEMANDS!$E$2:$E$25,0),FALSE)/HLOOKUP(2018,DEMANDS!$G$2:$CK$25,MATCH($E131,DEMANDS!$E$2:$E$25,0),FALSE)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N131" s="19">
        <f>HLOOKUP(REG_TRA_DEMANDS!N$3,'BY-Demands'!$J$5:$AK$14,MATCH($E131,'BY-Demands'!$I$5:$I$14,0),FALSE)*HLOOKUP(REG_TRA_DEMANDS!$F131,DEMANDS!$G$2:$CK$25,MATCH($E131,DEMANDS!$E$2:$E$25,0),FALSE)/HLOOKUP(2018,DEMANDS!$G$2:$CK$25,MATCH($E131,DEMANDS!$E$2:$E$25,0),FALSE)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O131" s="19">
        <f>HLOOKUP(REG_TRA_DEMANDS!O$3,'BY-Demands'!$J$5:$AK$14,MATCH($E131,'BY-Demands'!$I$5:$I$14,0),FALSE)*HLOOKUP(REG_TRA_DEMANDS!$F131,DEMANDS!$G$2:$CK$25,MATCH($E131,DEMANDS!$E$2:$E$25,0),FALSE)/HLOOKUP(2018,DEMANDS!$G$2:$CK$25,MATCH($E131,DEMANDS!$E$2:$E$25,0),FALSE)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P131" s="19">
        <f>HLOOKUP(REG_TRA_DEMANDS!P$3,'BY-Demands'!$J$5:$AK$14,MATCH($E131,'BY-Demands'!$I$5:$I$14,0),FALSE)*HLOOKUP(REG_TRA_DEMANDS!$F131,DEMANDS!$G$2:$CK$25,MATCH($E131,DEMANDS!$E$2:$E$25,0),FALSE)/HLOOKUP(2018,DEMANDS!$G$2:$CK$25,MATCH($E131,DEMANDS!$E$2:$E$25,0),FALSE)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Q131" s="19">
        <f>HLOOKUP(REG_TRA_DEMANDS!Q$3,'BY-Demands'!$J$5:$AK$14,MATCH($E131,'BY-Demands'!$I$5:$I$14,0),FALSE)*HLOOKUP(REG_TRA_DEMANDS!$F131,DEMANDS!$G$2:$CK$25,MATCH($E131,DEMANDS!$E$2:$E$25,0),FALSE)/HLOOKUP(2018,DEMANDS!$G$2:$CK$25,MATCH($E131,DEMANDS!$E$2:$E$25,0),FALSE)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R131" s="19">
        <f>HLOOKUP(REG_TRA_DEMANDS!R$3,'BY-Demands'!$J$5:$AK$14,MATCH($E131,'BY-Demands'!$I$5:$I$14,0),FALSE)*HLOOKUP(REG_TRA_DEMANDS!$F131,DEMANDS!$G$2:$CK$25,MATCH($E131,DEMANDS!$E$2:$E$25,0),FALSE)/HLOOKUP(2018,DEMANDS!$G$2:$CK$25,MATCH($E131,DEMANDS!$E$2:$E$25,0),FALSE)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S131" s="19">
        <f>HLOOKUP(REG_TRA_DEMANDS!S$3,'BY-Demands'!$J$5:$AK$14,MATCH($E131,'BY-Demands'!$I$5:$I$14,0),FALSE)*HLOOKUP(REG_TRA_DEMANDS!$F131,DEMANDS!$G$2:$CK$25,MATCH($E131,DEMANDS!$E$2:$E$25,0),FALSE)/HLOOKUP(2018,DEMANDS!$G$2:$CK$25,MATCH($E131,DEMANDS!$E$2:$E$25,0),FALSE)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T131" s="19">
        <f>HLOOKUP(REG_TRA_DEMANDS!T$3,'BY-Demands'!$J$5:$AK$14,MATCH($E131,'BY-Demands'!$I$5:$I$14,0),FALSE)*HLOOKUP(REG_TRA_DEMANDS!$F131,DEMANDS!$G$2:$CK$25,MATCH($E131,DEMANDS!$E$2:$E$25,0),FALSE)/HLOOKUP(2018,DEMANDS!$G$2:$CK$25,MATCH($E131,DEMANDS!$E$2:$E$25,0),FALSE)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U131" s="19">
        <f>HLOOKUP(REG_TRA_DEMANDS!U$3,'BY-Demands'!$J$5:$AK$14,MATCH($E131,'BY-Demands'!$I$5:$I$14,0),FALSE)*HLOOKUP(REG_TRA_DEMANDS!$F131,DEMANDS!$G$2:$CK$25,MATCH($E131,DEMANDS!$E$2:$E$25,0),FALSE)/HLOOKUP(2018,DEMANDS!$G$2:$CK$25,MATCH($E131,DEMANDS!$E$2:$E$25,0),FALSE)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V131" s="19">
        <f>HLOOKUP(REG_TRA_DEMANDS!V$3,'BY-Demands'!$J$5:$AK$14,MATCH($E131,'BY-Demands'!$I$5:$I$14,0),FALSE)*HLOOKUP(REG_TRA_DEMANDS!$F131,DEMANDS!$G$2:$CK$25,MATCH($E131,DEMANDS!$E$2:$E$25,0),FALSE)/HLOOKUP(2018,DEMANDS!$G$2:$CK$25,MATCH($E131,DEMANDS!$E$2:$E$25,0),FALSE)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W131" s="19">
        <f>HLOOKUP(REG_TRA_DEMANDS!W$3,'BY-Demands'!$J$5:$AK$14,MATCH($E131,'BY-Demands'!$I$5:$I$14,0),FALSE)*HLOOKUP(REG_TRA_DEMANDS!$F131,DEMANDS!$G$2:$CK$25,MATCH($E131,DEMANDS!$E$2:$E$25,0),FALSE)/HLOOKUP(2018,DEMANDS!$G$2:$CK$25,MATCH($E131,DEMANDS!$E$2:$E$25,0),FALSE)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X131" s="19">
        <f>HLOOKUP(REG_TRA_DEMANDS!X$3,'BY-Demands'!$J$5:$AK$14,MATCH($E131,'BY-Demands'!$I$5:$I$14,0),FALSE)*HLOOKUP(REG_TRA_DEMANDS!$F131,DEMANDS!$G$2:$CK$25,MATCH($E131,DEMANDS!$E$2:$E$25,0),FALSE)/HLOOKUP(2018,DEMANDS!$G$2:$CK$25,MATCH($E131,DEMANDS!$E$2:$E$25,0),FALSE)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Y131" s="19">
        <f>HLOOKUP(REG_TRA_DEMANDS!Y$3,'BY-Demands'!$J$5:$AK$14,MATCH($E131,'BY-Demands'!$I$5:$I$14,0),FALSE)*HLOOKUP(REG_TRA_DEMANDS!$F131,DEMANDS!$G$2:$CK$25,MATCH($E131,DEMANDS!$E$2:$E$25,0),FALSE)/HLOOKUP(2018,DEMANDS!$G$2:$CK$25,MATCH($E131,DEMANDS!$E$2:$E$25,0),FALSE)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Z131" s="19">
        <f>HLOOKUP(REG_TRA_DEMANDS!Z$3,'BY-Demands'!$J$5:$AK$14,MATCH($E131,'BY-Demands'!$I$5:$I$14,0),FALSE)*HLOOKUP(REG_TRA_DEMANDS!$F131,DEMANDS!$G$2:$CK$25,MATCH($E131,DEMANDS!$E$2:$E$25,0),FALSE)/HLOOKUP(2018,DEMANDS!$G$2:$CK$25,MATCH($E131,DEMANDS!$E$2:$E$25,0),FALSE)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A131" s="19">
        <f>HLOOKUP(REG_TRA_DEMANDS!AA$3,'BY-Demands'!$J$5:$AK$14,MATCH($E131,'BY-Demands'!$I$5:$I$14,0),FALSE)*HLOOKUP(REG_TRA_DEMANDS!$F131,DEMANDS!$G$2:$CK$25,MATCH($E131,DEMANDS!$E$2:$E$25,0),FALSE)/HLOOKUP(2018,DEMANDS!$G$2:$CK$25,MATCH($E131,DEMANDS!$E$2:$E$25,0),FALSE)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B131" s="19">
        <f>HLOOKUP(REG_TRA_DEMANDS!AB$3,'BY-Demands'!$J$5:$AK$14,MATCH($E131,'BY-Demands'!$I$5:$I$14,0),FALSE)*HLOOKUP(REG_TRA_DEMANDS!$F131,DEMANDS!$G$2:$CK$25,MATCH($E131,DEMANDS!$E$2:$E$25,0),FALSE)/HLOOKUP(2018,DEMANDS!$G$2:$CK$25,MATCH($E131,DEMANDS!$E$2:$E$25,0),FALSE)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C131" s="19">
        <f>HLOOKUP(REG_TRA_DEMANDS!AC$3,'BY-Demands'!$J$5:$AK$14,MATCH($E131,'BY-Demands'!$I$5:$I$14,0),FALSE)*HLOOKUP(REG_TRA_DEMANDS!$F131,DEMANDS!$G$2:$CK$25,MATCH($E131,DEMANDS!$E$2:$E$25,0),FALSE)/HLOOKUP(2018,DEMANDS!$G$2:$CK$25,MATCH($E131,DEMANDS!$E$2:$E$25,0),FALSE)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D131" s="19">
        <f>HLOOKUP(REG_TRA_DEMANDS!AD$3,'BY-Demands'!$J$5:$AK$14,MATCH($E131,'BY-Demands'!$I$5:$I$14,0),FALSE)*HLOOKUP(REG_TRA_DEMANDS!$F131,DEMANDS!$G$2:$CK$25,MATCH($E131,DEMANDS!$E$2:$E$25,0),FALSE)/HLOOKUP(2018,DEMANDS!$G$2:$CK$25,MATCH($E131,DEMANDS!$E$2:$E$25,0),FALSE)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E131" s="19">
        <f>HLOOKUP(REG_TRA_DEMANDS!AE$3,'BY-Demands'!$J$5:$AK$14,MATCH($E131,'BY-Demands'!$I$5:$I$14,0),FALSE)*HLOOKUP(REG_TRA_DEMANDS!$F131,DEMANDS!$G$2:$CK$25,MATCH($E131,DEMANDS!$E$2:$E$25,0),FALSE)/HLOOKUP(2018,DEMANDS!$G$2:$CK$25,MATCH($E131,DEMANDS!$E$2:$E$25,0),FALSE)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F131" s="19">
        <f>HLOOKUP(REG_TRA_DEMANDS!AF$3,'BY-Demands'!$J$5:$AK$14,MATCH($E131,'BY-Demands'!$I$5:$I$14,0),FALSE)*HLOOKUP(REG_TRA_DEMANDS!$F131,DEMANDS!$G$2:$CK$25,MATCH($E131,DEMANDS!$E$2:$E$25,0),FALSE)/HLOOKUP(2018,DEMANDS!$G$2:$CK$25,MATCH($E131,DEMANDS!$E$2:$E$25,0),FALSE)</f>
        <v>0</v>
      </c>
    </row>
    <row r="132" spans="4:32" ht="14.5">
      <c r="D132" t="s">
        <v>6</v>
      </c>
      <c r="E132" t="str">
        <f>DEMANDS!$E$21</f>
        <v>TTURS</v>
      </c>
      <c r="F132">
        <v>2040</v>
      </c>
      <c r="G132" s="19">
        <f>HLOOKUP(REG_TRA_DEMANDS!G$3,'BY-Demands'!$J$5:$AK$14,MATCH($E132,'BY-Demands'!$I$5:$I$14,0),FALSE)*HLOOKUP(REG_TRA_DEMANDS!$F132,DEMANDS!$G$2:$CK$25,MATCH($E132,DEMANDS!$E$2:$E$25,0),FALSE)/HLOOKUP(2018,DEMANDS!$G$2:$CK$25,MATCH($E132,DEMANDS!$E$2:$E$25,0),FALSE)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H132" s="19">
        <f>HLOOKUP(REG_TRA_DEMANDS!H$3,'BY-Demands'!$J$5:$AK$14,MATCH($E132,'BY-Demands'!$I$5:$I$14,0),FALSE)*HLOOKUP(REG_TRA_DEMANDS!$F132,DEMANDS!$G$2:$CK$25,MATCH($E132,DEMANDS!$E$2:$E$25,0),FALSE)/HLOOKUP(2018,DEMANDS!$G$2:$CK$25,MATCH($E132,DEMANDS!$E$2:$E$25,0),FALSE)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I132" s="19">
        <f>HLOOKUP(REG_TRA_DEMANDS!I$3,'BY-Demands'!$J$5:$AK$14,MATCH($E132,'BY-Demands'!$I$5:$I$14,0),FALSE)*HLOOKUP(REG_TRA_DEMANDS!$F132,DEMANDS!$G$2:$CK$25,MATCH($E132,DEMANDS!$E$2:$E$25,0),FALSE)/HLOOKUP(2018,DEMANDS!$G$2:$CK$25,MATCH($E132,DEMANDS!$E$2:$E$25,0),FALSE)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J132" s="19">
        <f>HLOOKUP(REG_TRA_DEMANDS!J$3,'BY-Demands'!$J$5:$AK$14,MATCH($E132,'BY-Demands'!$I$5:$I$14,0),FALSE)*HLOOKUP(REG_TRA_DEMANDS!$F132,DEMANDS!$G$2:$CK$25,MATCH($E132,DEMANDS!$E$2:$E$25,0),FALSE)/HLOOKUP(2018,DEMANDS!$G$2:$CK$25,MATCH($E132,DEMANDS!$E$2:$E$25,0),FALSE)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K132" s="19">
        <f>HLOOKUP(REG_TRA_DEMANDS!K$3,'BY-Demands'!$J$5:$AK$14,MATCH($E132,'BY-Demands'!$I$5:$I$14,0),FALSE)*HLOOKUP(REG_TRA_DEMANDS!$F132,DEMANDS!$G$2:$CK$25,MATCH($E132,DEMANDS!$E$2:$E$25,0),FALSE)/HLOOKUP(2018,DEMANDS!$G$2:$CK$25,MATCH($E132,DEMANDS!$E$2:$E$25,0),FALSE)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L132" s="19">
        <f>HLOOKUP(REG_TRA_DEMANDS!L$3,'BY-Demands'!$J$5:$AK$14,MATCH($E132,'BY-Demands'!$I$5:$I$14,0),FALSE)*HLOOKUP(REG_TRA_DEMANDS!$F132,DEMANDS!$G$2:$CK$25,MATCH($E132,DEMANDS!$E$2:$E$25,0),FALSE)/HLOOKUP(2018,DEMANDS!$G$2:$CK$25,MATCH($E132,DEMANDS!$E$2:$E$25,0),FALSE)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M132" s="19">
        <f>HLOOKUP(REG_TRA_DEMANDS!M$3,'BY-Demands'!$J$5:$AK$14,MATCH($E132,'BY-Demands'!$I$5:$I$14,0),FALSE)*HLOOKUP(REG_TRA_DEMANDS!$F132,DEMANDS!$G$2:$CK$25,MATCH($E132,DEMANDS!$E$2:$E$25,0),FALSE)/HLOOKUP(2018,DEMANDS!$G$2:$CK$25,MATCH($E132,DEMANDS!$E$2:$E$25,0),FALSE)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N132" s="19">
        <f>HLOOKUP(REG_TRA_DEMANDS!N$3,'BY-Demands'!$J$5:$AK$14,MATCH($E132,'BY-Demands'!$I$5:$I$14,0),FALSE)*HLOOKUP(REG_TRA_DEMANDS!$F132,DEMANDS!$G$2:$CK$25,MATCH($E132,DEMANDS!$E$2:$E$25,0),FALSE)/HLOOKUP(2018,DEMANDS!$G$2:$CK$25,MATCH($E132,DEMANDS!$E$2:$E$25,0),FALSE)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O132" s="19">
        <f>HLOOKUP(REG_TRA_DEMANDS!O$3,'BY-Demands'!$J$5:$AK$14,MATCH($E132,'BY-Demands'!$I$5:$I$14,0),FALSE)*HLOOKUP(REG_TRA_DEMANDS!$F132,DEMANDS!$G$2:$CK$25,MATCH($E132,DEMANDS!$E$2:$E$25,0),FALSE)/HLOOKUP(2018,DEMANDS!$G$2:$CK$25,MATCH($E132,DEMANDS!$E$2:$E$25,0),FALSE)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P132" s="19">
        <f>HLOOKUP(REG_TRA_DEMANDS!P$3,'BY-Demands'!$J$5:$AK$14,MATCH($E132,'BY-Demands'!$I$5:$I$14,0),FALSE)*HLOOKUP(REG_TRA_DEMANDS!$F132,DEMANDS!$G$2:$CK$25,MATCH($E132,DEMANDS!$E$2:$E$25,0),FALSE)/HLOOKUP(2018,DEMANDS!$G$2:$CK$25,MATCH($E132,DEMANDS!$E$2:$E$25,0),FALSE)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Q132" s="19">
        <f>HLOOKUP(REG_TRA_DEMANDS!Q$3,'BY-Demands'!$J$5:$AK$14,MATCH($E132,'BY-Demands'!$I$5:$I$14,0),FALSE)*HLOOKUP(REG_TRA_DEMANDS!$F132,DEMANDS!$G$2:$CK$25,MATCH($E132,DEMANDS!$E$2:$E$25,0),FALSE)/HLOOKUP(2018,DEMANDS!$G$2:$CK$25,MATCH($E132,DEMANDS!$E$2:$E$25,0),FALSE)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R132" s="19">
        <f>HLOOKUP(REG_TRA_DEMANDS!R$3,'BY-Demands'!$J$5:$AK$14,MATCH($E132,'BY-Demands'!$I$5:$I$14,0),FALSE)*HLOOKUP(REG_TRA_DEMANDS!$F132,DEMANDS!$G$2:$CK$25,MATCH($E132,DEMANDS!$E$2:$E$25,0),FALSE)/HLOOKUP(2018,DEMANDS!$G$2:$CK$25,MATCH($E132,DEMANDS!$E$2:$E$25,0),FALSE)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S132" s="19">
        <f>HLOOKUP(REG_TRA_DEMANDS!S$3,'BY-Demands'!$J$5:$AK$14,MATCH($E132,'BY-Demands'!$I$5:$I$14,0),FALSE)*HLOOKUP(REG_TRA_DEMANDS!$F132,DEMANDS!$G$2:$CK$25,MATCH($E132,DEMANDS!$E$2:$E$25,0),FALSE)/HLOOKUP(2018,DEMANDS!$G$2:$CK$25,MATCH($E132,DEMANDS!$E$2:$E$25,0),FALSE)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T132" s="19">
        <f>HLOOKUP(REG_TRA_DEMANDS!T$3,'BY-Demands'!$J$5:$AK$14,MATCH($E132,'BY-Demands'!$I$5:$I$14,0),FALSE)*HLOOKUP(REG_TRA_DEMANDS!$F132,DEMANDS!$G$2:$CK$25,MATCH($E132,DEMANDS!$E$2:$E$25,0),FALSE)/HLOOKUP(2018,DEMANDS!$G$2:$CK$25,MATCH($E132,DEMANDS!$E$2:$E$25,0),FALSE)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U132" s="19">
        <f>HLOOKUP(REG_TRA_DEMANDS!U$3,'BY-Demands'!$J$5:$AK$14,MATCH($E132,'BY-Demands'!$I$5:$I$14,0),FALSE)*HLOOKUP(REG_TRA_DEMANDS!$F132,DEMANDS!$G$2:$CK$25,MATCH($E132,DEMANDS!$E$2:$E$25,0),FALSE)/HLOOKUP(2018,DEMANDS!$G$2:$CK$25,MATCH($E132,DEMANDS!$E$2:$E$25,0),FALSE)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V132" s="19">
        <f>HLOOKUP(REG_TRA_DEMANDS!V$3,'BY-Demands'!$J$5:$AK$14,MATCH($E132,'BY-Demands'!$I$5:$I$14,0),FALSE)*HLOOKUP(REG_TRA_DEMANDS!$F132,DEMANDS!$G$2:$CK$25,MATCH($E132,DEMANDS!$E$2:$E$25,0),FALSE)/HLOOKUP(2018,DEMANDS!$G$2:$CK$25,MATCH($E132,DEMANDS!$E$2:$E$25,0),FALSE)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W132" s="19">
        <f>HLOOKUP(REG_TRA_DEMANDS!W$3,'BY-Demands'!$J$5:$AK$14,MATCH($E132,'BY-Demands'!$I$5:$I$14,0),FALSE)*HLOOKUP(REG_TRA_DEMANDS!$F132,DEMANDS!$G$2:$CK$25,MATCH($E132,DEMANDS!$E$2:$E$25,0),FALSE)/HLOOKUP(2018,DEMANDS!$G$2:$CK$25,MATCH($E132,DEMANDS!$E$2:$E$25,0),FALSE)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X132" s="19">
        <f>HLOOKUP(REG_TRA_DEMANDS!X$3,'BY-Demands'!$J$5:$AK$14,MATCH($E132,'BY-Demands'!$I$5:$I$14,0),FALSE)*HLOOKUP(REG_TRA_DEMANDS!$F132,DEMANDS!$G$2:$CK$25,MATCH($E132,DEMANDS!$E$2:$E$25,0),FALSE)/HLOOKUP(2018,DEMANDS!$G$2:$CK$25,MATCH($E132,DEMANDS!$E$2:$E$25,0),FALSE)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Y132" s="19">
        <f>HLOOKUP(REG_TRA_DEMANDS!Y$3,'BY-Demands'!$J$5:$AK$14,MATCH($E132,'BY-Demands'!$I$5:$I$14,0),FALSE)*HLOOKUP(REG_TRA_DEMANDS!$F132,DEMANDS!$G$2:$CK$25,MATCH($E132,DEMANDS!$E$2:$E$25,0),FALSE)/HLOOKUP(2018,DEMANDS!$G$2:$CK$25,MATCH($E132,DEMANDS!$E$2:$E$25,0),FALSE)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Z132" s="19">
        <f>HLOOKUP(REG_TRA_DEMANDS!Z$3,'BY-Demands'!$J$5:$AK$14,MATCH($E132,'BY-Demands'!$I$5:$I$14,0),FALSE)*HLOOKUP(REG_TRA_DEMANDS!$F132,DEMANDS!$G$2:$CK$25,MATCH($E132,DEMANDS!$E$2:$E$25,0),FALSE)/HLOOKUP(2018,DEMANDS!$G$2:$CK$25,MATCH($E132,DEMANDS!$E$2:$E$25,0),FALSE)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A132" s="19">
        <f>HLOOKUP(REG_TRA_DEMANDS!AA$3,'BY-Demands'!$J$5:$AK$14,MATCH($E132,'BY-Demands'!$I$5:$I$14,0),FALSE)*HLOOKUP(REG_TRA_DEMANDS!$F132,DEMANDS!$G$2:$CK$25,MATCH($E132,DEMANDS!$E$2:$E$25,0),FALSE)/HLOOKUP(2018,DEMANDS!$G$2:$CK$25,MATCH($E132,DEMANDS!$E$2:$E$25,0),FALSE)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B132" s="19">
        <f>HLOOKUP(REG_TRA_DEMANDS!AB$3,'BY-Demands'!$J$5:$AK$14,MATCH($E132,'BY-Demands'!$I$5:$I$14,0),FALSE)*HLOOKUP(REG_TRA_DEMANDS!$F132,DEMANDS!$G$2:$CK$25,MATCH($E132,DEMANDS!$E$2:$E$25,0),FALSE)/HLOOKUP(2018,DEMANDS!$G$2:$CK$25,MATCH($E132,DEMANDS!$E$2:$E$25,0),FALSE)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C132" s="19">
        <f>HLOOKUP(REG_TRA_DEMANDS!AC$3,'BY-Demands'!$J$5:$AK$14,MATCH($E132,'BY-Demands'!$I$5:$I$14,0),FALSE)*HLOOKUP(REG_TRA_DEMANDS!$F132,DEMANDS!$G$2:$CK$25,MATCH($E132,DEMANDS!$E$2:$E$25,0),FALSE)/HLOOKUP(2018,DEMANDS!$G$2:$CK$25,MATCH($E132,DEMANDS!$E$2:$E$25,0),FALSE)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D132" s="19">
        <f>HLOOKUP(REG_TRA_DEMANDS!AD$3,'BY-Demands'!$J$5:$AK$14,MATCH($E132,'BY-Demands'!$I$5:$I$14,0),FALSE)*HLOOKUP(REG_TRA_DEMANDS!$F132,DEMANDS!$G$2:$CK$25,MATCH($E132,DEMANDS!$E$2:$E$25,0),FALSE)/HLOOKUP(2018,DEMANDS!$G$2:$CK$25,MATCH($E132,DEMANDS!$E$2:$E$25,0),FALSE)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E132" s="19">
        <f>HLOOKUP(REG_TRA_DEMANDS!AE$3,'BY-Demands'!$J$5:$AK$14,MATCH($E132,'BY-Demands'!$I$5:$I$14,0),FALSE)*HLOOKUP(REG_TRA_DEMANDS!$F132,DEMANDS!$G$2:$CK$25,MATCH($E132,DEMANDS!$E$2:$E$25,0),FALSE)/HLOOKUP(2018,DEMANDS!$G$2:$CK$25,MATCH($E132,DEMANDS!$E$2:$E$25,0),FALSE)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F132" s="19">
        <f>HLOOKUP(REG_TRA_DEMANDS!AF$3,'BY-Demands'!$J$5:$AK$14,MATCH($E132,'BY-Demands'!$I$5:$I$14,0),FALSE)*HLOOKUP(REG_TRA_DEMANDS!$F132,DEMANDS!$G$2:$CK$25,MATCH($E132,DEMANDS!$E$2:$E$25,0),FALSE)/HLOOKUP(2018,DEMANDS!$G$2:$CK$25,MATCH($E132,DEMANDS!$E$2:$E$25,0),FALSE)</f>
        <v>0</v>
      </c>
    </row>
    <row r="133" spans="4:32" ht="14.5">
      <c r="D133" t="s">
        <v>6</v>
      </c>
      <c r="E133" t="str">
        <f>DEMANDS!$E$21</f>
        <v>TTURS</v>
      </c>
      <c r="F133">
        <v>2045</v>
      </c>
      <c r="G133" s="19">
        <f>HLOOKUP(REG_TRA_DEMANDS!G$3,'BY-Demands'!$J$5:$AK$14,MATCH($E133,'BY-Demands'!$I$5:$I$14,0),FALSE)*HLOOKUP(REG_TRA_DEMANDS!$F133,DEMANDS!$G$2:$CK$25,MATCH($E133,DEMANDS!$E$2:$E$25,0),FALSE)/HLOOKUP(2018,DEMANDS!$G$2:$CK$25,MATCH($E133,DEMANDS!$E$2:$E$25,0),FALSE)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H133" s="19">
        <f>HLOOKUP(REG_TRA_DEMANDS!H$3,'BY-Demands'!$J$5:$AK$14,MATCH($E133,'BY-Demands'!$I$5:$I$14,0),FALSE)*HLOOKUP(REG_TRA_DEMANDS!$F133,DEMANDS!$G$2:$CK$25,MATCH($E133,DEMANDS!$E$2:$E$25,0),FALSE)/HLOOKUP(2018,DEMANDS!$G$2:$CK$25,MATCH($E133,DEMANDS!$E$2:$E$25,0),FALSE)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I133" s="19">
        <f>HLOOKUP(REG_TRA_DEMANDS!I$3,'BY-Demands'!$J$5:$AK$14,MATCH($E133,'BY-Demands'!$I$5:$I$14,0),FALSE)*HLOOKUP(REG_TRA_DEMANDS!$F133,DEMANDS!$G$2:$CK$25,MATCH($E133,DEMANDS!$E$2:$E$25,0),FALSE)/HLOOKUP(2018,DEMANDS!$G$2:$CK$25,MATCH($E133,DEMANDS!$E$2:$E$25,0),FALSE)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J133" s="19">
        <f>HLOOKUP(REG_TRA_DEMANDS!J$3,'BY-Demands'!$J$5:$AK$14,MATCH($E133,'BY-Demands'!$I$5:$I$14,0),FALSE)*HLOOKUP(REG_TRA_DEMANDS!$F133,DEMANDS!$G$2:$CK$25,MATCH($E133,DEMANDS!$E$2:$E$25,0),FALSE)/HLOOKUP(2018,DEMANDS!$G$2:$CK$25,MATCH($E133,DEMANDS!$E$2:$E$25,0),FALSE)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K133" s="19">
        <f>HLOOKUP(REG_TRA_DEMANDS!K$3,'BY-Demands'!$J$5:$AK$14,MATCH($E133,'BY-Demands'!$I$5:$I$14,0),FALSE)*HLOOKUP(REG_TRA_DEMANDS!$F133,DEMANDS!$G$2:$CK$25,MATCH($E133,DEMANDS!$E$2:$E$25,0),FALSE)/HLOOKUP(2018,DEMANDS!$G$2:$CK$25,MATCH($E133,DEMANDS!$E$2:$E$25,0),FALSE)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L133" s="19">
        <f>HLOOKUP(REG_TRA_DEMANDS!L$3,'BY-Demands'!$J$5:$AK$14,MATCH($E133,'BY-Demands'!$I$5:$I$14,0),FALSE)*HLOOKUP(REG_TRA_DEMANDS!$F133,DEMANDS!$G$2:$CK$25,MATCH($E133,DEMANDS!$E$2:$E$25,0),FALSE)/HLOOKUP(2018,DEMANDS!$G$2:$CK$25,MATCH($E133,DEMANDS!$E$2:$E$25,0),FALSE)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M133" s="19">
        <f>HLOOKUP(REG_TRA_DEMANDS!M$3,'BY-Demands'!$J$5:$AK$14,MATCH($E133,'BY-Demands'!$I$5:$I$14,0),FALSE)*HLOOKUP(REG_TRA_DEMANDS!$F133,DEMANDS!$G$2:$CK$25,MATCH($E133,DEMANDS!$E$2:$E$25,0),FALSE)/HLOOKUP(2018,DEMANDS!$G$2:$CK$25,MATCH($E133,DEMANDS!$E$2:$E$25,0),FALSE)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N133" s="19">
        <f>HLOOKUP(REG_TRA_DEMANDS!N$3,'BY-Demands'!$J$5:$AK$14,MATCH($E133,'BY-Demands'!$I$5:$I$14,0),FALSE)*HLOOKUP(REG_TRA_DEMANDS!$F133,DEMANDS!$G$2:$CK$25,MATCH($E133,DEMANDS!$E$2:$E$25,0),FALSE)/HLOOKUP(2018,DEMANDS!$G$2:$CK$25,MATCH($E133,DEMANDS!$E$2:$E$25,0),FALSE)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O133" s="19">
        <f>HLOOKUP(REG_TRA_DEMANDS!O$3,'BY-Demands'!$J$5:$AK$14,MATCH($E133,'BY-Demands'!$I$5:$I$14,0),FALSE)*HLOOKUP(REG_TRA_DEMANDS!$F133,DEMANDS!$G$2:$CK$25,MATCH($E133,DEMANDS!$E$2:$E$25,0),FALSE)/HLOOKUP(2018,DEMANDS!$G$2:$CK$25,MATCH($E133,DEMANDS!$E$2:$E$25,0),FALSE)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P133" s="19">
        <f>HLOOKUP(REG_TRA_DEMANDS!P$3,'BY-Demands'!$J$5:$AK$14,MATCH($E133,'BY-Demands'!$I$5:$I$14,0),FALSE)*HLOOKUP(REG_TRA_DEMANDS!$F133,DEMANDS!$G$2:$CK$25,MATCH($E133,DEMANDS!$E$2:$E$25,0),FALSE)/HLOOKUP(2018,DEMANDS!$G$2:$CK$25,MATCH($E133,DEMANDS!$E$2:$E$25,0),FALSE)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Q133" s="19">
        <f>HLOOKUP(REG_TRA_DEMANDS!Q$3,'BY-Demands'!$J$5:$AK$14,MATCH($E133,'BY-Demands'!$I$5:$I$14,0),FALSE)*HLOOKUP(REG_TRA_DEMANDS!$F133,DEMANDS!$G$2:$CK$25,MATCH($E133,DEMANDS!$E$2:$E$25,0),FALSE)/HLOOKUP(2018,DEMANDS!$G$2:$CK$25,MATCH($E133,DEMANDS!$E$2:$E$25,0),FALSE)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R133" s="19">
        <f>HLOOKUP(REG_TRA_DEMANDS!R$3,'BY-Demands'!$J$5:$AK$14,MATCH($E133,'BY-Demands'!$I$5:$I$14,0),FALSE)*HLOOKUP(REG_TRA_DEMANDS!$F133,DEMANDS!$G$2:$CK$25,MATCH($E133,DEMANDS!$E$2:$E$25,0),FALSE)/HLOOKUP(2018,DEMANDS!$G$2:$CK$25,MATCH($E133,DEMANDS!$E$2:$E$25,0),FALSE)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S133" s="19">
        <f>HLOOKUP(REG_TRA_DEMANDS!S$3,'BY-Demands'!$J$5:$AK$14,MATCH($E133,'BY-Demands'!$I$5:$I$14,0),FALSE)*HLOOKUP(REG_TRA_DEMANDS!$F133,DEMANDS!$G$2:$CK$25,MATCH($E133,DEMANDS!$E$2:$E$25,0),FALSE)/HLOOKUP(2018,DEMANDS!$G$2:$CK$25,MATCH($E133,DEMANDS!$E$2:$E$25,0),FALSE)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T133" s="19">
        <f>HLOOKUP(REG_TRA_DEMANDS!T$3,'BY-Demands'!$J$5:$AK$14,MATCH($E133,'BY-Demands'!$I$5:$I$14,0),FALSE)*HLOOKUP(REG_TRA_DEMANDS!$F133,DEMANDS!$G$2:$CK$25,MATCH($E133,DEMANDS!$E$2:$E$25,0),FALSE)/HLOOKUP(2018,DEMANDS!$G$2:$CK$25,MATCH($E133,DEMANDS!$E$2:$E$25,0),FALSE)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U133" s="19">
        <f>HLOOKUP(REG_TRA_DEMANDS!U$3,'BY-Demands'!$J$5:$AK$14,MATCH($E133,'BY-Demands'!$I$5:$I$14,0),FALSE)*HLOOKUP(REG_TRA_DEMANDS!$F133,DEMANDS!$G$2:$CK$25,MATCH($E133,DEMANDS!$E$2:$E$25,0),FALSE)/HLOOKUP(2018,DEMANDS!$G$2:$CK$25,MATCH($E133,DEMANDS!$E$2:$E$25,0),FALSE)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V133" s="19">
        <f>HLOOKUP(REG_TRA_DEMANDS!V$3,'BY-Demands'!$J$5:$AK$14,MATCH($E133,'BY-Demands'!$I$5:$I$14,0),FALSE)*HLOOKUP(REG_TRA_DEMANDS!$F133,DEMANDS!$G$2:$CK$25,MATCH($E133,DEMANDS!$E$2:$E$25,0),FALSE)/HLOOKUP(2018,DEMANDS!$G$2:$CK$25,MATCH($E133,DEMANDS!$E$2:$E$25,0),FALSE)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W133" s="19">
        <f>HLOOKUP(REG_TRA_DEMANDS!W$3,'BY-Demands'!$J$5:$AK$14,MATCH($E133,'BY-Demands'!$I$5:$I$14,0),FALSE)*HLOOKUP(REG_TRA_DEMANDS!$F133,DEMANDS!$G$2:$CK$25,MATCH($E133,DEMANDS!$E$2:$E$25,0),FALSE)/HLOOKUP(2018,DEMANDS!$G$2:$CK$25,MATCH($E133,DEMANDS!$E$2:$E$25,0),FALSE)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X133" s="19">
        <f>HLOOKUP(REG_TRA_DEMANDS!X$3,'BY-Demands'!$J$5:$AK$14,MATCH($E133,'BY-Demands'!$I$5:$I$14,0),FALSE)*HLOOKUP(REG_TRA_DEMANDS!$F133,DEMANDS!$G$2:$CK$25,MATCH($E133,DEMANDS!$E$2:$E$25,0),FALSE)/HLOOKUP(2018,DEMANDS!$G$2:$CK$25,MATCH($E133,DEMANDS!$E$2:$E$25,0),FALSE)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Y133" s="19">
        <f>HLOOKUP(REG_TRA_DEMANDS!Y$3,'BY-Demands'!$J$5:$AK$14,MATCH($E133,'BY-Demands'!$I$5:$I$14,0),FALSE)*HLOOKUP(REG_TRA_DEMANDS!$F133,DEMANDS!$G$2:$CK$25,MATCH($E133,DEMANDS!$E$2:$E$25,0),FALSE)/HLOOKUP(2018,DEMANDS!$G$2:$CK$25,MATCH($E133,DEMANDS!$E$2:$E$25,0),FALSE)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Z133" s="19">
        <f>HLOOKUP(REG_TRA_DEMANDS!Z$3,'BY-Demands'!$J$5:$AK$14,MATCH($E133,'BY-Demands'!$I$5:$I$14,0),FALSE)*HLOOKUP(REG_TRA_DEMANDS!$F133,DEMANDS!$G$2:$CK$25,MATCH($E133,DEMANDS!$E$2:$E$25,0),FALSE)/HLOOKUP(2018,DEMANDS!$G$2:$CK$25,MATCH($E133,DEMANDS!$E$2:$E$25,0),FALSE)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A133" s="19">
        <f>HLOOKUP(REG_TRA_DEMANDS!AA$3,'BY-Demands'!$J$5:$AK$14,MATCH($E133,'BY-Demands'!$I$5:$I$14,0),FALSE)*HLOOKUP(REG_TRA_DEMANDS!$F133,DEMANDS!$G$2:$CK$25,MATCH($E133,DEMANDS!$E$2:$E$25,0),FALSE)/HLOOKUP(2018,DEMANDS!$G$2:$CK$25,MATCH($E133,DEMANDS!$E$2:$E$25,0),FALSE)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B133" s="19">
        <f>HLOOKUP(REG_TRA_DEMANDS!AB$3,'BY-Demands'!$J$5:$AK$14,MATCH($E133,'BY-Demands'!$I$5:$I$14,0),FALSE)*HLOOKUP(REG_TRA_DEMANDS!$F133,DEMANDS!$G$2:$CK$25,MATCH($E133,DEMANDS!$E$2:$E$25,0),FALSE)/HLOOKUP(2018,DEMANDS!$G$2:$CK$25,MATCH($E133,DEMANDS!$E$2:$E$25,0),FALSE)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C133" s="19">
        <f>HLOOKUP(REG_TRA_DEMANDS!AC$3,'BY-Demands'!$J$5:$AK$14,MATCH($E133,'BY-Demands'!$I$5:$I$14,0),FALSE)*HLOOKUP(REG_TRA_DEMANDS!$F133,DEMANDS!$G$2:$CK$25,MATCH($E133,DEMANDS!$E$2:$E$25,0),FALSE)/HLOOKUP(2018,DEMANDS!$G$2:$CK$25,MATCH($E133,DEMANDS!$E$2:$E$25,0),FALSE)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D133" s="19">
        <f>HLOOKUP(REG_TRA_DEMANDS!AD$3,'BY-Demands'!$J$5:$AK$14,MATCH($E133,'BY-Demands'!$I$5:$I$14,0),FALSE)*HLOOKUP(REG_TRA_DEMANDS!$F133,DEMANDS!$G$2:$CK$25,MATCH($E133,DEMANDS!$E$2:$E$25,0),FALSE)/HLOOKUP(2018,DEMANDS!$G$2:$CK$25,MATCH($E133,DEMANDS!$E$2:$E$25,0),FALSE)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E133" s="19">
        <f>HLOOKUP(REG_TRA_DEMANDS!AE$3,'BY-Demands'!$J$5:$AK$14,MATCH($E133,'BY-Demands'!$I$5:$I$14,0),FALSE)*HLOOKUP(REG_TRA_DEMANDS!$F133,DEMANDS!$G$2:$CK$25,MATCH($E133,DEMANDS!$E$2:$E$25,0),FALSE)/HLOOKUP(2018,DEMANDS!$G$2:$CK$25,MATCH($E133,DEMANDS!$E$2:$E$25,0),FALSE)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F133" s="19">
        <f>HLOOKUP(REG_TRA_DEMANDS!AF$3,'BY-Demands'!$J$5:$AK$14,MATCH($E133,'BY-Demands'!$I$5:$I$14,0),FALSE)*HLOOKUP(REG_TRA_DEMANDS!$F133,DEMANDS!$G$2:$CK$25,MATCH($E133,DEMANDS!$E$2:$E$25,0),FALSE)/HLOOKUP(2018,DEMANDS!$G$2:$CK$25,MATCH($E133,DEMANDS!$E$2:$E$25,0),FALSE)</f>
        <v>0</v>
      </c>
    </row>
    <row r="134" spans="4:32" ht="14.5">
      <c r="D134" t="s">
        <v>6</v>
      </c>
      <c r="E134" t="str">
        <f>DEMANDS!$E$21</f>
        <v>TTURS</v>
      </c>
      <c r="F134">
        <v>2050</v>
      </c>
      <c r="G134" s="19">
        <f>HLOOKUP(REG_TRA_DEMANDS!G$3,'BY-Demands'!$J$5:$AK$14,MATCH($E134,'BY-Demands'!$I$5:$I$14,0),FALSE)*HLOOKUP(REG_TRA_DEMANDS!$F134,DEMANDS!$G$2:$CK$25,MATCH($E134,DEMANDS!$E$2:$E$25,0),FALSE)/HLOOKUP(2018,DEMANDS!$G$2:$CK$25,MATCH($E134,DEMANDS!$E$2:$E$25,0),FALSE)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H134" s="19">
        <f>HLOOKUP(REG_TRA_DEMANDS!H$3,'BY-Demands'!$J$5:$AK$14,MATCH($E134,'BY-Demands'!$I$5:$I$14,0),FALSE)*HLOOKUP(REG_TRA_DEMANDS!$F134,DEMANDS!$G$2:$CK$25,MATCH($E134,DEMANDS!$E$2:$E$25,0),FALSE)/HLOOKUP(2018,DEMANDS!$G$2:$CK$25,MATCH($E134,DEMANDS!$E$2:$E$25,0),FALSE)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I134" s="19">
        <f>HLOOKUP(REG_TRA_DEMANDS!I$3,'BY-Demands'!$J$5:$AK$14,MATCH($E134,'BY-Demands'!$I$5:$I$14,0),FALSE)*HLOOKUP(REG_TRA_DEMANDS!$F134,DEMANDS!$G$2:$CK$25,MATCH($E134,DEMANDS!$E$2:$E$25,0),FALSE)/HLOOKUP(2018,DEMANDS!$G$2:$CK$25,MATCH($E134,DEMANDS!$E$2:$E$25,0),FALSE)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J134" s="19">
        <f>HLOOKUP(REG_TRA_DEMANDS!J$3,'BY-Demands'!$J$5:$AK$14,MATCH($E134,'BY-Demands'!$I$5:$I$14,0),FALSE)*HLOOKUP(REG_TRA_DEMANDS!$F134,DEMANDS!$G$2:$CK$25,MATCH($E134,DEMANDS!$E$2:$E$25,0),FALSE)/HLOOKUP(2018,DEMANDS!$G$2:$CK$25,MATCH($E134,DEMANDS!$E$2:$E$25,0),FALSE)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K134" s="19">
        <f>HLOOKUP(REG_TRA_DEMANDS!K$3,'BY-Demands'!$J$5:$AK$14,MATCH($E134,'BY-Demands'!$I$5:$I$14,0),FALSE)*HLOOKUP(REG_TRA_DEMANDS!$F134,DEMANDS!$G$2:$CK$25,MATCH($E134,DEMANDS!$E$2:$E$25,0),FALSE)/HLOOKUP(2018,DEMANDS!$G$2:$CK$25,MATCH($E134,DEMANDS!$E$2:$E$25,0),FALSE)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L134" s="19">
        <f>HLOOKUP(REG_TRA_DEMANDS!L$3,'BY-Demands'!$J$5:$AK$14,MATCH($E134,'BY-Demands'!$I$5:$I$14,0),FALSE)*HLOOKUP(REG_TRA_DEMANDS!$F134,DEMANDS!$G$2:$CK$25,MATCH($E134,DEMANDS!$E$2:$E$25,0),FALSE)/HLOOKUP(2018,DEMANDS!$G$2:$CK$25,MATCH($E134,DEMANDS!$E$2:$E$25,0),FALSE)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M134" s="19">
        <f>HLOOKUP(REG_TRA_DEMANDS!M$3,'BY-Demands'!$J$5:$AK$14,MATCH($E134,'BY-Demands'!$I$5:$I$14,0),FALSE)*HLOOKUP(REG_TRA_DEMANDS!$F134,DEMANDS!$G$2:$CK$25,MATCH($E134,DEMANDS!$E$2:$E$25,0),FALSE)/HLOOKUP(2018,DEMANDS!$G$2:$CK$25,MATCH($E134,DEMANDS!$E$2:$E$25,0),FALSE)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N134" s="19">
        <f>HLOOKUP(REG_TRA_DEMANDS!N$3,'BY-Demands'!$J$5:$AK$14,MATCH($E134,'BY-Demands'!$I$5:$I$14,0),FALSE)*HLOOKUP(REG_TRA_DEMANDS!$F134,DEMANDS!$G$2:$CK$25,MATCH($E134,DEMANDS!$E$2:$E$25,0),FALSE)/HLOOKUP(2018,DEMANDS!$G$2:$CK$25,MATCH($E134,DEMANDS!$E$2:$E$25,0),FALSE)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O134" s="19">
        <f>HLOOKUP(REG_TRA_DEMANDS!O$3,'BY-Demands'!$J$5:$AK$14,MATCH($E134,'BY-Demands'!$I$5:$I$14,0),FALSE)*HLOOKUP(REG_TRA_DEMANDS!$F134,DEMANDS!$G$2:$CK$25,MATCH($E134,DEMANDS!$E$2:$E$25,0),FALSE)/HLOOKUP(2018,DEMANDS!$G$2:$CK$25,MATCH($E134,DEMANDS!$E$2:$E$25,0),FALSE)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P134" s="19">
        <f>HLOOKUP(REG_TRA_DEMANDS!P$3,'BY-Demands'!$J$5:$AK$14,MATCH($E134,'BY-Demands'!$I$5:$I$14,0),FALSE)*HLOOKUP(REG_TRA_DEMANDS!$F134,DEMANDS!$G$2:$CK$25,MATCH($E134,DEMANDS!$E$2:$E$25,0),FALSE)/HLOOKUP(2018,DEMANDS!$G$2:$CK$25,MATCH($E134,DEMANDS!$E$2:$E$25,0),FALSE)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Q134" s="19">
        <f>HLOOKUP(REG_TRA_DEMANDS!Q$3,'BY-Demands'!$J$5:$AK$14,MATCH($E134,'BY-Demands'!$I$5:$I$14,0),FALSE)*HLOOKUP(REG_TRA_DEMANDS!$F134,DEMANDS!$G$2:$CK$25,MATCH($E134,DEMANDS!$E$2:$E$25,0),FALSE)/HLOOKUP(2018,DEMANDS!$G$2:$CK$25,MATCH($E134,DEMANDS!$E$2:$E$25,0),FALSE)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R134" s="19">
        <f>HLOOKUP(REG_TRA_DEMANDS!R$3,'BY-Demands'!$J$5:$AK$14,MATCH($E134,'BY-Demands'!$I$5:$I$14,0),FALSE)*HLOOKUP(REG_TRA_DEMANDS!$F134,DEMANDS!$G$2:$CK$25,MATCH($E134,DEMANDS!$E$2:$E$25,0),FALSE)/HLOOKUP(2018,DEMANDS!$G$2:$CK$25,MATCH($E134,DEMANDS!$E$2:$E$25,0),FALSE)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S134" s="19">
        <f>HLOOKUP(REG_TRA_DEMANDS!S$3,'BY-Demands'!$J$5:$AK$14,MATCH($E134,'BY-Demands'!$I$5:$I$14,0),FALSE)*HLOOKUP(REG_TRA_DEMANDS!$F134,DEMANDS!$G$2:$CK$25,MATCH($E134,DEMANDS!$E$2:$E$25,0),FALSE)/HLOOKUP(2018,DEMANDS!$G$2:$CK$25,MATCH($E134,DEMANDS!$E$2:$E$25,0),FALSE)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T134" s="19">
        <f>HLOOKUP(REG_TRA_DEMANDS!T$3,'BY-Demands'!$J$5:$AK$14,MATCH($E134,'BY-Demands'!$I$5:$I$14,0),FALSE)*HLOOKUP(REG_TRA_DEMANDS!$F134,DEMANDS!$G$2:$CK$25,MATCH($E134,DEMANDS!$E$2:$E$25,0),FALSE)/HLOOKUP(2018,DEMANDS!$G$2:$CK$25,MATCH($E134,DEMANDS!$E$2:$E$25,0),FALSE)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U134" s="19">
        <f>HLOOKUP(REG_TRA_DEMANDS!U$3,'BY-Demands'!$J$5:$AK$14,MATCH($E134,'BY-Demands'!$I$5:$I$14,0),FALSE)*HLOOKUP(REG_TRA_DEMANDS!$F134,DEMANDS!$G$2:$CK$25,MATCH($E134,DEMANDS!$E$2:$E$25,0),FALSE)/HLOOKUP(2018,DEMANDS!$G$2:$CK$25,MATCH($E134,DEMANDS!$E$2:$E$25,0),FALSE)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V134" s="19">
        <f>HLOOKUP(REG_TRA_DEMANDS!V$3,'BY-Demands'!$J$5:$AK$14,MATCH($E134,'BY-Demands'!$I$5:$I$14,0),FALSE)*HLOOKUP(REG_TRA_DEMANDS!$F134,DEMANDS!$G$2:$CK$25,MATCH($E134,DEMANDS!$E$2:$E$25,0),FALSE)/HLOOKUP(2018,DEMANDS!$G$2:$CK$25,MATCH($E134,DEMANDS!$E$2:$E$25,0),FALSE)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W134" s="19">
        <f>HLOOKUP(REG_TRA_DEMANDS!W$3,'BY-Demands'!$J$5:$AK$14,MATCH($E134,'BY-Demands'!$I$5:$I$14,0),FALSE)*HLOOKUP(REG_TRA_DEMANDS!$F134,DEMANDS!$G$2:$CK$25,MATCH($E134,DEMANDS!$E$2:$E$25,0),FALSE)/HLOOKUP(2018,DEMANDS!$G$2:$CK$25,MATCH($E134,DEMANDS!$E$2:$E$25,0),FALSE)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X134" s="19">
        <f>HLOOKUP(REG_TRA_DEMANDS!X$3,'BY-Demands'!$J$5:$AK$14,MATCH($E134,'BY-Demands'!$I$5:$I$14,0),FALSE)*HLOOKUP(REG_TRA_DEMANDS!$F134,DEMANDS!$G$2:$CK$25,MATCH($E134,DEMANDS!$E$2:$E$25,0),FALSE)/HLOOKUP(2018,DEMANDS!$G$2:$CK$25,MATCH($E134,DEMANDS!$E$2:$E$25,0),FALSE)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Y134" s="19">
        <f>HLOOKUP(REG_TRA_DEMANDS!Y$3,'BY-Demands'!$J$5:$AK$14,MATCH($E134,'BY-Demands'!$I$5:$I$14,0),FALSE)*HLOOKUP(REG_TRA_DEMANDS!$F134,DEMANDS!$G$2:$CK$25,MATCH($E134,DEMANDS!$E$2:$E$25,0),FALSE)/HLOOKUP(2018,DEMANDS!$G$2:$CK$25,MATCH($E134,DEMANDS!$E$2:$E$25,0),FALSE)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Z134" s="19">
        <f>HLOOKUP(REG_TRA_DEMANDS!Z$3,'BY-Demands'!$J$5:$AK$14,MATCH($E134,'BY-Demands'!$I$5:$I$14,0),FALSE)*HLOOKUP(REG_TRA_DEMANDS!$F134,DEMANDS!$G$2:$CK$25,MATCH($E134,DEMANDS!$E$2:$E$25,0),FALSE)/HLOOKUP(2018,DEMANDS!$G$2:$CK$25,MATCH($E134,DEMANDS!$E$2:$E$25,0),FALSE)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A134" s="19">
        <f>HLOOKUP(REG_TRA_DEMANDS!AA$3,'BY-Demands'!$J$5:$AK$14,MATCH($E134,'BY-Demands'!$I$5:$I$14,0),FALSE)*HLOOKUP(REG_TRA_DEMANDS!$F134,DEMANDS!$G$2:$CK$25,MATCH($E134,DEMANDS!$E$2:$E$25,0),FALSE)/HLOOKUP(2018,DEMANDS!$G$2:$CK$25,MATCH($E134,DEMANDS!$E$2:$E$25,0),FALSE)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B134" s="19">
        <f>HLOOKUP(REG_TRA_DEMANDS!AB$3,'BY-Demands'!$J$5:$AK$14,MATCH($E134,'BY-Demands'!$I$5:$I$14,0),FALSE)*HLOOKUP(REG_TRA_DEMANDS!$F134,DEMANDS!$G$2:$CK$25,MATCH($E134,DEMANDS!$E$2:$E$25,0),FALSE)/HLOOKUP(2018,DEMANDS!$G$2:$CK$25,MATCH($E134,DEMANDS!$E$2:$E$25,0),FALSE)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C134" s="19">
        <f>HLOOKUP(REG_TRA_DEMANDS!AC$3,'BY-Demands'!$J$5:$AK$14,MATCH($E134,'BY-Demands'!$I$5:$I$14,0),FALSE)*HLOOKUP(REG_TRA_DEMANDS!$F134,DEMANDS!$G$2:$CK$25,MATCH($E134,DEMANDS!$E$2:$E$25,0),FALSE)/HLOOKUP(2018,DEMANDS!$G$2:$CK$25,MATCH($E134,DEMANDS!$E$2:$E$25,0),FALSE)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D134" s="19">
        <f>HLOOKUP(REG_TRA_DEMANDS!AD$3,'BY-Demands'!$J$5:$AK$14,MATCH($E134,'BY-Demands'!$I$5:$I$14,0),FALSE)*HLOOKUP(REG_TRA_DEMANDS!$F134,DEMANDS!$G$2:$CK$25,MATCH($E134,DEMANDS!$E$2:$E$25,0),FALSE)/HLOOKUP(2018,DEMANDS!$G$2:$CK$25,MATCH($E134,DEMANDS!$E$2:$E$25,0),FALSE)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E134" s="19">
        <f>HLOOKUP(REG_TRA_DEMANDS!AE$3,'BY-Demands'!$J$5:$AK$14,MATCH($E134,'BY-Demands'!$I$5:$I$14,0),FALSE)*HLOOKUP(REG_TRA_DEMANDS!$F134,DEMANDS!$G$2:$CK$25,MATCH($E134,DEMANDS!$E$2:$E$25,0),FALSE)/HLOOKUP(2018,DEMANDS!$G$2:$CK$25,MATCH($E134,DEMANDS!$E$2:$E$25,0),FALSE)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F134" s="19">
        <f>HLOOKUP(REG_TRA_DEMANDS!AF$3,'BY-Demands'!$J$5:$AK$14,MATCH($E134,'BY-Demands'!$I$5:$I$14,0),FALSE)*HLOOKUP(REG_TRA_DEMANDS!$F134,DEMANDS!$G$2:$CK$25,MATCH($E134,DEMANDS!$E$2:$E$25,0),FALSE)/HLOOKUP(2018,DEMANDS!$G$2:$CK$25,MATCH($E134,DEMANDS!$E$2:$E$25,0),FALSE)</f>
        <v>0</v>
      </c>
    </row>
    <row r="135" spans="4:32" ht="14.5">
      <c r="D135" t="s">
        <v>6</v>
      </c>
      <c r="E135" t="str">
        <f>DEMANDS!$E$21</f>
        <v>TTURS</v>
      </c>
      <c r="F135">
        <v>2055</v>
      </c>
      <c r="G135" s="19">
        <f>HLOOKUP(REG_TRA_DEMANDS!G$3,'BY-Demands'!$J$5:$AK$14,MATCH($E135,'BY-Demands'!$I$5:$I$14,0),FALSE)*HLOOKUP(REG_TRA_DEMANDS!$F135,DEMANDS!$G$2:$CK$25,MATCH($E135,DEMANDS!$E$2:$E$25,0),FALSE)/HLOOKUP(2018,DEMANDS!$G$2:$CK$25,MATCH($E135,DEMANDS!$E$2:$E$25,0),FALSE)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H135" s="19">
        <f>HLOOKUP(REG_TRA_DEMANDS!H$3,'BY-Demands'!$J$5:$AK$14,MATCH($E135,'BY-Demands'!$I$5:$I$14,0),FALSE)*HLOOKUP(REG_TRA_DEMANDS!$F135,DEMANDS!$G$2:$CK$25,MATCH($E135,DEMANDS!$E$2:$E$25,0),FALSE)/HLOOKUP(2018,DEMANDS!$G$2:$CK$25,MATCH($E135,DEMANDS!$E$2:$E$25,0),FALSE)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I135" s="19">
        <f>HLOOKUP(REG_TRA_DEMANDS!I$3,'BY-Demands'!$J$5:$AK$14,MATCH($E135,'BY-Demands'!$I$5:$I$14,0),FALSE)*HLOOKUP(REG_TRA_DEMANDS!$F135,DEMANDS!$G$2:$CK$25,MATCH($E135,DEMANDS!$E$2:$E$25,0),FALSE)/HLOOKUP(2018,DEMANDS!$G$2:$CK$25,MATCH($E135,DEMANDS!$E$2:$E$25,0),FALSE)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J135" s="19">
        <f>HLOOKUP(REG_TRA_DEMANDS!J$3,'BY-Demands'!$J$5:$AK$14,MATCH($E135,'BY-Demands'!$I$5:$I$14,0),FALSE)*HLOOKUP(REG_TRA_DEMANDS!$F135,DEMANDS!$G$2:$CK$25,MATCH($E135,DEMANDS!$E$2:$E$25,0),FALSE)/HLOOKUP(2018,DEMANDS!$G$2:$CK$25,MATCH($E135,DEMANDS!$E$2:$E$25,0),FALSE)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K135" s="19">
        <f>HLOOKUP(REG_TRA_DEMANDS!K$3,'BY-Demands'!$J$5:$AK$14,MATCH($E135,'BY-Demands'!$I$5:$I$14,0),FALSE)*HLOOKUP(REG_TRA_DEMANDS!$F135,DEMANDS!$G$2:$CK$25,MATCH($E135,DEMANDS!$E$2:$E$25,0),FALSE)/HLOOKUP(2018,DEMANDS!$G$2:$CK$25,MATCH($E135,DEMANDS!$E$2:$E$25,0),FALSE)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L135" s="19">
        <f>HLOOKUP(REG_TRA_DEMANDS!L$3,'BY-Demands'!$J$5:$AK$14,MATCH($E135,'BY-Demands'!$I$5:$I$14,0),FALSE)*HLOOKUP(REG_TRA_DEMANDS!$F135,DEMANDS!$G$2:$CK$25,MATCH($E135,DEMANDS!$E$2:$E$25,0),FALSE)/HLOOKUP(2018,DEMANDS!$G$2:$CK$25,MATCH($E135,DEMANDS!$E$2:$E$25,0),FALSE)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M135" s="19">
        <f>HLOOKUP(REG_TRA_DEMANDS!M$3,'BY-Demands'!$J$5:$AK$14,MATCH($E135,'BY-Demands'!$I$5:$I$14,0),FALSE)*HLOOKUP(REG_TRA_DEMANDS!$F135,DEMANDS!$G$2:$CK$25,MATCH($E135,DEMANDS!$E$2:$E$25,0),FALSE)/HLOOKUP(2018,DEMANDS!$G$2:$CK$25,MATCH($E135,DEMANDS!$E$2:$E$25,0),FALSE)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N135" s="19">
        <f>HLOOKUP(REG_TRA_DEMANDS!N$3,'BY-Demands'!$J$5:$AK$14,MATCH($E135,'BY-Demands'!$I$5:$I$14,0),FALSE)*HLOOKUP(REG_TRA_DEMANDS!$F135,DEMANDS!$G$2:$CK$25,MATCH($E135,DEMANDS!$E$2:$E$25,0),FALSE)/HLOOKUP(2018,DEMANDS!$G$2:$CK$25,MATCH($E135,DEMANDS!$E$2:$E$25,0),FALSE)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O135" s="19">
        <f>HLOOKUP(REG_TRA_DEMANDS!O$3,'BY-Demands'!$J$5:$AK$14,MATCH($E135,'BY-Demands'!$I$5:$I$14,0),FALSE)*HLOOKUP(REG_TRA_DEMANDS!$F135,DEMANDS!$G$2:$CK$25,MATCH($E135,DEMANDS!$E$2:$E$25,0),FALSE)/HLOOKUP(2018,DEMANDS!$G$2:$CK$25,MATCH($E135,DEMANDS!$E$2:$E$25,0),FALSE)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P135" s="19">
        <f>HLOOKUP(REG_TRA_DEMANDS!P$3,'BY-Demands'!$J$5:$AK$14,MATCH($E135,'BY-Demands'!$I$5:$I$14,0),FALSE)*HLOOKUP(REG_TRA_DEMANDS!$F135,DEMANDS!$G$2:$CK$25,MATCH($E135,DEMANDS!$E$2:$E$25,0),FALSE)/HLOOKUP(2018,DEMANDS!$G$2:$CK$25,MATCH($E135,DEMANDS!$E$2:$E$25,0),FALSE)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Q135" s="19">
        <f>HLOOKUP(REG_TRA_DEMANDS!Q$3,'BY-Demands'!$J$5:$AK$14,MATCH($E135,'BY-Demands'!$I$5:$I$14,0),FALSE)*HLOOKUP(REG_TRA_DEMANDS!$F135,DEMANDS!$G$2:$CK$25,MATCH($E135,DEMANDS!$E$2:$E$25,0),FALSE)/HLOOKUP(2018,DEMANDS!$G$2:$CK$25,MATCH($E135,DEMANDS!$E$2:$E$25,0),FALSE)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R135" s="19">
        <f>HLOOKUP(REG_TRA_DEMANDS!R$3,'BY-Demands'!$J$5:$AK$14,MATCH($E135,'BY-Demands'!$I$5:$I$14,0),FALSE)*HLOOKUP(REG_TRA_DEMANDS!$F135,DEMANDS!$G$2:$CK$25,MATCH($E135,DEMANDS!$E$2:$E$25,0),FALSE)/HLOOKUP(2018,DEMANDS!$G$2:$CK$25,MATCH($E135,DEMANDS!$E$2:$E$25,0),FALSE)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S135" s="19">
        <f>HLOOKUP(REG_TRA_DEMANDS!S$3,'BY-Demands'!$J$5:$AK$14,MATCH($E135,'BY-Demands'!$I$5:$I$14,0),FALSE)*HLOOKUP(REG_TRA_DEMANDS!$F135,DEMANDS!$G$2:$CK$25,MATCH($E135,DEMANDS!$E$2:$E$25,0),FALSE)/HLOOKUP(2018,DEMANDS!$G$2:$CK$25,MATCH($E135,DEMANDS!$E$2:$E$25,0),FALSE)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T135" s="19">
        <f>HLOOKUP(REG_TRA_DEMANDS!T$3,'BY-Demands'!$J$5:$AK$14,MATCH($E135,'BY-Demands'!$I$5:$I$14,0),FALSE)*HLOOKUP(REG_TRA_DEMANDS!$F135,DEMANDS!$G$2:$CK$25,MATCH($E135,DEMANDS!$E$2:$E$25,0),FALSE)/HLOOKUP(2018,DEMANDS!$G$2:$CK$25,MATCH($E135,DEMANDS!$E$2:$E$25,0),FALSE)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U135" s="19">
        <f>HLOOKUP(REG_TRA_DEMANDS!U$3,'BY-Demands'!$J$5:$AK$14,MATCH($E135,'BY-Demands'!$I$5:$I$14,0),FALSE)*HLOOKUP(REG_TRA_DEMANDS!$F135,DEMANDS!$G$2:$CK$25,MATCH($E135,DEMANDS!$E$2:$E$25,0),FALSE)/HLOOKUP(2018,DEMANDS!$G$2:$CK$25,MATCH($E135,DEMANDS!$E$2:$E$25,0),FALSE)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V135" s="19">
        <f>HLOOKUP(REG_TRA_DEMANDS!V$3,'BY-Demands'!$J$5:$AK$14,MATCH($E135,'BY-Demands'!$I$5:$I$14,0),FALSE)*HLOOKUP(REG_TRA_DEMANDS!$F135,DEMANDS!$G$2:$CK$25,MATCH($E135,DEMANDS!$E$2:$E$25,0),FALSE)/HLOOKUP(2018,DEMANDS!$G$2:$CK$25,MATCH($E135,DEMANDS!$E$2:$E$25,0),FALSE)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W135" s="19">
        <f>HLOOKUP(REG_TRA_DEMANDS!W$3,'BY-Demands'!$J$5:$AK$14,MATCH($E135,'BY-Demands'!$I$5:$I$14,0),FALSE)*HLOOKUP(REG_TRA_DEMANDS!$F135,DEMANDS!$G$2:$CK$25,MATCH($E135,DEMANDS!$E$2:$E$25,0),FALSE)/HLOOKUP(2018,DEMANDS!$G$2:$CK$25,MATCH($E135,DEMANDS!$E$2:$E$25,0),FALSE)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X135" s="19">
        <f>HLOOKUP(REG_TRA_DEMANDS!X$3,'BY-Demands'!$J$5:$AK$14,MATCH($E135,'BY-Demands'!$I$5:$I$14,0),FALSE)*HLOOKUP(REG_TRA_DEMANDS!$F135,DEMANDS!$G$2:$CK$25,MATCH($E135,DEMANDS!$E$2:$E$25,0),FALSE)/HLOOKUP(2018,DEMANDS!$G$2:$CK$25,MATCH($E135,DEMANDS!$E$2:$E$25,0),FALSE)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Y135" s="19">
        <f>HLOOKUP(REG_TRA_DEMANDS!Y$3,'BY-Demands'!$J$5:$AK$14,MATCH($E135,'BY-Demands'!$I$5:$I$14,0),FALSE)*HLOOKUP(REG_TRA_DEMANDS!$F135,DEMANDS!$G$2:$CK$25,MATCH($E135,DEMANDS!$E$2:$E$25,0),FALSE)/HLOOKUP(2018,DEMANDS!$G$2:$CK$25,MATCH($E135,DEMANDS!$E$2:$E$25,0),FALSE)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Z135" s="19">
        <f>HLOOKUP(REG_TRA_DEMANDS!Z$3,'BY-Demands'!$J$5:$AK$14,MATCH($E135,'BY-Demands'!$I$5:$I$14,0),FALSE)*HLOOKUP(REG_TRA_DEMANDS!$F135,DEMANDS!$G$2:$CK$25,MATCH($E135,DEMANDS!$E$2:$E$25,0),FALSE)/HLOOKUP(2018,DEMANDS!$G$2:$CK$25,MATCH($E135,DEMANDS!$E$2:$E$25,0),FALSE)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A135" s="19">
        <f>HLOOKUP(REG_TRA_DEMANDS!AA$3,'BY-Demands'!$J$5:$AK$14,MATCH($E135,'BY-Demands'!$I$5:$I$14,0),FALSE)*HLOOKUP(REG_TRA_DEMANDS!$F135,DEMANDS!$G$2:$CK$25,MATCH($E135,DEMANDS!$E$2:$E$25,0),FALSE)/HLOOKUP(2018,DEMANDS!$G$2:$CK$25,MATCH($E135,DEMANDS!$E$2:$E$25,0),FALSE)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B135" s="19">
        <f>HLOOKUP(REG_TRA_DEMANDS!AB$3,'BY-Demands'!$J$5:$AK$14,MATCH($E135,'BY-Demands'!$I$5:$I$14,0),FALSE)*HLOOKUP(REG_TRA_DEMANDS!$F135,DEMANDS!$G$2:$CK$25,MATCH($E135,DEMANDS!$E$2:$E$25,0),FALSE)/HLOOKUP(2018,DEMANDS!$G$2:$CK$25,MATCH($E135,DEMANDS!$E$2:$E$25,0),FALSE)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C135" s="19">
        <f>HLOOKUP(REG_TRA_DEMANDS!AC$3,'BY-Demands'!$J$5:$AK$14,MATCH($E135,'BY-Demands'!$I$5:$I$14,0),FALSE)*HLOOKUP(REG_TRA_DEMANDS!$F135,DEMANDS!$G$2:$CK$25,MATCH($E135,DEMANDS!$E$2:$E$25,0),FALSE)/HLOOKUP(2018,DEMANDS!$G$2:$CK$25,MATCH($E135,DEMANDS!$E$2:$E$25,0),FALSE)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D135" s="19">
        <f>HLOOKUP(REG_TRA_DEMANDS!AD$3,'BY-Demands'!$J$5:$AK$14,MATCH($E135,'BY-Demands'!$I$5:$I$14,0),FALSE)*HLOOKUP(REG_TRA_DEMANDS!$F135,DEMANDS!$G$2:$CK$25,MATCH($E135,DEMANDS!$E$2:$E$25,0),FALSE)/HLOOKUP(2018,DEMANDS!$G$2:$CK$25,MATCH($E135,DEMANDS!$E$2:$E$25,0),FALSE)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E135" s="19">
        <f>HLOOKUP(REG_TRA_DEMANDS!AE$3,'BY-Demands'!$J$5:$AK$14,MATCH($E135,'BY-Demands'!$I$5:$I$14,0),FALSE)*HLOOKUP(REG_TRA_DEMANDS!$F135,DEMANDS!$G$2:$CK$25,MATCH($E135,DEMANDS!$E$2:$E$25,0),FALSE)/HLOOKUP(2018,DEMANDS!$G$2:$CK$25,MATCH($E135,DEMANDS!$E$2:$E$25,0),FALSE)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F135" s="19">
        <f>HLOOKUP(REG_TRA_DEMANDS!AF$3,'BY-Demands'!$J$5:$AK$14,MATCH($E135,'BY-Demands'!$I$5:$I$14,0),FALSE)*HLOOKUP(REG_TRA_DEMANDS!$F135,DEMANDS!$G$2:$CK$25,MATCH($E135,DEMANDS!$E$2:$E$25,0),FALSE)/HLOOKUP(2018,DEMANDS!$G$2:$CK$25,MATCH($E135,DEMANDS!$E$2:$E$25,0),FALSE)</f>
        <v>0</v>
      </c>
    </row>
    <row r="136" spans="4:32" ht="14.5">
      <c r="D136" t="s">
        <v>6</v>
      </c>
      <c r="E136" t="str">
        <f>DEMANDS!$E$21</f>
        <v>TTURS</v>
      </c>
      <c r="F136">
        <v>2060</v>
      </c>
      <c r="G136" s="19">
        <f>HLOOKUP(REG_TRA_DEMANDS!G$3,'BY-Demands'!$J$5:$AK$14,MATCH($E136,'BY-Demands'!$I$5:$I$14,0),FALSE)*HLOOKUP(REG_TRA_DEMANDS!$F136,DEMANDS!$G$2:$CK$25,MATCH($E136,DEMANDS!$E$2:$E$25,0),FALSE)/HLOOKUP(2018,DEMANDS!$G$2:$CK$25,MATCH($E136,DEMANDS!$E$2:$E$25,0),FALSE)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H136" s="19">
        <f>HLOOKUP(REG_TRA_DEMANDS!H$3,'BY-Demands'!$J$5:$AK$14,MATCH($E136,'BY-Demands'!$I$5:$I$14,0),FALSE)*HLOOKUP(REG_TRA_DEMANDS!$F136,DEMANDS!$G$2:$CK$25,MATCH($E136,DEMANDS!$E$2:$E$25,0),FALSE)/HLOOKUP(2018,DEMANDS!$G$2:$CK$25,MATCH($E136,DEMANDS!$E$2:$E$25,0),FALSE)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I136" s="19">
        <f>HLOOKUP(REG_TRA_DEMANDS!I$3,'BY-Demands'!$J$5:$AK$14,MATCH($E136,'BY-Demands'!$I$5:$I$14,0),FALSE)*HLOOKUP(REG_TRA_DEMANDS!$F136,DEMANDS!$G$2:$CK$25,MATCH($E136,DEMANDS!$E$2:$E$25,0),FALSE)/HLOOKUP(2018,DEMANDS!$G$2:$CK$25,MATCH($E136,DEMANDS!$E$2:$E$25,0),FALSE)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J136" s="19">
        <f>HLOOKUP(REG_TRA_DEMANDS!J$3,'BY-Demands'!$J$5:$AK$14,MATCH($E136,'BY-Demands'!$I$5:$I$14,0),FALSE)*HLOOKUP(REG_TRA_DEMANDS!$F136,DEMANDS!$G$2:$CK$25,MATCH($E136,DEMANDS!$E$2:$E$25,0),FALSE)/HLOOKUP(2018,DEMANDS!$G$2:$CK$25,MATCH($E136,DEMANDS!$E$2:$E$25,0),FALSE)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K136" s="19">
        <f>HLOOKUP(REG_TRA_DEMANDS!K$3,'BY-Demands'!$J$5:$AK$14,MATCH($E136,'BY-Demands'!$I$5:$I$14,0),FALSE)*HLOOKUP(REG_TRA_DEMANDS!$F136,DEMANDS!$G$2:$CK$25,MATCH($E136,DEMANDS!$E$2:$E$25,0),FALSE)/HLOOKUP(2018,DEMANDS!$G$2:$CK$25,MATCH($E136,DEMANDS!$E$2:$E$25,0),FALSE)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L136" s="19">
        <f>HLOOKUP(REG_TRA_DEMANDS!L$3,'BY-Demands'!$J$5:$AK$14,MATCH($E136,'BY-Demands'!$I$5:$I$14,0),FALSE)*HLOOKUP(REG_TRA_DEMANDS!$F136,DEMANDS!$G$2:$CK$25,MATCH($E136,DEMANDS!$E$2:$E$25,0),FALSE)/HLOOKUP(2018,DEMANDS!$G$2:$CK$25,MATCH($E136,DEMANDS!$E$2:$E$25,0),FALSE)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M136" s="19">
        <f>HLOOKUP(REG_TRA_DEMANDS!M$3,'BY-Demands'!$J$5:$AK$14,MATCH($E136,'BY-Demands'!$I$5:$I$14,0),FALSE)*HLOOKUP(REG_TRA_DEMANDS!$F136,DEMANDS!$G$2:$CK$25,MATCH($E136,DEMANDS!$E$2:$E$25,0),FALSE)/HLOOKUP(2018,DEMANDS!$G$2:$CK$25,MATCH($E136,DEMANDS!$E$2:$E$25,0),FALSE)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N136" s="19">
        <f>HLOOKUP(REG_TRA_DEMANDS!N$3,'BY-Demands'!$J$5:$AK$14,MATCH($E136,'BY-Demands'!$I$5:$I$14,0),FALSE)*HLOOKUP(REG_TRA_DEMANDS!$F136,DEMANDS!$G$2:$CK$25,MATCH($E136,DEMANDS!$E$2:$E$25,0),FALSE)/HLOOKUP(2018,DEMANDS!$G$2:$CK$25,MATCH($E136,DEMANDS!$E$2:$E$25,0),FALSE)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O136" s="19">
        <f>HLOOKUP(REG_TRA_DEMANDS!O$3,'BY-Demands'!$J$5:$AK$14,MATCH($E136,'BY-Demands'!$I$5:$I$14,0),FALSE)*HLOOKUP(REG_TRA_DEMANDS!$F136,DEMANDS!$G$2:$CK$25,MATCH($E136,DEMANDS!$E$2:$E$25,0),FALSE)/HLOOKUP(2018,DEMANDS!$G$2:$CK$25,MATCH($E136,DEMANDS!$E$2:$E$25,0),FALSE)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P136" s="19">
        <f>HLOOKUP(REG_TRA_DEMANDS!P$3,'BY-Demands'!$J$5:$AK$14,MATCH($E136,'BY-Demands'!$I$5:$I$14,0),FALSE)*HLOOKUP(REG_TRA_DEMANDS!$F136,DEMANDS!$G$2:$CK$25,MATCH($E136,DEMANDS!$E$2:$E$25,0),FALSE)/HLOOKUP(2018,DEMANDS!$G$2:$CK$25,MATCH($E136,DEMANDS!$E$2:$E$25,0),FALSE)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Q136" s="19">
        <f>HLOOKUP(REG_TRA_DEMANDS!Q$3,'BY-Demands'!$J$5:$AK$14,MATCH($E136,'BY-Demands'!$I$5:$I$14,0),FALSE)*HLOOKUP(REG_TRA_DEMANDS!$F136,DEMANDS!$G$2:$CK$25,MATCH($E136,DEMANDS!$E$2:$E$25,0),FALSE)/HLOOKUP(2018,DEMANDS!$G$2:$CK$25,MATCH($E136,DEMANDS!$E$2:$E$25,0),FALSE)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R136" s="19">
        <f>HLOOKUP(REG_TRA_DEMANDS!R$3,'BY-Demands'!$J$5:$AK$14,MATCH($E136,'BY-Demands'!$I$5:$I$14,0),FALSE)*HLOOKUP(REG_TRA_DEMANDS!$F136,DEMANDS!$G$2:$CK$25,MATCH($E136,DEMANDS!$E$2:$E$25,0),FALSE)/HLOOKUP(2018,DEMANDS!$G$2:$CK$25,MATCH($E136,DEMANDS!$E$2:$E$25,0),FALSE)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S136" s="19">
        <f>HLOOKUP(REG_TRA_DEMANDS!S$3,'BY-Demands'!$J$5:$AK$14,MATCH($E136,'BY-Demands'!$I$5:$I$14,0),FALSE)*HLOOKUP(REG_TRA_DEMANDS!$F136,DEMANDS!$G$2:$CK$25,MATCH($E136,DEMANDS!$E$2:$E$25,0),FALSE)/HLOOKUP(2018,DEMANDS!$G$2:$CK$25,MATCH($E136,DEMANDS!$E$2:$E$25,0),FALSE)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T136" s="19">
        <f>HLOOKUP(REG_TRA_DEMANDS!T$3,'BY-Demands'!$J$5:$AK$14,MATCH($E136,'BY-Demands'!$I$5:$I$14,0),FALSE)*HLOOKUP(REG_TRA_DEMANDS!$F136,DEMANDS!$G$2:$CK$25,MATCH($E136,DEMANDS!$E$2:$E$25,0),FALSE)/HLOOKUP(2018,DEMANDS!$G$2:$CK$25,MATCH($E136,DEMANDS!$E$2:$E$25,0),FALSE)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U136" s="19">
        <f>HLOOKUP(REG_TRA_DEMANDS!U$3,'BY-Demands'!$J$5:$AK$14,MATCH($E136,'BY-Demands'!$I$5:$I$14,0),FALSE)*HLOOKUP(REG_TRA_DEMANDS!$F136,DEMANDS!$G$2:$CK$25,MATCH($E136,DEMANDS!$E$2:$E$25,0),FALSE)/HLOOKUP(2018,DEMANDS!$G$2:$CK$25,MATCH($E136,DEMANDS!$E$2:$E$25,0),FALSE)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V136" s="19">
        <f>HLOOKUP(REG_TRA_DEMANDS!V$3,'BY-Demands'!$J$5:$AK$14,MATCH($E136,'BY-Demands'!$I$5:$I$14,0),FALSE)*HLOOKUP(REG_TRA_DEMANDS!$F136,DEMANDS!$G$2:$CK$25,MATCH($E136,DEMANDS!$E$2:$E$25,0),FALSE)/HLOOKUP(2018,DEMANDS!$G$2:$CK$25,MATCH($E136,DEMANDS!$E$2:$E$25,0),FALSE)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W136" s="19">
        <f>HLOOKUP(REG_TRA_DEMANDS!W$3,'BY-Demands'!$J$5:$AK$14,MATCH($E136,'BY-Demands'!$I$5:$I$14,0),FALSE)*HLOOKUP(REG_TRA_DEMANDS!$F136,DEMANDS!$G$2:$CK$25,MATCH($E136,DEMANDS!$E$2:$E$25,0),FALSE)/HLOOKUP(2018,DEMANDS!$G$2:$CK$25,MATCH($E136,DEMANDS!$E$2:$E$25,0),FALSE)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X136" s="19">
        <f>HLOOKUP(REG_TRA_DEMANDS!X$3,'BY-Demands'!$J$5:$AK$14,MATCH($E136,'BY-Demands'!$I$5:$I$14,0),FALSE)*HLOOKUP(REG_TRA_DEMANDS!$F136,DEMANDS!$G$2:$CK$25,MATCH($E136,DEMANDS!$E$2:$E$25,0),FALSE)/HLOOKUP(2018,DEMANDS!$G$2:$CK$25,MATCH($E136,DEMANDS!$E$2:$E$25,0),FALSE)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Y136" s="19">
        <f>HLOOKUP(REG_TRA_DEMANDS!Y$3,'BY-Demands'!$J$5:$AK$14,MATCH($E136,'BY-Demands'!$I$5:$I$14,0),FALSE)*HLOOKUP(REG_TRA_DEMANDS!$F136,DEMANDS!$G$2:$CK$25,MATCH($E136,DEMANDS!$E$2:$E$25,0),FALSE)/HLOOKUP(2018,DEMANDS!$G$2:$CK$25,MATCH($E136,DEMANDS!$E$2:$E$25,0),FALSE)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Z136" s="19">
        <f>HLOOKUP(REG_TRA_DEMANDS!Z$3,'BY-Demands'!$J$5:$AK$14,MATCH($E136,'BY-Demands'!$I$5:$I$14,0),FALSE)*HLOOKUP(REG_TRA_DEMANDS!$F136,DEMANDS!$G$2:$CK$25,MATCH($E136,DEMANDS!$E$2:$E$25,0),FALSE)/HLOOKUP(2018,DEMANDS!$G$2:$CK$25,MATCH($E136,DEMANDS!$E$2:$E$25,0),FALSE)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A136" s="19">
        <f>HLOOKUP(REG_TRA_DEMANDS!AA$3,'BY-Demands'!$J$5:$AK$14,MATCH($E136,'BY-Demands'!$I$5:$I$14,0),FALSE)*HLOOKUP(REG_TRA_DEMANDS!$F136,DEMANDS!$G$2:$CK$25,MATCH($E136,DEMANDS!$E$2:$E$25,0),FALSE)/HLOOKUP(2018,DEMANDS!$G$2:$CK$25,MATCH($E136,DEMANDS!$E$2:$E$25,0),FALSE)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B136" s="19">
        <f>HLOOKUP(REG_TRA_DEMANDS!AB$3,'BY-Demands'!$J$5:$AK$14,MATCH($E136,'BY-Demands'!$I$5:$I$14,0),FALSE)*HLOOKUP(REG_TRA_DEMANDS!$F136,DEMANDS!$G$2:$CK$25,MATCH($E136,DEMANDS!$E$2:$E$25,0),FALSE)/HLOOKUP(2018,DEMANDS!$G$2:$CK$25,MATCH($E136,DEMANDS!$E$2:$E$25,0),FALSE)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C136" s="19">
        <f>HLOOKUP(REG_TRA_DEMANDS!AC$3,'BY-Demands'!$J$5:$AK$14,MATCH($E136,'BY-Demands'!$I$5:$I$14,0),FALSE)*HLOOKUP(REG_TRA_DEMANDS!$F136,DEMANDS!$G$2:$CK$25,MATCH($E136,DEMANDS!$E$2:$E$25,0),FALSE)/HLOOKUP(2018,DEMANDS!$G$2:$CK$25,MATCH($E136,DEMANDS!$E$2:$E$25,0),FALSE)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D136" s="19">
        <f>HLOOKUP(REG_TRA_DEMANDS!AD$3,'BY-Demands'!$J$5:$AK$14,MATCH($E136,'BY-Demands'!$I$5:$I$14,0),FALSE)*HLOOKUP(REG_TRA_DEMANDS!$F136,DEMANDS!$G$2:$CK$25,MATCH($E136,DEMANDS!$E$2:$E$25,0),FALSE)/HLOOKUP(2018,DEMANDS!$G$2:$CK$25,MATCH($E136,DEMANDS!$E$2:$E$25,0),FALSE)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E136" s="19">
        <f>HLOOKUP(REG_TRA_DEMANDS!AE$3,'BY-Demands'!$J$5:$AK$14,MATCH($E136,'BY-Demands'!$I$5:$I$14,0),FALSE)*HLOOKUP(REG_TRA_DEMANDS!$F136,DEMANDS!$G$2:$CK$25,MATCH($E136,DEMANDS!$E$2:$E$25,0),FALSE)/HLOOKUP(2018,DEMANDS!$G$2:$CK$25,MATCH($E136,DEMANDS!$E$2:$E$25,0),FALSE)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F136" s="19">
        <f>HLOOKUP(REG_TRA_DEMANDS!AF$3,'BY-Demands'!$J$5:$AK$14,MATCH($E136,'BY-Demands'!$I$5:$I$14,0),FALSE)*HLOOKUP(REG_TRA_DEMANDS!$F136,DEMANDS!$G$2:$CK$25,MATCH($E136,DEMANDS!$E$2:$E$25,0),FALSE)/HLOOKUP(2018,DEMANDS!$G$2:$CK$25,MATCH($E136,DEMANDS!$E$2:$E$25,0),FALSE)</f>
        <v>0</v>
      </c>
    </row>
    <row r="137" spans="4:32" ht="14.5">
      <c r="D137" t="s">
        <v>6</v>
      </c>
      <c r="E137" t="str">
        <f>DEMANDS!$E$21</f>
        <v>TTURS</v>
      </c>
      <c r="F137">
        <v>2065</v>
      </c>
      <c r="G137" s="19">
        <f>HLOOKUP(REG_TRA_DEMANDS!G$3,'BY-Demands'!$J$5:$AK$14,MATCH($E137,'BY-Demands'!$I$5:$I$14,0),FALSE)*HLOOKUP(REG_TRA_DEMANDS!$F137,DEMANDS!$G$2:$CK$25,MATCH($E137,DEMANDS!$E$2:$E$25,0),FALSE)/HLOOKUP(2018,DEMANDS!$G$2:$CK$25,MATCH($E137,DEMANDS!$E$2:$E$25,0),FALSE)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H137" s="19">
        <f>HLOOKUP(REG_TRA_DEMANDS!H$3,'BY-Demands'!$J$5:$AK$14,MATCH($E137,'BY-Demands'!$I$5:$I$14,0),FALSE)*HLOOKUP(REG_TRA_DEMANDS!$F137,DEMANDS!$G$2:$CK$25,MATCH($E137,DEMANDS!$E$2:$E$25,0),FALSE)/HLOOKUP(2018,DEMANDS!$G$2:$CK$25,MATCH($E137,DEMANDS!$E$2:$E$25,0),FALSE)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I137" s="19">
        <f>HLOOKUP(REG_TRA_DEMANDS!I$3,'BY-Demands'!$J$5:$AK$14,MATCH($E137,'BY-Demands'!$I$5:$I$14,0),FALSE)*HLOOKUP(REG_TRA_DEMANDS!$F137,DEMANDS!$G$2:$CK$25,MATCH($E137,DEMANDS!$E$2:$E$25,0),FALSE)/HLOOKUP(2018,DEMANDS!$G$2:$CK$25,MATCH($E137,DEMANDS!$E$2:$E$25,0),FALSE)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J137" s="19">
        <f>HLOOKUP(REG_TRA_DEMANDS!J$3,'BY-Demands'!$J$5:$AK$14,MATCH($E137,'BY-Demands'!$I$5:$I$14,0),FALSE)*HLOOKUP(REG_TRA_DEMANDS!$F137,DEMANDS!$G$2:$CK$25,MATCH($E137,DEMANDS!$E$2:$E$25,0),FALSE)/HLOOKUP(2018,DEMANDS!$G$2:$CK$25,MATCH($E137,DEMANDS!$E$2:$E$25,0),FALSE)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K137" s="19">
        <f>HLOOKUP(REG_TRA_DEMANDS!K$3,'BY-Demands'!$J$5:$AK$14,MATCH($E137,'BY-Demands'!$I$5:$I$14,0),FALSE)*HLOOKUP(REG_TRA_DEMANDS!$F137,DEMANDS!$G$2:$CK$25,MATCH($E137,DEMANDS!$E$2:$E$25,0),FALSE)/HLOOKUP(2018,DEMANDS!$G$2:$CK$25,MATCH($E137,DEMANDS!$E$2:$E$25,0),FALSE)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L137" s="19">
        <f>HLOOKUP(REG_TRA_DEMANDS!L$3,'BY-Demands'!$J$5:$AK$14,MATCH($E137,'BY-Demands'!$I$5:$I$14,0),FALSE)*HLOOKUP(REG_TRA_DEMANDS!$F137,DEMANDS!$G$2:$CK$25,MATCH($E137,DEMANDS!$E$2:$E$25,0),FALSE)/HLOOKUP(2018,DEMANDS!$G$2:$CK$25,MATCH($E137,DEMANDS!$E$2:$E$25,0),FALSE)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M137" s="19">
        <f>HLOOKUP(REG_TRA_DEMANDS!M$3,'BY-Demands'!$J$5:$AK$14,MATCH($E137,'BY-Demands'!$I$5:$I$14,0),FALSE)*HLOOKUP(REG_TRA_DEMANDS!$F137,DEMANDS!$G$2:$CK$25,MATCH($E137,DEMANDS!$E$2:$E$25,0),FALSE)/HLOOKUP(2018,DEMANDS!$G$2:$CK$25,MATCH($E137,DEMANDS!$E$2:$E$25,0),FALSE)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N137" s="19">
        <f>HLOOKUP(REG_TRA_DEMANDS!N$3,'BY-Demands'!$J$5:$AK$14,MATCH($E137,'BY-Demands'!$I$5:$I$14,0),FALSE)*HLOOKUP(REG_TRA_DEMANDS!$F137,DEMANDS!$G$2:$CK$25,MATCH($E137,DEMANDS!$E$2:$E$25,0),FALSE)/HLOOKUP(2018,DEMANDS!$G$2:$CK$25,MATCH($E137,DEMANDS!$E$2:$E$25,0),FALSE)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O137" s="19">
        <f>HLOOKUP(REG_TRA_DEMANDS!O$3,'BY-Demands'!$J$5:$AK$14,MATCH($E137,'BY-Demands'!$I$5:$I$14,0),FALSE)*HLOOKUP(REG_TRA_DEMANDS!$F137,DEMANDS!$G$2:$CK$25,MATCH($E137,DEMANDS!$E$2:$E$25,0),FALSE)/HLOOKUP(2018,DEMANDS!$G$2:$CK$25,MATCH($E137,DEMANDS!$E$2:$E$25,0),FALSE)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P137" s="19">
        <f>HLOOKUP(REG_TRA_DEMANDS!P$3,'BY-Demands'!$J$5:$AK$14,MATCH($E137,'BY-Demands'!$I$5:$I$14,0),FALSE)*HLOOKUP(REG_TRA_DEMANDS!$F137,DEMANDS!$G$2:$CK$25,MATCH($E137,DEMANDS!$E$2:$E$25,0),FALSE)/HLOOKUP(2018,DEMANDS!$G$2:$CK$25,MATCH($E137,DEMANDS!$E$2:$E$25,0),FALSE)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Q137" s="19">
        <f>HLOOKUP(REG_TRA_DEMANDS!Q$3,'BY-Demands'!$J$5:$AK$14,MATCH($E137,'BY-Demands'!$I$5:$I$14,0),FALSE)*HLOOKUP(REG_TRA_DEMANDS!$F137,DEMANDS!$G$2:$CK$25,MATCH($E137,DEMANDS!$E$2:$E$25,0),FALSE)/HLOOKUP(2018,DEMANDS!$G$2:$CK$25,MATCH($E137,DEMANDS!$E$2:$E$25,0),FALSE)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R137" s="19">
        <f>HLOOKUP(REG_TRA_DEMANDS!R$3,'BY-Demands'!$J$5:$AK$14,MATCH($E137,'BY-Demands'!$I$5:$I$14,0),FALSE)*HLOOKUP(REG_TRA_DEMANDS!$F137,DEMANDS!$G$2:$CK$25,MATCH($E137,DEMANDS!$E$2:$E$25,0),FALSE)/HLOOKUP(2018,DEMANDS!$G$2:$CK$25,MATCH($E137,DEMANDS!$E$2:$E$25,0),FALSE)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S137" s="19">
        <f>HLOOKUP(REG_TRA_DEMANDS!S$3,'BY-Demands'!$J$5:$AK$14,MATCH($E137,'BY-Demands'!$I$5:$I$14,0),FALSE)*HLOOKUP(REG_TRA_DEMANDS!$F137,DEMANDS!$G$2:$CK$25,MATCH($E137,DEMANDS!$E$2:$E$25,0),FALSE)/HLOOKUP(2018,DEMANDS!$G$2:$CK$25,MATCH($E137,DEMANDS!$E$2:$E$25,0),FALSE)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T137" s="19">
        <f>HLOOKUP(REG_TRA_DEMANDS!T$3,'BY-Demands'!$J$5:$AK$14,MATCH($E137,'BY-Demands'!$I$5:$I$14,0),FALSE)*HLOOKUP(REG_TRA_DEMANDS!$F137,DEMANDS!$G$2:$CK$25,MATCH($E137,DEMANDS!$E$2:$E$25,0),FALSE)/HLOOKUP(2018,DEMANDS!$G$2:$CK$25,MATCH($E137,DEMANDS!$E$2:$E$25,0),FALSE)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U137" s="19">
        <f>HLOOKUP(REG_TRA_DEMANDS!U$3,'BY-Demands'!$J$5:$AK$14,MATCH($E137,'BY-Demands'!$I$5:$I$14,0),FALSE)*HLOOKUP(REG_TRA_DEMANDS!$F137,DEMANDS!$G$2:$CK$25,MATCH($E137,DEMANDS!$E$2:$E$25,0),FALSE)/HLOOKUP(2018,DEMANDS!$G$2:$CK$25,MATCH($E137,DEMANDS!$E$2:$E$25,0),FALSE)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V137" s="19">
        <f>HLOOKUP(REG_TRA_DEMANDS!V$3,'BY-Demands'!$J$5:$AK$14,MATCH($E137,'BY-Demands'!$I$5:$I$14,0),FALSE)*HLOOKUP(REG_TRA_DEMANDS!$F137,DEMANDS!$G$2:$CK$25,MATCH($E137,DEMANDS!$E$2:$E$25,0),FALSE)/HLOOKUP(2018,DEMANDS!$G$2:$CK$25,MATCH($E137,DEMANDS!$E$2:$E$25,0),FALSE)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W137" s="19">
        <f>HLOOKUP(REG_TRA_DEMANDS!W$3,'BY-Demands'!$J$5:$AK$14,MATCH($E137,'BY-Demands'!$I$5:$I$14,0),FALSE)*HLOOKUP(REG_TRA_DEMANDS!$F137,DEMANDS!$G$2:$CK$25,MATCH($E137,DEMANDS!$E$2:$E$25,0),FALSE)/HLOOKUP(2018,DEMANDS!$G$2:$CK$25,MATCH($E137,DEMANDS!$E$2:$E$25,0),FALSE)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X137" s="19">
        <f>HLOOKUP(REG_TRA_DEMANDS!X$3,'BY-Demands'!$J$5:$AK$14,MATCH($E137,'BY-Demands'!$I$5:$I$14,0),FALSE)*HLOOKUP(REG_TRA_DEMANDS!$F137,DEMANDS!$G$2:$CK$25,MATCH($E137,DEMANDS!$E$2:$E$25,0),FALSE)/HLOOKUP(2018,DEMANDS!$G$2:$CK$25,MATCH($E137,DEMANDS!$E$2:$E$25,0),FALSE)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Y137" s="19">
        <f>HLOOKUP(REG_TRA_DEMANDS!Y$3,'BY-Demands'!$J$5:$AK$14,MATCH($E137,'BY-Demands'!$I$5:$I$14,0),FALSE)*HLOOKUP(REG_TRA_DEMANDS!$F137,DEMANDS!$G$2:$CK$25,MATCH($E137,DEMANDS!$E$2:$E$25,0),FALSE)/HLOOKUP(2018,DEMANDS!$G$2:$CK$25,MATCH($E137,DEMANDS!$E$2:$E$25,0),FALSE)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Z137" s="19">
        <f>HLOOKUP(REG_TRA_DEMANDS!Z$3,'BY-Demands'!$J$5:$AK$14,MATCH($E137,'BY-Demands'!$I$5:$I$14,0),FALSE)*HLOOKUP(REG_TRA_DEMANDS!$F137,DEMANDS!$G$2:$CK$25,MATCH($E137,DEMANDS!$E$2:$E$25,0),FALSE)/HLOOKUP(2018,DEMANDS!$G$2:$CK$25,MATCH($E137,DEMANDS!$E$2:$E$25,0),FALSE)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A137" s="19">
        <f>HLOOKUP(REG_TRA_DEMANDS!AA$3,'BY-Demands'!$J$5:$AK$14,MATCH($E137,'BY-Demands'!$I$5:$I$14,0),FALSE)*HLOOKUP(REG_TRA_DEMANDS!$F137,DEMANDS!$G$2:$CK$25,MATCH($E137,DEMANDS!$E$2:$E$25,0),FALSE)/HLOOKUP(2018,DEMANDS!$G$2:$CK$25,MATCH($E137,DEMANDS!$E$2:$E$25,0),FALSE)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B137" s="19">
        <f>HLOOKUP(REG_TRA_DEMANDS!AB$3,'BY-Demands'!$J$5:$AK$14,MATCH($E137,'BY-Demands'!$I$5:$I$14,0),FALSE)*HLOOKUP(REG_TRA_DEMANDS!$F137,DEMANDS!$G$2:$CK$25,MATCH($E137,DEMANDS!$E$2:$E$25,0),FALSE)/HLOOKUP(2018,DEMANDS!$G$2:$CK$25,MATCH($E137,DEMANDS!$E$2:$E$25,0),FALSE)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C137" s="19">
        <f>HLOOKUP(REG_TRA_DEMANDS!AC$3,'BY-Demands'!$J$5:$AK$14,MATCH($E137,'BY-Demands'!$I$5:$I$14,0),FALSE)*HLOOKUP(REG_TRA_DEMANDS!$F137,DEMANDS!$G$2:$CK$25,MATCH($E137,DEMANDS!$E$2:$E$25,0),FALSE)/HLOOKUP(2018,DEMANDS!$G$2:$CK$25,MATCH($E137,DEMANDS!$E$2:$E$25,0),FALSE)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D137" s="19">
        <f>HLOOKUP(REG_TRA_DEMANDS!AD$3,'BY-Demands'!$J$5:$AK$14,MATCH($E137,'BY-Demands'!$I$5:$I$14,0),FALSE)*HLOOKUP(REG_TRA_DEMANDS!$F137,DEMANDS!$G$2:$CK$25,MATCH($E137,DEMANDS!$E$2:$E$25,0),FALSE)/HLOOKUP(2018,DEMANDS!$G$2:$CK$25,MATCH($E137,DEMANDS!$E$2:$E$25,0),FALSE)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E137" s="19">
        <f>HLOOKUP(REG_TRA_DEMANDS!AE$3,'BY-Demands'!$J$5:$AK$14,MATCH($E137,'BY-Demands'!$I$5:$I$14,0),FALSE)*HLOOKUP(REG_TRA_DEMANDS!$F137,DEMANDS!$G$2:$CK$25,MATCH($E137,DEMANDS!$E$2:$E$25,0),FALSE)/HLOOKUP(2018,DEMANDS!$G$2:$CK$25,MATCH($E137,DEMANDS!$E$2:$E$25,0),FALSE)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F137" s="19">
        <f>HLOOKUP(REG_TRA_DEMANDS!AF$3,'BY-Demands'!$J$5:$AK$14,MATCH($E137,'BY-Demands'!$I$5:$I$14,0),FALSE)*HLOOKUP(REG_TRA_DEMANDS!$F137,DEMANDS!$G$2:$CK$25,MATCH($E137,DEMANDS!$E$2:$E$25,0),FALSE)/HLOOKUP(2018,DEMANDS!$G$2:$CK$25,MATCH($E137,DEMANDS!$E$2:$E$25,0),FALSE)</f>
        <v>0</v>
      </c>
    </row>
    <row r="138" spans="4:32" ht="14.5">
      <c r="D138" t="s">
        <v>6</v>
      </c>
      <c r="E138" t="str">
        <f>DEMANDS!$E$21</f>
        <v>TTURS</v>
      </c>
      <c r="F138">
        <v>2070</v>
      </c>
      <c r="G138" s="18">
        <f>HLOOKUP(REG_TRA_DEMANDS!G$3,'BY-Demands'!$J$5:$AK$14,MATCH($E138,'BY-Demands'!$I$5:$I$14,0),FALSE)*HLOOKUP(REG_TRA_DEMANDS!$F138,DEMANDS!$G$2:$CK$25,MATCH($E138,DEMANDS!$E$2:$E$25,0),FALSE)/HLOOKUP(2018,DEMANDS!$G$2:$CK$25,MATCH($E138,DEMANDS!$E$2:$E$25,0),FALSE)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H138" s="18">
        <f>HLOOKUP(REG_TRA_DEMANDS!H$3,'BY-Demands'!$J$5:$AK$14,MATCH($E138,'BY-Demands'!$I$5:$I$14,0),FALSE)*HLOOKUP(REG_TRA_DEMANDS!$F138,DEMANDS!$G$2:$CK$25,MATCH($E138,DEMANDS!$E$2:$E$25,0),FALSE)/HLOOKUP(2018,DEMANDS!$G$2:$CK$25,MATCH($E138,DEMANDS!$E$2:$E$25,0),FALSE)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I138" s="18">
        <f>HLOOKUP(REG_TRA_DEMANDS!I$3,'BY-Demands'!$J$5:$AK$14,MATCH($E138,'BY-Demands'!$I$5:$I$14,0),FALSE)*HLOOKUP(REG_TRA_DEMANDS!$F138,DEMANDS!$G$2:$CK$25,MATCH($E138,DEMANDS!$E$2:$E$25,0),FALSE)/HLOOKUP(2018,DEMANDS!$G$2:$CK$25,MATCH($E138,DEMANDS!$E$2:$E$25,0),FALSE)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J138" s="18">
        <f>HLOOKUP(REG_TRA_DEMANDS!J$3,'BY-Demands'!$J$5:$AK$14,MATCH($E138,'BY-Demands'!$I$5:$I$14,0),FALSE)*HLOOKUP(REG_TRA_DEMANDS!$F138,DEMANDS!$G$2:$CK$25,MATCH($E138,DEMANDS!$E$2:$E$25,0),FALSE)/HLOOKUP(2018,DEMANDS!$G$2:$CK$25,MATCH($E138,DEMANDS!$E$2:$E$25,0),FALSE)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K138" s="18">
        <f>HLOOKUP(REG_TRA_DEMANDS!K$3,'BY-Demands'!$J$5:$AK$14,MATCH($E138,'BY-Demands'!$I$5:$I$14,0),FALSE)*HLOOKUP(REG_TRA_DEMANDS!$F138,DEMANDS!$G$2:$CK$25,MATCH($E138,DEMANDS!$E$2:$E$25,0),FALSE)/HLOOKUP(2018,DEMANDS!$G$2:$CK$25,MATCH($E138,DEMANDS!$E$2:$E$25,0),FALSE)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L138" s="18">
        <f>HLOOKUP(REG_TRA_DEMANDS!L$3,'BY-Demands'!$J$5:$AK$14,MATCH($E138,'BY-Demands'!$I$5:$I$14,0),FALSE)*HLOOKUP(REG_TRA_DEMANDS!$F138,DEMANDS!$G$2:$CK$25,MATCH($E138,DEMANDS!$E$2:$E$25,0),FALSE)/HLOOKUP(2018,DEMANDS!$G$2:$CK$25,MATCH($E138,DEMANDS!$E$2:$E$25,0),FALSE)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M138" s="18">
        <f>HLOOKUP(REG_TRA_DEMANDS!M$3,'BY-Demands'!$J$5:$AK$14,MATCH($E138,'BY-Demands'!$I$5:$I$14,0),FALSE)*HLOOKUP(REG_TRA_DEMANDS!$F138,DEMANDS!$G$2:$CK$25,MATCH($E138,DEMANDS!$E$2:$E$25,0),FALSE)/HLOOKUP(2018,DEMANDS!$G$2:$CK$25,MATCH($E138,DEMANDS!$E$2:$E$25,0),FALSE)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N138" s="18">
        <f>HLOOKUP(REG_TRA_DEMANDS!N$3,'BY-Demands'!$J$5:$AK$14,MATCH($E138,'BY-Demands'!$I$5:$I$14,0),FALSE)*HLOOKUP(REG_TRA_DEMANDS!$F138,DEMANDS!$G$2:$CK$25,MATCH($E138,DEMANDS!$E$2:$E$25,0),FALSE)/HLOOKUP(2018,DEMANDS!$G$2:$CK$25,MATCH($E138,DEMANDS!$E$2:$E$25,0),FALSE)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O138" s="18">
        <f>HLOOKUP(REG_TRA_DEMANDS!O$3,'BY-Demands'!$J$5:$AK$14,MATCH($E138,'BY-Demands'!$I$5:$I$14,0),FALSE)*HLOOKUP(REG_TRA_DEMANDS!$F138,DEMANDS!$G$2:$CK$25,MATCH($E138,DEMANDS!$E$2:$E$25,0),FALSE)/HLOOKUP(2018,DEMANDS!$G$2:$CK$25,MATCH($E138,DEMANDS!$E$2:$E$25,0),FALSE)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P138" s="18">
        <f>HLOOKUP(REG_TRA_DEMANDS!P$3,'BY-Demands'!$J$5:$AK$14,MATCH($E138,'BY-Demands'!$I$5:$I$14,0),FALSE)*HLOOKUP(REG_TRA_DEMANDS!$F138,DEMANDS!$G$2:$CK$25,MATCH($E138,DEMANDS!$E$2:$E$25,0),FALSE)/HLOOKUP(2018,DEMANDS!$G$2:$CK$25,MATCH($E138,DEMANDS!$E$2:$E$25,0),FALSE)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Q138" s="18">
        <f>HLOOKUP(REG_TRA_DEMANDS!Q$3,'BY-Demands'!$J$5:$AK$14,MATCH($E138,'BY-Demands'!$I$5:$I$14,0),FALSE)*HLOOKUP(REG_TRA_DEMANDS!$F138,DEMANDS!$G$2:$CK$25,MATCH($E138,DEMANDS!$E$2:$E$25,0),FALSE)/HLOOKUP(2018,DEMANDS!$G$2:$CK$25,MATCH($E138,DEMANDS!$E$2:$E$25,0),FALSE)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R138" s="18">
        <f>HLOOKUP(REG_TRA_DEMANDS!R$3,'BY-Demands'!$J$5:$AK$14,MATCH($E138,'BY-Demands'!$I$5:$I$14,0),FALSE)*HLOOKUP(REG_TRA_DEMANDS!$F138,DEMANDS!$G$2:$CK$25,MATCH($E138,DEMANDS!$E$2:$E$25,0),FALSE)/HLOOKUP(2018,DEMANDS!$G$2:$CK$25,MATCH($E138,DEMANDS!$E$2:$E$25,0),FALSE)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S138" s="18">
        <f>HLOOKUP(REG_TRA_DEMANDS!S$3,'BY-Demands'!$J$5:$AK$14,MATCH($E138,'BY-Demands'!$I$5:$I$14,0),FALSE)*HLOOKUP(REG_TRA_DEMANDS!$F138,DEMANDS!$G$2:$CK$25,MATCH($E138,DEMANDS!$E$2:$E$25,0),FALSE)/HLOOKUP(2018,DEMANDS!$G$2:$CK$25,MATCH($E138,DEMANDS!$E$2:$E$25,0),FALSE)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T138" s="18">
        <f>HLOOKUP(REG_TRA_DEMANDS!T$3,'BY-Demands'!$J$5:$AK$14,MATCH($E138,'BY-Demands'!$I$5:$I$14,0),FALSE)*HLOOKUP(REG_TRA_DEMANDS!$F138,DEMANDS!$G$2:$CK$25,MATCH($E138,DEMANDS!$E$2:$E$25,0),FALSE)/HLOOKUP(2018,DEMANDS!$G$2:$CK$25,MATCH($E138,DEMANDS!$E$2:$E$25,0),FALSE)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U138" s="18">
        <f>HLOOKUP(REG_TRA_DEMANDS!U$3,'BY-Demands'!$J$5:$AK$14,MATCH($E138,'BY-Demands'!$I$5:$I$14,0),FALSE)*HLOOKUP(REG_TRA_DEMANDS!$F138,DEMANDS!$G$2:$CK$25,MATCH($E138,DEMANDS!$E$2:$E$25,0),FALSE)/HLOOKUP(2018,DEMANDS!$G$2:$CK$25,MATCH($E138,DEMANDS!$E$2:$E$25,0),FALSE)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V138" s="18">
        <f>HLOOKUP(REG_TRA_DEMANDS!V$3,'BY-Demands'!$J$5:$AK$14,MATCH($E138,'BY-Demands'!$I$5:$I$14,0),FALSE)*HLOOKUP(REG_TRA_DEMANDS!$F138,DEMANDS!$G$2:$CK$25,MATCH($E138,DEMANDS!$E$2:$E$25,0),FALSE)/HLOOKUP(2018,DEMANDS!$G$2:$CK$25,MATCH($E138,DEMANDS!$E$2:$E$25,0),FALSE)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W138" s="18">
        <f>HLOOKUP(REG_TRA_DEMANDS!W$3,'BY-Demands'!$J$5:$AK$14,MATCH($E138,'BY-Demands'!$I$5:$I$14,0),FALSE)*HLOOKUP(REG_TRA_DEMANDS!$F138,DEMANDS!$G$2:$CK$25,MATCH($E138,DEMANDS!$E$2:$E$25,0),FALSE)/HLOOKUP(2018,DEMANDS!$G$2:$CK$25,MATCH($E138,DEMANDS!$E$2:$E$25,0),FALSE)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X138" s="18">
        <f>HLOOKUP(REG_TRA_DEMANDS!X$3,'BY-Demands'!$J$5:$AK$14,MATCH($E138,'BY-Demands'!$I$5:$I$14,0),FALSE)*HLOOKUP(REG_TRA_DEMANDS!$F138,DEMANDS!$G$2:$CK$25,MATCH($E138,DEMANDS!$E$2:$E$25,0),FALSE)/HLOOKUP(2018,DEMANDS!$G$2:$CK$25,MATCH($E138,DEMANDS!$E$2:$E$25,0),FALSE)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Y138" s="18">
        <f>HLOOKUP(REG_TRA_DEMANDS!Y$3,'BY-Demands'!$J$5:$AK$14,MATCH($E138,'BY-Demands'!$I$5:$I$14,0),FALSE)*HLOOKUP(REG_TRA_DEMANDS!$F138,DEMANDS!$G$2:$CK$25,MATCH($E138,DEMANDS!$E$2:$E$25,0),FALSE)/HLOOKUP(2018,DEMANDS!$G$2:$CK$25,MATCH($E138,DEMANDS!$E$2:$E$25,0),FALSE)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Z138" s="18">
        <f>HLOOKUP(REG_TRA_DEMANDS!Z$3,'BY-Demands'!$J$5:$AK$14,MATCH($E138,'BY-Demands'!$I$5:$I$14,0),FALSE)*HLOOKUP(REG_TRA_DEMANDS!$F138,DEMANDS!$G$2:$CK$25,MATCH($E138,DEMANDS!$E$2:$E$25,0),FALSE)/HLOOKUP(2018,DEMANDS!$G$2:$CK$25,MATCH($E138,DEMANDS!$E$2:$E$25,0),FALSE)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A138" s="18">
        <f>HLOOKUP(REG_TRA_DEMANDS!AA$3,'BY-Demands'!$J$5:$AK$14,MATCH($E138,'BY-Demands'!$I$5:$I$14,0),FALSE)*HLOOKUP(REG_TRA_DEMANDS!$F138,DEMANDS!$G$2:$CK$25,MATCH($E138,DEMANDS!$E$2:$E$25,0),FALSE)/HLOOKUP(2018,DEMANDS!$G$2:$CK$25,MATCH($E138,DEMANDS!$E$2:$E$25,0),FALSE)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B138" s="18">
        <f>HLOOKUP(REG_TRA_DEMANDS!AB$3,'BY-Demands'!$J$5:$AK$14,MATCH($E138,'BY-Demands'!$I$5:$I$14,0),FALSE)*HLOOKUP(REG_TRA_DEMANDS!$F138,DEMANDS!$G$2:$CK$25,MATCH($E138,DEMANDS!$E$2:$E$25,0),FALSE)/HLOOKUP(2018,DEMANDS!$G$2:$CK$25,MATCH($E138,DEMANDS!$E$2:$E$25,0),FALSE)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C138" s="18">
        <f>HLOOKUP(REG_TRA_DEMANDS!AC$3,'BY-Demands'!$J$5:$AK$14,MATCH($E138,'BY-Demands'!$I$5:$I$14,0),FALSE)*HLOOKUP(REG_TRA_DEMANDS!$F138,DEMANDS!$G$2:$CK$25,MATCH($E138,DEMANDS!$E$2:$E$25,0),FALSE)/HLOOKUP(2018,DEMANDS!$G$2:$CK$25,MATCH($E138,DEMANDS!$E$2:$E$25,0),FALSE)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D138" s="18">
        <f>HLOOKUP(REG_TRA_DEMANDS!AD$3,'BY-Demands'!$J$5:$AK$14,MATCH($E138,'BY-Demands'!$I$5:$I$14,0),FALSE)*HLOOKUP(REG_TRA_DEMANDS!$F138,DEMANDS!$G$2:$CK$25,MATCH($E138,DEMANDS!$E$2:$E$25,0),FALSE)/HLOOKUP(2018,DEMANDS!$G$2:$CK$25,MATCH($E138,DEMANDS!$E$2:$E$25,0),FALSE)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E138" s="18">
        <f>HLOOKUP(REG_TRA_DEMANDS!AE$3,'BY-Demands'!$J$5:$AK$14,MATCH($E138,'BY-Demands'!$I$5:$I$14,0),FALSE)*HLOOKUP(REG_TRA_DEMANDS!$F138,DEMANDS!$G$2:$CK$25,MATCH($E138,DEMANDS!$E$2:$E$25,0),FALSE)/HLOOKUP(2018,DEMANDS!$G$2:$CK$25,MATCH($E138,DEMANDS!$E$2:$E$25,0),FALSE)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F138" s="18">
        <f>HLOOKUP(REG_TRA_DEMANDS!AF$3,'BY-Demands'!$J$5:$AK$14,MATCH($E138,'BY-Demands'!$I$5:$I$14,0),FALSE)*HLOOKUP(REG_TRA_DEMANDS!$F138,DEMANDS!$G$2:$CK$25,MATCH($E138,DEMANDS!$E$2:$E$25,0),FALSE)/HLOOKUP(2018,DEMANDS!$G$2:$CK$25,MATCH($E138,DEMANDS!$E$2:$E$25,0),FALSE)</f>
        <v>0</v>
      </c>
    </row>
    <row r="139" spans="4:32" ht="14.5">
      <c r="D139" s="20" t="s">
        <v>6</v>
      </c>
      <c r="E139" s="20" t="str">
        <f>DEMANDS!$E$22</f>
        <v>TNAV</v>
      </c>
      <c r="F139" s="20">
        <v>2020</v>
      </c>
      <c r="G139" s="21">
        <f>HLOOKUP(REG_TRA_DEMANDS!G$3,'BY-Demands'!$J$5:$AK$14,MATCH($E139,'BY-Demands'!$I$5:$I$14,0),FALSE)*HLOOKUP(REG_TRA_DEMANDS!$F139,DEMANDS!$G$2:$CK$25,MATCH($E139,DEMANDS!$E$2:$E$25,0),FALSE)/HLOOKUP(2018,DEMANDS!$G$2:$CK$25,MATCH($E139,DEMANDS!$E$2:$E$25,0),FALSE)</f>
        <v>0.054709600636236908</v>
      </c>
      <c r="H139" s="21">
        <f>HLOOKUP(REG_TRA_DEMANDS!H$3,'BY-Demands'!$J$5:$AK$14,MATCH($E139,'BY-Demands'!$I$5:$I$14,0),FALSE)*HLOOKUP(REG_TRA_DEMANDS!$F139,DEMANDS!$G$2:$CK$25,MATCH($E139,DEMANDS!$E$2:$E$25,0),FALSE)/HLOOKUP(2018,DEMANDS!$G$2:$CK$25,MATCH($E139,DEMANDS!$E$2:$E$25,0),FALSE)</f>
        <v>1.2947634511986181</v>
      </c>
      <c r="I139" s="21">
        <f>HLOOKUP(REG_TRA_DEMANDS!I$3,'BY-Demands'!$J$5:$AK$14,MATCH($E139,'BY-Demands'!$I$5:$I$14,0),FALSE)*HLOOKUP(REG_TRA_DEMANDS!$F139,DEMANDS!$G$2:$CK$25,MATCH($E139,DEMANDS!$E$2:$E$25,0),FALSE)/HLOOKUP(2018,DEMANDS!$G$2:$CK$25,MATCH($E139,DEMANDS!$E$2:$E$25,0),FALSE)</f>
        <v>0.21381832677519244</v>
      </c>
      <c r="J139" s="21">
        <f>HLOOKUP(REG_TRA_DEMANDS!J$3,'BY-Demands'!$J$5:$AK$14,MATCH($E139,'BY-Demands'!$I$5:$I$14,0),FALSE)*HLOOKUP(REG_TRA_DEMANDS!$F139,DEMANDS!$G$2:$CK$25,MATCH($E139,DEMANDS!$E$2:$E$25,0),FALSE)/HLOOKUP(2018,DEMANDS!$G$2:$CK$25,MATCH($E139,DEMANDS!$E$2:$E$25,0),FALSE)</f>
        <v>0.095358376490112085</v>
      </c>
      <c r="K139" s="21">
        <f>HLOOKUP(REG_TRA_DEMANDS!K$3,'BY-Demands'!$J$5:$AK$14,MATCH($E139,'BY-Demands'!$I$5:$I$14,0),FALSE)*HLOOKUP(REG_TRA_DEMANDS!$F139,DEMANDS!$G$2:$CK$25,MATCH($E139,DEMANDS!$E$2:$E$25,0),FALSE)/HLOOKUP(2018,DEMANDS!$G$2:$CK$25,MATCH($E139,DEMANDS!$E$2:$E$25,0),FALSE)</f>
        <v>0.081390765212663516</v>
      </c>
      <c r="L139" s="21">
        <f>HLOOKUP(REG_TRA_DEMANDS!L$3,'BY-Demands'!$J$5:$AK$14,MATCH($E139,'BY-Demands'!$I$5:$I$14,0),FALSE)*HLOOKUP(REG_TRA_DEMANDS!$F139,DEMANDS!$G$2:$CK$25,MATCH($E139,DEMANDS!$E$2:$E$25,0),FALSE)/HLOOKUP(2018,DEMANDS!$G$2:$CK$25,MATCH($E139,DEMANDS!$E$2:$E$25,0),FALSE)</f>
        <v>0.039277480271286955</v>
      </c>
      <c r="M139" s="21">
        <f>HLOOKUP(REG_TRA_DEMANDS!M$3,'BY-Demands'!$J$5:$AK$14,MATCH($E139,'BY-Demands'!$I$5:$I$14,0),FALSE)*HLOOKUP(REG_TRA_DEMANDS!$F139,DEMANDS!$G$2:$CK$25,MATCH($E139,DEMANDS!$E$2:$E$25,0),FALSE)/HLOOKUP(2018,DEMANDS!$G$2:$CK$25,MATCH($E139,DEMANDS!$E$2:$E$25,0),FALSE)</f>
        <v>0.12385288007448821</v>
      </c>
      <c r="N139" s="21">
        <f>HLOOKUP(REG_TRA_DEMANDS!N$3,'BY-Demands'!$J$5:$AK$14,MATCH($E139,'BY-Demands'!$I$5:$I$14,0),FALSE)*HLOOKUP(REG_TRA_DEMANDS!$F139,DEMANDS!$G$2:$CK$25,MATCH($E139,DEMANDS!$E$2:$E$25,0),FALSE)/HLOOKUP(2018,DEMANDS!$G$2:$CK$25,MATCH($E139,DEMANDS!$E$2:$E$25,0),FALSE)</f>
        <v>0.1874302562090602</v>
      </c>
      <c r="O139" s="21">
        <f>HLOOKUP(REG_TRA_DEMANDS!O$3,'BY-Demands'!$J$5:$AK$14,MATCH($E139,'BY-Demands'!$I$5:$I$14,0),FALSE)*HLOOKUP(REG_TRA_DEMANDS!$F139,DEMANDS!$G$2:$CK$25,MATCH($E139,DEMANDS!$E$2:$E$25,0),FALSE)/HLOOKUP(2018,DEMANDS!$G$2:$CK$25,MATCH($E139,DEMANDS!$E$2:$E$25,0),FALSE)</f>
        <v>0.074917711923025126</v>
      </c>
      <c r="P139" s="21">
        <f>HLOOKUP(REG_TRA_DEMANDS!P$3,'BY-Demands'!$J$5:$AK$14,MATCH($E139,'BY-Demands'!$I$5:$I$14,0),FALSE)*HLOOKUP(REG_TRA_DEMANDS!$F139,DEMANDS!$G$2:$CK$25,MATCH($E139,DEMANDS!$E$2:$E$25,0),FALSE)/HLOOKUP(2018,DEMANDS!$G$2:$CK$25,MATCH($E139,DEMANDS!$E$2:$E$25,0),FALSE)</f>
        <v>0.085304771455047348</v>
      </c>
      <c r="Q139" s="21">
        <f>HLOOKUP(REG_TRA_DEMANDS!Q$3,'BY-Demands'!$J$5:$AK$14,MATCH($E139,'BY-Demands'!$I$5:$I$14,0),FALSE)*HLOOKUP(REG_TRA_DEMANDS!$F139,DEMANDS!$G$2:$CK$25,MATCH($E139,DEMANDS!$E$2:$E$25,0),FALSE)/HLOOKUP(2018,DEMANDS!$G$2:$CK$25,MATCH($E139,DEMANDS!$E$2:$E$25,0),FALSE)</f>
        <v>0.14387744724335505</v>
      </c>
      <c r="R139" s="21">
        <f>HLOOKUP(REG_TRA_DEMANDS!R$3,'BY-Demands'!$J$5:$AK$14,MATCH($E139,'BY-Demands'!$I$5:$I$14,0),FALSE)*HLOOKUP(REG_TRA_DEMANDS!$F139,DEMANDS!$G$2:$CK$25,MATCH($E139,DEMANDS!$E$2:$E$25,0),FALSE)/HLOOKUP(2018,DEMANDS!$G$2:$CK$25,MATCH($E139,DEMANDS!$E$2:$E$25,0),FALSE)</f>
        <v>0.13686529316756901</v>
      </c>
      <c r="S139" s="21">
        <f>HLOOKUP(REG_TRA_DEMANDS!S$3,'BY-Demands'!$J$5:$AK$14,MATCH($E139,'BY-Demands'!$I$5:$I$14,0),FALSE)*HLOOKUP(REG_TRA_DEMANDS!$F139,DEMANDS!$G$2:$CK$25,MATCH($E139,DEMANDS!$E$2:$E$25,0),FALSE)/HLOOKUP(2018,DEMANDS!$G$2:$CK$25,MATCH($E139,DEMANDS!$E$2:$E$25,0),FALSE)</f>
        <v>0.11417885580685315</v>
      </c>
      <c r="T139" s="21">
        <f>HLOOKUP(REG_TRA_DEMANDS!T$3,'BY-Demands'!$J$5:$AK$14,MATCH($E139,'BY-Demands'!$I$5:$I$14,0),FALSE)*HLOOKUP(REG_TRA_DEMANDS!$F139,DEMANDS!$G$2:$CK$25,MATCH($E139,DEMANDS!$E$2:$E$25,0),FALSE)/HLOOKUP(2018,DEMANDS!$G$2:$CK$25,MATCH($E139,DEMANDS!$E$2:$E$25,0),FALSE)</f>
        <v>0.52167658747615886</v>
      </c>
      <c r="U139" s="21">
        <f>HLOOKUP(REG_TRA_DEMANDS!U$3,'BY-Demands'!$J$5:$AK$14,MATCH($E139,'BY-Demands'!$I$5:$I$14,0),FALSE)*HLOOKUP(REG_TRA_DEMANDS!$F139,DEMANDS!$G$2:$CK$25,MATCH($E139,DEMANDS!$E$2:$E$25,0),FALSE)/HLOOKUP(2018,DEMANDS!$G$2:$CK$25,MATCH($E139,DEMANDS!$E$2:$E$25,0),FALSE)</f>
        <v>0.14194110484747868</v>
      </c>
      <c r="V139" s="21">
        <f>HLOOKUP(REG_TRA_DEMANDS!V$3,'BY-Demands'!$J$5:$AK$14,MATCH($E139,'BY-Demands'!$I$5:$I$14,0),FALSE)*HLOOKUP(REG_TRA_DEMANDS!$F139,DEMANDS!$G$2:$CK$25,MATCH($E139,DEMANDS!$E$2:$E$25,0),FALSE)/HLOOKUP(2018,DEMANDS!$G$2:$CK$25,MATCH($E139,DEMANDS!$E$2:$E$25,0),FALSE)</f>
        <v>0.18729091643367465</v>
      </c>
      <c r="W139" s="21">
        <f>HLOOKUP(REG_TRA_DEMANDS!W$3,'BY-Demands'!$J$5:$AK$14,MATCH($E139,'BY-Demands'!$I$5:$I$14,0),FALSE)*HLOOKUP(REG_TRA_DEMANDS!$F139,DEMANDS!$G$2:$CK$25,MATCH($E139,DEMANDS!$E$2:$E$25,0),FALSE)/HLOOKUP(2018,DEMANDS!$G$2:$CK$25,MATCH($E139,DEMANDS!$E$2:$E$25,0),FALSE)</f>
        <v>0.15332468401449936</v>
      </c>
      <c r="X139" s="21">
        <f>HLOOKUP(REG_TRA_DEMANDS!X$3,'BY-Demands'!$J$5:$AK$14,MATCH($E139,'BY-Demands'!$I$5:$I$14,0),FALSE)*HLOOKUP(REG_TRA_DEMANDS!$F139,DEMANDS!$G$2:$CK$25,MATCH($E139,DEMANDS!$E$2:$E$25,0),FALSE)/HLOOKUP(2018,DEMANDS!$G$2:$CK$25,MATCH($E139,DEMANDS!$E$2:$E$25,0),FALSE)</f>
        <v>0.11164094996689844</v>
      </c>
      <c r="Y139" s="21">
        <f>HLOOKUP(REG_TRA_DEMANDS!Y$3,'BY-Demands'!$J$5:$AK$14,MATCH($E139,'BY-Demands'!$I$5:$I$14,0),FALSE)*HLOOKUP(REG_TRA_DEMANDS!$F139,DEMANDS!$G$2:$CK$25,MATCH($E139,DEMANDS!$E$2:$E$25,0),FALSE)/HLOOKUP(2018,DEMANDS!$G$2:$CK$25,MATCH($E139,DEMANDS!$E$2:$E$25,0),FALSE)</f>
        <v>0.24798443969974754</v>
      </c>
      <c r="Z139" s="21">
        <f>HLOOKUP(REG_TRA_DEMANDS!Z$3,'BY-Demands'!$J$5:$AK$14,MATCH($E139,'BY-Demands'!$I$5:$I$14,0),FALSE)*HLOOKUP(REG_TRA_DEMANDS!$F139,DEMANDS!$G$2:$CK$25,MATCH($E139,DEMANDS!$E$2:$E$25,0),FALSE)/HLOOKUP(2018,DEMANDS!$G$2:$CK$25,MATCH($E139,DEMANDS!$E$2:$E$25,0),FALSE)</f>
        <v>0.030793129396254827</v>
      </c>
      <c r="AA139" s="21">
        <f>HLOOKUP(REG_TRA_DEMANDS!AA$3,'BY-Demands'!$J$5:$AK$14,MATCH($E139,'BY-Demands'!$I$5:$I$14,0),FALSE)*HLOOKUP(REG_TRA_DEMANDS!$F139,DEMANDS!$G$2:$CK$25,MATCH($E139,DEMANDS!$E$2:$E$25,0),FALSE)/HLOOKUP(2018,DEMANDS!$G$2:$CK$25,MATCH($E139,DEMANDS!$E$2:$E$25,0),FALSE)</f>
        <v>0.12541252459483895</v>
      </c>
      <c r="AB139" s="21">
        <f>HLOOKUP(REG_TRA_DEMANDS!AB$3,'BY-Demands'!$J$5:$AK$14,MATCH($E139,'BY-Demands'!$I$5:$I$14,0),FALSE)*HLOOKUP(REG_TRA_DEMANDS!$F139,DEMANDS!$G$2:$CK$25,MATCH($E139,DEMANDS!$E$2:$E$25,0),FALSE)/HLOOKUP(2018,DEMANDS!$G$2:$CK$25,MATCH($E139,DEMANDS!$E$2:$E$25,0),FALSE)</f>
        <v>0.06202445836199811</v>
      </c>
      <c r="AC139" s="21">
        <f>HLOOKUP(REG_TRA_DEMANDS!AC$3,'BY-Demands'!$J$5:$AK$14,MATCH($E139,'BY-Demands'!$I$5:$I$14,0),FALSE)*HLOOKUP(REG_TRA_DEMANDS!$F139,DEMANDS!$G$2:$CK$25,MATCH($E139,DEMANDS!$E$2:$E$25,0),FALSE)/HLOOKUP(2018,DEMANDS!$G$2:$CK$25,MATCH($E139,DEMANDS!$E$2:$E$25,0),FALSE)</f>
        <v>0.062976773654461277</v>
      </c>
      <c r="AD139" s="21">
        <f>HLOOKUP(REG_TRA_DEMANDS!AD$3,'BY-Demands'!$J$5:$AK$14,MATCH($E139,'BY-Demands'!$I$5:$I$14,0),FALSE)*HLOOKUP(REG_TRA_DEMANDS!$F139,DEMANDS!$G$2:$CK$25,MATCH($E139,DEMANDS!$E$2:$E$25,0),FALSE)/HLOOKUP(2018,DEMANDS!$G$2:$CK$25,MATCH($E139,DEMANDS!$E$2:$E$25,0),FALSE)</f>
        <v>0.073202391239829717</v>
      </c>
      <c r="AE139" s="21">
        <f>HLOOKUP(REG_TRA_DEMANDS!AE$3,'BY-Demands'!$J$5:$AK$14,MATCH($E139,'BY-Demands'!$I$5:$I$14,0),FALSE)*HLOOKUP(REG_TRA_DEMANDS!$F139,DEMANDS!$G$2:$CK$25,MATCH($E139,DEMANDS!$E$2:$E$25,0),FALSE)/HLOOKUP(2018,DEMANDS!$G$2:$CK$25,MATCH($E139,DEMANDS!$E$2:$E$25,0),FALSE)</f>
        <v>0.15297777602198812</v>
      </c>
      <c r="AF139" s="21">
        <f>HLOOKUP(REG_TRA_DEMANDS!AF$3,'BY-Demands'!$J$5:$AK$14,MATCH($E139,'BY-Demands'!$I$5:$I$14,0),FALSE)*HLOOKUP(REG_TRA_DEMANDS!$F139,DEMANDS!$G$2:$CK$25,MATCH($E139,DEMANDS!$E$2:$E$25,0),FALSE)/HLOOKUP(2018,DEMANDS!$G$2:$CK$25,MATCH($E139,DEMANDS!$E$2:$E$25,0),FALSE)</f>
        <v>0.058989734150496013</v>
      </c>
    </row>
    <row r="140" spans="4:32" ht="14.5">
      <c r="D140" t="s">
        <v>6</v>
      </c>
      <c r="E140" t="str">
        <f>DEMANDS!$E$22</f>
        <v>TNAV</v>
      </c>
      <c r="F140">
        <v>2021</v>
      </c>
      <c r="G140" s="19">
        <f>HLOOKUP(REG_TRA_DEMANDS!G$3,'BY-Demands'!$J$5:$AK$14,MATCH($E140,'BY-Demands'!$I$5:$I$14,0),FALSE)*HLOOKUP(REG_TRA_DEMANDS!$F140,DEMANDS!$G$2:$CK$25,MATCH($E140,DEMANDS!$E$2:$E$25,0),FALSE)/HLOOKUP(2018,DEMANDS!$G$2:$CK$25,MATCH($E140,DEMANDS!$E$2:$E$25,0),FALSE)</f>
        <v>0.060377905785525848</v>
      </c>
      <c r="H140" s="19">
        <f>HLOOKUP(REG_TRA_DEMANDS!H$3,'BY-Demands'!$J$5:$AK$14,MATCH($E140,'BY-Demands'!$I$5:$I$14,0),FALSE)*HLOOKUP(REG_TRA_DEMANDS!$F140,DEMANDS!$G$2:$CK$25,MATCH($E140,DEMANDS!$E$2:$E$25,0),FALSE)/HLOOKUP(2018,DEMANDS!$G$2:$CK$25,MATCH($E140,DEMANDS!$E$2:$E$25,0),FALSE)</f>
        <v>1.4289101869121152</v>
      </c>
      <c r="I140" s="19">
        <f>HLOOKUP(REG_TRA_DEMANDS!I$3,'BY-Demands'!$J$5:$AK$14,MATCH($E140,'BY-Demands'!$I$5:$I$14,0),FALSE)*HLOOKUP(REG_TRA_DEMANDS!$F140,DEMANDS!$G$2:$CK$25,MATCH($E140,DEMANDS!$E$2:$E$25,0),FALSE)/HLOOKUP(2018,DEMANDS!$G$2:$CK$25,MATCH($E140,DEMANDS!$E$2:$E$25,0),FALSE)</f>
        <v>0.2359714316887277</v>
      </c>
      <c r="J140" s="19">
        <f>HLOOKUP(REG_TRA_DEMANDS!J$3,'BY-Demands'!$J$5:$AK$14,MATCH($E140,'BY-Demands'!$I$5:$I$14,0),FALSE)*HLOOKUP(REG_TRA_DEMANDS!$F140,DEMANDS!$G$2:$CK$25,MATCH($E140,DEMANDS!$E$2:$E$25,0),FALSE)/HLOOKUP(2018,DEMANDS!$G$2:$CK$25,MATCH($E140,DEMANDS!$E$2:$E$25,0),FALSE)</f>
        <v>0.10523818497346488</v>
      </c>
      <c r="K140" s="19">
        <f>HLOOKUP(REG_TRA_DEMANDS!K$3,'BY-Demands'!$J$5:$AK$14,MATCH($E140,'BY-Demands'!$I$5:$I$14,0),FALSE)*HLOOKUP(REG_TRA_DEMANDS!$F140,DEMANDS!$G$2:$CK$25,MATCH($E140,DEMANDS!$E$2:$E$25,0),FALSE)/HLOOKUP(2018,DEMANDS!$G$2:$CK$25,MATCH($E140,DEMANDS!$E$2:$E$25,0),FALSE)</f>
        <v>0.089823429465268834</v>
      </c>
      <c r="L140" s="19">
        <f>HLOOKUP(REG_TRA_DEMANDS!L$3,'BY-Demands'!$J$5:$AK$14,MATCH($E140,'BY-Demands'!$I$5:$I$14,0),FALSE)*HLOOKUP(REG_TRA_DEMANDS!$F140,DEMANDS!$G$2:$CK$25,MATCH($E140,DEMANDS!$E$2:$E$25,0),FALSE)/HLOOKUP(2018,DEMANDS!$G$2:$CK$25,MATCH($E140,DEMANDS!$E$2:$E$25,0),FALSE)</f>
        <v>0.043346907594530242</v>
      </c>
      <c r="M140" s="19">
        <f>HLOOKUP(REG_TRA_DEMANDS!M$3,'BY-Demands'!$J$5:$AK$14,MATCH($E140,'BY-Demands'!$I$5:$I$14,0),FALSE)*HLOOKUP(REG_TRA_DEMANDS!$F140,DEMANDS!$G$2:$CK$25,MATCH($E140,DEMANDS!$E$2:$E$25,0),FALSE)/HLOOKUP(2018,DEMANDS!$G$2:$CK$25,MATCH($E140,DEMANDS!$E$2:$E$25,0),FALSE)</f>
        <v>0.13668492252620179</v>
      </c>
      <c r="N140" s="19">
        <f>HLOOKUP(REG_TRA_DEMANDS!N$3,'BY-Demands'!$J$5:$AK$14,MATCH($E140,'BY-Demands'!$I$5:$I$14,0),FALSE)*HLOOKUP(REG_TRA_DEMANDS!$F140,DEMANDS!$G$2:$CK$25,MATCH($E140,DEMANDS!$E$2:$E$25,0),FALSE)/HLOOKUP(2018,DEMANDS!$G$2:$CK$25,MATCH($E140,DEMANDS!$E$2:$E$25,0),FALSE)</f>
        <v>0.2068493686508841</v>
      </c>
      <c r="O140" s="19">
        <f>HLOOKUP(REG_TRA_DEMANDS!O$3,'BY-Demands'!$J$5:$AK$14,MATCH($E140,'BY-Demands'!$I$5:$I$14,0),FALSE)*HLOOKUP(REG_TRA_DEMANDS!$F140,DEMANDS!$G$2:$CK$25,MATCH($E140,DEMANDS!$E$2:$E$25,0),FALSE)/HLOOKUP(2018,DEMANDS!$G$2:$CK$25,MATCH($E140,DEMANDS!$E$2:$E$25,0),FALSE)</f>
        <v>0.08267972164943059</v>
      </c>
      <c r="P140" s="19">
        <f>HLOOKUP(REG_TRA_DEMANDS!P$3,'BY-Demands'!$J$5:$AK$14,MATCH($E140,'BY-Demands'!$I$5:$I$14,0),FALSE)*HLOOKUP(REG_TRA_DEMANDS!$F140,DEMANDS!$G$2:$CK$25,MATCH($E140,DEMANDS!$E$2:$E$25,0),FALSE)/HLOOKUP(2018,DEMANDS!$G$2:$CK$25,MATCH($E140,DEMANDS!$E$2:$E$25,0),FALSE)</f>
        <v>0.094142954692987016</v>
      </c>
      <c r="Q140" s="19">
        <f>HLOOKUP(REG_TRA_DEMANDS!Q$3,'BY-Demands'!$J$5:$AK$14,MATCH($E140,'BY-Demands'!$I$5:$I$14,0),FALSE)*HLOOKUP(REG_TRA_DEMANDS!$F140,DEMANDS!$G$2:$CK$25,MATCH($E140,DEMANDS!$E$2:$E$25,0),FALSE)/HLOOKUP(2018,DEMANDS!$G$2:$CK$25,MATCH($E140,DEMANDS!$E$2:$E$25,0),FALSE)</f>
        <v>0.1587841777914096</v>
      </c>
      <c r="R140" s="19">
        <f>HLOOKUP(REG_TRA_DEMANDS!R$3,'BY-Demands'!$J$5:$AK$14,MATCH($E140,'BY-Demands'!$I$5:$I$14,0),FALSE)*HLOOKUP(REG_TRA_DEMANDS!$F140,DEMANDS!$G$2:$CK$25,MATCH($E140,DEMANDS!$E$2:$E$25,0),FALSE)/HLOOKUP(2018,DEMANDS!$G$2:$CK$25,MATCH($E140,DEMANDS!$E$2:$E$25,0),FALSE)</f>
        <v>0.15104551449981587</v>
      </c>
      <c r="S140" s="19">
        <f>HLOOKUP(REG_TRA_DEMANDS!S$3,'BY-Demands'!$J$5:$AK$14,MATCH($E140,'BY-Demands'!$I$5:$I$14,0),FALSE)*HLOOKUP(REG_TRA_DEMANDS!$F140,DEMANDS!$G$2:$CK$25,MATCH($E140,DEMANDS!$E$2:$E$25,0),FALSE)/HLOOKUP(2018,DEMANDS!$G$2:$CK$25,MATCH($E140,DEMANDS!$E$2:$E$25,0),FALSE)</f>
        <v>0.12600860029015015</v>
      </c>
      <c r="T140" s="19">
        <f>HLOOKUP(REG_TRA_DEMANDS!T$3,'BY-Demands'!$J$5:$AK$14,MATCH($E140,'BY-Demands'!$I$5:$I$14,0),FALSE)*HLOOKUP(REG_TRA_DEMANDS!$F140,DEMANDS!$G$2:$CK$25,MATCH($E140,DEMANDS!$E$2:$E$25,0),FALSE)/HLOOKUP(2018,DEMANDS!$G$2:$CK$25,MATCH($E140,DEMANDS!$E$2:$E$25,0),FALSE)</f>
        <v>0.57572600572572319</v>
      </c>
      <c r="U140" s="19">
        <f>HLOOKUP(REG_TRA_DEMANDS!U$3,'BY-Demands'!$J$5:$AK$14,MATCH($E140,'BY-Demands'!$I$5:$I$14,0),FALSE)*HLOOKUP(REG_TRA_DEMANDS!$F140,DEMANDS!$G$2:$CK$25,MATCH($E140,DEMANDS!$E$2:$E$25,0),FALSE)/HLOOKUP(2018,DEMANDS!$G$2:$CK$25,MATCH($E140,DEMANDS!$E$2:$E$25,0),FALSE)</f>
        <v>0.15664721650148741</v>
      </c>
      <c r="V140" s="19">
        <f>HLOOKUP(REG_TRA_DEMANDS!V$3,'BY-Demands'!$J$5:$AK$14,MATCH($E140,'BY-Demands'!$I$5:$I$14,0),FALSE)*HLOOKUP(REG_TRA_DEMANDS!$F140,DEMANDS!$G$2:$CK$25,MATCH($E140,DEMANDS!$E$2:$E$25,0),FALSE)/HLOOKUP(2018,DEMANDS!$G$2:$CK$25,MATCH($E140,DEMANDS!$E$2:$E$25,0),FALSE)</f>
        <v>0.20669559228014536</v>
      </c>
      <c r="W140" s="19">
        <f>HLOOKUP(REG_TRA_DEMANDS!W$3,'BY-Demands'!$J$5:$AK$14,MATCH($E140,'BY-Demands'!$I$5:$I$14,0),FALSE)*HLOOKUP(REG_TRA_DEMANDS!$F140,DEMANDS!$G$2:$CK$25,MATCH($E140,DEMANDS!$E$2:$E$25,0),FALSE)/HLOOKUP(2018,DEMANDS!$G$2:$CK$25,MATCH($E140,DEMANDS!$E$2:$E$25,0),FALSE)</f>
        <v>0.169210215727499</v>
      </c>
      <c r="X140" s="19">
        <f>HLOOKUP(REG_TRA_DEMANDS!X$3,'BY-Demands'!$J$5:$AK$14,MATCH($E140,'BY-Demands'!$I$5:$I$14,0),FALSE)*HLOOKUP(REG_TRA_DEMANDS!$F140,DEMANDS!$G$2:$CK$25,MATCH($E140,DEMANDS!$E$2:$E$25,0),FALSE)/HLOOKUP(2018,DEMANDS!$G$2:$CK$25,MATCH($E140,DEMANDS!$E$2:$E$25,0),FALSE)</f>
        <v>0.12320774928931454</v>
      </c>
      <c r="Y140" s="19">
        <f>HLOOKUP(REG_TRA_DEMANDS!Y$3,'BY-Demands'!$J$5:$AK$14,MATCH($E140,'BY-Demands'!$I$5:$I$14,0),FALSE)*HLOOKUP(REG_TRA_DEMANDS!$F140,DEMANDS!$G$2:$CK$25,MATCH($E140,DEMANDS!$E$2:$E$25,0),FALSE)/HLOOKUP(2018,DEMANDS!$G$2:$CK$25,MATCH($E140,DEMANDS!$E$2:$E$25,0),FALSE)</f>
        <v>0.27367739779388101</v>
      </c>
      <c r="Z140" s="19">
        <f>HLOOKUP(REG_TRA_DEMANDS!Z$3,'BY-Demands'!$J$5:$AK$14,MATCH($E140,'BY-Demands'!$I$5:$I$14,0),FALSE)*HLOOKUP(REG_TRA_DEMANDS!$F140,DEMANDS!$G$2:$CK$25,MATCH($E140,DEMANDS!$E$2:$E$25,0),FALSE)/HLOOKUP(2018,DEMANDS!$G$2:$CK$25,MATCH($E140,DEMANDS!$E$2:$E$25,0),FALSE)</f>
        <v>0.033983517406579698</v>
      </c>
      <c r="AA140" s="19">
        <f>HLOOKUP(REG_TRA_DEMANDS!AA$3,'BY-Demands'!$J$5:$AK$14,MATCH($E140,'BY-Demands'!$I$5:$I$14,0),FALSE)*HLOOKUP(REG_TRA_DEMANDS!$F140,DEMANDS!$G$2:$CK$25,MATCH($E140,DEMANDS!$E$2:$E$25,0),FALSE)/HLOOKUP(2018,DEMANDS!$G$2:$CK$25,MATCH($E140,DEMANDS!$E$2:$E$25,0),FALSE)</f>
        <v>0.13840615735178152</v>
      </c>
      <c r="AB140" s="19">
        <f>HLOOKUP(REG_TRA_DEMANDS!AB$3,'BY-Demands'!$J$5:$AK$14,MATCH($E140,'BY-Demands'!$I$5:$I$14,0),FALSE)*HLOOKUP(REG_TRA_DEMANDS!$F140,DEMANDS!$G$2:$CK$25,MATCH($E140,DEMANDS!$E$2:$E$25,0),FALSE)/HLOOKUP(2018,DEMANDS!$G$2:$CK$25,MATCH($E140,DEMANDS!$E$2:$E$25,0),FALSE)</f>
        <v>0.068450634985965417</v>
      </c>
      <c r="AC140" s="19">
        <f>HLOOKUP(REG_TRA_DEMANDS!AC$3,'BY-Demands'!$J$5:$AK$14,MATCH($E140,'BY-Demands'!$I$5:$I$14,0),FALSE)*HLOOKUP(REG_TRA_DEMANDS!$F140,DEMANDS!$G$2:$CK$25,MATCH($E140,DEMANDS!$E$2:$E$25,0),FALSE)/HLOOKUP(2018,DEMANDS!$G$2:$CK$25,MATCH($E140,DEMANDS!$E$2:$E$25,0),FALSE)</f>
        <v>0.069501616940463015</v>
      </c>
      <c r="AD140" s="19">
        <f>HLOOKUP(REG_TRA_DEMANDS!AD$3,'BY-Demands'!$J$5:$AK$14,MATCH($E140,'BY-Demands'!$I$5:$I$14,0),FALSE)*HLOOKUP(REG_TRA_DEMANDS!$F140,DEMANDS!$G$2:$CK$25,MATCH($E140,DEMANDS!$E$2:$E$25,0),FALSE)/HLOOKUP(2018,DEMANDS!$G$2:$CK$25,MATCH($E140,DEMANDS!$E$2:$E$25,0),FALSE)</f>
        <v>0.080786681499301294</v>
      </c>
      <c r="AE140" s="19">
        <f>HLOOKUP(REG_TRA_DEMANDS!AE$3,'BY-Demands'!$J$5:$AK$14,MATCH($E140,'BY-Demands'!$I$5:$I$14,0),FALSE)*HLOOKUP(REG_TRA_DEMANDS!$F140,DEMANDS!$G$2:$CK$25,MATCH($E140,DEMANDS!$E$2:$E$25,0),FALSE)/HLOOKUP(2018,DEMANDS!$G$2:$CK$25,MATCH($E140,DEMANDS!$E$2:$E$25,0),FALSE)</f>
        <v>0.16882736559069478</v>
      </c>
      <c r="AF140" s="19">
        <f>HLOOKUP(REG_TRA_DEMANDS!AF$3,'BY-Demands'!$J$5:$AK$14,MATCH($E140,'BY-Demands'!$I$5:$I$14,0),FALSE)*HLOOKUP(REG_TRA_DEMANDS!$F140,DEMANDS!$G$2:$CK$25,MATCH($E140,DEMANDS!$E$2:$E$25,0),FALSE)/HLOOKUP(2018,DEMANDS!$G$2:$CK$25,MATCH($E140,DEMANDS!$E$2:$E$25,0),FALSE)</f>
        <v>0.065101491683943843</v>
      </c>
    </row>
    <row r="141" spans="4:32" ht="14.5">
      <c r="D141" t="s">
        <v>6</v>
      </c>
      <c r="E141" t="str">
        <f>DEMANDS!$E$22</f>
        <v>TNAV</v>
      </c>
      <c r="F141">
        <v>2022</v>
      </c>
      <c r="G141" s="19">
        <f>HLOOKUP(REG_TRA_DEMANDS!G$3,'BY-Demands'!$J$5:$AK$14,MATCH($E141,'BY-Demands'!$I$5:$I$14,0),FALSE)*HLOOKUP(REG_TRA_DEMANDS!$F141,DEMANDS!$G$2:$CK$25,MATCH($E141,DEMANDS!$E$2:$E$25,0),FALSE)/HLOOKUP(2018,DEMANDS!$G$2:$CK$25,MATCH($E141,DEMANDS!$E$2:$E$25,0),FALSE)</f>
        <v>0.055728269531095408</v>
      </c>
      <c r="H141" s="19">
        <f>HLOOKUP(REG_TRA_DEMANDS!H$3,'BY-Demands'!$J$5:$AK$14,MATCH($E141,'BY-Demands'!$I$5:$I$14,0),FALSE)*HLOOKUP(REG_TRA_DEMANDS!$F141,DEMANDS!$G$2:$CK$25,MATCH($E141,DEMANDS!$E$2:$E$25,0),FALSE)/HLOOKUP(2018,DEMANDS!$G$2:$CK$25,MATCH($E141,DEMANDS!$E$2:$E$25,0),FALSE)</f>
        <v>1.3188713817738249</v>
      </c>
      <c r="I141" s="19">
        <f>HLOOKUP(REG_TRA_DEMANDS!I$3,'BY-Demands'!$J$5:$AK$14,MATCH($E141,'BY-Demands'!$I$5:$I$14,0),FALSE)*HLOOKUP(REG_TRA_DEMANDS!$F141,DEMANDS!$G$2:$CK$25,MATCH($E141,DEMANDS!$E$2:$E$25,0),FALSE)/HLOOKUP(2018,DEMANDS!$G$2:$CK$25,MATCH($E141,DEMANDS!$E$2:$E$25,0),FALSE)</f>
        <v>0.21779953073397831</v>
      </c>
      <c r="J141" s="19">
        <f>HLOOKUP(REG_TRA_DEMANDS!J$3,'BY-Demands'!$J$5:$AK$14,MATCH($E141,'BY-Demands'!$I$5:$I$14,0),FALSE)*HLOOKUP(REG_TRA_DEMANDS!$F141,DEMANDS!$G$2:$CK$25,MATCH($E141,DEMANDS!$E$2:$E$25,0),FALSE)/HLOOKUP(2018,DEMANDS!$G$2:$CK$25,MATCH($E141,DEMANDS!$E$2:$E$25,0),FALSE)</f>
        <v>0.097133907856911061</v>
      </c>
      <c r="K141" s="19">
        <f>HLOOKUP(REG_TRA_DEMANDS!K$3,'BY-Demands'!$J$5:$AK$14,MATCH($E141,'BY-Demands'!$I$5:$I$14,0),FALSE)*HLOOKUP(REG_TRA_DEMANDS!$F141,DEMANDS!$G$2:$CK$25,MATCH($E141,DEMANDS!$E$2:$E$25,0),FALSE)/HLOOKUP(2018,DEMANDS!$G$2:$CK$25,MATCH($E141,DEMANDS!$E$2:$E$25,0),FALSE)</f>
        <v>0.082906225751338283</v>
      </c>
      <c r="L141" s="19">
        <f>HLOOKUP(REG_TRA_DEMANDS!L$3,'BY-Demands'!$J$5:$AK$14,MATCH($E141,'BY-Demands'!$I$5:$I$14,0),FALSE)*HLOOKUP(REG_TRA_DEMANDS!$F141,DEMANDS!$G$2:$CK$25,MATCH($E141,DEMANDS!$E$2:$E$25,0),FALSE)/HLOOKUP(2018,DEMANDS!$G$2:$CK$25,MATCH($E141,DEMANDS!$E$2:$E$25,0),FALSE)</f>
        <v>0.040008809817755578</v>
      </c>
      <c r="M141" s="19">
        <f>HLOOKUP(REG_TRA_DEMANDS!M$3,'BY-Demands'!$J$5:$AK$14,MATCH($E141,'BY-Demands'!$I$5:$I$14,0),FALSE)*HLOOKUP(REG_TRA_DEMANDS!$F141,DEMANDS!$G$2:$CK$25,MATCH($E141,DEMANDS!$E$2:$E$25,0),FALSE)/HLOOKUP(2018,DEMANDS!$G$2:$CK$25,MATCH($E141,DEMANDS!$E$2:$E$25,0),FALSE)</f>
        <v>0.1261589666662985</v>
      </c>
      <c r="N141" s="19">
        <f>HLOOKUP(REG_TRA_DEMANDS!N$3,'BY-Demands'!$J$5:$AK$14,MATCH($E141,'BY-Demands'!$I$5:$I$14,0),FALSE)*HLOOKUP(REG_TRA_DEMANDS!$F141,DEMANDS!$G$2:$CK$25,MATCH($E141,DEMANDS!$E$2:$E$25,0),FALSE)/HLOOKUP(2018,DEMANDS!$G$2:$CK$25,MATCH($E141,DEMANDS!$E$2:$E$25,0),FALSE)</f>
        <v>0.19092012580662895</v>
      </c>
      <c r="O141" s="19">
        <f>HLOOKUP(REG_TRA_DEMANDS!O$3,'BY-Demands'!$J$5:$AK$14,MATCH($E141,'BY-Demands'!$I$5:$I$14,0),FALSE)*HLOOKUP(REG_TRA_DEMANDS!$F141,DEMANDS!$G$2:$CK$25,MATCH($E141,DEMANDS!$E$2:$E$25,0),FALSE)/HLOOKUP(2018,DEMANDS!$G$2:$CK$25,MATCH($E141,DEMANDS!$E$2:$E$25,0),FALSE)</f>
        <v>0.076312647033544068</v>
      </c>
      <c r="P141" s="19">
        <f>HLOOKUP(REG_TRA_DEMANDS!P$3,'BY-Demands'!$J$5:$AK$14,MATCH($E141,'BY-Demands'!$I$5:$I$14,0),FALSE)*HLOOKUP(REG_TRA_DEMANDS!$F141,DEMANDS!$G$2:$CK$25,MATCH($E141,DEMANDS!$E$2:$E$25,0),FALSE)/HLOOKUP(2018,DEMANDS!$G$2:$CK$25,MATCH($E141,DEMANDS!$E$2:$E$25,0),FALSE)</f>
        <v>0.086893109082332359</v>
      </c>
      <c r="Q141" s="19">
        <f>HLOOKUP(REG_TRA_DEMANDS!Q$3,'BY-Demands'!$J$5:$AK$14,MATCH($E141,'BY-Demands'!$I$5:$I$14,0),FALSE)*HLOOKUP(REG_TRA_DEMANDS!$F141,DEMANDS!$G$2:$CK$25,MATCH($E141,DEMANDS!$E$2:$E$25,0),FALSE)/HLOOKUP(2018,DEMANDS!$G$2:$CK$25,MATCH($E141,DEMANDS!$E$2:$E$25,0),FALSE)</f>
        <v>0.14655638253942765</v>
      </c>
      <c r="R141" s="19">
        <f>HLOOKUP(REG_TRA_DEMANDS!R$3,'BY-Demands'!$J$5:$AK$14,MATCH($E141,'BY-Demands'!$I$5:$I$14,0),FALSE)*HLOOKUP(REG_TRA_DEMANDS!$F141,DEMANDS!$G$2:$CK$25,MATCH($E141,DEMANDS!$E$2:$E$25,0),FALSE)/HLOOKUP(2018,DEMANDS!$G$2:$CK$25,MATCH($E141,DEMANDS!$E$2:$E$25,0),FALSE)</f>
        <v>0.13941366521404944</v>
      </c>
      <c r="S141" s="19">
        <f>HLOOKUP(REG_TRA_DEMANDS!S$3,'BY-Demands'!$J$5:$AK$14,MATCH($E141,'BY-Demands'!$I$5:$I$14,0),FALSE)*HLOOKUP(REG_TRA_DEMANDS!$F141,DEMANDS!$G$2:$CK$25,MATCH($E141,DEMANDS!$E$2:$E$25,0),FALSE)/HLOOKUP(2018,DEMANDS!$G$2:$CK$25,MATCH($E141,DEMANDS!$E$2:$E$25,0),FALSE)</f>
        <v>0.11630481628743354</v>
      </c>
      <c r="T141" s="19">
        <f>HLOOKUP(REG_TRA_DEMANDS!T$3,'BY-Demands'!$J$5:$AK$14,MATCH($E141,'BY-Demands'!$I$5:$I$14,0),FALSE)*HLOOKUP(REG_TRA_DEMANDS!$F141,DEMANDS!$G$2:$CK$25,MATCH($E141,DEMANDS!$E$2:$E$25,0),FALSE)/HLOOKUP(2018,DEMANDS!$G$2:$CK$25,MATCH($E141,DEMANDS!$E$2:$E$25,0),FALSE)</f>
        <v>0.53138997793519849</v>
      </c>
      <c r="U141" s="19">
        <f>HLOOKUP(REG_TRA_DEMANDS!U$3,'BY-Demands'!$J$5:$AK$14,MATCH($E141,'BY-Demands'!$I$5:$I$14,0),FALSE)*HLOOKUP(REG_TRA_DEMANDS!$F141,DEMANDS!$G$2:$CK$25,MATCH($E141,DEMANDS!$E$2:$E$25,0),FALSE)/HLOOKUP(2018,DEMANDS!$G$2:$CK$25,MATCH($E141,DEMANDS!$E$2:$E$25,0),FALSE)</f>
        <v>0.14458398629293759</v>
      </c>
      <c r="V141" s="19">
        <f>HLOOKUP(REG_TRA_DEMANDS!V$3,'BY-Demands'!$J$5:$AK$14,MATCH($E141,'BY-Demands'!$I$5:$I$14,0),FALSE)*HLOOKUP(REG_TRA_DEMANDS!$F141,DEMANDS!$G$2:$CK$25,MATCH($E141,DEMANDS!$E$2:$E$25,0),FALSE)/HLOOKUP(2018,DEMANDS!$G$2:$CK$25,MATCH($E141,DEMANDS!$E$2:$E$25,0),FALSE)</f>
        <v>0.19077819158541759</v>
      </c>
      <c r="W141" s="19">
        <f>HLOOKUP(REG_TRA_DEMANDS!W$3,'BY-Demands'!$J$5:$AK$14,MATCH($E141,'BY-Demands'!$I$5:$I$14,0),FALSE)*HLOOKUP(REG_TRA_DEMANDS!$F141,DEMANDS!$G$2:$CK$25,MATCH($E141,DEMANDS!$E$2:$E$25,0),FALSE)/HLOOKUP(2018,DEMANDS!$G$2:$CK$25,MATCH($E141,DEMANDS!$E$2:$E$25,0),FALSE)</f>
        <v>0.15617952273756125</v>
      </c>
      <c r="X141" s="19">
        <f>HLOOKUP(REG_TRA_DEMANDS!X$3,'BY-Demands'!$J$5:$AK$14,MATCH($E141,'BY-Demands'!$I$5:$I$14,0),FALSE)*HLOOKUP(REG_TRA_DEMANDS!$F141,DEMANDS!$G$2:$CK$25,MATCH($E141,DEMANDS!$E$2:$E$25,0),FALSE)/HLOOKUP(2018,DEMANDS!$G$2:$CK$25,MATCH($E141,DEMANDS!$E$2:$E$25,0),FALSE)</f>
        <v>0.1137196557479896</v>
      </c>
      <c r="Y141" s="19">
        <f>HLOOKUP(REG_TRA_DEMANDS!Y$3,'BY-Demands'!$J$5:$AK$14,MATCH($E141,'BY-Demands'!$I$5:$I$14,0),FALSE)*HLOOKUP(REG_TRA_DEMANDS!$F141,DEMANDS!$G$2:$CK$25,MATCH($E141,DEMANDS!$E$2:$E$25,0),FALSE)/HLOOKUP(2018,DEMANDS!$G$2:$CK$25,MATCH($E141,DEMANDS!$E$2:$E$25,0),FALSE)</f>
        <v>0.25260180177501973</v>
      </c>
      <c r="Z141" s="19">
        <f>HLOOKUP(REG_TRA_DEMANDS!Z$3,'BY-Demands'!$J$5:$AK$14,MATCH($E141,'BY-Demands'!$I$5:$I$14,0),FALSE)*HLOOKUP(REG_TRA_DEMANDS!$F141,DEMANDS!$G$2:$CK$25,MATCH($E141,DEMANDS!$E$2:$E$25,0),FALSE)/HLOOKUP(2018,DEMANDS!$G$2:$CK$25,MATCH($E141,DEMANDS!$E$2:$E$25,0),FALSE)</f>
        <v>0.031366484031026945</v>
      </c>
      <c r="AA141" s="19">
        <f>HLOOKUP(REG_TRA_DEMANDS!AA$3,'BY-Demands'!$J$5:$AK$14,MATCH($E141,'BY-Demands'!$I$5:$I$14,0),FALSE)*HLOOKUP(REG_TRA_DEMANDS!$F141,DEMANDS!$G$2:$CK$25,MATCH($E141,DEMANDS!$E$2:$E$25,0),FALSE)/HLOOKUP(2018,DEMANDS!$G$2:$CK$25,MATCH($E141,DEMANDS!$E$2:$E$25,0),FALSE)</f>
        <v>0.1277476510871684</v>
      </c>
      <c r="AB141" s="19">
        <f>HLOOKUP(REG_TRA_DEMANDS!AB$3,'BY-Demands'!$J$5:$AK$14,MATCH($E141,'BY-Demands'!$I$5:$I$14,0),FALSE)*HLOOKUP(REG_TRA_DEMANDS!$F141,DEMANDS!$G$2:$CK$25,MATCH($E141,DEMANDS!$E$2:$E$25,0),FALSE)/HLOOKUP(2018,DEMANDS!$G$2:$CK$25,MATCH($E141,DEMANDS!$E$2:$E$25,0),FALSE)</f>
        <v>0.06317932671634624</v>
      </c>
      <c r="AC141" s="19">
        <f>HLOOKUP(REG_TRA_DEMANDS!AC$3,'BY-Demands'!$J$5:$AK$14,MATCH($E141,'BY-Demands'!$I$5:$I$14,0),FALSE)*HLOOKUP(REG_TRA_DEMANDS!$F141,DEMANDS!$G$2:$CK$25,MATCH($E141,DEMANDS!$E$2:$E$25,0),FALSE)/HLOOKUP(2018,DEMANDS!$G$2:$CK$25,MATCH($E141,DEMANDS!$E$2:$E$25,0),FALSE)</f>
        <v>0.064149373704074003</v>
      </c>
      <c r="AD141" s="19">
        <f>HLOOKUP(REG_TRA_DEMANDS!AD$3,'BY-Demands'!$J$5:$AK$14,MATCH($E141,'BY-Demands'!$I$5:$I$14,0),FALSE)*HLOOKUP(REG_TRA_DEMANDS!$F141,DEMANDS!$G$2:$CK$25,MATCH($E141,DEMANDS!$E$2:$E$25,0),FALSE)/HLOOKUP(2018,DEMANDS!$G$2:$CK$25,MATCH($E141,DEMANDS!$E$2:$E$25,0),FALSE)</f>
        <v>0.074565387827596558</v>
      </c>
      <c r="AE141" s="19">
        <f>HLOOKUP(REG_TRA_DEMANDS!AE$3,'BY-Demands'!$J$5:$AK$14,MATCH($E141,'BY-Demands'!$I$5:$I$14,0),FALSE)*HLOOKUP(REG_TRA_DEMANDS!$F141,DEMANDS!$G$2:$CK$25,MATCH($E141,DEMANDS!$E$2:$E$25,0),FALSE)/HLOOKUP(2018,DEMANDS!$G$2:$CK$25,MATCH($E141,DEMANDS!$E$2:$E$25,0),FALSE)</f>
        <v>0.15582615546958026</v>
      </c>
      <c r="AF141" s="19">
        <f>HLOOKUP(REG_TRA_DEMANDS!AF$3,'BY-Demands'!$J$5:$AK$14,MATCH($E141,'BY-Demands'!$I$5:$I$14,0),FALSE)*HLOOKUP(REG_TRA_DEMANDS!$F141,DEMANDS!$G$2:$CK$25,MATCH($E141,DEMANDS!$E$2:$E$25,0),FALSE)/HLOOKUP(2018,DEMANDS!$G$2:$CK$25,MATCH($E141,DEMANDS!$E$2:$E$25,0),FALSE)</f>
        <v>0.060088097264031193</v>
      </c>
    </row>
    <row r="142" spans="4:32" ht="14.5">
      <c r="D142" t="s">
        <v>6</v>
      </c>
      <c r="E142" t="str">
        <f>DEMANDS!$E$22</f>
        <v>TNAV</v>
      </c>
      <c r="F142">
        <v>2023</v>
      </c>
      <c r="G142" s="19">
        <f>HLOOKUP(REG_TRA_DEMANDS!G$3,'BY-Demands'!$J$5:$AK$14,MATCH($E142,'BY-Demands'!$I$5:$I$14,0),FALSE)*HLOOKUP(REG_TRA_DEMANDS!$F142,DEMANDS!$G$2:$CK$25,MATCH($E142,DEMANDS!$E$2:$E$25,0),FALSE)/HLOOKUP(2018,DEMANDS!$G$2:$CK$25,MATCH($E142,DEMANDS!$E$2:$E$25,0),FALSE)</f>
        <v>0.057438943999848627</v>
      </c>
      <c r="H142" s="19">
        <f>HLOOKUP(REG_TRA_DEMANDS!H$3,'BY-Demands'!$J$5:$AK$14,MATCH($E142,'BY-Demands'!$I$5:$I$14,0),FALSE)*HLOOKUP(REG_TRA_DEMANDS!$F142,DEMANDS!$G$2:$CK$25,MATCH($E142,DEMANDS!$E$2:$E$25,0),FALSE)/HLOOKUP(2018,DEMANDS!$G$2:$CK$25,MATCH($E142,DEMANDS!$E$2:$E$25,0),FALSE)</f>
        <v>1.3593563926911449</v>
      </c>
      <c r="I142" s="19">
        <f>HLOOKUP(REG_TRA_DEMANDS!I$3,'BY-Demands'!$J$5:$AK$14,MATCH($E142,'BY-Demands'!$I$5:$I$14,0),FALSE)*HLOOKUP(REG_TRA_DEMANDS!$F142,DEMANDS!$G$2:$CK$25,MATCH($E142,DEMANDS!$E$2:$E$25,0),FALSE)/HLOOKUP(2018,DEMANDS!$G$2:$CK$25,MATCH($E142,DEMANDS!$E$2:$E$25,0),FALSE)</f>
        <v>0.22448525953316797</v>
      </c>
      <c r="J142" s="19">
        <f>HLOOKUP(REG_TRA_DEMANDS!J$3,'BY-Demands'!$J$5:$AK$14,MATCH($E142,'BY-Demands'!$I$5:$I$14,0),FALSE)*HLOOKUP(REG_TRA_DEMANDS!$F142,DEMANDS!$G$2:$CK$25,MATCH($E142,DEMANDS!$E$2:$E$25,0),FALSE)/HLOOKUP(2018,DEMANDS!$G$2:$CK$25,MATCH($E142,DEMANDS!$E$2:$E$25,0),FALSE)</f>
        <v>0.10011559915325263</v>
      </c>
      <c r="K142" s="19">
        <f>HLOOKUP(REG_TRA_DEMANDS!K$3,'BY-Demands'!$J$5:$AK$14,MATCH($E142,'BY-Demands'!$I$5:$I$14,0),FALSE)*HLOOKUP(REG_TRA_DEMANDS!$F142,DEMANDS!$G$2:$CK$25,MATCH($E142,DEMANDS!$E$2:$E$25,0),FALSE)/HLOOKUP(2018,DEMANDS!$G$2:$CK$25,MATCH($E142,DEMANDS!$E$2:$E$25,0),FALSE)</f>
        <v>0.085451174031391519</v>
      </c>
      <c r="L142" s="19">
        <f>HLOOKUP(REG_TRA_DEMANDS!L$3,'BY-Demands'!$J$5:$AK$14,MATCH($E142,'BY-Demands'!$I$5:$I$14,0),FALSE)*HLOOKUP(REG_TRA_DEMANDS!$F142,DEMANDS!$G$2:$CK$25,MATCH($E142,DEMANDS!$E$2:$E$25,0),FALSE)/HLOOKUP(2018,DEMANDS!$G$2:$CK$25,MATCH($E142,DEMANDS!$E$2:$E$25,0),FALSE)</f>
        <v>0.041236948607212297</v>
      </c>
      <c r="M142" s="19">
        <f>HLOOKUP(REG_TRA_DEMANDS!M$3,'BY-Demands'!$J$5:$AK$14,MATCH($E142,'BY-Demands'!$I$5:$I$14,0),FALSE)*HLOOKUP(REG_TRA_DEMANDS!$F142,DEMANDS!$G$2:$CK$25,MATCH($E142,DEMANDS!$E$2:$E$25,0),FALSE)/HLOOKUP(2018,DEMANDS!$G$2:$CK$25,MATCH($E142,DEMANDS!$E$2:$E$25,0),FALSE)</f>
        <v>0.1300316317444758</v>
      </c>
      <c r="N142" s="19">
        <f>HLOOKUP(REG_TRA_DEMANDS!N$3,'BY-Demands'!$J$5:$AK$14,MATCH($E142,'BY-Demands'!$I$5:$I$14,0),FALSE)*HLOOKUP(REG_TRA_DEMANDS!$F142,DEMANDS!$G$2:$CK$25,MATCH($E142,DEMANDS!$E$2:$E$25,0),FALSE)/HLOOKUP(2018,DEMANDS!$G$2:$CK$25,MATCH($E142,DEMANDS!$E$2:$E$25,0),FALSE)</f>
        <v>0.19678074533665604</v>
      </c>
      <c r="O142" s="19">
        <f>HLOOKUP(REG_TRA_DEMANDS!O$3,'BY-Demands'!$J$5:$AK$14,MATCH($E142,'BY-Demands'!$I$5:$I$14,0),FALSE)*HLOOKUP(REG_TRA_DEMANDS!$F142,DEMANDS!$G$2:$CK$25,MATCH($E142,DEMANDS!$E$2:$E$25,0),FALSE)/HLOOKUP(2018,DEMANDS!$G$2:$CK$25,MATCH($E142,DEMANDS!$E$2:$E$25,0),FALSE)</f>
        <v>0.07865519414691563</v>
      </c>
      <c r="P142" s="19">
        <f>HLOOKUP(REG_TRA_DEMANDS!P$3,'BY-Demands'!$J$5:$AK$14,MATCH($E142,'BY-Demands'!$I$5:$I$14,0),FALSE)*HLOOKUP(REG_TRA_DEMANDS!$F142,DEMANDS!$G$2:$CK$25,MATCH($E142,DEMANDS!$E$2:$E$25,0),FALSE)/HLOOKUP(2018,DEMANDS!$G$2:$CK$25,MATCH($E142,DEMANDS!$E$2:$E$25,0),FALSE)</f>
        <v>0.089560441559519588</v>
      </c>
      <c r="Q142" s="19">
        <f>HLOOKUP(REG_TRA_DEMANDS!Q$3,'BY-Demands'!$J$5:$AK$14,MATCH($E142,'BY-Demands'!$I$5:$I$14,0),FALSE)*HLOOKUP(REG_TRA_DEMANDS!$F142,DEMANDS!$G$2:$CK$25,MATCH($E142,DEMANDS!$E$2:$E$25,0),FALSE)/HLOOKUP(2018,DEMANDS!$G$2:$CK$25,MATCH($E142,DEMANDS!$E$2:$E$25,0),FALSE)</f>
        <v>0.15105518115550773</v>
      </c>
      <c r="R142" s="19">
        <f>HLOOKUP(REG_TRA_DEMANDS!R$3,'BY-Demands'!$J$5:$AK$14,MATCH($E142,'BY-Demands'!$I$5:$I$14,0),FALSE)*HLOOKUP(REG_TRA_DEMANDS!$F142,DEMANDS!$G$2:$CK$25,MATCH($E142,DEMANDS!$E$2:$E$25,0),FALSE)/HLOOKUP(2018,DEMANDS!$G$2:$CK$25,MATCH($E142,DEMANDS!$E$2:$E$25,0),FALSE)</f>
        <v>0.14369320591545071</v>
      </c>
      <c r="S142" s="19">
        <f>HLOOKUP(REG_TRA_DEMANDS!S$3,'BY-Demands'!$J$5:$AK$14,MATCH($E142,'BY-Demands'!$I$5:$I$14,0),FALSE)*HLOOKUP(REG_TRA_DEMANDS!$F142,DEMANDS!$G$2:$CK$25,MATCH($E142,DEMANDS!$E$2:$E$25,0),FALSE)/HLOOKUP(2018,DEMANDS!$G$2:$CK$25,MATCH($E142,DEMANDS!$E$2:$E$25,0),FALSE)</f>
        <v>0.11987499137971645</v>
      </c>
      <c r="T142" s="19">
        <f>HLOOKUP(REG_TRA_DEMANDS!T$3,'BY-Demands'!$J$5:$AK$14,MATCH($E142,'BY-Demands'!$I$5:$I$14,0),FALSE)*HLOOKUP(REG_TRA_DEMANDS!$F142,DEMANDS!$G$2:$CK$25,MATCH($E142,DEMANDS!$E$2:$E$25,0),FALSE)/HLOOKUP(2018,DEMANDS!$G$2:$CK$25,MATCH($E142,DEMANDS!$E$2:$E$25,0),FALSE)</f>
        <v>0.54770190141414044</v>
      </c>
      <c r="U142" s="19">
        <f>HLOOKUP(REG_TRA_DEMANDS!U$3,'BY-Demands'!$J$5:$AK$14,MATCH($E142,'BY-Demands'!$I$5:$I$14,0),FALSE)*HLOOKUP(REG_TRA_DEMANDS!$F142,DEMANDS!$G$2:$CK$25,MATCH($E142,DEMANDS!$E$2:$E$25,0),FALSE)/HLOOKUP(2018,DEMANDS!$G$2:$CK$25,MATCH($E142,DEMANDS!$E$2:$E$25,0),FALSE)</f>
        <v>0.1490222388355521</v>
      </c>
      <c r="V142" s="19">
        <f>HLOOKUP(REG_TRA_DEMANDS!V$3,'BY-Demands'!$J$5:$AK$14,MATCH($E142,'BY-Demands'!$I$5:$I$14,0),FALSE)*HLOOKUP(REG_TRA_DEMANDS!$F142,DEMANDS!$G$2:$CK$25,MATCH($E142,DEMANDS!$E$2:$E$25,0),FALSE)/HLOOKUP(2018,DEMANDS!$G$2:$CK$25,MATCH($E142,DEMANDS!$E$2:$E$25,0),FALSE)</f>
        <v>0.19663445420196951</v>
      </c>
      <c r="W142" s="19">
        <f>HLOOKUP(REG_TRA_DEMANDS!W$3,'BY-Demands'!$J$5:$AK$14,MATCH($E142,'BY-Demands'!$I$5:$I$14,0),FALSE)*HLOOKUP(REG_TRA_DEMANDS!$F142,DEMANDS!$G$2:$CK$25,MATCH($E142,DEMANDS!$E$2:$E$25,0),FALSE)/HLOOKUP(2018,DEMANDS!$G$2:$CK$25,MATCH($E142,DEMANDS!$E$2:$E$25,0),FALSE)</f>
        <v>0.1609737200872588</v>
      </c>
      <c r="X142" s="19">
        <f>HLOOKUP(REG_TRA_DEMANDS!X$3,'BY-Demands'!$J$5:$AK$14,MATCH($E142,'BY-Demands'!$I$5:$I$14,0),FALSE)*HLOOKUP(REG_TRA_DEMANDS!$F142,DEMANDS!$G$2:$CK$25,MATCH($E142,DEMANDS!$E$2:$E$25,0),FALSE)/HLOOKUP(2018,DEMANDS!$G$2:$CK$25,MATCH($E142,DEMANDS!$E$2:$E$25,0),FALSE)</f>
        <v>0.11721047491966588</v>
      </c>
      <c r="Y142" s="19">
        <f>HLOOKUP(REG_TRA_DEMANDS!Y$3,'BY-Demands'!$J$5:$AK$14,MATCH($E142,'BY-Demands'!$I$5:$I$14,0),FALSE)*HLOOKUP(REG_TRA_DEMANDS!$F142,DEMANDS!$G$2:$CK$25,MATCH($E142,DEMANDS!$E$2:$E$25,0),FALSE)/HLOOKUP(2018,DEMANDS!$G$2:$CK$25,MATCH($E142,DEMANDS!$E$2:$E$25,0),FALSE)</f>
        <v>0.26035584575832466</v>
      </c>
      <c r="Z142" s="19">
        <f>HLOOKUP(REG_TRA_DEMANDS!Z$3,'BY-Demands'!$J$5:$AK$14,MATCH($E142,'BY-Demands'!$I$5:$I$14,0),FALSE)*HLOOKUP(REG_TRA_DEMANDS!$F142,DEMANDS!$G$2:$CK$25,MATCH($E142,DEMANDS!$E$2:$E$25,0),FALSE)/HLOOKUP(2018,DEMANDS!$G$2:$CK$25,MATCH($E142,DEMANDS!$E$2:$E$25,0),FALSE)</f>
        <v>0.032329331861363629</v>
      </c>
      <c r="AA142" s="19">
        <f>HLOOKUP(REG_TRA_DEMANDS!AA$3,'BY-Demands'!$J$5:$AK$14,MATCH($E142,'BY-Demands'!$I$5:$I$14,0),FALSE)*HLOOKUP(REG_TRA_DEMANDS!$F142,DEMANDS!$G$2:$CK$25,MATCH($E142,DEMANDS!$E$2:$E$25,0),FALSE)/HLOOKUP(2018,DEMANDS!$G$2:$CK$25,MATCH($E142,DEMANDS!$E$2:$E$25,0),FALSE)</f>
        <v>0.13166908354858861</v>
      </c>
      <c r="AB142" s="19">
        <f>HLOOKUP(REG_TRA_DEMANDS!AB$3,'BY-Demands'!$J$5:$AK$14,MATCH($E142,'BY-Demands'!$I$5:$I$14,0),FALSE)*HLOOKUP(REG_TRA_DEMANDS!$F142,DEMANDS!$G$2:$CK$25,MATCH($E142,DEMANDS!$E$2:$E$25,0),FALSE)/HLOOKUP(2018,DEMANDS!$G$2:$CK$25,MATCH($E142,DEMANDS!$E$2:$E$25,0),FALSE)</f>
        <v>0.065118724118707089</v>
      </c>
      <c r="AC142" s="19">
        <f>HLOOKUP(REG_TRA_DEMANDS!AC$3,'BY-Demands'!$J$5:$AK$14,MATCH($E142,'BY-Demands'!$I$5:$I$14,0),FALSE)*HLOOKUP(REG_TRA_DEMANDS!$F142,DEMANDS!$G$2:$CK$25,MATCH($E142,DEMANDS!$E$2:$E$25,0),FALSE)/HLOOKUP(2018,DEMANDS!$G$2:$CK$25,MATCH($E142,DEMANDS!$E$2:$E$25,0),FALSE)</f>
        <v>0.066118548356461804</v>
      </c>
      <c r="AD142" s="19">
        <f>HLOOKUP(REG_TRA_DEMANDS!AD$3,'BY-Demands'!$J$5:$AK$14,MATCH($E142,'BY-Demands'!$I$5:$I$14,0),FALSE)*HLOOKUP(REG_TRA_DEMANDS!$F142,DEMANDS!$G$2:$CK$25,MATCH($E142,DEMANDS!$E$2:$E$25,0),FALSE)/HLOOKUP(2018,DEMANDS!$G$2:$CK$25,MATCH($E142,DEMANDS!$E$2:$E$25,0),FALSE)</f>
        <v>0.076854299833704634</v>
      </c>
      <c r="AE142" s="19">
        <f>HLOOKUP(REG_TRA_DEMANDS!AE$3,'BY-Demands'!$J$5:$AK$14,MATCH($E142,'BY-Demands'!$I$5:$I$14,0),FALSE)*HLOOKUP(REG_TRA_DEMANDS!$F142,DEMANDS!$G$2:$CK$25,MATCH($E142,DEMANDS!$E$2:$E$25,0),FALSE)/HLOOKUP(2018,DEMANDS!$G$2:$CK$25,MATCH($E142,DEMANDS!$E$2:$E$25,0),FALSE)</f>
        <v>0.16060950560710857</v>
      </c>
      <c r="AF142" s="19">
        <f>HLOOKUP(REG_TRA_DEMANDS!AF$3,'BY-Demands'!$J$5:$AK$14,MATCH($E142,'BY-Demands'!$I$5:$I$14,0),FALSE)*HLOOKUP(REG_TRA_DEMANDS!$F142,DEMANDS!$G$2:$CK$25,MATCH($E142,DEMANDS!$E$2:$E$25,0),FALSE)/HLOOKUP(2018,DEMANDS!$G$2:$CK$25,MATCH($E142,DEMANDS!$E$2:$E$25,0),FALSE)</f>
        <v>0.061932604095670425</v>
      </c>
    </row>
    <row r="143" spans="4:32" ht="14.5">
      <c r="D143" t="s">
        <v>6</v>
      </c>
      <c r="E143" t="str">
        <f>DEMANDS!$E$22</f>
        <v>TNAV</v>
      </c>
      <c r="F143">
        <v>2024</v>
      </c>
      <c r="G143" s="19">
        <f>HLOOKUP(REG_TRA_DEMANDS!G$3,'BY-Demands'!$J$5:$AK$14,MATCH($E143,'BY-Demands'!$I$5:$I$14,0),FALSE)*HLOOKUP(REG_TRA_DEMANDS!$F143,DEMANDS!$G$2:$CK$25,MATCH($E143,DEMANDS!$E$2:$E$25,0),FALSE)/HLOOKUP(2018,DEMANDS!$G$2:$CK$25,MATCH($E143,DEMANDS!$E$2:$E$25,0),FALSE)</f>
        <v>0.059248137110385589</v>
      </c>
      <c r="H143" s="19">
        <f>HLOOKUP(REG_TRA_DEMANDS!H$3,'BY-Demands'!$J$5:$AK$14,MATCH($E143,'BY-Demands'!$I$5:$I$14,0),FALSE)*HLOOKUP(REG_TRA_DEMANDS!$F143,DEMANDS!$G$2:$CK$25,MATCH($E143,DEMANDS!$E$2:$E$25,0),FALSE)/HLOOKUP(2018,DEMANDS!$G$2:$CK$25,MATCH($E143,DEMANDS!$E$2:$E$25,0),FALSE)</f>
        <v>1.4021729566660619</v>
      </c>
      <c r="I143" s="19">
        <f>HLOOKUP(REG_TRA_DEMANDS!I$3,'BY-Demands'!$J$5:$AK$14,MATCH($E143,'BY-Demands'!$I$5:$I$14,0),FALSE)*HLOOKUP(REG_TRA_DEMANDS!$F143,DEMANDS!$G$2:$CK$25,MATCH($E143,DEMANDS!$E$2:$E$25,0),FALSE)/HLOOKUP(2018,DEMANDS!$G$2:$CK$25,MATCH($E143,DEMANDS!$E$2:$E$25,0),FALSE)</f>
        <v>0.23155602296791319</v>
      </c>
      <c r="J143" s="19">
        <f>HLOOKUP(REG_TRA_DEMANDS!J$3,'BY-Demands'!$J$5:$AK$14,MATCH($E143,'BY-Demands'!$I$5:$I$14,0),FALSE)*HLOOKUP(REG_TRA_DEMANDS!$F143,DEMANDS!$G$2:$CK$25,MATCH($E143,DEMANDS!$E$2:$E$25,0),FALSE)/HLOOKUP(2018,DEMANDS!$G$2:$CK$25,MATCH($E143,DEMANDS!$E$2:$E$25,0),FALSE)</f>
        <v>0.10326900761852356</v>
      </c>
      <c r="K143" s="19">
        <f>HLOOKUP(REG_TRA_DEMANDS!K$3,'BY-Demands'!$J$5:$AK$14,MATCH($E143,'BY-Demands'!$I$5:$I$14,0),FALSE)*HLOOKUP(REG_TRA_DEMANDS!$F143,DEMANDS!$G$2:$CK$25,MATCH($E143,DEMANDS!$E$2:$E$25,0),FALSE)/HLOOKUP(2018,DEMANDS!$G$2:$CK$25,MATCH($E143,DEMANDS!$E$2:$E$25,0),FALSE)</f>
        <v>0.088142687220514493</v>
      </c>
      <c r="L143" s="19">
        <f>HLOOKUP(REG_TRA_DEMANDS!L$3,'BY-Demands'!$J$5:$AK$14,MATCH($E143,'BY-Demands'!$I$5:$I$14,0),FALSE)*HLOOKUP(REG_TRA_DEMANDS!$F143,DEMANDS!$G$2:$CK$25,MATCH($E143,DEMANDS!$E$2:$E$25,0),FALSE)/HLOOKUP(2018,DEMANDS!$G$2:$CK$25,MATCH($E143,DEMANDS!$E$2:$E$25,0),FALSE)</f>
        <v>0.042535816555061966</v>
      </c>
      <c r="M143" s="19">
        <f>HLOOKUP(REG_TRA_DEMANDS!M$3,'BY-Demands'!$J$5:$AK$14,MATCH($E143,'BY-Demands'!$I$5:$I$14,0),FALSE)*HLOOKUP(REG_TRA_DEMANDS!$F143,DEMANDS!$G$2:$CK$25,MATCH($E143,DEMANDS!$E$2:$E$25,0),FALSE)/HLOOKUP(2018,DEMANDS!$G$2:$CK$25,MATCH($E143,DEMANDS!$E$2:$E$25,0),FALSE)</f>
        <v>0.13412732563997298</v>
      </c>
      <c r="N143" s="19">
        <f>HLOOKUP(REG_TRA_DEMANDS!N$3,'BY-Demands'!$J$5:$AK$14,MATCH($E143,'BY-Demands'!$I$5:$I$14,0),FALSE)*HLOOKUP(REG_TRA_DEMANDS!$F143,DEMANDS!$G$2:$CK$25,MATCH($E143,DEMANDS!$E$2:$E$25,0),FALSE)/HLOOKUP(2018,DEMANDS!$G$2:$CK$25,MATCH($E143,DEMANDS!$E$2:$E$25,0),FALSE)</f>
        <v>0.20297888102575132</v>
      </c>
      <c r="O143" s="19">
        <f>HLOOKUP(REG_TRA_DEMANDS!O$3,'BY-Demands'!$J$5:$AK$14,MATCH($E143,'BY-Demands'!$I$5:$I$14,0),FALSE)*HLOOKUP(REG_TRA_DEMANDS!$F143,DEMANDS!$G$2:$CK$25,MATCH($E143,DEMANDS!$E$2:$E$25,0),FALSE)/HLOOKUP(2018,DEMANDS!$G$2:$CK$25,MATCH($E143,DEMANDS!$E$2:$E$25,0),FALSE)</f>
        <v>0.081132649779785918</v>
      </c>
      <c r="P143" s="19">
        <f>HLOOKUP(REG_TRA_DEMANDS!P$3,'BY-Demands'!$J$5:$AK$14,MATCH($E143,'BY-Demands'!$I$5:$I$14,0),FALSE)*HLOOKUP(REG_TRA_DEMANDS!$F143,DEMANDS!$G$2:$CK$25,MATCH($E143,DEMANDS!$E$2:$E$25,0),FALSE)/HLOOKUP(2018,DEMANDS!$G$2:$CK$25,MATCH($E143,DEMANDS!$E$2:$E$25,0),FALSE)</f>
        <v>0.092381387116014471</v>
      </c>
      <c r="Q143" s="19">
        <f>HLOOKUP(REG_TRA_DEMANDS!Q$3,'BY-Demands'!$J$5:$AK$14,MATCH($E143,'BY-Demands'!$I$5:$I$14,0),FALSE)*HLOOKUP(REG_TRA_DEMANDS!$F143,DEMANDS!$G$2:$CK$25,MATCH($E143,DEMANDS!$E$2:$E$25,0),FALSE)/HLOOKUP(2018,DEMANDS!$G$2:$CK$25,MATCH($E143,DEMANDS!$E$2:$E$25,0),FALSE)</f>
        <v>0.15581306794845046</v>
      </c>
      <c r="R143" s="19">
        <f>HLOOKUP(REG_TRA_DEMANDS!R$3,'BY-Demands'!$J$5:$AK$14,MATCH($E143,'BY-Demands'!$I$5:$I$14,0),FALSE)*HLOOKUP(REG_TRA_DEMANDS!$F143,DEMANDS!$G$2:$CK$25,MATCH($E143,DEMANDS!$E$2:$E$25,0),FALSE)/HLOOKUP(2018,DEMANDS!$G$2:$CK$25,MATCH($E143,DEMANDS!$E$2:$E$25,0),FALSE)</f>
        <v>0.1482192076151666</v>
      </c>
      <c r="S143" s="19">
        <f>HLOOKUP(REG_TRA_DEMANDS!S$3,'BY-Demands'!$J$5:$AK$14,MATCH($E143,'BY-Demands'!$I$5:$I$14,0),FALSE)*HLOOKUP(REG_TRA_DEMANDS!$F143,DEMANDS!$G$2:$CK$25,MATCH($E143,DEMANDS!$E$2:$E$25,0),FALSE)/HLOOKUP(2018,DEMANDS!$G$2:$CK$25,MATCH($E143,DEMANDS!$E$2:$E$25,0),FALSE)</f>
        <v>0.12365077473204328</v>
      </c>
      <c r="T143" s="19">
        <f>HLOOKUP(REG_TRA_DEMANDS!T$3,'BY-Demands'!$J$5:$AK$14,MATCH($E143,'BY-Demands'!$I$5:$I$14,0),FALSE)*HLOOKUP(REG_TRA_DEMANDS!$F143,DEMANDS!$G$2:$CK$25,MATCH($E143,DEMANDS!$E$2:$E$25,0),FALSE)/HLOOKUP(2018,DEMANDS!$G$2:$CK$25,MATCH($E143,DEMANDS!$E$2:$E$25,0),FALSE)</f>
        <v>0.56495323713976009</v>
      </c>
      <c r="U143" s="19">
        <f>HLOOKUP(REG_TRA_DEMANDS!U$3,'BY-Demands'!$J$5:$AK$14,MATCH($E143,'BY-Demands'!$I$5:$I$14,0),FALSE)*HLOOKUP(REG_TRA_DEMANDS!$F143,DEMANDS!$G$2:$CK$25,MATCH($E143,DEMANDS!$E$2:$E$25,0),FALSE)/HLOOKUP(2018,DEMANDS!$G$2:$CK$25,MATCH($E143,DEMANDS!$E$2:$E$25,0),FALSE)</f>
        <v>0.15371609267483552</v>
      </c>
      <c r="V143" s="19">
        <f>HLOOKUP(REG_TRA_DEMANDS!V$3,'BY-Demands'!$J$5:$AK$14,MATCH($E143,'BY-Demands'!$I$5:$I$14,0),FALSE)*HLOOKUP(REG_TRA_DEMANDS!$F143,DEMANDS!$G$2:$CK$25,MATCH($E143,DEMANDS!$E$2:$E$25,0),FALSE)/HLOOKUP(2018,DEMANDS!$G$2:$CK$25,MATCH($E143,DEMANDS!$E$2:$E$25,0),FALSE)</f>
        <v>0.20282798206065256</v>
      </c>
      <c r="W143" s="19">
        <f>HLOOKUP(REG_TRA_DEMANDS!W$3,'BY-Demands'!$J$5:$AK$14,MATCH($E143,'BY-Demands'!$I$5:$I$14,0),FALSE)*HLOOKUP(REG_TRA_DEMANDS!$F143,DEMANDS!$G$2:$CK$25,MATCH($E143,DEMANDS!$E$2:$E$25,0),FALSE)/HLOOKUP(2018,DEMANDS!$G$2:$CK$25,MATCH($E143,DEMANDS!$E$2:$E$25,0),FALSE)</f>
        <v>0.16604401778214919</v>
      </c>
      <c r="X143" s="19">
        <f>HLOOKUP(REG_TRA_DEMANDS!X$3,'BY-Demands'!$J$5:$AK$14,MATCH($E143,'BY-Demands'!$I$5:$I$14,0),FALSE)*HLOOKUP(REG_TRA_DEMANDS!$F143,DEMANDS!$G$2:$CK$25,MATCH($E143,DEMANDS!$E$2:$E$25,0),FALSE)/HLOOKUP(2018,DEMANDS!$G$2:$CK$25,MATCH($E143,DEMANDS!$E$2:$E$25,0),FALSE)</f>
        <v>0.12090233220220895</v>
      </c>
      <c r="Y143" s="19">
        <f>HLOOKUP(REG_TRA_DEMANDS!Y$3,'BY-Demands'!$J$5:$AK$14,MATCH($E143,'BY-Demands'!$I$5:$I$14,0),FALSE)*HLOOKUP(REG_TRA_DEMANDS!$F143,DEMANDS!$G$2:$CK$25,MATCH($E143,DEMANDS!$E$2:$E$25,0),FALSE)/HLOOKUP(2018,DEMANDS!$G$2:$CK$25,MATCH($E143,DEMANDS!$E$2:$E$25,0),FALSE)</f>
        <v>0.26855644921014343</v>
      </c>
      <c r="Z143" s="19">
        <f>HLOOKUP(REG_TRA_DEMANDS!Z$3,'BY-Demands'!$J$5:$AK$14,MATCH($E143,'BY-Demands'!$I$5:$I$14,0),FALSE)*HLOOKUP(REG_TRA_DEMANDS!$F143,DEMANDS!$G$2:$CK$25,MATCH($E143,DEMANDS!$E$2:$E$25,0),FALSE)/HLOOKUP(2018,DEMANDS!$G$2:$CK$25,MATCH($E143,DEMANDS!$E$2:$E$25,0),FALSE)</f>
        <v>0.033347630604320951</v>
      </c>
      <c r="AA143" s="19">
        <f>HLOOKUP(REG_TRA_DEMANDS!AA$3,'BY-Demands'!$J$5:$AK$14,MATCH($E143,'BY-Demands'!$I$5:$I$14,0),FALSE)*HLOOKUP(REG_TRA_DEMANDS!$F143,DEMANDS!$G$2:$CK$25,MATCH($E143,DEMANDS!$E$2:$E$25,0),FALSE)/HLOOKUP(2018,DEMANDS!$G$2:$CK$25,MATCH($E143,DEMANDS!$E$2:$E$25,0),FALSE)</f>
        <v>0.13581635336656175</v>
      </c>
      <c r="AB143" s="19">
        <f>HLOOKUP(REG_TRA_DEMANDS!AB$3,'BY-Demands'!$J$5:$AK$14,MATCH($E143,'BY-Demands'!$I$5:$I$14,0),FALSE)*HLOOKUP(REG_TRA_DEMANDS!$F143,DEMANDS!$G$2:$CK$25,MATCH($E143,DEMANDS!$E$2:$E$25,0),FALSE)/HLOOKUP(2018,DEMANDS!$G$2:$CK$25,MATCH($E143,DEMANDS!$E$2:$E$25,0),FALSE)</f>
        <v>0.067169812436814608</v>
      </c>
      <c r="AC143" s="19">
        <f>HLOOKUP(REG_TRA_DEMANDS!AC$3,'BY-Demands'!$J$5:$AK$14,MATCH($E143,'BY-Demands'!$I$5:$I$14,0),FALSE)*HLOOKUP(REG_TRA_DEMANDS!$F143,DEMANDS!$G$2:$CK$25,MATCH($E143,DEMANDS!$E$2:$E$25,0),FALSE)/HLOOKUP(2018,DEMANDS!$G$2:$CK$25,MATCH($E143,DEMANDS!$E$2:$E$25,0),FALSE)</f>
        <v>0.068201128812076212</v>
      </c>
      <c r="AD143" s="19">
        <f>HLOOKUP(REG_TRA_DEMANDS!AD$3,'BY-Demands'!$J$5:$AK$14,MATCH($E143,'BY-Demands'!$I$5:$I$14,0),FALSE)*HLOOKUP(REG_TRA_DEMANDS!$F143,DEMANDS!$G$2:$CK$25,MATCH($E143,DEMANDS!$E$2:$E$25,0),FALSE)/HLOOKUP(2018,DEMANDS!$G$2:$CK$25,MATCH($E143,DEMANDS!$E$2:$E$25,0),FALSE)</f>
        <v>0.079275031485293607</v>
      </c>
      <c r="AE143" s="19">
        <f>HLOOKUP(REG_TRA_DEMANDS!AE$3,'BY-Demands'!$J$5:$AK$14,MATCH($E143,'BY-Demands'!$I$5:$I$14,0),FALSE)*HLOOKUP(REG_TRA_DEMANDS!$F143,DEMANDS!$G$2:$CK$25,MATCH($E143,DEMANDS!$E$2:$E$25,0),FALSE)/HLOOKUP(2018,DEMANDS!$G$2:$CK$25,MATCH($E143,DEMANDS!$E$2:$E$25,0),FALSE)</f>
        <v>0.16566833139317969</v>
      </c>
      <c r="AF143" s="19">
        <f>HLOOKUP(REG_TRA_DEMANDS!AF$3,'BY-Demands'!$J$5:$AK$14,MATCH($E143,'BY-Demands'!$I$5:$I$14,0),FALSE)*HLOOKUP(REG_TRA_DEMANDS!$F143,DEMANDS!$G$2:$CK$25,MATCH($E143,DEMANDS!$E$2:$E$25,0),FALSE)/HLOOKUP(2018,DEMANDS!$G$2:$CK$25,MATCH($E143,DEMANDS!$E$2:$E$25,0),FALSE)</f>
        <v>0.063883337045214122</v>
      </c>
    </row>
    <row r="144" spans="4:32" ht="14.5">
      <c r="D144" t="s">
        <v>6</v>
      </c>
      <c r="E144" t="str">
        <f>DEMANDS!$E$22</f>
        <v>TNAV</v>
      </c>
      <c r="F144">
        <v>2025</v>
      </c>
      <c r="G144" s="19">
        <f>HLOOKUP(REG_TRA_DEMANDS!G$3,'BY-Demands'!$J$5:$AK$14,MATCH($E144,'BY-Demands'!$I$5:$I$14,0),FALSE)*HLOOKUP(REG_TRA_DEMANDS!$F144,DEMANDS!$G$2:$CK$25,MATCH($E144,DEMANDS!$E$2:$E$25,0),FALSE)/HLOOKUP(2018,DEMANDS!$G$2:$CK$25,MATCH($E144,DEMANDS!$E$2:$E$25,0),FALSE)</f>
        <v>0.061129511486040324</v>
      </c>
      <c r="H144" s="19">
        <f>HLOOKUP(REG_TRA_DEMANDS!H$3,'BY-Demands'!$J$5:$AK$14,MATCH($E144,'BY-Demands'!$I$5:$I$14,0),FALSE)*HLOOKUP(REG_TRA_DEMANDS!$F144,DEMANDS!$G$2:$CK$25,MATCH($E144,DEMANDS!$E$2:$E$25,0),FALSE)/HLOOKUP(2018,DEMANDS!$G$2:$CK$25,MATCH($E144,DEMANDS!$E$2:$E$25,0),FALSE)</f>
        <v>1.4466977704335002</v>
      </c>
      <c r="I144" s="19">
        <f>HLOOKUP(REG_TRA_DEMANDS!I$3,'BY-Demands'!$J$5:$AK$14,MATCH($E144,'BY-Demands'!$I$5:$I$14,0),FALSE)*HLOOKUP(REG_TRA_DEMANDS!$F144,DEMANDS!$G$2:$CK$25,MATCH($E144,DEMANDS!$E$2:$E$25,0),FALSE)/HLOOKUP(2018,DEMANDS!$G$2:$CK$25,MATCH($E144,DEMANDS!$E$2:$E$25,0),FALSE)</f>
        <v>0.23890888821207609</v>
      </c>
      <c r="J144" s="19">
        <f>HLOOKUP(REG_TRA_DEMANDS!J$3,'BY-Demands'!$J$5:$AK$14,MATCH($E144,'BY-Demands'!$I$5:$I$14,0),FALSE)*HLOOKUP(REG_TRA_DEMANDS!$F144,DEMANDS!$G$2:$CK$25,MATCH($E144,DEMANDS!$E$2:$E$25,0),FALSE)/HLOOKUP(2018,DEMANDS!$G$2:$CK$25,MATCH($E144,DEMANDS!$E$2:$E$25,0),FALSE)</f>
        <v>0.10654822742539792</v>
      </c>
      <c r="K144" s="19">
        <f>HLOOKUP(REG_TRA_DEMANDS!K$3,'BY-Demands'!$J$5:$AK$14,MATCH($E144,'BY-Demands'!$I$5:$I$14,0),FALSE)*HLOOKUP(REG_TRA_DEMANDS!$F144,DEMANDS!$G$2:$CK$25,MATCH($E144,DEMANDS!$E$2:$E$25,0),FALSE)/HLOOKUP(2018,DEMANDS!$G$2:$CK$25,MATCH($E144,DEMANDS!$E$2:$E$25,0),FALSE)</f>
        <v>0.090941583544108057</v>
      </c>
      <c r="L144" s="19">
        <f>HLOOKUP(REG_TRA_DEMANDS!L$3,'BY-Demands'!$J$5:$AK$14,MATCH($E144,'BY-Demands'!$I$5:$I$14,0),FALSE)*HLOOKUP(REG_TRA_DEMANDS!$F144,DEMANDS!$G$2:$CK$25,MATCH($E144,DEMANDS!$E$2:$E$25,0),FALSE)/HLOOKUP(2018,DEMANDS!$G$2:$CK$25,MATCH($E144,DEMANDS!$E$2:$E$25,0),FALSE)</f>
        <v>0.043886505356722477</v>
      </c>
      <c r="M144" s="19">
        <f>HLOOKUP(REG_TRA_DEMANDS!M$3,'BY-Demands'!$J$5:$AK$14,MATCH($E144,'BY-Demands'!$I$5:$I$14,0),FALSE)*HLOOKUP(REG_TRA_DEMANDS!$F144,DEMANDS!$G$2:$CK$25,MATCH($E144,DEMANDS!$E$2:$E$25,0),FALSE)/HLOOKUP(2018,DEMANDS!$G$2:$CK$25,MATCH($E144,DEMANDS!$E$2:$E$25,0),FALSE)</f>
        <v>0.13838642518033492</v>
      </c>
      <c r="N144" s="19">
        <f>HLOOKUP(REG_TRA_DEMANDS!N$3,'BY-Demands'!$J$5:$AK$14,MATCH($E144,'BY-Demands'!$I$5:$I$14,0),FALSE)*HLOOKUP(REG_TRA_DEMANDS!$F144,DEMANDS!$G$2:$CK$25,MATCH($E144,DEMANDS!$E$2:$E$25,0),FALSE)/HLOOKUP(2018,DEMANDS!$G$2:$CK$25,MATCH($E144,DEMANDS!$E$2:$E$25,0),FALSE)</f>
        <v>0.20942430334931633</v>
      </c>
      <c r="O144" s="19">
        <f>HLOOKUP(REG_TRA_DEMANDS!O$3,'BY-Demands'!$J$5:$AK$14,MATCH($E144,'BY-Demands'!$I$5:$I$14,0),FALSE)*HLOOKUP(REG_TRA_DEMANDS!$F144,DEMANDS!$G$2:$CK$25,MATCH($E144,DEMANDS!$E$2:$E$25,0),FALSE)/HLOOKUP(2018,DEMANDS!$G$2:$CK$25,MATCH($E144,DEMANDS!$E$2:$E$25,0),FALSE)</f>
        <v>0.083708948306105369</v>
      </c>
      <c r="P144" s="19">
        <f>HLOOKUP(REG_TRA_DEMANDS!P$3,'BY-Demands'!$J$5:$AK$14,MATCH($E144,'BY-Demands'!$I$5:$I$14,0),FALSE)*HLOOKUP(REG_TRA_DEMANDS!$F144,DEMANDS!$G$2:$CK$25,MATCH($E144,DEMANDS!$E$2:$E$25,0),FALSE)/HLOOKUP(2018,DEMANDS!$G$2:$CK$25,MATCH($E144,DEMANDS!$E$2:$E$25,0),FALSE)</f>
        <v>0.095314879762098764</v>
      </c>
      <c r="Q144" s="19">
        <f>HLOOKUP(REG_TRA_DEMANDS!Q$3,'BY-Demands'!$J$5:$AK$14,MATCH($E144,'BY-Demands'!$I$5:$I$14,0),FALSE)*HLOOKUP(REG_TRA_DEMANDS!$F144,DEMANDS!$G$2:$CK$25,MATCH($E144,DEMANDS!$E$2:$E$25,0),FALSE)/HLOOKUP(2018,DEMANDS!$G$2:$CK$25,MATCH($E144,DEMANDS!$E$2:$E$25,0),FALSE)</f>
        <v>0.16076077985514226</v>
      </c>
      <c r="R144" s="19">
        <f>HLOOKUP(REG_TRA_DEMANDS!R$3,'BY-Demands'!$J$5:$AK$14,MATCH($E144,'BY-Demands'!$I$5:$I$14,0),FALSE)*HLOOKUP(REG_TRA_DEMANDS!$F144,DEMANDS!$G$2:$CK$25,MATCH($E144,DEMANDS!$E$2:$E$25,0),FALSE)/HLOOKUP(2018,DEMANDS!$G$2:$CK$25,MATCH($E144,DEMANDS!$E$2:$E$25,0),FALSE)</f>
        <v>0.15292578292347522</v>
      </c>
      <c r="S144" s="19">
        <f>HLOOKUP(REG_TRA_DEMANDS!S$3,'BY-Demands'!$J$5:$AK$14,MATCH($E144,'BY-Demands'!$I$5:$I$14,0),FALSE)*HLOOKUP(REG_TRA_DEMANDS!$F144,DEMANDS!$G$2:$CK$25,MATCH($E144,DEMANDS!$E$2:$E$25,0),FALSE)/HLOOKUP(2018,DEMANDS!$G$2:$CK$25,MATCH($E144,DEMANDS!$E$2:$E$25,0),FALSE)</f>
        <v>0.12757720027817143</v>
      </c>
      <c r="T144" s="19">
        <f>HLOOKUP(REG_TRA_DEMANDS!T$3,'BY-Demands'!$J$5:$AK$14,MATCH($E144,'BY-Demands'!$I$5:$I$14,0),FALSE)*HLOOKUP(REG_TRA_DEMANDS!$F144,DEMANDS!$G$2:$CK$25,MATCH($E144,DEMANDS!$E$2:$E$25,0),FALSE)/HLOOKUP(2018,DEMANDS!$G$2:$CK$25,MATCH($E144,DEMANDS!$E$2:$E$25,0),FALSE)</f>
        <v>0.58289284833492172</v>
      </c>
      <c r="U144" s="19">
        <f>HLOOKUP(REG_TRA_DEMANDS!U$3,'BY-Demands'!$J$5:$AK$14,MATCH($E144,'BY-Demands'!$I$5:$I$14,0),FALSE)*HLOOKUP(REG_TRA_DEMANDS!$F144,DEMANDS!$G$2:$CK$25,MATCH($E144,DEMANDS!$E$2:$E$25,0),FALSE)/HLOOKUP(2018,DEMANDS!$G$2:$CK$25,MATCH($E144,DEMANDS!$E$2:$E$25,0),FALSE)</f>
        <v>0.15859721690909456</v>
      </c>
      <c r="V144" s="19">
        <f>HLOOKUP(REG_TRA_DEMANDS!V$3,'BY-Demands'!$J$5:$AK$14,MATCH($E144,'BY-Demands'!$I$5:$I$14,0),FALSE)*HLOOKUP(REG_TRA_DEMANDS!$F144,DEMANDS!$G$2:$CK$25,MATCH($E144,DEMANDS!$E$2:$E$25,0),FALSE)/HLOOKUP(2018,DEMANDS!$G$2:$CK$25,MATCH($E144,DEMANDS!$E$2:$E$25,0),FALSE)</f>
        <v>0.20926861271548172</v>
      </c>
      <c r="W144" s="19">
        <f>HLOOKUP(REG_TRA_DEMANDS!W$3,'BY-Demands'!$J$5:$AK$14,MATCH($E144,'BY-Demands'!$I$5:$I$14,0),FALSE)*HLOOKUP(REG_TRA_DEMANDS!$F144,DEMANDS!$G$2:$CK$25,MATCH($E144,DEMANDS!$E$2:$E$25,0),FALSE)/HLOOKUP(2018,DEMANDS!$G$2:$CK$25,MATCH($E144,DEMANDS!$E$2:$E$25,0),FALSE)</f>
        <v>0.17131660482913227</v>
      </c>
      <c r="X144" s="19">
        <f>HLOOKUP(REG_TRA_DEMANDS!X$3,'BY-Demands'!$J$5:$AK$14,MATCH($E144,'BY-Demands'!$I$5:$I$14,0),FALSE)*HLOOKUP(REG_TRA_DEMANDS!$F144,DEMANDS!$G$2:$CK$25,MATCH($E144,DEMANDS!$E$2:$E$25,0),FALSE)/HLOOKUP(2018,DEMANDS!$G$2:$CK$25,MATCH($E144,DEMANDS!$E$2:$E$25,0),FALSE)</f>
        <v>0.12474148328536191</v>
      </c>
      <c r="Y144" s="19">
        <f>HLOOKUP(REG_TRA_DEMANDS!Y$3,'BY-Demands'!$J$5:$AK$14,MATCH($E144,'BY-Demands'!$I$5:$I$14,0),FALSE)*HLOOKUP(REG_TRA_DEMANDS!$F144,DEMANDS!$G$2:$CK$25,MATCH($E144,DEMANDS!$E$2:$E$25,0),FALSE)/HLOOKUP(2018,DEMANDS!$G$2:$CK$25,MATCH($E144,DEMANDS!$E$2:$E$25,0),FALSE)</f>
        <v>0.27708423162833901</v>
      </c>
      <c r="Z144" s="19">
        <f>HLOOKUP(REG_TRA_DEMANDS!Z$3,'BY-Demands'!$J$5:$AK$14,MATCH($E144,'BY-Demands'!$I$5:$I$14,0),FALSE)*HLOOKUP(REG_TRA_DEMANDS!$F144,DEMANDS!$G$2:$CK$25,MATCH($E144,DEMANDS!$E$2:$E$25,0),FALSE)/HLOOKUP(2018,DEMANDS!$G$2:$CK$25,MATCH($E144,DEMANDS!$E$2:$E$25,0),FALSE)</f>
        <v>0.034406556348954558</v>
      </c>
      <c r="AA144" s="19">
        <f>HLOOKUP(REG_TRA_DEMANDS!AA$3,'BY-Demands'!$J$5:$AK$14,MATCH($E144,'BY-Demands'!$I$5:$I$14,0),FALSE)*HLOOKUP(REG_TRA_DEMANDS!$F144,DEMANDS!$G$2:$CK$25,MATCH($E144,DEMANDS!$E$2:$E$25,0),FALSE)/HLOOKUP(2018,DEMANDS!$G$2:$CK$25,MATCH($E144,DEMANDS!$E$2:$E$25,0),FALSE)</f>
        <v>0.14012908655077402</v>
      </c>
      <c r="AB144" s="19">
        <f>HLOOKUP(REG_TRA_DEMANDS!AB$3,'BY-Demands'!$J$5:$AK$14,MATCH($E144,'BY-Demands'!$I$5:$I$14,0),FALSE)*HLOOKUP(REG_TRA_DEMANDS!$F144,DEMANDS!$G$2:$CK$25,MATCH($E144,DEMANDS!$E$2:$E$25,0),FALSE)/HLOOKUP(2018,DEMANDS!$G$2:$CK$25,MATCH($E144,DEMANDS!$E$2:$E$25,0),FALSE)</f>
        <v>0.069302732898106317</v>
      </c>
      <c r="AC144" s="19">
        <f>HLOOKUP(REG_TRA_DEMANDS!AC$3,'BY-Demands'!$J$5:$AK$14,MATCH($E144,'BY-Demands'!$I$5:$I$14,0),FALSE)*HLOOKUP(REG_TRA_DEMANDS!$F144,DEMANDS!$G$2:$CK$25,MATCH($E144,DEMANDS!$E$2:$E$25,0),FALSE)/HLOOKUP(2018,DEMANDS!$G$2:$CK$25,MATCH($E144,DEMANDS!$E$2:$E$25,0),FALSE)</f>
        <v>0.070366797850728177</v>
      </c>
      <c r="AD144" s="19">
        <f>HLOOKUP(REG_TRA_DEMANDS!AD$3,'BY-Demands'!$J$5:$AK$14,MATCH($E144,'BY-Demands'!$I$5:$I$14,0),FALSE)*HLOOKUP(REG_TRA_DEMANDS!$F144,DEMANDS!$G$2:$CK$25,MATCH($E144,DEMANDS!$E$2:$E$25,0),FALSE)/HLOOKUP(2018,DEMANDS!$G$2:$CK$25,MATCH($E144,DEMANDS!$E$2:$E$25,0),FALSE)</f>
        <v>0.081792342917175062</v>
      </c>
      <c r="AE144" s="19">
        <f>HLOOKUP(REG_TRA_DEMANDS!AE$3,'BY-Demands'!$J$5:$AK$14,MATCH($E144,'BY-Demands'!$I$5:$I$14,0),FALSE)*HLOOKUP(REG_TRA_DEMANDS!$F144,DEMANDS!$G$2:$CK$25,MATCH($E144,DEMANDS!$E$2:$E$25,0),FALSE)/HLOOKUP(2018,DEMANDS!$G$2:$CK$25,MATCH($E144,DEMANDS!$E$2:$E$25,0),FALSE)</f>
        <v>0.17092898883731</v>
      </c>
      <c r="AF144" s="19">
        <f>HLOOKUP(REG_TRA_DEMANDS!AF$3,'BY-Demands'!$J$5:$AK$14,MATCH($E144,'BY-Demands'!$I$5:$I$14,0),FALSE)*HLOOKUP(REG_TRA_DEMANDS!$F144,DEMANDS!$G$2:$CK$25,MATCH($E144,DEMANDS!$E$2:$E$25,0),FALSE)/HLOOKUP(2018,DEMANDS!$G$2:$CK$25,MATCH($E144,DEMANDS!$E$2:$E$25,0),FALSE)</f>
        <v>0.065911898266037938</v>
      </c>
    </row>
    <row r="145" spans="4:32" ht="14.5">
      <c r="D145" t="s">
        <v>6</v>
      </c>
      <c r="E145" t="str">
        <f>DEMANDS!$E$22</f>
        <v>TNAV</v>
      </c>
      <c r="F145">
        <v>2026</v>
      </c>
      <c r="G145" s="19">
        <f>HLOOKUP(REG_TRA_DEMANDS!G$3,'BY-Demands'!$J$5:$AK$14,MATCH($E145,'BY-Demands'!$I$5:$I$14,0),FALSE)*HLOOKUP(REG_TRA_DEMANDS!$F145,DEMANDS!$G$2:$CK$25,MATCH($E145,DEMANDS!$E$2:$E$25,0),FALSE)/HLOOKUP(2018,DEMANDS!$G$2:$CK$25,MATCH($E145,DEMANDS!$E$2:$E$25,0),FALSE)</f>
        <v>0.06306938746827187</v>
      </c>
      <c r="H145" s="19">
        <f>HLOOKUP(REG_TRA_DEMANDS!H$3,'BY-Demands'!$J$5:$AK$14,MATCH($E145,'BY-Demands'!$I$5:$I$14,0),FALSE)*HLOOKUP(REG_TRA_DEMANDS!$F145,DEMANDS!$G$2:$CK$25,MATCH($E145,DEMANDS!$E$2:$E$25,0),FALSE)/HLOOKUP(2018,DEMANDS!$G$2:$CK$25,MATCH($E145,DEMANDS!$E$2:$E$25,0),FALSE)</f>
        <v>1.4926070896835444</v>
      </c>
      <c r="I145" s="19">
        <f>HLOOKUP(REG_TRA_DEMANDS!I$3,'BY-Demands'!$J$5:$AK$14,MATCH($E145,'BY-Demands'!$I$5:$I$14,0),FALSE)*HLOOKUP(REG_TRA_DEMANDS!$F145,DEMANDS!$G$2:$CK$25,MATCH($E145,DEMANDS!$E$2:$E$25,0),FALSE)/HLOOKUP(2018,DEMANDS!$G$2:$CK$25,MATCH($E145,DEMANDS!$E$2:$E$25,0),FALSE)</f>
        <v>0.24649039185766117</v>
      </c>
      <c r="J145" s="19">
        <f>HLOOKUP(REG_TRA_DEMANDS!J$3,'BY-Demands'!$J$5:$AK$14,MATCH($E145,'BY-Demands'!$I$5:$I$14,0),FALSE)*HLOOKUP(REG_TRA_DEMANDS!$F145,DEMANDS!$G$2:$CK$25,MATCH($E145,DEMANDS!$E$2:$E$25,0),FALSE)/HLOOKUP(2018,DEMANDS!$G$2:$CK$25,MATCH($E145,DEMANDS!$E$2:$E$25,0),FALSE)</f>
        <v>0.10992941504341242</v>
      </c>
      <c r="K145" s="19">
        <f>HLOOKUP(REG_TRA_DEMANDS!K$3,'BY-Demands'!$J$5:$AK$14,MATCH($E145,'BY-Demands'!$I$5:$I$14,0),FALSE)*HLOOKUP(REG_TRA_DEMANDS!$F145,DEMANDS!$G$2:$CK$25,MATCH($E145,DEMANDS!$E$2:$E$25,0),FALSE)/HLOOKUP(2018,DEMANDS!$G$2:$CK$25,MATCH($E145,DEMANDS!$E$2:$E$25,0),FALSE)</f>
        <v>0.093827511951103518</v>
      </c>
      <c r="L145" s="19">
        <f>HLOOKUP(REG_TRA_DEMANDS!L$3,'BY-Demands'!$J$5:$AK$14,MATCH($E145,'BY-Demands'!$I$5:$I$14,0),FALSE)*HLOOKUP(REG_TRA_DEMANDS!$F145,DEMANDS!$G$2:$CK$25,MATCH($E145,DEMANDS!$E$2:$E$25,0),FALSE)/HLOOKUP(2018,DEMANDS!$G$2:$CK$25,MATCH($E145,DEMANDS!$E$2:$E$25,0),FALSE)</f>
        <v>0.045279194020773447</v>
      </c>
      <c r="M145" s="19">
        <f>HLOOKUP(REG_TRA_DEMANDS!M$3,'BY-Demands'!$J$5:$AK$14,MATCH($E145,'BY-Demands'!$I$5:$I$14,0),FALSE)*HLOOKUP(REG_TRA_DEMANDS!$F145,DEMANDS!$G$2:$CK$25,MATCH($E145,DEMANDS!$E$2:$E$25,0),FALSE)/HLOOKUP(2018,DEMANDS!$G$2:$CK$25,MATCH($E145,DEMANDS!$E$2:$E$25,0),FALSE)</f>
        <v>0.14277796203296489</v>
      </c>
      <c r="N145" s="19">
        <f>HLOOKUP(REG_TRA_DEMANDS!N$3,'BY-Demands'!$J$5:$AK$14,MATCH($E145,'BY-Demands'!$I$5:$I$14,0),FALSE)*HLOOKUP(REG_TRA_DEMANDS!$F145,DEMANDS!$G$2:$CK$25,MATCH($E145,DEMANDS!$E$2:$E$25,0),FALSE)/HLOOKUP(2018,DEMANDS!$G$2:$CK$25,MATCH($E145,DEMANDS!$E$2:$E$25,0),FALSE)</f>
        <v>0.21607014700628202</v>
      </c>
      <c r="O145" s="19">
        <f>HLOOKUP(REG_TRA_DEMANDS!O$3,'BY-Demands'!$J$5:$AK$14,MATCH($E145,'BY-Demands'!$I$5:$I$14,0),FALSE)*HLOOKUP(REG_TRA_DEMANDS!$F145,DEMANDS!$G$2:$CK$25,MATCH($E145,DEMANDS!$E$2:$E$25,0),FALSE)/HLOOKUP(2018,DEMANDS!$G$2:$CK$25,MATCH($E145,DEMANDS!$E$2:$E$25,0),FALSE)</f>
        <v>0.0863653572053317</v>
      </c>
      <c r="P145" s="19">
        <f>HLOOKUP(REG_TRA_DEMANDS!P$3,'BY-Demands'!$J$5:$AK$14,MATCH($E145,'BY-Demands'!$I$5:$I$14,0),FALSE)*HLOOKUP(REG_TRA_DEMANDS!$F145,DEMANDS!$G$2:$CK$25,MATCH($E145,DEMANDS!$E$2:$E$25,0),FALSE)/HLOOKUP(2018,DEMANDS!$G$2:$CK$25,MATCH($E145,DEMANDS!$E$2:$E$25,0),FALSE)</f>
        <v>0.098339589783575154</v>
      </c>
      <c r="Q145" s="19">
        <f>HLOOKUP(REG_TRA_DEMANDS!Q$3,'BY-Demands'!$J$5:$AK$14,MATCH($E145,'BY-Demands'!$I$5:$I$14,0),FALSE)*HLOOKUP(REG_TRA_DEMANDS!$F145,DEMANDS!$G$2:$CK$25,MATCH($E145,DEMANDS!$E$2:$E$25,0),FALSE)/HLOOKUP(2018,DEMANDS!$G$2:$CK$25,MATCH($E145,DEMANDS!$E$2:$E$25,0),FALSE)</f>
        <v>0.16586234157459132</v>
      </c>
      <c r="R145" s="19">
        <f>HLOOKUP(REG_TRA_DEMANDS!R$3,'BY-Demands'!$J$5:$AK$14,MATCH($E145,'BY-Demands'!$I$5:$I$14,0),FALSE)*HLOOKUP(REG_TRA_DEMANDS!$F145,DEMANDS!$G$2:$CK$25,MATCH($E145,DEMANDS!$E$2:$E$25,0),FALSE)/HLOOKUP(2018,DEMANDS!$G$2:$CK$25,MATCH($E145,DEMANDS!$E$2:$E$25,0),FALSE)</f>
        <v>0.15777870986736142</v>
      </c>
      <c r="S145" s="19">
        <f>HLOOKUP(REG_TRA_DEMANDS!S$3,'BY-Demands'!$J$5:$AK$14,MATCH($E145,'BY-Demands'!$I$5:$I$14,0),FALSE)*HLOOKUP(REG_TRA_DEMANDS!$F145,DEMANDS!$G$2:$CK$25,MATCH($E145,DEMANDS!$E$2:$E$25,0),FALSE)/HLOOKUP(2018,DEMANDS!$G$2:$CK$25,MATCH($E145,DEMANDS!$E$2:$E$25,0),FALSE)</f>
        <v>0.13162571859090955</v>
      </c>
      <c r="T145" s="19">
        <f>HLOOKUP(REG_TRA_DEMANDS!T$3,'BY-Demands'!$J$5:$AK$14,MATCH($E145,'BY-Demands'!$I$5:$I$14,0),FALSE)*HLOOKUP(REG_TRA_DEMANDS!$F145,DEMANDS!$G$2:$CK$25,MATCH($E145,DEMANDS!$E$2:$E$25,0),FALSE)/HLOOKUP(2018,DEMANDS!$G$2:$CK$25,MATCH($E145,DEMANDS!$E$2:$E$25,0),FALSE)</f>
        <v>0.60139029431823643</v>
      </c>
      <c r="U145" s="19">
        <f>HLOOKUP(REG_TRA_DEMANDS!U$3,'BY-Demands'!$J$5:$AK$14,MATCH($E145,'BY-Demands'!$I$5:$I$14,0),FALSE)*HLOOKUP(REG_TRA_DEMANDS!$F145,DEMANDS!$G$2:$CK$25,MATCH($E145,DEMANDS!$E$2:$E$25,0),FALSE)/HLOOKUP(2018,DEMANDS!$G$2:$CK$25,MATCH($E145,DEMANDS!$E$2:$E$25,0),FALSE)</f>
        <v>0.1636301204028674</v>
      </c>
      <c r="V145" s="19">
        <f>HLOOKUP(REG_TRA_DEMANDS!V$3,'BY-Demands'!$J$5:$AK$14,MATCH($E145,'BY-Demands'!$I$5:$I$14,0),FALSE)*HLOOKUP(REG_TRA_DEMANDS!$F145,DEMANDS!$G$2:$CK$25,MATCH($E145,DEMANDS!$E$2:$E$25,0),FALSE)/HLOOKUP(2018,DEMANDS!$G$2:$CK$25,MATCH($E145,DEMANDS!$E$2:$E$25,0),FALSE)</f>
        <v>0.21590951570608363</v>
      </c>
      <c r="W145" s="19">
        <f>HLOOKUP(REG_TRA_DEMANDS!W$3,'BY-Demands'!$J$5:$AK$14,MATCH($E145,'BY-Demands'!$I$5:$I$14,0),FALSE)*HLOOKUP(REG_TRA_DEMANDS!$F145,DEMANDS!$G$2:$CK$25,MATCH($E145,DEMANDS!$E$2:$E$25,0),FALSE)/HLOOKUP(2018,DEMANDS!$G$2:$CK$25,MATCH($E145,DEMANDS!$E$2:$E$25,0),FALSE)</f>
        <v>0.17675314372804657</v>
      </c>
      <c r="X145" s="19">
        <f>HLOOKUP(REG_TRA_DEMANDS!X$3,'BY-Demands'!$J$5:$AK$14,MATCH($E145,'BY-Demands'!$I$5:$I$14,0),FALSE)*HLOOKUP(REG_TRA_DEMANDS!$F145,DEMANDS!$G$2:$CK$25,MATCH($E145,DEMANDS!$E$2:$E$25,0),FALSE)/HLOOKUP(2018,DEMANDS!$G$2:$CK$25,MATCH($E145,DEMANDS!$E$2:$E$25,0),FALSE)</f>
        <v>0.1287000133231567</v>
      </c>
      <c r="Y145" s="19">
        <f>HLOOKUP(REG_TRA_DEMANDS!Y$3,'BY-Demands'!$J$5:$AK$14,MATCH($E145,'BY-Demands'!$I$5:$I$14,0),FALSE)*HLOOKUP(REG_TRA_DEMANDS!$F145,DEMANDS!$G$2:$CK$25,MATCH($E145,DEMANDS!$E$2:$E$25,0),FALSE)/HLOOKUP(2018,DEMANDS!$G$2:$CK$25,MATCH($E145,DEMANDS!$E$2:$E$25,0),FALSE)</f>
        <v>0.28587718666632661</v>
      </c>
      <c r="Z145" s="19">
        <f>HLOOKUP(REG_TRA_DEMANDS!Z$3,'BY-Demands'!$J$5:$AK$14,MATCH($E145,'BY-Demands'!$I$5:$I$14,0),FALSE)*HLOOKUP(REG_TRA_DEMANDS!$F145,DEMANDS!$G$2:$CK$25,MATCH($E145,DEMANDS!$E$2:$E$25,0),FALSE)/HLOOKUP(2018,DEMANDS!$G$2:$CK$25,MATCH($E145,DEMANDS!$E$2:$E$25,0),FALSE)</f>
        <v>0.03549840954179212</v>
      </c>
      <c r="AA145" s="19">
        <f>HLOOKUP(REG_TRA_DEMANDS!AA$3,'BY-Demands'!$J$5:$AK$14,MATCH($E145,'BY-Demands'!$I$5:$I$14,0),FALSE)*HLOOKUP(REG_TRA_DEMANDS!$F145,DEMANDS!$G$2:$CK$25,MATCH($E145,DEMANDS!$E$2:$E$25,0),FALSE)/HLOOKUP(2018,DEMANDS!$G$2:$CK$25,MATCH($E145,DEMANDS!$E$2:$E$25,0),FALSE)</f>
        <v>0.1445759247931174</v>
      </c>
      <c r="AB145" s="19">
        <f>HLOOKUP(REG_TRA_DEMANDS!AB$3,'BY-Demands'!$J$5:$AK$14,MATCH($E145,'BY-Demands'!$I$5:$I$14,0),FALSE)*HLOOKUP(REG_TRA_DEMANDS!$F145,DEMANDS!$G$2:$CK$25,MATCH($E145,DEMANDS!$E$2:$E$25,0),FALSE)/HLOOKUP(2018,DEMANDS!$G$2:$CK$25,MATCH($E145,DEMANDS!$E$2:$E$25,0),FALSE)</f>
        <v>0.071501976827656535</v>
      </c>
      <c r="AC145" s="19">
        <f>HLOOKUP(REG_TRA_DEMANDS!AC$3,'BY-Demands'!$J$5:$AK$14,MATCH($E145,'BY-Demands'!$I$5:$I$14,0),FALSE)*HLOOKUP(REG_TRA_DEMANDS!$F145,DEMANDS!$G$2:$CK$25,MATCH($E145,DEMANDS!$E$2:$E$25,0),FALSE)/HLOOKUP(2018,DEMANDS!$G$2:$CK$25,MATCH($E145,DEMANDS!$E$2:$E$25,0),FALSE)</f>
        <v>0.07259980867935785</v>
      </c>
      <c r="AD145" s="19">
        <f>HLOOKUP(REG_TRA_DEMANDS!AD$3,'BY-Demands'!$J$5:$AK$14,MATCH($E145,'BY-Demands'!$I$5:$I$14,0),FALSE)*HLOOKUP(REG_TRA_DEMANDS!$F145,DEMANDS!$G$2:$CK$25,MATCH($E145,DEMANDS!$E$2:$E$25,0),FALSE)/HLOOKUP(2018,DEMANDS!$G$2:$CK$25,MATCH($E145,DEMANDS!$E$2:$E$25,0),FALSE)</f>
        <v>0.084387930509785034</v>
      </c>
      <c r="AE145" s="19">
        <f>HLOOKUP(REG_TRA_DEMANDS!AE$3,'BY-Demands'!$J$5:$AK$14,MATCH($E145,'BY-Demands'!$I$5:$I$14,0),FALSE)*HLOOKUP(REG_TRA_DEMANDS!$F145,DEMANDS!$G$2:$CK$25,MATCH($E145,DEMANDS!$E$2:$E$25,0),FALSE)/HLOOKUP(2018,DEMANDS!$G$2:$CK$25,MATCH($E145,DEMANDS!$E$2:$E$25,0),FALSE)</f>
        <v>0.17635322718065655</v>
      </c>
      <c r="AF145" s="19">
        <f>HLOOKUP(REG_TRA_DEMANDS!AF$3,'BY-Demands'!$J$5:$AK$14,MATCH($E145,'BY-Demands'!$I$5:$I$14,0),FALSE)*HLOOKUP(REG_TRA_DEMANDS!$F145,DEMANDS!$G$2:$CK$25,MATCH($E145,DEMANDS!$E$2:$E$25,0),FALSE)/HLOOKUP(2018,DEMANDS!$G$2:$CK$25,MATCH($E145,DEMANDS!$E$2:$E$25,0),FALSE)</f>
        <v>0.068003537889540819</v>
      </c>
    </row>
    <row r="146" spans="4:32" ht="14.5">
      <c r="D146" t="s">
        <v>6</v>
      </c>
      <c r="E146" t="str">
        <f>DEMANDS!$E$22</f>
        <v>TNAV</v>
      </c>
      <c r="F146">
        <v>2027</v>
      </c>
      <c r="G146" s="19">
        <f>HLOOKUP(REG_TRA_DEMANDS!G$3,'BY-Demands'!$J$5:$AK$14,MATCH($E146,'BY-Demands'!$I$5:$I$14,0),FALSE)*HLOOKUP(REG_TRA_DEMANDS!$F146,DEMANDS!$G$2:$CK$25,MATCH($E146,DEMANDS!$E$2:$E$25,0),FALSE)/HLOOKUP(2018,DEMANDS!$G$2:$CK$25,MATCH($E146,DEMANDS!$E$2:$E$25,0),FALSE)</f>
        <v>0.065056469926175434</v>
      </c>
      <c r="H146" s="19">
        <f>HLOOKUP(REG_TRA_DEMANDS!H$3,'BY-Demands'!$J$5:$AK$14,MATCH($E146,'BY-Demands'!$I$5:$I$14,0),FALSE)*HLOOKUP(REG_TRA_DEMANDS!$F146,DEMANDS!$G$2:$CK$25,MATCH($E146,DEMANDS!$E$2:$E$25,0),FALSE)/HLOOKUP(2018,DEMANDS!$G$2:$CK$25,MATCH($E146,DEMANDS!$E$2:$E$25,0),FALSE)</f>
        <v>1.5396336026006823</v>
      </c>
      <c r="I146" s="19">
        <f>HLOOKUP(REG_TRA_DEMANDS!I$3,'BY-Demands'!$J$5:$AK$14,MATCH($E146,'BY-Demands'!$I$5:$I$14,0),FALSE)*HLOOKUP(REG_TRA_DEMANDS!$F146,DEMANDS!$G$2:$CK$25,MATCH($E146,DEMANDS!$E$2:$E$25,0),FALSE)/HLOOKUP(2018,DEMANDS!$G$2:$CK$25,MATCH($E146,DEMANDS!$E$2:$E$25,0),FALSE)</f>
        <v>0.25425638980632576</v>
      </c>
      <c r="J146" s="19">
        <f>HLOOKUP(REG_TRA_DEMANDS!J$3,'BY-Demands'!$J$5:$AK$14,MATCH($E146,'BY-Demands'!$I$5:$I$14,0),FALSE)*HLOOKUP(REG_TRA_DEMANDS!$F146,DEMANDS!$G$2:$CK$25,MATCH($E146,DEMANDS!$E$2:$E$25,0),FALSE)/HLOOKUP(2018,DEMANDS!$G$2:$CK$25,MATCH($E146,DEMANDS!$E$2:$E$25,0),FALSE)</f>
        <v>0.11339288315383686</v>
      </c>
      <c r="K146" s="19">
        <f>HLOOKUP(REG_TRA_DEMANDS!K$3,'BY-Demands'!$J$5:$AK$14,MATCH($E146,'BY-Demands'!$I$5:$I$14,0),FALSE)*HLOOKUP(REG_TRA_DEMANDS!$F146,DEMANDS!$G$2:$CK$25,MATCH($E146,DEMANDS!$E$2:$E$25,0),FALSE)/HLOOKUP(2018,DEMANDS!$G$2:$CK$25,MATCH($E146,DEMANDS!$E$2:$E$25,0),FALSE)</f>
        <v>0.096783668821353239</v>
      </c>
      <c r="L146" s="19">
        <f>HLOOKUP(REG_TRA_DEMANDS!L$3,'BY-Demands'!$J$5:$AK$14,MATCH($E146,'BY-Demands'!$I$5:$I$14,0),FALSE)*HLOOKUP(REG_TRA_DEMANDS!$F146,DEMANDS!$G$2:$CK$25,MATCH($E146,DEMANDS!$E$2:$E$25,0),FALSE)/HLOOKUP(2018,DEMANDS!$G$2:$CK$25,MATCH($E146,DEMANDS!$E$2:$E$25,0),FALSE)</f>
        <v>0.046705773471730584</v>
      </c>
      <c r="M146" s="19">
        <f>HLOOKUP(REG_TRA_DEMANDS!M$3,'BY-Demands'!$J$5:$AK$14,MATCH($E146,'BY-Demands'!$I$5:$I$14,0),FALSE)*HLOOKUP(REG_TRA_DEMANDS!$F146,DEMANDS!$G$2:$CK$25,MATCH($E146,DEMANDS!$E$2:$E$25,0),FALSE)/HLOOKUP(2018,DEMANDS!$G$2:$CK$25,MATCH($E146,DEMANDS!$E$2:$E$25,0),FALSE)</f>
        <v>0.14727636601498628</v>
      </c>
      <c r="N146" s="19">
        <f>HLOOKUP(REG_TRA_DEMANDS!N$3,'BY-Demands'!$J$5:$AK$14,MATCH($E146,'BY-Demands'!$I$5:$I$14,0),FALSE)*HLOOKUP(REG_TRA_DEMANDS!$F146,DEMANDS!$G$2:$CK$25,MATCH($E146,DEMANDS!$E$2:$E$25,0),FALSE)/HLOOKUP(2018,DEMANDS!$G$2:$CK$25,MATCH($E146,DEMANDS!$E$2:$E$25,0),FALSE)</f>
        <v>0.2228777158765016</v>
      </c>
      <c r="O146" s="19">
        <f>HLOOKUP(REG_TRA_DEMANDS!O$3,'BY-Demands'!$J$5:$AK$14,MATCH($E146,'BY-Demands'!$I$5:$I$14,0),FALSE)*HLOOKUP(REG_TRA_DEMANDS!$F146,DEMANDS!$G$2:$CK$25,MATCH($E146,DEMANDS!$E$2:$E$25,0),FALSE)/HLOOKUP(2018,DEMANDS!$G$2:$CK$25,MATCH($E146,DEMANDS!$E$2:$E$25,0),FALSE)</f>
        <v>0.089086409258669355</v>
      </c>
      <c r="P146" s="19">
        <f>HLOOKUP(REG_TRA_DEMANDS!P$3,'BY-Demands'!$J$5:$AK$14,MATCH($E146,'BY-Demands'!$I$5:$I$14,0),FALSE)*HLOOKUP(REG_TRA_DEMANDS!$F146,DEMANDS!$G$2:$CK$25,MATCH($E146,DEMANDS!$E$2:$E$25,0),FALSE)/HLOOKUP(2018,DEMANDS!$G$2:$CK$25,MATCH($E146,DEMANDS!$E$2:$E$25,0),FALSE)</f>
        <v>0.10143790548982294</v>
      </c>
      <c r="Q146" s="19">
        <f>HLOOKUP(REG_TRA_DEMANDS!Q$3,'BY-Demands'!$J$5:$AK$14,MATCH($E146,'BY-Demands'!$I$5:$I$14,0),FALSE)*HLOOKUP(REG_TRA_DEMANDS!$F146,DEMANDS!$G$2:$CK$25,MATCH($E146,DEMANDS!$E$2:$E$25,0),FALSE)/HLOOKUP(2018,DEMANDS!$G$2:$CK$25,MATCH($E146,DEMANDS!$E$2:$E$25,0),FALSE)</f>
        <v>0.1710880487298333</v>
      </c>
      <c r="R146" s="19">
        <f>HLOOKUP(REG_TRA_DEMANDS!R$3,'BY-Demands'!$J$5:$AK$14,MATCH($E146,'BY-Demands'!$I$5:$I$14,0),FALSE)*HLOOKUP(REG_TRA_DEMANDS!$F146,DEMANDS!$G$2:$CK$25,MATCH($E146,DEMANDS!$E$2:$E$25,0),FALSE)/HLOOKUP(2018,DEMANDS!$G$2:$CK$25,MATCH($E146,DEMANDS!$E$2:$E$25,0),FALSE)</f>
        <v>0.16274973177185997</v>
      </c>
      <c r="S146" s="19">
        <f>HLOOKUP(REG_TRA_DEMANDS!S$3,'BY-Demands'!$J$5:$AK$14,MATCH($E146,'BY-Demands'!$I$5:$I$14,0),FALSE)*HLOOKUP(REG_TRA_DEMANDS!$F146,DEMANDS!$G$2:$CK$25,MATCH($E146,DEMANDS!$E$2:$E$25,0),FALSE)/HLOOKUP(2018,DEMANDS!$G$2:$CK$25,MATCH($E146,DEMANDS!$E$2:$E$25,0),FALSE)</f>
        <v>0.13577275674872458</v>
      </c>
      <c r="T146" s="19">
        <f>HLOOKUP(REG_TRA_DEMANDS!T$3,'BY-Demands'!$J$5:$AK$14,MATCH($E146,'BY-Demands'!$I$5:$I$14,0),FALSE)*HLOOKUP(REG_TRA_DEMANDS!$F146,DEMANDS!$G$2:$CK$25,MATCH($E146,DEMANDS!$E$2:$E$25,0),FALSE)/HLOOKUP(2018,DEMANDS!$G$2:$CK$25,MATCH($E146,DEMANDS!$E$2:$E$25,0),FALSE)</f>
        <v>0.62033787177480182</v>
      </c>
      <c r="U146" s="19">
        <f>HLOOKUP(REG_TRA_DEMANDS!U$3,'BY-Demands'!$J$5:$AK$14,MATCH($E146,'BY-Demands'!$I$5:$I$14,0),FALSE)*HLOOKUP(REG_TRA_DEMANDS!$F146,DEMANDS!$G$2:$CK$25,MATCH($E146,DEMANDS!$E$2:$E$25,0),FALSE)/HLOOKUP(2018,DEMANDS!$G$2:$CK$25,MATCH($E146,DEMANDS!$E$2:$E$25,0),FALSE)</f>
        <v>0.16878549854889355</v>
      </c>
      <c r="V146" s="19">
        <f>HLOOKUP(REG_TRA_DEMANDS!V$3,'BY-Demands'!$J$5:$AK$14,MATCH($E146,'BY-Demands'!$I$5:$I$14,0),FALSE)*HLOOKUP(REG_TRA_DEMANDS!$F146,DEMANDS!$G$2:$CK$25,MATCH($E146,DEMANDS!$E$2:$E$25,0),FALSE)/HLOOKUP(2018,DEMANDS!$G$2:$CK$25,MATCH($E146,DEMANDS!$E$2:$E$25,0),FALSE)</f>
        <v>0.2227120236798584</v>
      </c>
      <c r="W146" s="19">
        <f>HLOOKUP(REG_TRA_DEMANDS!W$3,'BY-Demands'!$J$5:$AK$14,MATCH($E146,'BY-Demands'!$I$5:$I$14,0),FALSE)*HLOOKUP(REG_TRA_DEMANDS!$F146,DEMANDS!$G$2:$CK$25,MATCH($E146,DEMANDS!$E$2:$E$25,0),FALSE)/HLOOKUP(2018,DEMANDS!$G$2:$CK$25,MATCH($E146,DEMANDS!$E$2:$E$25,0),FALSE)</f>
        <v>0.18232197966224675</v>
      </c>
      <c r="X146" s="19">
        <f>HLOOKUP(REG_TRA_DEMANDS!X$3,'BY-Demands'!$J$5:$AK$14,MATCH($E146,'BY-Demands'!$I$5:$I$14,0),FALSE)*HLOOKUP(REG_TRA_DEMANDS!$F146,DEMANDS!$G$2:$CK$25,MATCH($E146,DEMANDS!$E$2:$E$25,0),FALSE)/HLOOKUP(2018,DEMANDS!$G$2:$CK$25,MATCH($E146,DEMANDS!$E$2:$E$25,0),FALSE)</f>
        <v>0.13275487336020797</v>
      </c>
      <c r="Y146" s="19">
        <f>HLOOKUP(REG_TRA_DEMANDS!Y$3,'BY-Demands'!$J$5:$AK$14,MATCH($E146,'BY-Demands'!$I$5:$I$14,0),FALSE)*HLOOKUP(REG_TRA_DEMANDS!$F146,DEMANDS!$G$2:$CK$25,MATCH($E146,DEMANDS!$E$2:$E$25,0),FALSE)/HLOOKUP(2018,DEMANDS!$G$2:$CK$25,MATCH($E146,DEMANDS!$E$2:$E$25,0),FALSE)</f>
        <v>0.29488411642325901</v>
      </c>
      <c r="Z146" s="19">
        <f>HLOOKUP(REG_TRA_DEMANDS!Z$3,'BY-Demands'!$J$5:$AK$14,MATCH($E146,'BY-Demands'!$I$5:$I$14,0),FALSE)*HLOOKUP(REG_TRA_DEMANDS!$F146,DEMANDS!$G$2:$CK$25,MATCH($E146,DEMANDS!$E$2:$E$25,0),FALSE)/HLOOKUP(2018,DEMANDS!$G$2:$CK$25,MATCH($E146,DEMANDS!$E$2:$E$25,0),FALSE)</f>
        <v>0.036616832753361389</v>
      </c>
      <c r="AA146" s="19">
        <f>HLOOKUP(REG_TRA_DEMANDS!AA$3,'BY-Demands'!$J$5:$AK$14,MATCH($E146,'BY-Demands'!$I$5:$I$14,0),FALSE)*HLOOKUP(REG_TRA_DEMANDS!$F146,DEMANDS!$G$2:$CK$25,MATCH($E146,DEMANDS!$E$2:$E$25,0),FALSE)/HLOOKUP(2018,DEMANDS!$G$2:$CK$25,MATCH($E146,DEMANDS!$E$2:$E$25,0),FALSE)</f>
        <v>0.14913097591258659</v>
      </c>
      <c r="AB146" s="19">
        <f>HLOOKUP(REG_TRA_DEMANDS!AB$3,'BY-Demands'!$J$5:$AK$14,MATCH($E146,'BY-Demands'!$I$5:$I$14,0),FALSE)*HLOOKUP(REG_TRA_DEMANDS!$F146,DEMANDS!$G$2:$CK$25,MATCH($E146,DEMANDS!$E$2:$E$25,0),FALSE)/HLOOKUP(2018,DEMANDS!$G$2:$CK$25,MATCH($E146,DEMANDS!$E$2:$E$25,0),FALSE)</f>
        <v>0.073754738897545649</v>
      </c>
      <c r="AC146" s="19">
        <f>HLOOKUP(REG_TRA_DEMANDS!AC$3,'BY-Demands'!$J$5:$AK$14,MATCH($E146,'BY-Demands'!$I$5:$I$14,0),FALSE)*HLOOKUP(REG_TRA_DEMANDS!$F146,DEMANDS!$G$2:$CK$25,MATCH($E146,DEMANDS!$E$2:$E$25,0),FALSE)/HLOOKUP(2018,DEMANDS!$G$2:$CK$25,MATCH($E146,DEMANDS!$E$2:$E$25,0),FALSE)</f>
        <v>0.074887159358742184</v>
      </c>
      <c r="AD146" s="19">
        <f>HLOOKUP(REG_TRA_DEMANDS!AD$3,'BY-Demands'!$J$5:$AK$14,MATCH($E146,'BY-Demands'!$I$5:$I$14,0),FALSE)*HLOOKUP(REG_TRA_DEMANDS!$F146,DEMANDS!$G$2:$CK$25,MATCH($E146,DEMANDS!$E$2:$E$25,0),FALSE)/HLOOKUP(2018,DEMANDS!$G$2:$CK$25,MATCH($E146,DEMANDS!$E$2:$E$25,0),FALSE)</f>
        <v>0.087046681182750343</v>
      </c>
      <c r="AE146" s="19">
        <f>HLOOKUP(REG_TRA_DEMANDS!AE$3,'BY-Demands'!$J$5:$AK$14,MATCH($E146,'BY-Demands'!$I$5:$I$14,0),FALSE)*HLOOKUP(REG_TRA_DEMANDS!$F146,DEMANDS!$G$2:$CK$25,MATCH($E146,DEMANDS!$E$2:$E$25,0),FALSE)/HLOOKUP(2018,DEMANDS!$G$2:$CK$25,MATCH($E146,DEMANDS!$E$2:$E$25,0),FALSE)</f>
        <v>0.18190946322784585</v>
      </c>
      <c r="AF146" s="19">
        <f>HLOOKUP(REG_TRA_DEMANDS!AF$3,'BY-Demands'!$J$5:$AK$14,MATCH($E146,'BY-Demands'!$I$5:$I$14,0),FALSE)*HLOOKUP(REG_TRA_DEMANDS!$F146,DEMANDS!$G$2:$CK$25,MATCH($E146,DEMANDS!$E$2:$E$25,0),FALSE)/HLOOKUP(2018,DEMANDS!$G$2:$CK$25,MATCH($E146,DEMANDS!$E$2:$E$25,0),FALSE)</f>
        <v>0.070146077125135348</v>
      </c>
    </row>
    <row r="147" spans="4:32" ht="14.5">
      <c r="D147" t="s">
        <v>6</v>
      </c>
      <c r="E147" t="str">
        <f>DEMANDS!$E$22</f>
        <v>TNAV</v>
      </c>
      <c r="F147">
        <v>2028</v>
      </c>
      <c r="G147" s="19">
        <f>HLOOKUP(REG_TRA_DEMANDS!G$3,'BY-Demands'!$J$5:$AK$14,MATCH($E147,'BY-Demands'!$I$5:$I$14,0),FALSE)*HLOOKUP(REG_TRA_DEMANDS!$F147,DEMANDS!$G$2:$CK$25,MATCH($E147,DEMANDS!$E$2:$E$25,0),FALSE)/HLOOKUP(2018,DEMANDS!$G$2:$CK$25,MATCH($E147,DEMANDS!$E$2:$E$25,0),FALSE)</f>
        <v>0.067092784811801934</v>
      </c>
      <c r="H147" s="19">
        <f>HLOOKUP(REG_TRA_DEMANDS!H$3,'BY-Demands'!$J$5:$AK$14,MATCH($E147,'BY-Demands'!$I$5:$I$14,0),FALSE)*HLOOKUP(REG_TRA_DEMANDS!$F147,DEMANDS!$G$2:$CK$25,MATCH($E147,DEMANDS!$E$2:$E$25,0),FALSE)/HLOOKUP(2018,DEMANDS!$G$2:$CK$25,MATCH($E147,DEMANDS!$E$2:$E$25,0),FALSE)</f>
        <v>1.5878252555899122</v>
      </c>
      <c r="I147" s="19">
        <f>HLOOKUP(REG_TRA_DEMANDS!I$3,'BY-Demands'!$J$5:$AK$14,MATCH($E147,'BY-Demands'!$I$5:$I$14,0),FALSE)*HLOOKUP(REG_TRA_DEMANDS!$F147,DEMANDS!$G$2:$CK$25,MATCH($E147,DEMANDS!$E$2:$E$25,0),FALSE)/HLOOKUP(2018,DEMANDS!$G$2:$CK$25,MATCH($E147,DEMANDS!$E$2:$E$25,0),FALSE)</f>
        <v>0.26221479996777169</v>
      </c>
      <c r="J147" s="19">
        <f>HLOOKUP(REG_TRA_DEMANDS!J$3,'BY-Demands'!$J$5:$AK$14,MATCH($E147,'BY-Demands'!$I$5:$I$14,0),FALSE)*HLOOKUP(REG_TRA_DEMANDS!$F147,DEMANDS!$G$2:$CK$25,MATCH($E147,DEMANDS!$E$2:$E$25,0),FALSE)/HLOOKUP(2018,DEMANDS!$G$2:$CK$25,MATCH($E147,DEMANDS!$E$2:$E$25,0),FALSE)</f>
        <v>0.11694216297415741</v>
      </c>
      <c r="K147" s="19">
        <f>HLOOKUP(REG_TRA_DEMANDS!K$3,'BY-Demands'!$J$5:$AK$14,MATCH($E147,'BY-Demands'!$I$5:$I$14,0),FALSE)*HLOOKUP(REG_TRA_DEMANDS!$F147,DEMANDS!$G$2:$CK$25,MATCH($E147,DEMANDS!$E$2:$E$25,0),FALSE)/HLOOKUP(2018,DEMANDS!$G$2:$CK$25,MATCH($E147,DEMANDS!$E$2:$E$25,0),FALSE)</f>
        <v>0.099813068137518293</v>
      </c>
      <c r="L147" s="19">
        <f>HLOOKUP(REG_TRA_DEMANDS!L$3,'BY-Demands'!$J$5:$AK$14,MATCH($E147,'BY-Demands'!$I$5:$I$14,0),FALSE)*HLOOKUP(REG_TRA_DEMANDS!$F147,DEMANDS!$G$2:$CK$25,MATCH($E147,DEMANDS!$E$2:$E$25,0),FALSE)/HLOOKUP(2018,DEMANDS!$G$2:$CK$25,MATCH($E147,DEMANDS!$E$2:$E$25,0),FALSE)</f>
        <v>0.048167698194561542</v>
      </c>
      <c r="M147" s="19">
        <f>HLOOKUP(REG_TRA_DEMANDS!M$3,'BY-Demands'!$J$5:$AK$14,MATCH($E147,'BY-Demands'!$I$5:$I$14,0),FALSE)*HLOOKUP(REG_TRA_DEMANDS!$F147,DEMANDS!$G$2:$CK$25,MATCH($E147,DEMANDS!$E$2:$E$25,0),FALSE)/HLOOKUP(2018,DEMANDS!$G$2:$CK$25,MATCH($E147,DEMANDS!$E$2:$E$25,0),FALSE)</f>
        <v>0.15188622352427958</v>
      </c>
      <c r="N147" s="19">
        <f>HLOOKUP(REG_TRA_DEMANDS!N$3,'BY-Demands'!$J$5:$AK$14,MATCH($E147,'BY-Demands'!$I$5:$I$14,0),FALSE)*HLOOKUP(REG_TRA_DEMANDS!$F147,DEMANDS!$G$2:$CK$25,MATCH($E147,DEMANDS!$E$2:$E$25,0),FALSE)/HLOOKUP(2018,DEMANDS!$G$2:$CK$25,MATCH($E147,DEMANDS!$E$2:$E$25,0),FALSE)</f>
        <v>0.22985395069263553</v>
      </c>
      <c r="O147" s="19">
        <f>HLOOKUP(REG_TRA_DEMANDS!O$3,'BY-Demands'!$J$5:$AK$14,MATCH($E147,'BY-Demands'!$I$5:$I$14,0),FALSE)*HLOOKUP(REG_TRA_DEMANDS!$F147,DEMANDS!$G$2:$CK$25,MATCH($E147,DEMANDS!$E$2:$E$25,0),FALSE)/HLOOKUP(2018,DEMANDS!$G$2:$CK$25,MATCH($E147,DEMANDS!$E$2:$E$25,0),FALSE)</f>
        <v>0.091874878745044825</v>
      </c>
      <c r="P147" s="19">
        <f>HLOOKUP(REG_TRA_DEMANDS!P$3,'BY-Demands'!$J$5:$AK$14,MATCH($E147,'BY-Demands'!$I$5:$I$14,0),FALSE)*HLOOKUP(REG_TRA_DEMANDS!$F147,DEMANDS!$G$2:$CK$25,MATCH($E147,DEMANDS!$E$2:$E$25,0),FALSE)/HLOOKUP(2018,DEMANDS!$G$2:$CK$25,MATCH($E147,DEMANDS!$E$2:$E$25,0),FALSE)</f>
        <v>0.10461298580312767</v>
      </c>
      <c r="Q147" s="19">
        <f>HLOOKUP(REG_TRA_DEMANDS!Q$3,'BY-Demands'!$J$5:$AK$14,MATCH($E147,'BY-Demands'!$I$5:$I$14,0),FALSE)*HLOOKUP(REG_TRA_DEMANDS!$F147,DEMANDS!$G$2:$CK$25,MATCH($E147,DEMANDS!$E$2:$E$25,0),FALSE)/HLOOKUP(2018,DEMANDS!$G$2:$CK$25,MATCH($E147,DEMANDS!$E$2:$E$25,0),FALSE)</f>
        <v>0.17644322924879932</v>
      </c>
      <c r="R147" s="19">
        <f>HLOOKUP(REG_TRA_DEMANDS!R$3,'BY-Demands'!$J$5:$AK$14,MATCH($E147,'BY-Demands'!$I$5:$I$14,0),FALSE)*HLOOKUP(REG_TRA_DEMANDS!$F147,DEMANDS!$G$2:$CK$25,MATCH($E147,DEMANDS!$E$2:$E$25,0),FALSE)/HLOOKUP(2018,DEMANDS!$G$2:$CK$25,MATCH($E147,DEMANDS!$E$2:$E$25,0),FALSE)</f>
        <v>0.16784391689771813</v>
      </c>
      <c r="S147" s="19">
        <f>HLOOKUP(REG_TRA_DEMANDS!S$3,'BY-Demands'!$J$5:$AK$14,MATCH($E147,'BY-Demands'!$I$5:$I$14,0),FALSE)*HLOOKUP(REG_TRA_DEMANDS!$F147,DEMANDS!$G$2:$CK$25,MATCH($E147,DEMANDS!$E$2:$E$25,0),FALSE)/HLOOKUP(2018,DEMANDS!$G$2:$CK$25,MATCH($E147,DEMANDS!$E$2:$E$25,0),FALSE)</f>
        <v>0.14002254291055774</v>
      </c>
      <c r="T147" s="19">
        <f>HLOOKUP(REG_TRA_DEMANDS!T$3,'BY-Demands'!$J$5:$AK$14,MATCH($E147,'BY-Demands'!$I$5:$I$14,0),FALSE)*HLOOKUP(REG_TRA_DEMANDS!$F147,DEMANDS!$G$2:$CK$25,MATCH($E147,DEMANDS!$E$2:$E$25,0),FALSE)/HLOOKUP(2018,DEMANDS!$G$2:$CK$25,MATCH($E147,DEMANDS!$E$2:$E$25,0),FALSE)</f>
        <v>0.63975489891824122</v>
      </c>
      <c r="U147" s="19">
        <f>HLOOKUP(REG_TRA_DEMANDS!U$3,'BY-Demands'!$J$5:$AK$14,MATCH($E147,'BY-Demands'!$I$5:$I$14,0),FALSE)*HLOOKUP(REG_TRA_DEMANDS!$F147,DEMANDS!$G$2:$CK$25,MATCH($E147,DEMANDS!$E$2:$E$25,0),FALSE)/HLOOKUP(2018,DEMANDS!$G$2:$CK$25,MATCH($E147,DEMANDS!$E$2:$E$25,0),FALSE)</f>
        <v>0.17406860757037942</v>
      </c>
      <c r="V147" s="19">
        <f>HLOOKUP(REG_TRA_DEMANDS!V$3,'BY-Demands'!$J$5:$AK$14,MATCH($E147,'BY-Demands'!$I$5:$I$14,0),FALSE)*HLOOKUP(REG_TRA_DEMANDS!$F147,DEMANDS!$G$2:$CK$25,MATCH($E147,DEMANDS!$E$2:$E$25,0),FALSE)/HLOOKUP(2018,DEMANDS!$G$2:$CK$25,MATCH($E147,DEMANDS!$E$2:$E$25,0),FALSE)</f>
        <v>0.22968307220957318</v>
      </c>
      <c r="W147" s="19">
        <f>HLOOKUP(REG_TRA_DEMANDS!W$3,'BY-Demands'!$J$5:$AK$14,MATCH($E147,'BY-Demands'!$I$5:$I$14,0),FALSE)*HLOOKUP(REG_TRA_DEMANDS!$F147,DEMANDS!$G$2:$CK$25,MATCH($E147,DEMANDS!$E$2:$E$25,0),FALSE)/HLOOKUP(2018,DEMANDS!$G$2:$CK$25,MATCH($E147,DEMANDS!$E$2:$E$25,0),FALSE)</f>
        <v>0.18802879040043202</v>
      </c>
      <c r="X147" s="19">
        <f>HLOOKUP(REG_TRA_DEMANDS!X$3,'BY-Demands'!$J$5:$AK$14,MATCH($E147,'BY-Demands'!$I$5:$I$14,0),FALSE)*HLOOKUP(REG_TRA_DEMANDS!$F147,DEMANDS!$G$2:$CK$25,MATCH($E147,DEMANDS!$E$2:$E$25,0),FALSE)/HLOOKUP(2018,DEMANDS!$G$2:$CK$25,MATCH($E147,DEMANDS!$E$2:$E$25,0),FALSE)</f>
        <v>0.13691019757422723</v>
      </c>
      <c r="Y147" s="19">
        <f>HLOOKUP(REG_TRA_DEMANDS!Y$3,'BY-Demands'!$J$5:$AK$14,MATCH($E147,'BY-Demands'!$I$5:$I$14,0),FALSE)*HLOOKUP(REG_TRA_DEMANDS!$F147,DEMANDS!$G$2:$CK$25,MATCH($E147,DEMANDS!$E$2:$E$25,0),FALSE)/HLOOKUP(2018,DEMANDS!$G$2:$CK$25,MATCH($E147,DEMANDS!$E$2:$E$25,0),FALSE)</f>
        <v>0.30411420401468398</v>
      </c>
      <c r="Z147" s="19">
        <f>HLOOKUP(REG_TRA_DEMANDS!Z$3,'BY-Demands'!$J$5:$AK$14,MATCH($E147,'BY-Demands'!$I$5:$I$14,0),FALSE)*HLOOKUP(REG_TRA_DEMANDS!$F147,DEMANDS!$G$2:$CK$25,MATCH($E147,DEMANDS!$E$2:$E$25,0),FALSE)/HLOOKUP(2018,DEMANDS!$G$2:$CK$25,MATCH($E147,DEMANDS!$E$2:$E$25,0),FALSE)</f>
        <v>0.037762966284504082</v>
      </c>
      <c r="AA147" s="19">
        <f>HLOOKUP(REG_TRA_DEMANDS!AA$3,'BY-Demands'!$J$5:$AK$14,MATCH($E147,'BY-Demands'!$I$5:$I$14,0),FALSE)*HLOOKUP(REG_TRA_DEMANDS!$F147,DEMANDS!$G$2:$CK$25,MATCH($E147,DEMANDS!$E$2:$E$25,0),FALSE)/HLOOKUP(2018,DEMANDS!$G$2:$CK$25,MATCH($E147,DEMANDS!$E$2:$E$25,0),FALSE)</f>
        <v>0.15379888406228198</v>
      </c>
      <c r="AB147" s="19">
        <f>HLOOKUP(REG_TRA_DEMANDS!AB$3,'BY-Demands'!$J$5:$AK$14,MATCH($E147,'BY-Demands'!$I$5:$I$14,0),FALSE)*HLOOKUP(REG_TRA_DEMANDS!$F147,DEMANDS!$G$2:$CK$25,MATCH($E147,DEMANDS!$E$2:$E$25,0),FALSE)/HLOOKUP(2018,DEMANDS!$G$2:$CK$25,MATCH($E147,DEMANDS!$E$2:$E$25,0),FALSE)</f>
        <v>0.076063315936431994</v>
      </c>
      <c r="AC147" s="19">
        <f>HLOOKUP(REG_TRA_DEMANDS!AC$3,'BY-Demands'!$J$5:$AK$14,MATCH($E147,'BY-Demands'!$I$5:$I$14,0),FALSE)*HLOOKUP(REG_TRA_DEMANDS!$F147,DEMANDS!$G$2:$CK$25,MATCH($E147,DEMANDS!$E$2:$E$25,0),FALSE)/HLOOKUP(2018,DEMANDS!$G$2:$CK$25,MATCH($E147,DEMANDS!$E$2:$E$25,0),FALSE)</f>
        <v>0.077231181982741579</v>
      </c>
      <c r="AD147" s="19">
        <f>HLOOKUP(REG_TRA_DEMANDS!AD$3,'BY-Demands'!$J$5:$AK$14,MATCH($E147,'BY-Demands'!$I$5:$I$14,0),FALSE)*HLOOKUP(REG_TRA_DEMANDS!$F147,DEMANDS!$G$2:$CK$25,MATCH($E147,DEMANDS!$E$2:$E$25,0),FALSE)/HLOOKUP(2018,DEMANDS!$G$2:$CK$25,MATCH($E147,DEMANDS!$E$2:$E$25,0),FALSE)</f>
        <v>0.089771305694931275</v>
      </c>
      <c r="AE147" s="19">
        <f>HLOOKUP(REG_TRA_DEMANDS!AE$3,'BY-Demands'!$J$5:$AK$14,MATCH($E147,'BY-Demands'!$I$5:$I$14,0),FALSE)*HLOOKUP(REG_TRA_DEMANDS!$F147,DEMANDS!$G$2:$CK$25,MATCH($E147,DEMANDS!$E$2:$E$25,0),FALSE)/HLOOKUP(2018,DEMANDS!$G$2:$CK$25,MATCH($E147,DEMANDS!$E$2:$E$25,0),FALSE)</f>
        <v>0.18760336190122207</v>
      </c>
      <c r="AF147" s="19">
        <f>HLOOKUP(REG_TRA_DEMANDS!AF$3,'BY-Demands'!$J$5:$AK$14,MATCH($E147,'BY-Demands'!$I$5:$I$14,0),FALSE)*HLOOKUP(REG_TRA_DEMANDS!$F147,DEMANDS!$G$2:$CK$25,MATCH($E147,DEMANDS!$E$2:$E$25,0),FALSE)/HLOOKUP(2018,DEMANDS!$G$2:$CK$25,MATCH($E147,DEMANDS!$E$2:$E$25,0),FALSE)</f>
        <v>0.07234170042256155</v>
      </c>
    </row>
    <row r="148" spans="4:32" ht="14.5">
      <c r="D148" t="s">
        <v>6</v>
      </c>
      <c r="E148" t="str">
        <f>DEMANDS!$E$22</f>
        <v>TNAV</v>
      </c>
      <c r="F148">
        <v>2029</v>
      </c>
      <c r="G148" s="19">
        <f>HLOOKUP(REG_TRA_DEMANDS!G$3,'BY-Demands'!$J$5:$AK$14,MATCH($E148,'BY-Demands'!$I$5:$I$14,0),FALSE)*HLOOKUP(REG_TRA_DEMANDS!$F148,DEMANDS!$G$2:$CK$25,MATCH($E148,DEMANDS!$E$2:$E$25,0),FALSE)/HLOOKUP(2018,DEMANDS!$G$2:$CK$25,MATCH($E148,DEMANDS!$E$2:$E$25,0),FALSE)</f>
        <v>0.069179820213826335</v>
      </c>
      <c r="H148" s="19">
        <f>HLOOKUP(REG_TRA_DEMANDS!H$3,'BY-Demands'!$J$5:$AK$14,MATCH($E148,'BY-Demands'!$I$5:$I$14,0),FALSE)*HLOOKUP(REG_TRA_DEMANDS!$F148,DEMANDS!$G$2:$CK$25,MATCH($E148,DEMANDS!$E$2:$E$25,0),FALSE)/HLOOKUP(2018,DEMANDS!$G$2:$CK$25,MATCH($E148,DEMANDS!$E$2:$E$25,0),FALSE)</f>
        <v>1.6372172659221718</v>
      </c>
      <c r="I148" s="19">
        <f>HLOOKUP(REG_TRA_DEMANDS!I$3,'BY-Demands'!$J$5:$AK$14,MATCH($E148,'BY-Demands'!$I$5:$I$14,0),FALSE)*HLOOKUP(REG_TRA_DEMANDS!$F148,DEMANDS!$G$2:$CK$25,MATCH($E148,DEMANDS!$E$2:$E$25,0),FALSE)/HLOOKUP(2018,DEMANDS!$G$2:$CK$25,MATCH($E148,DEMANDS!$E$2:$E$25,0),FALSE)</f>
        <v>0.27037143815178127</v>
      </c>
      <c r="J148" s="19">
        <f>HLOOKUP(REG_TRA_DEMANDS!J$3,'BY-Demands'!$J$5:$AK$14,MATCH($E148,'BY-Demands'!$I$5:$I$14,0),FALSE)*HLOOKUP(REG_TRA_DEMANDS!$F148,DEMANDS!$G$2:$CK$25,MATCH($E148,DEMANDS!$E$2:$E$25,0),FALSE)/HLOOKUP(2018,DEMANDS!$G$2:$CK$25,MATCH($E148,DEMANDS!$E$2:$E$25,0),FALSE)</f>
        <v>0.12057984823049278</v>
      </c>
      <c r="K148" s="19">
        <f>HLOOKUP(REG_TRA_DEMANDS!K$3,'BY-Demands'!$J$5:$AK$14,MATCH($E148,'BY-Demands'!$I$5:$I$14,0),FALSE)*HLOOKUP(REG_TRA_DEMANDS!$F148,DEMANDS!$G$2:$CK$25,MATCH($E148,DEMANDS!$E$2:$E$25,0),FALSE)/HLOOKUP(2018,DEMANDS!$G$2:$CK$25,MATCH($E148,DEMANDS!$E$2:$E$25,0),FALSE)</f>
        <v>0.10291792370987232</v>
      </c>
      <c r="L148" s="19">
        <f>HLOOKUP(REG_TRA_DEMANDS!L$3,'BY-Demands'!$J$5:$AK$14,MATCH($E148,'BY-Demands'!$I$5:$I$14,0),FALSE)*HLOOKUP(REG_TRA_DEMANDS!$F148,DEMANDS!$G$2:$CK$25,MATCH($E148,DEMANDS!$E$2:$E$25,0),FALSE)/HLOOKUP(2018,DEMANDS!$G$2:$CK$25,MATCH($E148,DEMANDS!$E$2:$E$25,0),FALSE)</f>
        <v>0.049666036527782634</v>
      </c>
      <c r="M148" s="19">
        <f>HLOOKUP(REG_TRA_DEMANDS!M$3,'BY-Demands'!$J$5:$AK$14,MATCH($E148,'BY-Demands'!$I$5:$I$14,0),FALSE)*HLOOKUP(REG_TRA_DEMANDS!$F148,DEMANDS!$G$2:$CK$25,MATCH($E148,DEMANDS!$E$2:$E$25,0),FALSE)/HLOOKUP(2018,DEMANDS!$G$2:$CK$25,MATCH($E148,DEMANDS!$E$2:$E$25,0),FALSE)</f>
        <v>0.15661090333097025</v>
      </c>
      <c r="N148" s="19">
        <f>HLOOKUP(REG_TRA_DEMANDS!N$3,'BY-Demands'!$J$5:$AK$14,MATCH($E148,'BY-Demands'!$I$5:$I$14,0),FALSE)*HLOOKUP(REG_TRA_DEMANDS!$F148,DEMANDS!$G$2:$CK$25,MATCH($E148,DEMANDS!$E$2:$E$25,0),FALSE)/HLOOKUP(2018,DEMANDS!$G$2:$CK$25,MATCH($E148,DEMANDS!$E$2:$E$25,0),FALSE)</f>
        <v>0.23700394951495776</v>
      </c>
      <c r="O148" s="19">
        <f>HLOOKUP(REG_TRA_DEMANDS!O$3,'BY-Demands'!$J$5:$AK$14,MATCH($E148,'BY-Demands'!$I$5:$I$14,0),FALSE)*HLOOKUP(REG_TRA_DEMANDS!$F148,DEMANDS!$G$2:$CK$25,MATCH($E148,DEMANDS!$E$2:$E$25,0),FALSE)/HLOOKUP(2018,DEMANDS!$G$2:$CK$25,MATCH($E148,DEMANDS!$E$2:$E$25,0),FALSE)</f>
        <v>0.094732803409156824</v>
      </c>
      <c r="P148" s="19">
        <f>HLOOKUP(REG_TRA_DEMANDS!P$3,'BY-Demands'!$J$5:$AK$14,MATCH($E148,'BY-Demands'!$I$5:$I$14,0),FALSE)*HLOOKUP(REG_TRA_DEMANDS!$F148,DEMANDS!$G$2:$CK$25,MATCH($E148,DEMANDS!$E$2:$E$25,0),FALSE)/HLOOKUP(2018,DEMANDS!$G$2:$CK$25,MATCH($E148,DEMANDS!$E$2:$E$25,0),FALSE)</f>
        <v>0.10786715099384125</v>
      </c>
      <c r="Q148" s="19">
        <f>HLOOKUP(REG_TRA_DEMANDS!Q$3,'BY-Demands'!$J$5:$AK$14,MATCH($E148,'BY-Demands'!$I$5:$I$14,0),FALSE)*HLOOKUP(REG_TRA_DEMANDS!$F148,DEMANDS!$G$2:$CK$25,MATCH($E148,DEMANDS!$E$2:$E$25,0),FALSE)/HLOOKUP(2018,DEMANDS!$G$2:$CK$25,MATCH($E148,DEMANDS!$E$2:$E$25,0),FALSE)</f>
        <v>0.18193179656528036</v>
      </c>
      <c r="R148" s="19">
        <f>HLOOKUP(REG_TRA_DEMANDS!R$3,'BY-Demands'!$J$5:$AK$14,MATCH($E148,'BY-Demands'!$I$5:$I$14,0),FALSE)*HLOOKUP(REG_TRA_DEMANDS!$F148,DEMANDS!$G$2:$CK$25,MATCH($E148,DEMANDS!$E$2:$E$25,0),FALSE)/HLOOKUP(2018,DEMANDS!$G$2:$CK$25,MATCH($E148,DEMANDS!$E$2:$E$25,0),FALSE)</f>
        <v>0.17306498794973324</v>
      </c>
      <c r="S148" s="19">
        <f>HLOOKUP(REG_TRA_DEMANDS!S$3,'BY-Demands'!$J$5:$AK$14,MATCH($E148,'BY-Demands'!$I$5:$I$14,0),FALSE)*HLOOKUP(REG_TRA_DEMANDS!$F148,DEMANDS!$G$2:$CK$25,MATCH($E148,DEMANDS!$E$2:$E$25,0),FALSE)/HLOOKUP(2018,DEMANDS!$G$2:$CK$25,MATCH($E148,DEMANDS!$E$2:$E$25,0),FALSE)</f>
        <v>0.14437818271527797</v>
      </c>
      <c r="T148" s="19">
        <f>HLOOKUP(REG_TRA_DEMANDS!T$3,'BY-Demands'!$J$5:$AK$14,MATCH($E148,'BY-Demands'!$I$5:$I$14,0),FALSE)*HLOOKUP(REG_TRA_DEMANDS!$F148,DEMANDS!$G$2:$CK$25,MATCH($E148,DEMANDS!$E$2:$E$25,0),FALSE)/HLOOKUP(2018,DEMANDS!$G$2:$CK$25,MATCH($E148,DEMANDS!$E$2:$E$25,0),FALSE)</f>
        <v>0.65965556523290048</v>
      </c>
      <c r="U148" s="19">
        <f>HLOOKUP(REG_TRA_DEMANDS!U$3,'BY-Demands'!$J$5:$AK$14,MATCH($E148,'BY-Demands'!$I$5:$I$14,0),FALSE)*HLOOKUP(REG_TRA_DEMANDS!$F148,DEMANDS!$G$2:$CK$25,MATCH($E148,DEMANDS!$E$2:$E$25,0),FALSE)/HLOOKUP(2018,DEMANDS!$G$2:$CK$25,MATCH($E148,DEMANDS!$E$2:$E$25,0),FALSE)</f>
        <v>0.17948330823304398</v>
      </c>
      <c r="V148" s="19">
        <f>HLOOKUP(REG_TRA_DEMANDS!V$3,'BY-Demands'!$J$5:$AK$14,MATCH($E148,'BY-Demands'!$I$5:$I$14,0),FALSE)*HLOOKUP(REG_TRA_DEMANDS!$F148,DEMANDS!$G$2:$CK$25,MATCH($E148,DEMANDS!$E$2:$E$25,0),FALSE)/HLOOKUP(2018,DEMANDS!$G$2:$CK$25,MATCH($E148,DEMANDS!$E$2:$E$25,0),FALSE)</f>
        <v>0.23682775556549171</v>
      </c>
      <c r="W148" s="19">
        <f>HLOOKUP(REG_TRA_DEMANDS!W$3,'BY-Demands'!$J$5:$AK$14,MATCH($E148,'BY-Demands'!$I$5:$I$14,0),FALSE)*HLOOKUP(REG_TRA_DEMANDS!$F148,DEMANDS!$G$2:$CK$25,MATCH($E148,DEMANDS!$E$2:$E$25,0),FALSE)/HLOOKUP(2018,DEMANDS!$G$2:$CK$25,MATCH($E148,DEMANDS!$E$2:$E$25,0),FALSE)</f>
        <v>0.19387774633908161</v>
      </c>
      <c r="X148" s="19">
        <f>HLOOKUP(REG_TRA_DEMANDS!X$3,'BY-Demands'!$J$5:$AK$14,MATCH($E148,'BY-Demands'!$I$5:$I$14,0),FALSE)*HLOOKUP(REG_TRA_DEMANDS!$F148,DEMANDS!$G$2:$CK$25,MATCH($E148,DEMANDS!$E$2:$E$25,0),FALSE)/HLOOKUP(2018,DEMANDS!$G$2:$CK$25,MATCH($E148,DEMANDS!$E$2:$E$25,0),FALSE)</f>
        <v>0.14116902257362277</v>
      </c>
      <c r="Y148" s="19">
        <f>HLOOKUP(REG_TRA_DEMANDS!Y$3,'BY-Demands'!$J$5:$AK$14,MATCH($E148,'BY-Demands'!$I$5:$I$14,0),FALSE)*HLOOKUP(REG_TRA_DEMANDS!$F148,DEMANDS!$G$2:$CK$25,MATCH($E148,DEMANDS!$E$2:$E$25,0),FALSE)/HLOOKUP(2018,DEMANDS!$G$2:$CK$25,MATCH($E148,DEMANDS!$E$2:$E$25,0),FALSE)</f>
        <v>0.3135741945608726</v>
      </c>
      <c r="Z148" s="19">
        <f>HLOOKUP(REG_TRA_DEMANDS!Z$3,'BY-Demands'!$J$5:$AK$14,MATCH($E148,'BY-Demands'!$I$5:$I$14,0),FALSE)*HLOOKUP(REG_TRA_DEMANDS!$F148,DEMANDS!$G$2:$CK$25,MATCH($E148,DEMANDS!$E$2:$E$25,0),FALSE)/HLOOKUP(2018,DEMANDS!$G$2:$CK$25,MATCH($E148,DEMANDS!$E$2:$E$25,0),FALSE)</f>
        <v>0.038937647701325372</v>
      </c>
      <c r="AA148" s="19">
        <f>HLOOKUP(REG_TRA_DEMANDS!AA$3,'BY-Demands'!$J$5:$AK$14,MATCH($E148,'BY-Demands'!$I$5:$I$14,0),FALSE)*HLOOKUP(REG_TRA_DEMANDS!$F148,DEMANDS!$G$2:$CK$25,MATCH($E148,DEMANDS!$E$2:$E$25,0),FALSE)/HLOOKUP(2018,DEMANDS!$G$2:$CK$25,MATCH($E148,DEMANDS!$E$2:$E$25,0),FALSE)</f>
        <v>0.1585830604343047</v>
      </c>
      <c r="AB148" s="19">
        <f>HLOOKUP(REG_TRA_DEMANDS!AB$3,'BY-Demands'!$J$5:$AK$14,MATCH($E148,'BY-Demands'!$I$5:$I$14,0),FALSE)*HLOOKUP(REG_TRA_DEMANDS!$F148,DEMANDS!$G$2:$CK$25,MATCH($E148,DEMANDS!$E$2:$E$25,0),FALSE)/HLOOKUP(2018,DEMANDS!$G$2:$CK$25,MATCH($E148,DEMANDS!$E$2:$E$25,0),FALSE)</f>
        <v>0.078429394995454385</v>
      </c>
      <c r="AC148" s="19">
        <f>HLOOKUP(REG_TRA_DEMANDS!AC$3,'BY-Demands'!$J$5:$AK$14,MATCH($E148,'BY-Demands'!$I$5:$I$14,0),FALSE)*HLOOKUP(REG_TRA_DEMANDS!$F148,DEMANDS!$G$2:$CK$25,MATCH($E148,DEMANDS!$E$2:$E$25,0),FALSE)/HLOOKUP(2018,DEMANDS!$G$2:$CK$25,MATCH($E148,DEMANDS!$E$2:$E$25,0),FALSE)</f>
        <v>0.079633589505253843</v>
      </c>
      <c r="AD148" s="19">
        <f>HLOOKUP(REG_TRA_DEMANDS!AD$3,'BY-Demands'!$J$5:$AK$14,MATCH($E148,'BY-Demands'!$I$5:$I$14,0),FALSE)*HLOOKUP(REG_TRA_DEMANDS!$F148,DEMANDS!$G$2:$CK$25,MATCH($E148,DEMANDS!$E$2:$E$25,0),FALSE)/HLOOKUP(2018,DEMANDS!$G$2:$CK$25,MATCH($E148,DEMANDS!$E$2:$E$25,0),FALSE)</f>
        <v>0.09256379513469469</v>
      </c>
      <c r="AE148" s="19">
        <f>HLOOKUP(REG_TRA_DEMANDS!AE$3,'BY-Demands'!$J$5:$AK$14,MATCH($E148,'BY-Demands'!$I$5:$I$14,0),FALSE)*HLOOKUP(REG_TRA_DEMANDS!$F148,DEMANDS!$G$2:$CK$25,MATCH($E148,DEMANDS!$E$2:$E$25,0),FALSE)/HLOOKUP(2018,DEMANDS!$G$2:$CK$25,MATCH($E148,DEMANDS!$E$2:$E$25,0),FALSE)</f>
        <v>0.19343908416144601</v>
      </c>
      <c r="AF148" s="19">
        <f>HLOOKUP(REG_TRA_DEMANDS!AF$3,'BY-Demands'!$J$5:$AK$14,MATCH($E148,'BY-Demands'!$I$5:$I$14,0),FALSE)*HLOOKUP(REG_TRA_DEMANDS!$F148,DEMANDS!$G$2:$CK$25,MATCH($E148,DEMANDS!$E$2:$E$25,0),FALSE)/HLOOKUP(2018,DEMANDS!$G$2:$CK$25,MATCH($E148,DEMANDS!$E$2:$E$25,0),FALSE)</f>
        <v>0.07459201228915098</v>
      </c>
    </row>
    <row r="149" spans="4:32" ht="14.5">
      <c r="D149" t="s">
        <v>6</v>
      </c>
      <c r="E149" t="str">
        <f>DEMANDS!$E$22</f>
        <v>TNAV</v>
      </c>
      <c r="F149">
        <v>2030</v>
      </c>
      <c r="G149" s="19">
        <f>HLOOKUP(REG_TRA_DEMANDS!G$3,'BY-Demands'!$J$5:$AK$14,MATCH($E149,'BY-Demands'!$I$5:$I$14,0),FALSE)*HLOOKUP(REG_TRA_DEMANDS!$F149,DEMANDS!$G$2:$CK$25,MATCH($E149,DEMANDS!$E$2:$E$25,0),FALSE)/HLOOKUP(2018,DEMANDS!$G$2:$CK$25,MATCH($E149,DEMANDS!$E$2:$E$25,0),FALSE)</f>
        <v>0.071311121771731364</v>
      </c>
      <c r="H149" s="19">
        <f>HLOOKUP(REG_TRA_DEMANDS!H$3,'BY-Demands'!$J$5:$AK$14,MATCH($E149,'BY-Demands'!$I$5:$I$14,0),FALSE)*HLOOKUP(REG_TRA_DEMANDS!$F149,DEMANDS!$G$2:$CK$25,MATCH($E149,DEMANDS!$E$2:$E$25,0),FALSE)/HLOOKUP(2018,DEMANDS!$G$2:$CK$25,MATCH($E149,DEMANDS!$E$2:$E$25,0),FALSE)</f>
        <v>1.6876568839885906</v>
      </c>
      <c r="I149" s="19">
        <f>HLOOKUP(REG_TRA_DEMANDS!I$3,'BY-Demands'!$J$5:$AK$14,MATCH($E149,'BY-Demands'!$I$5:$I$14,0),FALSE)*HLOOKUP(REG_TRA_DEMANDS!$F149,DEMANDS!$G$2:$CK$25,MATCH($E149,DEMANDS!$E$2:$E$25,0),FALSE)/HLOOKUP(2018,DEMANDS!$G$2:$CK$25,MATCH($E149,DEMANDS!$E$2:$E$25,0),FALSE)</f>
        <v>0.27870107915930081</v>
      </c>
      <c r="J149" s="19">
        <f>HLOOKUP(REG_TRA_DEMANDS!J$3,'BY-Demands'!$J$5:$AK$14,MATCH($E149,'BY-Demands'!$I$5:$I$14,0),FALSE)*HLOOKUP(REG_TRA_DEMANDS!$F149,DEMANDS!$G$2:$CK$25,MATCH($E149,DEMANDS!$E$2:$E$25,0),FALSE)/HLOOKUP(2018,DEMANDS!$G$2:$CK$25,MATCH($E149,DEMANDS!$E$2:$E$25,0),FALSE)</f>
        <v>0.12429468902642533</v>
      </c>
      <c r="K149" s="19">
        <f>HLOOKUP(REG_TRA_DEMANDS!K$3,'BY-Demands'!$J$5:$AK$14,MATCH($E149,'BY-Demands'!$I$5:$I$14,0),FALSE)*HLOOKUP(REG_TRA_DEMANDS!$F149,DEMANDS!$G$2:$CK$25,MATCH($E149,DEMANDS!$E$2:$E$25,0),FALSE)/HLOOKUP(2018,DEMANDS!$G$2:$CK$25,MATCH($E149,DEMANDS!$E$2:$E$25,0),FALSE)</f>
        <v>0.10608863346975926</v>
      </c>
      <c r="L149" s="19">
        <f>HLOOKUP(REG_TRA_DEMANDS!L$3,'BY-Demands'!$J$5:$AK$14,MATCH($E149,'BY-Demands'!$I$5:$I$14,0),FALSE)*HLOOKUP(REG_TRA_DEMANDS!$F149,DEMANDS!$G$2:$CK$25,MATCH($E149,DEMANDS!$E$2:$E$25,0),FALSE)/HLOOKUP(2018,DEMANDS!$G$2:$CK$25,MATCH($E149,DEMANDS!$E$2:$E$25,0),FALSE)</f>
        <v>0.051196154713974089</v>
      </c>
      <c r="M149" s="19">
        <f>HLOOKUP(REG_TRA_DEMANDS!M$3,'BY-Demands'!$J$5:$AK$14,MATCH($E149,'BY-Demands'!$I$5:$I$14,0),FALSE)*HLOOKUP(REG_TRA_DEMANDS!$F149,DEMANDS!$G$2:$CK$25,MATCH($E149,DEMANDS!$E$2:$E$25,0),FALSE)/HLOOKUP(2018,DEMANDS!$G$2:$CK$25,MATCH($E149,DEMANDS!$E$2:$E$25,0),FALSE)</f>
        <v>0.16143579390198537</v>
      </c>
      <c r="N149" s="19">
        <f>HLOOKUP(REG_TRA_DEMANDS!N$3,'BY-Demands'!$J$5:$AK$14,MATCH($E149,'BY-Demands'!$I$5:$I$14,0),FALSE)*HLOOKUP(REG_TRA_DEMANDS!$F149,DEMANDS!$G$2:$CK$25,MATCH($E149,DEMANDS!$E$2:$E$25,0),FALSE)/HLOOKUP(2018,DEMANDS!$G$2:$CK$25,MATCH($E149,DEMANDS!$E$2:$E$25,0),FALSE)</f>
        <v>0.2443056002748121</v>
      </c>
      <c r="O149" s="19">
        <f>HLOOKUP(REG_TRA_DEMANDS!O$3,'BY-Demands'!$J$5:$AK$14,MATCH($E149,'BY-Demands'!$I$5:$I$14,0),FALSE)*HLOOKUP(REG_TRA_DEMANDS!$F149,DEMANDS!$G$2:$CK$25,MATCH($E149,DEMANDS!$E$2:$E$25,0),FALSE)/HLOOKUP(2018,DEMANDS!$G$2:$CK$25,MATCH($E149,DEMANDS!$E$2:$E$25,0),FALSE)</f>
        <v>0.097651344840264706</v>
      </c>
      <c r="P149" s="19">
        <f>HLOOKUP(REG_TRA_DEMANDS!P$3,'BY-Demands'!$J$5:$AK$14,MATCH($E149,'BY-Demands'!$I$5:$I$14,0),FALSE)*HLOOKUP(REG_TRA_DEMANDS!$F149,DEMANDS!$G$2:$CK$25,MATCH($E149,DEMANDS!$E$2:$E$25,0),FALSE)/HLOOKUP(2018,DEMANDS!$G$2:$CK$25,MATCH($E149,DEMANDS!$E$2:$E$25,0),FALSE)</f>
        <v>0.1111903372387515</v>
      </c>
      <c r="Q149" s="19">
        <f>HLOOKUP(REG_TRA_DEMANDS!Q$3,'BY-Demands'!$J$5:$AK$14,MATCH($E149,'BY-Demands'!$I$5:$I$14,0),FALSE)*HLOOKUP(REG_TRA_DEMANDS!$F149,DEMANDS!$G$2:$CK$25,MATCH($E149,DEMANDS!$E$2:$E$25,0),FALSE)/HLOOKUP(2018,DEMANDS!$G$2:$CK$25,MATCH($E149,DEMANDS!$E$2:$E$25,0),FALSE)</f>
        <v>0.18753677674958194</v>
      </c>
      <c r="R149" s="19">
        <f>HLOOKUP(REG_TRA_DEMANDS!R$3,'BY-Demands'!$J$5:$AK$14,MATCH($E149,'BY-Demands'!$I$5:$I$14,0),FALSE)*HLOOKUP(REG_TRA_DEMANDS!$F149,DEMANDS!$G$2:$CK$25,MATCH($E149,DEMANDS!$E$2:$E$25,0),FALSE)/HLOOKUP(2018,DEMANDS!$G$2:$CK$25,MATCH($E149,DEMANDS!$E$2:$E$25,0),FALSE)</f>
        <v>0.17839679825649613</v>
      </c>
      <c r="S149" s="19">
        <f>HLOOKUP(REG_TRA_DEMANDS!S$3,'BY-Demands'!$J$5:$AK$14,MATCH($E149,'BY-Demands'!$I$5:$I$14,0),FALSE)*HLOOKUP(REG_TRA_DEMANDS!$F149,DEMANDS!$G$2:$CK$25,MATCH($E149,DEMANDS!$E$2:$E$25,0),FALSE)/HLOOKUP(2018,DEMANDS!$G$2:$CK$25,MATCH($E149,DEMANDS!$E$2:$E$25,0),FALSE)</f>
        <v>0.14882620592200888</v>
      </c>
      <c r="T149" s="19">
        <f>HLOOKUP(REG_TRA_DEMANDS!T$3,'BY-Demands'!$J$5:$AK$14,MATCH($E149,'BY-Demands'!$I$5:$I$14,0),FALSE)*HLOOKUP(REG_TRA_DEMANDS!$F149,DEMANDS!$G$2:$CK$25,MATCH($E149,DEMANDS!$E$2:$E$25,0),FALSE)/HLOOKUP(2018,DEMANDS!$G$2:$CK$25,MATCH($E149,DEMANDS!$E$2:$E$25,0),FALSE)</f>
        <v>0.6799783259674046</v>
      </c>
      <c r="U149" s="19">
        <f>HLOOKUP(REG_TRA_DEMANDS!U$3,'BY-Demands'!$J$5:$AK$14,MATCH($E149,'BY-Demands'!$I$5:$I$14,0),FALSE)*HLOOKUP(REG_TRA_DEMANDS!$F149,DEMANDS!$G$2:$CK$25,MATCH($E149,DEMANDS!$E$2:$E$25,0),FALSE)/HLOOKUP(2018,DEMANDS!$G$2:$CK$25,MATCH($E149,DEMANDS!$E$2:$E$25,0),FALSE)</f>
        <v>0.18501285504702344</v>
      </c>
      <c r="V149" s="19">
        <f>HLOOKUP(REG_TRA_DEMANDS!V$3,'BY-Demands'!$J$5:$AK$14,MATCH($E149,'BY-Demands'!$I$5:$I$14,0),FALSE)*HLOOKUP(REG_TRA_DEMANDS!$F149,DEMANDS!$G$2:$CK$25,MATCH($E149,DEMANDS!$E$2:$E$25,0),FALSE)/HLOOKUP(2018,DEMANDS!$G$2:$CK$25,MATCH($E149,DEMANDS!$E$2:$E$25,0),FALSE)</f>
        <v>0.24412397811755615</v>
      </c>
      <c r="W149" s="19">
        <f>HLOOKUP(REG_TRA_DEMANDS!W$3,'BY-Demands'!$J$5:$AK$14,MATCH($E149,'BY-Demands'!$I$5:$I$14,0),FALSE)*HLOOKUP(REG_TRA_DEMANDS!$F149,DEMANDS!$G$2:$CK$25,MATCH($E149,DEMANDS!$E$2:$E$25,0),FALSE)/HLOOKUP(2018,DEMANDS!$G$2:$CK$25,MATCH($E149,DEMANDS!$E$2:$E$25,0),FALSE)</f>
        <v>0.19985075901154031</v>
      </c>
      <c r="X149" s="19">
        <f>HLOOKUP(REG_TRA_DEMANDS!X$3,'BY-Demands'!$J$5:$AK$14,MATCH($E149,'BY-Demands'!$I$5:$I$14,0),FALSE)*HLOOKUP(REG_TRA_DEMANDS!$F149,DEMANDS!$G$2:$CK$25,MATCH($E149,DEMANDS!$E$2:$E$25,0),FALSE)/HLOOKUP(2018,DEMANDS!$G$2:$CK$25,MATCH($E149,DEMANDS!$E$2:$E$25,0),FALSE)</f>
        <v>0.14551817752674534</v>
      </c>
      <c r="Y149" s="19">
        <f>HLOOKUP(REG_TRA_DEMANDS!Y$3,'BY-Demands'!$J$5:$AK$14,MATCH($E149,'BY-Demands'!$I$5:$I$14,0),FALSE)*HLOOKUP(REG_TRA_DEMANDS!$F149,DEMANDS!$G$2:$CK$25,MATCH($E149,DEMANDS!$E$2:$E$25,0),FALSE)/HLOOKUP(2018,DEMANDS!$G$2:$CK$25,MATCH($E149,DEMANDS!$E$2:$E$25,0),FALSE)</f>
        <v>0.32323483211848264</v>
      </c>
      <c r="Z149" s="19">
        <f>HLOOKUP(REG_TRA_DEMANDS!Z$3,'BY-Demands'!$J$5:$AK$14,MATCH($E149,'BY-Demands'!$I$5:$I$14,0),FALSE)*HLOOKUP(REG_TRA_DEMANDS!$F149,DEMANDS!$G$2:$CK$25,MATCH($E149,DEMANDS!$E$2:$E$25,0),FALSE)/HLOOKUP(2018,DEMANDS!$G$2:$CK$25,MATCH($E149,DEMANDS!$E$2:$E$25,0),FALSE)</f>
        <v>0.040137244186983868</v>
      </c>
      <c r="AA149" s="19">
        <f>HLOOKUP(REG_TRA_DEMANDS!AA$3,'BY-Demands'!$J$5:$AK$14,MATCH($E149,'BY-Demands'!$I$5:$I$14,0),FALSE)*HLOOKUP(REG_TRA_DEMANDS!$F149,DEMANDS!$G$2:$CK$25,MATCH($E149,DEMANDS!$E$2:$E$25,0),FALSE)/HLOOKUP(2018,DEMANDS!$G$2:$CK$25,MATCH($E149,DEMANDS!$E$2:$E$25,0),FALSE)</f>
        <v>0.16346870949665121</v>
      </c>
      <c r="AB149" s="19">
        <f>HLOOKUP(REG_TRA_DEMANDS!AB$3,'BY-Demands'!$J$5:$AK$14,MATCH($E149,'BY-Demands'!$I$5:$I$14,0),FALSE)*HLOOKUP(REG_TRA_DEMANDS!$F149,DEMANDS!$G$2:$CK$25,MATCH($E149,DEMANDS!$E$2:$E$25,0),FALSE)/HLOOKUP(2018,DEMANDS!$G$2:$CK$25,MATCH($E149,DEMANDS!$E$2:$E$25,0),FALSE)</f>
        <v>0.080845658744372786</v>
      </c>
      <c r="AC149" s="19">
        <f>HLOOKUP(REG_TRA_DEMANDS!AC$3,'BY-Demands'!$J$5:$AK$14,MATCH($E149,'BY-Demands'!$I$5:$I$14,0),FALSE)*HLOOKUP(REG_TRA_DEMANDS!$F149,DEMANDS!$G$2:$CK$25,MATCH($E149,DEMANDS!$E$2:$E$25,0),FALSE)/HLOOKUP(2018,DEMANDS!$G$2:$CK$25,MATCH($E149,DEMANDS!$E$2:$E$25,0),FALSE)</f>
        <v>0.082086952246722744</v>
      </c>
      <c r="AD149" s="19">
        <f>HLOOKUP(REG_TRA_DEMANDS!AD$3,'BY-Demands'!$J$5:$AK$14,MATCH($E149,'BY-Demands'!$I$5:$I$14,0),FALSE)*HLOOKUP(REG_TRA_DEMANDS!$F149,DEMANDS!$G$2:$CK$25,MATCH($E149,DEMANDS!$E$2:$E$25,0),FALSE)/HLOOKUP(2018,DEMANDS!$G$2:$CK$25,MATCH($E149,DEMANDS!$E$2:$E$25,0),FALSE)</f>
        <v>0.095415513456112752</v>
      </c>
      <c r="AE149" s="19">
        <f>HLOOKUP(REG_TRA_DEMANDS!AE$3,'BY-Demands'!$J$5:$AK$14,MATCH($E149,'BY-Demands'!$I$5:$I$14,0),FALSE)*HLOOKUP(REG_TRA_DEMANDS!$F149,DEMANDS!$G$2:$CK$25,MATCH($E149,DEMANDS!$E$2:$E$25,0),FALSE)/HLOOKUP(2018,DEMANDS!$G$2:$CK$25,MATCH($E149,DEMANDS!$E$2:$E$25,0),FALSE)</f>
        <v>0.19939858246830361</v>
      </c>
      <c r="AF149" s="19">
        <f>HLOOKUP(REG_TRA_DEMANDS!AF$3,'BY-Demands'!$J$5:$AK$14,MATCH($E149,'BY-Demands'!$I$5:$I$14,0),FALSE)*HLOOKUP(REG_TRA_DEMANDS!$F149,DEMANDS!$G$2:$CK$25,MATCH($E149,DEMANDS!$E$2:$E$25,0),FALSE)/HLOOKUP(2018,DEMANDS!$G$2:$CK$25,MATCH($E149,DEMANDS!$E$2:$E$25,0),FALSE)</f>
        <v>0.076890053415996307</v>
      </c>
    </row>
    <row r="150" spans="4:32" ht="14.5">
      <c r="D150" t="s">
        <v>6</v>
      </c>
      <c r="E150" t="str">
        <f>DEMANDS!$E$22</f>
        <v>TNAV</v>
      </c>
      <c r="F150">
        <v>2031</v>
      </c>
      <c r="G150" s="19">
        <f>HLOOKUP(REG_TRA_DEMANDS!G$3,'BY-Demands'!$J$5:$AK$14,MATCH($E150,'BY-Demands'!$I$5:$I$14,0),FALSE)*HLOOKUP(REG_TRA_DEMANDS!$F150,DEMANDS!$G$2:$CK$25,MATCH($E150,DEMANDS!$E$2:$E$25,0),FALSE)/HLOOKUP(2018,DEMANDS!$G$2:$CK$25,MATCH($E150,DEMANDS!$E$2:$E$25,0),FALSE)</f>
        <v>0.073477456164221563</v>
      </c>
      <c r="H150" s="19">
        <f>HLOOKUP(REG_TRA_DEMANDS!H$3,'BY-Demands'!$J$5:$AK$14,MATCH($E150,'BY-Demands'!$I$5:$I$14,0),FALSE)*HLOOKUP(REG_TRA_DEMANDS!$F150,DEMANDS!$G$2:$CK$25,MATCH($E150,DEMANDS!$E$2:$E$25,0),FALSE)/HLOOKUP(2018,DEMANDS!$G$2:$CK$25,MATCH($E150,DEMANDS!$E$2:$E$25,0),FALSE)</f>
        <v>1.7389255929875931</v>
      </c>
      <c r="I150" s="19">
        <f>HLOOKUP(REG_TRA_DEMANDS!I$3,'BY-Demands'!$J$5:$AK$14,MATCH($E150,'BY-Demands'!$I$5:$I$14,0),FALSE)*HLOOKUP(REG_TRA_DEMANDS!$F150,DEMANDS!$G$2:$CK$25,MATCH($E150,DEMANDS!$E$2:$E$25,0),FALSE)/HLOOKUP(2018,DEMANDS!$G$2:$CK$25,MATCH($E150,DEMANDS!$E$2:$E$25,0),FALSE)</f>
        <v>0.28716763694168401</v>
      </c>
      <c r="J150" s="19">
        <f>HLOOKUP(REG_TRA_DEMANDS!J$3,'BY-Demands'!$J$5:$AK$14,MATCH($E150,'BY-Demands'!$I$5:$I$14,0),FALSE)*HLOOKUP(REG_TRA_DEMANDS!$F150,DEMANDS!$G$2:$CK$25,MATCH($E150,DEMANDS!$E$2:$E$25,0),FALSE)/HLOOKUP(2018,DEMANDS!$G$2:$CK$25,MATCH($E150,DEMANDS!$E$2:$E$25,0),FALSE)</f>
        <v>0.12807059176013549</v>
      </c>
      <c r="K150" s="19">
        <f>HLOOKUP(REG_TRA_DEMANDS!K$3,'BY-Demands'!$J$5:$AK$14,MATCH($E150,'BY-Demands'!$I$5:$I$14,0),FALSE)*HLOOKUP(REG_TRA_DEMANDS!$F150,DEMANDS!$G$2:$CK$25,MATCH($E150,DEMANDS!$E$2:$E$25,0),FALSE)/HLOOKUP(2018,DEMANDS!$G$2:$CK$25,MATCH($E150,DEMANDS!$E$2:$E$25,0),FALSE)</f>
        <v>0.10931146112451831</v>
      </c>
      <c r="L150" s="19">
        <f>HLOOKUP(REG_TRA_DEMANDS!L$3,'BY-Demands'!$J$5:$AK$14,MATCH($E150,'BY-Demands'!$I$5:$I$14,0),FALSE)*HLOOKUP(REG_TRA_DEMANDS!$F150,DEMANDS!$G$2:$CK$25,MATCH($E150,DEMANDS!$E$2:$E$25,0),FALSE)/HLOOKUP(2018,DEMANDS!$G$2:$CK$25,MATCH($E150,DEMANDS!$E$2:$E$25,0),FALSE)</f>
        <v>0.052751423905716029</v>
      </c>
      <c r="M150" s="19">
        <f>HLOOKUP(REG_TRA_DEMANDS!M$3,'BY-Demands'!$J$5:$AK$14,MATCH($E150,'BY-Demands'!$I$5:$I$14,0),FALSE)*HLOOKUP(REG_TRA_DEMANDS!$F150,DEMANDS!$G$2:$CK$25,MATCH($E150,DEMANDS!$E$2:$E$25,0),FALSE)/HLOOKUP(2018,DEMANDS!$G$2:$CK$25,MATCH($E150,DEMANDS!$E$2:$E$25,0),FALSE)</f>
        <v>0.16633999262751242</v>
      </c>
      <c r="N150" s="19">
        <f>HLOOKUP(REG_TRA_DEMANDS!N$3,'BY-Demands'!$J$5:$AK$14,MATCH($E150,'BY-Demands'!$I$5:$I$14,0),FALSE)*HLOOKUP(REG_TRA_DEMANDS!$F150,DEMANDS!$G$2:$CK$25,MATCH($E150,DEMANDS!$E$2:$E$25,0),FALSE)/HLOOKUP(2018,DEMANDS!$G$2:$CK$25,MATCH($E150,DEMANDS!$E$2:$E$25,0),FALSE)</f>
        <v>0.25172727042953807</v>
      </c>
      <c r="O150" s="19">
        <f>HLOOKUP(REG_TRA_DEMANDS!O$3,'BY-Demands'!$J$5:$AK$14,MATCH($E150,'BY-Demands'!$I$5:$I$14,0),FALSE)*HLOOKUP(REG_TRA_DEMANDS!$F150,DEMANDS!$G$2:$CK$25,MATCH($E150,DEMANDS!$E$2:$E$25,0),FALSE)/HLOOKUP(2018,DEMANDS!$G$2:$CK$25,MATCH($E150,DEMANDS!$E$2:$E$25,0),FALSE)</f>
        <v>0.10061785920078124</v>
      </c>
      <c r="P150" s="19">
        <f>HLOOKUP(REG_TRA_DEMANDS!P$3,'BY-Demands'!$J$5:$AK$14,MATCH($E150,'BY-Demands'!$I$5:$I$14,0),FALSE)*HLOOKUP(REG_TRA_DEMANDS!$F150,DEMANDS!$G$2:$CK$25,MATCH($E150,DEMANDS!$E$2:$E$25,0),FALSE)/HLOOKUP(2018,DEMANDS!$G$2:$CK$25,MATCH($E150,DEMANDS!$E$2:$E$25,0),FALSE)</f>
        <v>0.11456814767965215</v>
      </c>
      <c r="Q150" s="19">
        <f>HLOOKUP(REG_TRA_DEMANDS!Q$3,'BY-Demands'!$J$5:$AK$14,MATCH($E150,'BY-Demands'!$I$5:$I$14,0),FALSE)*HLOOKUP(REG_TRA_DEMANDS!$F150,DEMANDS!$G$2:$CK$25,MATCH($E150,DEMANDS!$E$2:$E$25,0),FALSE)/HLOOKUP(2018,DEMANDS!$G$2:$CK$25,MATCH($E150,DEMANDS!$E$2:$E$25,0),FALSE)</f>
        <v>0.19323388765228022</v>
      </c>
      <c r="R150" s="19">
        <f>HLOOKUP(REG_TRA_DEMANDS!R$3,'BY-Demands'!$J$5:$AK$14,MATCH($E150,'BY-Demands'!$I$5:$I$14,0),FALSE)*HLOOKUP(REG_TRA_DEMANDS!$F150,DEMANDS!$G$2:$CK$25,MATCH($E150,DEMANDS!$E$2:$E$25,0),FALSE)/HLOOKUP(2018,DEMANDS!$G$2:$CK$25,MATCH($E150,DEMANDS!$E$2:$E$25,0),FALSE)</f>
        <v>0.18381624910751868</v>
      </c>
      <c r="S150" s="19">
        <f>HLOOKUP(REG_TRA_DEMANDS!S$3,'BY-Demands'!$J$5:$AK$14,MATCH($E150,'BY-Demands'!$I$5:$I$14,0),FALSE)*HLOOKUP(REG_TRA_DEMANDS!$F150,DEMANDS!$G$2:$CK$25,MATCH($E150,DEMANDS!$E$2:$E$25,0),FALSE)/HLOOKUP(2018,DEMANDS!$G$2:$CK$25,MATCH($E150,DEMANDS!$E$2:$E$25,0),FALSE)</f>
        <v>0.15334734260282998</v>
      </c>
      <c r="T150" s="19">
        <f>HLOOKUP(REG_TRA_DEMANDS!T$3,'BY-Demands'!$J$5:$AK$14,MATCH($E150,'BY-Demands'!$I$5:$I$14,0),FALSE)*HLOOKUP(REG_TRA_DEMANDS!$F150,DEMANDS!$G$2:$CK$25,MATCH($E150,DEMANDS!$E$2:$E$25,0),FALSE)/HLOOKUP(2018,DEMANDS!$G$2:$CK$25,MATCH($E150,DEMANDS!$E$2:$E$25,0),FALSE)</f>
        <v>0.70063513793575938</v>
      </c>
      <c r="U150" s="19">
        <f>HLOOKUP(REG_TRA_DEMANDS!U$3,'BY-Demands'!$J$5:$AK$14,MATCH($E150,'BY-Demands'!$I$5:$I$14,0),FALSE)*HLOOKUP(REG_TRA_DEMANDS!$F150,DEMANDS!$G$2:$CK$25,MATCH($E150,DEMANDS!$E$2:$E$25,0),FALSE)/HLOOKUP(2018,DEMANDS!$G$2:$CK$25,MATCH($E150,DEMANDS!$E$2:$E$25,0),FALSE)</f>
        <v>0.19063329265876289</v>
      </c>
      <c r="V150" s="19">
        <f>HLOOKUP(REG_TRA_DEMANDS!V$3,'BY-Demands'!$J$5:$AK$14,MATCH($E150,'BY-Demands'!$I$5:$I$14,0),FALSE)*HLOOKUP(REG_TRA_DEMANDS!$F150,DEMANDS!$G$2:$CK$25,MATCH($E150,DEMANDS!$E$2:$E$25,0),FALSE)/HLOOKUP(2018,DEMANDS!$G$2:$CK$25,MATCH($E150,DEMANDS!$E$2:$E$25,0),FALSE)</f>
        <v>0.251540130839434</v>
      </c>
      <c r="W150" s="19">
        <f>HLOOKUP(REG_TRA_DEMANDS!W$3,'BY-Demands'!$J$5:$AK$14,MATCH($E150,'BY-Demands'!$I$5:$I$14,0),FALSE)*HLOOKUP(REG_TRA_DEMANDS!$F150,DEMANDS!$G$2:$CK$25,MATCH($E150,DEMANDS!$E$2:$E$25,0),FALSE)/HLOOKUP(2018,DEMANDS!$G$2:$CK$25,MATCH($E150,DEMANDS!$E$2:$E$25,0),FALSE)</f>
        <v>0.20592195186134341</v>
      </c>
      <c r="X150" s="19">
        <f>HLOOKUP(REG_TRA_DEMANDS!X$3,'BY-Demands'!$J$5:$AK$14,MATCH($E150,'BY-Demands'!$I$5:$I$14,0),FALSE)*HLOOKUP(REG_TRA_DEMANDS!$F150,DEMANDS!$G$2:$CK$25,MATCH($E150,DEMANDS!$E$2:$E$25,0),FALSE)/HLOOKUP(2018,DEMANDS!$G$2:$CK$25,MATCH($E150,DEMANDS!$E$2:$E$25,0),FALSE)</f>
        <v>0.14993882082720805</v>
      </c>
      <c r="Y150" s="19">
        <f>HLOOKUP(REG_TRA_DEMANDS!Y$3,'BY-Demands'!$J$5:$AK$14,MATCH($E150,'BY-Demands'!$I$5:$I$14,0),FALSE)*HLOOKUP(REG_TRA_DEMANDS!$F150,DEMANDS!$G$2:$CK$25,MATCH($E150,DEMANDS!$E$2:$E$25,0),FALSE)/HLOOKUP(2018,DEMANDS!$G$2:$CK$25,MATCH($E150,DEMANDS!$E$2:$E$25,0),FALSE)</f>
        <v>0.33305426443523306</v>
      </c>
      <c r="Z150" s="19">
        <f>HLOOKUP(REG_TRA_DEMANDS!Z$3,'BY-Demands'!$J$5:$AK$14,MATCH($E150,'BY-Demands'!$I$5:$I$14,0),FALSE)*HLOOKUP(REG_TRA_DEMANDS!$F150,DEMANDS!$G$2:$CK$25,MATCH($E150,DEMANDS!$E$2:$E$25,0),FALSE)/HLOOKUP(2018,DEMANDS!$G$2:$CK$25,MATCH($E150,DEMANDS!$E$2:$E$25,0),FALSE)</f>
        <v>0.04135655879516479</v>
      </c>
      <c r="AA150" s="19">
        <f>HLOOKUP(REG_TRA_DEMANDS!AA$3,'BY-Demands'!$J$5:$AK$14,MATCH($E150,'BY-Demands'!$I$5:$I$14,0),FALSE)*HLOOKUP(REG_TRA_DEMANDS!$F150,DEMANDS!$G$2:$CK$25,MATCH($E150,DEMANDS!$E$2:$E$25,0),FALSE)/HLOOKUP(2018,DEMANDS!$G$2:$CK$25,MATCH($E150,DEMANDS!$E$2:$E$25,0),FALSE)</f>
        <v>0.16843466541881658</v>
      </c>
      <c r="AB150" s="19">
        <f>HLOOKUP(REG_TRA_DEMANDS!AB$3,'BY-Demands'!$J$5:$AK$14,MATCH($E150,'BY-Demands'!$I$5:$I$14,0),FALSE)*HLOOKUP(REG_TRA_DEMANDS!$F150,DEMANDS!$G$2:$CK$25,MATCH($E150,DEMANDS!$E$2:$E$25,0),FALSE)/HLOOKUP(2018,DEMANDS!$G$2:$CK$25,MATCH($E150,DEMANDS!$E$2:$E$25,0),FALSE)</f>
        <v>0.083301639335760527</v>
      </c>
      <c r="AC150" s="19">
        <f>HLOOKUP(REG_TRA_DEMANDS!AC$3,'BY-Demands'!$J$5:$AK$14,MATCH($E150,'BY-Demands'!$I$5:$I$14,0),FALSE)*HLOOKUP(REG_TRA_DEMANDS!$F150,DEMANDS!$G$2:$CK$25,MATCH($E150,DEMANDS!$E$2:$E$25,0),FALSE)/HLOOKUP(2018,DEMANDS!$G$2:$CK$25,MATCH($E150,DEMANDS!$E$2:$E$25,0),FALSE)</f>
        <v>0.084580641637783047</v>
      </c>
      <c r="AD150" s="19">
        <f>HLOOKUP(REG_TRA_DEMANDS!AD$3,'BY-Demands'!$J$5:$AK$14,MATCH($E150,'BY-Demands'!$I$5:$I$14,0),FALSE)*HLOOKUP(REG_TRA_DEMANDS!$F150,DEMANDS!$G$2:$CK$25,MATCH($E150,DEMANDS!$E$2:$E$25,0),FALSE)/HLOOKUP(2018,DEMANDS!$G$2:$CK$25,MATCH($E150,DEMANDS!$E$2:$E$25,0),FALSE)</f>
        <v>0.098314106315705502</v>
      </c>
      <c r="AE150" s="19">
        <f>HLOOKUP(REG_TRA_DEMANDS!AE$3,'BY-Demands'!$J$5:$AK$14,MATCH($E150,'BY-Demands'!$I$5:$I$14,0),FALSE)*HLOOKUP(REG_TRA_DEMANDS!$F150,DEMANDS!$G$2:$CK$25,MATCH($E150,DEMANDS!$E$2:$E$25,0),FALSE)/HLOOKUP(2018,DEMANDS!$G$2:$CK$25,MATCH($E150,DEMANDS!$E$2:$E$25,0),FALSE)</f>
        <v>0.20545603881287783</v>
      </c>
      <c r="AF150" s="19">
        <f>HLOOKUP(REG_TRA_DEMANDS!AF$3,'BY-Demands'!$J$5:$AK$14,MATCH($E150,'BY-Demands'!$I$5:$I$14,0),FALSE)*HLOOKUP(REG_TRA_DEMANDS!$F150,DEMANDS!$G$2:$CK$25,MATCH($E150,DEMANDS!$E$2:$E$25,0),FALSE)/HLOOKUP(2018,DEMANDS!$G$2:$CK$25,MATCH($E150,DEMANDS!$E$2:$E$25,0),FALSE)</f>
        <v>0.079225868125077384</v>
      </c>
    </row>
    <row r="151" spans="4:32" ht="14.5">
      <c r="D151" t="s">
        <v>6</v>
      </c>
      <c r="E151" t="str">
        <f>DEMANDS!$E$22</f>
        <v>TNAV</v>
      </c>
      <c r="F151">
        <v>2032</v>
      </c>
      <c r="G151" s="19">
        <f>HLOOKUP(REG_TRA_DEMANDS!G$3,'BY-Demands'!$J$5:$AK$14,MATCH($E151,'BY-Demands'!$I$5:$I$14,0),FALSE)*HLOOKUP(REG_TRA_DEMANDS!$F151,DEMANDS!$G$2:$CK$25,MATCH($E151,DEMANDS!$E$2:$E$25,0),FALSE)/HLOOKUP(2018,DEMANDS!$G$2:$CK$25,MATCH($E151,DEMANDS!$E$2:$E$25,0),FALSE)</f>
        <v>0.075679468827348759</v>
      </c>
      <c r="H151" s="19">
        <f>HLOOKUP(REG_TRA_DEMANDS!H$3,'BY-Demands'!$J$5:$AK$14,MATCH($E151,'BY-Demands'!$I$5:$I$14,0),FALSE)*HLOOKUP(REG_TRA_DEMANDS!$F151,DEMANDS!$G$2:$CK$25,MATCH($E151,DEMANDS!$E$2:$E$25,0),FALSE)/HLOOKUP(2018,DEMANDS!$G$2:$CK$25,MATCH($E151,DEMANDS!$E$2:$E$25,0),FALSE)</f>
        <v>1.7910386678800685</v>
      </c>
      <c r="I151" s="19">
        <f>HLOOKUP(REG_TRA_DEMANDS!I$3,'BY-Demands'!$J$5:$AK$14,MATCH($E151,'BY-Demands'!$I$5:$I$14,0),FALSE)*HLOOKUP(REG_TRA_DEMANDS!$F151,DEMANDS!$G$2:$CK$25,MATCH($E151,DEMANDS!$E$2:$E$25,0),FALSE)/HLOOKUP(2018,DEMANDS!$G$2:$CK$25,MATCH($E151,DEMANDS!$E$2:$E$25,0),FALSE)</f>
        <v>0.29577363401883661</v>
      </c>
      <c r="J151" s="19">
        <f>HLOOKUP(REG_TRA_DEMANDS!J$3,'BY-Demands'!$J$5:$AK$14,MATCH($E151,'BY-Demands'!$I$5:$I$14,0),FALSE)*HLOOKUP(REG_TRA_DEMANDS!$F151,DEMANDS!$G$2:$CK$25,MATCH($E151,DEMANDS!$E$2:$E$25,0),FALSE)/HLOOKUP(2018,DEMANDS!$G$2:$CK$25,MATCH($E151,DEMANDS!$E$2:$E$25,0),FALSE)</f>
        <v>0.13190868142126522</v>
      </c>
      <c r="K151" s="19">
        <f>HLOOKUP(REG_TRA_DEMANDS!K$3,'BY-Demands'!$J$5:$AK$14,MATCH($E151,'BY-Demands'!$I$5:$I$14,0),FALSE)*HLOOKUP(REG_TRA_DEMANDS!$F151,DEMANDS!$G$2:$CK$25,MATCH($E151,DEMANDS!$E$2:$E$25,0),FALSE)/HLOOKUP(2018,DEMANDS!$G$2:$CK$25,MATCH($E151,DEMANDS!$E$2:$E$25,0),FALSE)</f>
        <v>0.11258736688101526</v>
      </c>
      <c r="L151" s="19">
        <f>HLOOKUP(REG_TRA_DEMANDS!L$3,'BY-Demands'!$J$5:$AK$14,MATCH($E151,'BY-Demands'!$I$5:$I$14,0),FALSE)*HLOOKUP(REG_TRA_DEMANDS!$F151,DEMANDS!$G$2:$CK$25,MATCH($E151,DEMANDS!$E$2:$E$25,0),FALSE)/HLOOKUP(2018,DEMANDS!$G$2:$CK$25,MATCH($E151,DEMANDS!$E$2:$E$25,0),FALSE)</f>
        <v>0.05433230747875048</v>
      </c>
      <c r="M151" s="19">
        <f>HLOOKUP(REG_TRA_DEMANDS!M$3,'BY-Demands'!$J$5:$AK$14,MATCH($E151,'BY-Demands'!$I$5:$I$14,0),FALSE)*HLOOKUP(REG_TRA_DEMANDS!$F151,DEMANDS!$G$2:$CK$25,MATCH($E151,DEMANDS!$E$2:$E$25,0),FALSE)/HLOOKUP(2018,DEMANDS!$G$2:$CK$25,MATCH($E151,DEMANDS!$E$2:$E$25,0),FALSE)</f>
        <v>0.17132496066085898</v>
      </c>
      <c r="N151" s="19">
        <f>HLOOKUP(REG_TRA_DEMANDS!N$3,'BY-Demands'!$J$5:$AK$14,MATCH($E151,'BY-Demands'!$I$5:$I$14,0),FALSE)*HLOOKUP(REG_TRA_DEMANDS!$F151,DEMANDS!$G$2:$CK$25,MATCH($E151,DEMANDS!$E$2:$E$25,0),FALSE)/HLOOKUP(2018,DEMANDS!$G$2:$CK$25,MATCH($E151,DEMANDS!$E$2:$E$25,0),FALSE)</f>
        <v>0.25927117118600163</v>
      </c>
      <c r="O151" s="19">
        <f>HLOOKUP(REG_TRA_DEMANDS!O$3,'BY-Demands'!$J$5:$AK$14,MATCH($E151,'BY-Demands'!$I$5:$I$14,0),FALSE)*HLOOKUP(REG_TRA_DEMANDS!$F151,DEMANDS!$G$2:$CK$25,MATCH($E151,DEMANDS!$E$2:$E$25,0),FALSE)/HLOOKUP(2018,DEMANDS!$G$2:$CK$25,MATCH($E151,DEMANDS!$E$2:$E$25,0),FALSE)</f>
        <v>0.10363323033178067</v>
      </c>
      <c r="P151" s="19">
        <f>HLOOKUP(REG_TRA_DEMANDS!P$3,'BY-Demands'!$J$5:$AK$14,MATCH($E151,'BY-Demands'!$I$5:$I$14,0),FALSE)*HLOOKUP(REG_TRA_DEMANDS!$F151,DEMANDS!$G$2:$CK$25,MATCH($E151,DEMANDS!$E$2:$E$25,0),FALSE)/HLOOKUP(2018,DEMANDS!$G$2:$CK$25,MATCH($E151,DEMANDS!$E$2:$E$25,0),FALSE)</f>
        <v>0.11800158869886455</v>
      </c>
      <c r="Q151" s="19">
        <f>HLOOKUP(REG_TRA_DEMANDS!Q$3,'BY-Demands'!$J$5:$AK$14,MATCH($E151,'BY-Demands'!$I$5:$I$14,0),FALSE)*HLOOKUP(REG_TRA_DEMANDS!$F151,DEMANDS!$G$2:$CK$25,MATCH($E151,DEMANDS!$E$2:$E$25,0),FALSE)/HLOOKUP(2018,DEMANDS!$G$2:$CK$25,MATCH($E151,DEMANDS!$E$2:$E$25,0),FALSE)</f>
        <v>0.19902482666634488</v>
      </c>
      <c r="R151" s="19">
        <f>HLOOKUP(REG_TRA_DEMANDS!R$3,'BY-Demands'!$J$5:$AK$14,MATCH($E151,'BY-Demands'!$I$5:$I$14,0),FALSE)*HLOOKUP(REG_TRA_DEMANDS!$F151,DEMANDS!$G$2:$CK$25,MATCH($E151,DEMANDS!$E$2:$E$25,0),FALSE)/HLOOKUP(2018,DEMANDS!$G$2:$CK$25,MATCH($E151,DEMANDS!$E$2:$E$25,0),FALSE)</f>
        <v>0.18932495516994211</v>
      </c>
      <c r="S151" s="19">
        <f>HLOOKUP(REG_TRA_DEMANDS!S$3,'BY-Demands'!$J$5:$AK$14,MATCH($E151,'BY-Demands'!$I$5:$I$14,0),FALSE)*HLOOKUP(REG_TRA_DEMANDS!$F151,DEMANDS!$G$2:$CK$25,MATCH($E151,DEMANDS!$E$2:$E$25,0),FALSE)/HLOOKUP(2018,DEMANDS!$G$2:$CK$25,MATCH($E151,DEMANDS!$E$2:$E$25,0),FALSE)</f>
        <v>0.15794293978182919</v>
      </c>
      <c r="T151" s="19">
        <f>HLOOKUP(REG_TRA_DEMANDS!T$3,'BY-Demands'!$J$5:$AK$14,MATCH($E151,'BY-Demands'!$I$5:$I$14,0),FALSE)*HLOOKUP(REG_TRA_DEMANDS!$F151,DEMANDS!$G$2:$CK$25,MATCH($E151,DEMANDS!$E$2:$E$25,0),FALSE)/HLOOKUP(2018,DEMANDS!$G$2:$CK$25,MATCH($E151,DEMANDS!$E$2:$E$25,0),FALSE)</f>
        <v>0.72163215561310301</v>
      </c>
      <c r="U151" s="19">
        <f>HLOOKUP(REG_TRA_DEMANDS!U$3,'BY-Demands'!$J$5:$AK$14,MATCH($E151,'BY-Demands'!$I$5:$I$14,0),FALSE)*HLOOKUP(REG_TRA_DEMANDS!$F151,DEMANDS!$G$2:$CK$25,MATCH($E151,DEMANDS!$E$2:$E$25,0),FALSE)/HLOOKUP(2018,DEMANDS!$G$2:$CK$25,MATCH($E151,DEMANDS!$E$2:$E$25,0),FALSE)</f>
        <v>0.19634629561724895</v>
      </c>
      <c r="V151" s="19">
        <f>HLOOKUP(REG_TRA_DEMANDS!V$3,'BY-Demands'!$J$5:$AK$14,MATCH($E151,'BY-Demands'!$I$5:$I$14,0),FALSE)*HLOOKUP(REG_TRA_DEMANDS!$F151,DEMANDS!$G$2:$CK$25,MATCH($E151,DEMANDS!$E$2:$E$25,0),FALSE)/HLOOKUP(2018,DEMANDS!$G$2:$CK$25,MATCH($E151,DEMANDS!$E$2:$E$25,0),FALSE)</f>
        <v>0.25907842329413133</v>
      </c>
      <c r="W151" s="19">
        <f>HLOOKUP(REG_TRA_DEMANDS!W$3,'BY-Demands'!$J$5:$AK$14,MATCH($E151,'BY-Demands'!$I$5:$I$14,0),FALSE)*HLOOKUP(REG_TRA_DEMANDS!$F151,DEMANDS!$G$2:$CK$25,MATCH($E151,DEMANDS!$E$2:$E$25,0),FALSE)/HLOOKUP(2018,DEMANDS!$G$2:$CK$25,MATCH($E151,DEMANDS!$E$2:$E$25,0),FALSE)</f>
        <v>0.21209313373515656</v>
      </c>
      <c r="X151" s="19">
        <f>HLOOKUP(REG_TRA_DEMANDS!X$3,'BY-Demands'!$J$5:$AK$14,MATCH($E151,'BY-Demands'!$I$5:$I$14,0),FALSE)*HLOOKUP(REG_TRA_DEMANDS!$F151,DEMANDS!$G$2:$CK$25,MATCH($E151,DEMANDS!$E$2:$E$25,0),FALSE)/HLOOKUP(2018,DEMANDS!$G$2:$CK$25,MATCH($E151,DEMANDS!$E$2:$E$25,0),FALSE)</f>
        <v>0.15443226955817593</v>
      </c>
      <c r="Y151" s="19">
        <f>HLOOKUP(REG_TRA_DEMANDS!Y$3,'BY-Demands'!$J$5:$AK$14,MATCH($E151,'BY-Demands'!$I$5:$I$14,0),FALSE)*HLOOKUP(REG_TRA_DEMANDS!$F151,DEMANDS!$G$2:$CK$25,MATCH($E151,DEMANDS!$E$2:$E$25,0),FALSE)/HLOOKUP(2018,DEMANDS!$G$2:$CK$25,MATCH($E151,DEMANDS!$E$2:$E$25,0),FALSE)</f>
        <v>0.34303541710545854</v>
      </c>
      <c r="Z151" s="19">
        <f>HLOOKUP(REG_TRA_DEMANDS!Z$3,'BY-Demands'!$J$5:$AK$14,MATCH($E151,'BY-Demands'!$I$5:$I$14,0),FALSE)*HLOOKUP(REG_TRA_DEMANDS!$F151,DEMANDS!$G$2:$CK$25,MATCH($E151,DEMANDS!$E$2:$E$25,0),FALSE)/HLOOKUP(2018,DEMANDS!$G$2:$CK$25,MATCH($E151,DEMANDS!$E$2:$E$25,0),FALSE)</f>
        <v>0.042595954807552329</v>
      </c>
      <c r="AA151" s="19">
        <f>HLOOKUP(REG_TRA_DEMANDS!AA$3,'BY-Demands'!$J$5:$AK$14,MATCH($E151,'BY-Demands'!$I$5:$I$14,0),FALSE)*HLOOKUP(REG_TRA_DEMANDS!$F151,DEMANDS!$G$2:$CK$25,MATCH($E151,DEMANDS!$E$2:$E$25,0),FALSE)/HLOOKUP(2018,DEMANDS!$G$2:$CK$25,MATCH($E151,DEMANDS!$E$2:$E$25,0),FALSE)</f>
        <v>0.17348240775400139</v>
      </c>
      <c r="AB151" s="19">
        <f>HLOOKUP(REG_TRA_DEMANDS!AB$3,'BY-Demands'!$J$5:$AK$14,MATCH($E151,'BY-Demands'!$I$5:$I$14,0),FALSE)*HLOOKUP(REG_TRA_DEMANDS!$F151,DEMANDS!$G$2:$CK$25,MATCH($E151,DEMANDS!$E$2:$E$25,0),FALSE)/HLOOKUP(2018,DEMANDS!$G$2:$CK$25,MATCH($E151,DEMANDS!$E$2:$E$25,0),FALSE)</f>
        <v>0.085798068502641739</v>
      </c>
      <c r="AC151" s="19">
        <f>HLOOKUP(REG_TRA_DEMANDS!AC$3,'BY-Demands'!$J$5:$AK$14,MATCH($E151,'BY-Demands'!$I$5:$I$14,0),FALSE)*HLOOKUP(REG_TRA_DEMANDS!$F151,DEMANDS!$G$2:$CK$25,MATCH($E151,DEMANDS!$E$2:$E$25,0),FALSE)/HLOOKUP(2018,DEMANDS!$G$2:$CK$25,MATCH($E151,DEMANDS!$E$2:$E$25,0),FALSE)</f>
        <v>0.08711540064639052</v>
      </c>
      <c r="AD151" s="19">
        <f>HLOOKUP(REG_TRA_DEMANDS!AD$3,'BY-Demands'!$J$5:$AK$14,MATCH($E151,'BY-Demands'!$I$5:$I$14,0),FALSE)*HLOOKUP(REG_TRA_DEMANDS!$F151,DEMANDS!$G$2:$CK$25,MATCH($E151,DEMANDS!$E$2:$E$25,0),FALSE)/HLOOKUP(2018,DEMANDS!$G$2:$CK$25,MATCH($E151,DEMANDS!$E$2:$E$25,0),FALSE)</f>
        <v>0.1012604373180658</v>
      </c>
      <c r="AE151" s="19">
        <f>HLOOKUP(REG_TRA_DEMANDS!AE$3,'BY-Demands'!$J$5:$AK$14,MATCH($E151,'BY-Demands'!$I$5:$I$14,0),FALSE)*HLOOKUP(REG_TRA_DEMANDS!$F151,DEMANDS!$G$2:$CK$25,MATCH($E151,DEMANDS!$E$2:$E$25,0),FALSE)/HLOOKUP(2018,DEMANDS!$G$2:$CK$25,MATCH($E151,DEMANDS!$E$2:$E$25,0),FALSE)</f>
        <v>0.21161325794919034</v>
      </c>
      <c r="AF151" s="19">
        <f>HLOOKUP(REG_TRA_DEMANDS!AF$3,'BY-Demands'!$J$5:$AK$14,MATCH($E151,'BY-Demands'!$I$5:$I$14,0),FALSE)*HLOOKUP(REG_TRA_DEMANDS!$F151,DEMANDS!$G$2:$CK$25,MATCH($E151,DEMANDS!$E$2:$E$25,0),FALSE)/HLOOKUP(2018,DEMANDS!$G$2:$CK$25,MATCH($E151,DEMANDS!$E$2:$E$25,0),FALSE)</f>
        <v>0.081600152347285029</v>
      </c>
    </row>
    <row r="152" spans="4:32" ht="14.5">
      <c r="D152" t="s">
        <v>6</v>
      </c>
      <c r="E152" t="str">
        <f>DEMANDS!$E$22</f>
        <v>TNAV</v>
      </c>
      <c r="F152">
        <v>2033</v>
      </c>
      <c r="G152" s="19">
        <f>HLOOKUP(REG_TRA_DEMANDS!G$3,'BY-Demands'!$J$5:$AK$14,MATCH($E152,'BY-Demands'!$I$5:$I$14,0),FALSE)*HLOOKUP(REG_TRA_DEMANDS!$F152,DEMANDS!$G$2:$CK$25,MATCH($E152,DEMANDS!$E$2:$E$25,0),FALSE)/HLOOKUP(2018,DEMANDS!$G$2:$CK$25,MATCH($E152,DEMANDS!$E$2:$E$25,0),FALSE)</f>
        <v>0.077909038024128477</v>
      </c>
      <c r="H152" s="19">
        <f>HLOOKUP(REG_TRA_DEMANDS!H$3,'BY-Demands'!$J$5:$AK$14,MATCH($E152,'BY-Demands'!$I$5:$I$14,0),FALSE)*HLOOKUP(REG_TRA_DEMANDS!$F152,DEMANDS!$G$2:$CK$25,MATCH($E152,DEMANDS!$E$2:$E$25,0),FALSE)/HLOOKUP(2018,DEMANDS!$G$2:$CK$25,MATCH($E152,DEMANDS!$E$2:$E$25,0),FALSE)</f>
        <v>1.8438038987415162</v>
      </c>
      <c r="I152" s="19">
        <f>HLOOKUP(REG_TRA_DEMANDS!I$3,'BY-Demands'!$J$5:$AK$14,MATCH($E152,'BY-Demands'!$I$5:$I$14,0),FALSE)*HLOOKUP(REG_TRA_DEMANDS!$F152,DEMANDS!$G$2:$CK$25,MATCH($E152,DEMANDS!$E$2:$E$25,0),FALSE)/HLOOKUP(2018,DEMANDS!$G$2:$CK$25,MATCH($E152,DEMANDS!$E$2:$E$25,0),FALSE)</f>
        <v>0.30448732868194833</v>
      </c>
      <c r="J152" s="19">
        <f>HLOOKUP(REG_TRA_DEMANDS!J$3,'BY-Demands'!$J$5:$AK$14,MATCH($E152,'BY-Demands'!$I$5:$I$14,0),FALSE)*HLOOKUP(REG_TRA_DEMANDS!$F152,DEMANDS!$G$2:$CK$25,MATCH($E152,DEMANDS!$E$2:$E$25,0),FALSE)/HLOOKUP(2018,DEMANDS!$G$2:$CK$25,MATCH($E152,DEMANDS!$E$2:$E$25,0),FALSE)</f>
        <v>0.13579480189015525</v>
      </c>
      <c r="K152" s="19">
        <f>HLOOKUP(REG_TRA_DEMANDS!K$3,'BY-Demands'!$J$5:$AK$14,MATCH($E152,'BY-Demands'!$I$5:$I$14,0),FALSE)*HLOOKUP(REG_TRA_DEMANDS!$F152,DEMANDS!$G$2:$CK$25,MATCH($E152,DEMANDS!$E$2:$E$25,0),FALSE)/HLOOKUP(2018,DEMANDS!$G$2:$CK$25,MATCH($E152,DEMANDS!$E$2:$E$25,0),FALSE)</f>
        <v>0.11590426813619077</v>
      </c>
      <c r="L152" s="19">
        <f>HLOOKUP(REG_TRA_DEMANDS!L$3,'BY-Demands'!$J$5:$AK$14,MATCH($E152,'BY-Demands'!$I$5:$I$14,0),FALSE)*HLOOKUP(REG_TRA_DEMANDS!$F152,DEMANDS!$G$2:$CK$25,MATCH($E152,DEMANDS!$E$2:$E$25,0),FALSE)/HLOOKUP(2018,DEMANDS!$G$2:$CK$25,MATCH($E152,DEMANDS!$E$2:$E$25,0),FALSE)</f>
        <v>0.055932974621657416</v>
      </c>
      <c r="M152" s="19">
        <f>HLOOKUP(REG_TRA_DEMANDS!M$3,'BY-Demands'!$J$5:$AK$14,MATCH($E152,'BY-Demands'!$I$5:$I$14,0),FALSE)*HLOOKUP(REG_TRA_DEMANDS!$F152,DEMANDS!$G$2:$CK$25,MATCH($E152,DEMANDS!$E$2:$E$25,0),FALSE)/HLOOKUP(2018,DEMANDS!$G$2:$CK$25,MATCH($E152,DEMANDS!$E$2:$E$25,0),FALSE)</f>
        <v>0.17637231182290772</v>
      </c>
      <c r="N152" s="19">
        <f>HLOOKUP(REG_TRA_DEMANDS!N$3,'BY-Demands'!$J$5:$AK$14,MATCH($E152,'BY-Demands'!$I$5:$I$14,0),FALSE)*HLOOKUP(REG_TRA_DEMANDS!$F152,DEMANDS!$G$2:$CK$25,MATCH($E152,DEMANDS!$E$2:$E$25,0),FALSE)/HLOOKUP(2018,DEMANDS!$G$2:$CK$25,MATCH($E152,DEMANDS!$E$2:$E$25,0),FALSE)</f>
        <v>0.26690947819114297</v>
      </c>
      <c r="O152" s="19">
        <f>HLOOKUP(REG_TRA_DEMANDS!O$3,'BY-Demands'!$J$5:$AK$14,MATCH($E152,'BY-Demands'!$I$5:$I$14,0),FALSE)*HLOOKUP(REG_TRA_DEMANDS!$F152,DEMANDS!$G$2:$CK$25,MATCH($E152,DEMANDS!$E$2:$E$25,0),FALSE)/HLOOKUP(2018,DEMANDS!$G$2:$CK$25,MATCH($E152,DEMANDS!$E$2:$E$25,0),FALSE)</f>
        <v>0.10668633656641399</v>
      </c>
      <c r="P152" s="19">
        <f>HLOOKUP(REG_TRA_DEMANDS!P$3,'BY-Demands'!$J$5:$AK$14,MATCH($E152,'BY-Demands'!$I$5:$I$14,0),FALSE)*HLOOKUP(REG_TRA_DEMANDS!$F152,DEMANDS!$G$2:$CK$25,MATCH($E152,DEMANDS!$E$2:$E$25,0),FALSE)/HLOOKUP(2018,DEMANDS!$G$2:$CK$25,MATCH($E152,DEMANDS!$E$2:$E$25,0),FALSE)</f>
        <v>0.12147799665217969</v>
      </c>
      <c r="Q152" s="19">
        <f>HLOOKUP(REG_TRA_DEMANDS!Q$3,'BY-Demands'!$J$5:$AK$14,MATCH($E152,'BY-Demands'!$I$5:$I$14,0),FALSE)*HLOOKUP(REG_TRA_DEMANDS!$F152,DEMANDS!$G$2:$CK$25,MATCH($E152,DEMANDS!$E$2:$E$25,0),FALSE)/HLOOKUP(2018,DEMANDS!$G$2:$CK$25,MATCH($E152,DEMANDS!$E$2:$E$25,0),FALSE)</f>
        <v>0.20488823493024316</v>
      </c>
      <c r="R152" s="19">
        <f>HLOOKUP(REG_TRA_DEMANDS!R$3,'BY-Demands'!$J$5:$AK$14,MATCH($E152,'BY-Demands'!$I$5:$I$14,0),FALSE)*HLOOKUP(REG_TRA_DEMANDS!$F152,DEMANDS!$G$2:$CK$25,MATCH($E152,DEMANDS!$E$2:$E$25,0),FALSE)/HLOOKUP(2018,DEMANDS!$G$2:$CK$25,MATCH($E152,DEMANDS!$E$2:$E$25,0),FALSE)</f>
        <v>0.19490259854890915</v>
      </c>
      <c r="S152" s="19">
        <f>HLOOKUP(REG_TRA_DEMANDS!S$3,'BY-Demands'!$J$5:$AK$14,MATCH($E152,'BY-Demands'!$I$5:$I$14,0),FALSE)*HLOOKUP(REG_TRA_DEMANDS!$F152,DEMANDS!$G$2:$CK$25,MATCH($E152,DEMANDS!$E$2:$E$25,0),FALSE)/HLOOKUP(2018,DEMANDS!$G$2:$CK$25,MATCH($E152,DEMANDS!$E$2:$E$25,0),FALSE)</f>
        <v>0.16259604740590314</v>
      </c>
      <c r="T152" s="19">
        <f>HLOOKUP(REG_TRA_DEMANDS!T$3,'BY-Demands'!$J$5:$AK$14,MATCH($E152,'BY-Demands'!$I$5:$I$14,0),FALSE)*HLOOKUP(REG_TRA_DEMANDS!$F152,DEMANDS!$G$2:$CK$25,MATCH($E152,DEMANDS!$E$2:$E$25,0),FALSE)/HLOOKUP(2018,DEMANDS!$G$2:$CK$25,MATCH($E152,DEMANDS!$E$2:$E$25,0),FALSE)</f>
        <v>0.74289193518728658</v>
      </c>
      <c r="U152" s="19">
        <f>HLOOKUP(REG_TRA_DEMANDS!U$3,'BY-Demands'!$J$5:$AK$14,MATCH($E152,'BY-Demands'!$I$5:$I$14,0),FALSE)*HLOOKUP(REG_TRA_DEMANDS!$F152,DEMANDS!$G$2:$CK$25,MATCH($E152,DEMANDS!$E$2:$E$25,0),FALSE)/HLOOKUP(2018,DEMANDS!$G$2:$CK$25,MATCH($E152,DEMANDS!$E$2:$E$25,0),FALSE)</f>
        <v>0.2021307925144025</v>
      </c>
      <c r="V152" s="19">
        <f>HLOOKUP(REG_TRA_DEMANDS!V$3,'BY-Demands'!$J$5:$AK$14,MATCH($E152,'BY-Demands'!$I$5:$I$14,0),FALSE)*HLOOKUP(REG_TRA_DEMANDS!$F152,DEMANDS!$G$2:$CK$25,MATCH($E152,DEMANDS!$E$2:$E$25,0),FALSE)/HLOOKUP(2018,DEMANDS!$G$2:$CK$25,MATCH($E152,DEMANDS!$E$2:$E$25,0),FALSE)</f>
        <v>0.26671105181382454</v>
      </c>
      <c r="W152" s="19">
        <f>HLOOKUP(REG_TRA_DEMANDS!W$3,'BY-Demands'!$J$5:$AK$14,MATCH($E152,'BY-Demands'!$I$5:$I$14,0),FALSE)*HLOOKUP(REG_TRA_DEMANDS!$F152,DEMANDS!$G$2:$CK$25,MATCH($E152,DEMANDS!$E$2:$E$25,0),FALSE)/HLOOKUP(2018,DEMANDS!$G$2:$CK$25,MATCH($E152,DEMANDS!$E$2:$E$25,0),FALSE)</f>
        <v>0.21834154331243813</v>
      </c>
      <c r="X152" s="19">
        <f>HLOOKUP(REG_TRA_DEMANDS!X$3,'BY-Demands'!$J$5:$AK$14,MATCH($E152,'BY-Demands'!$I$5:$I$14,0),FALSE)*HLOOKUP(REG_TRA_DEMANDS!$F152,DEMANDS!$G$2:$CK$25,MATCH($E152,DEMANDS!$E$2:$E$25,0),FALSE)/HLOOKUP(2018,DEMANDS!$G$2:$CK$25,MATCH($E152,DEMANDS!$E$2:$E$25,0),FALSE)</f>
        <v>0.15898195042315663</v>
      </c>
      <c r="Y152" s="19">
        <f>HLOOKUP(REG_TRA_DEMANDS!Y$3,'BY-Demands'!$J$5:$AK$14,MATCH($E152,'BY-Demands'!$I$5:$I$14,0),FALSE)*HLOOKUP(REG_TRA_DEMANDS!$F152,DEMANDS!$G$2:$CK$25,MATCH($E152,DEMANDS!$E$2:$E$25,0),FALSE)/HLOOKUP(2018,DEMANDS!$G$2:$CK$25,MATCH($E152,DEMANDS!$E$2:$E$25,0),FALSE)</f>
        <v>0.35314147640045229</v>
      </c>
      <c r="Z152" s="19">
        <f>HLOOKUP(REG_TRA_DEMANDS!Z$3,'BY-Demands'!$J$5:$AK$14,MATCH($E152,'BY-Demands'!$I$5:$I$14,0),FALSE)*HLOOKUP(REG_TRA_DEMANDS!$F152,DEMANDS!$G$2:$CK$25,MATCH($E152,DEMANDS!$E$2:$E$25,0),FALSE)/HLOOKUP(2018,DEMANDS!$G$2:$CK$25,MATCH($E152,DEMANDS!$E$2:$E$25,0),FALSE)</f>
        <v>0.043850860929620934</v>
      </c>
      <c r="AA152" s="19">
        <f>HLOOKUP(REG_TRA_DEMANDS!AA$3,'BY-Demands'!$J$5:$AK$14,MATCH($E152,'BY-Demands'!$I$5:$I$14,0),FALSE)*HLOOKUP(REG_TRA_DEMANDS!$F152,DEMANDS!$G$2:$CK$25,MATCH($E152,DEMANDS!$E$2:$E$25,0),FALSE)/HLOOKUP(2018,DEMANDS!$G$2:$CK$25,MATCH($E152,DEMANDS!$E$2:$E$25,0),FALSE)</f>
        <v>0.17859331879110057</v>
      </c>
      <c r="AB152" s="19">
        <f>HLOOKUP(REG_TRA_DEMANDS!AB$3,'BY-Demands'!$J$5:$AK$14,MATCH($E152,'BY-Demands'!$I$5:$I$14,0),FALSE)*HLOOKUP(REG_TRA_DEMANDS!$F152,DEMANDS!$G$2:$CK$25,MATCH($E152,DEMANDS!$E$2:$E$25,0),FALSE)/HLOOKUP(2018,DEMANDS!$G$2:$CK$25,MATCH($E152,DEMANDS!$E$2:$E$25,0),FALSE)</f>
        <v>0.088325738604464119</v>
      </c>
      <c r="AC152" s="19">
        <f>HLOOKUP(REG_TRA_DEMANDS!AC$3,'BY-Demands'!$J$5:$AK$14,MATCH($E152,'BY-Demands'!$I$5:$I$14,0),FALSE)*HLOOKUP(REG_TRA_DEMANDS!$F152,DEMANDS!$G$2:$CK$25,MATCH($E152,DEMANDS!$E$2:$E$25,0),FALSE)/HLOOKUP(2018,DEMANDS!$G$2:$CK$25,MATCH($E152,DEMANDS!$E$2:$E$25,0),FALSE)</f>
        <v>0.08968188025910323</v>
      </c>
      <c r="AD152" s="19">
        <f>HLOOKUP(REG_TRA_DEMANDS!AD$3,'BY-Demands'!$J$5:$AK$14,MATCH($E152,'BY-Demands'!$I$5:$I$14,0),FALSE)*HLOOKUP(REG_TRA_DEMANDS!$F152,DEMANDS!$G$2:$CK$25,MATCH($E152,DEMANDS!$E$2:$E$25,0),FALSE)/HLOOKUP(2018,DEMANDS!$G$2:$CK$25,MATCH($E152,DEMANDS!$E$2:$E$25,0),FALSE)</f>
        <v>0.10424363943873419</v>
      </c>
      <c r="AE152" s="19">
        <f>HLOOKUP(REG_TRA_DEMANDS!AE$3,'BY-Demands'!$J$5:$AK$14,MATCH($E152,'BY-Demands'!$I$5:$I$14,0),FALSE)*HLOOKUP(REG_TRA_DEMANDS!$F152,DEMANDS!$G$2:$CK$25,MATCH($E152,DEMANDS!$E$2:$E$25,0),FALSE)/HLOOKUP(2018,DEMANDS!$G$2:$CK$25,MATCH($E152,DEMANDS!$E$2:$E$25,0),FALSE)</f>
        <v>0.21784753005580451</v>
      </c>
      <c r="AF152" s="19">
        <f>HLOOKUP(REG_TRA_DEMANDS!AF$3,'BY-Demands'!$J$5:$AK$14,MATCH($E152,'BY-Demands'!$I$5:$I$14,0),FALSE)*HLOOKUP(REG_TRA_DEMANDS!$F152,DEMANDS!$G$2:$CK$25,MATCH($E152,DEMANDS!$E$2:$E$25,0),FALSE)/HLOOKUP(2018,DEMANDS!$G$2:$CK$25,MATCH($E152,DEMANDS!$E$2:$E$25,0),FALSE)</f>
        <v>0.084004148952243923</v>
      </c>
    </row>
    <row r="153" spans="4:32" ht="14.5">
      <c r="D153" t="s">
        <v>6</v>
      </c>
      <c r="E153" t="str">
        <f>DEMANDS!$E$22</f>
        <v>TNAV</v>
      </c>
      <c r="F153">
        <v>2034</v>
      </c>
      <c r="G153" s="19">
        <f>HLOOKUP(REG_TRA_DEMANDS!G$3,'BY-Demands'!$J$5:$AK$14,MATCH($E153,'BY-Demands'!$I$5:$I$14,0),FALSE)*HLOOKUP(REG_TRA_DEMANDS!$F153,DEMANDS!$G$2:$CK$25,MATCH($E153,DEMANDS!$E$2:$E$25,0),FALSE)/HLOOKUP(2018,DEMANDS!$G$2:$CK$25,MATCH($E153,DEMANDS!$E$2:$E$25,0),FALSE)</f>
        <v>0.080159099815550555</v>
      </c>
      <c r="H153" s="19">
        <f>HLOOKUP(REG_TRA_DEMANDS!H$3,'BY-Demands'!$J$5:$AK$14,MATCH($E153,'BY-Demands'!$I$5:$I$14,0),FALSE)*HLOOKUP(REG_TRA_DEMANDS!$F153,DEMANDS!$G$2:$CK$25,MATCH($E153,DEMANDS!$E$2:$E$25,0),FALSE)/HLOOKUP(2018,DEMANDS!$G$2:$CK$25,MATCH($E153,DEMANDS!$E$2:$E$25,0),FALSE)</f>
        <v>1.8970541096111271</v>
      </c>
      <c r="I153" s="19">
        <f>HLOOKUP(REG_TRA_DEMANDS!I$3,'BY-Demands'!$J$5:$AK$14,MATCH($E153,'BY-Demands'!$I$5:$I$14,0),FALSE)*HLOOKUP(REG_TRA_DEMANDS!$F153,DEMANDS!$G$2:$CK$25,MATCH($E153,DEMANDS!$E$2:$E$25,0),FALSE)/HLOOKUP(2018,DEMANDS!$G$2:$CK$25,MATCH($E153,DEMANDS!$E$2:$E$25,0),FALSE)</f>
        <v>0.31328111335205616</v>
      </c>
      <c r="J153" s="19">
        <f>HLOOKUP(REG_TRA_DEMANDS!J$3,'BY-Demands'!$J$5:$AK$14,MATCH($E153,'BY-Demands'!$I$5:$I$14,0),FALSE)*HLOOKUP(REG_TRA_DEMANDS!$F153,DEMANDS!$G$2:$CK$25,MATCH($E153,DEMANDS!$E$2:$E$25,0),FALSE)/HLOOKUP(2018,DEMANDS!$G$2:$CK$25,MATCH($E153,DEMANDS!$E$2:$E$25,0),FALSE)</f>
        <v>0.13971664078017132</v>
      </c>
      <c r="K153" s="19">
        <f>HLOOKUP(REG_TRA_DEMANDS!K$3,'BY-Demands'!$J$5:$AK$14,MATCH($E153,'BY-Demands'!$I$5:$I$14,0),FALSE)*HLOOKUP(REG_TRA_DEMANDS!$F153,DEMANDS!$G$2:$CK$25,MATCH($E153,DEMANDS!$E$2:$E$25,0),FALSE)/HLOOKUP(2018,DEMANDS!$G$2:$CK$25,MATCH($E153,DEMANDS!$E$2:$E$25,0),FALSE)</f>
        <v>0.11925165595934957</v>
      </c>
      <c r="L153" s="19">
        <f>HLOOKUP(REG_TRA_DEMANDS!L$3,'BY-Demands'!$J$5:$AK$14,MATCH($E153,'BY-Demands'!$I$5:$I$14,0),FALSE)*HLOOKUP(REG_TRA_DEMANDS!$F153,DEMANDS!$G$2:$CK$25,MATCH($E153,DEMANDS!$E$2:$E$25,0),FALSE)/HLOOKUP(2018,DEMANDS!$G$2:$CK$25,MATCH($E153,DEMANDS!$E$2:$E$25,0),FALSE)</f>
        <v>0.057548353944372146</v>
      </c>
      <c r="M153" s="19">
        <f>HLOOKUP(REG_TRA_DEMANDS!M$3,'BY-Demands'!$J$5:$AK$14,MATCH($E153,'BY-Demands'!$I$5:$I$14,0),FALSE)*HLOOKUP(REG_TRA_DEMANDS!$F153,DEMANDS!$G$2:$CK$25,MATCH($E153,DEMANDS!$E$2:$E$25,0),FALSE)/HLOOKUP(2018,DEMANDS!$G$2:$CK$25,MATCH($E153,DEMANDS!$E$2:$E$25,0),FALSE)</f>
        <v>0.18146605460246304</v>
      </c>
      <c r="N153" s="19">
        <f>HLOOKUP(REG_TRA_DEMANDS!N$3,'BY-Demands'!$J$5:$AK$14,MATCH($E153,'BY-Demands'!$I$5:$I$14,0),FALSE)*HLOOKUP(REG_TRA_DEMANDS!$F153,DEMANDS!$G$2:$CK$25,MATCH($E153,DEMANDS!$E$2:$E$25,0),FALSE)/HLOOKUP(2018,DEMANDS!$G$2:$CK$25,MATCH($E153,DEMANDS!$E$2:$E$25,0),FALSE)</f>
        <v>0.27461799101426754</v>
      </c>
      <c r="O153" s="19">
        <f>HLOOKUP(REG_TRA_DEMANDS!O$3,'BY-Demands'!$J$5:$AK$14,MATCH($E153,'BY-Demands'!$I$5:$I$14,0),FALSE)*HLOOKUP(REG_TRA_DEMANDS!$F153,DEMANDS!$G$2:$CK$25,MATCH($E153,DEMANDS!$E$2:$E$25,0),FALSE)/HLOOKUP(2018,DEMANDS!$G$2:$CK$25,MATCH($E153,DEMANDS!$E$2:$E$25,0),FALSE)</f>
        <v>0.10976750475514893</v>
      </c>
      <c r="P153" s="19">
        <f>HLOOKUP(REG_TRA_DEMANDS!P$3,'BY-Demands'!$J$5:$AK$14,MATCH($E153,'BY-Demands'!$I$5:$I$14,0),FALSE)*HLOOKUP(REG_TRA_DEMANDS!$F153,DEMANDS!$G$2:$CK$25,MATCH($E153,DEMANDS!$E$2:$E$25,0),FALSE)/HLOOKUP(2018,DEMANDS!$G$2:$CK$25,MATCH($E153,DEMANDS!$E$2:$E$25,0),FALSE)</f>
        <v>0.12498635724419363</v>
      </c>
      <c r="Q153" s="19">
        <f>HLOOKUP(REG_TRA_DEMANDS!Q$3,'BY-Demands'!$J$5:$AK$14,MATCH($E153,'BY-Demands'!$I$5:$I$14,0),FALSE)*HLOOKUP(REG_TRA_DEMANDS!$F153,DEMANDS!$G$2:$CK$25,MATCH($E153,DEMANDS!$E$2:$E$25,0),FALSE)/HLOOKUP(2018,DEMANDS!$G$2:$CK$25,MATCH($E153,DEMANDS!$E$2:$E$25,0),FALSE)</f>
        <v>0.21080553542092148</v>
      </c>
      <c r="R153" s="19">
        <f>HLOOKUP(REG_TRA_DEMANDS!R$3,'BY-Demands'!$J$5:$AK$14,MATCH($E153,'BY-Demands'!$I$5:$I$14,0),FALSE)*HLOOKUP(REG_TRA_DEMANDS!$F153,DEMANDS!$G$2:$CK$25,MATCH($E153,DEMANDS!$E$2:$E$25,0),FALSE)/HLOOKUP(2018,DEMANDS!$G$2:$CK$25,MATCH($E153,DEMANDS!$E$2:$E$25,0),FALSE)</f>
        <v>0.20053150760960067</v>
      </c>
      <c r="S153" s="19">
        <f>HLOOKUP(REG_TRA_DEMANDS!S$3,'BY-Demands'!$J$5:$AK$14,MATCH($E153,'BY-Demands'!$I$5:$I$14,0),FALSE)*HLOOKUP(REG_TRA_DEMANDS!$F153,DEMANDS!$G$2:$CK$25,MATCH($E153,DEMANDS!$E$2:$E$25,0),FALSE)/HLOOKUP(2018,DEMANDS!$G$2:$CK$25,MATCH($E153,DEMANDS!$E$2:$E$25,0),FALSE)</f>
        <v>0.16729192304475995</v>
      </c>
      <c r="T153" s="19">
        <f>HLOOKUP(REG_TRA_DEMANDS!T$3,'BY-Demands'!$J$5:$AK$14,MATCH($E153,'BY-Demands'!$I$5:$I$14,0),FALSE)*HLOOKUP(REG_TRA_DEMANDS!$F153,DEMANDS!$G$2:$CK$25,MATCH($E153,DEMANDS!$E$2:$E$25,0),FALSE)/HLOOKUP(2018,DEMANDS!$G$2:$CK$25,MATCH($E153,DEMANDS!$E$2:$E$25,0),FALSE)</f>
        <v>0.76434711934708643</v>
      </c>
      <c r="U153" s="19">
        <f>HLOOKUP(REG_TRA_DEMANDS!U$3,'BY-Demands'!$J$5:$AK$14,MATCH($E153,'BY-Demands'!$I$5:$I$14,0),FALSE)*HLOOKUP(REG_TRA_DEMANDS!$F153,DEMANDS!$G$2:$CK$25,MATCH($E153,DEMANDS!$E$2:$E$25,0),FALSE)/HLOOKUP(2018,DEMANDS!$G$2:$CK$25,MATCH($E153,DEMANDS!$E$2:$E$25,0),FALSE)</f>
        <v>0.20796845634187353</v>
      </c>
      <c r="V153" s="19">
        <f>HLOOKUP(REG_TRA_DEMANDS!V$3,'BY-Demands'!$J$5:$AK$14,MATCH($E153,'BY-Demands'!$I$5:$I$14,0),FALSE)*HLOOKUP(REG_TRA_DEMANDS!$F153,DEMANDS!$G$2:$CK$25,MATCH($E153,DEMANDS!$E$2:$E$25,0),FALSE)/HLOOKUP(2018,DEMANDS!$G$2:$CK$25,MATCH($E153,DEMANDS!$E$2:$E$25,0),FALSE)</f>
        <v>0.27441383395895158</v>
      </c>
      <c r="W153" s="19">
        <f>HLOOKUP(REG_TRA_DEMANDS!W$3,'BY-Demands'!$J$5:$AK$14,MATCH($E153,'BY-Demands'!$I$5:$I$14,0),FALSE)*HLOOKUP(REG_TRA_DEMANDS!$F153,DEMANDS!$G$2:$CK$25,MATCH($E153,DEMANDS!$E$2:$E$25,0),FALSE)/HLOOKUP(2018,DEMANDS!$G$2:$CK$25,MATCH($E153,DEMANDS!$E$2:$E$25,0),FALSE)</f>
        <v>0.22464738377134996</v>
      </c>
      <c r="X153" s="19">
        <f>HLOOKUP(REG_TRA_DEMANDS!X$3,'BY-Demands'!$J$5:$AK$14,MATCH($E153,'BY-Demands'!$I$5:$I$14,0),FALSE)*HLOOKUP(REG_TRA_DEMANDS!$F153,DEMANDS!$G$2:$CK$25,MATCH($E153,DEMANDS!$E$2:$E$25,0),FALSE)/HLOOKUP(2018,DEMANDS!$G$2:$CK$25,MATCH($E153,DEMANDS!$E$2:$E$25,0),FALSE)</f>
        <v>0.16357344867862375</v>
      </c>
      <c r="Y153" s="19">
        <f>HLOOKUP(REG_TRA_DEMANDS!Y$3,'BY-Demands'!$J$5:$AK$14,MATCH($E153,'BY-Demands'!$I$5:$I$14,0),FALSE)*HLOOKUP(REG_TRA_DEMANDS!$F153,DEMANDS!$G$2:$CK$25,MATCH($E153,DEMANDS!$E$2:$E$25,0),FALSE)/HLOOKUP(2018,DEMANDS!$G$2:$CK$25,MATCH($E153,DEMANDS!$E$2:$E$25,0),FALSE)</f>
        <v>0.36334042331555805</v>
      </c>
      <c r="Z153" s="19">
        <f>HLOOKUP(REG_TRA_DEMANDS!Z$3,'BY-Demands'!$J$5:$AK$14,MATCH($E153,'BY-Demands'!$I$5:$I$14,0),FALSE)*HLOOKUP(REG_TRA_DEMANDS!$F153,DEMANDS!$G$2:$CK$25,MATCH($E153,DEMANDS!$E$2:$E$25,0),FALSE)/HLOOKUP(2018,DEMANDS!$G$2:$CK$25,MATCH($E153,DEMANDS!$E$2:$E$25,0),FALSE)</f>
        <v>0.04511730124516105</v>
      </c>
      <c r="AA153" s="19">
        <f>HLOOKUP(REG_TRA_DEMANDS!AA$3,'BY-Demands'!$J$5:$AK$14,MATCH($E153,'BY-Demands'!$I$5:$I$14,0),FALSE)*HLOOKUP(REG_TRA_DEMANDS!$F153,DEMANDS!$G$2:$CK$25,MATCH($E153,DEMANDS!$E$2:$E$25,0),FALSE)/HLOOKUP(2018,DEMANDS!$G$2:$CK$25,MATCH($E153,DEMANDS!$E$2:$E$25,0),FALSE)</f>
        <v>0.18375120564231121</v>
      </c>
      <c r="AB153" s="19">
        <f>HLOOKUP(REG_TRA_DEMANDS!AB$3,'BY-Demands'!$J$5:$AK$14,MATCH($E153,'BY-Demands'!$I$5:$I$14,0),FALSE)*HLOOKUP(REG_TRA_DEMANDS!$F153,DEMANDS!$G$2:$CK$25,MATCH($E153,DEMANDS!$E$2:$E$25,0),FALSE)/HLOOKUP(2018,DEMANDS!$G$2:$CK$25,MATCH($E153,DEMANDS!$E$2:$E$25,0),FALSE)</f>
        <v>0.090876641229798674</v>
      </c>
      <c r="AC153" s="19">
        <f>HLOOKUP(REG_TRA_DEMANDS!AC$3,'BY-Demands'!$J$5:$AK$14,MATCH($E153,'BY-Demands'!$I$5:$I$14,0),FALSE)*HLOOKUP(REG_TRA_DEMANDS!$F153,DEMANDS!$G$2:$CK$25,MATCH($E153,DEMANDS!$E$2:$E$25,0),FALSE)/HLOOKUP(2018,DEMANDS!$G$2:$CK$25,MATCH($E153,DEMANDS!$E$2:$E$25,0),FALSE)</f>
        <v>0.092271949104407197</v>
      </c>
      <c r="AD153" s="19">
        <f>HLOOKUP(REG_TRA_DEMANDS!AD$3,'BY-Demands'!$J$5:$AK$14,MATCH($E153,'BY-Demands'!$I$5:$I$14,0),FALSE)*HLOOKUP(REG_TRA_DEMANDS!$F153,DEMANDS!$G$2:$CK$25,MATCH($E153,DEMANDS!$E$2:$E$25,0),FALSE)/HLOOKUP(2018,DEMANDS!$G$2:$CK$25,MATCH($E153,DEMANDS!$E$2:$E$25,0),FALSE)</f>
        <v>0.10725426100522349</v>
      </c>
      <c r="AE153" s="19">
        <f>HLOOKUP(REG_TRA_DEMANDS!AE$3,'BY-Demands'!$J$5:$AK$14,MATCH($E153,'BY-Demands'!$I$5:$I$14,0),FALSE)*HLOOKUP(REG_TRA_DEMANDS!$F153,DEMANDS!$G$2:$CK$25,MATCH($E153,DEMANDS!$E$2:$E$25,0),FALSE)/HLOOKUP(2018,DEMANDS!$G$2:$CK$25,MATCH($E153,DEMANDS!$E$2:$E$25,0),FALSE)</f>
        <v>0.2241391031025983</v>
      </c>
      <c r="AF153" s="19">
        <f>HLOOKUP(REG_TRA_DEMANDS!AF$3,'BY-Demands'!$J$5:$AK$14,MATCH($E153,'BY-Demands'!$I$5:$I$14,0),FALSE)*HLOOKUP(REG_TRA_DEMANDS!$F153,DEMANDS!$G$2:$CK$25,MATCH($E153,DEMANDS!$E$2:$E$25,0),FALSE)/HLOOKUP(2018,DEMANDS!$G$2:$CK$25,MATCH($E153,DEMANDS!$E$2:$E$25,0),FALSE)</f>
        <v>0.086430241362983704</v>
      </c>
    </row>
    <row r="154" spans="4:32" ht="14.5">
      <c r="D154" t="s">
        <v>6</v>
      </c>
      <c r="E154" t="str">
        <f>DEMANDS!$E$22</f>
        <v>TNAV</v>
      </c>
      <c r="F154">
        <v>2035</v>
      </c>
      <c r="G154" s="19">
        <f>HLOOKUP(REG_TRA_DEMANDS!G$3,'BY-Demands'!$J$5:$AK$14,MATCH($E154,'BY-Demands'!$I$5:$I$14,0),FALSE)*HLOOKUP(REG_TRA_DEMANDS!$F154,DEMANDS!$G$2:$CK$25,MATCH($E154,DEMANDS!$E$2:$E$25,0),FALSE)/HLOOKUP(2018,DEMANDS!$G$2:$CK$25,MATCH($E154,DEMANDS!$E$2:$E$25,0),FALSE)</f>
        <v>0.082425010647798155</v>
      </c>
      <c r="H154" s="19">
        <f>HLOOKUP(REG_TRA_DEMANDS!H$3,'BY-Demands'!$J$5:$AK$14,MATCH($E154,'BY-Demands'!$I$5:$I$14,0),FALSE)*HLOOKUP(REG_TRA_DEMANDS!$F154,DEMANDS!$G$2:$CK$25,MATCH($E154,DEMANDS!$E$2:$E$25,0),FALSE)/HLOOKUP(2018,DEMANDS!$G$2:$CK$25,MATCH($E154,DEMANDS!$E$2:$E$25,0),FALSE)</f>
        <v>1.9506794056314021</v>
      </c>
      <c r="I154" s="19">
        <f>HLOOKUP(REG_TRA_DEMANDS!I$3,'BY-Demands'!$J$5:$AK$14,MATCH($E154,'BY-Demands'!$I$5:$I$14,0),FALSE)*HLOOKUP(REG_TRA_DEMANDS!$F154,DEMANDS!$G$2:$CK$25,MATCH($E154,DEMANDS!$E$2:$E$25,0),FALSE)/HLOOKUP(2018,DEMANDS!$G$2:$CK$25,MATCH($E154,DEMANDS!$E$2:$E$25,0),FALSE)</f>
        <v>0.32213683989983982</v>
      </c>
      <c r="J154" s="19">
        <f>HLOOKUP(REG_TRA_DEMANDS!J$3,'BY-Demands'!$J$5:$AK$14,MATCH($E154,'BY-Demands'!$I$5:$I$14,0),FALSE)*HLOOKUP(REG_TRA_DEMANDS!$F154,DEMANDS!$G$2:$CK$25,MATCH($E154,DEMANDS!$E$2:$E$25,0),FALSE)/HLOOKUP(2018,DEMANDS!$G$2:$CK$25,MATCH($E154,DEMANDS!$E$2:$E$25,0),FALSE)</f>
        <v>0.1436661044158348</v>
      </c>
      <c r="K154" s="19">
        <f>HLOOKUP(REG_TRA_DEMANDS!K$3,'BY-Demands'!$J$5:$AK$14,MATCH($E154,'BY-Demands'!$I$5:$I$14,0),FALSE)*HLOOKUP(REG_TRA_DEMANDS!$F154,DEMANDS!$G$2:$CK$25,MATCH($E154,DEMANDS!$E$2:$E$25,0),FALSE)/HLOOKUP(2018,DEMANDS!$G$2:$CK$25,MATCH($E154,DEMANDS!$E$2:$E$25,0),FALSE)</f>
        <v>0.12262262219554143</v>
      </c>
      <c r="L154" s="19">
        <f>HLOOKUP(REG_TRA_DEMANDS!L$3,'BY-Demands'!$J$5:$AK$14,MATCH($E154,'BY-Demands'!$I$5:$I$14,0),FALSE)*HLOOKUP(REG_TRA_DEMANDS!$F154,DEMANDS!$G$2:$CK$25,MATCH($E154,DEMANDS!$E$2:$E$25,0),FALSE)/HLOOKUP(2018,DEMANDS!$G$2:$CK$25,MATCH($E154,DEMANDS!$E$2:$E$25,0),FALSE)</f>
        <v>0.059175111715861928</v>
      </c>
      <c r="M154" s="19">
        <f>HLOOKUP(REG_TRA_DEMANDS!M$3,'BY-Demands'!$J$5:$AK$14,MATCH($E154,'BY-Demands'!$I$5:$I$14,0),FALSE)*HLOOKUP(REG_TRA_DEMANDS!$F154,DEMANDS!$G$2:$CK$25,MATCH($E154,DEMANDS!$E$2:$E$25,0),FALSE)/HLOOKUP(2018,DEMANDS!$G$2:$CK$25,MATCH($E154,DEMANDS!$E$2:$E$25,0),FALSE)</f>
        <v>0.18659567681323028</v>
      </c>
      <c r="N154" s="19">
        <f>HLOOKUP(REG_TRA_DEMANDS!N$3,'BY-Demands'!$J$5:$AK$14,MATCH($E154,'BY-Demands'!$I$5:$I$14,0),FALSE)*HLOOKUP(REG_TRA_DEMANDS!$F154,DEMANDS!$G$2:$CK$25,MATCH($E154,DEMANDS!$E$2:$E$25,0),FALSE)/HLOOKUP(2018,DEMANDS!$G$2:$CK$25,MATCH($E154,DEMANDS!$E$2:$E$25,0),FALSE)</f>
        <v>0.28238080125042475</v>
      </c>
      <c r="O154" s="19">
        <f>HLOOKUP(REG_TRA_DEMANDS!O$3,'BY-Demands'!$J$5:$AK$14,MATCH($E154,'BY-Demands'!$I$5:$I$14,0),FALSE)*HLOOKUP(REG_TRA_DEMANDS!$F154,DEMANDS!$G$2:$CK$25,MATCH($E154,DEMANDS!$E$2:$E$25,0),FALSE)/HLOOKUP(2018,DEMANDS!$G$2:$CK$25,MATCH($E154,DEMANDS!$E$2:$E$25,0),FALSE)</f>
        <v>0.11287037615248005</v>
      </c>
      <c r="P154" s="19">
        <f>HLOOKUP(REG_TRA_DEMANDS!P$3,'BY-Demands'!$J$5:$AK$14,MATCH($E154,'BY-Demands'!$I$5:$I$14,0),FALSE)*HLOOKUP(REG_TRA_DEMANDS!$F154,DEMANDS!$G$2:$CK$25,MATCH($E154,DEMANDS!$E$2:$E$25,0),FALSE)/HLOOKUP(2018,DEMANDS!$G$2:$CK$25,MATCH($E154,DEMANDS!$E$2:$E$25,0),FALSE)</f>
        <v>0.12851943011320616</v>
      </c>
      <c r="Q154" s="19">
        <f>HLOOKUP(REG_TRA_DEMANDS!Q$3,'BY-Demands'!$J$5:$AK$14,MATCH($E154,'BY-Demands'!$I$5:$I$14,0),FALSE)*HLOOKUP(REG_TRA_DEMANDS!$F154,DEMANDS!$G$2:$CK$25,MATCH($E154,DEMANDS!$E$2:$E$25,0),FALSE)/HLOOKUP(2018,DEMANDS!$G$2:$CK$25,MATCH($E154,DEMANDS!$E$2:$E$25,0),FALSE)</f>
        <v>0.21676451633896013</v>
      </c>
      <c r="R154" s="19">
        <f>HLOOKUP(REG_TRA_DEMANDS!R$3,'BY-Demands'!$J$5:$AK$14,MATCH($E154,'BY-Demands'!$I$5:$I$14,0),FALSE)*HLOOKUP(REG_TRA_DEMANDS!$F154,DEMANDS!$G$2:$CK$25,MATCH($E154,DEMANDS!$E$2:$E$25,0),FALSE)/HLOOKUP(2018,DEMANDS!$G$2:$CK$25,MATCH($E154,DEMANDS!$E$2:$E$25,0),FALSE)</f>
        <v>0.2062000657189744</v>
      </c>
      <c r="S154" s="19">
        <f>HLOOKUP(REG_TRA_DEMANDS!S$3,'BY-Demands'!$J$5:$AK$14,MATCH($E154,'BY-Demands'!$I$5:$I$14,0),FALSE)*HLOOKUP(REG_TRA_DEMANDS!$F154,DEMANDS!$G$2:$CK$25,MATCH($E154,DEMANDS!$E$2:$E$25,0),FALSE)/HLOOKUP(2018,DEMANDS!$G$2:$CK$25,MATCH($E154,DEMANDS!$E$2:$E$25,0),FALSE)</f>
        <v>0.17202087560843529</v>
      </c>
      <c r="T154" s="19">
        <f>HLOOKUP(REG_TRA_DEMANDS!T$3,'BY-Demands'!$J$5:$AK$14,MATCH($E154,'BY-Demands'!$I$5:$I$14,0),FALSE)*HLOOKUP(REG_TRA_DEMANDS!$F154,DEMANDS!$G$2:$CK$25,MATCH($E154,DEMANDS!$E$2:$E$25,0),FALSE)/HLOOKUP(2018,DEMANDS!$G$2:$CK$25,MATCH($E154,DEMANDS!$E$2:$E$25,0),FALSE)</f>
        <v>0.78595343006303864</v>
      </c>
      <c r="U154" s="19">
        <f>HLOOKUP(REG_TRA_DEMANDS!U$3,'BY-Demands'!$J$5:$AK$14,MATCH($E154,'BY-Demands'!$I$5:$I$14,0),FALSE)*HLOOKUP(REG_TRA_DEMANDS!$F154,DEMANDS!$G$2:$CK$25,MATCH($E154,DEMANDS!$E$2:$E$25,0),FALSE)/HLOOKUP(2018,DEMANDS!$G$2:$CK$25,MATCH($E154,DEMANDS!$E$2:$E$25,0),FALSE)</f>
        <v>0.21384723965000949</v>
      </c>
      <c r="V154" s="19">
        <f>HLOOKUP(REG_TRA_DEMANDS!V$3,'BY-Demands'!$J$5:$AK$14,MATCH($E154,'BY-Demands'!$I$5:$I$14,0),FALSE)*HLOOKUP(REG_TRA_DEMANDS!$F154,DEMANDS!$G$2:$CK$25,MATCH($E154,DEMANDS!$E$2:$E$25,0),FALSE)/HLOOKUP(2018,DEMANDS!$G$2:$CK$25,MATCH($E154,DEMANDS!$E$2:$E$25,0),FALSE)</f>
        <v>0.28217087315121997</v>
      </c>
      <c r="W154" s="19">
        <f>HLOOKUP(REG_TRA_DEMANDS!W$3,'BY-Demands'!$J$5:$AK$14,MATCH($E154,'BY-Demands'!$I$5:$I$14,0),FALSE)*HLOOKUP(REG_TRA_DEMANDS!$F154,DEMANDS!$G$2:$CK$25,MATCH($E154,DEMANDS!$E$2:$E$25,0),FALSE)/HLOOKUP(2018,DEMANDS!$G$2:$CK$25,MATCH($E154,DEMANDS!$E$2:$E$25,0),FALSE)</f>
        <v>0.2309976414650477</v>
      </c>
      <c r="X154" s="19">
        <f>HLOOKUP(REG_TRA_DEMANDS!X$3,'BY-Demands'!$J$5:$AK$14,MATCH($E154,'BY-Demands'!$I$5:$I$14,0),FALSE)*HLOOKUP(REG_TRA_DEMANDS!$F154,DEMANDS!$G$2:$CK$25,MATCH($E154,DEMANDS!$E$2:$E$25,0),FALSE)/HLOOKUP(2018,DEMANDS!$G$2:$CK$25,MATCH($E154,DEMANDS!$E$2:$E$25,0),FALSE)</f>
        <v>0.16819728864291794</v>
      </c>
      <c r="Y154" s="19">
        <f>HLOOKUP(REG_TRA_DEMANDS!Y$3,'BY-Demands'!$J$5:$AK$14,MATCH($E154,'BY-Demands'!$I$5:$I$14,0),FALSE)*HLOOKUP(REG_TRA_DEMANDS!$F154,DEMANDS!$G$2:$CK$25,MATCH($E154,DEMANDS!$E$2:$E$25,0),FALSE)/HLOOKUP(2018,DEMANDS!$G$2:$CK$25,MATCH($E154,DEMANDS!$E$2:$E$25,0),FALSE)</f>
        <v>0.37361120982487001</v>
      </c>
      <c r="Z154" s="19">
        <f>HLOOKUP(REG_TRA_DEMANDS!Z$3,'BY-Demands'!$J$5:$AK$14,MATCH($E154,'BY-Demands'!$I$5:$I$14,0),FALSE)*HLOOKUP(REG_TRA_DEMANDS!$F154,DEMANDS!$G$2:$CK$25,MATCH($E154,DEMANDS!$E$2:$E$25,0),FALSE)/HLOOKUP(2018,DEMANDS!$G$2:$CK$25,MATCH($E154,DEMANDS!$E$2:$E$25,0),FALSE)</f>
        <v>0.046392662144278278</v>
      </c>
      <c r="AA154" s="19">
        <f>HLOOKUP(REG_TRA_DEMANDS!AA$3,'BY-Demands'!$J$5:$AK$14,MATCH($E154,'BY-Demands'!$I$5:$I$14,0),FALSE)*HLOOKUP(REG_TRA_DEMANDS!$F154,DEMANDS!$G$2:$CK$25,MATCH($E154,DEMANDS!$E$2:$E$25,0),FALSE)/HLOOKUP(2018,DEMANDS!$G$2:$CK$25,MATCH($E154,DEMANDS!$E$2:$E$25,0),FALSE)</f>
        <v>0.18894542374433004</v>
      </c>
      <c r="AB154" s="19">
        <f>HLOOKUP(REG_TRA_DEMANDS!AB$3,'BY-Demands'!$J$5:$AK$14,MATCH($E154,'BY-Demands'!$I$5:$I$14,0),FALSE)*HLOOKUP(REG_TRA_DEMANDS!$F154,DEMANDS!$G$2:$CK$25,MATCH($E154,DEMANDS!$E$2:$E$25,0),FALSE)/HLOOKUP(2018,DEMANDS!$G$2:$CK$25,MATCH($E154,DEMANDS!$E$2:$E$25,0),FALSE)</f>
        <v>0.093445511966055772</v>
      </c>
      <c r="AC154" s="19">
        <f>HLOOKUP(REG_TRA_DEMANDS!AC$3,'BY-Demands'!$J$5:$AK$14,MATCH($E154,'BY-Demands'!$I$5:$I$14,0),FALSE)*HLOOKUP(REG_TRA_DEMANDS!$F154,DEMANDS!$G$2:$CK$25,MATCH($E154,DEMANDS!$E$2:$E$25,0),FALSE)/HLOOKUP(2018,DEMANDS!$G$2:$CK$25,MATCH($E154,DEMANDS!$E$2:$E$25,0),FALSE)</f>
        <v>0.094880261940621394</v>
      </c>
      <c r="AD154" s="19">
        <f>HLOOKUP(REG_TRA_DEMANDS!AD$3,'BY-Demands'!$J$5:$AK$14,MATCH($E154,'BY-Demands'!$I$5:$I$14,0),FALSE)*HLOOKUP(REG_TRA_DEMANDS!$F154,DEMANDS!$G$2:$CK$25,MATCH($E154,DEMANDS!$E$2:$E$25,0),FALSE)/HLOOKUP(2018,DEMANDS!$G$2:$CK$25,MATCH($E154,DEMANDS!$E$2:$E$25,0),FALSE)</f>
        <v>0.11028608886226862</v>
      </c>
      <c r="AE154" s="19">
        <f>HLOOKUP(REG_TRA_DEMANDS!AE$3,'BY-Demands'!$J$5:$AK$14,MATCH($E154,'BY-Demands'!$I$5:$I$14,0),FALSE)*HLOOKUP(REG_TRA_DEMANDS!$F154,DEMANDS!$G$2:$CK$25,MATCH($E154,DEMANDS!$E$2:$E$25,0),FALSE)/HLOOKUP(2018,DEMANDS!$G$2:$CK$25,MATCH($E154,DEMANDS!$E$2:$E$25,0),FALSE)</f>
        <v>0.23047499288702816</v>
      </c>
      <c r="AF154" s="19">
        <f>HLOOKUP(REG_TRA_DEMANDS!AF$3,'BY-Demands'!$J$5:$AK$14,MATCH($E154,'BY-Demands'!$I$5:$I$14,0),FALSE)*HLOOKUP(REG_TRA_DEMANDS!$F154,DEMANDS!$G$2:$CK$25,MATCH($E154,DEMANDS!$E$2:$E$25,0),FALSE)/HLOOKUP(2018,DEMANDS!$G$2:$CK$25,MATCH($E154,DEMANDS!$E$2:$E$25,0),FALSE)</f>
        <v>0.088873422743373481</v>
      </c>
    </row>
    <row r="155" spans="4:32" ht="14.5">
      <c r="D155" t="s">
        <v>6</v>
      </c>
      <c r="E155" t="str">
        <f>DEMANDS!$E$22</f>
        <v>TNAV</v>
      </c>
      <c r="F155">
        <v>2036</v>
      </c>
      <c r="G155" s="19">
        <f>HLOOKUP(REG_TRA_DEMANDS!G$3,'BY-Demands'!$J$5:$AK$14,MATCH($E155,'BY-Demands'!$I$5:$I$14,0),FALSE)*HLOOKUP(REG_TRA_DEMANDS!$F155,DEMANDS!$G$2:$CK$25,MATCH($E155,DEMANDS!$E$2:$E$25,0),FALSE)/HLOOKUP(2018,DEMANDS!$G$2:$CK$25,MATCH($E155,DEMANDS!$E$2:$E$25,0),FALSE)</f>
        <v>0.084705569292664151</v>
      </c>
      <c r="H155" s="19">
        <f>HLOOKUP(REG_TRA_DEMANDS!H$3,'BY-Demands'!$J$5:$AK$14,MATCH($E155,'BY-Demands'!$I$5:$I$14,0),FALSE)*HLOOKUP(REG_TRA_DEMANDS!$F155,DEMANDS!$G$2:$CK$25,MATCH($E155,DEMANDS!$E$2:$E$25,0),FALSE)/HLOOKUP(2018,DEMANDS!$G$2:$CK$25,MATCH($E155,DEMANDS!$E$2:$E$25,0),FALSE)</f>
        <v>2.0046513584029193</v>
      </c>
      <c r="I155" s="19">
        <f>HLOOKUP(REG_TRA_DEMANDS!I$3,'BY-Demands'!$J$5:$AK$14,MATCH($E155,'BY-Demands'!$I$5:$I$14,0),FALSE)*HLOOKUP(REG_TRA_DEMANDS!$F155,DEMANDS!$G$2:$CK$25,MATCH($E155,DEMANDS!$E$2:$E$25,0),FALSE)/HLOOKUP(2018,DEMANDS!$G$2:$CK$25,MATCH($E155,DEMANDS!$E$2:$E$25,0),FALSE)</f>
        <v>0.33104981363547648</v>
      </c>
      <c r="J155" s="19">
        <f>HLOOKUP(REG_TRA_DEMANDS!J$3,'BY-Demands'!$J$5:$AK$14,MATCH($E155,'BY-Demands'!$I$5:$I$14,0),FALSE)*HLOOKUP(REG_TRA_DEMANDS!$F155,DEMANDS!$G$2:$CK$25,MATCH($E155,DEMANDS!$E$2:$E$25,0),FALSE)/HLOOKUP(2018,DEMANDS!$G$2:$CK$25,MATCH($E155,DEMANDS!$E$2:$E$25,0),FALSE)</f>
        <v>0.14764109906642398</v>
      </c>
      <c r="K155" s="19">
        <f>HLOOKUP(REG_TRA_DEMANDS!K$3,'BY-Demands'!$J$5:$AK$14,MATCH($E155,'BY-Demands'!$I$5:$I$14,0),FALSE)*HLOOKUP(REG_TRA_DEMANDS!$F155,DEMANDS!$G$2:$CK$25,MATCH($E155,DEMANDS!$E$2:$E$25,0),FALSE)/HLOOKUP(2018,DEMANDS!$G$2:$CK$25,MATCH($E155,DEMANDS!$E$2:$E$25,0),FALSE)</f>
        <v>0.12601537979310018</v>
      </c>
      <c r="L155" s="19">
        <f>HLOOKUP(REG_TRA_DEMANDS!L$3,'BY-Demands'!$J$5:$AK$14,MATCH($E155,'BY-Demands'!$I$5:$I$14,0),FALSE)*HLOOKUP(REG_TRA_DEMANDS!$F155,DEMANDS!$G$2:$CK$25,MATCH($E155,DEMANDS!$E$2:$E$25,0),FALSE)/HLOOKUP(2018,DEMANDS!$G$2:$CK$25,MATCH($E155,DEMANDS!$E$2:$E$25,0),FALSE)</f>
        <v>0.060812385542384925</v>
      </c>
      <c r="M155" s="19">
        <f>HLOOKUP(REG_TRA_DEMANDS!M$3,'BY-Demands'!$J$5:$AK$14,MATCH($E155,'BY-Demands'!$I$5:$I$14,0),FALSE)*HLOOKUP(REG_TRA_DEMANDS!$F155,DEMANDS!$G$2:$CK$25,MATCH($E155,DEMANDS!$E$2:$E$25,0),FALSE)/HLOOKUP(2018,DEMANDS!$G$2:$CK$25,MATCH($E155,DEMANDS!$E$2:$E$25,0),FALSE)</f>
        <v>0.19175845908655476</v>
      </c>
      <c r="N155" s="19">
        <f>HLOOKUP(REG_TRA_DEMANDS!N$3,'BY-Demands'!$J$5:$AK$14,MATCH($E155,'BY-Demands'!$I$5:$I$14,0),FALSE)*HLOOKUP(REG_TRA_DEMANDS!$F155,DEMANDS!$G$2:$CK$25,MATCH($E155,DEMANDS!$E$2:$E$25,0),FALSE)/HLOOKUP(2018,DEMANDS!$G$2:$CK$25,MATCH($E155,DEMANDS!$E$2:$E$25,0),FALSE)</f>
        <v>0.29019379359794889</v>
      </c>
      <c r="O155" s="19">
        <f>HLOOKUP(REG_TRA_DEMANDS!O$3,'BY-Demands'!$J$5:$AK$14,MATCH($E155,'BY-Demands'!$I$5:$I$14,0),FALSE)*HLOOKUP(REG_TRA_DEMANDS!$F155,DEMANDS!$G$2:$CK$25,MATCH($E155,DEMANDS!$E$2:$E$25,0),FALSE)/HLOOKUP(2018,DEMANDS!$G$2:$CK$25,MATCH($E155,DEMANDS!$E$2:$E$25,0),FALSE)</f>
        <v>0.11599330583196431</v>
      </c>
      <c r="P155" s="19">
        <f>HLOOKUP(REG_TRA_DEMANDS!P$3,'BY-Demands'!$J$5:$AK$14,MATCH($E155,'BY-Demands'!$I$5:$I$14,0),FALSE)*HLOOKUP(REG_TRA_DEMANDS!$F155,DEMANDS!$G$2:$CK$25,MATCH($E155,DEMANDS!$E$2:$E$25,0),FALSE)/HLOOKUP(2018,DEMANDS!$G$2:$CK$25,MATCH($E155,DEMANDS!$E$2:$E$25,0),FALSE)</f>
        <v>0.13207534226989753</v>
      </c>
      <c r="Q155" s="19">
        <f>HLOOKUP(REG_TRA_DEMANDS!Q$3,'BY-Demands'!$J$5:$AK$14,MATCH($E155,'BY-Demands'!$I$5:$I$14,0),FALSE)*HLOOKUP(REG_TRA_DEMANDS!$F155,DEMANDS!$G$2:$CK$25,MATCH($E155,DEMANDS!$E$2:$E$25,0),FALSE)/HLOOKUP(2018,DEMANDS!$G$2:$CK$25,MATCH($E155,DEMANDS!$E$2:$E$25,0),FALSE)</f>
        <v>0.22276201864744441</v>
      </c>
      <c r="R155" s="19">
        <f>HLOOKUP(REG_TRA_DEMANDS!R$3,'BY-Demands'!$J$5:$AK$14,MATCH($E155,'BY-Demands'!$I$5:$I$14,0),FALSE)*HLOOKUP(REG_TRA_DEMANDS!$F155,DEMANDS!$G$2:$CK$25,MATCH($E155,DEMANDS!$E$2:$E$25,0),FALSE)/HLOOKUP(2018,DEMANDS!$G$2:$CK$25,MATCH($E155,DEMANDS!$E$2:$E$25,0),FALSE)</f>
        <v>0.21190526780207422</v>
      </c>
      <c r="S155" s="19">
        <f>HLOOKUP(REG_TRA_DEMANDS!S$3,'BY-Demands'!$J$5:$AK$14,MATCH($E155,'BY-Demands'!$I$5:$I$14,0),FALSE)*HLOOKUP(REG_TRA_DEMANDS!$F155,DEMANDS!$G$2:$CK$25,MATCH($E155,DEMANDS!$E$2:$E$25,0),FALSE)/HLOOKUP(2018,DEMANDS!$G$2:$CK$25,MATCH($E155,DEMANDS!$E$2:$E$25,0),FALSE)</f>
        <v>0.17678039813543314</v>
      </c>
      <c r="T155" s="19">
        <f>HLOOKUP(REG_TRA_DEMANDS!T$3,'BY-Demands'!$J$5:$AK$14,MATCH($E155,'BY-Demands'!$I$5:$I$14,0),FALSE)*HLOOKUP(REG_TRA_DEMANDS!$F155,DEMANDS!$G$2:$CK$25,MATCH($E155,DEMANDS!$E$2:$E$25,0),FALSE)/HLOOKUP(2018,DEMANDS!$G$2:$CK$25,MATCH($E155,DEMANDS!$E$2:$E$25,0),FALSE)</f>
        <v>0.80769941317308425</v>
      </c>
      <c r="U155" s="19">
        <f>HLOOKUP(REG_TRA_DEMANDS!U$3,'BY-Demands'!$J$5:$AK$14,MATCH($E155,'BY-Demands'!$I$5:$I$14,0),FALSE)*HLOOKUP(REG_TRA_DEMANDS!$F155,DEMANDS!$G$2:$CK$25,MATCH($E155,DEMANDS!$E$2:$E$25,0),FALSE)/HLOOKUP(2018,DEMANDS!$G$2:$CK$25,MATCH($E155,DEMANDS!$E$2:$E$25,0),FALSE)</f>
        <v>0.21976402591708638</v>
      </c>
      <c r="V155" s="19">
        <f>HLOOKUP(REG_TRA_DEMANDS!V$3,'BY-Demands'!$J$5:$AK$14,MATCH($E155,'BY-Demands'!$I$5:$I$14,0),FALSE)*HLOOKUP(REG_TRA_DEMANDS!$F155,DEMANDS!$G$2:$CK$25,MATCH($E155,DEMANDS!$E$2:$E$25,0),FALSE)/HLOOKUP(2018,DEMANDS!$G$2:$CK$25,MATCH($E155,DEMANDS!$E$2:$E$25,0),FALSE)</f>
        <v>0.28997805714836994</v>
      </c>
      <c r="W155" s="19">
        <f>HLOOKUP(REG_TRA_DEMANDS!W$3,'BY-Demands'!$J$5:$AK$14,MATCH($E155,'BY-Demands'!$I$5:$I$14,0),FALSE)*HLOOKUP(REG_TRA_DEMANDS!$F155,DEMANDS!$G$2:$CK$25,MATCH($E155,DEMANDS!$E$2:$E$25,0),FALSE)/HLOOKUP(2018,DEMANDS!$G$2:$CK$25,MATCH($E155,DEMANDS!$E$2:$E$25,0),FALSE)</f>
        <v>0.23738894992890464</v>
      </c>
      <c r="X155" s="19">
        <f>HLOOKUP(REG_TRA_DEMANDS!X$3,'BY-Demands'!$J$5:$AK$14,MATCH($E155,'BY-Demands'!$I$5:$I$14,0),FALSE)*HLOOKUP(REG_TRA_DEMANDS!$F155,DEMANDS!$G$2:$CK$25,MATCH($E155,DEMANDS!$E$2:$E$25,0),FALSE)/HLOOKUP(2018,DEMANDS!$G$2:$CK$25,MATCH($E155,DEMANDS!$E$2:$E$25,0),FALSE)</f>
        <v>0.17285101907792727</v>
      </c>
      <c r="Y155" s="19">
        <f>HLOOKUP(REG_TRA_DEMANDS!Y$3,'BY-Demands'!$J$5:$AK$14,MATCH($E155,'BY-Demands'!$I$5:$I$14,0),FALSE)*HLOOKUP(REG_TRA_DEMANDS!$F155,DEMANDS!$G$2:$CK$25,MATCH($E155,DEMANDS!$E$2:$E$25,0),FALSE)/HLOOKUP(2018,DEMANDS!$G$2:$CK$25,MATCH($E155,DEMANDS!$E$2:$E$25,0),FALSE)</f>
        <v>0.38394839107226741</v>
      </c>
      <c r="Z155" s="19">
        <f>HLOOKUP(REG_TRA_DEMANDS!Z$3,'BY-Demands'!$J$5:$AK$14,MATCH($E155,'BY-Demands'!$I$5:$I$14,0),FALSE)*HLOOKUP(REG_TRA_DEMANDS!$F155,DEMANDS!$G$2:$CK$25,MATCH($E155,DEMANDS!$E$2:$E$25,0),FALSE)/HLOOKUP(2018,DEMANDS!$G$2:$CK$25,MATCH($E155,DEMANDS!$E$2:$E$25,0),FALSE)</f>
        <v>0.04767626751939396</v>
      </c>
      <c r="AA155" s="19">
        <f>HLOOKUP(REG_TRA_DEMANDS!AA$3,'BY-Demands'!$J$5:$AK$14,MATCH($E155,'BY-Demands'!$I$5:$I$14,0),FALSE)*HLOOKUP(REG_TRA_DEMANDS!$F155,DEMANDS!$G$2:$CK$25,MATCH($E155,DEMANDS!$E$2:$E$25,0),FALSE)/HLOOKUP(2018,DEMANDS!$G$2:$CK$25,MATCH($E155,DEMANDS!$E$2:$E$25,0),FALSE)</f>
        <v>0.19417321948425709</v>
      </c>
      <c r="AB155" s="19">
        <f>HLOOKUP(REG_TRA_DEMANDS!AB$3,'BY-Demands'!$J$5:$AK$14,MATCH($E155,'BY-Demands'!$I$5:$I$14,0),FALSE)*HLOOKUP(REG_TRA_DEMANDS!$F155,DEMANDS!$G$2:$CK$25,MATCH($E155,DEMANDS!$E$2:$E$25,0),FALSE)/HLOOKUP(2018,DEMANDS!$G$2:$CK$25,MATCH($E155,DEMANDS!$E$2:$E$25,0),FALSE)</f>
        <v>0.096030988976774354</v>
      </c>
      <c r="AC155" s="19">
        <f>HLOOKUP(REG_TRA_DEMANDS!AC$3,'BY-Demands'!$J$5:$AK$14,MATCH($E155,'BY-Demands'!$I$5:$I$14,0),FALSE)*HLOOKUP(REG_TRA_DEMANDS!$F155,DEMANDS!$G$2:$CK$25,MATCH($E155,DEMANDS!$E$2:$E$25,0),FALSE)/HLOOKUP(2018,DEMANDS!$G$2:$CK$25,MATCH($E155,DEMANDS!$E$2:$E$25,0),FALSE)</f>
        <v>0.097505436021828679</v>
      </c>
      <c r="AD155" s="19">
        <f>HLOOKUP(REG_TRA_DEMANDS!AD$3,'BY-Demands'!$J$5:$AK$14,MATCH($E155,'BY-Demands'!$I$5:$I$14,0),FALSE)*HLOOKUP(REG_TRA_DEMANDS!$F155,DEMANDS!$G$2:$CK$25,MATCH($E155,DEMANDS!$E$2:$E$25,0),FALSE)/HLOOKUP(2018,DEMANDS!$G$2:$CK$25,MATCH($E155,DEMANDS!$E$2:$E$25,0),FALSE)</f>
        <v>0.11333751574576668</v>
      </c>
      <c r="AE155" s="19">
        <f>HLOOKUP(REG_TRA_DEMANDS!AE$3,'BY-Demands'!$J$5:$AK$14,MATCH($E155,'BY-Demands'!$I$5:$I$14,0),FALSE)*HLOOKUP(REG_TRA_DEMANDS!$F155,DEMANDS!$G$2:$CK$25,MATCH($E155,DEMANDS!$E$2:$E$25,0),FALSE)/HLOOKUP(2018,DEMANDS!$G$2:$CK$25,MATCH($E155,DEMANDS!$E$2:$E$25,0),FALSE)</f>
        <v>0.23685184056133271</v>
      </c>
      <c r="AF155" s="19">
        <f>HLOOKUP(REG_TRA_DEMANDS!AF$3,'BY-Demands'!$J$5:$AK$14,MATCH($E155,'BY-Demands'!$I$5:$I$14,0),FALSE)*HLOOKUP(REG_TRA_DEMANDS!$F155,DEMANDS!$G$2:$CK$25,MATCH($E155,DEMANDS!$E$2:$E$25,0),FALSE)/HLOOKUP(2018,DEMANDS!$G$2:$CK$25,MATCH($E155,DEMANDS!$E$2:$E$25,0),FALSE)</f>
        <v>0.091332397888700248</v>
      </c>
    </row>
    <row r="156" spans="4:32" ht="14.5">
      <c r="D156" t="s">
        <v>6</v>
      </c>
      <c r="E156" t="str">
        <f>DEMANDS!$E$22</f>
        <v>TNAV</v>
      </c>
      <c r="F156">
        <v>2037</v>
      </c>
      <c r="G156" s="19">
        <f>HLOOKUP(REG_TRA_DEMANDS!G$3,'BY-Demands'!$J$5:$AK$14,MATCH($E156,'BY-Demands'!$I$5:$I$14,0),FALSE)*HLOOKUP(REG_TRA_DEMANDS!$F156,DEMANDS!$G$2:$CK$25,MATCH($E156,DEMANDS!$E$2:$E$25,0),FALSE)/HLOOKUP(2018,DEMANDS!$G$2:$CK$25,MATCH($E156,DEMANDS!$E$2:$E$25,0),FALSE)</f>
        <v>0.086992187864904508</v>
      </c>
      <c r="H156" s="19">
        <f>HLOOKUP(REG_TRA_DEMANDS!H$3,'BY-Demands'!$J$5:$AK$14,MATCH($E156,'BY-Demands'!$I$5:$I$14,0),FALSE)*HLOOKUP(REG_TRA_DEMANDS!$F156,DEMANDS!$G$2:$CK$25,MATCH($E156,DEMANDS!$E$2:$E$25,0),FALSE)/HLOOKUP(2018,DEMANDS!$G$2:$CK$25,MATCH($E156,DEMANDS!$E$2:$E$25,0),FALSE)</f>
        <v>2.0587667260849818</v>
      </c>
      <c r="I156" s="19">
        <f>HLOOKUP(REG_TRA_DEMANDS!I$3,'BY-Demands'!$J$5:$AK$14,MATCH($E156,'BY-Demands'!$I$5:$I$14,0),FALSE)*HLOOKUP(REG_TRA_DEMANDS!$F156,DEMANDS!$G$2:$CK$25,MATCH($E156,DEMANDS!$E$2:$E$25,0),FALSE)/HLOOKUP(2018,DEMANDS!$G$2:$CK$25,MATCH($E156,DEMANDS!$E$2:$E$25,0),FALSE)</f>
        <v>0.33998647103022406</v>
      </c>
      <c r="J156" s="19">
        <f>HLOOKUP(REG_TRA_DEMANDS!J$3,'BY-Demands'!$J$5:$AK$14,MATCH($E156,'BY-Demands'!$I$5:$I$14,0),FALSE)*HLOOKUP(REG_TRA_DEMANDS!$F156,DEMANDS!$G$2:$CK$25,MATCH($E156,DEMANDS!$E$2:$E$25,0),FALSE)/HLOOKUP(2018,DEMANDS!$G$2:$CK$25,MATCH($E156,DEMANDS!$E$2:$E$25,0),FALSE)</f>
        <v>0.15162665611976053</v>
      </c>
      <c r="K156" s="19">
        <f>HLOOKUP(REG_TRA_DEMANDS!K$3,'BY-Demands'!$J$5:$AK$14,MATCH($E156,'BY-Demands'!$I$5:$I$14,0),FALSE)*HLOOKUP(REG_TRA_DEMANDS!$F156,DEMANDS!$G$2:$CK$25,MATCH($E156,DEMANDS!$E$2:$E$25,0),FALSE)/HLOOKUP(2018,DEMANDS!$G$2:$CK$25,MATCH($E156,DEMANDS!$E$2:$E$25,0),FALSE)</f>
        <v>0.12941715266623027</v>
      </c>
      <c r="L156" s="19">
        <f>HLOOKUP(REG_TRA_DEMANDS!L$3,'BY-Demands'!$J$5:$AK$14,MATCH($E156,'BY-Demands'!$I$5:$I$14,0),FALSE)*HLOOKUP(REG_TRA_DEMANDS!$F156,DEMANDS!$G$2:$CK$25,MATCH($E156,DEMANDS!$E$2:$E$25,0),FALSE)/HLOOKUP(2018,DEMANDS!$G$2:$CK$25,MATCH($E156,DEMANDS!$E$2:$E$25,0),FALSE)</f>
        <v>0.06245400995226303</v>
      </c>
      <c r="M156" s="19">
        <f>HLOOKUP(REG_TRA_DEMANDS!M$3,'BY-Demands'!$J$5:$AK$14,MATCH($E156,'BY-Demands'!$I$5:$I$14,0),FALSE)*HLOOKUP(REG_TRA_DEMANDS!$F156,DEMANDS!$G$2:$CK$25,MATCH($E156,DEMANDS!$E$2:$E$25,0),FALSE)/HLOOKUP(2018,DEMANDS!$G$2:$CK$25,MATCH($E156,DEMANDS!$E$2:$E$25,0),FALSE)</f>
        <v>0.19693495996593061</v>
      </c>
      <c r="N156" s="19">
        <f>HLOOKUP(REG_TRA_DEMANDS!N$3,'BY-Demands'!$J$5:$AK$14,MATCH($E156,'BY-Demands'!$I$5:$I$14,0),FALSE)*HLOOKUP(REG_TRA_DEMANDS!$F156,DEMANDS!$G$2:$CK$25,MATCH($E156,DEMANDS!$E$2:$E$25,0),FALSE)/HLOOKUP(2018,DEMANDS!$G$2:$CK$25,MATCH($E156,DEMANDS!$E$2:$E$25,0),FALSE)</f>
        <v>0.29802754672104398</v>
      </c>
      <c r="O156" s="19">
        <f>HLOOKUP(REG_TRA_DEMANDS!O$3,'BY-Demands'!$J$5:$AK$14,MATCH($E156,'BY-Demands'!$I$5:$I$14,0),FALSE)*HLOOKUP(REG_TRA_DEMANDS!$F156,DEMANDS!$G$2:$CK$25,MATCH($E156,DEMANDS!$E$2:$E$25,0),FALSE)/HLOOKUP(2018,DEMANDS!$G$2:$CK$25,MATCH($E156,DEMANDS!$E$2:$E$25,0),FALSE)</f>
        <v>0.11912453379708815</v>
      </c>
      <c r="P156" s="19">
        <f>HLOOKUP(REG_TRA_DEMANDS!P$3,'BY-Demands'!$J$5:$AK$14,MATCH($E156,'BY-Demands'!$I$5:$I$14,0),FALSE)*HLOOKUP(REG_TRA_DEMANDS!$F156,DEMANDS!$G$2:$CK$25,MATCH($E156,DEMANDS!$E$2:$E$25,0),FALSE)/HLOOKUP(2018,DEMANDS!$G$2:$CK$25,MATCH($E156,DEMANDS!$E$2:$E$25,0),FALSE)</f>
        <v>0.13564070323838234</v>
      </c>
      <c r="Q156" s="19">
        <f>HLOOKUP(REG_TRA_DEMANDS!Q$3,'BY-Demands'!$J$5:$AK$14,MATCH($E156,'BY-Demands'!$I$5:$I$14,0),FALSE)*HLOOKUP(REG_TRA_DEMANDS!$F156,DEMANDS!$G$2:$CK$25,MATCH($E156,DEMANDS!$E$2:$E$25,0),FALSE)/HLOOKUP(2018,DEMANDS!$G$2:$CK$25,MATCH($E156,DEMANDS!$E$2:$E$25,0),FALSE)</f>
        <v>0.22877545758991916</v>
      </c>
      <c r="R156" s="19">
        <f>HLOOKUP(REG_TRA_DEMANDS!R$3,'BY-Demands'!$J$5:$AK$14,MATCH($E156,'BY-Demands'!$I$5:$I$14,0),FALSE)*HLOOKUP(REG_TRA_DEMANDS!$F156,DEMANDS!$G$2:$CK$25,MATCH($E156,DEMANDS!$E$2:$E$25,0),FALSE)/HLOOKUP(2018,DEMANDS!$G$2:$CK$25,MATCH($E156,DEMANDS!$E$2:$E$25,0),FALSE)</f>
        <v>0.21762562981555228</v>
      </c>
      <c r="S156" s="19">
        <f>HLOOKUP(REG_TRA_DEMANDS!S$3,'BY-Demands'!$J$5:$AK$14,MATCH($E156,'BY-Demands'!$I$5:$I$14,0),FALSE)*HLOOKUP(REG_TRA_DEMANDS!$F156,DEMANDS!$G$2:$CK$25,MATCH($E156,DEMANDS!$E$2:$E$25,0),FALSE)/HLOOKUP(2018,DEMANDS!$G$2:$CK$25,MATCH($E156,DEMANDS!$E$2:$E$25,0),FALSE)</f>
        <v>0.18155256772192024</v>
      </c>
      <c r="T156" s="19">
        <f>HLOOKUP(REG_TRA_DEMANDS!T$3,'BY-Demands'!$J$5:$AK$14,MATCH($E156,'BY-Demands'!$I$5:$I$14,0),FALSE)*HLOOKUP(REG_TRA_DEMANDS!$F156,DEMANDS!$G$2:$CK$25,MATCH($E156,DEMANDS!$E$2:$E$25,0),FALSE)/HLOOKUP(2018,DEMANDS!$G$2:$CK$25,MATCH($E156,DEMANDS!$E$2:$E$25,0),FALSE)</f>
        <v>0.82950317996636347</v>
      </c>
      <c r="U156" s="19">
        <f>HLOOKUP(REG_TRA_DEMANDS!U$3,'BY-Demands'!$J$5:$AK$14,MATCH($E156,'BY-Demands'!$I$5:$I$14,0),FALSE)*HLOOKUP(REG_TRA_DEMANDS!$F156,DEMANDS!$G$2:$CK$25,MATCH($E156,DEMANDS!$E$2:$E$25,0),FALSE)/HLOOKUP(2018,DEMANDS!$G$2:$CK$25,MATCH($E156,DEMANDS!$E$2:$E$25,0),FALSE)</f>
        <v>0.22569653433853493</v>
      </c>
      <c r="V156" s="19">
        <f>HLOOKUP(REG_TRA_DEMANDS!V$3,'BY-Demands'!$J$5:$AK$14,MATCH($E156,'BY-Demands'!$I$5:$I$14,0),FALSE)*HLOOKUP(REG_TRA_DEMANDS!$F156,DEMANDS!$G$2:$CK$25,MATCH($E156,DEMANDS!$E$2:$E$25,0),FALSE)/HLOOKUP(2018,DEMANDS!$G$2:$CK$25,MATCH($E156,DEMANDS!$E$2:$E$25,0),FALSE)</f>
        <v>0.29780598648707352</v>
      </c>
      <c r="W156" s="19">
        <f>HLOOKUP(REG_TRA_DEMANDS!W$3,'BY-Demands'!$J$5:$AK$14,MATCH($E156,'BY-Demands'!$I$5:$I$14,0),FALSE)*HLOOKUP(REG_TRA_DEMANDS!$F156,DEMANDS!$G$2:$CK$25,MATCH($E156,DEMANDS!$E$2:$E$25,0),FALSE)/HLOOKUP(2018,DEMANDS!$G$2:$CK$25,MATCH($E156,DEMANDS!$E$2:$E$25,0),FALSE)</f>
        <v>0.24379724145312062</v>
      </c>
      <c r="X156" s="19">
        <f>HLOOKUP(REG_TRA_DEMANDS!X$3,'BY-Demands'!$J$5:$AK$14,MATCH($E156,'BY-Demands'!$I$5:$I$14,0),FALSE)*HLOOKUP(REG_TRA_DEMANDS!$F156,DEMANDS!$G$2:$CK$25,MATCH($E156,DEMANDS!$E$2:$E$25,0),FALSE)/HLOOKUP(2018,DEMANDS!$G$2:$CK$25,MATCH($E156,DEMANDS!$E$2:$E$25,0),FALSE)</f>
        <v>0.17751711546042914</v>
      </c>
      <c r="Y156" s="19">
        <f>HLOOKUP(REG_TRA_DEMANDS!Y$3,'BY-Demands'!$J$5:$AK$14,MATCH($E156,'BY-Demands'!$I$5:$I$14,0),FALSE)*HLOOKUP(REG_TRA_DEMANDS!$F156,DEMANDS!$G$2:$CK$25,MATCH($E156,DEMANDS!$E$2:$E$25,0),FALSE)/HLOOKUP(2018,DEMANDS!$G$2:$CK$25,MATCH($E156,DEMANDS!$E$2:$E$25,0),FALSE)</f>
        <v>0.39431304039980208</v>
      </c>
      <c r="Z156" s="19">
        <f>HLOOKUP(REG_TRA_DEMANDS!Z$3,'BY-Demands'!$J$5:$AK$14,MATCH($E156,'BY-Demands'!$I$5:$I$14,0),FALSE)*HLOOKUP(REG_TRA_DEMANDS!$F156,DEMANDS!$G$2:$CK$25,MATCH($E156,DEMANDS!$E$2:$E$25,0),FALSE)/HLOOKUP(2018,DEMANDS!$G$2:$CK$25,MATCH($E156,DEMANDS!$E$2:$E$25,0),FALSE)</f>
        <v>0.048963283705877311</v>
      </c>
      <c r="AA156" s="19">
        <f>HLOOKUP(REG_TRA_DEMANDS!AA$3,'BY-Demands'!$J$5:$AK$14,MATCH($E156,'BY-Demands'!$I$5:$I$14,0),FALSE)*HLOOKUP(REG_TRA_DEMANDS!$F156,DEMANDS!$G$2:$CK$25,MATCH($E156,DEMANDS!$E$2:$E$25,0),FALSE)/HLOOKUP(2018,DEMANDS!$G$2:$CK$25,MATCH($E156,DEMANDS!$E$2:$E$25,0),FALSE)</f>
        <v>0.19941490658478705</v>
      </c>
      <c r="AB156" s="19">
        <f>HLOOKUP(REG_TRA_DEMANDS!AB$3,'BY-Demands'!$J$5:$AK$14,MATCH($E156,'BY-Demands'!$I$5:$I$14,0),FALSE)*HLOOKUP(REG_TRA_DEMANDS!$F156,DEMANDS!$G$2:$CK$25,MATCH($E156,DEMANDS!$E$2:$E$25,0),FALSE)/HLOOKUP(2018,DEMANDS!$G$2:$CK$25,MATCH($E156,DEMANDS!$E$2:$E$25,0),FALSE)</f>
        <v>0.098623336147551463</v>
      </c>
      <c r="AC156" s="19">
        <f>HLOOKUP(REG_TRA_DEMANDS!AC$3,'BY-Demands'!$J$5:$AK$14,MATCH($E156,'BY-Demands'!$I$5:$I$14,0),FALSE)*HLOOKUP(REG_TRA_DEMANDS!$F156,DEMANDS!$G$2:$CK$25,MATCH($E156,DEMANDS!$E$2:$E$25,0),FALSE)/HLOOKUP(2018,DEMANDS!$G$2:$CK$25,MATCH($E156,DEMANDS!$E$2:$E$25,0),FALSE)</f>
        <v>0.10013758574661916</v>
      </c>
      <c r="AD156" s="19">
        <f>HLOOKUP(REG_TRA_DEMANDS!AD$3,'BY-Demands'!$J$5:$AK$14,MATCH($E156,'BY-Demands'!$I$5:$I$14,0),FALSE)*HLOOKUP(REG_TRA_DEMANDS!$F156,DEMANDS!$G$2:$CK$25,MATCH($E156,DEMANDS!$E$2:$E$25,0),FALSE)/HLOOKUP(2018,DEMANDS!$G$2:$CK$25,MATCH($E156,DEMANDS!$E$2:$E$25,0),FALSE)</f>
        <v>0.1163970509168301</v>
      </c>
      <c r="AE156" s="19">
        <f>HLOOKUP(REG_TRA_DEMANDS!AE$3,'BY-Demands'!$J$5:$AK$14,MATCH($E156,'BY-Demands'!$I$5:$I$14,0),FALSE)*HLOOKUP(REG_TRA_DEMANDS!$F156,DEMANDS!$G$2:$CK$25,MATCH($E156,DEMANDS!$E$2:$E$25,0),FALSE)/HLOOKUP(2018,DEMANDS!$G$2:$CK$25,MATCH($E156,DEMANDS!$E$2:$E$25,0),FALSE)</f>
        <v>0.24324563287061551</v>
      </c>
      <c r="AF156" s="19">
        <f>HLOOKUP(REG_TRA_DEMANDS!AF$3,'BY-Demands'!$J$5:$AK$14,MATCH($E156,'BY-Demands'!$I$5:$I$14,0),FALSE)*HLOOKUP(REG_TRA_DEMANDS!$F156,DEMANDS!$G$2:$CK$25,MATCH($E156,DEMANDS!$E$2:$E$25,0),FALSE)/HLOOKUP(2018,DEMANDS!$G$2:$CK$25,MATCH($E156,DEMANDS!$E$2:$E$25,0),FALSE)</f>
        <v>0.093797907051834287</v>
      </c>
    </row>
    <row r="157" spans="4:32" ht="14.5">
      <c r="D157" t="s">
        <v>6</v>
      </c>
      <c r="E157" t="str">
        <f>DEMANDS!$E$22</f>
        <v>TNAV</v>
      </c>
      <c r="F157">
        <v>2038</v>
      </c>
      <c r="G157" s="19">
        <f>HLOOKUP(REG_TRA_DEMANDS!G$3,'BY-Demands'!$J$5:$AK$14,MATCH($E157,'BY-Demands'!$I$5:$I$14,0),FALSE)*HLOOKUP(REG_TRA_DEMANDS!$F157,DEMANDS!$G$2:$CK$25,MATCH($E157,DEMANDS!$E$2:$E$25,0),FALSE)/HLOOKUP(2018,DEMANDS!$G$2:$CK$25,MATCH($E157,DEMANDS!$E$2:$E$25,0),FALSE)</f>
        <v>0.089289366488102359</v>
      </c>
      <c r="H157" s="19">
        <f>HLOOKUP(REG_TRA_DEMANDS!H$3,'BY-Demands'!$J$5:$AK$14,MATCH($E157,'BY-Demands'!$I$5:$I$14,0),FALSE)*HLOOKUP(REG_TRA_DEMANDS!$F157,DEMANDS!$G$2:$CK$25,MATCH($E157,DEMANDS!$E$2:$E$25,0),FALSE)/HLOOKUP(2018,DEMANDS!$G$2:$CK$25,MATCH($E157,DEMANDS!$E$2:$E$25,0),FALSE)</f>
        <v>2.1131320090993362</v>
      </c>
      <c r="I157" s="19">
        <f>HLOOKUP(REG_TRA_DEMANDS!I$3,'BY-Demands'!$J$5:$AK$14,MATCH($E157,'BY-Demands'!$I$5:$I$14,0),FALSE)*HLOOKUP(REG_TRA_DEMANDS!$F157,DEMANDS!$G$2:$CK$25,MATCH($E157,DEMANDS!$E$2:$E$25,0),FALSE)/HLOOKUP(2018,DEMANDS!$G$2:$CK$25,MATCH($E157,DEMANDS!$E$2:$E$25,0),FALSE)</f>
        <v>0.34896439965342385</v>
      </c>
      <c r="J157" s="19">
        <f>HLOOKUP(REG_TRA_DEMANDS!J$3,'BY-Demands'!$J$5:$AK$14,MATCH($E157,'BY-Demands'!$I$5:$I$14,0),FALSE)*HLOOKUP(REG_TRA_DEMANDS!$F157,DEMANDS!$G$2:$CK$25,MATCH($E157,DEMANDS!$E$2:$E$25,0),FALSE)/HLOOKUP(2018,DEMANDS!$G$2:$CK$25,MATCH($E157,DEMANDS!$E$2:$E$25,0),FALSE)</f>
        <v>0.15563061925362492</v>
      </c>
      <c r="K157" s="19">
        <f>HLOOKUP(REG_TRA_DEMANDS!K$3,'BY-Demands'!$J$5:$AK$14,MATCH($E157,'BY-Demands'!$I$5:$I$14,0),FALSE)*HLOOKUP(REG_TRA_DEMANDS!$F157,DEMANDS!$G$2:$CK$25,MATCH($E157,DEMANDS!$E$2:$E$25,0),FALSE)/HLOOKUP(2018,DEMANDS!$G$2:$CK$25,MATCH($E157,DEMANDS!$E$2:$E$25,0),FALSE)</f>
        <v>0.1328346355905784</v>
      </c>
      <c r="L157" s="19">
        <f>HLOOKUP(REG_TRA_DEMANDS!L$3,'BY-Demands'!$J$5:$AK$14,MATCH($E157,'BY-Demands'!$I$5:$I$14,0),FALSE)*HLOOKUP(REG_TRA_DEMANDS!$F157,DEMANDS!$G$2:$CK$25,MATCH($E157,DEMANDS!$E$2:$E$25,0),FALSE)/HLOOKUP(2018,DEMANDS!$G$2:$CK$25,MATCH($E157,DEMANDS!$E$2:$E$25,0),FALSE)</f>
        <v>0.064103215704141847</v>
      </c>
      <c r="M157" s="19">
        <f>HLOOKUP(REG_TRA_DEMANDS!M$3,'BY-Demands'!$J$5:$AK$14,MATCH($E157,'BY-Demands'!$I$5:$I$14,0),FALSE)*HLOOKUP(REG_TRA_DEMANDS!$F157,DEMANDS!$G$2:$CK$25,MATCH($E157,DEMANDS!$E$2:$E$25,0),FALSE)/HLOOKUP(2018,DEMANDS!$G$2:$CK$25,MATCH($E157,DEMANDS!$E$2:$E$25,0),FALSE)</f>
        <v>0.20213536693691758</v>
      </c>
      <c r="N157" s="19">
        <f>HLOOKUP(REG_TRA_DEMANDS!N$3,'BY-Demands'!$J$5:$AK$14,MATCH($E157,'BY-Demands'!$I$5:$I$14,0),FALSE)*HLOOKUP(REG_TRA_DEMANDS!$F157,DEMANDS!$G$2:$CK$25,MATCH($E157,DEMANDS!$E$2:$E$25,0),FALSE)/HLOOKUP(2018,DEMANDS!$G$2:$CK$25,MATCH($E157,DEMANDS!$E$2:$E$25,0),FALSE)</f>
        <v>0.30589747764535719</v>
      </c>
      <c r="O157" s="19">
        <f>HLOOKUP(REG_TRA_DEMANDS!O$3,'BY-Demands'!$J$5:$AK$14,MATCH($E157,'BY-Demands'!$I$5:$I$14,0),FALSE)*HLOOKUP(REG_TRA_DEMANDS!$F157,DEMANDS!$G$2:$CK$25,MATCH($E157,DEMANDS!$E$2:$E$25,0),FALSE)/HLOOKUP(2018,DEMANDS!$G$2:$CK$25,MATCH($E157,DEMANDS!$E$2:$E$25,0),FALSE)</f>
        <v>0.12227022238422942</v>
      </c>
      <c r="P157" s="19">
        <f>HLOOKUP(REG_TRA_DEMANDS!P$3,'BY-Demands'!$J$5:$AK$14,MATCH($E157,'BY-Demands'!$I$5:$I$14,0),FALSE)*HLOOKUP(REG_TRA_DEMANDS!$F157,DEMANDS!$G$2:$CK$25,MATCH($E157,DEMANDS!$E$2:$E$25,0),FALSE)/HLOOKUP(2018,DEMANDS!$G$2:$CK$25,MATCH($E157,DEMANDS!$E$2:$E$25,0),FALSE)</f>
        <v>0.13922252973984497</v>
      </c>
      <c r="Q157" s="19">
        <f>HLOOKUP(REG_TRA_DEMANDS!Q$3,'BY-Demands'!$J$5:$AK$14,MATCH($E157,'BY-Demands'!$I$5:$I$14,0),FALSE)*HLOOKUP(REG_TRA_DEMANDS!$F157,DEMANDS!$G$2:$CK$25,MATCH($E157,DEMANDS!$E$2:$E$25,0),FALSE)/HLOOKUP(2018,DEMANDS!$G$2:$CK$25,MATCH($E157,DEMANDS!$E$2:$E$25,0),FALSE)</f>
        <v>0.2348166677673664</v>
      </c>
      <c r="R157" s="19">
        <f>HLOOKUP(REG_TRA_DEMANDS!R$3,'BY-Demands'!$J$5:$AK$14,MATCH($E157,'BY-Demands'!$I$5:$I$14,0),FALSE)*HLOOKUP(REG_TRA_DEMANDS!$F157,DEMANDS!$G$2:$CK$25,MATCH($E157,DEMANDS!$E$2:$E$25,0),FALSE)/HLOOKUP(2018,DEMANDS!$G$2:$CK$25,MATCH($E157,DEMANDS!$E$2:$E$25,0),FALSE)</f>
        <v>0.22337240957753066</v>
      </c>
      <c r="S157" s="19">
        <f>HLOOKUP(REG_TRA_DEMANDS!S$3,'BY-Demands'!$J$5:$AK$14,MATCH($E157,'BY-Demands'!$I$5:$I$14,0),FALSE)*HLOOKUP(REG_TRA_DEMANDS!$F157,DEMANDS!$G$2:$CK$25,MATCH($E157,DEMANDS!$E$2:$E$25,0),FALSE)/HLOOKUP(2018,DEMANDS!$G$2:$CK$25,MATCH($E157,DEMANDS!$E$2:$E$25,0),FALSE)</f>
        <v>0.18634677611917483</v>
      </c>
      <c r="T157" s="19">
        <f>HLOOKUP(REG_TRA_DEMANDS!T$3,'BY-Demands'!$J$5:$AK$14,MATCH($E157,'BY-Demands'!$I$5:$I$14,0),FALSE)*HLOOKUP(REG_TRA_DEMANDS!$F157,DEMANDS!$G$2:$CK$25,MATCH($E157,DEMANDS!$E$2:$E$25,0),FALSE)/HLOOKUP(2018,DEMANDS!$G$2:$CK$25,MATCH($E157,DEMANDS!$E$2:$E$25,0),FALSE)</f>
        <v>0.85140764081119891</v>
      </c>
      <c r="U157" s="19">
        <f>HLOOKUP(REG_TRA_DEMANDS!U$3,'BY-Demands'!$J$5:$AK$14,MATCH($E157,'BY-Demands'!$I$5:$I$14,0),FALSE)*HLOOKUP(REG_TRA_DEMANDS!$F157,DEMANDS!$G$2:$CK$25,MATCH($E157,DEMANDS!$E$2:$E$25,0),FALSE)/HLOOKUP(2018,DEMANDS!$G$2:$CK$25,MATCH($E157,DEMANDS!$E$2:$E$25,0),FALSE)</f>
        <v>0.23165644024201071</v>
      </c>
      <c r="V157" s="19">
        <f>HLOOKUP(REG_TRA_DEMANDS!V$3,'BY-Demands'!$J$5:$AK$14,MATCH($E157,'BY-Demands'!$I$5:$I$14,0),FALSE)*HLOOKUP(REG_TRA_DEMANDS!$F157,DEMANDS!$G$2:$CK$25,MATCH($E157,DEMANDS!$E$2:$E$25,0),FALSE)/HLOOKUP(2018,DEMANDS!$G$2:$CK$25,MATCH($E157,DEMANDS!$E$2:$E$25,0),FALSE)</f>
        <v>0.305670066731622</v>
      </c>
      <c r="W157" s="19">
        <f>HLOOKUP(REG_TRA_DEMANDS!W$3,'BY-Demands'!$J$5:$AK$14,MATCH($E157,'BY-Demands'!$I$5:$I$14,0),FALSE)*HLOOKUP(REG_TRA_DEMANDS!$F157,DEMANDS!$G$2:$CK$25,MATCH($E157,DEMANDS!$E$2:$E$25,0),FALSE)/HLOOKUP(2018,DEMANDS!$G$2:$CK$25,MATCH($E157,DEMANDS!$E$2:$E$25,0),FALSE)</f>
        <v>0.25023512771861423</v>
      </c>
      <c r="X157" s="19">
        <f>HLOOKUP(REG_TRA_DEMANDS!X$3,'BY-Demands'!$J$5:$AK$14,MATCH($E157,'BY-Demands'!$I$5:$I$14,0),FALSE)*HLOOKUP(REG_TRA_DEMANDS!$F157,DEMANDS!$G$2:$CK$25,MATCH($E157,DEMANDS!$E$2:$E$25,0),FALSE)/HLOOKUP(2018,DEMANDS!$G$2:$CK$25,MATCH($E157,DEMANDS!$E$2:$E$25,0),FALSE)</f>
        <v>0.18220476078693501</v>
      </c>
      <c r="Y157" s="19">
        <f>HLOOKUP(REG_TRA_DEMANDS!Y$3,'BY-Demands'!$J$5:$AK$14,MATCH($E157,'BY-Demands'!$I$5:$I$14,0),FALSE)*HLOOKUP(REG_TRA_DEMANDS!$F157,DEMANDS!$G$2:$CK$25,MATCH($E157,DEMANDS!$E$2:$E$25,0),FALSE)/HLOOKUP(2018,DEMANDS!$G$2:$CK$25,MATCH($E157,DEMANDS!$E$2:$E$25,0),FALSE)</f>
        <v>0.40472555570130542</v>
      </c>
      <c r="Z157" s="19">
        <f>HLOOKUP(REG_TRA_DEMANDS!Z$3,'BY-Demands'!$J$5:$AK$14,MATCH($E157,'BY-Demands'!$I$5:$I$14,0),FALSE)*HLOOKUP(REG_TRA_DEMANDS!$F157,DEMANDS!$G$2:$CK$25,MATCH($E157,DEMANDS!$E$2:$E$25,0),FALSE)/HLOOKUP(2018,DEMANDS!$G$2:$CK$25,MATCH($E157,DEMANDS!$E$2:$E$25,0),FALSE)</f>
        <v>0.050256243584359567</v>
      </c>
      <c r="AA157" s="19">
        <f>HLOOKUP(REG_TRA_DEMANDS!AA$3,'BY-Demands'!$J$5:$AK$14,MATCH($E157,'BY-Demands'!$I$5:$I$14,0),FALSE)*HLOOKUP(REG_TRA_DEMANDS!$F157,DEMANDS!$G$2:$CK$25,MATCH($E157,DEMANDS!$E$2:$E$25,0),FALSE)/HLOOKUP(2018,DEMANDS!$G$2:$CK$25,MATCH($E157,DEMANDS!$E$2:$E$25,0),FALSE)</f>
        <v>0.204680800819623</v>
      </c>
      <c r="AB157" s="19">
        <f>HLOOKUP(REG_TRA_DEMANDS!AB$3,'BY-Demands'!$J$5:$AK$14,MATCH($E157,'BY-Demands'!$I$5:$I$14,0),FALSE)*HLOOKUP(REG_TRA_DEMANDS!$F157,DEMANDS!$G$2:$CK$25,MATCH($E157,DEMANDS!$E$2:$E$25,0),FALSE)/HLOOKUP(2018,DEMANDS!$G$2:$CK$25,MATCH($E157,DEMANDS!$E$2:$E$25,0),FALSE)</f>
        <v>0.10122765528363804</v>
      </c>
      <c r="AC157" s="19">
        <f>HLOOKUP(REG_TRA_DEMANDS!AC$3,'BY-Demands'!$J$5:$AK$14,MATCH($E157,'BY-Demands'!$I$5:$I$14,0),FALSE)*HLOOKUP(REG_TRA_DEMANDS!$F157,DEMANDS!$G$2:$CK$25,MATCH($E157,DEMANDS!$E$2:$E$25,0),FALSE)/HLOOKUP(2018,DEMANDS!$G$2:$CK$25,MATCH($E157,DEMANDS!$E$2:$E$25,0),FALSE)</f>
        <v>0.10278189125268378</v>
      </c>
      <c r="AD157" s="19">
        <f>HLOOKUP(REG_TRA_DEMANDS!AD$3,'BY-Demands'!$J$5:$AK$14,MATCH($E157,'BY-Demands'!$I$5:$I$14,0),FALSE)*HLOOKUP(REG_TRA_DEMANDS!$F157,DEMANDS!$G$2:$CK$25,MATCH($E157,DEMANDS!$E$2:$E$25,0),FALSE)/HLOOKUP(2018,DEMANDS!$G$2:$CK$25,MATCH($E157,DEMANDS!$E$2:$E$25,0),FALSE)</f>
        <v>0.11947071561859215</v>
      </c>
      <c r="AE157" s="19">
        <f>HLOOKUP(REG_TRA_DEMANDS!AE$3,'BY-Demands'!$J$5:$AK$14,MATCH($E157,'BY-Demands'!$I$5:$I$14,0),FALSE)*HLOOKUP(REG_TRA_DEMANDS!$F157,DEMANDS!$G$2:$CK$25,MATCH($E157,DEMANDS!$E$2:$E$25,0),FALSE)/HLOOKUP(2018,DEMANDS!$G$2:$CK$25,MATCH($E157,DEMANDS!$E$2:$E$25,0),FALSE)</f>
        <v>0.24966895296097083</v>
      </c>
      <c r="AF157" s="19">
        <f>HLOOKUP(REG_TRA_DEMANDS!AF$3,'BY-Demands'!$J$5:$AK$14,MATCH($E157,'BY-Demands'!$I$5:$I$14,0),FALSE)*HLOOKUP(REG_TRA_DEMANDS!$F157,DEMANDS!$G$2:$CK$25,MATCH($E157,DEMANDS!$E$2:$E$25,0),FALSE)/HLOOKUP(2018,DEMANDS!$G$2:$CK$25,MATCH($E157,DEMANDS!$E$2:$E$25,0),FALSE)</f>
        <v>0.096274802417597338</v>
      </c>
    </row>
    <row r="158" spans="4:32" ht="14.5">
      <c r="D158" t="s">
        <v>6</v>
      </c>
      <c r="E158" t="str">
        <f>DEMANDS!$E$22</f>
        <v>TNAV</v>
      </c>
      <c r="F158">
        <v>2039</v>
      </c>
      <c r="G158" s="19">
        <f>HLOOKUP(REG_TRA_DEMANDS!G$3,'BY-Demands'!$J$5:$AK$14,MATCH($E158,'BY-Demands'!$I$5:$I$14,0),FALSE)*HLOOKUP(REG_TRA_DEMANDS!$F158,DEMANDS!$G$2:$CK$25,MATCH($E158,DEMANDS!$E$2:$E$25,0),FALSE)/HLOOKUP(2018,DEMANDS!$G$2:$CK$25,MATCH($E158,DEMANDS!$E$2:$E$25,0),FALSE)</f>
        <v>0.09160334437742404</v>
      </c>
      <c r="H158" s="19">
        <f>HLOOKUP(REG_TRA_DEMANDS!H$3,'BY-Demands'!$J$5:$AK$14,MATCH($E158,'BY-Demands'!$I$5:$I$14,0),FALSE)*HLOOKUP(REG_TRA_DEMANDS!$F158,DEMANDS!$G$2:$CK$25,MATCH($E158,DEMANDS!$E$2:$E$25,0),FALSE)/HLOOKUP(2018,DEMANDS!$G$2:$CK$25,MATCH($E158,DEMANDS!$E$2:$E$25,0),FALSE)</f>
        <v>2.167894865401216</v>
      </c>
      <c r="I158" s="19">
        <f>HLOOKUP(REG_TRA_DEMANDS!I$3,'BY-Demands'!$J$5:$AK$14,MATCH($E158,'BY-Demands'!$I$5:$I$14,0),FALSE)*HLOOKUP(REG_TRA_DEMANDS!$F158,DEMANDS!$G$2:$CK$25,MATCH($E158,DEMANDS!$E$2:$E$25,0),FALSE)/HLOOKUP(2018,DEMANDS!$G$2:$CK$25,MATCH($E158,DEMANDS!$E$2:$E$25,0),FALSE)</f>
        <v>0.35800798386416011</v>
      </c>
      <c r="J158" s="19">
        <f>HLOOKUP(REG_TRA_DEMANDS!J$3,'BY-Demands'!$J$5:$AK$14,MATCH($E158,'BY-Demands'!$I$5:$I$14,0),FALSE)*HLOOKUP(REG_TRA_DEMANDS!$F158,DEMANDS!$G$2:$CK$25,MATCH($E158,DEMANDS!$E$2:$E$25,0),FALSE)/HLOOKUP(2018,DEMANDS!$G$2:$CK$25,MATCH($E158,DEMANDS!$E$2:$E$25,0),FALSE)</f>
        <v>0.15966386336788704</v>
      </c>
      <c r="K158" s="19">
        <f>HLOOKUP(REG_TRA_DEMANDS!K$3,'BY-Demands'!$J$5:$AK$14,MATCH($E158,'BY-Demands'!$I$5:$I$14,0),FALSE)*HLOOKUP(REG_TRA_DEMANDS!$F158,DEMANDS!$G$2:$CK$25,MATCH($E158,DEMANDS!$E$2:$E$25,0),FALSE)/HLOOKUP(2018,DEMANDS!$G$2:$CK$25,MATCH($E158,DEMANDS!$E$2:$E$25,0),FALSE)</f>
        <v>0.13627711056584502</v>
      </c>
      <c r="L158" s="19">
        <f>HLOOKUP(REG_TRA_DEMANDS!L$3,'BY-Demands'!$J$5:$AK$14,MATCH($E158,'BY-Demands'!$I$5:$I$14,0),FALSE)*HLOOKUP(REG_TRA_DEMANDS!$F158,DEMANDS!$G$2:$CK$25,MATCH($E158,DEMANDS!$E$2:$E$25,0),FALSE)/HLOOKUP(2018,DEMANDS!$G$2:$CK$25,MATCH($E158,DEMANDS!$E$2:$E$25,0),FALSE)</f>
        <v>0.065764482096860283</v>
      </c>
      <c r="M158" s="19">
        <f>HLOOKUP(REG_TRA_DEMANDS!M$3,'BY-Demands'!$J$5:$AK$14,MATCH($E158,'BY-Demands'!$I$5:$I$14,0),FALSE)*HLOOKUP(REG_TRA_DEMANDS!$F158,DEMANDS!$G$2:$CK$25,MATCH($E158,DEMANDS!$E$2:$E$25,0),FALSE)/HLOOKUP(2018,DEMANDS!$G$2:$CK$25,MATCH($E158,DEMANDS!$E$2:$E$25,0),FALSE)</f>
        <v>0.20737380448148546</v>
      </c>
      <c r="N158" s="19">
        <f>HLOOKUP(REG_TRA_DEMANDS!N$3,'BY-Demands'!$J$5:$AK$14,MATCH($E158,'BY-Demands'!$I$5:$I$14,0),FALSE)*HLOOKUP(REG_TRA_DEMANDS!$F158,DEMANDS!$G$2:$CK$25,MATCH($E158,DEMANDS!$E$2:$E$25,0),FALSE)/HLOOKUP(2018,DEMANDS!$G$2:$CK$25,MATCH($E158,DEMANDS!$E$2:$E$25,0),FALSE)</f>
        <v>0.31382496137058841</v>
      </c>
      <c r="O158" s="19">
        <f>HLOOKUP(REG_TRA_DEMANDS!O$3,'BY-Demands'!$J$5:$AK$14,MATCH($E158,'BY-Demands'!$I$5:$I$14,0),FALSE)*HLOOKUP(REG_TRA_DEMANDS!$F158,DEMANDS!$G$2:$CK$25,MATCH($E158,DEMANDS!$E$2:$E$25,0),FALSE)/HLOOKUP(2018,DEMANDS!$G$2:$CK$25,MATCH($E158,DEMANDS!$E$2:$E$25,0),FALSE)</f>
        <v>0.12543891539043697</v>
      </c>
      <c r="P158" s="19">
        <f>HLOOKUP(REG_TRA_DEMANDS!P$3,'BY-Demands'!$J$5:$AK$14,MATCH($E158,'BY-Demands'!$I$5:$I$14,0),FALSE)*HLOOKUP(REG_TRA_DEMANDS!$F158,DEMANDS!$G$2:$CK$25,MATCH($E158,DEMANDS!$E$2:$E$25,0),FALSE)/HLOOKUP(2018,DEMANDS!$G$2:$CK$25,MATCH($E158,DEMANDS!$E$2:$E$25,0),FALSE)</f>
        <v>0.14283055013672349</v>
      </c>
      <c r="Q158" s="19">
        <f>HLOOKUP(REG_TRA_DEMANDS!Q$3,'BY-Demands'!$J$5:$AK$14,MATCH($E158,'BY-Demands'!$I$5:$I$14,0),FALSE)*HLOOKUP(REG_TRA_DEMANDS!$F158,DEMANDS!$G$2:$CK$25,MATCH($E158,DEMANDS!$E$2:$E$25,0),FALSE)/HLOOKUP(2018,DEMANDS!$G$2:$CK$25,MATCH($E158,DEMANDS!$E$2:$E$25,0),FALSE)</f>
        <v>0.2409020573118234</v>
      </c>
      <c r="R158" s="19">
        <f>HLOOKUP(REG_TRA_DEMANDS!R$3,'BY-Demands'!$J$5:$AK$14,MATCH($E158,'BY-Demands'!$I$5:$I$14,0),FALSE)*HLOOKUP(REG_TRA_DEMANDS!$F158,DEMANDS!$G$2:$CK$25,MATCH($E158,DEMANDS!$E$2:$E$25,0),FALSE)/HLOOKUP(2018,DEMANDS!$G$2:$CK$25,MATCH($E158,DEMANDS!$E$2:$E$25,0),FALSE)</f>
        <v>0.22916121553703747</v>
      </c>
      <c r="S158" s="19">
        <f>HLOOKUP(REG_TRA_DEMANDS!S$3,'BY-Demands'!$J$5:$AK$14,MATCH($E158,'BY-Demands'!$I$5:$I$14,0),FALSE)*HLOOKUP(REG_TRA_DEMANDS!$F158,DEMANDS!$G$2:$CK$25,MATCH($E158,DEMANDS!$E$2:$E$25,0),FALSE)/HLOOKUP(2018,DEMANDS!$G$2:$CK$25,MATCH($E158,DEMANDS!$E$2:$E$25,0),FALSE)</f>
        <v>0.19117604456004353</v>
      </c>
      <c r="T158" s="19">
        <f>HLOOKUP(REG_TRA_DEMANDS!T$3,'BY-Demands'!$J$5:$AK$14,MATCH($E158,'BY-Demands'!$I$5:$I$14,0),FALSE)*HLOOKUP(REG_TRA_DEMANDS!$F158,DEMANDS!$G$2:$CK$25,MATCH($E158,DEMANDS!$E$2:$E$25,0),FALSE)/HLOOKUP(2018,DEMANDS!$G$2:$CK$25,MATCH($E158,DEMANDS!$E$2:$E$25,0),FALSE)</f>
        <v>0.87347228896724982</v>
      </c>
      <c r="U158" s="19">
        <f>HLOOKUP(REG_TRA_DEMANDS!U$3,'BY-Demands'!$J$5:$AK$14,MATCH($E158,'BY-Demands'!$I$5:$I$14,0),FALSE)*HLOOKUP(REG_TRA_DEMANDS!$F158,DEMANDS!$G$2:$CK$25,MATCH($E158,DEMANDS!$E$2:$E$25,0),FALSE)/HLOOKUP(2018,DEMANDS!$G$2:$CK$25,MATCH($E158,DEMANDS!$E$2:$E$25,0),FALSE)</f>
        <v>0.23765993093438129</v>
      </c>
      <c r="V158" s="19">
        <f>HLOOKUP(REG_TRA_DEMANDS!V$3,'BY-Demands'!$J$5:$AK$14,MATCH($E158,'BY-Demands'!$I$5:$I$14,0),FALSE)*HLOOKUP(REG_TRA_DEMANDS!$F158,DEMANDS!$G$2:$CK$25,MATCH($E158,DEMANDS!$E$2:$E$25,0),FALSE)/HLOOKUP(2018,DEMANDS!$G$2:$CK$25,MATCH($E158,DEMANDS!$E$2:$E$25,0),FALSE)</f>
        <v>0.31359165699107039</v>
      </c>
      <c r="W158" s="19">
        <f>HLOOKUP(REG_TRA_DEMANDS!W$3,'BY-Demands'!$J$5:$AK$14,MATCH($E158,'BY-Demands'!$I$5:$I$14,0),FALSE)*HLOOKUP(REG_TRA_DEMANDS!$F158,DEMANDS!$G$2:$CK$25,MATCH($E158,DEMANDS!$E$2:$E$25,0),FALSE)/HLOOKUP(2018,DEMANDS!$G$2:$CK$25,MATCH($E158,DEMANDS!$E$2:$E$25,0),FALSE)</f>
        <v>0.25672009424315129</v>
      </c>
      <c r="X158" s="19">
        <f>HLOOKUP(REG_TRA_DEMANDS!X$3,'BY-Demands'!$J$5:$AK$14,MATCH($E158,'BY-Demands'!$I$5:$I$14,0),FALSE)*HLOOKUP(REG_TRA_DEMANDS!$F158,DEMANDS!$G$2:$CK$25,MATCH($E158,DEMANDS!$E$2:$E$25,0),FALSE)/HLOOKUP(2018,DEMANDS!$G$2:$CK$25,MATCH($E158,DEMANDS!$E$2:$E$25,0),FALSE)</f>
        <v>0.18692668686137184</v>
      </c>
      <c r="Y158" s="19">
        <f>HLOOKUP(REG_TRA_DEMANDS!Y$3,'BY-Demands'!$J$5:$AK$14,MATCH($E158,'BY-Demands'!$I$5:$I$14,0),FALSE)*HLOOKUP(REG_TRA_DEMANDS!$F158,DEMANDS!$G$2:$CK$25,MATCH($E158,DEMANDS!$E$2:$E$25,0),FALSE)/HLOOKUP(2018,DEMANDS!$G$2:$CK$25,MATCH($E158,DEMANDS!$E$2:$E$25,0),FALSE)</f>
        <v>0.41521421772200701</v>
      </c>
      <c r="Z158" s="19">
        <f>HLOOKUP(REG_TRA_DEMANDS!Z$3,'BY-Demands'!$J$5:$AK$14,MATCH($E158,'BY-Demands'!$I$5:$I$14,0),FALSE)*HLOOKUP(REG_TRA_DEMANDS!$F158,DEMANDS!$G$2:$CK$25,MATCH($E158,DEMANDS!$E$2:$E$25,0),FALSE)/HLOOKUP(2018,DEMANDS!$G$2:$CK$25,MATCH($E158,DEMANDS!$E$2:$E$25,0),FALSE)</f>
        <v>0.051558658877787253</v>
      </c>
      <c r="AA158" s="19">
        <f>HLOOKUP(REG_TRA_DEMANDS!AA$3,'BY-Demands'!$J$5:$AK$14,MATCH($E158,'BY-Demands'!$I$5:$I$14,0),FALSE)*HLOOKUP(REG_TRA_DEMANDS!$F158,DEMANDS!$G$2:$CK$25,MATCH($E158,DEMANDS!$E$2:$E$25,0),FALSE)/HLOOKUP(2018,DEMANDS!$G$2:$CK$25,MATCH($E158,DEMANDS!$E$2:$E$25,0),FALSE)</f>
        <v>0.20998520453636768</v>
      </c>
      <c r="AB158" s="19">
        <f>HLOOKUP(REG_TRA_DEMANDS!AB$3,'BY-Demands'!$J$5:$AK$14,MATCH($E158,'BY-Demands'!$I$5:$I$14,0),FALSE)*HLOOKUP(REG_TRA_DEMANDS!$F158,DEMANDS!$G$2:$CK$25,MATCH($E158,DEMANDS!$E$2:$E$25,0),FALSE)/HLOOKUP(2018,DEMANDS!$G$2:$CK$25,MATCH($E158,DEMANDS!$E$2:$E$25,0),FALSE)</f>
        <v>0.10385101980426581</v>
      </c>
      <c r="AC158" s="19">
        <f>HLOOKUP(REG_TRA_DEMANDS!AC$3,'BY-Demands'!$J$5:$AK$14,MATCH($E158,'BY-Demands'!$I$5:$I$14,0),FALSE)*HLOOKUP(REG_TRA_DEMANDS!$F158,DEMANDS!$G$2:$CK$25,MATCH($E158,DEMANDS!$E$2:$E$25,0),FALSE)/HLOOKUP(2018,DEMANDS!$G$2:$CK$25,MATCH($E158,DEMANDS!$E$2:$E$25,0),FALSE)</f>
        <v>0.10544553456359325</v>
      </c>
      <c r="AD158" s="19">
        <f>HLOOKUP(REG_TRA_DEMANDS!AD$3,'BY-Demands'!$J$5:$AK$14,MATCH($E158,'BY-Demands'!$I$5:$I$14,0),FALSE)*HLOOKUP(REG_TRA_DEMANDS!$F158,DEMANDS!$G$2:$CK$25,MATCH($E158,DEMANDS!$E$2:$E$25,0),FALSE)/HLOOKUP(2018,DEMANDS!$G$2:$CK$25,MATCH($E158,DEMANDS!$E$2:$E$25,0),FALSE)</f>
        <v>0.12256685802878275</v>
      </c>
      <c r="AE158" s="19">
        <f>HLOOKUP(REG_TRA_DEMANDS!AE$3,'BY-Demands'!$J$5:$AK$14,MATCH($E158,'BY-Demands'!$I$5:$I$14,0),FALSE)*HLOOKUP(REG_TRA_DEMANDS!$F158,DEMANDS!$G$2:$CK$25,MATCH($E158,DEMANDS!$E$2:$E$25,0),FALSE)/HLOOKUP(2018,DEMANDS!$G$2:$CK$25,MATCH($E158,DEMANDS!$E$2:$E$25,0),FALSE)</f>
        <v>0.25613924678793809</v>
      </c>
      <c r="AF158" s="19">
        <f>HLOOKUP(REG_TRA_DEMANDS!AF$3,'BY-Demands'!$J$5:$AK$14,MATCH($E158,'BY-Demands'!$I$5:$I$14,0),FALSE)*HLOOKUP(REG_TRA_DEMANDS!$F158,DEMANDS!$G$2:$CK$25,MATCH($E158,DEMANDS!$E$2:$E$25,0),FALSE)/HLOOKUP(2018,DEMANDS!$G$2:$CK$25,MATCH($E158,DEMANDS!$E$2:$E$25,0),FALSE)</f>
        <v>0.098769811317932873</v>
      </c>
    </row>
    <row r="159" spans="4:32" ht="14.5">
      <c r="D159" t="s">
        <v>6</v>
      </c>
      <c r="E159" t="str">
        <f>DEMANDS!$E$22</f>
        <v>TNAV</v>
      </c>
      <c r="F159">
        <v>2040</v>
      </c>
      <c r="G159" s="19">
        <f>HLOOKUP(REG_TRA_DEMANDS!G$3,'BY-Demands'!$J$5:$AK$14,MATCH($E159,'BY-Demands'!$I$5:$I$14,0),FALSE)*HLOOKUP(REG_TRA_DEMANDS!$F159,DEMANDS!$G$2:$CK$25,MATCH($E159,DEMANDS!$E$2:$E$25,0),FALSE)/HLOOKUP(2018,DEMANDS!$G$2:$CK$25,MATCH($E159,DEMANDS!$E$2:$E$25,0),FALSE)</f>
        <v>0.093941042041646661</v>
      </c>
      <c r="H159" s="19">
        <f>HLOOKUP(REG_TRA_DEMANDS!H$3,'BY-Demands'!$J$5:$AK$14,MATCH($E159,'BY-Demands'!$I$5:$I$14,0),FALSE)*HLOOKUP(REG_TRA_DEMANDS!$F159,DEMANDS!$G$2:$CK$25,MATCH($E159,DEMANDS!$E$2:$E$25,0),FALSE)/HLOOKUP(2018,DEMANDS!$G$2:$CK$25,MATCH($E159,DEMANDS!$E$2:$E$25,0),FALSE)</f>
        <v>2.2232190765156914</v>
      </c>
      <c r="I159" s="19">
        <f>HLOOKUP(REG_TRA_DEMANDS!I$3,'BY-Demands'!$J$5:$AK$14,MATCH($E159,'BY-Demands'!$I$5:$I$14,0),FALSE)*HLOOKUP(REG_TRA_DEMANDS!$F159,DEMANDS!$G$2:$CK$25,MATCH($E159,DEMANDS!$E$2:$E$25,0),FALSE)/HLOOKUP(2018,DEMANDS!$G$2:$CK$25,MATCH($E159,DEMANDS!$E$2:$E$25,0),FALSE)</f>
        <v>0.36714427068141908</v>
      </c>
      <c r="J159" s="19">
        <f>HLOOKUP(REG_TRA_DEMANDS!J$3,'BY-Demands'!$J$5:$AK$14,MATCH($E159,'BY-Demands'!$I$5:$I$14,0),FALSE)*HLOOKUP(REG_TRA_DEMANDS!$F159,DEMANDS!$G$2:$CK$25,MATCH($E159,DEMANDS!$E$2:$E$25,0),FALSE)/HLOOKUP(2018,DEMANDS!$G$2:$CK$25,MATCH($E159,DEMANDS!$E$2:$E$25,0),FALSE)</f>
        <v>0.16373845085148392</v>
      </c>
      <c r="K159" s="19">
        <f>HLOOKUP(REG_TRA_DEMANDS!K$3,'BY-Demands'!$J$5:$AK$14,MATCH($E159,'BY-Demands'!$I$5:$I$14,0),FALSE)*HLOOKUP(REG_TRA_DEMANDS!$F159,DEMANDS!$G$2:$CK$25,MATCH($E159,DEMANDS!$E$2:$E$25,0),FALSE)/HLOOKUP(2018,DEMANDS!$G$2:$CK$25,MATCH($E159,DEMANDS!$E$2:$E$25,0),FALSE)</f>
        <v>0.13975487314342289</v>
      </c>
      <c r="L159" s="19">
        <f>HLOOKUP(REG_TRA_DEMANDS!L$3,'BY-Demands'!$J$5:$AK$14,MATCH($E159,'BY-Demands'!$I$5:$I$14,0),FALSE)*HLOOKUP(REG_TRA_DEMANDS!$F159,DEMANDS!$G$2:$CK$25,MATCH($E159,DEMANDS!$E$2:$E$25,0),FALSE)/HLOOKUP(2018,DEMANDS!$G$2:$CK$25,MATCH($E159,DEMANDS!$E$2:$E$25,0),FALSE)</f>
        <v>0.067442777548096342</v>
      </c>
      <c r="M159" s="19">
        <f>HLOOKUP(REG_TRA_DEMANDS!M$3,'BY-Demands'!$J$5:$AK$14,MATCH($E159,'BY-Demands'!$I$5:$I$14,0),FALSE)*HLOOKUP(REG_TRA_DEMANDS!$F159,DEMANDS!$G$2:$CK$25,MATCH($E159,DEMANDS!$E$2:$E$25,0),FALSE)/HLOOKUP(2018,DEMANDS!$G$2:$CK$25,MATCH($E159,DEMANDS!$E$2:$E$25,0),FALSE)</f>
        <v>0.21266593941009621</v>
      </c>
      <c r="N159" s="19">
        <f>HLOOKUP(REG_TRA_DEMANDS!N$3,'BY-Demands'!$J$5:$AK$14,MATCH($E159,'BY-Demands'!$I$5:$I$14,0),FALSE)*HLOOKUP(REG_TRA_DEMANDS!$F159,DEMANDS!$G$2:$CK$25,MATCH($E159,DEMANDS!$E$2:$E$25,0),FALSE)/HLOOKUP(2018,DEMANDS!$G$2:$CK$25,MATCH($E159,DEMANDS!$E$2:$E$25,0),FALSE)</f>
        <v>0.32183370694813068</v>
      </c>
      <c r="O159" s="19">
        <f>HLOOKUP(REG_TRA_DEMANDS!O$3,'BY-Demands'!$J$5:$AK$14,MATCH($E159,'BY-Demands'!$I$5:$I$14,0),FALSE)*HLOOKUP(REG_TRA_DEMANDS!$F159,DEMANDS!$G$2:$CK$25,MATCH($E159,DEMANDS!$E$2:$E$25,0),FALSE)/HLOOKUP(2018,DEMANDS!$G$2:$CK$25,MATCH($E159,DEMANDS!$E$2:$E$25,0),FALSE)</f>
        <v>0.12864008955611639</v>
      </c>
      <c r="P159" s="19">
        <f>HLOOKUP(REG_TRA_DEMANDS!P$3,'BY-Demands'!$J$5:$AK$14,MATCH($E159,'BY-Demands'!$I$5:$I$14,0),FALSE)*HLOOKUP(REG_TRA_DEMANDS!$F159,DEMANDS!$G$2:$CK$25,MATCH($E159,DEMANDS!$E$2:$E$25,0),FALSE)/HLOOKUP(2018,DEMANDS!$G$2:$CK$25,MATCH($E159,DEMANDS!$E$2:$E$25,0),FALSE)</f>
        <v>0.14647555508390686</v>
      </c>
      <c r="Q159" s="19">
        <f>HLOOKUP(REG_TRA_DEMANDS!Q$3,'BY-Demands'!$J$5:$AK$14,MATCH($E159,'BY-Demands'!$I$5:$I$14,0),FALSE)*HLOOKUP(REG_TRA_DEMANDS!$F159,DEMANDS!$G$2:$CK$25,MATCH($E159,DEMANDS!$E$2:$E$25,0),FALSE)/HLOOKUP(2018,DEMANDS!$G$2:$CK$25,MATCH($E159,DEMANDS!$E$2:$E$25,0),FALSE)</f>
        <v>0.24704982604790748</v>
      </c>
      <c r="R159" s="19">
        <f>HLOOKUP(REG_TRA_DEMANDS!R$3,'BY-Demands'!$J$5:$AK$14,MATCH($E159,'BY-Demands'!$I$5:$I$14,0),FALSE)*HLOOKUP(REG_TRA_DEMANDS!$F159,DEMANDS!$G$2:$CK$25,MATCH($E159,DEMANDS!$E$2:$E$25,0),FALSE)/HLOOKUP(2018,DEMANDS!$G$2:$CK$25,MATCH($E159,DEMANDS!$E$2:$E$25,0),FALSE)</f>
        <v>0.23500936051397323</v>
      </c>
      <c r="S159" s="19">
        <f>HLOOKUP(REG_TRA_DEMANDS!S$3,'BY-Demands'!$J$5:$AK$14,MATCH($E159,'BY-Demands'!$I$5:$I$14,0),FALSE)*HLOOKUP(REG_TRA_DEMANDS!$F159,DEMANDS!$G$2:$CK$25,MATCH($E159,DEMANDS!$E$2:$E$25,0),FALSE)/HLOOKUP(2018,DEMANDS!$G$2:$CK$25,MATCH($E159,DEMANDS!$E$2:$E$25,0),FALSE)</f>
        <v>0.19605481613613324</v>
      </c>
      <c r="T159" s="19">
        <f>HLOOKUP(REG_TRA_DEMANDS!T$3,'BY-Demands'!$J$5:$AK$14,MATCH($E159,'BY-Demands'!$I$5:$I$14,0),FALSE)*HLOOKUP(REG_TRA_DEMANDS!$F159,DEMANDS!$G$2:$CK$25,MATCH($E159,DEMANDS!$E$2:$E$25,0),FALSE)/HLOOKUP(2018,DEMANDS!$G$2:$CK$25,MATCH($E159,DEMANDS!$E$2:$E$25,0),FALSE)</f>
        <v>0.89576311408460396</v>
      </c>
      <c r="U159" s="19">
        <f>HLOOKUP(REG_TRA_DEMANDS!U$3,'BY-Demands'!$J$5:$AK$14,MATCH($E159,'BY-Demands'!$I$5:$I$14,0),FALSE)*HLOOKUP(REG_TRA_DEMANDS!$F159,DEMANDS!$G$2:$CK$25,MATCH($E159,DEMANDS!$E$2:$E$25,0),FALSE)/HLOOKUP(2018,DEMANDS!$G$2:$CK$25,MATCH($E159,DEMANDS!$E$2:$E$25,0),FALSE)</f>
        <v>0.24372496130200105</v>
      </c>
      <c r="V159" s="19">
        <f>HLOOKUP(REG_TRA_DEMANDS!V$3,'BY-Demands'!$J$5:$AK$14,MATCH($E159,'BY-Demands'!$I$5:$I$14,0),FALSE)*HLOOKUP(REG_TRA_DEMANDS!$F159,DEMANDS!$G$2:$CK$25,MATCH($E159,DEMANDS!$E$2:$E$25,0),FALSE)/HLOOKUP(2018,DEMANDS!$G$2:$CK$25,MATCH($E159,DEMANDS!$E$2:$E$25,0),FALSE)</f>
        <v>0.32159444869098125</v>
      </c>
      <c r="W159" s="19">
        <f>HLOOKUP(REG_TRA_DEMANDS!W$3,'BY-Demands'!$J$5:$AK$14,MATCH($E159,'BY-Demands'!$I$5:$I$14,0),FALSE)*HLOOKUP(REG_TRA_DEMANDS!$F159,DEMANDS!$G$2:$CK$25,MATCH($E159,DEMANDS!$E$2:$E$25,0),FALSE)/HLOOKUP(2018,DEMANDS!$G$2:$CK$25,MATCH($E159,DEMANDS!$E$2:$E$25,0),FALSE)</f>
        <v>0.26327153588264596</v>
      </c>
      <c r="X159" s="19">
        <f>HLOOKUP(REG_TRA_DEMANDS!X$3,'BY-Demands'!$J$5:$AK$14,MATCH($E159,'BY-Demands'!$I$5:$I$14,0),FALSE)*HLOOKUP(REG_TRA_DEMANDS!$F159,DEMANDS!$G$2:$CK$25,MATCH($E159,DEMANDS!$E$2:$E$25,0),FALSE)/HLOOKUP(2018,DEMANDS!$G$2:$CK$25,MATCH($E159,DEMANDS!$E$2:$E$25,0),FALSE)</f>
        <v>0.1916970157421195</v>
      </c>
      <c r="Y159" s="19">
        <f>HLOOKUP(REG_TRA_DEMANDS!Y$3,'BY-Demands'!$J$5:$AK$14,MATCH($E159,'BY-Demands'!$I$5:$I$14,0),FALSE)*HLOOKUP(REG_TRA_DEMANDS!$F159,DEMANDS!$G$2:$CK$25,MATCH($E159,DEMANDS!$E$2:$E$25,0),FALSE)/HLOOKUP(2018,DEMANDS!$G$2:$CK$25,MATCH($E159,DEMANDS!$E$2:$E$25,0),FALSE)</f>
        <v>0.42581039533449128</v>
      </c>
      <c r="Z159" s="19">
        <f>HLOOKUP(REG_TRA_DEMANDS!Z$3,'BY-Demands'!$J$5:$AK$14,MATCH($E159,'BY-Demands'!$I$5:$I$14,0),FALSE)*HLOOKUP(REG_TRA_DEMANDS!$F159,DEMANDS!$G$2:$CK$25,MATCH($E159,DEMANDS!$E$2:$E$25,0),FALSE)/HLOOKUP(2018,DEMANDS!$G$2:$CK$25,MATCH($E159,DEMANDS!$E$2:$E$25,0),FALSE)</f>
        <v>0.052874424773107102</v>
      </c>
      <c r="AA159" s="19">
        <f>HLOOKUP(REG_TRA_DEMANDS!AA$3,'BY-Demands'!$J$5:$AK$14,MATCH($E159,'BY-Demands'!$I$5:$I$14,0),FALSE)*HLOOKUP(REG_TRA_DEMANDS!$F159,DEMANDS!$G$2:$CK$25,MATCH($E159,DEMANDS!$E$2:$E$25,0),FALSE)/HLOOKUP(2018,DEMANDS!$G$2:$CK$25,MATCH($E159,DEMANDS!$E$2:$E$25,0),FALSE)</f>
        <v>0.21534398183322534</v>
      </c>
      <c r="AB159" s="19">
        <f>HLOOKUP(REG_TRA_DEMANDS!AB$3,'BY-Demands'!$J$5:$AK$14,MATCH($E159,'BY-Demands'!$I$5:$I$14,0),FALSE)*HLOOKUP(REG_TRA_DEMANDS!$F159,DEMANDS!$G$2:$CK$25,MATCH($E159,DEMANDS!$E$2:$E$25,0),FALSE)/HLOOKUP(2018,DEMANDS!$G$2:$CK$25,MATCH($E159,DEMANDS!$E$2:$E$25,0),FALSE)</f>
        <v>0.10650127551352571</v>
      </c>
      <c r="AC159" s="19">
        <f>HLOOKUP(REG_TRA_DEMANDS!AC$3,'BY-Demands'!$J$5:$AK$14,MATCH($E159,'BY-Demands'!$I$5:$I$14,0),FALSE)*HLOOKUP(REG_TRA_DEMANDS!$F159,DEMANDS!$G$2:$CK$25,MATCH($E159,DEMANDS!$E$2:$E$25,0),FALSE)/HLOOKUP(2018,DEMANDS!$G$2:$CK$25,MATCH($E159,DEMANDS!$E$2:$E$25,0),FALSE)</f>
        <v>0.10813648194687206</v>
      </c>
      <c r="AD159" s="19">
        <f>HLOOKUP(REG_TRA_DEMANDS!AD$3,'BY-Demands'!$J$5:$AK$14,MATCH($E159,'BY-Demands'!$I$5:$I$14,0),FALSE)*HLOOKUP(REG_TRA_DEMANDS!$F159,DEMANDS!$G$2:$CK$25,MATCH($E159,DEMANDS!$E$2:$E$25,0),FALSE)/HLOOKUP(2018,DEMANDS!$G$2:$CK$25,MATCH($E159,DEMANDS!$E$2:$E$25,0),FALSE)</f>
        <v>0.12569473790775804</v>
      </c>
      <c r="AE159" s="19">
        <f>HLOOKUP(REG_TRA_DEMANDS!AE$3,'BY-Demands'!$J$5:$AK$14,MATCH($E159,'BY-Demands'!$I$5:$I$14,0),FALSE)*HLOOKUP(REG_TRA_DEMANDS!$F159,DEMANDS!$G$2:$CK$25,MATCH($E159,DEMANDS!$E$2:$E$25,0),FALSE)/HLOOKUP(2018,DEMANDS!$G$2:$CK$25,MATCH($E159,DEMANDS!$E$2:$E$25,0),FALSE)</f>
        <v>0.26267586532519177</v>
      </c>
      <c r="AF159" s="19">
        <f>HLOOKUP(REG_TRA_DEMANDS!AF$3,'BY-Demands'!$J$5:$AK$14,MATCH($E159,'BY-Demands'!$I$5:$I$14,0),FALSE)*HLOOKUP(REG_TRA_DEMANDS!$F159,DEMANDS!$G$2:$CK$25,MATCH($E159,DEMANDS!$E$2:$E$25,0),FALSE)/HLOOKUP(2018,DEMANDS!$G$2:$CK$25,MATCH($E159,DEMANDS!$E$2:$E$25,0),FALSE)</f>
        <v>0.10129039567850284</v>
      </c>
    </row>
    <row r="160" spans="4:32" ht="14.5">
      <c r="D160" t="s">
        <v>6</v>
      </c>
      <c r="E160" t="str">
        <f>DEMANDS!$E$22</f>
        <v>TNAV</v>
      </c>
      <c r="F160">
        <v>2045</v>
      </c>
      <c r="G160" s="19">
        <f>HLOOKUP(REG_TRA_DEMANDS!G$3,'BY-Demands'!$J$5:$AK$14,MATCH($E160,'BY-Demands'!$I$5:$I$14,0),FALSE)*HLOOKUP(REG_TRA_DEMANDS!$F160,DEMANDS!$G$2:$CK$25,MATCH($E160,DEMANDS!$E$2:$E$25,0),FALSE)/HLOOKUP(2018,DEMANDS!$G$2:$CK$25,MATCH($E160,DEMANDS!$E$2:$E$25,0),FALSE)</f>
        <v>0.10621861626141103</v>
      </c>
      <c r="H160" s="19">
        <f>HLOOKUP(REG_TRA_DEMANDS!H$3,'BY-Demands'!$J$5:$AK$14,MATCH($E160,'BY-Demands'!$I$5:$I$14,0),FALSE)*HLOOKUP(REG_TRA_DEMANDS!$F160,DEMANDS!$G$2:$CK$25,MATCH($E160,DEMANDS!$E$2:$E$25,0),FALSE)/HLOOKUP(2018,DEMANDS!$G$2:$CK$25,MATCH($E160,DEMANDS!$E$2:$E$25,0),FALSE)</f>
        <v>2.5137815040286462</v>
      </c>
      <c r="I160" s="19">
        <f>HLOOKUP(REG_TRA_DEMANDS!I$3,'BY-Demands'!$J$5:$AK$14,MATCH($E160,'BY-Demands'!$I$5:$I$14,0),FALSE)*HLOOKUP(REG_TRA_DEMANDS!$F160,DEMANDS!$G$2:$CK$25,MATCH($E160,DEMANDS!$E$2:$E$25,0),FALSE)/HLOOKUP(2018,DEMANDS!$G$2:$CK$25,MATCH($E160,DEMANDS!$E$2:$E$25,0),FALSE)</f>
        <v>0.41512799467134481</v>
      </c>
      <c r="J160" s="19">
        <f>HLOOKUP(REG_TRA_DEMANDS!J$3,'BY-Demands'!$J$5:$AK$14,MATCH($E160,'BY-Demands'!$I$5:$I$14,0),FALSE)*HLOOKUP(REG_TRA_DEMANDS!$F160,DEMANDS!$G$2:$CK$25,MATCH($E160,DEMANDS!$E$2:$E$25,0),FALSE)/HLOOKUP(2018,DEMANDS!$G$2:$CK$25,MATCH($E160,DEMANDS!$E$2:$E$25,0),FALSE)</f>
        <v>0.18513816006555789</v>
      </c>
      <c r="K160" s="19">
        <f>HLOOKUP(REG_TRA_DEMANDS!K$3,'BY-Demands'!$J$5:$AK$14,MATCH($E160,'BY-Demands'!$I$5:$I$14,0),FALSE)*HLOOKUP(REG_TRA_DEMANDS!$F160,DEMANDS!$G$2:$CK$25,MATCH($E160,DEMANDS!$E$2:$E$25,0),FALSE)/HLOOKUP(2018,DEMANDS!$G$2:$CK$25,MATCH($E160,DEMANDS!$E$2:$E$25,0),FALSE)</f>
        <v>0.15802006150306919</v>
      </c>
      <c r="L160" s="19">
        <f>HLOOKUP(REG_TRA_DEMANDS!L$3,'BY-Demands'!$J$5:$AK$14,MATCH($E160,'BY-Demands'!$I$5:$I$14,0),FALSE)*HLOOKUP(REG_TRA_DEMANDS!$F160,DEMANDS!$G$2:$CK$25,MATCH($E160,DEMANDS!$E$2:$E$25,0),FALSE)/HLOOKUP(2018,DEMANDS!$G$2:$CK$25,MATCH($E160,DEMANDS!$E$2:$E$25,0),FALSE)</f>
        <v>0.076257175269666425</v>
      </c>
      <c r="M160" s="19">
        <f>HLOOKUP(REG_TRA_DEMANDS!M$3,'BY-Demands'!$J$5:$AK$14,MATCH($E160,'BY-Demands'!$I$5:$I$14,0),FALSE)*HLOOKUP(REG_TRA_DEMANDS!$F160,DEMANDS!$G$2:$CK$25,MATCH($E160,DEMANDS!$E$2:$E$25,0),FALSE)/HLOOKUP(2018,DEMANDS!$G$2:$CK$25,MATCH($E160,DEMANDS!$E$2:$E$25,0),FALSE)</f>
        <v>0.24046020055918832</v>
      </c>
      <c r="N160" s="19">
        <f>HLOOKUP(REG_TRA_DEMANDS!N$3,'BY-Demands'!$J$5:$AK$14,MATCH($E160,'BY-Demands'!$I$5:$I$14,0),FALSE)*HLOOKUP(REG_TRA_DEMANDS!$F160,DEMANDS!$G$2:$CK$25,MATCH($E160,DEMANDS!$E$2:$E$25,0),FALSE)/HLOOKUP(2018,DEMANDS!$G$2:$CK$25,MATCH($E160,DEMANDS!$E$2:$E$25,0),FALSE)</f>
        <v>0.36389559105758984</v>
      </c>
      <c r="O160" s="19">
        <f>HLOOKUP(REG_TRA_DEMANDS!O$3,'BY-Demands'!$J$5:$AK$14,MATCH($E160,'BY-Demands'!$I$5:$I$14,0),FALSE)*HLOOKUP(REG_TRA_DEMANDS!$F160,DEMANDS!$G$2:$CK$25,MATCH($E160,DEMANDS!$E$2:$E$25,0),FALSE)/HLOOKUP(2018,DEMANDS!$G$2:$CK$25,MATCH($E160,DEMANDS!$E$2:$E$25,0),FALSE)</f>
        <v>0.14545263722257901</v>
      </c>
      <c r="P160" s="19">
        <f>HLOOKUP(REG_TRA_DEMANDS!P$3,'BY-Demands'!$J$5:$AK$14,MATCH($E160,'BY-Demands'!$I$5:$I$14,0),FALSE)*HLOOKUP(REG_TRA_DEMANDS!$F160,DEMANDS!$G$2:$CK$25,MATCH($E160,DEMANDS!$E$2:$E$25,0),FALSE)/HLOOKUP(2018,DEMANDS!$G$2:$CK$25,MATCH($E160,DEMANDS!$E$2:$E$25,0),FALSE)</f>
        <v>0.16561909937338348</v>
      </c>
      <c r="Q160" s="19">
        <f>HLOOKUP(REG_TRA_DEMANDS!Q$3,'BY-Demands'!$J$5:$AK$14,MATCH($E160,'BY-Demands'!$I$5:$I$14,0),FALSE)*HLOOKUP(REG_TRA_DEMANDS!$F160,DEMANDS!$G$2:$CK$25,MATCH($E160,DEMANDS!$E$2:$E$25,0),FALSE)/HLOOKUP(2018,DEMANDS!$G$2:$CK$25,MATCH($E160,DEMANDS!$E$2:$E$25,0),FALSE)</f>
        <v>0.2793378708615723</v>
      </c>
      <c r="R160" s="19">
        <f>HLOOKUP(REG_TRA_DEMANDS!R$3,'BY-Demands'!$J$5:$AK$14,MATCH($E160,'BY-Demands'!$I$5:$I$14,0),FALSE)*HLOOKUP(REG_TRA_DEMANDS!$F160,DEMANDS!$G$2:$CK$25,MATCH($E160,DEMANDS!$E$2:$E$25,0),FALSE)/HLOOKUP(2018,DEMANDS!$G$2:$CK$25,MATCH($E160,DEMANDS!$E$2:$E$25,0),FALSE)</f>
        <v>0.26572378312779216</v>
      </c>
      <c r="S160" s="19">
        <f>HLOOKUP(REG_TRA_DEMANDS!S$3,'BY-Demands'!$J$5:$AK$14,MATCH($E160,'BY-Demands'!$I$5:$I$14,0),FALSE)*HLOOKUP(REG_TRA_DEMANDS!$F160,DEMANDS!$G$2:$CK$25,MATCH($E160,DEMANDS!$E$2:$E$25,0),FALSE)/HLOOKUP(2018,DEMANDS!$G$2:$CK$25,MATCH($E160,DEMANDS!$E$2:$E$25,0),FALSE)</f>
        <v>0.22167809541790345</v>
      </c>
      <c r="T160" s="19">
        <f>HLOOKUP(REG_TRA_DEMANDS!T$3,'BY-Demands'!$J$5:$AK$14,MATCH($E160,'BY-Demands'!$I$5:$I$14,0),FALSE)*HLOOKUP(REG_TRA_DEMANDS!$F160,DEMANDS!$G$2:$CK$25,MATCH($E160,DEMANDS!$E$2:$E$25,0),FALSE)/HLOOKUP(2018,DEMANDS!$G$2:$CK$25,MATCH($E160,DEMANDS!$E$2:$E$25,0),FALSE)</f>
        <v>1.0128343949378156</v>
      </c>
      <c r="U160" s="19">
        <f>HLOOKUP(REG_TRA_DEMANDS!U$3,'BY-Demands'!$J$5:$AK$14,MATCH($E160,'BY-Demands'!$I$5:$I$14,0),FALSE)*HLOOKUP(REG_TRA_DEMANDS!$F160,DEMANDS!$G$2:$CK$25,MATCH($E160,DEMANDS!$E$2:$E$25,0),FALSE)/HLOOKUP(2018,DEMANDS!$G$2:$CK$25,MATCH($E160,DEMANDS!$E$2:$E$25,0),FALSE)</f>
        <v>0.27557846469690617</v>
      </c>
      <c r="V160" s="19">
        <f>HLOOKUP(REG_TRA_DEMANDS!V$3,'BY-Demands'!$J$5:$AK$14,MATCH($E160,'BY-Demands'!$I$5:$I$14,0),FALSE)*HLOOKUP(REG_TRA_DEMANDS!$F160,DEMANDS!$G$2:$CK$25,MATCH($E160,DEMANDS!$E$2:$E$25,0),FALSE)/HLOOKUP(2018,DEMANDS!$G$2:$CK$25,MATCH($E160,DEMANDS!$E$2:$E$25,0),FALSE)</f>
        <v>0.36362506307055448</v>
      </c>
      <c r="W160" s="19">
        <f>HLOOKUP(REG_TRA_DEMANDS!W$3,'BY-Demands'!$J$5:$AK$14,MATCH($E160,'BY-Demands'!$I$5:$I$14,0),FALSE)*HLOOKUP(REG_TRA_DEMANDS!$F160,DEMANDS!$G$2:$CK$25,MATCH($E160,DEMANDS!$E$2:$E$25,0),FALSE)/HLOOKUP(2018,DEMANDS!$G$2:$CK$25,MATCH($E160,DEMANDS!$E$2:$E$25,0),FALSE)</f>
        <v>0.2976796683825767</v>
      </c>
      <c r="X160" s="19">
        <f>HLOOKUP(REG_TRA_DEMANDS!X$3,'BY-Demands'!$J$5:$AK$14,MATCH($E160,'BY-Demands'!$I$5:$I$14,0),FALSE)*HLOOKUP(REG_TRA_DEMANDS!$F160,DEMANDS!$G$2:$CK$25,MATCH($E160,DEMANDS!$E$2:$E$25,0),FALSE)/HLOOKUP(2018,DEMANDS!$G$2:$CK$25,MATCH($E160,DEMANDS!$E$2:$E$25,0),FALSE)</f>
        <v>0.21675075463334667</v>
      </c>
      <c r="Y160" s="19">
        <f>HLOOKUP(REG_TRA_DEMANDS!Y$3,'BY-Demands'!$J$5:$AK$14,MATCH($E160,'BY-Demands'!$I$5:$I$14,0),FALSE)*HLOOKUP(REG_TRA_DEMANDS!$F160,DEMANDS!$G$2:$CK$25,MATCH($E160,DEMANDS!$E$2:$E$25,0),FALSE)/HLOOKUP(2018,DEMANDS!$G$2:$CK$25,MATCH($E160,DEMANDS!$E$2:$E$25,0),FALSE)</f>
        <v>0.48146145709244736</v>
      </c>
      <c r="Z160" s="19">
        <f>HLOOKUP(REG_TRA_DEMANDS!Z$3,'BY-Demands'!$J$5:$AK$14,MATCH($E160,'BY-Demands'!$I$5:$I$14,0),FALSE)*HLOOKUP(REG_TRA_DEMANDS!$F160,DEMANDS!$G$2:$CK$25,MATCH($E160,DEMANDS!$E$2:$E$25,0),FALSE)/HLOOKUP(2018,DEMANDS!$G$2:$CK$25,MATCH($E160,DEMANDS!$E$2:$E$25,0),FALSE)</f>
        <v>0.059784819424588347</v>
      </c>
      <c r="AA160" s="19">
        <f>HLOOKUP(REG_TRA_DEMANDS!AA$3,'BY-Demands'!$J$5:$AK$14,MATCH($E160,'BY-Demands'!$I$5:$I$14,0),FALSE)*HLOOKUP(REG_TRA_DEMANDS!$F160,DEMANDS!$G$2:$CK$25,MATCH($E160,DEMANDS!$E$2:$E$25,0),FALSE)/HLOOKUP(2018,DEMANDS!$G$2:$CK$25,MATCH($E160,DEMANDS!$E$2:$E$25,0),FALSE)</f>
        <v>0.24348824830373031</v>
      </c>
      <c r="AB160" s="19">
        <f>HLOOKUP(REG_TRA_DEMANDS!AB$3,'BY-Demands'!$J$5:$AK$14,MATCH($E160,'BY-Demands'!$I$5:$I$14,0),FALSE)*HLOOKUP(REG_TRA_DEMANDS!$F160,DEMANDS!$G$2:$CK$25,MATCH($E160,DEMANDS!$E$2:$E$25,0),FALSE)/HLOOKUP(2018,DEMANDS!$G$2:$CK$25,MATCH($E160,DEMANDS!$E$2:$E$25,0),FALSE)</f>
        <v>0.12042040272564668</v>
      </c>
      <c r="AC160" s="19">
        <f>HLOOKUP(REG_TRA_DEMANDS!AC$3,'BY-Demands'!$J$5:$AK$14,MATCH($E160,'BY-Demands'!$I$5:$I$14,0),FALSE)*HLOOKUP(REG_TRA_DEMANDS!$F160,DEMANDS!$G$2:$CK$25,MATCH($E160,DEMANDS!$E$2:$E$25,0),FALSE)/HLOOKUP(2018,DEMANDS!$G$2:$CK$25,MATCH($E160,DEMANDS!$E$2:$E$25,0),FALSE)</f>
        <v>0.12226932158876516</v>
      </c>
      <c r="AD160" s="19">
        <f>HLOOKUP(REG_TRA_DEMANDS!AD$3,'BY-Demands'!$J$5:$AK$14,MATCH($E160,'BY-Demands'!$I$5:$I$14,0),FALSE)*HLOOKUP(REG_TRA_DEMANDS!$F160,DEMANDS!$G$2:$CK$25,MATCH($E160,DEMANDS!$E$2:$E$25,0),FALSE)/HLOOKUP(2018,DEMANDS!$G$2:$CK$25,MATCH($E160,DEMANDS!$E$2:$E$25,0),FALSE)</f>
        <v>0.14212234441665939</v>
      </c>
      <c r="AE160" s="19">
        <f>HLOOKUP(REG_TRA_DEMANDS!AE$3,'BY-Demands'!$J$5:$AK$14,MATCH($E160,'BY-Demands'!$I$5:$I$14,0),FALSE)*HLOOKUP(REG_TRA_DEMANDS!$F160,DEMANDS!$G$2:$CK$25,MATCH($E160,DEMANDS!$E$2:$E$25,0),FALSE)/HLOOKUP(2018,DEMANDS!$G$2:$CK$25,MATCH($E160,DEMANDS!$E$2:$E$25,0),FALSE)</f>
        <v>0.2970061469803722</v>
      </c>
      <c r="AF160" s="19">
        <f>HLOOKUP(REG_TRA_DEMANDS!AF$3,'BY-Demands'!$J$5:$AK$14,MATCH($E160,'BY-Demands'!$I$5:$I$14,0),FALSE)*HLOOKUP(REG_TRA_DEMANDS!$F160,DEMANDS!$G$2:$CK$25,MATCH($E160,DEMANDS!$E$2:$E$25,0),FALSE)/HLOOKUP(2018,DEMANDS!$G$2:$CK$25,MATCH($E160,DEMANDS!$E$2:$E$25,0),FALSE)</f>
        <v>0.11452848973903919</v>
      </c>
    </row>
    <row r="161" spans="4:32" ht="14.5">
      <c r="D161" t="s">
        <v>6</v>
      </c>
      <c r="E161" t="str">
        <f>DEMANDS!$E$22</f>
        <v>TNAV</v>
      </c>
      <c r="F161">
        <v>2050</v>
      </c>
      <c r="G161" s="19">
        <f>HLOOKUP(REG_TRA_DEMANDS!G$3,'BY-Demands'!$J$5:$AK$14,MATCH($E161,'BY-Demands'!$I$5:$I$14,0),FALSE)*HLOOKUP(REG_TRA_DEMANDS!$F161,DEMANDS!$G$2:$CK$25,MATCH($E161,DEMANDS!$E$2:$E$25,0),FALSE)/HLOOKUP(2018,DEMANDS!$G$2:$CK$25,MATCH($E161,DEMANDS!$E$2:$E$25,0),FALSE)</f>
        <v>0.12002940589326376</v>
      </c>
      <c r="H161" s="19">
        <f>HLOOKUP(REG_TRA_DEMANDS!H$3,'BY-Demands'!$J$5:$AK$14,MATCH($E161,'BY-Demands'!$I$5:$I$14,0),FALSE)*HLOOKUP(REG_TRA_DEMANDS!$F161,DEMANDS!$G$2:$CK$25,MATCH($E161,DEMANDS!$E$2:$E$25,0),FALSE)/HLOOKUP(2018,DEMANDS!$G$2:$CK$25,MATCH($E161,DEMANDS!$E$2:$E$25,0),FALSE)</f>
        <v>2.8406291768239722</v>
      </c>
      <c r="I161" s="19">
        <f>HLOOKUP(REG_TRA_DEMANDS!I$3,'BY-Demands'!$J$5:$AK$14,MATCH($E161,'BY-Demands'!$I$5:$I$14,0),FALSE)*HLOOKUP(REG_TRA_DEMANDS!$F161,DEMANDS!$G$2:$CK$25,MATCH($E161,DEMANDS!$E$2:$E$25,0),FALSE)/HLOOKUP(2018,DEMANDS!$G$2:$CK$25,MATCH($E161,DEMANDS!$E$2:$E$25,0),FALSE)</f>
        <v>0.46910389462648</v>
      </c>
      <c r="J161" s="19">
        <f>HLOOKUP(REG_TRA_DEMANDS!J$3,'BY-Demands'!$J$5:$AK$14,MATCH($E161,'BY-Demands'!$I$5:$I$14,0),FALSE)*HLOOKUP(REG_TRA_DEMANDS!$F161,DEMANDS!$G$2:$CK$25,MATCH($E161,DEMANDS!$E$2:$E$25,0),FALSE)/HLOOKUP(2018,DEMANDS!$G$2:$CK$25,MATCH($E161,DEMANDS!$E$2:$E$25,0),FALSE)</f>
        <v>0.20921025092391538</v>
      </c>
      <c r="K161" s="19">
        <f>HLOOKUP(REG_TRA_DEMANDS!K$3,'BY-Demands'!$J$5:$AK$14,MATCH($E161,'BY-Demands'!$I$5:$I$14,0),FALSE)*HLOOKUP(REG_TRA_DEMANDS!$F161,DEMANDS!$G$2:$CK$25,MATCH($E161,DEMANDS!$E$2:$E$25,0),FALSE)/HLOOKUP(2018,DEMANDS!$G$2:$CK$25,MATCH($E161,DEMANDS!$E$2:$E$25,0),FALSE)</f>
        <v>0.17856619459955325</v>
      </c>
      <c r="L161" s="19">
        <f>HLOOKUP(REG_TRA_DEMANDS!L$3,'BY-Demands'!$J$5:$AK$14,MATCH($E161,'BY-Demands'!$I$5:$I$14,0),FALSE)*HLOOKUP(REG_TRA_DEMANDS!$F161,DEMANDS!$G$2:$CK$25,MATCH($E161,DEMANDS!$E$2:$E$25,0),FALSE)/HLOOKUP(2018,DEMANDS!$G$2:$CK$25,MATCH($E161,DEMANDS!$E$2:$E$25,0),FALSE)</f>
        <v>0.086172309194747512</v>
      </c>
      <c r="M161" s="19">
        <f>HLOOKUP(REG_TRA_DEMANDS!M$3,'BY-Demands'!$J$5:$AK$14,MATCH($E161,'BY-Demands'!$I$5:$I$14,0),FALSE)*HLOOKUP(REG_TRA_DEMANDS!$F161,DEMANDS!$G$2:$CK$25,MATCH($E161,DEMANDS!$E$2:$E$25,0),FALSE)/HLOOKUP(2018,DEMANDS!$G$2:$CK$25,MATCH($E161,DEMANDS!$E$2:$E$25,0),FALSE)</f>
        <v>0.2717253908021397</v>
      </c>
      <c r="N161" s="19">
        <f>HLOOKUP(REG_TRA_DEMANDS!N$3,'BY-Demands'!$J$5:$AK$14,MATCH($E161,'BY-Demands'!$I$5:$I$14,0),FALSE)*HLOOKUP(REG_TRA_DEMANDS!$F161,DEMANDS!$G$2:$CK$25,MATCH($E161,DEMANDS!$E$2:$E$25,0),FALSE)/HLOOKUP(2018,DEMANDS!$G$2:$CK$25,MATCH($E161,DEMANDS!$E$2:$E$25,0),FALSE)</f>
        <v>0.41121013565386411</v>
      </c>
      <c r="O161" s="19">
        <f>HLOOKUP(REG_TRA_DEMANDS!O$3,'BY-Demands'!$J$5:$AK$14,MATCH($E161,'BY-Demands'!$I$5:$I$14,0),FALSE)*HLOOKUP(REG_TRA_DEMANDS!$F161,DEMANDS!$G$2:$CK$25,MATCH($E161,DEMANDS!$E$2:$E$25,0),FALSE)/HLOOKUP(2018,DEMANDS!$G$2:$CK$25,MATCH($E161,DEMANDS!$E$2:$E$25,0),FALSE)</f>
        <v>0.16436472480932934</v>
      </c>
      <c r="P161" s="19">
        <f>HLOOKUP(REG_TRA_DEMANDS!P$3,'BY-Demands'!$J$5:$AK$14,MATCH($E161,'BY-Demands'!$I$5:$I$14,0),FALSE)*HLOOKUP(REG_TRA_DEMANDS!$F161,DEMANDS!$G$2:$CK$25,MATCH($E161,DEMANDS!$E$2:$E$25,0),FALSE)/HLOOKUP(2018,DEMANDS!$G$2:$CK$25,MATCH($E161,DEMANDS!$E$2:$E$25,0),FALSE)</f>
        <v>0.18715327691184286</v>
      </c>
      <c r="Q161" s="19">
        <f>HLOOKUP(REG_TRA_DEMANDS!Q$3,'BY-Demands'!$J$5:$AK$14,MATCH($E161,'BY-Demands'!$I$5:$I$14,0),FALSE)*HLOOKUP(REG_TRA_DEMANDS!$F161,DEMANDS!$G$2:$CK$25,MATCH($E161,DEMANDS!$E$2:$E$25,0),FALSE)/HLOOKUP(2018,DEMANDS!$G$2:$CK$25,MATCH($E161,DEMANDS!$E$2:$E$25,0),FALSE)</f>
        <v>0.31565802552433248</v>
      </c>
      <c r="R161" s="19">
        <f>HLOOKUP(REG_TRA_DEMANDS!R$3,'BY-Demands'!$J$5:$AK$14,MATCH($E161,'BY-Demands'!$I$5:$I$14,0),FALSE)*HLOOKUP(REG_TRA_DEMANDS!$F161,DEMANDS!$G$2:$CK$25,MATCH($E161,DEMANDS!$E$2:$E$25,0),FALSE)/HLOOKUP(2018,DEMANDS!$G$2:$CK$25,MATCH($E161,DEMANDS!$E$2:$E$25,0),FALSE)</f>
        <v>0.30027380268299175</v>
      </c>
      <c r="S161" s="19">
        <f>HLOOKUP(REG_TRA_DEMANDS!S$3,'BY-Demands'!$J$5:$AK$14,MATCH($E161,'BY-Demands'!$I$5:$I$14,0),FALSE)*HLOOKUP(REG_TRA_DEMANDS!$F161,DEMANDS!$G$2:$CK$25,MATCH($E161,DEMANDS!$E$2:$E$25,0),FALSE)/HLOOKUP(2018,DEMANDS!$G$2:$CK$25,MATCH($E161,DEMANDS!$E$2:$E$25,0),FALSE)</f>
        <v>0.25050119300252804</v>
      </c>
      <c r="T161" s="19">
        <f>HLOOKUP(REG_TRA_DEMANDS!T$3,'BY-Demands'!$J$5:$AK$14,MATCH($E161,'BY-Demands'!$I$5:$I$14,0),FALSE)*HLOOKUP(REG_TRA_DEMANDS!$F161,DEMANDS!$G$2:$CK$25,MATCH($E161,DEMANDS!$E$2:$E$25,0),FALSE)/HLOOKUP(2018,DEMANDS!$G$2:$CK$25,MATCH($E161,DEMANDS!$E$2:$E$25,0),FALSE)</f>
        <v>1.144525460522454</v>
      </c>
      <c r="U161" s="19">
        <f>HLOOKUP(REG_TRA_DEMANDS!U$3,'BY-Demands'!$J$5:$AK$14,MATCH($E161,'BY-Demands'!$I$5:$I$14,0),FALSE)*HLOOKUP(REG_TRA_DEMANDS!$F161,DEMANDS!$G$2:$CK$25,MATCH($E161,DEMANDS!$E$2:$E$25,0),FALSE)/HLOOKUP(2018,DEMANDS!$G$2:$CK$25,MATCH($E161,DEMANDS!$E$2:$E$25,0),FALSE)</f>
        <v>0.31140981269367551</v>
      </c>
      <c r="V161" s="19">
        <f>HLOOKUP(REG_TRA_DEMANDS!V$3,'BY-Demands'!$J$5:$AK$14,MATCH($E161,'BY-Demands'!$I$5:$I$14,0),FALSE)*HLOOKUP(REG_TRA_DEMANDS!$F161,DEMANDS!$G$2:$CK$25,MATCH($E161,DEMANDS!$E$2:$E$25,0),FALSE)/HLOOKUP(2018,DEMANDS!$G$2:$CK$25,MATCH($E161,DEMANDS!$E$2:$E$25,0),FALSE)</f>
        <v>0.41090443299359369</v>
      </c>
      <c r="W161" s="19">
        <f>HLOOKUP(REG_TRA_DEMANDS!W$3,'BY-Demands'!$J$5:$AK$14,MATCH($E161,'BY-Demands'!$I$5:$I$14,0),FALSE)*HLOOKUP(REG_TRA_DEMANDS!$F161,DEMANDS!$G$2:$CK$25,MATCH($E161,DEMANDS!$E$2:$E$25,0),FALSE)/HLOOKUP(2018,DEMANDS!$G$2:$CK$25,MATCH($E161,DEMANDS!$E$2:$E$25,0),FALSE)</f>
        <v>0.3363846658906739</v>
      </c>
      <c r="X161" s="19">
        <f>HLOOKUP(REG_TRA_DEMANDS!X$3,'BY-Demands'!$J$5:$AK$14,MATCH($E161,'BY-Demands'!$I$5:$I$14,0),FALSE)*HLOOKUP(REG_TRA_DEMANDS!$F161,DEMANDS!$G$2:$CK$25,MATCH($E161,DEMANDS!$E$2:$E$25,0),FALSE)/HLOOKUP(2018,DEMANDS!$G$2:$CK$25,MATCH($E161,DEMANDS!$E$2:$E$25,0),FALSE)</f>
        <v>0.24493318799718641</v>
      </c>
      <c r="Y161" s="19">
        <f>HLOOKUP(REG_TRA_DEMANDS!Y$3,'BY-Demands'!$J$5:$AK$14,MATCH($E161,'BY-Demands'!$I$5:$I$14,0),FALSE)*HLOOKUP(REG_TRA_DEMANDS!$F161,DEMANDS!$G$2:$CK$25,MATCH($E161,DEMANDS!$E$2:$E$25,0),FALSE)/HLOOKUP(2018,DEMANDS!$G$2:$CK$25,MATCH($E161,DEMANDS!$E$2:$E$25,0),FALSE)</f>
        <v>0.54406218692482022</v>
      </c>
      <c r="Z161" s="19">
        <f>HLOOKUP(REG_TRA_DEMANDS!Z$3,'BY-Demands'!$J$5:$AK$14,MATCH($E161,'BY-Demands'!$I$5:$I$14,0),FALSE)*HLOOKUP(REG_TRA_DEMANDS!$F161,DEMANDS!$G$2:$CK$25,MATCH($E161,DEMANDS!$E$2:$E$25,0),FALSE)/HLOOKUP(2018,DEMANDS!$G$2:$CK$25,MATCH($E161,DEMANDS!$E$2:$E$25,0),FALSE)</f>
        <v>0.067558179625584094</v>
      </c>
      <c r="AA161" s="19">
        <f>HLOOKUP(REG_TRA_DEMANDS!AA$3,'BY-Demands'!$J$5:$AK$14,MATCH($E161,'BY-Demands'!$I$5:$I$14,0),FALSE)*HLOOKUP(REG_TRA_DEMANDS!$F161,DEMANDS!$G$2:$CK$25,MATCH($E161,DEMANDS!$E$2:$E$25,0),FALSE)/HLOOKUP(2018,DEMANDS!$G$2:$CK$25,MATCH($E161,DEMANDS!$E$2:$E$25,0),FALSE)</f>
        <v>0.27514715230296105</v>
      </c>
      <c r="AB161" s="19">
        <f>HLOOKUP(REG_TRA_DEMANDS!AB$3,'BY-Demands'!$J$5:$AK$14,MATCH($E161,'BY-Demands'!$I$5:$I$14,0),FALSE)*HLOOKUP(REG_TRA_DEMANDS!$F161,DEMANDS!$G$2:$CK$25,MATCH($E161,DEMANDS!$E$2:$E$25,0),FALSE)/HLOOKUP(2018,DEMANDS!$G$2:$CK$25,MATCH($E161,DEMANDS!$E$2:$E$25,0),FALSE)</f>
        <v>0.13607774141036361</v>
      </c>
      <c r="AC161" s="19">
        <f>HLOOKUP(REG_TRA_DEMANDS!AC$3,'BY-Demands'!$J$5:$AK$14,MATCH($E161,'BY-Demands'!$I$5:$I$14,0),FALSE)*HLOOKUP(REG_TRA_DEMANDS!$F161,DEMANDS!$G$2:$CK$25,MATCH($E161,DEMANDS!$E$2:$E$25,0),FALSE)/HLOOKUP(2018,DEMANDS!$G$2:$CK$25,MATCH($E161,DEMANDS!$E$2:$E$25,0),FALSE)</f>
        <v>0.13816706097124723</v>
      </c>
      <c r="AD161" s="19">
        <f>HLOOKUP(REG_TRA_DEMANDS!AD$3,'BY-Demands'!$J$5:$AK$14,MATCH($E161,'BY-Demands'!$I$5:$I$14,0),FALSE)*HLOOKUP(REG_TRA_DEMANDS!$F161,DEMANDS!$G$2:$CK$25,MATCH($E161,DEMANDS!$E$2:$E$25,0),FALSE)/HLOOKUP(2018,DEMANDS!$G$2:$CK$25,MATCH($E161,DEMANDS!$E$2:$E$25,0),FALSE)</f>
        <v>0.16060141964668845</v>
      </c>
      <c r="AE161" s="19">
        <f>HLOOKUP(REG_TRA_DEMANDS!AE$3,'BY-Demands'!$J$5:$AK$14,MATCH($E161,'BY-Demands'!$I$5:$I$14,0),FALSE)*HLOOKUP(REG_TRA_DEMANDS!$F161,DEMANDS!$G$2:$CK$25,MATCH($E161,DEMANDS!$E$2:$E$25,0),FALSE)/HLOOKUP(2018,DEMANDS!$G$2:$CK$25,MATCH($E161,DEMANDS!$E$2:$E$25,0),FALSE)</f>
        <v>0.33562357168131191</v>
      </c>
      <c r="AF161" s="19">
        <f>HLOOKUP(REG_TRA_DEMANDS!AF$3,'BY-Demands'!$J$5:$AK$14,MATCH($E161,'BY-Demands'!$I$5:$I$14,0),FALSE)*HLOOKUP(REG_TRA_DEMANDS!$F161,DEMANDS!$G$2:$CK$25,MATCH($E161,DEMANDS!$E$2:$E$25,0),FALSE)/HLOOKUP(2018,DEMANDS!$G$2:$CK$25,MATCH($E161,DEMANDS!$E$2:$E$25,0),FALSE)</f>
        <v>0.12941974829909172</v>
      </c>
    </row>
    <row r="162" spans="4:32" ht="14.5">
      <c r="D162" t="s">
        <v>6</v>
      </c>
      <c r="E162" t="str">
        <f>DEMANDS!$E$22</f>
        <v>TNAV</v>
      </c>
      <c r="F162">
        <v>2055</v>
      </c>
      <c r="G162" s="19">
        <f>HLOOKUP(REG_TRA_DEMANDS!G$3,'BY-Demands'!$J$5:$AK$14,MATCH($E162,'BY-Demands'!$I$5:$I$14,0),FALSE)*HLOOKUP(REG_TRA_DEMANDS!$F162,DEMANDS!$G$2:$CK$25,MATCH($E162,DEMANDS!$E$2:$E$25,0),FALSE)/HLOOKUP(2018,DEMANDS!$G$2:$CK$25,MATCH($E162,DEMANDS!$E$2:$E$25,0),FALSE)</f>
        <v>0.13651547417316809</v>
      </c>
      <c r="H162" s="19">
        <f>HLOOKUP(REG_TRA_DEMANDS!H$3,'BY-Demands'!$J$5:$AK$14,MATCH($E162,'BY-Demands'!$I$5:$I$14,0),FALSE)*HLOOKUP(REG_TRA_DEMANDS!$F162,DEMANDS!$G$2:$CK$25,MATCH($E162,DEMANDS!$E$2:$E$25,0),FALSE)/HLOOKUP(2018,DEMANDS!$G$2:$CK$25,MATCH($E162,DEMANDS!$E$2:$E$25,0),FALSE)</f>
        <v>3.2307902895820644</v>
      </c>
      <c r="I162" s="19">
        <f>HLOOKUP(REG_TRA_DEMANDS!I$3,'BY-Demands'!$J$5:$AK$14,MATCH($E162,'BY-Demands'!$I$5:$I$14,0),FALSE)*HLOOKUP(REG_TRA_DEMANDS!$F162,DEMANDS!$G$2:$CK$25,MATCH($E162,DEMANDS!$E$2:$E$25,0),FALSE)/HLOOKUP(2018,DEMANDS!$G$2:$CK$25,MATCH($E162,DEMANDS!$E$2:$E$25,0),FALSE)</f>
        <v>0.53353542937937526</v>
      </c>
      <c r="J162" s="19">
        <f>HLOOKUP(REG_TRA_DEMANDS!J$3,'BY-Demands'!$J$5:$AK$14,MATCH($E162,'BY-Demands'!$I$5:$I$14,0),FALSE)*HLOOKUP(REG_TRA_DEMANDS!$F162,DEMANDS!$G$2:$CK$25,MATCH($E162,DEMANDS!$E$2:$E$25,0),FALSE)/HLOOKUP(2018,DEMANDS!$G$2:$CK$25,MATCH($E162,DEMANDS!$E$2:$E$25,0),FALSE)</f>
        <v>0.23794533009821922</v>
      </c>
      <c r="K162" s="19">
        <f>HLOOKUP(REG_TRA_DEMANDS!K$3,'BY-Demands'!$J$5:$AK$14,MATCH($E162,'BY-Demands'!$I$5:$I$14,0),FALSE)*HLOOKUP(REG_TRA_DEMANDS!$F162,DEMANDS!$G$2:$CK$25,MATCH($E162,DEMANDS!$E$2:$E$25,0),FALSE)/HLOOKUP(2018,DEMANDS!$G$2:$CK$25,MATCH($E162,DEMANDS!$E$2:$E$25,0),FALSE)</f>
        <v>0.20309230513673895</v>
      </c>
      <c r="L162" s="19">
        <f>HLOOKUP(REG_TRA_DEMANDS!L$3,'BY-Demands'!$J$5:$AK$14,MATCH($E162,'BY-Demands'!$I$5:$I$14,0),FALSE)*HLOOKUP(REG_TRA_DEMANDS!$F162,DEMANDS!$G$2:$CK$25,MATCH($E162,DEMANDS!$E$2:$E$25,0),FALSE)/HLOOKUP(2018,DEMANDS!$G$2:$CK$25,MATCH($E162,DEMANDS!$E$2:$E$25,0),FALSE)</f>
        <v>0.098008096955664536</v>
      </c>
      <c r="M162" s="19">
        <f>HLOOKUP(REG_TRA_DEMANDS!M$3,'BY-Demands'!$J$5:$AK$14,MATCH($E162,'BY-Demands'!$I$5:$I$14,0),FALSE)*HLOOKUP(REG_TRA_DEMANDS!$F162,DEMANDS!$G$2:$CK$25,MATCH($E162,DEMANDS!$E$2:$E$25,0),FALSE)/HLOOKUP(2018,DEMANDS!$G$2:$CK$25,MATCH($E162,DEMANDS!$E$2:$E$25,0),FALSE)</f>
        <v>0.30904693974099989</v>
      </c>
      <c r="N162" s="19">
        <f>HLOOKUP(REG_TRA_DEMANDS!N$3,'BY-Demands'!$J$5:$AK$14,MATCH($E162,'BY-Demands'!$I$5:$I$14,0),FALSE)*HLOOKUP(REG_TRA_DEMANDS!$F162,DEMANDS!$G$2:$CK$25,MATCH($E162,DEMANDS!$E$2:$E$25,0),FALSE)/HLOOKUP(2018,DEMANDS!$G$2:$CK$25,MATCH($E162,DEMANDS!$E$2:$E$25,0),FALSE)</f>
        <v>0.46768994844079709</v>
      </c>
      <c r="O162" s="19">
        <f>HLOOKUP(REG_TRA_DEMANDS!O$3,'BY-Demands'!$J$5:$AK$14,MATCH($E162,'BY-Demands'!$I$5:$I$14,0),FALSE)*HLOOKUP(REG_TRA_DEMANDS!$F162,DEMANDS!$G$2:$CK$25,MATCH($E162,DEMANDS!$E$2:$E$25,0),FALSE)/HLOOKUP(2018,DEMANDS!$G$2:$CK$25,MATCH($E162,DEMANDS!$E$2:$E$25,0),FALSE)</f>
        <v>0.18694025999463149</v>
      </c>
      <c r="P162" s="19">
        <f>HLOOKUP(REG_TRA_DEMANDS!P$3,'BY-Demands'!$J$5:$AK$14,MATCH($E162,'BY-Demands'!$I$5:$I$14,0),FALSE)*HLOOKUP(REG_TRA_DEMANDS!$F162,DEMANDS!$G$2:$CK$25,MATCH($E162,DEMANDS!$E$2:$E$25,0),FALSE)/HLOOKUP(2018,DEMANDS!$G$2:$CK$25,MATCH($E162,DEMANDS!$E$2:$E$25,0),FALSE)</f>
        <v>0.21285882530654368</v>
      </c>
      <c r="Q162" s="19">
        <f>HLOOKUP(REG_TRA_DEMANDS!Q$3,'BY-Demands'!$J$5:$AK$14,MATCH($E162,'BY-Demands'!$I$5:$I$14,0),FALSE)*HLOOKUP(REG_TRA_DEMANDS!$F162,DEMANDS!$G$2:$CK$25,MATCH($E162,DEMANDS!$E$2:$E$25,0),FALSE)/HLOOKUP(2018,DEMANDS!$G$2:$CK$25,MATCH($E162,DEMANDS!$E$2:$E$25,0),FALSE)</f>
        <v>0.35901373259599417</v>
      </c>
      <c r="R162" s="19">
        <f>HLOOKUP(REG_TRA_DEMANDS!R$3,'BY-Demands'!$J$5:$AK$14,MATCH($E162,'BY-Demands'!$I$5:$I$14,0),FALSE)*HLOOKUP(REG_TRA_DEMANDS!$F162,DEMANDS!$G$2:$CK$25,MATCH($E162,DEMANDS!$E$2:$E$25,0),FALSE)/HLOOKUP(2018,DEMANDS!$G$2:$CK$25,MATCH($E162,DEMANDS!$E$2:$E$25,0),FALSE)</f>
        <v>0.34151648298168796</v>
      </c>
      <c r="S162" s="19">
        <f>HLOOKUP(REG_TRA_DEMANDS!S$3,'BY-Demands'!$J$5:$AK$14,MATCH($E162,'BY-Demands'!$I$5:$I$14,0),FALSE)*HLOOKUP(REG_TRA_DEMANDS!$F162,DEMANDS!$G$2:$CK$25,MATCH($E162,DEMANDS!$E$2:$E$25,0),FALSE)/HLOOKUP(2018,DEMANDS!$G$2:$CK$25,MATCH($E162,DEMANDS!$E$2:$E$25,0),FALSE)</f>
        <v>0.28490759317841136</v>
      </c>
      <c r="T162" s="19">
        <f>HLOOKUP(REG_TRA_DEMANDS!T$3,'BY-Demands'!$J$5:$AK$14,MATCH($E162,'BY-Demands'!$I$5:$I$14,0),FALSE)*HLOOKUP(REG_TRA_DEMANDS!$F162,DEMANDS!$G$2:$CK$25,MATCH($E162,DEMANDS!$E$2:$E$25,0),FALSE)/HLOOKUP(2018,DEMANDS!$G$2:$CK$25,MATCH($E162,DEMANDS!$E$2:$E$25,0),FALSE)</f>
        <v>1.3017263126789758</v>
      </c>
      <c r="U162" s="19">
        <f>HLOOKUP(REG_TRA_DEMANDS!U$3,'BY-Demands'!$J$5:$AK$14,MATCH($E162,'BY-Demands'!$I$5:$I$14,0),FALSE)*HLOOKUP(REG_TRA_DEMANDS!$F162,DEMANDS!$G$2:$CK$25,MATCH($E162,DEMANDS!$E$2:$E$25,0),FALSE)/HLOOKUP(2018,DEMANDS!$G$2:$CK$25,MATCH($E162,DEMANDS!$E$2:$E$25,0),FALSE)</f>
        <v>0.35418202669318077</v>
      </c>
      <c r="V162" s="19">
        <f>HLOOKUP(REG_TRA_DEMANDS!V$3,'BY-Demands'!$J$5:$AK$14,MATCH($E162,'BY-Demands'!$I$5:$I$14,0),FALSE)*HLOOKUP(REG_TRA_DEMANDS!$F162,DEMANDS!$G$2:$CK$25,MATCH($E162,DEMANDS!$E$2:$E$25,0),FALSE)/HLOOKUP(2018,DEMANDS!$G$2:$CK$25,MATCH($E162,DEMANDS!$E$2:$E$25,0),FALSE)</f>
        <v>0.46734225744530944</v>
      </c>
      <c r="W162" s="19">
        <f>HLOOKUP(REG_TRA_DEMANDS!W$3,'BY-Demands'!$J$5:$AK$14,MATCH($E162,'BY-Demands'!$I$5:$I$14,0),FALSE)*HLOOKUP(REG_TRA_DEMANDS!$F162,DEMANDS!$G$2:$CK$25,MATCH($E162,DEMANDS!$E$2:$E$25,0),FALSE)/HLOOKUP(2018,DEMANDS!$G$2:$CK$25,MATCH($E162,DEMANDS!$E$2:$E$25,0),FALSE)</f>
        <v>0.38258718209006204</v>
      </c>
      <c r="X162" s="19">
        <f>HLOOKUP(REG_TRA_DEMANDS!X$3,'BY-Demands'!$J$5:$AK$14,MATCH($E162,'BY-Demands'!$I$5:$I$14,0),FALSE)*HLOOKUP(REG_TRA_DEMANDS!$F162,DEMANDS!$G$2:$CK$25,MATCH($E162,DEMANDS!$E$2:$E$25,0),FALSE)/HLOOKUP(2018,DEMANDS!$G$2:$CK$25,MATCH($E162,DEMANDS!$E$2:$E$25,0),FALSE)</f>
        <v>0.27857482132266531</v>
      </c>
      <c r="Y162" s="19">
        <f>HLOOKUP(REG_TRA_DEMANDS!Y$3,'BY-Demands'!$J$5:$AK$14,MATCH($E162,'BY-Demands'!$I$5:$I$14,0),FALSE)*HLOOKUP(REG_TRA_DEMANDS!$F162,DEMANDS!$G$2:$CK$25,MATCH($E162,DEMANDS!$E$2:$E$25,0),FALSE)/HLOOKUP(2018,DEMANDS!$G$2:$CK$25,MATCH($E162,DEMANDS!$E$2:$E$25,0),FALSE)</f>
        <v>0.61878926147297497</v>
      </c>
      <c r="Z162" s="19">
        <f>HLOOKUP(REG_TRA_DEMANDS!Z$3,'BY-Demands'!$J$5:$AK$14,MATCH($E162,'BY-Demands'!$I$5:$I$14,0),FALSE)*HLOOKUP(REG_TRA_DEMANDS!$F162,DEMANDS!$G$2:$CK$25,MATCH($E162,DEMANDS!$E$2:$E$25,0),FALSE)/HLOOKUP(2018,DEMANDS!$G$2:$CK$25,MATCH($E162,DEMANDS!$E$2:$E$25,0),FALSE)</f>
        <v>0.076837312133861607</v>
      </c>
      <c r="AA162" s="19">
        <f>HLOOKUP(REG_TRA_DEMANDS!AA$3,'BY-Demands'!$J$5:$AK$14,MATCH($E162,'BY-Demands'!$I$5:$I$14,0),FALSE)*HLOOKUP(REG_TRA_DEMANDS!$F162,DEMANDS!$G$2:$CK$25,MATCH($E162,DEMANDS!$E$2:$E$25,0),FALSE)/HLOOKUP(2018,DEMANDS!$G$2:$CK$25,MATCH($E162,DEMANDS!$E$2:$E$25,0),FALSE)</f>
        <v>0.31293868102152833</v>
      </c>
      <c r="AB162" s="19">
        <f>HLOOKUP(REG_TRA_DEMANDS!AB$3,'BY-Demands'!$J$5:$AK$14,MATCH($E162,'BY-Demands'!$I$5:$I$14,0),FALSE)*HLOOKUP(REG_TRA_DEMANDS!$F162,DEMANDS!$G$2:$CK$25,MATCH($E162,DEMANDS!$E$2:$E$25,0),FALSE)/HLOOKUP(2018,DEMANDS!$G$2:$CK$25,MATCH($E162,DEMANDS!$E$2:$E$25,0),FALSE)</f>
        <v>0.15476805250180856</v>
      </c>
      <c r="AC162" s="19">
        <f>HLOOKUP(REG_TRA_DEMANDS!AC$3,'BY-Demands'!$J$5:$AK$14,MATCH($E162,'BY-Demands'!$I$5:$I$14,0),FALSE)*HLOOKUP(REG_TRA_DEMANDS!$F162,DEMANDS!$G$2:$CK$25,MATCH($E162,DEMANDS!$E$2:$E$25,0),FALSE)/HLOOKUP(2018,DEMANDS!$G$2:$CK$25,MATCH($E162,DEMANDS!$E$2:$E$25,0),FALSE)</f>
        <v>0.15714434061579741</v>
      </c>
      <c r="AD162" s="19">
        <f>HLOOKUP(REG_TRA_DEMANDS!AD$3,'BY-Demands'!$J$5:$AK$14,MATCH($E162,'BY-Demands'!$I$5:$I$14,0),FALSE)*HLOOKUP(REG_TRA_DEMANDS!$F162,DEMANDS!$G$2:$CK$25,MATCH($E162,DEMANDS!$E$2:$E$25,0),FALSE)/HLOOKUP(2018,DEMANDS!$G$2:$CK$25,MATCH($E162,DEMANDS!$E$2:$E$25,0),FALSE)</f>
        <v>0.18266006394673046</v>
      </c>
      <c r="AE162" s="19">
        <f>HLOOKUP(REG_TRA_DEMANDS!AE$3,'BY-Demands'!$J$5:$AK$14,MATCH($E162,'BY-Demands'!$I$5:$I$14,0),FALSE)*HLOOKUP(REG_TRA_DEMANDS!$F162,DEMANDS!$G$2:$CK$25,MATCH($E162,DEMANDS!$E$2:$E$25,0),FALSE)/HLOOKUP(2018,DEMANDS!$G$2:$CK$25,MATCH($E162,DEMANDS!$E$2:$E$25,0),FALSE)</f>
        <v>0.38172155140474556</v>
      </c>
      <c r="AF162" s="19">
        <f>HLOOKUP(REG_TRA_DEMANDS!AF$3,'BY-Demands'!$J$5:$AK$14,MATCH($E162,'BY-Demands'!$I$5:$I$14,0),FALSE)*HLOOKUP(REG_TRA_DEMANDS!$F162,DEMANDS!$G$2:$CK$25,MATCH($E162,DEMANDS!$E$2:$E$25,0),FALSE)/HLOOKUP(2018,DEMANDS!$G$2:$CK$25,MATCH($E162,DEMANDS!$E$2:$E$25,0),FALSE)</f>
        <v>0.14719558240697844</v>
      </c>
    </row>
    <row r="163" spans="4:32" ht="14.5">
      <c r="D163" t="s">
        <v>6</v>
      </c>
      <c r="E163" t="str">
        <f>DEMANDS!$E$22</f>
        <v>TNAV</v>
      </c>
      <c r="F163">
        <v>2060</v>
      </c>
      <c r="G163" s="19">
        <f>HLOOKUP(REG_TRA_DEMANDS!G$3,'BY-Demands'!$J$5:$AK$14,MATCH($E163,'BY-Demands'!$I$5:$I$14,0),FALSE)*HLOOKUP(REG_TRA_DEMANDS!$F163,DEMANDS!$G$2:$CK$25,MATCH($E163,DEMANDS!$E$2:$E$25,0),FALSE)/HLOOKUP(2018,DEMANDS!$G$2:$CK$25,MATCH($E163,DEMANDS!$E$2:$E$25,0),FALSE)</f>
        <v>0.15648937130390672</v>
      </c>
      <c r="H163" s="19">
        <f>HLOOKUP(REG_TRA_DEMANDS!H$3,'BY-Demands'!$J$5:$AK$14,MATCH($E163,'BY-Demands'!$I$5:$I$14,0),FALSE)*HLOOKUP(REG_TRA_DEMANDS!$F163,DEMANDS!$G$2:$CK$25,MATCH($E163,DEMANDS!$E$2:$E$25,0),FALSE)/HLOOKUP(2018,DEMANDS!$G$2:$CK$25,MATCH($E163,DEMANDS!$E$2:$E$25,0),FALSE)</f>
        <v>3.7034947451461573</v>
      </c>
      <c r="I163" s="19">
        <f>HLOOKUP(REG_TRA_DEMANDS!I$3,'BY-Demands'!$J$5:$AK$14,MATCH($E163,'BY-Demands'!$I$5:$I$14,0),FALSE)*HLOOKUP(REG_TRA_DEMANDS!$F163,DEMANDS!$G$2:$CK$25,MATCH($E163,DEMANDS!$E$2:$E$25,0),FALSE)/HLOOKUP(2018,DEMANDS!$G$2:$CK$25,MATCH($E163,DEMANDS!$E$2:$E$25,0),FALSE)</f>
        <v>0.61159824128090468</v>
      </c>
      <c r="J163" s="19">
        <f>HLOOKUP(REG_TRA_DEMANDS!J$3,'BY-Demands'!$J$5:$AK$14,MATCH($E163,'BY-Demands'!$I$5:$I$14,0),FALSE)*HLOOKUP(REG_TRA_DEMANDS!$F163,DEMANDS!$G$2:$CK$25,MATCH($E163,DEMANDS!$E$2:$E$25,0),FALSE)/HLOOKUP(2018,DEMANDS!$G$2:$CK$25,MATCH($E163,DEMANDS!$E$2:$E$25,0),FALSE)</f>
        <v>0.27275966579830807</v>
      </c>
      <c r="K163" s="19">
        <f>HLOOKUP(REG_TRA_DEMANDS!K$3,'BY-Demands'!$J$5:$AK$14,MATCH($E163,'BY-Demands'!$I$5:$I$14,0),FALSE)*HLOOKUP(REG_TRA_DEMANDS!$F163,DEMANDS!$G$2:$CK$25,MATCH($E163,DEMANDS!$E$2:$E$25,0),FALSE)/HLOOKUP(2018,DEMANDS!$G$2:$CK$25,MATCH($E163,DEMANDS!$E$2:$E$25,0),FALSE)</f>
        <v>0.23280721354118941</v>
      </c>
      <c r="L163" s="19">
        <f>HLOOKUP(REG_TRA_DEMANDS!L$3,'BY-Demands'!$J$5:$AK$14,MATCH($E163,'BY-Demands'!$I$5:$I$14,0),FALSE)*HLOOKUP(REG_TRA_DEMANDS!$F163,DEMANDS!$G$2:$CK$25,MATCH($E163,DEMANDS!$E$2:$E$25,0),FALSE)/HLOOKUP(2018,DEMANDS!$G$2:$CK$25,MATCH($E163,DEMANDS!$E$2:$E$25,0),FALSE)</f>
        <v>0.11234788999691867</v>
      </c>
      <c r="M163" s="19">
        <f>HLOOKUP(REG_TRA_DEMANDS!M$3,'BY-Demands'!$J$5:$AK$14,MATCH($E163,'BY-Demands'!$I$5:$I$14,0),FALSE)*HLOOKUP(REG_TRA_DEMANDS!$F163,DEMANDS!$G$2:$CK$25,MATCH($E163,DEMANDS!$E$2:$E$25,0),FALSE)/HLOOKUP(2018,DEMANDS!$G$2:$CK$25,MATCH($E163,DEMANDS!$E$2:$E$25,0),FALSE)</f>
        <v>0.35426431762686589</v>
      </c>
      <c r="N163" s="19">
        <f>HLOOKUP(REG_TRA_DEMANDS!N$3,'BY-Demands'!$J$5:$AK$14,MATCH($E163,'BY-Demands'!$I$5:$I$14,0),FALSE)*HLOOKUP(REG_TRA_DEMANDS!$F163,DEMANDS!$G$2:$CK$25,MATCH($E163,DEMANDS!$E$2:$E$25,0),FALSE)/HLOOKUP(2018,DEMANDS!$G$2:$CK$25,MATCH($E163,DEMANDS!$E$2:$E$25,0),FALSE)</f>
        <v>0.53611875459494229</v>
      </c>
      <c r="O163" s="19">
        <f>HLOOKUP(REG_TRA_DEMANDS!O$3,'BY-Demands'!$J$5:$AK$14,MATCH($E163,'BY-Demands'!$I$5:$I$14,0),FALSE)*HLOOKUP(REG_TRA_DEMANDS!$F163,DEMANDS!$G$2:$CK$25,MATCH($E163,DEMANDS!$E$2:$E$25,0),FALSE)/HLOOKUP(2018,DEMANDS!$G$2:$CK$25,MATCH($E163,DEMANDS!$E$2:$E$25,0),FALSE)</f>
        <v>0.21429192503730549</v>
      </c>
      <c r="P163" s="19">
        <f>HLOOKUP(REG_TRA_DEMANDS!P$3,'BY-Demands'!$J$5:$AK$14,MATCH($E163,'BY-Demands'!$I$5:$I$14,0),FALSE)*HLOOKUP(REG_TRA_DEMANDS!$F163,DEMANDS!$G$2:$CK$25,MATCH($E163,DEMANDS!$E$2:$E$25,0),FALSE)/HLOOKUP(2018,DEMANDS!$G$2:$CK$25,MATCH($E163,DEMANDS!$E$2:$E$25,0),FALSE)</f>
        <v>0.24400269603470487</v>
      </c>
      <c r="Q163" s="19">
        <f>HLOOKUP(REG_TRA_DEMANDS!Q$3,'BY-Demands'!$J$5:$AK$14,MATCH($E163,'BY-Demands'!$I$5:$I$14,0),FALSE)*HLOOKUP(REG_TRA_DEMANDS!$F163,DEMANDS!$G$2:$CK$25,MATCH($E163,DEMANDS!$E$2:$E$25,0),FALSE)/HLOOKUP(2018,DEMANDS!$G$2:$CK$25,MATCH($E163,DEMANDS!$E$2:$E$25,0),FALSE)</f>
        <v>0.41154186837566925</v>
      </c>
      <c r="R163" s="19">
        <f>HLOOKUP(REG_TRA_DEMANDS!R$3,'BY-Demands'!$J$5:$AK$14,MATCH($E163,'BY-Demands'!$I$5:$I$14,0),FALSE)*HLOOKUP(REG_TRA_DEMANDS!$F163,DEMANDS!$G$2:$CK$25,MATCH($E163,DEMANDS!$E$2:$E$25,0),FALSE)/HLOOKUP(2018,DEMANDS!$G$2:$CK$25,MATCH($E163,DEMANDS!$E$2:$E$25,0),FALSE)</f>
        <v>0.39148455539870214</v>
      </c>
      <c r="S163" s="19">
        <f>HLOOKUP(REG_TRA_DEMANDS!S$3,'BY-Demands'!$J$5:$AK$14,MATCH($E163,'BY-Demands'!$I$5:$I$14,0),FALSE)*HLOOKUP(REG_TRA_DEMANDS!$F163,DEMANDS!$G$2:$CK$25,MATCH($E163,DEMANDS!$E$2:$E$25,0),FALSE)/HLOOKUP(2018,DEMANDS!$G$2:$CK$25,MATCH($E163,DEMANDS!$E$2:$E$25,0),FALSE)</f>
        <v>0.32659308701988854</v>
      </c>
      <c r="T163" s="19">
        <f>HLOOKUP(REG_TRA_DEMANDS!T$3,'BY-Demands'!$J$5:$AK$14,MATCH($E163,'BY-Demands'!$I$5:$I$14,0),FALSE)*HLOOKUP(REG_TRA_DEMANDS!$F163,DEMANDS!$G$2:$CK$25,MATCH($E163,DEMANDS!$E$2:$E$25,0),FALSE)/HLOOKUP(2018,DEMANDS!$G$2:$CK$25,MATCH($E163,DEMANDS!$E$2:$E$25,0),FALSE)</f>
        <v>1.4921849227325457</v>
      </c>
      <c r="U163" s="19">
        <f>HLOOKUP(REG_TRA_DEMANDS!U$3,'BY-Demands'!$J$5:$AK$14,MATCH($E163,'BY-Demands'!$I$5:$I$14,0),FALSE)*HLOOKUP(REG_TRA_DEMANDS!$F163,DEMANDS!$G$2:$CK$25,MATCH($E163,DEMANDS!$E$2:$E$25,0),FALSE)/HLOOKUP(2018,DEMANDS!$G$2:$CK$25,MATCH($E163,DEMANDS!$E$2:$E$25,0),FALSE)</f>
        <v>0.40600322432351199</v>
      </c>
      <c r="V163" s="19">
        <f>HLOOKUP(REG_TRA_DEMANDS!V$3,'BY-Demands'!$J$5:$AK$14,MATCH($E163,'BY-Demands'!$I$5:$I$14,0),FALSE)*HLOOKUP(REG_TRA_DEMANDS!$F163,DEMANDS!$G$2:$CK$25,MATCH($E163,DEMANDS!$E$2:$E$25,0),FALSE)/HLOOKUP(2018,DEMANDS!$G$2:$CK$25,MATCH($E163,DEMANDS!$E$2:$E$25,0),FALSE)</f>
        <v>0.53572019211972532</v>
      </c>
      <c r="W163" s="19">
        <f>HLOOKUP(REG_TRA_DEMANDS!W$3,'BY-Demands'!$J$5:$AK$14,MATCH($E163,'BY-Demands'!$I$5:$I$14,0),FALSE)*HLOOKUP(REG_TRA_DEMANDS!$F163,DEMANDS!$G$2:$CK$25,MATCH($E163,DEMANDS!$E$2:$E$25,0),FALSE)/HLOOKUP(2018,DEMANDS!$G$2:$CK$25,MATCH($E163,DEMANDS!$E$2:$E$25,0),FALSE)</f>
        <v>0.43856440419539355</v>
      </c>
      <c r="X163" s="19">
        <f>HLOOKUP(REG_TRA_DEMANDS!X$3,'BY-Demands'!$J$5:$AK$14,MATCH($E163,'BY-Demands'!$I$5:$I$14,0),FALSE)*HLOOKUP(REG_TRA_DEMANDS!$F163,DEMANDS!$G$2:$CK$25,MATCH($E163,DEMANDS!$E$2:$E$25,0),FALSE)/HLOOKUP(2018,DEMANDS!$G$2:$CK$25,MATCH($E163,DEMANDS!$E$2:$E$25,0),FALSE)</f>
        <v>0.31933375255748392</v>
      </c>
      <c r="Y163" s="19">
        <f>HLOOKUP(REG_TRA_DEMANDS!Y$3,'BY-Demands'!$J$5:$AK$14,MATCH($E163,'BY-Demands'!$I$5:$I$14,0),FALSE)*HLOOKUP(REG_TRA_DEMANDS!$F163,DEMANDS!$G$2:$CK$25,MATCH($E163,DEMANDS!$E$2:$E$25,0),FALSE)/HLOOKUP(2018,DEMANDS!$G$2:$CK$25,MATCH($E163,DEMANDS!$E$2:$E$25,0),FALSE)</f>
        <v>0.70932576020416582</v>
      </c>
      <c r="Z163" s="19">
        <f>HLOOKUP(REG_TRA_DEMANDS!Z$3,'BY-Demands'!$J$5:$AK$14,MATCH($E163,'BY-Demands'!$I$5:$I$14,0),FALSE)*HLOOKUP(REG_TRA_DEMANDS!$F163,DEMANDS!$G$2:$CK$25,MATCH($E163,DEMANDS!$E$2:$E$25,0),FALSE)/HLOOKUP(2018,DEMANDS!$G$2:$CK$25,MATCH($E163,DEMANDS!$E$2:$E$25,0),FALSE)</f>
        <v>0.088079558316279061</v>
      </c>
      <c r="AA163" s="19">
        <f>HLOOKUP(REG_TRA_DEMANDS!AA$3,'BY-Demands'!$J$5:$AK$14,MATCH($E163,'BY-Demands'!$I$5:$I$14,0),FALSE)*HLOOKUP(REG_TRA_DEMANDS!$F163,DEMANDS!$G$2:$CK$25,MATCH($E163,DEMANDS!$E$2:$E$25,0),FALSE)/HLOOKUP(2018,DEMANDS!$G$2:$CK$25,MATCH($E163,DEMANDS!$E$2:$E$25,0),FALSE)</f>
        <v>0.35872546864257293</v>
      </c>
      <c r="AB163" s="19">
        <f>HLOOKUP(REG_TRA_DEMANDS!AB$3,'BY-Demands'!$J$5:$AK$14,MATCH($E163,'BY-Demands'!$I$5:$I$14,0),FALSE)*HLOOKUP(REG_TRA_DEMANDS!$F163,DEMANDS!$G$2:$CK$25,MATCH($E163,DEMANDS!$E$2:$E$25,0),FALSE)/HLOOKUP(2018,DEMANDS!$G$2:$CK$25,MATCH($E163,DEMANDS!$E$2:$E$25,0),FALSE)</f>
        <v>0.17741252689944778</v>
      </c>
      <c r="AC163" s="19">
        <f>HLOOKUP(REG_TRA_DEMANDS!AC$3,'BY-Demands'!$J$5:$AK$14,MATCH($E163,'BY-Demands'!$I$5:$I$14,0),FALSE)*HLOOKUP(REG_TRA_DEMANDS!$F163,DEMANDS!$G$2:$CK$25,MATCH($E163,DEMANDS!$E$2:$E$25,0),FALSE)/HLOOKUP(2018,DEMANDS!$G$2:$CK$25,MATCH($E163,DEMANDS!$E$2:$E$25,0),FALSE)</f>
        <v>0.18013649526455311</v>
      </c>
      <c r="AD163" s="19">
        <f>HLOOKUP(REG_TRA_DEMANDS!AD$3,'BY-Demands'!$J$5:$AK$14,MATCH($E163,'BY-Demands'!$I$5:$I$14,0),FALSE)*HLOOKUP(REG_TRA_DEMANDS!$F163,DEMANDS!$G$2:$CK$25,MATCH($E163,DEMANDS!$E$2:$E$25,0),FALSE)/HLOOKUP(2018,DEMANDS!$G$2:$CK$25,MATCH($E163,DEMANDS!$E$2:$E$25,0),FALSE)</f>
        <v>0.20938548353204536</v>
      </c>
      <c r="AE163" s="19">
        <f>HLOOKUP(REG_TRA_DEMANDS!AE$3,'BY-Demands'!$J$5:$AK$14,MATCH($E163,'BY-Demands'!$I$5:$I$14,0),FALSE)*HLOOKUP(REG_TRA_DEMANDS!$F163,DEMANDS!$G$2:$CK$25,MATCH($E163,DEMANDS!$E$2:$E$25,0),FALSE)/HLOOKUP(2018,DEMANDS!$G$2:$CK$25,MATCH($E163,DEMANDS!$E$2:$E$25,0),FALSE)</f>
        <v>0.43757212106744053</v>
      </c>
      <c r="AF163" s="19">
        <f>HLOOKUP(REG_TRA_DEMANDS!AF$3,'BY-Demands'!$J$5:$AK$14,MATCH($E163,'BY-Demands'!$I$5:$I$14,0),FALSE)*HLOOKUP(REG_TRA_DEMANDS!$F163,DEMANDS!$G$2:$CK$25,MATCH($E163,DEMANDS!$E$2:$E$25,0),FALSE)/HLOOKUP(2018,DEMANDS!$G$2:$CK$25,MATCH($E163,DEMANDS!$E$2:$E$25,0),FALSE)</f>
        <v>0.16873211105988936</v>
      </c>
    </row>
    <row r="164" spans="4:32" ht="14.5">
      <c r="D164" t="s">
        <v>6</v>
      </c>
      <c r="E164" t="str">
        <f>DEMANDS!$E$22</f>
        <v>TNAV</v>
      </c>
      <c r="F164">
        <v>2065</v>
      </c>
      <c r="G164" s="19">
        <f>HLOOKUP(REG_TRA_DEMANDS!G$3,'BY-Demands'!$J$5:$AK$14,MATCH($E164,'BY-Demands'!$I$5:$I$14,0),FALSE)*HLOOKUP(REG_TRA_DEMANDS!$F164,DEMANDS!$G$2:$CK$25,MATCH($E164,DEMANDS!$E$2:$E$25,0),FALSE)/HLOOKUP(2018,DEMANDS!$G$2:$CK$25,MATCH($E164,DEMANDS!$E$2:$E$25,0),FALSE)</f>
        <v>0.15879131806522273</v>
      </c>
      <c r="H164" s="19">
        <f>HLOOKUP(REG_TRA_DEMANDS!H$3,'BY-Demands'!$J$5:$AK$14,MATCH($E164,'BY-Demands'!$I$5:$I$14,0),FALSE)*HLOOKUP(REG_TRA_DEMANDS!$F164,DEMANDS!$G$2:$CK$25,MATCH($E164,DEMANDS!$E$2:$E$25,0),FALSE)/HLOOKUP(2018,DEMANDS!$G$2:$CK$25,MATCH($E164,DEMANDS!$E$2:$E$25,0),FALSE)</f>
        <v>3.7579728714438461</v>
      </c>
      <c r="I164" s="19">
        <f>HLOOKUP(REG_TRA_DEMANDS!I$3,'BY-Demands'!$J$5:$AK$14,MATCH($E164,'BY-Demands'!$I$5:$I$14,0),FALSE)*HLOOKUP(REG_TRA_DEMANDS!$F164,DEMANDS!$G$2:$CK$25,MATCH($E164,DEMANDS!$E$2:$E$25,0),FALSE)/HLOOKUP(2018,DEMANDS!$G$2:$CK$25,MATCH($E164,DEMANDS!$E$2:$E$25,0),FALSE)</f>
        <v>0.62059480493895047</v>
      </c>
      <c r="J164" s="19">
        <f>HLOOKUP(REG_TRA_DEMANDS!J$3,'BY-Demands'!$J$5:$AK$14,MATCH($E164,'BY-Demands'!$I$5:$I$14,0),FALSE)*HLOOKUP(REG_TRA_DEMANDS!$F164,DEMANDS!$G$2:$CK$25,MATCH($E164,DEMANDS!$E$2:$E$25,0),FALSE)/HLOOKUP(2018,DEMANDS!$G$2:$CK$25,MATCH($E164,DEMANDS!$E$2:$E$25,0),FALSE)</f>
        <v>0.27677193975704673</v>
      </c>
      <c r="K164" s="19">
        <f>HLOOKUP(REG_TRA_DEMANDS!K$3,'BY-Demands'!$J$5:$AK$14,MATCH($E164,'BY-Demands'!$I$5:$I$14,0),FALSE)*HLOOKUP(REG_TRA_DEMANDS!$F164,DEMANDS!$G$2:$CK$25,MATCH($E164,DEMANDS!$E$2:$E$25,0),FALSE)/HLOOKUP(2018,DEMANDS!$G$2:$CK$25,MATCH($E164,DEMANDS!$E$2:$E$25,0),FALSE)</f>
        <v>0.23623178996294136</v>
      </c>
      <c r="L164" s="19">
        <f>HLOOKUP(REG_TRA_DEMANDS!L$3,'BY-Demands'!$J$5:$AK$14,MATCH($E164,'BY-Demands'!$I$5:$I$14,0),FALSE)*HLOOKUP(REG_TRA_DEMANDS!$F164,DEMANDS!$G$2:$CK$25,MATCH($E164,DEMANDS!$E$2:$E$25,0),FALSE)/HLOOKUP(2018,DEMANDS!$G$2:$CK$25,MATCH($E164,DEMANDS!$E$2:$E$25,0),FALSE)</f>
        <v>0.11400051892222025</v>
      </c>
      <c r="M164" s="19">
        <f>HLOOKUP(REG_TRA_DEMANDS!M$3,'BY-Demands'!$J$5:$AK$14,MATCH($E164,'BY-Demands'!$I$5:$I$14,0),FALSE)*HLOOKUP(REG_TRA_DEMANDS!$F164,DEMANDS!$G$2:$CK$25,MATCH($E164,DEMANDS!$E$2:$E$25,0),FALSE)/HLOOKUP(2018,DEMANDS!$G$2:$CK$25,MATCH($E164,DEMANDS!$E$2:$E$25,0),FALSE)</f>
        <v>0.35947551882101775</v>
      </c>
      <c r="N164" s="19">
        <f>HLOOKUP(REG_TRA_DEMANDS!N$3,'BY-Demands'!$J$5:$AK$14,MATCH($E164,'BY-Demands'!$I$5:$I$14,0),FALSE)*HLOOKUP(REG_TRA_DEMANDS!$F164,DEMANDS!$G$2:$CK$25,MATCH($E164,DEMANDS!$E$2:$E$25,0),FALSE)/HLOOKUP(2018,DEMANDS!$G$2:$CK$25,MATCH($E164,DEMANDS!$E$2:$E$25,0),FALSE)</f>
        <v>0.54400502073901114</v>
      </c>
      <c r="O164" s="19">
        <f>HLOOKUP(REG_TRA_DEMANDS!O$3,'BY-Demands'!$J$5:$AK$14,MATCH($E164,'BY-Demands'!$I$5:$I$14,0),FALSE)*HLOOKUP(REG_TRA_DEMANDS!$F164,DEMANDS!$G$2:$CK$25,MATCH($E164,DEMANDS!$E$2:$E$25,0),FALSE)/HLOOKUP(2018,DEMANDS!$G$2:$CK$25,MATCH($E164,DEMANDS!$E$2:$E$25,0),FALSE)</f>
        <v>0.21744414297201631</v>
      </c>
      <c r="P164" s="19">
        <f>HLOOKUP(REG_TRA_DEMANDS!P$3,'BY-Demands'!$J$5:$AK$14,MATCH($E164,'BY-Demands'!$I$5:$I$14,0),FALSE)*HLOOKUP(REG_TRA_DEMANDS!$F164,DEMANDS!$G$2:$CK$25,MATCH($E164,DEMANDS!$E$2:$E$25,0),FALSE)/HLOOKUP(2018,DEMANDS!$G$2:$CK$25,MATCH($E164,DEMANDS!$E$2:$E$25,0),FALSE)</f>
        <v>0.24759195715326776</v>
      </c>
      <c r="Q164" s="19">
        <f>HLOOKUP(REG_TRA_DEMANDS!Q$3,'BY-Demands'!$J$5:$AK$14,MATCH($E164,'BY-Demands'!$I$5:$I$14,0),FALSE)*HLOOKUP(REG_TRA_DEMANDS!$F164,DEMANDS!$G$2:$CK$25,MATCH($E164,DEMANDS!$E$2:$E$25,0),FALSE)/HLOOKUP(2018,DEMANDS!$G$2:$CK$25,MATCH($E164,DEMANDS!$E$2:$E$25,0),FALSE)</f>
        <v>0.41759561798920392</v>
      </c>
      <c r="R164" s="19">
        <f>HLOOKUP(REG_TRA_DEMANDS!R$3,'BY-Demands'!$J$5:$AK$14,MATCH($E164,'BY-Demands'!$I$5:$I$14,0),FALSE)*HLOOKUP(REG_TRA_DEMANDS!$F164,DEMANDS!$G$2:$CK$25,MATCH($E164,DEMANDS!$E$2:$E$25,0),FALSE)/HLOOKUP(2018,DEMANDS!$G$2:$CK$25,MATCH($E164,DEMANDS!$E$2:$E$25,0),FALSE)</f>
        <v>0.39724326346236466</v>
      </c>
      <c r="S164" s="19">
        <f>HLOOKUP(REG_TRA_DEMANDS!S$3,'BY-Demands'!$J$5:$AK$14,MATCH($E164,'BY-Demands'!$I$5:$I$14,0),FALSE)*HLOOKUP(REG_TRA_DEMANDS!$F164,DEMANDS!$G$2:$CK$25,MATCH($E164,DEMANDS!$E$2:$E$25,0),FALSE)/HLOOKUP(2018,DEMANDS!$G$2:$CK$25,MATCH($E164,DEMANDS!$E$2:$E$25,0),FALSE)</f>
        <v>0.33139724651436059</v>
      </c>
      <c r="T164" s="19">
        <f>HLOOKUP(REG_TRA_DEMANDS!T$3,'BY-Demands'!$J$5:$AK$14,MATCH($E164,'BY-Demands'!$I$5:$I$14,0),FALSE)*HLOOKUP(REG_TRA_DEMANDS!$F164,DEMANDS!$G$2:$CK$25,MATCH($E164,DEMANDS!$E$2:$E$25,0),FALSE)/HLOOKUP(2018,DEMANDS!$G$2:$CK$25,MATCH($E164,DEMANDS!$E$2:$E$25,0),FALSE)</f>
        <v>1.514134849564944</v>
      </c>
      <c r="U164" s="19">
        <f>HLOOKUP(REG_TRA_DEMANDS!U$3,'BY-Demands'!$J$5:$AK$14,MATCH($E164,'BY-Demands'!$I$5:$I$14,0),FALSE)*HLOOKUP(REG_TRA_DEMANDS!$F164,DEMANDS!$G$2:$CK$25,MATCH($E164,DEMANDS!$E$2:$E$25,0),FALSE)/HLOOKUP(2018,DEMANDS!$G$2:$CK$25,MATCH($E164,DEMANDS!$E$2:$E$25,0),FALSE)</f>
        <v>0.41197550090388341</v>
      </c>
      <c r="V164" s="19">
        <f>HLOOKUP(REG_TRA_DEMANDS!V$3,'BY-Demands'!$J$5:$AK$14,MATCH($E164,'BY-Demands'!$I$5:$I$14,0),FALSE)*HLOOKUP(REG_TRA_DEMANDS!$F164,DEMANDS!$G$2:$CK$25,MATCH($E164,DEMANDS!$E$2:$E$25,0),FALSE)/HLOOKUP(2018,DEMANDS!$G$2:$CK$25,MATCH($E164,DEMANDS!$E$2:$E$25,0),FALSE)</f>
        <v>0.54360059544006767</v>
      </c>
      <c r="W164" s="19">
        <f>HLOOKUP(REG_TRA_DEMANDS!W$3,'BY-Demands'!$J$5:$AK$14,MATCH($E164,'BY-Demands'!$I$5:$I$14,0),FALSE)*HLOOKUP(REG_TRA_DEMANDS!$F164,DEMANDS!$G$2:$CK$25,MATCH($E164,DEMANDS!$E$2:$E$25,0),FALSE)/HLOOKUP(2018,DEMANDS!$G$2:$CK$25,MATCH($E164,DEMANDS!$E$2:$E$25,0),FALSE)</f>
        <v>0.44501565325757741</v>
      </c>
      <c r="X164" s="19">
        <f>HLOOKUP(REG_TRA_DEMANDS!X$3,'BY-Demands'!$J$5:$AK$14,MATCH($E164,'BY-Demands'!$I$5:$I$14,0),FALSE)*HLOOKUP(REG_TRA_DEMANDS!$F164,DEMANDS!$G$2:$CK$25,MATCH($E164,DEMANDS!$E$2:$E$25,0),FALSE)/HLOOKUP(2018,DEMANDS!$G$2:$CK$25,MATCH($E164,DEMANDS!$E$2:$E$25,0),FALSE)</f>
        <v>0.3240311277936016</v>
      </c>
      <c r="Y164" s="19">
        <f>HLOOKUP(REG_TRA_DEMANDS!Y$3,'BY-Demands'!$J$5:$AK$14,MATCH($E164,'BY-Demands'!$I$5:$I$14,0),FALSE)*HLOOKUP(REG_TRA_DEMANDS!$F164,DEMANDS!$G$2:$CK$25,MATCH($E164,DEMANDS!$E$2:$E$25,0),FALSE)/HLOOKUP(2018,DEMANDS!$G$2:$CK$25,MATCH($E164,DEMANDS!$E$2:$E$25,0),FALSE)</f>
        <v>0.71975988823992232</v>
      </c>
      <c r="Z164" s="19">
        <f>HLOOKUP(REG_TRA_DEMANDS!Z$3,'BY-Demands'!$J$5:$AK$14,MATCH($E164,'BY-Demands'!$I$5:$I$14,0),FALSE)*HLOOKUP(REG_TRA_DEMANDS!$F164,DEMANDS!$G$2:$CK$25,MATCH($E164,DEMANDS!$E$2:$E$25,0),FALSE)/HLOOKUP(2018,DEMANDS!$G$2:$CK$25,MATCH($E164,DEMANDS!$E$2:$E$25,0),FALSE)</f>
        <v>0.089375201926544134</v>
      </c>
      <c r="AA164" s="19">
        <f>HLOOKUP(REG_TRA_DEMANDS!AA$3,'BY-Demands'!$J$5:$AK$14,MATCH($E164,'BY-Demands'!$I$5:$I$14,0),FALSE)*HLOOKUP(REG_TRA_DEMANDS!$F164,DEMANDS!$G$2:$CK$25,MATCH($E164,DEMANDS!$E$2:$E$25,0),FALSE)/HLOOKUP(2018,DEMANDS!$G$2:$CK$25,MATCH($E164,DEMANDS!$E$2:$E$25,0),FALSE)</f>
        <v>0.36400229302919329</v>
      </c>
      <c r="AB164" s="19">
        <f>HLOOKUP(REG_TRA_DEMANDS!AB$3,'BY-Demands'!$J$5:$AK$14,MATCH($E164,'BY-Demands'!$I$5:$I$14,0),FALSE)*HLOOKUP(REG_TRA_DEMANDS!$F164,DEMANDS!$G$2:$CK$25,MATCH($E164,DEMANDS!$E$2:$E$25,0),FALSE)/HLOOKUP(2018,DEMANDS!$G$2:$CK$25,MATCH($E164,DEMANDS!$E$2:$E$25,0),FALSE)</f>
        <v>0.18002225168976571</v>
      </c>
      <c r="AC164" s="19">
        <f>HLOOKUP(REG_TRA_DEMANDS!AC$3,'BY-Demands'!$J$5:$AK$14,MATCH($E164,'BY-Demands'!$I$5:$I$14,0),FALSE)*HLOOKUP(REG_TRA_DEMANDS!$F164,DEMANDS!$G$2:$CK$25,MATCH($E164,DEMANDS!$E$2:$E$25,0),FALSE)/HLOOKUP(2018,DEMANDS!$G$2:$CK$25,MATCH($E164,DEMANDS!$E$2:$E$25,0),FALSE)</f>
        <v>0.18278628942254588</v>
      </c>
      <c r="AD164" s="19">
        <f>HLOOKUP(REG_TRA_DEMANDS!AD$3,'BY-Demands'!$J$5:$AK$14,MATCH($E164,'BY-Demands'!$I$5:$I$14,0),FALSE)*HLOOKUP(REG_TRA_DEMANDS!$F164,DEMANDS!$G$2:$CK$25,MATCH($E164,DEMANDS!$E$2:$E$25,0),FALSE)/HLOOKUP(2018,DEMANDS!$G$2:$CK$25,MATCH($E164,DEMANDS!$E$2:$E$25,0),FALSE)</f>
        <v>0.212465528085021</v>
      </c>
      <c r="AE164" s="19">
        <f>HLOOKUP(REG_TRA_DEMANDS!AE$3,'BY-Demands'!$J$5:$AK$14,MATCH($E164,'BY-Demands'!$I$5:$I$14,0),FALSE)*HLOOKUP(REG_TRA_DEMANDS!$F164,DEMANDS!$G$2:$CK$25,MATCH($E164,DEMANDS!$E$2:$E$25,0),FALSE)/HLOOKUP(2018,DEMANDS!$G$2:$CK$25,MATCH($E164,DEMANDS!$E$2:$E$25,0),FALSE)</f>
        <v>0.44400877372020908</v>
      </c>
      <c r="AF164" s="19">
        <f>HLOOKUP(REG_TRA_DEMANDS!AF$3,'BY-Demands'!$J$5:$AK$14,MATCH($E164,'BY-Demands'!$I$5:$I$14,0),FALSE)*HLOOKUP(REG_TRA_DEMANDS!$F164,DEMANDS!$G$2:$CK$25,MATCH($E164,DEMANDS!$E$2:$E$25,0),FALSE)/HLOOKUP(2018,DEMANDS!$G$2:$CK$25,MATCH($E164,DEMANDS!$E$2:$E$25,0),FALSE)</f>
        <v>0.17121414759277323</v>
      </c>
    </row>
    <row r="165" spans="4:32" ht="14.5">
      <c r="D165" t="s">
        <v>6</v>
      </c>
      <c r="E165" t="str">
        <f>DEMANDS!$E$22</f>
        <v>TNAV</v>
      </c>
      <c r="F165">
        <v>2070</v>
      </c>
      <c r="G165" s="18">
        <f>HLOOKUP(REG_TRA_DEMANDS!G$3,'BY-Demands'!$J$5:$AK$14,MATCH($E165,'BY-Demands'!$I$5:$I$14,0),FALSE)*HLOOKUP(REG_TRA_DEMANDS!$F165,DEMANDS!$G$2:$CK$25,MATCH($E165,DEMANDS!$E$2:$E$25,0),FALSE)/HLOOKUP(2018,DEMANDS!$G$2:$CK$25,MATCH($E165,DEMANDS!$E$2:$E$25,0),FALSE)</f>
        <v>0.1710449267488203</v>
      </c>
      <c r="H165" s="18">
        <f>HLOOKUP(REG_TRA_DEMANDS!H$3,'BY-Demands'!$J$5:$AK$14,MATCH($E165,'BY-Demands'!$I$5:$I$14,0),FALSE)*HLOOKUP(REG_TRA_DEMANDS!$F165,DEMANDS!$G$2:$CK$25,MATCH($E165,DEMANDS!$E$2:$E$25,0),FALSE)/HLOOKUP(2018,DEMANDS!$G$2:$CK$25,MATCH($E165,DEMANDS!$E$2:$E$25,0),FALSE)</f>
        <v>4.0479681279309414</v>
      </c>
      <c r="I165" s="18">
        <f>HLOOKUP(REG_TRA_DEMANDS!I$3,'BY-Demands'!$J$5:$AK$14,MATCH($E165,'BY-Demands'!$I$5:$I$14,0),FALSE)*HLOOKUP(REG_TRA_DEMANDS!$F165,DEMANDS!$G$2:$CK$25,MATCH($E165,DEMANDS!$E$2:$E$25,0),FALSE)/HLOOKUP(2018,DEMANDS!$G$2:$CK$25,MATCH($E165,DEMANDS!$E$2:$E$25,0),FALSE)</f>
        <v>0.66848486582799671</v>
      </c>
      <c r="J165" s="18">
        <f>HLOOKUP(REG_TRA_DEMANDS!J$3,'BY-Demands'!$J$5:$AK$14,MATCH($E165,'BY-Demands'!$I$5:$I$14,0),FALSE)*HLOOKUP(REG_TRA_DEMANDS!$F165,DEMANDS!$G$2:$CK$25,MATCH($E165,DEMANDS!$E$2:$E$25,0),FALSE)/HLOOKUP(2018,DEMANDS!$G$2:$CK$25,MATCH($E165,DEMANDS!$E$2:$E$25,0),FALSE)</f>
        <v>0.29812987724195417</v>
      </c>
      <c r="K165" s="18">
        <f>HLOOKUP(REG_TRA_DEMANDS!K$3,'BY-Demands'!$J$5:$AK$14,MATCH($E165,'BY-Demands'!$I$5:$I$14,0),FALSE)*HLOOKUP(REG_TRA_DEMANDS!$F165,DEMANDS!$G$2:$CK$25,MATCH($E165,DEMANDS!$E$2:$E$25,0),FALSE)/HLOOKUP(2018,DEMANDS!$G$2:$CK$25,MATCH($E165,DEMANDS!$E$2:$E$25,0),FALSE)</f>
        <v>0.25446132510441999</v>
      </c>
      <c r="L165" s="18">
        <f>HLOOKUP(REG_TRA_DEMANDS!L$3,'BY-Demands'!$J$5:$AK$14,MATCH($E165,'BY-Demands'!$I$5:$I$14,0),FALSE)*HLOOKUP(REG_TRA_DEMANDS!$F165,DEMANDS!$G$2:$CK$25,MATCH($E165,DEMANDS!$E$2:$E$25,0),FALSE)/HLOOKUP(2018,DEMANDS!$G$2:$CK$25,MATCH($E165,DEMANDS!$E$2:$E$25,0),FALSE)</f>
        <v>0.12279771114671054</v>
      </c>
      <c r="M165" s="18">
        <f>HLOOKUP(REG_TRA_DEMANDS!M$3,'BY-Demands'!$J$5:$AK$14,MATCH($E165,'BY-Demands'!$I$5:$I$14,0),FALSE)*HLOOKUP(REG_TRA_DEMANDS!$F165,DEMANDS!$G$2:$CK$25,MATCH($E165,DEMANDS!$E$2:$E$25,0),FALSE)/HLOOKUP(2018,DEMANDS!$G$2:$CK$25,MATCH($E165,DEMANDS!$E$2:$E$25,0),FALSE)</f>
        <v>0.38721552622593569</v>
      </c>
      <c r="N165" s="18">
        <f>HLOOKUP(REG_TRA_DEMANDS!N$3,'BY-Demands'!$J$5:$AK$14,MATCH($E165,'BY-Demands'!$I$5:$I$14,0),FALSE)*HLOOKUP(REG_TRA_DEMANDS!$F165,DEMANDS!$G$2:$CK$25,MATCH($E165,DEMANDS!$E$2:$E$25,0),FALSE)/HLOOKUP(2018,DEMANDS!$G$2:$CK$25,MATCH($E165,DEMANDS!$E$2:$E$25,0),FALSE)</f>
        <v>0.58598480103978401</v>
      </c>
      <c r="O165" s="18">
        <f>HLOOKUP(REG_TRA_DEMANDS!O$3,'BY-Demands'!$J$5:$AK$14,MATCH($E165,'BY-Demands'!$I$5:$I$14,0),FALSE)*HLOOKUP(REG_TRA_DEMANDS!$F165,DEMANDS!$G$2:$CK$25,MATCH($E165,DEMANDS!$E$2:$E$25,0),FALSE)/HLOOKUP(2018,DEMANDS!$G$2:$CK$25,MATCH($E165,DEMANDS!$E$2:$E$25,0),FALSE)</f>
        <v>0.23422387294078517</v>
      </c>
      <c r="P165" s="18">
        <f>HLOOKUP(REG_TRA_DEMANDS!P$3,'BY-Demands'!$J$5:$AK$14,MATCH($E165,'BY-Demands'!$I$5:$I$14,0),FALSE)*HLOOKUP(REG_TRA_DEMANDS!$F165,DEMANDS!$G$2:$CK$25,MATCH($E165,DEMANDS!$E$2:$E$25,0),FALSE)/HLOOKUP(2018,DEMANDS!$G$2:$CK$25,MATCH($E165,DEMANDS!$E$2:$E$25,0),FALSE)</f>
        <v>0.26669813369445644</v>
      </c>
      <c r="Q165" s="18">
        <f>HLOOKUP(REG_TRA_DEMANDS!Q$3,'BY-Demands'!$J$5:$AK$14,MATCH($E165,'BY-Demands'!$I$5:$I$14,0),FALSE)*HLOOKUP(REG_TRA_DEMANDS!$F165,DEMANDS!$G$2:$CK$25,MATCH($E165,DEMANDS!$E$2:$E$25,0),FALSE)/HLOOKUP(2018,DEMANDS!$G$2:$CK$25,MATCH($E165,DEMANDS!$E$2:$E$25,0),FALSE)</f>
        <v>0.44982063729865379</v>
      </c>
      <c r="R165" s="18">
        <f>HLOOKUP(REG_TRA_DEMANDS!R$3,'BY-Demands'!$J$5:$AK$14,MATCH($E165,'BY-Demands'!$I$5:$I$14,0),FALSE)*HLOOKUP(REG_TRA_DEMANDS!$F165,DEMANDS!$G$2:$CK$25,MATCH($E165,DEMANDS!$E$2:$E$25,0),FALSE)/HLOOKUP(2018,DEMANDS!$G$2:$CK$25,MATCH($E165,DEMANDS!$E$2:$E$25,0),FALSE)</f>
        <v>0.4278977322454986</v>
      </c>
      <c r="S165" s="18">
        <f>HLOOKUP(REG_TRA_DEMANDS!S$3,'BY-Demands'!$J$5:$AK$14,MATCH($E165,'BY-Demands'!$I$5:$I$14,0),FALSE)*HLOOKUP(REG_TRA_DEMANDS!$F165,DEMANDS!$G$2:$CK$25,MATCH($E165,DEMANDS!$E$2:$E$25,0),FALSE)/HLOOKUP(2018,DEMANDS!$G$2:$CK$25,MATCH($E165,DEMANDS!$E$2:$E$25,0),FALSE)</f>
        <v>0.35697050975751049</v>
      </c>
      <c r="T165" s="18">
        <f>HLOOKUP(REG_TRA_DEMANDS!T$3,'BY-Demands'!$J$5:$AK$14,MATCH($E165,'BY-Demands'!$I$5:$I$14,0),FALSE)*HLOOKUP(REG_TRA_DEMANDS!$F165,DEMANDS!$G$2:$CK$25,MATCH($E165,DEMANDS!$E$2:$E$25,0),FALSE)/HLOOKUP(2018,DEMANDS!$G$2:$CK$25,MATCH($E165,DEMANDS!$E$2:$E$25,0),FALSE)</f>
        <v>1.6309776100308899</v>
      </c>
      <c r="U165" s="18">
        <f>HLOOKUP(REG_TRA_DEMANDS!U$3,'BY-Demands'!$J$5:$AK$14,MATCH($E165,'BY-Demands'!$I$5:$I$14,0),FALSE)*HLOOKUP(REG_TRA_DEMANDS!$F165,DEMANDS!$G$2:$CK$25,MATCH($E165,DEMANDS!$E$2:$E$25,0),FALSE)/HLOOKUP(2018,DEMANDS!$G$2:$CK$25,MATCH($E165,DEMANDS!$E$2:$E$25,0),FALSE)</f>
        <v>0.44376682700920456</v>
      </c>
      <c r="V165" s="18">
        <f>HLOOKUP(REG_TRA_DEMANDS!V$3,'BY-Demands'!$J$5:$AK$14,MATCH($E165,'BY-Demands'!$I$5:$I$14,0),FALSE)*HLOOKUP(REG_TRA_DEMANDS!$F165,DEMANDS!$G$2:$CK$25,MATCH($E165,DEMANDS!$E$2:$E$25,0),FALSE)/HLOOKUP(2018,DEMANDS!$G$2:$CK$25,MATCH($E165,DEMANDS!$E$2:$E$25,0),FALSE)</f>
        <v>0.58554916704873206</v>
      </c>
      <c r="W165" s="18">
        <f>HLOOKUP(REG_TRA_DEMANDS!W$3,'BY-Demands'!$J$5:$AK$14,MATCH($E165,'BY-Demands'!$I$5:$I$14,0),FALSE)*HLOOKUP(REG_TRA_DEMANDS!$F165,DEMANDS!$G$2:$CK$25,MATCH($E165,DEMANDS!$E$2:$E$25,0),FALSE)/HLOOKUP(2018,DEMANDS!$G$2:$CK$25,MATCH($E165,DEMANDS!$E$2:$E$25,0),FALSE)</f>
        <v>0.47935662189198391</v>
      </c>
      <c r="X165" s="18">
        <f>HLOOKUP(REG_TRA_DEMANDS!X$3,'BY-Demands'!$J$5:$AK$14,MATCH($E165,'BY-Demands'!$I$5:$I$14,0),FALSE)*HLOOKUP(REG_TRA_DEMANDS!$F165,DEMANDS!$G$2:$CK$25,MATCH($E165,DEMANDS!$E$2:$E$25,0),FALSE)/HLOOKUP(2018,DEMANDS!$G$2:$CK$25,MATCH($E165,DEMANDS!$E$2:$E$25,0),FALSE)</f>
        <v>0.34903596237565787</v>
      </c>
      <c r="Y165" s="18">
        <f>HLOOKUP(REG_TRA_DEMANDS!Y$3,'BY-Demands'!$J$5:$AK$14,MATCH($E165,'BY-Demands'!$I$5:$I$14,0),FALSE)*HLOOKUP(REG_TRA_DEMANDS!$F165,DEMANDS!$G$2:$CK$25,MATCH($E165,DEMANDS!$E$2:$E$25,0),FALSE)/HLOOKUP(2018,DEMANDS!$G$2:$CK$25,MATCH($E165,DEMANDS!$E$2:$E$25,0),FALSE)</f>
        <v>0.77530232043397518</v>
      </c>
      <c r="Z165" s="18">
        <f>HLOOKUP(REG_TRA_DEMANDS!Z$3,'BY-Demands'!$J$5:$AK$14,MATCH($E165,'BY-Demands'!$I$5:$I$14,0),FALSE)*HLOOKUP(REG_TRA_DEMANDS!$F165,DEMANDS!$G$2:$CK$25,MATCH($E165,DEMANDS!$E$2:$E$25,0),FALSE)/HLOOKUP(2018,DEMANDS!$G$2:$CK$25,MATCH($E165,DEMANDS!$E$2:$E$25,0),FALSE)</f>
        <v>0.096272107650165306</v>
      </c>
      <c r="AA165" s="18">
        <f>HLOOKUP(REG_TRA_DEMANDS!AA$3,'BY-Demands'!$J$5:$AK$14,MATCH($E165,'BY-Demands'!$I$5:$I$14,0),FALSE)*HLOOKUP(REG_TRA_DEMANDS!$F165,DEMANDS!$G$2:$CK$25,MATCH($E165,DEMANDS!$E$2:$E$25,0),FALSE)/HLOOKUP(2018,DEMANDS!$G$2:$CK$25,MATCH($E165,DEMANDS!$E$2:$E$25,0),FALSE)</f>
        <v>0.3920916225533671</v>
      </c>
      <c r="AB165" s="18">
        <f>HLOOKUP(REG_TRA_DEMANDS!AB$3,'BY-Demands'!$J$5:$AK$14,MATCH($E165,'BY-Demands'!$I$5:$I$14,0),FALSE)*HLOOKUP(REG_TRA_DEMANDS!$F165,DEMANDS!$G$2:$CK$25,MATCH($E165,DEMANDS!$E$2:$E$25,0),FALSE)/HLOOKUP(2018,DEMANDS!$G$2:$CK$25,MATCH($E165,DEMANDS!$E$2:$E$25,0),FALSE)</f>
        <v>0.19391420909288029</v>
      </c>
      <c r="AC165" s="18">
        <f>HLOOKUP(REG_TRA_DEMANDS!AC$3,'BY-Demands'!$J$5:$AK$14,MATCH($E165,'BY-Demands'!$I$5:$I$14,0),FALSE)*HLOOKUP(REG_TRA_DEMANDS!$F165,DEMANDS!$G$2:$CK$25,MATCH($E165,DEMANDS!$E$2:$E$25,0),FALSE)/HLOOKUP(2018,DEMANDS!$G$2:$CK$25,MATCH($E165,DEMANDS!$E$2:$E$25,0),FALSE)</f>
        <v>0.1968915420937952</v>
      </c>
      <c r="AD165" s="18">
        <f>HLOOKUP(REG_TRA_DEMANDS!AD$3,'BY-Demands'!$J$5:$AK$14,MATCH($E165,'BY-Demands'!$I$5:$I$14,0),FALSE)*HLOOKUP(REG_TRA_DEMANDS!$F165,DEMANDS!$G$2:$CK$25,MATCH($E165,DEMANDS!$E$2:$E$25,0),FALSE)/HLOOKUP(2018,DEMANDS!$G$2:$CK$25,MATCH($E165,DEMANDS!$E$2:$E$25,0),FALSE)</f>
        <v>0.22886106829231614</v>
      </c>
      <c r="AE165" s="18">
        <f>HLOOKUP(REG_TRA_DEMANDS!AE$3,'BY-Demands'!$J$5:$AK$14,MATCH($E165,'BY-Demands'!$I$5:$I$14,0),FALSE)*HLOOKUP(REG_TRA_DEMANDS!$F165,DEMANDS!$G$2:$CK$25,MATCH($E165,DEMANDS!$E$2:$E$25,0),FALSE)/HLOOKUP(2018,DEMANDS!$G$2:$CK$25,MATCH($E165,DEMANDS!$E$2:$E$25,0),FALSE)</f>
        <v>0.47827204347288349</v>
      </c>
      <c r="AF165" s="18">
        <f>HLOOKUP(REG_TRA_DEMANDS!AF$3,'BY-Demands'!$J$5:$AK$14,MATCH($E165,'BY-Demands'!$I$5:$I$14,0),FALSE)*HLOOKUP(REG_TRA_DEMANDS!$F165,DEMANDS!$G$2:$CK$25,MATCH($E165,DEMANDS!$E$2:$E$25,0),FALSE)/HLOOKUP(2018,DEMANDS!$G$2:$CK$25,MATCH($E165,DEMANDS!$E$2:$E$25,0),FALSE)</f>
        <v>0.18442640120500042</v>
      </c>
    </row>
    <row r="166" spans="4:32" ht="14.5">
      <c r="D166" s="20" t="s">
        <v>6</v>
      </c>
      <c r="E166" s="20" t="str">
        <f>DEMANDS!$E$23</f>
        <v>TOTH</v>
      </c>
      <c r="F166" s="20">
        <v>2020</v>
      </c>
      <c r="G166" s="21">
        <f>HLOOKUP(REG_TRA_DEMANDS!G$3,'BY-Demands'!$J$5:$AK$14,MATCH($E166,'BY-Demands'!$I$5:$I$14,0),FALSE)*HLOOKUP(REG_TRA_DEMANDS!$F166,DEMANDS!$G$2:$CK$25,MATCH($E166,DEMANDS!$E$2:$E$25,0),FALSE)/HLOOKUP(2018,DEMANDS!$G$2:$CK$25,MATCH($E166,DEMANDS!$E$2:$E$25,0),FALSE)</f>
        <v>0.27200036635926356</v>
      </c>
      <c r="H166" s="21">
        <f>HLOOKUP(REG_TRA_DEMANDS!H$3,'BY-Demands'!$J$5:$AK$14,MATCH($E166,'BY-Demands'!$I$5:$I$14,0),FALSE)*HLOOKUP(REG_TRA_DEMANDS!$F166,DEMANDS!$G$2:$CK$25,MATCH($E166,DEMANDS!$E$2:$E$25,0),FALSE)/HLOOKUP(2018,DEMANDS!$G$2:$CK$25,MATCH($E166,DEMANDS!$E$2:$E$25,0),FALSE)</f>
        <v>6.437190712032816</v>
      </c>
      <c r="I166" s="21">
        <f>HLOOKUP(REG_TRA_DEMANDS!I$3,'BY-Demands'!$J$5:$AK$14,MATCH($E166,'BY-Demands'!$I$5:$I$14,0),FALSE)*HLOOKUP(REG_TRA_DEMANDS!$F166,DEMANDS!$G$2:$CK$25,MATCH($E166,DEMANDS!$E$2:$E$25,0),FALSE)/HLOOKUP(2018,DEMANDS!$G$2:$CK$25,MATCH($E166,DEMANDS!$E$2:$E$25,0),FALSE)</f>
        <v>1.0630430955596448</v>
      </c>
      <c r="J166" s="21">
        <f>HLOOKUP(REG_TRA_DEMANDS!J$3,'BY-Demands'!$J$5:$AK$14,MATCH($E166,'BY-Demands'!$I$5:$I$14,0),FALSE)*HLOOKUP(REG_TRA_DEMANDS!$F166,DEMANDS!$G$2:$CK$25,MATCH($E166,DEMANDS!$E$2:$E$25,0),FALSE)/HLOOKUP(2018,DEMANDS!$G$2:$CK$25,MATCH($E166,DEMANDS!$E$2:$E$25,0),FALSE)</f>
        <v>0.47409436440951486</v>
      </c>
      <c r="K166" s="21">
        <f>HLOOKUP(REG_TRA_DEMANDS!K$3,'BY-Demands'!$J$5:$AK$14,MATCH($E166,'BY-Demands'!$I$5:$I$14,0),FALSE)*HLOOKUP(REG_TRA_DEMANDS!$F166,DEMANDS!$G$2:$CK$25,MATCH($E166,DEMANDS!$E$2:$E$25,0),FALSE)/HLOOKUP(2018,DEMANDS!$G$2:$CK$25,MATCH($E166,DEMANDS!$E$2:$E$25,0),FALSE)</f>
        <v>0.40465142678160887</v>
      </c>
      <c r="L166" s="21">
        <f>HLOOKUP(REG_TRA_DEMANDS!L$3,'BY-Demands'!$J$5:$AK$14,MATCH($E166,'BY-Demands'!$I$5:$I$14,0),FALSE)*HLOOKUP(REG_TRA_DEMANDS!$F166,DEMANDS!$G$2:$CK$25,MATCH($E166,DEMANDS!$E$2:$E$25,0),FALSE)/HLOOKUP(2018,DEMANDS!$G$2:$CK$25,MATCH($E166,DEMANDS!$E$2:$E$25,0),FALSE)</f>
        <v>0.19527631163848475</v>
      </c>
      <c r="M166" s="21">
        <f>HLOOKUP(REG_TRA_DEMANDS!M$3,'BY-Demands'!$J$5:$AK$14,MATCH($E166,'BY-Demands'!$I$5:$I$14,0),FALSE)*HLOOKUP(REG_TRA_DEMANDS!$F166,DEMANDS!$G$2:$CK$25,MATCH($E166,DEMANDS!$E$2:$E$25,0),FALSE)/HLOOKUP(2018,DEMANDS!$G$2:$CK$25,MATCH($E166,DEMANDS!$E$2:$E$25,0),FALSE)</f>
        <v>0.6157608237519745</v>
      </c>
      <c r="N166" s="21">
        <f>HLOOKUP(REG_TRA_DEMANDS!N$3,'BY-Demands'!$J$5:$AK$14,MATCH($E166,'BY-Demands'!$I$5:$I$14,0),FALSE)*HLOOKUP(REG_TRA_DEMANDS!$F166,DEMANDS!$G$2:$CK$25,MATCH($E166,DEMANDS!$E$2:$E$25,0),FALSE)/HLOOKUP(2018,DEMANDS!$G$2:$CK$25,MATCH($E166,DEMANDS!$E$2:$E$25,0),FALSE)</f>
        <v>0.93184921408305132</v>
      </c>
      <c r="O166" s="21">
        <f>HLOOKUP(REG_TRA_DEMANDS!O$3,'BY-Demands'!$J$5:$AK$14,MATCH($E166,'BY-Demands'!$I$5:$I$14,0),FALSE)*HLOOKUP(REG_TRA_DEMANDS!$F166,DEMANDS!$G$2:$CK$25,MATCH($E166,DEMANDS!$E$2:$E$25,0),FALSE)/HLOOKUP(2018,DEMANDS!$G$2:$CK$25,MATCH($E166,DEMANDS!$E$2:$E$25,0),FALSE)</f>
        <v>0.37246927144197556</v>
      </c>
      <c r="P166" s="21">
        <f>HLOOKUP(REG_TRA_DEMANDS!P$3,'BY-Demands'!$J$5:$AK$14,MATCH($E166,'BY-Demands'!$I$5:$I$14,0),FALSE)*HLOOKUP(REG_TRA_DEMANDS!$F166,DEMANDS!$G$2:$CK$25,MATCH($E166,DEMANDS!$E$2:$E$25,0),FALSE)/HLOOKUP(2018,DEMANDS!$G$2:$CK$25,MATCH($E166,DEMANDS!$E$2:$E$25,0),FALSE)</f>
        <v>0.42411073775226299</v>
      </c>
      <c r="Q166" s="21">
        <f>HLOOKUP(REG_TRA_DEMANDS!Q$3,'BY-Demands'!$J$5:$AK$14,MATCH($E166,'BY-Demands'!$I$5:$I$14,0),FALSE)*HLOOKUP(REG_TRA_DEMANDS!$F166,DEMANDS!$G$2:$CK$25,MATCH($E166,DEMANDS!$E$2:$E$25,0),FALSE)/HLOOKUP(2018,DEMANDS!$G$2:$CK$25,MATCH($E166,DEMANDS!$E$2:$E$25,0),FALSE)</f>
        <v>0.7153172003801328</v>
      </c>
      <c r="R166" s="21">
        <f>HLOOKUP(REG_TRA_DEMANDS!R$3,'BY-Demands'!$J$5:$AK$14,MATCH($E166,'BY-Demands'!$I$5:$I$14,0),FALSE)*HLOOKUP(REG_TRA_DEMANDS!$F166,DEMANDS!$G$2:$CK$25,MATCH($E166,DEMANDS!$E$2:$E$25,0),FALSE)/HLOOKUP(2018,DEMANDS!$G$2:$CK$25,MATCH($E166,DEMANDS!$E$2:$E$25,0),FALSE)</f>
        <v>0.68045479130749276</v>
      </c>
      <c r="S166" s="21">
        <f>HLOOKUP(REG_TRA_DEMANDS!S$3,'BY-Demands'!$J$5:$AK$14,MATCH($E166,'BY-Demands'!$I$5:$I$14,0),FALSE)*HLOOKUP(REG_TRA_DEMANDS!$F166,DEMANDS!$G$2:$CK$25,MATCH($E166,DEMANDS!$E$2:$E$25,0),FALSE)/HLOOKUP(2018,DEMANDS!$G$2:$CK$25,MATCH($E166,DEMANDS!$E$2:$E$25,0),FALSE)</f>
        <v>0.56766436327036951</v>
      </c>
      <c r="T166" s="21">
        <f>HLOOKUP(REG_TRA_DEMANDS!T$3,'BY-Demands'!$J$5:$AK$14,MATCH($E166,'BY-Demands'!$I$5:$I$14,0),FALSE)*HLOOKUP(REG_TRA_DEMANDS!$F166,DEMANDS!$G$2:$CK$25,MATCH($E166,DEMANDS!$E$2:$E$25,0),FALSE)/HLOOKUP(2018,DEMANDS!$G$2:$CK$25,MATCH($E166,DEMANDS!$E$2:$E$25,0),FALSE)</f>
        <v>2.5936256390908592</v>
      </c>
      <c r="U166" s="21">
        <f>HLOOKUP(REG_TRA_DEMANDS!U$3,'BY-Demands'!$J$5:$AK$14,MATCH($E166,'BY-Demands'!$I$5:$I$14,0),FALSE)*HLOOKUP(REG_TRA_DEMANDS!$F166,DEMANDS!$G$2:$CK$25,MATCH($E166,DEMANDS!$E$2:$E$25,0),FALSE)/HLOOKUP(2018,DEMANDS!$G$2:$CK$25,MATCH($E166,DEMANDS!$E$2:$E$25,0),FALSE)</f>
        <v>0.70569026406639179</v>
      </c>
      <c r="V166" s="21">
        <f>HLOOKUP(REG_TRA_DEMANDS!V$3,'BY-Demands'!$J$5:$AK$14,MATCH($E166,'BY-Demands'!$I$5:$I$14,0),FALSE)*HLOOKUP(REG_TRA_DEMANDS!$F166,DEMANDS!$G$2:$CK$25,MATCH($E166,DEMANDS!$E$2:$E$25,0),FALSE)/HLOOKUP(2018,DEMANDS!$G$2:$CK$25,MATCH($E166,DEMANDS!$E$2:$E$25,0),FALSE)</f>
        <v>0.93115645687933368</v>
      </c>
      <c r="W166" s="21">
        <f>HLOOKUP(REG_TRA_DEMANDS!W$3,'BY-Demands'!$J$5:$AK$14,MATCH($E166,'BY-Demands'!$I$5:$I$14,0),FALSE)*HLOOKUP(REG_TRA_DEMANDS!$F166,DEMANDS!$G$2:$CK$25,MATCH($E166,DEMANDS!$E$2:$E$25,0),FALSE)/HLOOKUP(2018,DEMANDS!$G$2:$CK$25,MATCH($E166,DEMANDS!$E$2:$E$25,0),FALSE)</f>
        <v>0.76228613879223739</v>
      </c>
      <c r="X166" s="21">
        <f>HLOOKUP(REG_TRA_DEMANDS!X$3,'BY-Demands'!$J$5:$AK$14,MATCH($E166,'BY-Demands'!$I$5:$I$14,0),FALSE)*HLOOKUP(REG_TRA_DEMANDS!$F166,DEMANDS!$G$2:$CK$25,MATCH($E166,DEMANDS!$E$2:$E$25,0),FALSE)/HLOOKUP(2018,DEMANDS!$G$2:$CK$25,MATCH($E166,DEMANDS!$E$2:$E$25,0),FALSE)</f>
        <v>0.55504662689091944</v>
      </c>
      <c r="Y166" s="21">
        <f>HLOOKUP(REG_TRA_DEMANDS!Y$3,'BY-Demands'!$J$5:$AK$14,MATCH($E166,'BY-Demands'!$I$5:$I$14,0),FALSE)*HLOOKUP(REG_TRA_DEMANDS!$F166,DEMANDS!$G$2:$CK$25,MATCH($E166,DEMANDS!$E$2:$E$25,0),FALSE)/HLOOKUP(2018,DEMANDS!$G$2:$CK$25,MATCH($E166,DEMANDS!$E$2:$E$25,0),FALSE)</f>
        <v>1.2329071619113803</v>
      </c>
      <c r="Z166" s="21">
        <f>HLOOKUP(REG_TRA_DEMANDS!Z$3,'BY-Demands'!$J$5:$AK$14,MATCH($E166,'BY-Demands'!$I$5:$I$14,0),FALSE)*HLOOKUP(REG_TRA_DEMANDS!$F166,DEMANDS!$G$2:$CK$25,MATCH($E166,DEMANDS!$E$2:$E$25,0),FALSE)/HLOOKUP(2018,DEMANDS!$G$2:$CK$25,MATCH($E166,DEMANDS!$E$2:$E$25,0),FALSE)</f>
        <v>0.15309456438586874</v>
      </c>
      <c r="AA166" s="21">
        <f>HLOOKUP(REG_TRA_DEMANDS!AA$3,'BY-Demands'!$J$5:$AK$14,MATCH($E166,'BY-Demands'!$I$5:$I$14,0),FALSE)*HLOOKUP(REG_TRA_DEMANDS!$F166,DEMANDS!$G$2:$CK$25,MATCH($E166,DEMANDS!$E$2:$E$25,0),FALSE)/HLOOKUP(2018,DEMANDS!$G$2:$CK$25,MATCH($E166,DEMANDS!$E$2:$E$25,0),FALSE)</f>
        <v>0.62351492679773235</v>
      </c>
      <c r="AB166" s="21">
        <f>HLOOKUP(REG_TRA_DEMANDS!AB$3,'BY-Demands'!$J$5:$AK$14,MATCH($E166,'BY-Demands'!$I$5:$I$14,0),FALSE)*HLOOKUP(REG_TRA_DEMANDS!$F166,DEMANDS!$G$2:$CK$25,MATCH($E166,DEMANDS!$E$2:$E$25,0),FALSE)/HLOOKUP(2018,DEMANDS!$G$2:$CK$25,MATCH($E166,DEMANDS!$E$2:$E$25,0),FALSE)</f>
        <v>0.30836773073653384</v>
      </c>
      <c r="AC166" s="21">
        <f>HLOOKUP(REG_TRA_DEMANDS!AC$3,'BY-Demands'!$J$5:$AK$14,MATCH($E166,'BY-Demands'!$I$5:$I$14,0),FALSE)*HLOOKUP(REG_TRA_DEMANDS!$F166,DEMANDS!$G$2:$CK$25,MATCH($E166,DEMANDS!$E$2:$E$25,0),FALSE)/HLOOKUP(2018,DEMANDS!$G$2:$CK$25,MATCH($E166,DEMANDS!$E$2:$E$25,0),FALSE)</f>
        <v>0.31310236790125712</v>
      </c>
      <c r="AD166" s="21">
        <f>HLOOKUP(REG_TRA_DEMANDS!AD$3,'BY-Demands'!$J$5:$AK$14,MATCH($E166,'BY-Demands'!$I$5:$I$14,0),FALSE)*HLOOKUP(REG_TRA_DEMANDS!$F166,DEMANDS!$G$2:$CK$25,MATCH($E166,DEMANDS!$E$2:$E$25,0),FALSE)/HLOOKUP(2018,DEMANDS!$G$2:$CK$25,MATCH($E166,DEMANDS!$E$2:$E$25,0),FALSE)</f>
        <v>0.36394119138240832</v>
      </c>
      <c r="AE166" s="21">
        <f>HLOOKUP(REG_TRA_DEMANDS!AE$3,'BY-Demands'!$J$5:$AK$14,MATCH($E166,'BY-Demands'!$I$5:$I$14,0),FALSE)*HLOOKUP(REG_TRA_DEMANDS!$F166,DEMANDS!$G$2:$CK$25,MATCH($E166,DEMANDS!$E$2:$E$25,0),FALSE)/HLOOKUP(2018,DEMANDS!$G$2:$CK$25,MATCH($E166,DEMANDS!$E$2:$E$25,0),FALSE)</f>
        <v>0.76056141223677332</v>
      </c>
      <c r="AF166" s="21">
        <f>HLOOKUP(REG_TRA_DEMANDS!AF$3,'BY-Demands'!$J$5:$AK$14,MATCH($E166,'BY-Demands'!$I$5:$I$14,0),FALSE)*HLOOKUP(REG_TRA_DEMANDS!$F166,DEMANDS!$G$2:$CK$25,MATCH($E166,DEMANDS!$E$2:$E$25,0),FALSE)/HLOOKUP(2018,DEMANDS!$G$2:$CK$25,MATCH($E166,DEMANDS!$E$2:$E$25,0),FALSE)</f>
        <v>0.29327995660313688</v>
      </c>
    </row>
    <row r="167" spans="4:32" ht="14.5">
      <c r="D167" t="s">
        <v>6</v>
      </c>
      <c r="E167" t="str">
        <f>DEMANDS!$E$23</f>
        <v>TOTH</v>
      </c>
      <c r="F167">
        <v>2021</v>
      </c>
      <c r="G167" s="19">
        <f>HLOOKUP(REG_TRA_DEMANDS!G$3,'BY-Demands'!$J$5:$AK$14,MATCH($E167,'BY-Demands'!$I$5:$I$14,0),FALSE)*HLOOKUP(REG_TRA_DEMANDS!$F167,DEMANDS!$G$2:$CK$25,MATCH($E167,DEMANDS!$E$2:$E$25,0),FALSE)/HLOOKUP(2018,DEMANDS!$G$2:$CK$25,MATCH($E167,DEMANDS!$E$2:$E$25,0),FALSE)</f>
        <v>0.18089944491364476</v>
      </c>
      <c r="H167" s="19">
        <f>HLOOKUP(REG_TRA_DEMANDS!H$3,'BY-Demands'!$J$5:$AK$14,MATCH($E167,'BY-Demands'!$I$5:$I$14,0),FALSE)*HLOOKUP(REG_TRA_DEMANDS!$F167,DEMANDS!$G$2:$CK$25,MATCH($E167,DEMANDS!$E$2:$E$25,0),FALSE)/HLOOKUP(2018,DEMANDS!$G$2:$CK$25,MATCH($E167,DEMANDS!$E$2:$E$25,0),FALSE)</f>
        <v>4.2811862432270846</v>
      </c>
      <c r="I167" s="19">
        <f>HLOOKUP(REG_TRA_DEMANDS!I$3,'BY-Demands'!$J$5:$AK$14,MATCH($E167,'BY-Demands'!$I$5:$I$14,0),FALSE)*HLOOKUP(REG_TRA_DEMANDS!$F167,DEMANDS!$G$2:$CK$25,MATCH($E167,DEMANDS!$E$2:$E$25,0),FALSE)/HLOOKUP(2018,DEMANDS!$G$2:$CK$25,MATCH($E167,DEMANDS!$E$2:$E$25,0),FALSE)</f>
        <v>0.70699870180330382</v>
      </c>
      <c r="J167" s="19">
        <f>HLOOKUP(REG_TRA_DEMANDS!J$3,'BY-Demands'!$J$5:$AK$14,MATCH($E167,'BY-Demands'!$I$5:$I$14,0),FALSE)*HLOOKUP(REG_TRA_DEMANDS!$F167,DEMANDS!$G$2:$CK$25,MATCH($E167,DEMANDS!$E$2:$E$25,0),FALSE)/HLOOKUP(2018,DEMANDS!$G$2:$CK$25,MATCH($E167,DEMANDS!$E$2:$E$25,0),FALSE)</f>
        <v>0.31530622001108055</v>
      </c>
      <c r="K167" s="19">
        <f>HLOOKUP(REG_TRA_DEMANDS!K$3,'BY-Demands'!$J$5:$AK$14,MATCH($E167,'BY-Demands'!$I$5:$I$14,0),FALSE)*HLOOKUP(REG_TRA_DEMANDS!$F167,DEMANDS!$G$2:$CK$25,MATCH($E167,DEMANDS!$E$2:$E$25,0),FALSE)/HLOOKUP(2018,DEMANDS!$G$2:$CK$25,MATCH($E167,DEMANDS!$E$2:$E$25,0),FALSE)</f>
        <v>0.26912176431270607</v>
      </c>
      <c r="L167" s="19">
        <f>HLOOKUP(REG_TRA_DEMANDS!L$3,'BY-Demands'!$J$5:$AK$14,MATCH($E167,'BY-Demands'!$I$5:$I$14,0),FALSE)*HLOOKUP(REG_TRA_DEMANDS!$F167,DEMANDS!$G$2:$CK$25,MATCH($E167,DEMANDS!$E$2:$E$25,0),FALSE)/HLOOKUP(2018,DEMANDS!$G$2:$CK$25,MATCH($E167,DEMANDS!$E$2:$E$25,0),FALSE)</f>
        <v>0.12987253235360474</v>
      </c>
      <c r="M167" s="19">
        <f>HLOOKUP(REG_TRA_DEMANDS!M$3,'BY-Demands'!$J$5:$AK$14,MATCH($E167,'BY-Demands'!$I$5:$I$14,0),FALSE)*HLOOKUP(REG_TRA_DEMANDS!$F167,DEMANDS!$G$2:$CK$25,MATCH($E167,DEMANDS!$E$2:$E$25,0),FALSE)/HLOOKUP(2018,DEMANDS!$G$2:$CK$25,MATCH($E167,DEMANDS!$E$2:$E$25,0),FALSE)</f>
        <v>0.40952441611484319</v>
      </c>
      <c r="N167" s="19">
        <f>HLOOKUP(REG_TRA_DEMANDS!N$3,'BY-Demands'!$J$5:$AK$14,MATCH($E167,'BY-Demands'!$I$5:$I$14,0),FALSE)*HLOOKUP(REG_TRA_DEMANDS!$F167,DEMANDS!$G$2:$CK$25,MATCH($E167,DEMANDS!$E$2:$E$25,0),FALSE)/HLOOKUP(2018,DEMANDS!$G$2:$CK$25,MATCH($E167,DEMANDS!$E$2:$E$25,0),FALSE)</f>
        <v>0.61974550926960204</v>
      </c>
      <c r="O167" s="19">
        <f>HLOOKUP(REG_TRA_DEMANDS!O$3,'BY-Demands'!$J$5:$AK$14,MATCH($E167,'BY-Demands'!$I$5:$I$14,0),FALSE)*HLOOKUP(REG_TRA_DEMANDS!$F167,DEMANDS!$G$2:$CK$25,MATCH($E167,DEMANDS!$E$2:$E$25,0),FALSE)/HLOOKUP(2018,DEMANDS!$G$2:$CK$25,MATCH($E167,DEMANDS!$E$2:$E$25,0),FALSE)</f>
        <v>0.24771835918135079</v>
      </c>
      <c r="P167" s="19">
        <f>HLOOKUP(REG_TRA_DEMANDS!P$3,'BY-Demands'!$J$5:$AK$14,MATCH($E167,'BY-Demands'!$I$5:$I$14,0),FALSE)*HLOOKUP(REG_TRA_DEMANDS!$F167,DEMANDS!$G$2:$CK$25,MATCH($E167,DEMANDS!$E$2:$E$25,0),FALSE)/HLOOKUP(2018,DEMANDS!$G$2:$CK$25,MATCH($E167,DEMANDS!$E$2:$E$25,0),FALSE)</f>
        <v>0.28206357979667418</v>
      </c>
      <c r="Q167" s="19">
        <f>HLOOKUP(REG_TRA_DEMANDS!Q$3,'BY-Demands'!$J$5:$AK$14,MATCH($E167,'BY-Demands'!$I$5:$I$14,0),FALSE)*HLOOKUP(REG_TRA_DEMANDS!$F167,DEMANDS!$G$2:$CK$25,MATCH($E167,DEMANDS!$E$2:$E$25,0),FALSE)/HLOOKUP(2018,DEMANDS!$G$2:$CK$25,MATCH($E167,DEMANDS!$E$2:$E$25,0),FALSE)</f>
        <v>0.47573643454227438</v>
      </c>
      <c r="R167" s="19">
        <f>HLOOKUP(REG_TRA_DEMANDS!R$3,'BY-Demands'!$J$5:$AK$14,MATCH($E167,'BY-Demands'!$I$5:$I$14,0),FALSE)*HLOOKUP(REG_TRA_DEMANDS!$F167,DEMANDS!$G$2:$CK$25,MATCH($E167,DEMANDS!$E$2:$E$25,0),FALSE)/HLOOKUP(2018,DEMANDS!$G$2:$CK$25,MATCH($E167,DEMANDS!$E$2:$E$25,0),FALSE)</f>
        <v>0.45255047147168376</v>
      </c>
      <c r="S167" s="19">
        <f>HLOOKUP(REG_TRA_DEMANDS!S$3,'BY-Demands'!$J$5:$AK$14,MATCH($E167,'BY-Demands'!$I$5:$I$14,0),FALSE)*HLOOKUP(REG_TRA_DEMANDS!$F167,DEMANDS!$G$2:$CK$25,MATCH($E167,DEMANDS!$E$2:$E$25,0),FALSE)/HLOOKUP(2018,DEMANDS!$G$2:$CK$25,MATCH($E167,DEMANDS!$E$2:$E$25,0),FALSE)</f>
        <v>0.37753687462770624</v>
      </c>
      <c r="T167" s="19">
        <f>HLOOKUP(REG_TRA_DEMANDS!T$3,'BY-Demands'!$J$5:$AK$14,MATCH($E167,'BY-Demands'!$I$5:$I$14,0),FALSE)*HLOOKUP(REG_TRA_DEMANDS!$F167,DEMANDS!$G$2:$CK$25,MATCH($E167,DEMANDS!$E$2:$E$25,0),FALSE)/HLOOKUP(2018,DEMANDS!$G$2:$CK$25,MATCH($E167,DEMANDS!$E$2:$E$25,0),FALSE)</f>
        <v>1.7249441414561333</v>
      </c>
      <c r="U167" s="19">
        <f>HLOOKUP(REG_TRA_DEMANDS!U$3,'BY-Demands'!$J$5:$AK$14,MATCH($E167,'BY-Demands'!$I$5:$I$14,0),FALSE)*HLOOKUP(REG_TRA_DEMANDS!$F167,DEMANDS!$G$2:$CK$25,MATCH($E167,DEMANDS!$E$2:$E$25,0),FALSE)/HLOOKUP(2018,DEMANDS!$G$2:$CK$25,MATCH($E167,DEMANDS!$E$2:$E$25,0),FALSE)</f>
        <v>0.46933384230063541</v>
      </c>
      <c r="V167" s="19">
        <f>HLOOKUP(REG_TRA_DEMANDS!V$3,'BY-Demands'!$J$5:$AK$14,MATCH($E167,'BY-Demands'!$I$5:$I$14,0),FALSE)*HLOOKUP(REG_TRA_DEMANDS!$F167,DEMANDS!$G$2:$CK$25,MATCH($E167,DEMANDS!$E$2:$E$25,0),FALSE)/HLOOKUP(2018,DEMANDS!$G$2:$CK$25,MATCH($E167,DEMANDS!$E$2:$E$25,0),FALSE)</f>
        <v>0.61928477682541505</v>
      </c>
      <c r="W167" s="19">
        <f>HLOOKUP(REG_TRA_DEMANDS!W$3,'BY-Demands'!$J$5:$AK$14,MATCH($E167,'BY-Demands'!$I$5:$I$14,0),FALSE)*HLOOKUP(REG_TRA_DEMANDS!$F167,DEMANDS!$G$2:$CK$25,MATCH($E167,DEMANDS!$E$2:$E$25,0),FALSE)/HLOOKUP(2018,DEMANDS!$G$2:$CK$25,MATCH($E167,DEMANDS!$E$2:$E$25,0),FALSE)</f>
        <v>0.50697409425818196</v>
      </c>
      <c r="X167" s="19">
        <f>HLOOKUP(REG_TRA_DEMANDS!X$3,'BY-Demands'!$J$5:$AK$14,MATCH($E167,'BY-Demands'!$I$5:$I$14,0),FALSE)*HLOOKUP(REG_TRA_DEMANDS!$F167,DEMANDS!$G$2:$CK$25,MATCH($E167,DEMANDS!$E$2:$E$25,0),FALSE)/HLOOKUP(2018,DEMANDS!$G$2:$CK$25,MATCH($E167,DEMANDS!$E$2:$E$25,0),FALSE)</f>
        <v>0.36914518921322997</v>
      </c>
      <c r="Y167" s="19">
        <f>HLOOKUP(REG_TRA_DEMANDS!Y$3,'BY-Demands'!$J$5:$AK$14,MATCH($E167,'BY-Demands'!$I$5:$I$14,0),FALSE)*HLOOKUP(REG_TRA_DEMANDS!$F167,DEMANDS!$G$2:$CK$25,MATCH($E167,DEMANDS!$E$2:$E$25,0),FALSE)/HLOOKUP(2018,DEMANDS!$G$2:$CK$25,MATCH($E167,DEMANDS!$E$2:$E$25,0),FALSE)</f>
        <v>0.81997029711805758</v>
      </c>
      <c r="Z167" s="19">
        <f>HLOOKUP(REG_TRA_DEMANDS!Z$3,'BY-Demands'!$J$5:$AK$14,MATCH($E167,'BY-Demands'!$I$5:$I$14,0),FALSE)*HLOOKUP(REG_TRA_DEMANDS!$F167,DEMANDS!$G$2:$CK$25,MATCH($E167,DEMANDS!$E$2:$E$25,0),FALSE)/HLOOKUP(2018,DEMANDS!$G$2:$CK$25,MATCH($E167,DEMANDS!$E$2:$E$25,0),FALSE)</f>
        <v>0.10181869270028908</v>
      </c>
      <c r="AA167" s="19">
        <f>HLOOKUP(REG_TRA_DEMANDS!AA$3,'BY-Demands'!$J$5:$AK$14,MATCH($E167,'BY-Demands'!$I$5:$I$14,0),FALSE)*HLOOKUP(REG_TRA_DEMANDS!$F167,DEMANDS!$G$2:$CK$25,MATCH($E167,DEMANDS!$E$2:$E$25,0),FALSE)/HLOOKUP(2018,DEMANDS!$G$2:$CK$25,MATCH($E167,DEMANDS!$E$2:$E$25,0),FALSE)</f>
        <v>0.41468144202461005</v>
      </c>
      <c r="AB167" s="19">
        <f>HLOOKUP(REG_TRA_DEMANDS!AB$3,'BY-Demands'!$J$5:$AK$14,MATCH($E167,'BY-Demands'!$I$5:$I$14,0),FALSE)*HLOOKUP(REG_TRA_DEMANDS!$F167,DEMANDS!$G$2:$CK$25,MATCH($E167,DEMANDS!$E$2:$E$25,0),FALSE)/HLOOKUP(2018,DEMANDS!$G$2:$CK$25,MATCH($E167,DEMANDS!$E$2:$E$25,0),FALSE)</f>
        <v>0.20508630950091886</v>
      </c>
      <c r="AC167" s="19">
        <f>HLOOKUP(REG_TRA_DEMANDS!AC$3,'BY-Demands'!$J$5:$AK$14,MATCH($E167,'BY-Demands'!$I$5:$I$14,0),FALSE)*HLOOKUP(REG_TRA_DEMANDS!$F167,DEMANDS!$G$2:$CK$25,MATCH($E167,DEMANDS!$E$2:$E$25,0),FALSE)/HLOOKUP(2018,DEMANDS!$G$2:$CK$25,MATCH($E167,DEMANDS!$E$2:$E$25,0),FALSE)</f>
        <v>0.20823517744705494</v>
      </c>
      <c r="AD167" s="19">
        <f>HLOOKUP(REG_TRA_DEMANDS!AD$3,'BY-Demands'!$J$5:$AK$14,MATCH($E167,'BY-Demands'!$I$5:$I$14,0),FALSE)*HLOOKUP(REG_TRA_DEMANDS!$F167,DEMANDS!$G$2:$CK$25,MATCH($E167,DEMANDS!$E$2:$E$25,0),FALSE)/HLOOKUP(2018,DEMANDS!$G$2:$CK$25,MATCH($E167,DEMANDS!$E$2:$E$25,0),FALSE)</f>
        <v>0.24204658392014702</v>
      </c>
      <c r="AE167" s="19">
        <f>HLOOKUP(REG_TRA_DEMANDS!AE$3,'BY-Demands'!$J$5:$AK$14,MATCH($E167,'BY-Demands'!$I$5:$I$14,0),FALSE)*HLOOKUP(REG_TRA_DEMANDS!$F167,DEMANDS!$G$2:$CK$25,MATCH($E167,DEMANDS!$E$2:$E$25,0),FALSE)/HLOOKUP(2018,DEMANDS!$G$2:$CK$25,MATCH($E167,DEMANDS!$E$2:$E$25,0),FALSE)</f>
        <v>0.50582702934541202</v>
      </c>
      <c r="AF167" s="19">
        <f>HLOOKUP(REG_TRA_DEMANDS!AF$3,'BY-Demands'!$J$5:$AK$14,MATCH($E167,'BY-Demands'!$I$5:$I$14,0),FALSE)*HLOOKUP(REG_TRA_DEMANDS!$F167,DEMANDS!$G$2:$CK$25,MATCH($E167,DEMANDS!$E$2:$E$25,0),FALSE)/HLOOKUP(2018,DEMANDS!$G$2:$CK$25,MATCH($E167,DEMANDS!$E$2:$E$25,0),FALSE)</f>
        <v>0.19505187461302997</v>
      </c>
    </row>
    <row r="168" spans="4:32" ht="14.5">
      <c r="D168" t="s">
        <v>6</v>
      </c>
      <c r="E168" t="str">
        <f>DEMANDS!$E$23</f>
        <v>TOTH</v>
      </c>
      <c r="F168">
        <v>2022</v>
      </c>
      <c r="G168" s="19">
        <f>HLOOKUP(REG_TRA_DEMANDS!G$3,'BY-Demands'!$J$5:$AK$14,MATCH($E168,'BY-Demands'!$I$5:$I$14,0),FALSE)*HLOOKUP(REG_TRA_DEMANDS!$F168,DEMANDS!$G$2:$CK$25,MATCH($E168,DEMANDS!$E$2:$E$25,0),FALSE)/HLOOKUP(2018,DEMANDS!$G$2:$CK$25,MATCH($E168,DEMANDS!$E$2:$E$25,0),FALSE)</f>
        <v>0.15735502404494861</v>
      </c>
      <c r="H168" s="19">
        <f>HLOOKUP(REG_TRA_DEMANDS!H$3,'BY-Demands'!$J$5:$AK$14,MATCH($E168,'BY-Demands'!$I$5:$I$14,0),FALSE)*HLOOKUP(REG_TRA_DEMANDS!$F168,DEMANDS!$G$2:$CK$25,MATCH($E168,DEMANDS!$E$2:$E$25,0),FALSE)/HLOOKUP(2018,DEMANDS!$G$2:$CK$25,MATCH($E168,DEMANDS!$E$2:$E$25,0),FALSE)</f>
        <v>3.7239813785248845</v>
      </c>
      <c r="I168" s="19">
        <f>HLOOKUP(REG_TRA_DEMANDS!I$3,'BY-Demands'!$J$5:$AK$14,MATCH($E168,'BY-Demands'!$I$5:$I$14,0),FALSE)*HLOOKUP(REG_TRA_DEMANDS!$F168,DEMANDS!$G$2:$CK$25,MATCH($E168,DEMANDS!$E$2:$E$25,0),FALSE)/HLOOKUP(2018,DEMANDS!$G$2:$CK$25,MATCH($E168,DEMANDS!$E$2:$E$25,0),FALSE)</f>
        <v>0.61498142117082344</v>
      </c>
      <c r="J168" s="19">
        <f>HLOOKUP(REG_TRA_DEMANDS!J$3,'BY-Demands'!$J$5:$AK$14,MATCH($E168,'BY-Demands'!$I$5:$I$14,0),FALSE)*HLOOKUP(REG_TRA_DEMANDS!$F168,DEMANDS!$G$2:$CK$25,MATCH($E168,DEMANDS!$E$2:$E$25,0),FALSE)/HLOOKUP(2018,DEMANDS!$G$2:$CK$25,MATCH($E168,DEMANDS!$E$2:$E$25,0),FALSE)</f>
        <v>0.27426849128835057</v>
      </c>
      <c r="K168" s="19">
        <f>HLOOKUP(REG_TRA_DEMANDS!K$3,'BY-Demands'!$J$5:$AK$14,MATCH($E168,'BY-Demands'!$I$5:$I$14,0),FALSE)*HLOOKUP(REG_TRA_DEMANDS!$F168,DEMANDS!$G$2:$CK$25,MATCH($E168,DEMANDS!$E$2:$E$25,0),FALSE)/HLOOKUP(2018,DEMANDS!$G$2:$CK$25,MATCH($E168,DEMANDS!$E$2:$E$25,0),FALSE)</f>
        <v>0.23409503392705369</v>
      </c>
      <c r="L168" s="19">
        <f>HLOOKUP(REG_TRA_DEMANDS!L$3,'BY-Demands'!$J$5:$AK$14,MATCH($E168,'BY-Demands'!$I$5:$I$14,0),FALSE)*HLOOKUP(REG_TRA_DEMANDS!$F168,DEMANDS!$G$2:$CK$25,MATCH($E168,DEMANDS!$E$2:$E$25,0),FALSE)/HLOOKUP(2018,DEMANDS!$G$2:$CK$25,MATCH($E168,DEMANDS!$E$2:$E$25,0),FALSE)</f>
        <v>0.11296936516878391</v>
      </c>
      <c r="M168" s="19">
        <f>HLOOKUP(REG_TRA_DEMANDS!M$3,'BY-Demands'!$J$5:$AK$14,MATCH($E168,'BY-Demands'!$I$5:$I$14,0),FALSE)*HLOOKUP(REG_TRA_DEMANDS!$F168,DEMANDS!$G$2:$CK$25,MATCH($E168,DEMANDS!$E$2:$E$25,0),FALSE)/HLOOKUP(2018,DEMANDS!$G$2:$CK$25,MATCH($E168,DEMANDS!$E$2:$E$25,0),FALSE)</f>
        <v>0.35622400265244875</v>
      </c>
      <c r="N168" s="19">
        <f>HLOOKUP(REG_TRA_DEMANDS!N$3,'BY-Demands'!$J$5:$AK$14,MATCH($E168,'BY-Demands'!$I$5:$I$14,0),FALSE)*HLOOKUP(REG_TRA_DEMANDS!$F168,DEMANDS!$G$2:$CK$25,MATCH($E168,DEMANDS!$E$2:$E$25,0),FALSE)/HLOOKUP(2018,DEMANDS!$G$2:$CK$25,MATCH($E168,DEMANDS!$E$2:$E$25,0),FALSE)</f>
        <v>0.53908440437404281</v>
      </c>
      <c r="O168" s="19">
        <f>HLOOKUP(REG_TRA_DEMANDS!O$3,'BY-Demands'!$J$5:$AK$14,MATCH($E168,'BY-Demands'!$I$5:$I$14,0),FALSE)*HLOOKUP(REG_TRA_DEMANDS!$F168,DEMANDS!$G$2:$CK$25,MATCH($E168,DEMANDS!$E$2:$E$25,0),FALSE)/HLOOKUP(2018,DEMANDS!$G$2:$CK$25,MATCH($E168,DEMANDS!$E$2:$E$25,0),FALSE)</f>
        <v>0.21547732434427461</v>
      </c>
      <c r="P168" s="19">
        <f>HLOOKUP(REG_TRA_DEMANDS!P$3,'BY-Demands'!$J$5:$AK$14,MATCH($E168,'BY-Demands'!$I$5:$I$14,0),FALSE)*HLOOKUP(REG_TRA_DEMANDS!$F168,DEMANDS!$G$2:$CK$25,MATCH($E168,DEMANDS!$E$2:$E$25,0),FALSE)/HLOOKUP(2018,DEMANDS!$G$2:$CK$25,MATCH($E168,DEMANDS!$E$2:$E$25,0),FALSE)</f>
        <v>0.24535244650583318</v>
      </c>
      <c r="Q168" s="19">
        <f>HLOOKUP(REG_TRA_DEMANDS!Q$3,'BY-Demands'!$J$5:$AK$14,MATCH($E168,'BY-Demands'!$I$5:$I$14,0),FALSE)*HLOOKUP(REG_TRA_DEMANDS!$F168,DEMANDS!$G$2:$CK$25,MATCH($E168,DEMANDS!$E$2:$E$25,0),FALSE)/HLOOKUP(2018,DEMANDS!$G$2:$CK$25,MATCH($E168,DEMANDS!$E$2:$E$25,0),FALSE)</f>
        <v>0.41381839580653829</v>
      </c>
      <c r="R168" s="19">
        <f>HLOOKUP(REG_TRA_DEMANDS!R$3,'BY-Demands'!$J$5:$AK$14,MATCH($E168,'BY-Demands'!$I$5:$I$14,0),FALSE)*HLOOKUP(REG_TRA_DEMANDS!$F168,DEMANDS!$G$2:$CK$25,MATCH($E168,DEMANDS!$E$2:$E$25,0),FALSE)/HLOOKUP(2018,DEMANDS!$G$2:$CK$25,MATCH($E168,DEMANDS!$E$2:$E$25,0),FALSE)</f>
        <v>0.39365013172911273</v>
      </c>
      <c r="S168" s="19">
        <f>HLOOKUP(REG_TRA_DEMANDS!S$3,'BY-Demands'!$J$5:$AK$14,MATCH($E168,'BY-Demands'!$I$5:$I$14,0),FALSE)*HLOOKUP(REG_TRA_DEMANDS!$F168,DEMANDS!$G$2:$CK$25,MATCH($E168,DEMANDS!$E$2:$E$25,0),FALSE)/HLOOKUP(2018,DEMANDS!$G$2:$CK$25,MATCH($E168,DEMANDS!$E$2:$E$25,0),FALSE)</f>
        <v>0.32839970301322097</v>
      </c>
      <c r="T168" s="19">
        <f>HLOOKUP(REG_TRA_DEMANDS!T$3,'BY-Demands'!$J$5:$AK$14,MATCH($E168,'BY-Demands'!$I$5:$I$14,0),FALSE)*HLOOKUP(REG_TRA_DEMANDS!$F168,DEMANDS!$G$2:$CK$25,MATCH($E168,DEMANDS!$E$2:$E$25,0),FALSE)/HLOOKUP(2018,DEMANDS!$G$2:$CK$25,MATCH($E168,DEMANDS!$E$2:$E$25,0),FALSE)</f>
        <v>1.5004392467019119</v>
      </c>
      <c r="U168" s="19">
        <f>HLOOKUP(REG_TRA_DEMANDS!U$3,'BY-Demands'!$J$5:$AK$14,MATCH($E168,'BY-Demands'!$I$5:$I$14,0),FALSE)*HLOOKUP(REG_TRA_DEMANDS!$F168,DEMANDS!$G$2:$CK$25,MATCH($E168,DEMANDS!$E$2:$E$25,0),FALSE)/HLOOKUP(2018,DEMANDS!$G$2:$CK$25,MATCH($E168,DEMANDS!$E$2:$E$25,0),FALSE)</f>
        <v>0.40824911361988458</v>
      </c>
      <c r="V168" s="19">
        <f>HLOOKUP(REG_TRA_DEMANDS!V$3,'BY-Demands'!$J$5:$AK$14,MATCH($E168,'BY-Demands'!$I$5:$I$14,0),FALSE)*HLOOKUP(REG_TRA_DEMANDS!$F168,DEMANDS!$G$2:$CK$25,MATCH($E168,DEMANDS!$E$2:$E$25,0),FALSE)/HLOOKUP(2018,DEMANDS!$G$2:$CK$25,MATCH($E168,DEMANDS!$E$2:$E$25,0),FALSE)</f>
        <v>0.53868363716954448</v>
      </c>
      <c r="W168" s="19">
        <f>HLOOKUP(REG_TRA_DEMANDS!W$3,'BY-Demands'!$J$5:$AK$14,MATCH($E168,'BY-Demands'!$I$5:$I$14,0),FALSE)*HLOOKUP(REG_TRA_DEMANDS!$F168,DEMANDS!$G$2:$CK$25,MATCH($E168,DEMANDS!$E$2:$E$25,0),FALSE)/HLOOKUP(2018,DEMANDS!$G$2:$CK$25,MATCH($E168,DEMANDS!$E$2:$E$25,0),FALSE)</f>
        <v>0.44099041227154739</v>
      </c>
      <c r="X168" s="19">
        <f>HLOOKUP(REG_TRA_DEMANDS!X$3,'BY-Demands'!$J$5:$AK$14,MATCH($E168,'BY-Demands'!$I$5:$I$14,0),FALSE)*HLOOKUP(REG_TRA_DEMANDS!$F168,DEMANDS!$G$2:$CK$25,MATCH($E168,DEMANDS!$E$2:$E$25,0),FALSE)/HLOOKUP(2018,DEMANDS!$G$2:$CK$25,MATCH($E168,DEMANDS!$E$2:$E$25,0),FALSE)</f>
        <v>0.32110021206783468</v>
      </c>
      <c r="Y168" s="19">
        <f>HLOOKUP(REG_TRA_DEMANDS!Y$3,'BY-Demands'!$J$5:$AK$14,MATCH($E168,'BY-Demands'!$I$5:$I$14,0),FALSE)*HLOOKUP(REG_TRA_DEMANDS!$F168,DEMANDS!$G$2:$CK$25,MATCH($E168,DEMANDS!$E$2:$E$25,0),FALSE)/HLOOKUP(2018,DEMANDS!$G$2:$CK$25,MATCH($E168,DEMANDS!$E$2:$E$25,0),FALSE)</f>
        <v>0.71324953971389149</v>
      </c>
      <c r="Z168" s="19">
        <f>HLOOKUP(REG_TRA_DEMANDS!Z$3,'BY-Demands'!$J$5:$AK$14,MATCH($E168,'BY-Demands'!$I$5:$I$14,0),FALSE)*HLOOKUP(REG_TRA_DEMANDS!$F168,DEMANDS!$G$2:$CK$25,MATCH($E168,DEMANDS!$E$2:$E$25,0),FALSE)/HLOOKUP(2018,DEMANDS!$G$2:$CK$25,MATCH($E168,DEMANDS!$E$2:$E$25,0),FALSE)</f>
        <v>0.088566788282448461</v>
      </c>
      <c r="AA168" s="19">
        <f>HLOOKUP(REG_TRA_DEMANDS!AA$3,'BY-Demands'!$J$5:$AK$14,MATCH($E168,'BY-Demands'!$I$5:$I$14,0),FALSE)*HLOOKUP(REG_TRA_DEMANDS!$F168,DEMANDS!$G$2:$CK$25,MATCH($E168,DEMANDS!$E$2:$E$25,0),FALSE)/HLOOKUP(2018,DEMANDS!$G$2:$CK$25,MATCH($E168,DEMANDS!$E$2:$E$25,0),FALSE)</f>
        <v>0.36070983143107849</v>
      </c>
      <c r="AB168" s="19">
        <f>HLOOKUP(REG_TRA_DEMANDS!AB$3,'BY-Demands'!$J$5:$AK$14,MATCH($E168,'BY-Demands'!$I$5:$I$14,0),FALSE)*HLOOKUP(REG_TRA_DEMANDS!$F168,DEMANDS!$G$2:$CK$25,MATCH($E168,DEMANDS!$E$2:$E$25,0),FALSE)/HLOOKUP(2018,DEMANDS!$G$2:$CK$25,MATCH($E168,DEMANDS!$E$2:$E$25,0),FALSE)</f>
        <v>0.17839392032525092</v>
      </c>
      <c r="AC168" s="19">
        <f>HLOOKUP(REG_TRA_DEMANDS!AC$3,'BY-Demands'!$J$5:$AK$14,MATCH($E168,'BY-Demands'!$I$5:$I$14,0),FALSE)*HLOOKUP(REG_TRA_DEMANDS!$F168,DEMANDS!$G$2:$CK$25,MATCH($E168,DEMANDS!$E$2:$E$25,0),FALSE)/HLOOKUP(2018,DEMANDS!$G$2:$CK$25,MATCH($E168,DEMANDS!$E$2:$E$25,0),FALSE)</f>
        <v>0.18113295687461758</v>
      </c>
      <c r="AD168" s="19">
        <f>HLOOKUP(REG_TRA_DEMANDS!AD$3,'BY-Demands'!$J$5:$AK$14,MATCH($E168,'BY-Demands'!$I$5:$I$14,0),FALSE)*HLOOKUP(REG_TRA_DEMANDS!$F168,DEMANDS!$G$2:$CK$25,MATCH($E168,DEMANDS!$E$2:$E$25,0),FALSE)/HLOOKUP(2018,DEMANDS!$G$2:$CK$25,MATCH($E168,DEMANDS!$E$2:$E$25,0),FALSE)</f>
        <v>0.21054374186130842</v>
      </c>
      <c r="AE168" s="19">
        <f>HLOOKUP(REG_TRA_DEMANDS!AE$3,'BY-Demands'!$J$5:$AK$14,MATCH($E168,'BY-Demands'!$I$5:$I$14,0),FALSE)*HLOOKUP(REG_TRA_DEMANDS!$F168,DEMANDS!$G$2:$CK$25,MATCH($E168,DEMANDS!$E$2:$E$25,0),FALSE)/HLOOKUP(2018,DEMANDS!$G$2:$CK$25,MATCH($E168,DEMANDS!$E$2:$E$25,0),FALSE)</f>
        <v>0.4399926401279336</v>
      </c>
      <c r="AF168" s="19">
        <f>HLOOKUP(REG_TRA_DEMANDS!AF$3,'BY-Demands'!$J$5:$AK$14,MATCH($E168,'BY-Demands'!$I$5:$I$14,0),FALSE)*HLOOKUP(REG_TRA_DEMANDS!$F168,DEMANDS!$G$2:$CK$25,MATCH($E168,DEMANDS!$E$2:$E$25,0),FALSE)/HLOOKUP(2018,DEMANDS!$G$2:$CK$25,MATCH($E168,DEMANDS!$E$2:$E$25,0),FALSE)</f>
        <v>0.16966548700244569</v>
      </c>
    </row>
    <row r="169" spans="4:32" ht="14.5">
      <c r="D169" t="s">
        <v>6</v>
      </c>
      <c r="E169" t="str">
        <f>DEMANDS!$E$23</f>
        <v>TOTH</v>
      </c>
      <c r="F169">
        <v>2023</v>
      </c>
      <c r="G169" s="19">
        <f>HLOOKUP(REG_TRA_DEMANDS!G$3,'BY-Demands'!$J$5:$AK$14,MATCH($E169,'BY-Demands'!$I$5:$I$14,0),FALSE)*HLOOKUP(REG_TRA_DEMANDS!$F169,DEMANDS!$G$2:$CK$25,MATCH($E169,DEMANDS!$E$2:$E$25,0),FALSE)/HLOOKUP(2018,DEMANDS!$G$2:$CK$25,MATCH($E169,DEMANDS!$E$2:$E$25,0),FALSE)</f>
        <v>0.14927998107498622</v>
      </c>
      <c r="H169" s="19">
        <f>HLOOKUP(REG_TRA_DEMANDS!H$3,'BY-Demands'!$J$5:$AK$14,MATCH($E169,'BY-Demands'!$I$5:$I$14,0),FALSE)*HLOOKUP(REG_TRA_DEMANDS!$F169,DEMANDS!$G$2:$CK$25,MATCH($E169,DEMANDS!$E$2:$E$25,0),FALSE)/HLOOKUP(2018,DEMANDS!$G$2:$CK$25,MATCH($E169,DEMANDS!$E$2:$E$25,0),FALSE)</f>
        <v>3.5328765197290295</v>
      </c>
      <c r="I169" s="19">
        <f>HLOOKUP(REG_TRA_DEMANDS!I$3,'BY-Demands'!$J$5:$AK$14,MATCH($E169,'BY-Demands'!$I$5:$I$14,0),FALSE)*HLOOKUP(REG_TRA_DEMANDS!$F169,DEMANDS!$G$2:$CK$25,MATCH($E169,DEMANDS!$E$2:$E$25,0),FALSE)/HLOOKUP(2018,DEMANDS!$G$2:$CK$25,MATCH($E169,DEMANDS!$E$2:$E$25,0),FALSE)</f>
        <v>0.58342220384157939</v>
      </c>
      <c r="J169" s="19">
        <f>HLOOKUP(REG_TRA_DEMANDS!J$3,'BY-Demands'!$J$5:$AK$14,MATCH($E169,'BY-Demands'!$I$5:$I$14,0),FALSE)*HLOOKUP(REG_TRA_DEMANDS!$F169,DEMANDS!$G$2:$CK$25,MATCH($E169,DEMANDS!$E$2:$E$25,0),FALSE)/HLOOKUP(2018,DEMANDS!$G$2:$CK$25,MATCH($E169,DEMANDS!$E$2:$E$25,0),FALSE)</f>
        <v>0.2601937589059416</v>
      </c>
      <c r="K169" s="19">
        <f>HLOOKUP(REG_TRA_DEMANDS!K$3,'BY-Demands'!$J$5:$AK$14,MATCH($E169,'BY-Demands'!$I$5:$I$14,0),FALSE)*HLOOKUP(REG_TRA_DEMANDS!$F169,DEMANDS!$G$2:$CK$25,MATCH($E169,DEMANDS!$E$2:$E$25,0),FALSE)/HLOOKUP(2018,DEMANDS!$G$2:$CK$25,MATCH($E169,DEMANDS!$E$2:$E$25,0),FALSE)</f>
        <v>0.22208189694913433</v>
      </c>
      <c r="L169" s="19">
        <f>HLOOKUP(REG_TRA_DEMANDS!L$3,'BY-Demands'!$J$5:$AK$14,MATCH($E169,'BY-Demands'!$I$5:$I$14,0),FALSE)*HLOOKUP(REG_TRA_DEMANDS!$F169,DEMANDS!$G$2:$CK$25,MATCH($E169,DEMANDS!$E$2:$E$25,0),FALSE)/HLOOKUP(2018,DEMANDS!$G$2:$CK$25,MATCH($E169,DEMANDS!$E$2:$E$25,0),FALSE)</f>
        <v>0.10717207662611415</v>
      </c>
      <c r="M169" s="19">
        <f>HLOOKUP(REG_TRA_DEMANDS!M$3,'BY-Demands'!$J$5:$AK$14,MATCH($E169,'BY-Demands'!$I$5:$I$14,0),FALSE)*HLOOKUP(REG_TRA_DEMANDS!$F169,DEMANDS!$G$2:$CK$25,MATCH($E169,DEMANDS!$E$2:$E$25,0),FALSE)/HLOOKUP(2018,DEMANDS!$G$2:$CK$25,MATCH($E169,DEMANDS!$E$2:$E$25,0),FALSE)</f>
        <v>0.33794353054290338</v>
      </c>
      <c r="N169" s="19">
        <f>HLOOKUP(REG_TRA_DEMANDS!N$3,'BY-Demands'!$J$5:$AK$14,MATCH($E169,'BY-Demands'!$I$5:$I$14,0),FALSE)*HLOOKUP(REG_TRA_DEMANDS!$F169,DEMANDS!$G$2:$CK$25,MATCH($E169,DEMANDS!$E$2:$E$25,0),FALSE)/HLOOKUP(2018,DEMANDS!$G$2:$CK$25,MATCH($E169,DEMANDS!$E$2:$E$25,0),FALSE)</f>
        <v>0.51142002088086935</v>
      </c>
      <c r="O169" s="19">
        <f>HLOOKUP(REG_TRA_DEMANDS!O$3,'BY-Demands'!$J$5:$AK$14,MATCH($E169,'BY-Demands'!$I$5:$I$14,0),FALSE)*HLOOKUP(REG_TRA_DEMANDS!$F169,DEMANDS!$G$2:$CK$25,MATCH($E169,DEMANDS!$E$2:$E$25,0),FALSE)/HLOOKUP(2018,DEMANDS!$G$2:$CK$25,MATCH($E169,DEMANDS!$E$2:$E$25,0),FALSE)</f>
        <v>0.20441959890021436</v>
      </c>
      <c r="P169" s="19">
        <f>HLOOKUP(REG_TRA_DEMANDS!P$3,'BY-Demands'!$J$5:$AK$14,MATCH($E169,'BY-Demands'!$I$5:$I$14,0),FALSE)*HLOOKUP(REG_TRA_DEMANDS!$F169,DEMANDS!$G$2:$CK$25,MATCH($E169,DEMANDS!$E$2:$E$25,0),FALSE)/HLOOKUP(2018,DEMANDS!$G$2:$CK$25,MATCH($E169,DEMANDS!$E$2:$E$25,0),FALSE)</f>
        <v>0.23276160893744349</v>
      </c>
      <c r="Q169" s="19">
        <f>HLOOKUP(REG_TRA_DEMANDS!Q$3,'BY-Demands'!$J$5:$AK$14,MATCH($E169,'BY-Demands'!$I$5:$I$14,0),FALSE)*HLOOKUP(REG_TRA_DEMANDS!$F169,DEMANDS!$G$2:$CK$25,MATCH($E169,DEMANDS!$E$2:$E$25,0),FALSE)/HLOOKUP(2018,DEMANDS!$G$2:$CK$25,MATCH($E169,DEMANDS!$E$2:$E$25,0),FALSE)</f>
        <v>0.39258233201906001</v>
      </c>
      <c r="R169" s="19">
        <f>HLOOKUP(REG_TRA_DEMANDS!R$3,'BY-Demands'!$J$5:$AK$14,MATCH($E169,'BY-Demands'!$I$5:$I$14,0),FALSE)*HLOOKUP(REG_TRA_DEMANDS!$F169,DEMANDS!$G$2:$CK$25,MATCH($E169,DEMANDS!$E$2:$E$25,0),FALSE)/HLOOKUP(2018,DEMANDS!$G$2:$CK$25,MATCH($E169,DEMANDS!$E$2:$E$25,0),FALSE)</f>
        <v>0.37344904982443877</v>
      </c>
      <c r="S169" s="19">
        <f>HLOOKUP(REG_TRA_DEMANDS!S$3,'BY-Demands'!$J$5:$AK$14,MATCH($E169,'BY-Demands'!$I$5:$I$14,0),FALSE)*HLOOKUP(REG_TRA_DEMANDS!$F169,DEMANDS!$G$2:$CK$25,MATCH($E169,DEMANDS!$E$2:$E$25,0),FALSE)/HLOOKUP(2018,DEMANDS!$G$2:$CK$25,MATCH($E169,DEMANDS!$E$2:$E$25,0),FALSE)</f>
        <v>0.31154710024918625</v>
      </c>
      <c r="T169" s="19">
        <f>HLOOKUP(REG_TRA_DEMANDS!T$3,'BY-Demands'!$J$5:$AK$14,MATCH($E169,'BY-Demands'!$I$5:$I$14,0),FALSE)*HLOOKUP(REG_TRA_DEMANDS!$F169,DEMANDS!$G$2:$CK$25,MATCH($E169,DEMANDS!$E$2:$E$25,0),FALSE)/HLOOKUP(2018,DEMANDS!$G$2:$CK$25,MATCH($E169,DEMANDS!$E$2:$E$25,0),FALSE)</f>
        <v>1.4234406795161891</v>
      </c>
      <c r="U169" s="19">
        <f>HLOOKUP(REG_TRA_DEMANDS!U$3,'BY-Demands'!$J$5:$AK$14,MATCH($E169,'BY-Demands'!$I$5:$I$14,0),FALSE)*HLOOKUP(REG_TRA_DEMANDS!$F169,DEMANDS!$G$2:$CK$25,MATCH($E169,DEMANDS!$E$2:$E$25,0),FALSE)/HLOOKUP(2018,DEMANDS!$G$2:$CK$25,MATCH($E169,DEMANDS!$E$2:$E$25,0),FALSE)</f>
        <v>0.38729885064011504</v>
      </c>
      <c r="V169" s="19">
        <f>HLOOKUP(REG_TRA_DEMANDS!V$3,'BY-Demands'!$J$5:$AK$14,MATCH($E169,'BY-Demands'!$I$5:$I$14,0),FALSE)*HLOOKUP(REG_TRA_DEMANDS!$F169,DEMANDS!$G$2:$CK$25,MATCH($E169,DEMANDS!$E$2:$E$25,0),FALSE)/HLOOKUP(2018,DEMANDS!$G$2:$CK$25,MATCH($E169,DEMANDS!$E$2:$E$25,0),FALSE)</f>
        <v>0.51103981998759584</v>
      </c>
      <c r="W169" s="19">
        <f>HLOOKUP(REG_TRA_DEMANDS!W$3,'BY-Demands'!$J$5:$AK$14,MATCH($E169,'BY-Demands'!$I$5:$I$14,0),FALSE)*HLOOKUP(REG_TRA_DEMANDS!$F169,DEMANDS!$G$2:$CK$25,MATCH($E169,DEMANDS!$E$2:$E$25,0),FALSE)/HLOOKUP(2018,DEMANDS!$G$2:$CK$25,MATCH($E169,DEMANDS!$E$2:$E$25,0),FALSE)</f>
        <v>0.41835995258303449</v>
      </c>
      <c r="X169" s="19">
        <f>HLOOKUP(REG_TRA_DEMANDS!X$3,'BY-Demands'!$J$5:$AK$14,MATCH($E169,'BY-Demands'!$I$5:$I$14,0),FALSE)*HLOOKUP(REG_TRA_DEMANDS!$F169,DEMANDS!$G$2:$CK$25,MATCH($E169,DEMANDS!$E$2:$E$25,0),FALSE)/HLOOKUP(2018,DEMANDS!$G$2:$CK$25,MATCH($E169,DEMANDS!$E$2:$E$25,0),FALSE)</f>
        <v>0.30462219984134781</v>
      </c>
      <c r="Y169" s="19">
        <f>HLOOKUP(REG_TRA_DEMANDS!Y$3,'BY-Demands'!$J$5:$AK$14,MATCH($E169,'BY-Demands'!$I$5:$I$14,0),FALSE)*HLOOKUP(REG_TRA_DEMANDS!$F169,DEMANDS!$G$2:$CK$25,MATCH($E169,DEMANDS!$E$2:$E$25,0),FALSE)/HLOOKUP(2018,DEMANDS!$G$2:$CK$25,MATCH($E169,DEMANDS!$E$2:$E$25,0),FALSE)</f>
        <v>0.67664746287235156</v>
      </c>
      <c r="Z169" s="19">
        <f>HLOOKUP(REG_TRA_DEMANDS!Z$3,'BY-Demands'!$J$5:$AK$14,MATCH($E169,'BY-Demands'!$I$5:$I$14,0),FALSE)*HLOOKUP(REG_TRA_DEMANDS!$F169,DEMANDS!$G$2:$CK$25,MATCH($E169,DEMANDS!$E$2:$E$25,0),FALSE)/HLOOKUP(2018,DEMANDS!$G$2:$CK$25,MATCH($E169,DEMANDS!$E$2:$E$25,0),FALSE)</f>
        <v>0.084021775338419175</v>
      </c>
      <c r="AA169" s="19">
        <f>HLOOKUP(REG_TRA_DEMANDS!AA$3,'BY-Demands'!$J$5:$AK$14,MATCH($E169,'BY-Demands'!$I$5:$I$14,0),FALSE)*HLOOKUP(REG_TRA_DEMANDS!$F169,DEMANDS!$G$2:$CK$25,MATCH($E169,DEMANDS!$E$2:$E$25,0),FALSE)/HLOOKUP(2018,DEMANDS!$G$2:$CK$25,MATCH($E169,DEMANDS!$E$2:$E$25,0),FALSE)</f>
        <v>0.34219915847244564</v>
      </c>
      <c r="AB169" s="19">
        <f>HLOOKUP(REG_TRA_DEMANDS!AB$3,'BY-Demands'!$J$5:$AK$14,MATCH($E169,'BY-Demands'!$I$5:$I$14,0),FALSE)*HLOOKUP(REG_TRA_DEMANDS!$F169,DEMANDS!$G$2:$CK$25,MATCH($E169,DEMANDS!$E$2:$E$25,0),FALSE)/HLOOKUP(2018,DEMANDS!$G$2:$CK$25,MATCH($E169,DEMANDS!$E$2:$E$25,0),FALSE)</f>
        <v>0.16923921693430638</v>
      </c>
      <c r="AC169" s="19">
        <f>HLOOKUP(REG_TRA_DEMANDS!AC$3,'BY-Demands'!$J$5:$AK$14,MATCH($E169,'BY-Demands'!$I$5:$I$14,0),FALSE)*HLOOKUP(REG_TRA_DEMANDS!$F169,DEMANDS!$G$2:$CK$25,MATCH($E169,DEMANDS!$E$2:$E$25,0),FALSE)/HLOOKUP(2018,DEMANDS!$G$2:$CK$25,MATCH($E169,DEMANDS!$E$2:$E$25,0),FALSE)</f>
        <v>0.17183769338419941</v>
      </c>
      <c r="AD169" s="19">
        <f>HLOOKUP(REG_TRA_DEMANDS!AD$3,'BY-Demands'!$J$5:$AK$14,MATCH($E169,'BY-Demands'!$I$5:$I$14,0),FALSE)*HLOOKUP(REG_TRA_DEMANDS!$F169,DEMANDS!$G$2:$CK$25,MATCH($E169,DEMANDS!$E$2:$E$25,0),FALSE)/HLOOKUP(2018,DEMANDS!$G$2:$CK$25,MATCH($E169,DEMANDS!$E$2:$E$25,0),FALSE)</f>
        <v>0.19973919480025565</v>
      </c>
      <c r="AE169" s="19">
        <f>HLOOKUP(REG_TRA_DEMANDS!AE$3,'BY-Demands'!$J$5:$AK$14,MATCH($E169,'BY-Demands'!$I$5:$I$14,0),FALSE)*HLOOKUP(REG_TRA_DEMANDS!$F169,DEMANDS!$G$2:$CK$25,MATCH($E169,DEMANDS!$E$2:$E$25,0),FALSE)/HLOOKUP(2018,DEMANDS!$G$2:$CK$25,MATCH($E169,DEMANDS!$E$2:$E$25,0),FALSE)</f>
        <v>0.41741338346253881</v>
      </c>
      <c r="AF169" s="19">
        <f>HLOOKUP(REG_TRA_DEMANDS!AF$3,'BY-Demands'!$J$5:$AK$14,MATCH($E169,'BY-Demands'!$I$5:$I$14,0),FALSE)*HLOOKUP(REG_TRA_DEMANDS!$F169,DEMANDS!$G$2:$CK$25,MATCH($E169,DEMANDS!$E$2:$E$25,0),FALSE)/HLOOKUP(2018,DEMANDS!$G$2:$CK$25,MATCH($E169,DEMANDS!$E$2:$E$25,0),FALSE)</f>
        <v>0.16095870368631215</v>
      </c>
    </row>
    <row r="170" spans="4:32" ht="14.5">
      <c r="D170" t="s">
        <v>6</v>
      </c>
      <c r="E170" t="str">
        <f>DEMANDS!$E$23</f>
        <v>TOTH</v>
      </c>
      <c r="F170">
        <v>2024</v>
      </c>
      <c r="G170" s="19">
        <f>HLOOKUP(REG_TRA_DEMANDS!G$3,'BY-Demands'!$J$5:$AK$14,MATCH($E170,'BY-Demands'!$I$5:$I$14,0),FALSE)*HLOOKUP(REG_TRA_DEMANDS!$F170,DEMANDS!$G$2:$CK$25,MATCH($E170,DEMANDS!$E$2:$E$25,0),FALSE)/HLOOKUP(2018,DEMANDS!$G$2:$CK$25,MATCH($E170,DEMANDS!$E$2:$E$25,0),FALSE)</f>
        <v>0.13250590284478861</v>
      </c>
      <c r="H170" s="19">
        <f>HLOOKUP(REG_TRA_DEMANDS!H$3,'BY-Demands'!$J$5:$AK$14,MATCH($E170,'BY-Demands'!$I$5:$I$14,0),FALSE)*HLOOKUP(REG_TRA_DEMANDS!$F170,DEMANDS!$G$2:$CK$25,MATCH($E170,DEMANDS!$E$2:$E$25,0),FALSE)/HLOOKUP(2018,DEMANDS!$G$2:$CK$25,MATCH($E170,DEMANDS!$E$2:$E$25,0),FALSE)</f>
        <v>3.1358993316773027</v>
      </c>
      <c r="I170" s="19">
        <f>HLOOKUP(REG_TRA_DEMANDS!I$3,'BY-Demands'!$J$5:$AK$14,MATCH($E170,'BY-Demands'!$I$5:$I$14,0),FALSE)*HLOOKUP(REG_TRA_DEMANDS!$F170,DEMANDS!$G$2:$CK$25,MATCH($E170,DEMANDS!$E$2:$E$25,0),FALSE)/HLOOKUP(2018,DEMANDS!$G$2:$CK$25,MATCH($E170,DEMANDS!$E$2:$E$25,0),FALSE)</f>
        <v>0.51786505667422378</v>
      </c>
      <c r="J170" s="19">
        <f>HLOOKUP(REG_TRA_DEMANDS!J$3,'BY-Demands'!$J$5:$AK$14,MATCH($E170,'BY-Demands'!$I$5:$I$14,0),FALSE)*HLOOKUP(REG_TRA_DEMANDS!$F170,DEMANDS!$G$2:$CK$25,MATCH($E170,DEMANDS!$E$2:$E$25,0),FALSE)/HLOOKUP(2018,DEMANDS!$G$2:$CK$25,MATCH($E170,DEMANDS!$E$2:$E$25,0),FALSE)</f>
        <v>0.23095668079628492</v>
      </c>
      <c r="K170" s="19">
        <f>HLOOKUP(REG_TRA_DEMANDS!K$3,'BY-Demands'!$J$5:$AK$14,MATCH($E170,'BY-Demands'!$I$5:$I$14,0),FALSE)*HLOOKUP(REG_TRA_DEMANDS!$F170,DEMANDS!$G$2:$CK$25,MATCH($E170,DEMANDS!$E$2:$E$25,0),FALSE)/HLOOKUP(2018,DEMANDS!$G$2:$CK$25,MATCH($E170,DEMANDS!$E$2:$E$25,0),FALSE)</f>
        <v>0.19712731773422801</v>
      </c>
      <c r="L170" s="19">
        <f>HLOOKUP(REG_TRA_DEMANDS!L$3,'BY-Demands'!$J$5:$AK$14,MATCH($E170,'BY-Demands'!$I$5:$I$14,0),FALSE)*HLOOKUP(REG_TRA_DEMANDS!$F170,DEMANDS!$G$2:$CK$25,MATCH($E170,DEMANDS!$E$2:$E$25,0),FALSE)/HLOOKUP(2018,DEMANDS!$G$2:$CK$25,MATCH($E170,DEMANDS!$E$2:$E$25,0),FALSE)</f>
        <v>0.095129518846607586</v>
      </c>
      <c r="M170" s="19">
        <f>HLOOKUP(REG_TRA_DEMANDS!M$3,'BY-Demands'!$J$5:$AK$14,MATCH($E170,'BY-Demands'!$I$5:$I$14,0),FALSE)*HLOOKUP(REG_TRA_DEMANDS!$F170,DEMANDS!$G$2:$CK$25,MATCH($E170,DEMANDS!$E$2:$E$25,0),FALSE)/HLOOKUP(2018,DEMANDS!$G$2:$CK$25,MATCH($E170,DEMANDS!$E$2:$E$25,0),FALSE)</f>
        <v>0.29996997790781604</v>
      </c>
      <c r="N170" s="19">
        <f>HLOOKUP(REG_TRA_DEMANDS!N$3,'BY-Demands'!$J$5:$AK$14,MATCH($E170,'BY-Demands'!$I$5:$I$14,0),FALSE)*HLOOKUP(REG_TRA_DEMANDS!$F170,DEMANDS!$G$2:$CK$25,MATCH($E170,DEMANDS!$E$2:$E$25,0),FALSE)/HLOOKUP(2018,DEMANDS!$G$2:$CK$25,MATCH($E170,DEMANDS!$E$2:$E$25,0),FALSE)</f>
        <v>0.45395351146032092</v>
      </c>
      <c r="O170" s="19">
        <f>HLOOKUP(REG_TRA_DEMANDS!O$3,'BY-Demands'!$J$5:$AK$14,MATCH($E170,'BY-Demands'!$I$5:$I$14,0),FALSE)*HLOOKUP(REG_TRA_DEMANDS!$F170,DEMANDS!$G$2:$CK$25,MATCH($E170,DEMANDS!$E$2:$E$25,0),FALSE)/HLOOKUP(2018,DEMANDS!$G$2:$CK$25,MATCH($E170,DEMANDS!$E$2:$E$25,0),FALSE)</f>
        <v>0.18144967139188098</v>
      </c>
      <c r="P170" s="19">
        <f>HLOOKUP(REG_TRA_DEMANDS!P$3,'BY-Demands'!$J$5:$AK$14,MATCH($E170,'BY-Demands'!$I$5:$I$14,0),FALSE)*HLOOKUP(REG_TRA_DEMANDS!$F170,DEMANDS!$G$2:$CK$25,MATCH($E170,DEMANDS!$E$2:$E$25,0),FALSE)/HLOOKUP(2018,DEMANDS!$G$2:$CK$25,MATCH($E170,DEMANDS!$E$2:$E$25,0),FALSE)</f>
        <v>0.20660698720459303</v>
      </c>
      <c r="Q170" s="19">
        <f>HLOOKUP(REG_TRA_DEMANDS!Q$3,'BY-Demands'!$J$5:$AK$14,MATCH($E170,'BY-Demands'!$I$5:$I$14,0),FALSE)*HLOOKUP(REG_TRA_DEMANDS!$F170,DEMANDS!$G$2:$CK$25,MATCH($E170,DEMANDS!$E$2:$E$25,0),FALSE)/HLOOKUP(2018,DEMANDS!$G$2:$CK$25,MATCH($E170,DEMANDS!$E$2:$E$25,0),FALSE)</f>
        <v>0.34846920511711299</v>
      </c>
      <c r="R170" s="19">
        <f>HLOOKUP(REG_TRA_DEMANDS!R$3,'BY-Demands'!$J$5:$AK$14,MATCH($E170,'BY-Demands'!$I$5:$I$14,0),FALSE)*HLOOKUP(REG_TRA_DEMANDS!$F170,DEMANDS!$G$2:$CK$25,MATCH($E170,DEMANDS!$E$2:$E$25,0),FALSE)/HLOOKUP(2018,DEMANDS!$G$2:$CK$25,MATCH($E170,DEMANDS!$E$2:$E$25,0),FALSE)</f>
        <v>0.33148586406009017</v>
      </c>
      <c r="S170" s="19">
        <f>HLOOKUP(REG_TRA_DEMANDS!S$3,'BY-Demands'!$J$5:$AK$14,MATCH($E170,'BY-Demands'!$I$5:$I$14,0),FALSE)*HLOOKUP(REG_TRA_DEMANDS!$F170,DEMANDS!$G$2:$CK$25,MATCH($E170,DEMANDS!$E$2:$E$25,0),FALSE)/HLOOKUP(2018,DEMANDS!$G$2:$CK$25,MATCH($E170,DEMANDS!$E$2:$E$25,0),FALSE)</f>
        <v>0.27653962373198343</v>
      </c>
      <c r="T170" s="19">
        <f>HLOOKUP(REG_TRA_DEMANDS!T$3,'BY-Demands'!$J$5:$AK$14,MATCH($E170,'BY-Demands'!$I$5:$I$14,0),FALSE)*HLOOKUP(REG_TRA_DEMANDS!$F170,DEMANDS!$G$2:$CK$25,MATCH($E170,DEMANDS!$E$2:$E$25,0),FALSE)/HLOOKUP(2018,DEMANDS!$G$2:$CK$25,MATCH($E170,DEMANDS!$E$2:$E$25,0),FALSE)</f>
        <v>1.263493544325595</v>
      </c>
      <c r="U170" s="19">
        <f>HLOOKUP(REG_TRA_DEMANDS!U$3,'BY-Demands'!$J$5:$AK$14,MATCH($E170,'BY-Demands'!$I$5:$I$14,0),FALSE)*HLOOKUP(REG_TRA_DEMANDS!$F170,DEMANDS!$G$2:$CK$25,MATCH($E170,DEMANDS!$E$2:$E$25,0),FALSE)/HLOOKUP(2018,DEMANDS!$G$2:$CK$25,MATCH($E170,DEMANDS!$E$2:$E$25,0),FALSE)</f>
        <v>0.3437794103754519</v>
      </c>
      <c r="V170" s="19">
        <f>HLOOKUP(REG_TRA_DEMANDS!V$3,'BY-Demands'!$J$5:$AK$14,MATCH($E170,'BY-Demands'!$I$5:$I$14,0),FALSE)*HLOOKUP(REG_TRA_DEMANDS!$F170,DEMANDS!$G$2:$CK$25,MATCH($E170,DEMANDS!$E$2:$E$25,0),FALSE)/HLOOKUP(2018,DEMANDS!$G$2:$CK$25,MATCH($E170,DEMANDS!$E$2:$E$25,0),FALSE)</f>
        <v>0.45361603243424642</v>
      </c>
      <c r="W170" s="19">
        <f>HLOOKUP(REG_TRA_DEMANDS!W$3,'BY-Demands'!$J$5:$AK$14,MATCH($E170,'BY-Demands'!$I$5:$I$14,0),FALSE)*HLOOKUP(REG_TRA_DEMANDS!$F170,DEMANDS!$G$2:$CK$25,MATCH($E170,DEMANDS!$E$2:$E$25,0),FALSE)/HLOOKUP(2018,DEMANDS!$G$2:$CK$25,MATCH($E170,DEMANDS!$E$2:$E$25,0),FALSE)</f>
        <v>0.37135028308498913</v>
      </c>
      <c r="X170" s="19">
        <f>HLOOKUP(REG_TRA_DEMANDS!X$3,'BY-Demands'!$J$5:$AK$14,MATCH($E170,'BY-Demands'!$I$5:$I$14,0),FALSE)*HLOOKUP(REG_TRA_DEMANDS!$F170,DEMANDS!$G$2:$CK$25,MATCH($E170,DEMANDS!$E$2:$E$25,0),FALSE)/HLOOKUP(2018,DEMANDS!$G$2:$CK$25,MATCH($E170,DEMANDS!$E$2:$E$25,0),FALSE)</f>
        <v>0.27039285057430223</v>
      </c>
      <c r="Y170" s="19">
        <f>HLOOKUP(REG_TRA_DEMANDS!Y$3,'BY-Demands'!$J$5:$AK$14,MATCH($E170,'BY-Demands'!$I$5:$I$14,0),FALSE)*HLOOKUP(REG_TRA_DEMANDS!$F170,DEMANDS!$G$2:$CK$25,MATCH($E170,DEMANDS!$E$2:$E$25,0),FALSE)/HLOOKUP(2018,DEMANDS!$G$2:$CK$25,MATCH($E170,DEMANDS!$E$2:$E$25,0),FALSE)</f>
        <v>0.6006149138677791</v>
      </c>
      <c r="Z170" s="19">
        <f>HLOOKUP(REG_TRA_DEMANDS!Z$3,'BY-Demands'!$J$5:$AK$14,MATCH($E170,'BY-Demands'!$I$5:$I$14,0),FALSE)*HLOOKUP(REG_TRA_DEMANDS!$F170,DEMANDS!$G$2:$CK$25,MATCH($E170,DEMANDS!$E$2:$E$25,0),FALSE)/HLOOKUP(2018,DEMANDS!$G$2:$CK$25,MATCH($E170,DEMANDS!$E$2:$E$25,0),FALSE)</f>
        <v>0.074580537320986892</v>
      </c>
      <c r="AA170" s="19">
        <f>HLOOKUP(REG_TRA_DEMANDS!AA$3,'BY-Demands'!$J$5:$AK$14,MATCH($E170,'BY-Demands'!$I$5:$I$14,0),FALSE)*HLOOKUP(REG_TRA_DEMANDS!$F170,DEMANDS!$G$2:$CK$25,MATCH($E170,DEMANDS!$E$2:$E$25,0),FALSE)/HLOOKUP(2018,DEMANDS!$G$2:$CK$25,MATCH($E170,DEMANDS!$E$2:$E$25,0),FALSE)</f>
        <v>0.30374741555829537</v>
      </c>
      <c r="AB170" s="19">
        <f>HLOOKUP(REG_TRA_DEMANDS!AB$3,'BY-Demands'!$J$5:$AK$14,MATCH($E170,'BY-Demands'!$I$5:$I$14,0),FALSE)*HLOOKUP(REG_TRA_DEMANDS!$F170,DEMANDS!$G$2:$CK$25,MATCH($E170,DEMANDS!$E$2:$E$25,0),FALSE)/HLOOKUP(2018,DEMANDS!$G$2:$CK$25,MATCH($E170,DEMANDS!$E$2:$E$25,0),FALSE)</f>
        <v>0.15022238799293991</v>
      </c>
      <c r="AC170" s="19">
        <f>HLOOKUP(REG_TRA_DEMANDS!AC$3,'BY-Demands'!$J$5:$AK$14,MATCH($E170,'BY-Demands'!$I$5:$I$14,0),FALSE)*HLOOKUP(REG_TRA_DEMANDS!$F170,DEMANDS!$G$2:$CK$25,MATCH($E170,DEMANDS!$E$2:$E$25,0),FALSE)/HLOOKUP(2018,DEMANDS!$G$2:$CK$25,MATCH($E170,DEMANDS!$E$2:$E$25,0),FALSE)</f>
        <v>0.15252888257804467</v>
      </c>
      <c r="AD170" s="19">
        <f>HLOOKUP(REG_TRA_DEMANDS!AD$3,'BY-Demands'!$J$5:$AK$14,MATCH($E170,'BY-Demands'!$I$5:$I$14,0),FALSE)*HLOOKUP(REG_TRA_DEMANDS!$F170,DEMANDS!$G$2:$CK$25,MATCH($E170,DEMANDS!$E$2:$E$25,0),FALSE)/HLOOKUP(2018,DEMANDS!$G$2:$CK$25,MATCH($E170,DEMANDS!$E$2:$E$25,0),FALSE)</f>
        <v>0.17729518820882145</v>
      </c>
      <c r="AE170" s="19">
        <f>HLOOKUP(REG_TRA_DEMANDS!AE$3,'BY-Demands'!$J$5:$AK$14,MATCH($E170,'BY-Demands'!$I$5:$I$14,0),FALSE)*HLOOKUP(REG_TRA_DEMANDS!$F170,DEMANDS!$G$2:$CK$25,MATCH($E170,DEMANDS!$E$2:$E$25,0),FALSE)/HLOOKUP(2018,DEMANDS!$G$2:$CK$25,MATCH($E170,DEMANDS!$E$2:$E$25,0),FALSE)</f>
        <v>0.3705100766821407</v>
      </c>
      <c r="AF170" s="19">
        <f>HLOOKUP(REG_TRA_DEMANDS!AF$3,'BY-Demands'!$J$5:$AK$14,MATCH($E170,'BY-Demands'!$I$5:$I$14,0),FALSE)*HLOOKUP(REG_TRA_DEMANDS!$F170,DEMANDS!$G$2:$CK$25,MATCH($E170,DEMANDS!$E$2:$E$25,0),FALSE)/HLOOKUP(2018,DEMANDS!$G$2:$CK$25,MATCH($E170,DEMANDS!$E$2:$E$25,0),FALSE)</f>
        <v>0.14287232754918519</v>
      </c>
    </row>
    <row r="171" spans="4:32" ht="14.5">
      <c r="D171" t="s">
        <v>6</v>
      </c>
      <c r="E171" t="str">
        <f>DEMANDS!$E$23</f>
        <v>TOTH</v>
      </c>
      <c r="F171">
        <v>2025</v>
      </c>
      <c r="G171" s="19">
        <f>HLOOKUP(REG_TRA_DEMANDS!G$3,'BY-Demands'!$J$5:$AK$14,MATCH($E171,'BY-Demands'!$I$5:$I$14,0),FALSE)*HLOOKUP(REG_TRA_DEMANDS!$F171,DEMANDS!$G$2:$CK$25,MATCH($E171,DEMANDS!$E$2:$E$25,0),FALSE)/HLOOKUP(2018,DEMANDS!$G$2:$CK$25,MATCH($E171,DEMANDS!$E$2:$E$25,0),FALSE)</f>
        <v>0.10373943515870347</v>
      </c>
      <c r="H171" s="19">
        <f>HLOOKUP(REG_TRA_DEMANDS!H$3,'BY-Demands'!$J$5:$AK$14,MATCH($E171,'BY-Demands'!$I$5:$I$14,0),FALSE)*HLOOKUP(REG_TRA_DEMANDS!$F171,DEMANDS!$G$2:$CK$25,MATCH($E171,DEMANDS!$E$2:$E$25,0),FALSE)/HLOOKUP(2018,DEMANDS!$G$2:$CK$25,MATCH($E171,DEMANDS!$E$2:$E$25,0),FALSE)</f>
        <v>2.4551089302324889</v>
      </c>
      <c r="I171" s="19">
        <f>HLOOKUP(REG_TRA_DEMANDS!I$3,'BY-Demands'!$J$5:$AK$14,MATCH($E171,'BY-Demands'!$I$5:$I$14,0),FALSE)*HLOOKUP(REG_TRA_DEMANDS!$F171,DEMANDS!$G$2:$CK$25,MATCH($E171,DEMANDS!$E$2:$E$25,0),FALSE)/HLOOKUP(2018,DEMANDS!$G$2:$CK$25,MATCH($E171,DEMANDS!$E$2:$E$25,0),FALSE)</f>
        <v>0.40543875642085647</v>
      </c>
      <c r="J171" s="19">
        <f>HLOOKUP(REG_TRA_DEMANDS!J$3,'BY-Demands'!$J$5:$AK$14,MATCH($E171,'BY-Demands'!$I$5:$I$14,0),FALSE)*HLOOKUP(REG_TRA_DEMANDS!$F171,DEMANDS!$G$2:$CK$25,MATCH($E171,DEMANDS!$E$2:$E$25,0),FALSE)/HLOOKUP(2018,DEMANDS!$G$2:$CK$25,MATCH($E171,DEMANDS!$E$2:$E$25,0),FALSE)</f>
        <v>0.18081696813160411</v>
      </c>
      <c r="K171" s="19">
        <f>HLOOKUP(REG_TRA_DEMANDS!K$3,'BY-Demands'!$J$5:$AK$14,MATCH($E171,'BY-Demands'!$I$5:$I$14,0),FALSE)*HLOOKUP(REG_TRA_DEMANDS!$F171,DEMANDS!$G$2:$CK$25,MATCH($E171,DEMANDS!$E$2:$E$25,0),FALSE)/HLOOKUP(2018,DEMANDS!$G$2:$CK$25,MATCH($E171,DEMANDS!$E$2:$E$25,0),FALSE)</f>
        <v>0.15433181584410724</v>
      </c>
      <c r="L171" s="19">
        <f>HLOOKUP(REG_TRA_DEMANDS!L$3,'BY-Demands'!$J$5:$AK$14,MATCH($E171,'BY-Demands'!$I$5:$I$14,0),FALSE)*HLOOKUP(REG_TRA_DEMANDS!$F171,DEMANDS!$G$2:$CK$25,MATCH($E171,DEMANDS!$E$2:$E$25,0),FALSE)/HLOOKUP(2018,DEMANDS!$G$2:$CK$25,MATCH($E171,DEMANDS!$E$2:$E$25,0),FALSE)</f>
        <v>0.074477305087502652</v>
      </c>
      <c r="M171" s="19">
        <f>HLOOKUP(REG_TRA_DEMANDS!M$3,'BY-Demands'!$J$5:$AK$14,MATCH($E171,'BY-Demands'!$I$5:$I$14,0),FALSE)*HLOOKUP(REG_TRA_DEMANDS!$F171,DEMANDS!$G$2:$CK$25,MATCH($E171,DEMANDS!$E$2:$E$25,0),FALSE)/HLOOKUP(2018,DEMANDS!$G$2:$CK$25,MATCH($E171,DEMANDS!$E$2:$E$25,0),FALSE)</f>
        <v>0.23484777209643737</v>
      </c>
      <c r="N171" s="19">
        <f>HLOOKUP(REG_TRA_DEMANDS!N$3,'BY-Demands'!$J$5:$AK$14,MATCH($E171,'BY-Demands'!$I$5:$I$14,0),FALSE)*HLOOKUP(REG_TRA_DEMANDS!$F171,DEMANDS!$G$2:$CK$25,MATCH($E171,DEMANDS!$E$2:$E$25,0),FALSE)/HLOOKUP(2018,DEMANDS!$G$2:$CK$25,MATCH($E171,DEMANDS!$E$2:$E$25,0),FALSE)</f>
        <v>0.35540213572497348</v>
      </c>
      <c r="O171" s="19">
        <f>HLOOKUP(REG_TRA_DEMANDS!O$3,'BY-Demands'!$J$5:$AK$14,MATCH($E171,'BY-Demands'!$I$5:$I$14,0),FALSE)*HLOOKUP(REG_TRA_DEMANDS!$F171,DEMANDS!$G$2:$CK$25,MATCH($E171,DEMANDS!$E$2:$E$25,0),FALSE)/HLOOKUP(2018,DEMANDS!$G$2:$CK$25,MATCH($E171,DEMANDS!$E$2:$E$25,0),FALSE)</f>
        <v>0.14205771981324533</v>
      </c>
      <c r="P171" s="19">
        <f>HLOOKUP(REG_TRA_DEMANDS!P$3,'BY-Demands'!$J$5:$AK$14,MATCH($E171,'BY-Demands'!$I$5:$I$14,0),FALSE)*HLOOKUP(REG_TRA_DEMANDS!$F171,DEMANDS!$G$2:$CK$25,MATCH($E171,DEMANDS!$E$2:$E$25,0),FALSE)/HLOOKUP(2018,DEMANDS!$G$2:$CK$25,MATCH($E171,DEMANDS!$E$2:$E$25,0),FALSE)</f>
        <v>0.16175348940908646</v>
      </c>
      <c r="Q171" s="19">
        <f>HLOOKUP(REG_TRA_DEMANDS!Q$3,'BY-Demands'!$J$5:$AK$14,MATCH($E171,'BY-Demands'!$I$5:$I$14,0),FALSE)*HLOOKUP(REG_TRA_DEMANDS!$F171,DEMANDS!$G$2:$CK$25,MATCH($E171,DEMANDS!$E$2:$E$25,0),FALSE)/HLOOKUP(2018,DEMANDS!$G$2:$CK$25,MATCH($E171,DEMANDS!$E$2:$E$25,0),FALSE)</f>
        <v>0.27281802344606593</v>
      </c>
      <c r="R171" s="19">
        <f>HLOOKUP(REG_TRA_DEMANDS!R$3,'BY-Demands'!$J$5:$AK$14,MATCH($E171,'BY-Demands'!$I$5:$I$14,0),FALSE)*HLOOKUP(REG_TRA_DEMANDS!$F171,DEMANDS!$G$2:$CK$25,MATCH($E171,DEMANDS!$E$2:$E$25,0),FALSE)/HLOOKUP(2018,DEMANDS!$G$2:$CK$25,MATCH($E171,DEMANDS!$E$2:$E$25,0),FALSE)</f>
        <v>0.25952169346726561</v>
      </c>
      <c r="S171" s="19">
        <f>HLOOKUP(REG_TRA_DEMANDS!S$3,'BY-Demands'!$J$5:$AK$14,MATCH($E171,'BY-Demands'!$I$5:$I$14,0),FALSE)*HLOOKUP(REG_TRA_DEMANDS!$F171,DEMANDS!$G$2:$CK$25,MATCH($E171,DEMANDS!$E$2:$E$25,0),FALSE)/HLOOKUP(2018,DEMANDS!$G$2:$CK$25,MATCH($E171,DEMANDS!$E$2:$E$25,0),FALSE)</f>
        <v>0.21650404811444693</v>
      </c>
      <c r="T171" s="19">
        <f>HLOOKUP(REG_TRA_DEMANDS!T$3,'BY-Demands'!$J$5:$AK$14,MATCH($E171,'BY-Demands'!$I$5:$I$14,0),FALSE)*HLOOKUP(REG_TRA_DEMANDS!$F171,DEMANDS!$G$2:$CK$25,MATCH($E171,DEMANDS!$E$2:$E$25,0),FALSE)/HLOOKUP(2018,DEMANDS!$G$2:$CK$25,MATCH($E171,DEMANDS!$E$2:$E$25,0),FALSE)</f>
        <v>0.98919447210242173</v>
      </c>
      <c r="U171" s="19">
        <f>HLOOKUP(REG_TRA_DEMANDS!U$3,'BY-Demands'!$J$5:$AK$14,MATCH($E171,'BY-Demands'!$I$5:$I$14,0),FALSE)*HLOOKUP(REG_TRA_DEMANDS!$F171,DEMANDS!$G$2:$CK$25,MATCH($E171,DEMANDS!$E$2:$E$25,0),FALSE)/HLOOKUP(2018,DEMANDS!$G$2:$CK$25,MATCH($E171,DEMANDS!$E$2:$E$25,0),FALSE)</f>
        <v>0.26914636318742785</v>
      </c>
      <c r="V171" s="19">
        <f>HLOOKUP(REG_TRA_DEMANDS!V$3,'BY-Demands'!$J$5:$AK$14,MATCH($E171,'BY-Demands'!$I$5:$I$14,0),FALSE)*HLOOKUP(REG_TRA_DEMANDS!$F171,DEMANDS!$G$2:$CK$25,MATCH($E171,DEMANDS!$E$2:$E$25,0),FALSE)/HLOOKUP(2018,DEMANDS!$G$2:$CK$25,MATCH($E171,DEMANDS!$E$2:$E$25,0),FALSE)</f>
        <v>0.35513792195946381</v>
      </c>
      <c r="W171" s="19">
        <f>HLOOKUP(REG_TRA_DEMANDS!W$3,'BY-Demands'!$J$5:$AK$14,MATCH($E171,'BY-Demands'!$I$5:$I$14,0),FALSE)*HLOOKUP(REG_TRA_DEMANDS!$F171,DEMANDS!$G$2:$CK$25,MATCH($E171,DEMANDS!$E$2:$E$25,0),FALSE)/HLOOKUP(2018,DEMANDS!$G$2:$CK$25,MATCH($E171,DEMANDS!$E$2:$E$25,0),FALSE)</f>
        <v>0.29073171674764009</v>
      </c>
      <c r="X171" s="19">
        <f>HLOOKUP(REG_TRA_DEMANDS!X$3,'BY-Demands'!$J$5:$AK$14,MATCH($E171,'BY-Demands'!$I$5:$I$14,0),FALSE)*HLOOKUP(REG_TRA_DEMANDS!$F171,DEMANDS!$G$2:$CK$25,MATCH($E171,DEMANDS!$E$2:$E$25,0),FALSE)/HLOOKUP(2018,DEMANDS!$G$2:$CK$25,MATCH($E171,DEMANDS!$E$2:$E$25,0),FALSE)</f>
        <v>0.21169171325436562</v>
      </c>
      <c r="Y171" s="19">
        <f>HLOOKUP(REG_TRA_DEMANDS!Y$3,'BY-Demands'!$J$5:$AK$14,MATCH($E171,'BY-Demands'!$I$5:$I$14,0),FALSE)*HLOOKUP(REG_TRA_DEMANDS!$F171,DEMANDS!$G$2:$CK$25,MATCH($E171,DEMANDS!$E$2:$E$25,0),FALSE)/HLOOKUP(2018,DEMANDS!$G$2:$CK$25,MATCH($E171,DEMANDS!$E$2:$E$25,0),FALSE)</f>
        <v>0.47022397172389246</v>
      </c>
      <c r="Z171" s="19">
        <f>HLOOKUP(REG_TRA_DEMANDS!Z$3,'BY-Demands'!$J$5:$AK$14,MATCH($E171,'BY-Demands'!$I$5:$I$14,0),FALSE)*HLOOKUP(REG_TRA_DEMANDS!$F171,DEMANDS!$G$2:$CK$25,MATCH($E171,DEMANDS!$E$2:$E$25,0),FALSE)/HLOOKUP(2018,DEMANDS!$G$2:$CK$25,MATCH($E171,DEMANDS!$E$2:$E$25,0),FALSE)</f>
        <v>0.058389420013797308</v>
      </c>
      <c r="AA171" s="19">
        <f>HLOOKUP(REG_TRA_DEMANDS!AA$3,'BY-Demands'!$J$5:$AK$14,MATCH($E171,'BY-Demands'!$I$5:$I$14,0),FALSE)*HLOOKUP(REG_TRA_DEMANDS!$F171,DEMANDS!$G$2:$CK$25,MATCH($E171,DEMANDS!$E$2:$E$25,0),FALSE)/HLOOKUP(2018,DEMANDS!$G$2:$CK$25,MATCH($E171,DEMANDS!$E$2:$E$25,0),FALSE)</f>
        <v>0.23780514410624864</v>
      </c>
      <c r="AB171" s="19">
        <f>HLOOKUP(REG_TRA_DEMANDS!AB$3,'BY-Demands'!$J$5:$AK$14,MATCH($E171,'BY-Demands'!$I$5:$I$14,0),FALSE)*HLOOKUP(REG_TRA_DEMANDS!$F171,DEMANDS!$G$2:$CK$25,MATCH($E171,DEMANDS!$E$2:$E$25,0),FALSE)/HLOOKUP(2018,DEMANDS!$G$2:$CK$25,MATCH($E171,DEMANDS!$E$2:$E$25,0),FALSE)</f>
        <v>0.11760974676602562</v>
      </c>
      <c r="AC171" s="19">
        <f>HLOOKUP(REG_TRA_DEMANDS!AC$3,'BY-Demands'!$J$5:$AK$14,MATCH($E171,'BY-Demands'!$I$5:$I$14,0),FALSE)*HLOOKUP(REG_TRA_DEMANDS!$F171,DEMANDS!$G$2:$CK$25,MATCH($E171,DEMANDS!$E$2:$E$25,0),FALSE)/HLOOKUP(2018,DEMANDS!$G$2:$CK$25,MATCH($E171,DEMANDS!$E$2:$E$25,0),FALSE)</f>
        <v>0.11941551119099356</v>
      </c>
      <c r="AD171" s="19">
        <f>HLOOKUP(REG_TRA_DEMANDS!AD$3,'BY-Demands'!$J$5:$AK$14,MATCH($E171,'BY-Demands'!$I$5:$I$14,0),FALSE)*HLOOKUP(REG_TRA_DEMANDS!$F171,DEMANDS!$G$2:$CK$25,MATCH($E171,DEMANDS!$E$2:$E$25,0),FALSE)/HLOOKUP(2018,DEMANDS!$G$2:$CK$25,MATCH($E171,DEMANDS!$E$2:$E$25,0),FALSE)</f>
        <v>0.13880515725162298</v>
      </c>
      <c r="AE171" s="19">
        <f>HLOOKUP(REG_TRA_DEMANDS!AE$3,'BY-Demands'!$J$5:$AK$14,MATCH($E171,'BY-Demands'!$I$5:$I$14,0),FALSE)*HLOOKUP(REG_TRA_DEMANDS!$F171,DEMANDS!$G$2:$CK$25,MATCH($E171,DEMANDS!$E$2:$E$25,0),FALSE)/HLOOKUP(2018,DEMANDS!$G$2:$CK$25,MATCH($E171,DEMANDS!$E$2:$E$25,0),FALSE)</f>
        <v>0.2900739155797154</v>
      </c>
      <c r="AF171" s="19">
        <f>HLOOKUP(REG_TRA_DEMANDS!AF$3,'BY-Demands'!$J$5:$AK$14,MATCH($E171,'BY-Demands'!$I$5:$I$14,0),FALSE)*HLOOKUP(REG_TRA_DEMANDS!$F171,DEMANDS!$G$2:$CK$25,MATCH($E171,DEMANDS!$E$2:$E$25,0),FALSE)/HLOOKUP(2018,DEMANDS!$G$2:$CK$25,MATCH($E171,DEMANDS!$E$2:$E$25,0),FALSE)</f>
        <v>0.1118553531696091</v>
      </c>
    </row>
    <row r="172" spans="4:32" ht="14.5">
      <c r="D172" t="s">
        <v>6</v>
      </c>
      <c r="E172" t="str">
        <f>DEMANDS!$E$23</f>
        <v>TOTH</v>
      </c>
      <c r="F172">
        <v>2026</v>
      </c>
      <c r="G172" s="19">
        <f>HLOOKUP(REG_TRA_DEMANDS!G$3,'BY-Demands'!$J$5:$AK$14,MATCH($E172,'BY-Demands'!$I$5:$I$14,0),FALSE)*HLOOKUP(REG_TRA_DEMANDS!$F172,DEMANDS!$G$2:$CK$25,MATCH($E172,DEMANDS!$E$2:$E$25,0),FALSE)/HLOOKUP(2018,DEMANDS!$G$2:$CK$25,MATCH($E172,DEMANDS!$E$2:$E$25,0),FALSE)</f>
        <v>0.067512263556394739</v>
      </c>
      <c r="H172" s="19">
        <f>HLOOKUP(REG_TRA_DEMANDS!H$3,'BY-Demands'!$J$5:$AK$14,MATCH($E172,'BY-Demands'!$I$5:$I$14,0),FALSE)*HLOOKUP(REG_TRA_DEMANDS!$F172,DEMANDS!$G$2:$CK$25,MATCH($E172,DEMANDS!$E$2:$E$25,0),FALSE)/HLOOKUP(2018,DEMANDS!$G$2:$CK$25,MATCH($E172,DEMANDS!$E$2:$E$25,0),FALSE)</f>
        <v>1.5977526858898476</v>
      </c>
      <c r="I172" s="19">
        <f>HLOOKUP(REG_TRA_DEMANDS!I$3,'BY-Demands'!$J$5:$AK$14,MATCH($E172,'BY-Demands'!$I$5:$I$14,0),FALSE)*HLOOKUP(REG_TRA_DEMANDS!$F172,DEMANDS!$G$2:$CK$25,MATCH($E172,DEMANDS!$E$2:$E$25,0),FALSE)/HLOOKUP(2018,DEMANDS!$G$2:$CK$25,MATCH($E172,DEMANDS!$E$2:$E$25,0),FALSE)</f>
        <v>0.2638542241683427</v>
      </c>
      <c r="J172" s="19">
        <f>HLOOKUP(REG_TRA_DEMANDS!J$3,'BY-Demands'!$J$5:$AK$14,MATCH($E172,'BY-Demands'!$I$5:$I$14,0),FALSE)*HLOOKUP(REG_TRA_DEMANDS!$F172,DEMANDS!$G$2:$CK$25,MATCH($E172,DEMANDS!$E$2:$E$25,0),FALSE)/HLOOKUP(2018,DEMANDS!$G$2:$CK$25,MATCH($E172,DEMANDS!$E$2:$E$25,0),FALSE)</f>
        <v>0.11767331091878341</v>
      </c>
      <c r="K172" s="19">
        <f>HLOOKUP(REG_TRA_DEMANDS!K$3,'BY-Demands'!$J$5:$AK$14,MATCH($E172,'BY-Demands'!$I$5:$I$14,0),FALSE)*HLOOKUP(REG_TRA_DEMANDS!$F172,DEMANDS!$G$2:$CK$25,MATCH($E172,DEMANDS!$E$2:$E$25,0),FALSE)/HLOOKUP(2018,DEMANDS!$G$2:$CK$25,MATCH($E172,DEMANDS!$E$2:$E$25,0),FALSE)</f>
        <v>0.10043712124000508</v>
      </c>
      <c r="L172" s="19">
        <f>HLOOKUP(REG_TRA_DEMANDS!L$3,'BY-Demands'!$J$5:$AK$14,MATCH($E172,'BY-Demands'!$I$5:$I$14,0),FALSE)*HLOOKUP(REG_TRA_DEMANDS!$F172,DEMANDS!$G$2:$CK$25,MATCH($E172,DEMANDS!$E$2:$E$25,0),FALSE)/HLOOKUP(2018,DEMANDS!$G$2:$CK$25,MATCH($E172,DEMANDS!$E$2:$E$25,0),FALSE)</f>
        <v>0.048468853164134948</v>
      </c>
      <c r="M172" s="19">
        <f>HLOOKUP(REG_TRA_DEMANDS!M$3,'BY-Demands'!$J$5:$AK$14,MATCH($E172,'BY-Demands'!$I$5:$I$14,0),FALSE)*HLOOKUP(REG_TRA_DEMANDS!$F172,DEMANDS!$G$2:$CK$25,MATCH($E172,DEMANDS!$E$2:$E$25,0),FALSE)/HLOOKUP(2018,DEMANDS!$G$2:$CK$25,MATCH($E172,DEMANDS!$E$2:$E$25,0),FALSE)</f>
        <v>0.15283584936770889</v>
      </c>
      <c r="N172" s="19">
        <f>HLOOKUP(REG_TRA_DEMANDS!N$3,'BY-Demands'!$J$5:$AK$14,MATCH($E172,'BY-Demands'!$I$5:$I$14,0),FALSE)*HLOOKUP(REG_TRA_DEMANDS!$F172,DEMANDS!$G$2:$CK$25,MATCH($E172,DEMANDS!$E$2:$E$25,0),FALSE)/HLOOKUP(2018,DEMANDS!$G$2:$CK$25,MATCH($E172,DEMANDS!$E$2:$E$25,0),FALSE)</f>
        <v>0.23129104779550125</v>
      </c>
      <c r="O172" s="19">
        <f>HLOOKUP(REG_TRA_DEMANDS!O$3,'BY-Demands'!$J$5:$AK$14,MATCH($E172,'BY-Demands'!$I$5:$I$14,0),FALSE)*HLOOKUP(REG_TRA_DEMANDS!$F172,DEMANDS!$G$2:$CK$25,MATCH($E172,DEMANDS!$E$2:$E$25,0),FALSE)/HLOOKUP(2018,DEMANDS!$G$2:$CK$25,MATCH($E172,DEMANDS!$E$2:$E$25,0),FALSE)</f>
        <v>0.092449300553644559</v>
      </c>
      <c r="P172" s="19">
        <f>HLOOKUP(REG_TRA_DEMANDS!P$3,'BY-Demands'!$J$5:$AK$14,MATCH($E172,'BY-Demands'!$I$5:$I$14,0),FALSE)*HLOOKUP(REG_TRA_DEMANDS!$F172,DEMANDS!$G$2:$CK$25,MATCH($E172,DEMANDS!$E$2:$E$25,0),FALSE)/HLOOKUP(2018,DEMANDS!$G$2:$CK$25,MATCH($E172,DEMANDS!$E$2:$E$25,0),FALSE)</f>
        <v>0.10526704903922512</v>
      </c>
      <c r="Q172" s="19">
        <f>HLOOKUP(REG_TRA_DEMANDS!Q$3,'BY-Demands'!$J$5:$AK$14,MATCH($E172,'BY-Demands'!$I$5:$I$14,0),FALSE)*HLOOKUP(REG_TRA_DEMANDS!$F172,DEMANDS!$G$2:$CK$25,MATCH($E172,DEMANDS!$E$2:$E$25,0),FALSE)/HLOOKUP(2018,DEMANDS!$G$2:$CK$25,MATCH($E172,DEMANDS!$E$2:$E$25,0),FALSE)</f>
        <v>0.17754639085559176</v>
      </c>
      <c r="R172" s="19">
        <f>HLOOKUP(REG_TRA_DEMANDS!R$3,'BY-Demands'!$J$5:$AK$14,MATCH($E172,'BY-Demands'!$I$5:$I$14,0),FALSE)*HLOOKUP(REG_TRA_DEMANDS!$F172,DEMANDS!$G$2:$CK$25,MATCH($E172,DEMANDS!$E$2:$E$25,0),FALSE)/HLOOKUP(2018,DEMANDS!$G$2:$CK$25,MATCH($E172,DEMANDS!$E$2:$E$25,0),FALSE)</f>
        <v>0.16889331372548896</v>
      </c>
      <c r="S172" s="19">
        <f>HLOOKUP(REG_TRA_DEMANDS!S$3,'BY-Demands'!$J$5:$AK$14,MATCH($E172,'BY-Demands'!$I$5:$I$14,0),FALSE)*HLOOKUP(REG_TRA_DEMANDS!$F172,DEMANDS!$G$2:$CK$25,MATCH($E172,DEMANDS!$E$2:$E$25,0),FALSE)/HLOOKUP(2018,DEMANDS!$G$2:$CK$25,MATCH($E172,DEMANDS!$E$2:$E$25,0),FALSE)</f>
        <v>0.14089799443160558</v>
      </c>
      <c r="T172" s="19">
        <f>HLOOKUP(REG_TRA_DEMANDS!T$3,'BY-Demands'!$J$5:$AK$14,MATCH($E172,'BY-Demands'!$I$5:$I$14,0),FALSE)*HLOOKUP(REG_TRA_DEMANDS!$F172,DEMANDS!$G$2:$CK$25,MATCH($E172,DEMANDS!$E$2:$E$25,0),FALSE)/HLOOKUP(2018,DEMANDS!$G$2:$CK$25,MATCH($E172,DEMANDS!$E$2:$E$25,0),FALSE)</f>
        <v>0.64375478627718918</v>
      </c>
      <c r="U172" s="19">
        <f>HLOOKUP(REG_TRA_DEMANDS!U$3,'BY-Demands'!$J$5:$AK$14,MATCH($E172,'BY-Demands'!$I$5:$I$14,0),FALSE)*HLOOKUP(REG_TRA_DEMANDS!$F172,DEMANDS!$G$2:$CK$25,MATCH($E172,DEMANDS!$E$2:$E$25,0),FALSE)/HLOOKUP(2018,DEMANDS!$G$2:$CK$25,MATCH($E172,DEMANDS!$E$2:$E$25,0),FALSE)</f>
        <v>0.17515692252379009</v>
      </c>
      <c r="V172" s="19">
        <f>HLOOKUP(REG_TRA_DEMANDS!V$3,'BY-Demands'!$J$5:$AK$14,MATCH($E172,'BY-Demands'!$I$5:$I$14,0),FALSE)*HLOOKUP(REG_TRA_DEMANDS!$F172,DEMANDS!$G$2:$CK$25,MATCH($E172,DEMANDS!$E$2:$E$25,0),FALSE)/HLOOKUP(2018,DEMANDS!$G$2:$CK$25,MATCH($E172,DEMANDS!$E$2:$E$25,0),FALSE)</f>
        <v>0.23111910094284072</v>
      </c>
      <c r="W172" s="19">
        <f>HLOOKUP(REG_TRA_DEMANDS!W$3,'BY-Demands'!$J$5:$AK$14,MATCH($E172,'BY-Demands'!$I$5:$I$14,0),FALSE)*HLOOKUP(REG_TRA_DEMANDS!$F172,DEMANDS!$G$2:$CK$25,MATCH($E172,DEMANDS!$E$2:$E$25,0),FALSE)/HLOOKUP(2018,DEMANDS!$G$2:$CK$25,MATCH($E172,DEMANDS!$E$2:$E$25,0),FALSE)</f>
        <v>0.18920438746598522</v>
      </c>
      <c r="X172" s="19">
        <f>HLOOKUP(REG_TRA_DEMANDS!X$3,'BY-Demands'!$J$5:$AK$14,MATCH($E172,'BY-Demands'!$I$5:$I$14,0),FALSE)*HLOOKUP(REG_TRA_DEMANDS!$F172,DEMANDS!$G$2:$CK$25,MATCH($E172,DEMANDS!$E$2:$E$25,0),FALSE)/HLOOKUP(2018,DEMANDS!$G$2:$CK$25,MATCH($E172,DEMANDS!$E$2:$E$25,0),FALSE)</f>
        <v>0.13776619003245488</v>
      </c>
      <c r="Y172" s="19">
        <f>HLOOKUP(REG_TRA_DEMANDS!Y$3,'BY-Demands'!$J$5:$AK$14,MATCH($E172,'BY-Demands'!$I$5:$I$14,0),FALSE)*HLOOKUP(REG_TRA_DEMANDS!$F172,DEMANDS!$G$2:$CK$25,MATCH($E172,DEMANDS!$E$2:$E$25,0),FALSE)/HLOOKUP(2018,DEMANDS!$G$2:$CK$25,MATCH($E172,DEMANDS!$E$2:$E$25,0),FALSE)</f>
        <v>0.30601559244073773</v>
      </c>
      <c r="Z172" s="19">
        <f>HLOOKUP(REG_TRA_DEMANDS!Z$3,'BY-Demands'!$J$5:$AK$14,MATCH($E172,'BY-Demands'!$I$5:$I$14,0),FALSE)*HLOOKUP(REG_TRA_DEMANDS!$F172,DEMANDS!$G$2:$CK$25,MATCH($E172,DEMANDS!$E$2:$E$25,0),FALSE)/HLOOKUP(2018,DEMANDS!$G$2:$CK$25,MATCH($E172,DEMANDS!$E$2:$E$25,0),FALSE)</f>
        <v>0.037999068597644958</v>
      </c>
      <c r="AA172" s="19">
        <f>HLOOKUP(REG_TRA_DEMANDS!AA$3,'BY-Demands'!$J$5:$AK$14,MATCH($E172,'BY-Demands'!$I$5:$I$14,0),FALSE)*HLOOKUP(REG_TRA_DEMANDS!$F172,DEMANDS!$G$2:$CK$25,MATCH($E172,DEMANDS!$E$2:$E$25,0),FALSE)/HLOOKUP(2018,DEMANDS!$G$2:$CK$25,MATCH($E172,DEMANDS!$E$2:$E$25,0),FALSE)</f>
        <v>0.15476046827714521</v>
      </c>
      <c r="AB172" s="19">
        <f>HLOOKUP(REG_TRA_DEMANDS!AB$3,'BY-Demands'!$J$5:$AK$14,MATCH($E172,'BY-Demands'!$I$5:$I$14,0),FALSE)*HLOOKUP(REG_TRA_DEMANDS!$F172,DEMANDS!$G$2:$CK$25,MATCH($E172,DEMANDS!$E$2:$E$25,0),FALSE)/HLOOKUP(2018,DEMANDS!$G$2:$CK$25,MATCH($E172,DEMANDS!$E$2:$E$25,0),FALSE)</f>
        <v>0.076538880400898457</v>
      </c>
      <c r="AC172" s="19">
        <f>HLOOKUP(REG_TRA_DEMANDS!AC$3,'BY-Demands'!$J$5:$AK$14,MATCH($E172,'BY-Demands'!$I$5:$I$14,0),FALSE)*HLOOKUP(REG_TRA_DEMANDS!$F172,DEMANDS!$G$2:$CK$25,MATCH($E172,DEMANDS!$E$2:$E$25,0),FALSE)/HLOOKUP(2018,DEMANDS!$G$2:$CK$25,MATCH($E172,DEMANDS!$E$2:$E$25,0),FALSE)</f>
        <v>0.077714048200806893</v>
      </c>
      <c r="AD172" s="19">
        <f>HLOOKUP(REG_TRA_DEMANDS!AD$3,'BY-Demands'!$J$5:$AK$14,MATCH($E172,'BY-Demands'!$I$5:$I$14,0),FALSE)*HLOOKUP(REG_TRA_DEMANDS!$F172,DEMANDS!$G$2:$CK$25,MATCH($E172,DEMANDS!$E$2:$E$25,0),FALSE)/HLOOKUP(2018,DEMANDS!$G$2:$CK$25,MATCH($E172,DEMANDS!$E$2:$E$25,0),FALSE)</f>
        <v>0.090332575505373575</v>
      </c>
      <c r="AE172" s="19">
        <f>HLOOKUP(REG_TRA_DEMANDS!AE$3,'BY-Demands'!$J$5:$AK$14,MATCH($E172,'BY-Demands'!$I$5:$I$14,0),FALSE)*HLOOKUP(REG_TRA_DEMANDS!$F172,DEMANDS!$G$2:$CK$25,MATCH($E172,DEMANDS!$E$2:$E$25,0),FALSE)/HLOOKUP(2018,DEMANDS!$G$2:$CK$25,MATCH($E172,DEMANDS!$E$2:$E$25,0),FALSE)</f>
        <v>0.18877629909487836</v>
      </c>
      <c r="AF172" s="19">
        <f>HLOOKUP(REG_TRA_DEMANDS!AF$3,'BY-Demands'!$J$5:$AK$14,MATCH($E172,'BY-Demands'!$I$5:$I$14,0),FALSE)*HLOOKUP(REG_TRA_DEMANDS!$F172,DEMANDS!$G$2:$CK$25,MATCH($E172,DEMANDS!$E$2:$E$25,0),FALSE)/HLOOKUP(2018,DEMANDS!$G$2:$CK$25,MATCH($E172,DEMANDS!$E$2:$E$25,0),FALSE)</f>
        <v>0.072793996533985397</v>
      </c>
    </row>
    <row r="173" spans="4:32" ht="14.5">
      <c r="D173" t="s">
        <v>6</v>
      </c>
      <c r="E173" t="str">
        <f>DEMANDS!$E$23</f>
        <v>TOTH</v>
      </c>
      <c r="F173">
        <v>2027</v>
      </c>
      <c r="G173" s="19">
        <f>HLOOKUP(REG_TRA_DEMANDS!G$3,'BY-Demands'!$J$5:$AK$14,MATCH($E173,'BY-Demands'!$I$5:$I$14,0),FALSE)*HLOOKUP(REG_TRA_DEMANDS!$F173,DEMANDS!$G$2:$CK$25,MATCH($E173,DEMANDS!$E$2:$E$25,0),FALSE)/HLOOKUP(2018,DEMANDS!$G$2:$CK$25,MATCH($E173,DEMANDS!$E$2:$E$25,0),FALSE)</f>
        <v>0.036157878336715514</v>
      </c>
      <c r="H173" s="19">
        <f>HLOOKUP(REG_TRA_DEMANDS!H$3,'BY-Demands'!$J$5:$AK$14,MATCH($E173,'BY-Demands'!$I$5:$I$14,0),FALSE)*HLOOKUP(REG_TRA_DEMANDS!$F173,DEMANDS!$G$2:$CK$25,MATCH($E173,DEMANDS!$E$2:$E$25,0),FALSE)/HLOOKUP(2018,DEMANDS!$G$2:$CK$25,MATCH($E173,DEMANDS!$E$2:$E$25,0),FALSE)</f>
        <v>0.85571634226584092</v>
      </c>
      <c r="I173" s="19">
        <f>HLOOKUP(REG_TRA_DEMANDS!I$3,'BY-Demands'!$J$5:$AK$14,MATCH($E173,'BY-Demands'!$I$5:$I$14,0),FALSE)*HLOOKUP(REG_TRA_DEMANDS!$F173,DEMANDS!$G$2:$CK$25,MATCH($E173,DEMANDS!$E$2:$E$25,0),FALSE)/HLOOKUP(2018,DEMANDS!$G$2:$CK$25,MATCH($E173,DEMANDS!$E$2:$E$25,0),FALSE)</f>
        <v>0.14131371744243246</v>
      </c>
      <c r="J173" s="19">
        <f>HLOOKUP(REG_TRA_DEMANDS!J$3,'BY-Demands'!$J$5:$AK$14,MATCH($E173,'BY-Demands'!$I$5:$I$14,0),FALSE)*HLOOKUP(REG_TRA_DEMANDS!$F173,DEMANDS!$G$2:$CK$25,MATCH($E173,DEMANDS!$E$2:$E$25,0),FALSE)/HLOOKUP(2018,DEMANDS!$G$2:$CK$25,MATCH($E173,DEMANDS!$E$2:$E$25,0),FALSE)</f>
        <v>0.063022879630242432</v>
      </c>
      <c r="K173" s="19">
        <f>HLOOKUP(REG_TRA_DEMANDS!K$3,'BY-Demands'!$J$5:$AK$14,MATCH($E173,'BY-Demands'!$I$5:$I$14,0),FALSE)*HLOOKUP(REG_TRA_DEMANDS!$F173,DEMANDS!$G$2:$CK$25,MATCH($E173,DEMANDS!$E$2:$E$25,0),FALSE)/HLOOKUP(2018,DEMANDS!$G$2:$CK$25,MATCH($E173,DEMANDS!$E$2:$E$25,0),FALSE)</f>
        <v>0.053791607909168759</v>
      </c>
      <c r="L173" s="19">
        <f>HLOOKUP(REG_TRA_DEMANDS!L$3,'BY-Demands'!$J$5:$AK$14,MATCH($E173,'BY-Demands'!$I$5:$I$14,0),FALSE)*HLOOKUP(REG_TRA_DEMANDS!$F173,DEMANDS!$G$2:$CK$25,MATCH($E173,DEMANDS!$E$2:$E$25,0),FALSE)/HLOOKUP(2018,DEMANDS!$G$2:$CK$25,MATCH($E173,DEMANDS!$E$2:$E$25,0),FALSE)</f>
        <v>0.025958704441378801</v>
      </c>
      <c r="M173" s="19">
        <f>HLOOKUP(REG_TRA_DEMANDS!M$3,'BY-Demands'!$J$5:$AK$14,MATCH($E173,'BY-Demands'!$I$5:$I$14,0),FALSE)*HLOOKUP(REG_TRA_DEMANDS!$F173,DEMANDS!$G$2:$CK$25,MATCH($E173,DEMANDS!$E$2:$E$25,0),FALSE)/HLOOKUP(2018,DEMANDS!$G$2:$CK$25,MATCH($E173,DEMANDS!$E$2:$E$25,0),FALSE)</f>
        <v>0.081855055005080696</v>
      </c>
      <c r="N173" s="19">
        <f>HLOOKUP(REG_TRA_DEMANDS!N$3,'BY-Demands'!$J$5:$AK$14,MATCH($E173,'BY-Demands'!$I$5:$I$14,0),FALSE)*HLOOKUP(REG_TRA_DEMANDS!$F173,DEMANDS!$G$2:$CK$25,MATCH($E173,DEMANDS!$E$2:$E$25,0),FALSE)/HLOOKUP(2018,DEMANDS!$G$2:$CK$25,MATCH($E173,DEMANDS!$E$2:$E$25,0),FALSE)</f>
        <v>0.12387369532611452</v>
      </c>
      <c r="O173" s="19">
        <f>HLOOKUP(REG_TRA_DEMANDS!O$3,'BY-Demands'!$J$5:$AK$14,MATCH($E173,'BY-Demands'!$I$5:$I$14,0),FALSE)*HLOOKUP(REG_TRA_DEMANDS!$F173,DEMANDS!$G$2:$CK$25,MATCH($E173,DEMANDS!$E$2:$E$25,0),FALSE)/HLOOKUP(2018,DEMANDS!$G$2:$CK$25,MATCH($E173,DEMANDS!$E$2:$E$25,0),FALSE)</f>
        <v>0.049513531107438336</v>
      </c>
      <c r="P173" s="19">
        <f>HLOOKUP(REG_TRA_DEMANDS!P$3,'BY-Demands'!$J$5:$AK$14,MATCH($E173,'BY-Demands'!$I$5:$I$14,0),FALSE)*HLOOKUP(REG_TRA_DEMANDS!$F173,DEMANDS!$G$2:$CK$25,MATCH($E173,DEMANDS!$E$2:$E$25,0),FALSE)/HLOOKUP(2018,DEMANDS!$G$2:$CK$25,MATCH($E173,DEMANDS!$E$2:$E$25,0),FALSE)</f>
        <v>0.056378396331592737</v>
      </c>
      <c r="Q173" s="19">
        <f>HLOOKUP(REG_TRA_DEMANDS!Q$3,'BY-Demands'!$J$5:$AK$14,MATCH($E173,'BY-Demands'!$I$5:$I$14,0),FALSE)*HLOOKUP(REG_TRA_DEMANDS!$F173,DEMANDS!$G$2:$CK$25,MATCH($E173,DEMANDS!$E$2:$E$25,0),FALSE)/HLOOKUP(2018,DEMANDS!$G$2:$CK$25,MATCH($E173,DEMANDS!$E$2:$E$25,0),FALSE)</f>
        <v>0.095089402450813765</v>
      </c>
      <c r="R173" s="19">
        <f>HLOOKUP(REG_TRA_DEMANDS!R$3,'BY-Demands'!$J$5:$AK$14,MATCH($E173,'BY-Demands'!$I$5:$I$14,0),FALSE)*HLOOKUP(REG_TRA_DEMANDS!$F173,DEMANDS!$G$2:$CK$25,MATCH($E173,DEMANDS!$E$2:$E$25,0),FALSE)/HLOOKUP(2018,DEMANDS!$G$2:$CK$25,MATCH($E173,DEMANDS!$E$2:$E$25,0),FALSE)</f>
        <v>0.090455030951077001</v>
      </c>
      <c r="S173" s="19">
        <f>HLOOKUP(REG_TRA_DEMANDS!S$3,'BY-Demands'!$J$5:$AK$14,MATCH($E173,'BY-Demands'!$I$5:$I$14,0),FALSE)*HLOOKUP(REG_TRA_DEMANDS!$F173,DEMANDS!$G$2:$CK$25,MATCH($E173,DEMANDS!$E$2:$E$25,0),FALSE)/HLOOKUP(2018,DEMANDS!$G$2:$CK$25,MATCH($E173,DEMANDS!$E$2:$E$25,0),FALSE)</f>
        <v>0.075461438739786682</v>
      </c>
      <c r="T173" s="19">
        <f>HLOOKUP(REG_TRA_DEMANDS!T$3,'BY-Demands'!$J$5:$AK$14,MATCH($E173,'BY-Demands'!$I$5:$I$14,0),FALSE)*HLOOKUP(REG_TRA_DEMANDS!$F173,DEMANDS!$G$2:$CK$25,MATCH($E173,DEMANDS!$E$2:$E$25,0),FALSE)/HLOOKUP(2018,DEMANDS!$G$2:$CK$25,MATCH($E173,DEMANDS!$E$2:$E$25,0),FALSE)</f>
        <v>0.34477894851570462</v>
      </c>
      <c r="U173" s="19">
        <f>HLOOKUP(REG_TRA_DEMANDS!U$3,'BY-Demands'!$J$5:$AK$14,MATCH($E173,'BY-Demands'!$I$5:$I$14,0),FALSE)*HLOOKUP(REG_TRA_DEMANDS!$F173,DEMANDS!$G$2:$CK$25,MATCH($E173,DEMANDS!$E$2:$E$25,0),FALSE)/HLOOKUP(2018,DEMANDS!$G$2:$CK$25,MATCH($E173,DEMANDS!$E$2:$E$25,0),FALSE)</f>
        <v>0.093809663027493301</v>
      </c>
      <c r="V173" s="19">
        <f>HLOOKUP(REG_TRA_DEMANDS!V$3,'BY-Demands'!$J$5:$AK$14,MATCH($E173,'BY-Demands'!$I$5:$I$14,0),FALSE)*HLOOKUP(REG_TRA_DEMANDS!$F173,DEMANDS!$G$2:$CK$25,MATCH($E173,DEMANDS!$E$2:$E$25,0),FALSE)/HLOOKUP(2018,DEMANDS!$G$2:$CK$25,MATCH($E173,DEMANDS!$E$2:$E$25,0),FALSE)</f>
        <v>0.12378160489614862</v>
      </c>
      <c r="W173" s="19">
        <f>HLOOKUP(REG_TRA_DEMANDS!W$3,'BY-Demands'!$J$5:$AK$14,MATCH($E173,'BY-Demands'!$I$5:$I$14,0),FALSE)*HLOOKUP(REG_TRA_DEMANDS!$F173,DEMANDS!$G$2:$CK$25,MATCH($E173,DEMANDS!$E$2:$E$25,0),FALSE)/HLOOKUP(2018,DEMANDS!$G$2:$CK$25,MATCH($E173,DEMANDS!$E$2:$E$25,0),FALSE)</f>
        <v>0.10133313360250792</v>
      </c>
      <c r="X173" s="19">
        <f>HLOOKUP(REG_TRA_DEMANDS!X$3,'BY-Demands'!$J$5:$AK$14,MATCH($E173,'BY-Demands'!$I$5:$I$14,0),FALSE)*HLOOKUP(REG_TRA_DEMANDS!$F173,DEMANDS!$G$2:$CK$25,MATCH($E173,DEMANDS!$E$2:$E$25,0),FALSE)/HLOOKUP(2018,DEMANDS!$G$2:$CK$25,MATCH($E173,DEMANDS!$E$2:$E$25,0),FALSE)</f>
        <v>0.073784122701578456</v>
      </c>
      <c r="Y173" s="19">
        <f>HLOOKUP(REG_TRA_DEMANDS!Y$3,'BY-Demands'!$J$5:$AK$14,MATCH($E173,'BY-Demands'!$I$5:$I$14,0),FALSE)*HLOOKUP(REG_TRA_DEMANDS!$F173,DEMANDS!$G$2:$CK$25,MATCH($E173,DEMANDS!$E$2:$E$25,0),FALSE)/HLOOKUP(2018,DEMANDS!$G$2:$CK$25,MATCH($E173,DEMANDS!$E$2:$E$25,0),FALSE)</f>
        <v>0.16389429087009263</v>
      </c>
      <c r="Z173" s="19">
        <f>HLOOKUP(REG_TRA_DEMANDS!Z$3,'BY-Demands'!$J$5:$AK$14,MATCH($E173,'BY-Demands'!$I$5:$I$14,0),FALSE)*HLOOKUP(REG_TRA_DEMANDS!$F173,DEMANDS!$G$2:$CK$25,MATCH($E173,DEMANDS!$E$2:$E$25,0),FALSE)/HLOOKUP(2018,DEMANDS!$G$2:$CK$25,MATCH($E173,DEMANDS!$E$2:$E$25,0),FALSE)</f>
        <v>0.020351349916070346</v>
      </c>
      <c r="AA173" s="19">
        <f>HLOOKUP(REG_TRA_DEMANDS!AA$3,'BY-Demands'!$J$5:$AK$14,MATCH($E173,'BY-Demands'!$I$5:$I$14,0),FALSE)*HLOOKUP(REG_TRA_DEMANDS!$F173,DEMANDS!$G$2:$CK$25,MATCH($E173,DEMANDS!$E$2:$E$25,0),FALSE)/HLOOKUP(2018,DEMANDS!$G$2:$CK$25,MATCH($E173,DEMANDS!$E$2:$E$25,0),FALSE)</f>
        <v>0.08288583271428622</v>
      </c>
      <c r="AB173" s="19">
        <f>HLOOKUP(REG_TRA_DEMANDS!AB$3,'BY-Demands'!$J$5:$AK$14,MATCH($E173,'BY-Demands'!$I$5:$I$14,0),FALSE)*HLOOKUP(REG_TRA_DEMANDS!$F173,DEMANDS!$G$2:$CK$25,MATCH($E173,DEMANDS!$E$2:$E$25,0),FALSE)/HLOOKUP(2018,DEMANDS!$G$2:$CK$25,MATCH($E173,DEMANDS!$E$2:$E$25,0),FALSE)</f>
        <v>0.040992308356723302</v>
      </c>
      <c r="AC173" s="19">
        <f>HLOOKUP(REG_TRA_DEMANDS!AC$3,'BY-Demands'!$J$5:$AK$14,MATCH($E173,'BY-Demands'!$I$5:$I$14,0),FALSE)*HLOOKUP(REG_TRA_DEMANDS!$F173,DEMANDS!$G$2:$CK$25,MATCH($E173,DEMANDS!$E$2:$E$25,0),FALSE)/HLOOKUP(2018,DEMANDS!$G$2:$CK$25,MATCH($E173,DEMANDS!$E$2:$E$25,0),FALSE)</f>
        <v>0.041621698812559824</v>
      </c>
      <c r="AD173" s="19">
        <f>HLOOKUP(REG_TRA_DEMANDS!AD$3,'BY-Demands'!$J$5:$AK$14,MATCH($E173,'BY-Demands'!$I$5:$I$14,0),FALSE)*HLOOKUP(REG_TRA_DEMANDS!$F173,DEMANDS!$G$2:$CK$25,MATCH($E173,DEMANDS!$E$2:$E$25,0),FALSE)/HLOOKUP(2018,DEMANDS!$G$2:$CK$25,MATCH($E173,DEMANDS!$E$2:$E$25,0),FALSE)</f>
        <v>0.048379866159236319</v>
      </c>
      <c r="AE173" s="19">
        <f>HLOOKUP(REG_TRA_DEMANDS!AE$3,'BY-Demands'!$J$5:$AK$14,MATCH($E173,'BY-Demands'!$I$5:$I$14,0),FALSE)*HLOOKUP(REG_TRA_DEMANDS!$F173,DEMANDS!$G$2:$CK$25,MATCH($E173,DEMANDS!$E$2:$E$25,0),FALSE)/HLOOKUP(2018,DEMANDS!$G$2:$CK$25,MATCH($E173,DEMANDS!$E$2:$E$25,0),FALSE)</f>
        <v>0.10110386018721332</v>
      </c>
      <c r="AF173" s="19">
        <f>HLOOKUP(REG_TRA_DEMANDS!AF$3,'BY-Demands'!$J$5:$AK$14,MATCH($E173,'BY-Demands'!$I$5:$I$14,0),FALSE)*HLOOKUP(REG_TRA_DEMANDS!$F173,DEMANDS!$G$2:$CK$25,MATCH($E173,DEMANDS!$E$2:$E$25,0),FALSE)/HLOOKUP(2018,DEMANDS!$G$2:$CK$25,MATCH($E173,DEMANDS!$E$2:$E$25,0),FALSE)</f>
        <v>0.03898664230270539</v>
      </c>
    </row>
    <row r="174" spans="4:32" ht="14.5">
      <c r="D174" t="s">
        <v>6</v>
      </c>
      <c r="E174" t="str">
        <f>DEMANDS!$E$23</f>
        <v>TOTH</v>
      </c>
      <c r="F174">
        <v>2028</v>
      </c>
      <c r="G174" s="19">
        <f>HLOOKUP(REG_TRA_DEMANDS!G$3,'BY-Demands'!$J$5:$AK$14,MATCH($E174,'BY-Demands'!$I$5:$I$14,0),FALSE)*HLOOKUP(REG_TRA_DEMANDS!$F174,DEMANDS!$G$2:$CK$25,MATCH($E174,DEMANDS!$E$2:$E$25,0),FALSE)/HLOOKUP(2018,DEMANDS!$G$2:$CK$25,MATCH($E174,DEMANDS!$E$2:$E$25,0),FALSE)</f>
        <v>0.016682980621878174</v>
      </c>
      <c r="H174" s="19">
        <f>HLOOKUP(REG_TRA_DEMANDS!H$3,'BY-Demands'!$J$5:$AK$14,MATCH($E174,'BY-Demands'!$I$5:$I$14,0),FALSE)*HLOOKUP(REG_TRA_DEMANDS!$F174,DEMANDS!$G$2:$CK$25,MATCH($E174,DEMANDS!$E$2:$E$25,0),FALSE)/HLOOKUP(2018,DEMANDS!$G$2:$CK$25,MATCH($E174,DEMANDS!$E$2:$E$25,0),FALSE)</f>
        <v>0.39482126199173112</v>
      </c>
      <c r="I174" s="19">
        <f>HLOOKUP(REG_TRA_DEMANDS!I$3,'BY-Demands'!$J$5:$AK$14,MATCH($E174,'BY-Demands'!$I$5:$I$14,0),FALSE)*HLOOKUP(REG_TRA_DEMANDS!$F174,DEMANDS!$G$2:$CK$25,MATCH($E174,DEMANDS!$E$2:$E$25,0),FALSE)/HLOOKUP(2018,DEMANDS!$G$2:$CK$25,MATCH($E174,DEMANDS!$E$2:$E$25,0),FALSE)</f>
        <v>0.065201115722096345</v>
      </c>
      <c r="J174" s="19">
        <f>HLOOKUP(REG_TRA_DEMANDS!J$3,'BY-Demands'!$J$5:$AK$14,MATCH($E174,'BY-Demands'!$I$5:$I$14,0),FALSE)*HLOOKUP(REG_TRA_DEMANDS!$F174,DEMANDS!$G$2:$CK$25,MATCH($E174,DEMANDS!$E$2:$E$25,0),FALSE)/HLOOKUP(2018,DEMANDS!$G$2:$CK$25,MATCH($E174,DEMANDS!$E$2:$E$25,0),FALSE)</f>
        <v>0.029078295740009464</v>
      </c>
      <c r="K174" s="19">
        <f>HLOOKUP(REG_TRA_DEMANDS!K$3,'BY-Demands'!$J$5:$AK$14,MATCH($E174,'BY-Demands'!$I$5:$I$14,0),FALSE)*HLOOKUP(REG_TRA_DEMANDS!$F174,DEMANDS!$G$2:$CK$25,MATCH($E174,DEMANDS!$E$2:$E$25,0),FALSE)/HLOOKUP(2018,DEMANDS!$G$2:$CK$25,MATCH($E174,DEMANDS!$E$2:$E$25,0),FALSE)</f>
        <v>0.024819054481332408</v>
      </c>
      <c r="L174" s="19">
        <f>HLOOKUP(REG_TRA_DEMANDS!L$3,'BY-Demands'!$J$5:$AK$14,MATCH($E174,'BY-Demands'!$I$5:$I$14,0),FALSE)*HLOOKUP(REG_TRA_DEMANDS!$F174,DEMANDS!$G$2:$CK$25,MATCH($E174,DEMANDS!$E$2:$E$25,0),FALSE)/HLOOKUP(2018,DEMANDS!$G$2:$CK$25,MATCH($E174,DEMANDS!$E$2:$E$25,0),FALSE)</f>
        <v>0.011977156378803288</v>
      </c>
      <c r="M174" s="19">
        <f>HLOOKUP(REG_TRA_DEMANDS!M$3,'BY-Demands'!$J$5:$AK$14,MATCH($E174,'BY-Demands'!$I$5:$I$14,0),FALSE)*HLOOKUP(REG_TRA_DEMANDS!$F174,DEMANDS!$G$2:$CK$25,MATCH($E174,DEMANDS!$E$2:$E$25,0),FALSE)/HLOOKUP(2018,DEMANDS!$G$2:$CK$25,MATCH($E174,DEMANDS!$E$2:$E$25,0),FALSE)</f>
        <v>0.037767323727783186</v>
      </c>
      <c r="N174" s="19">
        <f>HLOOKUP(REG_TRA_DEMANDS!N$3,'BY-Demands'!$J$5:$AK$14,MATCH($E174,'BY-Demands'!$I$5:$I$14,0),FALSE)*HLOOKUP(REG_TRA_DEMANDS!$F174,DEMANDS!$G$2:$CK$25,MATCH($E174,DEMANDS!$E$2:$E$25,0),FALSE)/HLOOKUP(2018,DEMANDS!$G$2:$CK$25,MATCH($E174,DEMANDS!$E$2:$E$25,0),FALSE)</f>
        <v>0.057154417066212528</v>
      </c>
      <c r="O174" s="19">
        <f>HLOOKUP(REG_TRA_DEMANDS!O$3,'BY-Demands'!$J$5:$AK$14,MATCH($E174,'BY-Demands'!$I$5:$I$14,0),FALSE)*HLOOKUP(REG_TRA_DEMANDS!$F174,DEMANDS!$G$2:$CK$25,MATCH($E174,DEMANDS!$E$2:$E$25,0),FALSE)/HLOOKUP(2018,DEMANDS!$G$2:$CK$25,MATCH($E174,DEMANDS!$E$2:$E$25,0),FALSE)</f>
        <v>0.022845181132969943</v>
      </c>
      <c r="P174" s="19">
        <f>HLOOKUP(REG_TRA_DEMANDS!P$3,'BY-Demands'!$J$5:$AK$14,MATCH($E174,'BY-Demands'!$I$5:$I$14,0),FALSE)*HLOOKUP(REG_TRA_DEMANDS!$F174,DEMANDS!$G$2:$CK$25,MATCH($E174,DEMANDS!$E$2:$E$25,0),FALSE)/HLOOKUP(2018,DEMANDS!$G$2:$CK$25,MATCH($E174,DEMANDS!$E$2:$E$25,0),FALSE)</f>
        <v>0.026012579740815819</v>
      </c>
      <c r="Q174" s="19">
        <f>HLOOKUP(REG_TRA_DEMANDS!Q$3,'BY-Demands'!$J$5:$AK$14,MATCH($E174,'BY-Demands'!$I$5:$I$14,0),FALSE)*HLOOKUP(REG_TRA_DEMANDS!$F174,DEMANDS!$G$2:$CK$25,MATCH($E174,DEMANDS!$E$2:$E$25,0),FALSE)/HLOOKUP(2018,DEMANDS!$G$2:$CK$25,MATCH($E174,DEMANDS!$E$2:$E$25,0),FALSE)</f>
        <v>0.043873554849098016</v>
      </c>
      <c r="R174" s="19">
        <f>HLOOKUP(REG_TRA_DEMANDS!R$3,'BY-Demands'!$J$5:$AK$14,MATCH($E174,'BY-Demands'!$I$5:$I$14,0),FALSE)*HLOOKUP(REG_TRA_DEMANDS!$F174,DEMANDS!$G$2:$CK$25,MATCH($E174,DEMANDS!$E$2:$E$25,0),FALSE)/HLOOKUP(2018,DEMANDS!$G$2:$CK$25,MATCH($E174,DEMANDS!$E$2:$E$25,0),FALSE)</f>
        <v>0.041735289732856791</v>
      </c>
      <c r="S174" s="19">
        <f>HLOOKUP(REG_TRA_DEMANDS!S$3,'BY-Demands'!$J$5:$AK$14,MATCH($E174,'BY-Demands'!$I$5:$I$14,0),FALSE)*HLOOKUP(REG_TRA_DEMANDS!$F174,DEMANDS!$G$2:$CK$25,MATCH($E174,DEMANDS!$E$2:$E$25,0),FALSE)/HLOOKUP(2018,DEMANDS!$G$2:$CK$25,MATCH($E174,DEMANDS!$E$2:$E$25,0),FALSE)</f>
        <v>0.034817355943049653</v>
      </c>
      <c r="T174" s="19">
        <f>HLOOKUP(REG_TRA_DEMANDS!T$3,'BY-Demands'!$J$5:$AK$14,MATCH($E174,'BY-Demands'!$I$5:$I$14,0),FALSE)*HLOOKUP(REG_TRA_DEMANDS!$F174,DEMANDS!$G$2:$CK$25,MATCH($E174,DEMANDS!$E$2:$E$25,0),FALSE)/HLOOKUP(2018,DEMANDS!$G$2:$CK$25,MATCH($E174,DEMANDS!$E$2:$E$25,0),FALSE)</f>
        <v>0.1590784852848621</v>
      </c>
      <c r="U174" s="19">
        <f>HLOOKUP(REG_TRA_DEMANDS!U$3,'BY-Demands'!$J$5:$AK$14,MATCH($E174,'BY-Demands'!$I$5:$I$14,0),FALSE)*HLOOKUP(REG_TRA_DEMANDS!$F174,DEMANDS!$G$2:$CK$25,MATCH($E174,DEMANDS!$E$2:$E$25,0),FALSE)/HLOOKUP(2018,DEMANDS!$G$2:$CK$25,MATCH($E174,DEMANDS!$E$2:$E$25,0),FALSE)</f>
        <v>0.043283092438624396</v>
      </c>
      <c r="V174" s="19">
        <f>HLOOKUP(REG_TRA_DEMANDS!V$3,'BY-Demands'!$J$5:$AK$14,MATCH($E174,'BY-Demands'!$I$5:$I$14,0),FALSE)*HLOOKUP(REG_TRA_DEMANDS!$F174,DEMANDS!$G$2:$CK$25,MATCH($E174,DEMANDS!$E$2:$E$25,0),FALSE)/HLOOKUP(2018,DEMANDS!$G$2:$CK$25,MATCH($E174,DEMANDS!$E$2:$E$25,0),FALSE)</f>
        <v>0.057111927215334812</v>
      </c>
      <c r="W174" s="19">
        <f>HLOOKUP(REG_TRA_DEMANDS!W$3,'BY-Demands'!$J$5:$AK$14,MATCH($E174,'BY-Demands'!$I$5:$I$14,0),FALSE)*HLOOKUP(REG_TRA_DEMANDS!$F174,DEMANDS!$G$2:$CK$25,MATCH($E174,DEMANDS!$E$2:$E$25,0),FALSE)/HLOOKUP(2018,DEMANDS!$G$2:$CK$25,MATCH($E174,DEMANDS!$E$2:$E$25,0),FALSE)</f>
        <v>0.046754366738609811</v>
      </c>
      <c r="X174" s="19">
        <f>HLOOKUP(REG_TRA_DEMANDS!X$3,'BY-Demands'!$J$5:$AK$14,MATCH($E174,'BY-Demands'!$I$5:$I$14,0),FALSE)*HLOOKUP(REG_TRA_DEMANDS!$F174,DEMANDS!$G$2:$CK$25,MATCH($E174,DEMANDS!$E$2:$E$25,0),FALSE)/HLOOKUP(2018,DEMANDS!$G$2:$CK$25,MATCH($E174,DEMANDS!$E$2:$E$25,0),FALSE)</f>
        <v>0.03404345459016582</v>
      </c>
      <c r="Y174" s="19">
        <f>HLOOKUP(REG_TRA_DEMANDS!Y$3,'BY-Demands'!$J$5:$AK$14,MATCH($E174,'BY-Demands'!$I$5:$I$14,0),FALSE)*HLOOKUP(REG_TRA_DEMANDS!$F174,DEMANDS!$G$2:$CK$25,MATCH($E174,DEMANDS!$E$2:$E$25,0),FALSE)/HLOOKUP(2018,DEMANDS!$G$2:$CK$25,MATCH($E174,DEMANDS!$E$2:$E$25,0),FALSE)</f>
        <v>0.07561962715732154</v>
      </c>
      <c r="Z174" s="19">
        <f>HLOOKUP(REG_TRA_DEMANDS!Z$3,'BY-Demands'!$J$5:$AK$14,MATCH($E174,'BY-Demands'!$I$5:$I$14,0),FALSE)*HLOOKUP(REG_TRA_DEMANDS!$F174,DEMANDS!$G$2:$CK$25,MATCH($E174,DEMANDS!$E$2:$E$25,0),FALSE)/HLOOKUP(2018,DEMANDS!$G$2:$CK$25,MATCH($E174,DEMANDS!$E$2:$E$25,0),FALSE)</f>
        <v>0.0093899640105295206</v>
      </c>
      <c r="AA174" s="19">
        <f>HLOOKUP(REG_TRA_DEMANDS!AA$3,'BY-Demands'!$J$5:$AK$14,MATCH($E174,'BY-Demands'!$I$5:$I$14,0),FALSE)*HLOOKUP(REG_TRA_DEMANDS!$F174,DEMANDS!$G$2:$CK$25,MATCH($E174,DEMANDS!$E$2:$E$25,0),FALSE)/HLOOKUP(2018,DEMANDS!$G$2:$CK$25,MATCH($E174,DEMANDS!$E$2:$E$25,0),FALSE)</f>
        <v>0.03824291702415971</v>
      </c>
      <c r="AB174" s="19">
        <f>HLOOKUP(REG_TRA_DEMANDS!AB$3,'BY-Demands'!$J$5:$AK$14,MATCH($E174,'BY-Demands'!$I$5:$I$14,0),FALSE)*HLOOKUP(REG_TRA_DEMANDS!$F174,DEMANDS!$G$2:$CK$25,MATCH($E174,DEMANDS!$E$2:$E$25,0),FALSE)/HLOOKUP(2018,DEMANDS!$G$2:$CK$25,MATCH($E174,DEMANDS!$E$2:$E$25,0),FALSE)</f>
        <v>0.018913551276233176</v>
      </c>
      <c r="AC174" s="19">
        <f>HLOOKUP(REG_TRA_DEMANDS!AC$3,'BY-Demands'!$J$5:$AK$14,MATCH($E174,'BY-Demands'!$I$5:$I$14,0),FALSE)*HLOOKUP(REG_TRA_DEMANDS!$F174,DEMANDS!$G$2:$CK$25,MATCH($E174,DEMANDS!$E$2:$E$25,0),FALSE)/HLOOKUP(2018,DEMANDS!$G$2:$CK$25,MATCH($E174,DEMANDS!$E$2:$E$25,0),FALSE)</f>
        <v>0.019203947429473553</v>
      </c>
      <c r="AD174" s="19">
        <f>HLOOKUP(REG_TRA_DEMANDS!AD$3,'BY-Demands'!$J$5:$AK$14,MATCH($E174,'BY-Demands'!$I$5:$I$14,0),FALSE)*HLOOKUP(REG_TRA_DEMANDS!$F174,DEMANDS!$G$2:$CK$25,MATCH($E174,DEMANDS!$E$2:$E$25,0),FALSE)/HLOOKUP(2018,DEMANDS!$G$2:$CK$25,MATCH($E174,DEMANDS!$E$2:$E$25,0),FALSE)</f>
        <v>0.022322116416992069</v>
      </c>
      <c r="AE174" s="19">
        <f>HLOOKUP(REG_TRA_DEMANDS!AE$3,'BY-Demands'!$J$5:$AK$14,MATCH($E174,'BY-Demands'!$I$5:$I$14,0),FALSE)*HLOOKUP(REG_TRA_DEMANDS!$F174,DEMANDS!$G$2:$CK$25,MATCH($E174,DEMANDS!$E$2:$E$25,0),FALSE)/HLOOKUP(2018,DEMANDS!$G$2:$CK$25,MATCH($E174,DEMANDS!$E$2:$E$25,0),FALSE)</f>
        <v>0.046648581661596925</v>
      </c>
      <c r="AF174" s="19">
        <f>HLOOKUP(REG_TRA_DEMANDS!AF$3,'BY-Demands'!$J$5:$AK$14,MATCH($E174,'BY-Demands'!$I$5:$I$14,0),FALSE)*HLOOKUP(REG_TRA_DEMANDS!$F174,DEMANDS!$G$2:$CK$25,MATCH($E174,DEMANDS!$E$2:$E$25,0),FALSE)/HLOOKUP(2018,DEMANDS!$G$2:$CK$25,MATCH($E174,DEMANDS!$E$2:$E$25,0),FALSE)</f>
        <v>0.017988151627461108</v>
      </c>
    </row>
    <row r="175" spans="4:32" ht="14.5">
      <c r="D175" t="s">
        <v>6</v>
      </c>
      <c r="E175" t="str">
        <f>DEMANDS!$E$23</f>
        <v>TOTH</v>
      </c>
      <c r="F175">
        <v>2029</v>
      </c>
      <c r="G175" s="19">
        <f>HLOOKUP(REG_TRA_DEMANDS!G$3,'BY-Demands'!$J$5:$AK$14,MATCH($E175,'BY-Demands'!$I$5:$I$14,0),FALSE)*HLOOKUP(REG_TRA_DEMANDS!$F175,DEMANDS!$G$2:$CK$25,MATCH($E175,DEMANDS!$E$2:$E$25,0),FALSE)/HLOOKUP(2018,DEMANDS!$G$2:$CK$25,MATCH($E175,DEMANDS!$E$2:$E$25,0),FALSE)</f>
        <v>0.0069594444650572761</v>
      </c>
      <c r="H175" s="19">
        <f>HLOOKUP(REG_TRA_DEMANDS!H$3,'BY-Demands'!$J$5:$AK$14,MATCH($E175,'BY-Demands'!$I$5:$I$14,0),FALSE)*HLOOKUP(REG_TRA_DEMANDS!$F175,DEMANDS!$G$2:$CK$25,MATCH($E175,DEMANDS!$E$2:$E$25,0),FALSE)/HLOOKUP(2018,DEMANDS!$G$2:$CK$25,MATCH($E175,DEMANDS!$E$2:$E$25,0),FALSE)</f>
        <v>0.16470298136364681</v>
      </c>
      <c r="I175" s="19">
        <f>HLOOKUP(REG_TRA_DEMANDS!I$3,'BY-Demands'!$J$5:$AK$14,MATCH($E175,'BY-Demands'!$I$5:$I$14,0),FALSE)*HLOOKUP(REG_TRA_DEMANDS!$F175,DEMANDS!$G$2:$CK$25,MATCH($E175,DEMANDS!$E$2:$E$25,0),FALSE)/HLOOKUP(2018,DEMANDS!$G$2:$CK$25,MATCH($E175,DEMANDS!$E$2:$E$25,0),FALSE)</f>
        <v>0.027199189054540631</v>
      </c>
      <c r="J175" s="19">
        <f>HLOOKUP(REG_TRA_DEMANDS!J$3,'BY-Demands'!$J$5:$AK$14,MATCH($E175,'BY-Demands'!$I$5:$I$14,0),FALSE)*HLOOKUP(REG_TRA_DEMANDS!$F175,DEMANDS!$G$2:$CK$25,MATCH($E175,DEMANDS!$E$2:$E$25,0),FALSE)/HLOOKUP(2018,DEMANDS!$G$2:$CK$25,MATCH($E175,DEMANDS!$E$2:$E$25,0),FALSE)</f>
        <v>0.012130253515712871</v>
      </c>
      <c r="K175" s="19">
        <f>HLOOKUP(REG_TRA_DEMANDS!K$3,'BY-Demands'!$J$5:$AK$14,MATCH($E175,'BY-Demands'!$I$5:$I$14,0),FALSE)*HLOOKUP(REG_TRA_DEMANDS!$F175,DEMANDS!$G$2:$CK$25,MATCH($E175,DEMANDS!$E$2:$E$25,0),FALSE)/HLOOKUP(2018,DEMANDS!$G$2:$CK$25,MATCH($E175,DEMANDS!$E$2:$E$25,0),FALSE)</f>
        <v>0.010353475512136522</v>
      </c>
      <c r="L175" s="19">
        <f>HLOOKUP(REG_TRA_DEMANDS!L$3,'BY-Demands'!$J$5:$AK$14,MATCH($E175,'BY-Demands'!$I$5:$I$14,0),FALSE)*HLOOKUP(REG_TRA_DEMANDS!$F175,DEMANDS!$G$2:$CK$25,MATCH($E175,DEMANDS!$E$2:$E$25,0),FALSE)/HLOOKUP(2018,DEMANDS!$G$2:$CK$25,MATCH($E175,DEMANDS!$E$2:$E$25,0),FALSE)</f>
        <v>0.0049963706460389055</v>
      </c>
      <c r="M175" s="19">
        <f>HLOOKUP(REG_TRA_DEMANDS!M$3,'BY-Demands'!$J$5:$AK$14,MATCH($E175,'BY-Demands'!$I$5:$I$14,0),FALSE)*HLOOKUP(REG_TRA_DEMANDS!$F175,DEMANDS!$G$2:$CK$25,MATCH($E175,DEMANDS!$E$2:$E$25,0),FALSE)/HLOOKUP(2018,DEMANDS!$G$2:$CK$25,MATCH($E175,DEMANDS!$E$2:$E$25,0),FALSE)</f>
        <v>0.015754953987817823</v>
      </c>
      <c r="N175" s="19">
        <f>HLOOKUP(REG_TRA_DEMANDS!N$3,'BY-Demands'!$J$5:$AK$14,MATCH($E175,'BY-Demands'!$I$5:$I$14,0),FALSE)*HLOOKUP(REG_TRA_DEMANDS!$F175,DEMANDS!$G$2:$CK$25,MATCH($E175,DEMANDS!$E$2:$E$25,0),FALSE)/HLOOKUP(2018,DEMANDS!$G$2:$CK$25,MATCH($E175,DEMANDS!$E$2:$E$25,0),FALSE)</f>
        <v>0.023842441618819529</v>
      </c>
      <c r="O175" s="19">
        <f>HLOOKUP(REG_TRA_DEMANDS!O$3,'BY-Demands'!$J$5:$AK$14,MATCH($E175,'BY-Demands'!$I$5:$I$14,0),FALSE)*HLOOKUP(REG_TRA_DEMANDS!$F175,DEMANDS!$G$2:$CK$25,MATCH($E175,DEMANDS!$E$2:$E$25,0),FALSE)/HLOOKUP(2018,DEMANDS!$G$2:$CK$25,MATCH($E175,DEMANDS!$E$2:$E$25,0),FALSE)</f>
        <v>0.0095300577871905157</v>
      </c>
      <c r="P175" s="19">
        <f>HLOOKUP(REG_TRA_DEMANDS!P$3,'BY-Demands'!$J$5:$AK$14,MATCH($E175,'BY-Demands'!$I$5:$I$14,0),FALSE)*HLOOKUP(REG_TRA_DEMANDS!$F175,DEMANDS!$G$2:$CK$25,MATCH($E175,DEMANDS!$E$2:$E$25,0),FALSE)/HLOOKUP(2018,DEMANDS!$G$2:$CK$25,MATCH($E175,DEMANDS!$E$2:$E$25,0),FALSE)</f>
        <v>0.01085136452545378</v>
      </c>
      <c r="Q175" s="19">
        <f>HLOOKUP(REG_TRA_DEMANDS!Q$3,'BY-Demands'!$J$5:$AK$14,MATCH($E175,'BY-Demands'!$I$5:$I$14,0),FALSE)*HLOOKUP(REG_TRA_DEMANDS!$F175,DEMANDS!$G$2:$CK$25,MATCH($E175,DEMANDS!$E$2:$E$25,0),FALSE)/HLOOKUP(2018,DEMANDS!$G$2:$CK$25,MATCH($E175,DEMANDS!$E$2:$E$25,0),FALSE)</f>
        <v>0.018302219212346434</v>
      </c>
      <c r="R175" s="19">
        <f>HLOOKUP(REG_TRA_DEMANDS!R$3,'BY-Demands'!$J$5:$AK$14,MATCH($E175,'BY-Demands'!$I$5:$I$14,0),FALSE)*HLOOKUP(REG_TRA_DEMANDS!$F175,DEMANDS!$G$2:$CK$25,MATCH($E175,DEMANDS!$E$2:$E$25,0),FALSE)/HLOOKUP(2018,DEMANDS!$G$2:$CK$25,MATCH($E175,DEMANDS!$E$2:$E$25,0),FALSE)</f>
        <v>0.01741022409077117</v>
      </c>
      <c r="S175" s="19">
        <f>HLOOKUP(REG_TRA_DEMANDS!S$3,'BY-Demands'!$J$5:$AK$14,MATCH($E175,'BY-Demands'!$I$5:$I$14,0),FALSE)*HLOOKUP(REG_TRA_DEMANDS!$F175,DEMANDS!$G$2:$CK$25,MATCH($E175,DEMANDS!$E$2:$E$25,0),FALSE)/HLOOKUP(2018,DEMANDS!$G$2:$CK$25,MATCH($E175,DEMANDS!$E$2:$E$25,0),FALSE)</f>
        <v>0.014524350330301269</v>
      </c>
      <c r="T175" s="19">
        <f>HLOOKUP(REG_TRA_DEMANDS!T$3,'BY-Demands'!$J$5:$AK$14,MATCH($E175,'BY-Demands'!$I$5:$I$14,0),FALSE)*HLOOKUP(REG_TRA_DEMANDS!$F175,DEMANDS!$G$2:$CK$25,MATCH($E175,DEMANDS!$E$2:$E$25,0),FALSE)/HLOOKUP(2018,DEMANDS!$G$2:$CK$25,MATCH($E175,DEMANDS!$E$2:$E$25,0),FALSE)</f>
        <v>0.0663609164943567</v>
      </c>
      <c r="U175" s="19">
        <f>HLOOKUP(REG_TRA_DEMANDS!U$3,'BY-Demands'!$J$5:$AK$14,MATCH($E175,'BY-Demands'!$I$5:$I$14,0),FALSE)*HLOOKUP(REG_TRA_DEMANDS!$F175,DEMANDS!$G$2:$CK$25,MATCH($E175,DEMANDS!$E$2:$E$25,0),FALSE)/HLOOKUP(2018,DEMANDS!$G$2:$CK$25,MATCH($E175,DEMANDS!$E$2:$E$25,0),FALSE)</f>
        <v>0.018055902894685182</v>
      </c>
      <c r="V175" s="19">
        <f>HLOOKUP(REG_TRA_DEMANDS!V$3,'BY-Demands'!$J$5:$AK$14,MATCH($E175,'BY-Demands'!$I$5:$I$14,0),FALSE)*HLOOKUP(REG_TRA_DEMANDS!$F175,DEMANDS!$G$2:$CK$25,MATCH($E175,DEMANDS!$E$2:$E$25,0),FALSE)/HLOOKUP(2018,DEMANDS!$G$2:$CK$25,MATCH($E175,DEMANDS!$E$2:$E$25,0),FALSE)</f>
        <v>0.023824716623255832</v>
      </c>
      <c r="W175" s="19">
        <f>HLOOKUP(REG_TRA_DEMANDS!W$3,'BY-Demands'!$J$5:$AK$14,MATCH($E175,'BY-Demands'!$I$5:$I$14,0),FALSE)*HLOOKUP(REG_TRA_DEMANDS!$F175,DEMANDS!$G$2:$CK$25,MATCH($E175,DEMANDS!$E$2:$E$25,0),FALSE)/HLOOKUP(2018,DEMANDS!$G$2:$CK$25,MATCH($E175,DEMANDS!$E$2:$E$25,0),FALSE)</f>
        <v>0.019503973911566178</v>
      </c>
      <c r="X175" s="19">
        <f>HLOOKUP(REG_TRA_DEMANDS!X$3,'BY-Demands'!$J$5:$AK$14,MATCH($E175,'BY-Demands'!$I$5:$I$14,0),FALSE)*HLOOKUP(REG_TRA_DEMANDS!$F175,DEMANDS!$G$2:$CK$25,MATCH($E175,DEMANDS!$E$2:$E$25,0),FALSE)/HLOOKUP(2018,DEMANDS!$G$2:$CK$25,MATCH($E175,DEMANDS!$E$2:$E$25,0),FALSE)</f>
        <v>0.014201510928344247</v>
      </c>
      <c r="Y175" s="19">
        <f>HLOOKUP(REG_TRA_DEMANDS!Y$3,'BY-Demands'!$J$5:$AK$14,MATCH($E175,'BY-Demands'!$I$5:$I$14,0),FALSE)*HLOOKUP(REG_TRA_DEMANDS!$F175,DEMANDS!$G$2:$CK$25,MATCH($E175,DEMANDS!$E$2:$E$25,0),FALSE)/HLOOKUP(2018,DEMANDS!$G$2:$CK$25,MATCH($E175,DEMANDS!$E$2:$E$25,0),FALSE)</f>
        <v>0.031545357966762923</v>
      </c>
      <c r="Z175" s="19">
        <f>HLOOKUP(REG_TRA_DEMANDS!Z$3,'BY-Demands'!$J$5:$AK$14,MATCH($E175,'BY-Demands'!$I$5:$I$14,0),FALSE)*HLOOKUP(REG_TRA_DEMANDS!$F175,DEMANDS!$G$2:$CK$25,MATCH($E175,DEMANDS!$E$2:$E$25,0),FALSE)/HLOOKUP(2018,DEMANDS!$G$2:$CK$25,MATCH($E175,DEMANDS!$E$2:$E$25,0),FALSE)</f>
        <v>0.0039171017782318619</v>
      </c>
      <c r="AA175" s="19">
        <f>HLOOKUP(REG_TRA_DEMANDS!AA$3,'BY-Demands'!$J$5:$AK$14,MATCH($E175,'BY-Demands'!$I$5:$I$14,0),FALSE)*HLOOKUP(REG_TRA_DEMANDS!$F175,DEMANDS!$G$2:$CK$25,MATCH($E175,DEMANDS!$E$2:$E$25,0),FALSE)/HLOOKUP(2018,DEMANDS!$G$2:$CK$25,MATCH($E175,DEMANDS!$E$2:$E$25,0),FALSE)</f>
        <v>0.015953351696782692</v>
      </c>
      <c r="AB175" s="19">
        <f>HLOOKUP(REG_TRA_DEMANDS!AB$3,'BY-Demands'!$J$5:$AK$14,MATCH($E175,'BY-Demands'!$I$5:$I$14,0),FALSE)*HLOOKUP(REG_TRA_DEMANDS!$F175,DEMANDS!$G$2:$CK$25,MATCH($E175,DEMANDS!$E$2:$E$25,0),FALSE)/HLOOKUP(2018,DEMANDS!$G$2:$CK$25,MATCH($E175,DEMANDS!$E$2:$E$25,0),FALSE)</f>
        <v>0.0078899456114778638</v>
      </c>
      <c r="AC175" s="19">
        <f>HLOOKUP(REG_TRA_DEMANDS!AC$3,'BY-Demands'!$J$5:$AK$14,MATCH($E175,'BY-Demands'!$I$5:$I$14,0),FALSE)*HLOOKUP(REG_TRA_DEMANDS!$F175,DEMANDS!$G$2:$CK$25,MATCH($E175,DEMANDS!$E$2:$E$25,0),FALSE)/HLOOKUP(2018,DEMANDS!$G$2:$CK$25,MATCH($E175,DEMANDS!$E$2:$E$25,0),FALSE)</f>
        <v>0.0080110867880546863</v>
      </c>
      <c r="AD175" s="19">
        <f>HLOOKUP(REG_TRA_DEMANDS!AD$3,'BY-Demands'!$J$5:$AK$14,MATCH($E175,'BY-Demands'!$I$5:$I$14,0),FALSE)*HLOOKUP(REG_TRA_DEMANDS!$F175,DEMANDS!$G$2:$CK$25,MATCH($E175,DEMANDS!$E$2:$E$25,0),FALSE)/HLOOKUP(2018,DEMANDS!$G$2:$CK$25,MATCH($E175,DEMANDS!$E$2:$E$25,0),FALSE)</f>
        <v>0.0093118569797337753</v>
      </c>
      <c r="AE175" s="19">
        <f>HLOOKUP(REG_TRA_DEMANDS!AE$3,'BY-Demands'!$J$5:$AK$14,MATCH($E175,'BY-Demands'!$I$5:$I$14,0),FALSE)*HLOOKUP(REG_TRA_DEMANDS!$F175,DEMANDS!$G$2:$CK$25,MATCH($E175,DEMANDS!$E$2:$E$25,0),FALSE)/HLOOKUP(2018,DEMANDS!$G$2:$CK$25,MATCH($E175,DEMANDS!$E$2:$E$25,0),FALSE)</f>
        <v>0.019459844784679971</v>
      </c>
      <c r="AF175" s="19">
        <f>HLOOKUP(REG_TRA_DEMANDS!AF$3,'BY-Demands'!$J$5:$AK$14,MATCH($E175,'BY-Demands'!$I$5:$I$14,0),FALSE)*HLOOKUP(REG_TRA_DEMANDS!$F175,DEMANDS!$G$2:$CK$25,MATCH($E175,DEMANDS!$E$2:$E$25,0),FALSE)/HLOOKUP(2018,DEMANDS!$G$2:$CK$25,MATCH($E175,DEMANDS!$E$2:$E$25,0),FALSE)</f>
        <v>0.0075039074322350678</v>
      </c>
    </row>
    <row r="176" spans="4:32" ht="14.5">
      <c r="D176" t="s">
        <v>6</v>
      </c>
      <c r="E176" t="str">
        <f>DEMANDS!$E$23</f>
        <v>TOTH</v>
      </c>
      <c r="F176">
        <v>2030</v>
      </c>
      <c r="G176" s="19">
        <f>HLOOKUP(REG_TRA_DEMANDS!G$3,'BY-Demands'!$J$5:$AK$14,MATCH($E176,'BY-Demands'!$I$5:$I$14,0),FALSE)*HLOOKUP(REG_TRA_DEMANDS!$F176,DEMANDS!$G$2:$CK$25,MATCH($E176,DEMANDS!$E$2:$E$25,0),FALSE)/HLOOKUP(2018,DEMANDS!$G$2:$CK$25,MATCH($E176,DEMANDS!$E$2:$E$25,0),FALSE)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H176" s="19">
        <f>HLOOKUP(REG_TRA_DEMANDS!H$3,'BY-Demands'!$J$5:$AK$14,MATCH($E176,'BY-Demands'!$I$5:$I$14,0),FALSE)*HLOOKUP(REG_TRA_DEMANDS!$F176,DEMANDS!$G$2:$CK$25,MATCH($E176,DEMANDS!$E$2:$E$25,0),FALSE)/HLOOKUP(2018,DEMANDS!$G$2:$CK$25,MATCH($E176,DEMANDS!$E$2:$E$25,0),FALSE)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I176" s="19">
        <f>HLOOKUP(REG_TRA_DEMANDS!I$3,'BY-Demands'!$J$5:$AK$14,MATCH($E176,'BY-Demands'!$I$5:$I$14,0),FALSE)*HLOOKUP(REG_TRA_DEMANDS!$F176,DEMANDS!$G$2:$CK$25,MATCH($E176,DEMANDS!$E$2:$E$25,0),FALSE)/HLOOKUP(2018,DEMANDS!$G$2:$CK$25,MATCH($E176,DEMANDS!$E$2:$E$25,0),FALSE)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J176" s="19">
        <f>HLOOKUP(REG_TRA_DEMANDS!J$3,'BY-Demands'!$J$5:$AK$14,MATCH($E176,'BY-Demands'!$I$5:$I$14,0),FALSE)*HLOOKUP(REG_TRA_DEMANDS!$F176,DEMANDS!$G$2:$CK$25,MATCH($E176,DEMANDS!$E$2:$E$25,0),FALSE)/HLOOKUP(2018,DEMANDS!$G$2:$CK$25,MATCH($E176,DEMANDS!$E$2:$E$25,0),FALSE)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K176" s="19">
        <f>HLOOKUP(REG_TRA_DEMANDS!K$3,'BY-Demands'!$J$5:$AK$14,MATCH($E176,'BY-Demands'!$I$5:$I$14,0),FALSE)*HLOOKUP(REG_TRA_DEMANDS!$F176,DEMANDS!$G$2:$CK$25,MATCH($E176,DEMANDS!$E$2:$E$25,0),FALSE)/HLOOKUP(2018,DEMANDS!$G$2:$CK$25,MATCH($E176,DEMANDS!$E$2:$E$25,0),FALSE)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L176" s="19">
        <f>HLOOKUP(REG_TRA_DEMANDS!L$3,'BY-Demands'!$J$5:$AK$14,MATCH($E176,'BY-Demands'!$I$5:$I$14,0),FALSE)*HLOOKUP(REG_TRA_DEMANDS!$F176,DEMANDS!$G$2:$CK$25,MATCH($E176,DEMANDS!$E$2:$E$25,0),FALSE)/HLOOKUP(2018,DEMANDS!$G$2:$CK$25,MATCH($E176,DEMANDS!$E$2:$E$25,0),FALSE)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M176" s="19">
        <f>HLOOKUP(REG_TRA_DEMANDS!M$3,'BY-Demands'!$J$5:$AK$14,MATCH($E176,'BY-Demands'!$I$5:$I$14,0),FALSE)*HLOOKUP(REG_TRA_DEMANDS!$F176,DEMANDS!$G$2:$CK$25,MATCH($E176,DEMANDS!$E$2:$E$25,0),FALSE)/HLOOKUP(2018,DEMANDS!$G$2:$CK$25,MATCH($E176,DEMANDS!$E$2:$E$25,0),FALSE)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N176" s="19">
        <f>HLOOKUP(REG_TRA_DEMANDS!N$3,'BY-Demands'!$J$5:$AK$14,MATCH($E176,'BY-Demands'!$I$5:$I$14,0),FALSE)*HLOOKUP(REG_TRA_DEMANDS!$F176,DEMANDS!$G$2:$CK$25,MATCH($E176,DEMANDS!$E$2:$E$25,0),FALSE)/HLOOKUP(2018,DEMANDS!$G$2:$CK$25,MATCH($E176,DEMANDS!$E$2:$E$25,0),FALSE)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O176" s="19">
        <f>HLOOKUP(REG_TRA_DEMANDS!O$3,'BY-Demands'!$J$5:$AK$14,MATCH($E176,'BY-Demands'!$I$5:$I$14,0),FALSE)*HLOOKUP(REG_TRA_DEMANDS!$F176,DEMANDS!$G$2:$CK$25,MATCH($E176,DEMANDS!$E$2:$E$25,0),FALSE)/HLOOKUP(2018,DEMANDS!$G$2:$CK$25,MATCH($E176,DEMANDS!$E$2:$E$25,0),FALSE)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P176" s="19">
        <f>HLOOKUP(REG_TRA_DEMANDS!P$3,'BY-Demands'!$J$5:$AK$14,MATCH($E176,'BY-Demands'!$I$5:$I$14,0),FALSE)*HLOOKUP(REG_TRA_DEMANDS!$F176,DEMANDS!$G$2:$CK$25,MATCH($E176,DEMANDS!$E$2:$E$25,0),FALSE)/HLOOKUP(2018,DEMANDS!$G$2:$CK$25,MATCH($E176,DEMANDS!$E$2:$E$25,0),FALSE)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Q176" s="19">
        <f>HLOOKUP(REG_TRA_DEMANDS!Q$3,'BY-Demands'!$J$5:$AK$14,MATCH($E176,'BY-Demands'!$I$5:$I$14,0),FALSE)*HLOOKUP(REG_TRA_DEMANDS!$F176,DEMANDS!$G$2:$CK$25,MATCH($E176,DEMANDS!$E$2:$E$25,0),FALSE)/HLOOKUP(2018,DEMANDS!$G$2:$CK$25,MATCH($E176,DEMANDS!$E$2:$E$25,0),FALSE)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R176" s="19">
        <f>HLOOKUP(REG_TRA_DEMANDS!R$3,'BY-Demands'!$J$5:$AK$14,MATCH($E176,'BY-Demands'!$I$5:$I$14,0),FALSE)*HLOOKUP(REG_TRA_DEMANDS!$F176,DEMANDS!$G$2:$CK$25,MATCH($E176,DEMANDS!$E$2:$E$25,0),FALSE)/HLOOKUP(2018,DEMANDS!$G$2:$CK$25,MATCH($E176,DEMANDS!$E$2:$E$25,0),FALSE)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S176" s="19">
        <f>HLOOKUP(REG_TRA_DEMANDS!S$3,'BY-Demands'!$J$5:$AK$14,MATCH($E176,'BY-Demands'!$I$5:$I$14,0),FALSE)*HLOOKUP(REG_TRA_DEMANDS!$F176,DEMANDS!$G$2:$CK$25,MATCH($E176,DEMANDS!$E$2:$E$25,0),FALSE)/HLOOKUP(2018,DEMANDS!$G$2:$CK$25,MATCH($E176,DEMANDS!$E$2:$E$25,0),FALSE)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T176" s="19">
        <f>HLOOKUP(REG_TRA_DEMANDS!T$3,'BY-Demands'!$J$5:$AK$14,MATCH($E176,'BY-Demands'!$I$5:$I$14,0),FALSE)*HLOOKUP(REG_TRA_DEMANDS!$F176,DEMANDS!$G$2:$CK$25,MATCH($E176,DEMANDS!$E$2:$E$25,0),FALSE)/HLOOKUP(2018,DEMANDS!$G$2:$CK$25,MATCH($E176,DEMANDS!$E$2:$E$25,0),FALSE)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U176" s="19">
        <f>HLOOKUP(REG_TRA_DEMANDS!U$3,'BY-Demands'!$J$5:$AK$14,MATCH($E176,'BY-Demands'!$I$5:$I$14,0),FALSE)*HLOOKUP(REG_TRA_DEMANDS!$F176,DEMANDS!$G$2:$CK$25,MATCH($E176,DEMANDS!$E$2:$E$25,0),FALSE)/HLOOKUP(2018,DEMANDS!$G$2:$CK$25,MATCH($E176,DEMANDS!$E$2:$E$25,0),FALSE)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V176" s="19">
        <f>HLOOKUP(REG_TRA_DEMANDS!V$3,'BY-Demands'!$J$5:$AK$14,MATCH($E176,'BY-Demands'!$I$5:$I$14,0),FALSE)*HLOOKUP(REG_TRA_DEMANDS!$F176,DEMANDS!$G$2:$CK$25,MATCH($E176,DEMANDS!$E$2:$E$25,0),FALSE)/HLOOKUP(2018,DEMANDS!$G$2:$CK$25,MATCH($E176,DEMANDS!$E$2:$E$25,0),FALSE)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W176" s="19">
        <f>HLOOKUP(REG_TRA_DEMANDS!W$3,'BY-Demands'!$J$5:$AK$14,MATCH($E176,'BY-Demands'!$I$5:$I$14,0),FALSE)*HLOOKUP(REG_TRA_DEMANDS!$F176,DEMANDS!$G$2:$CK$25,MATCH($E176,DEMANDS!$E$2:$E$25,0),FALSE)/HLOOKUP(2018,DEMANDS!$G$2:$CK$25,MATCH($E176,DEMANDS!$E$2:$E$25,0),FALSE)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X176" s="19">
        <f>HLOOKUP(REG_TRA_DEMANDS!X$3,'BY-Demands'!$J$5:$AK$14,MATCH($E176,'BY-Demands'!$I$5:$I$14,0),FALSE)*HLOOKUP(REG_TRA_DEMANDS!$F176,DEMANDS!$G$2:$CK$25,MATCH($E176,DEMANDS!$E$2:$E$25,0),FALSE)/HLOOKUP(2018,DEMANDS!$G$2:$CK$25,MATCH($E176,DEMANDS!$E$2:$E$25,0),FALSE)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Y176" s="19">
        <f>HLOOKUP(REG_TRA_DEMANDS!Y$3,'BY-Demands'!$J$5:$AK$14,MATCH($E176,'BY-Demands'!$I$5:$I$14,0),FALSE)*HLOOKUP(REG_TRA_DEMANDS!$F176,DEMANDS!$G$2:$CK$25,MATCH($E176,DEMANDS!$E$2:$E$25,0),FALSE)/HLOOKUP(2018,DEMANDS!$G$2:$CK$25,MATCH($E176,DEMANDS!$E$2:$E$25,0),FALSE)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Z176" s="19">
        <f>HLOOKUP(REG_TRA_DEMANDS!Z$3,'BY-Demands'!$J$5:$AK$14,MATCH($E176,'BY-Demands'!$I$5:$I$14,0),FALSE)*HLOOKUP(REG_TRA_DEMANDS!$F176,DEMANDS!$G$2:$CK$25,MATCH($E176,DEMANDS!$E$2:$E$25,0),FALSE)/HLOOKUP(2018,DEMANDS!$G$2:$CK$25,MATCH($E176,DEMANDS!$E$2:$E$25,0),FALSE)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A176" s="19">
        <f>HLOOKUP(REG_TRA_DEMANDS!AA$3,'BY-Demands'!$J$5:$AK$14,MATCH($E176,'BY-Demands'!$I$5:$I$14,0),FALSE)*HLOOKUP(REG_TRA_DEMANDS!$F176,DEMANDS!$G$2:$CK$25,MATCH($E176,DEMANDS!$E$2:$E$25,0),FALSE)/HLOOKUP(2018,DEMANDS!$G$2:$CK$25,MATCH($E176,DEMANDS!$E$2:$E$25,0),FALSE)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B176" s="19">
        <f>HLOOKUP(REG_TRA_DEMANDS!AB$3,'BY-Demands'!$J$5:$AK$14,MATCH($E176,'BY-Demands'!$I$5:$I$14,0),FALSE)*HLOOKUP(REG_TRA_DEMANDS!$F176,DEMANDS!$G$2:$CK$25,MATCH($E176,DEMANDS!$E$2:$E$25,0),FALSE)/HLOOKUP(2018,DEMANDS!$G$2:$CK$25,MATCH($E176,DEMANDS!$E$2:$E$25,0),FALSE)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C176" s="19">
        <f>HLOOKUP(REG_TRA_DEMANDS!AC$3,'BY-Demands'!$J$5:$AK$14,MATCH($E176,'BY-Demands'!$I$5:$I$14,0),FALSE)*HLOOKUP(REG_TRA_DEMANDS!$F176,DEMANDS!$G$2:$CK$25,MATCH($E176,DEMANDS!$E$2:$E$25,0),FALSE)/HLOOKUP(2018,DEMANDS!$G$2:$CK$25,MATCH($E176,DEMANDS!$E$2:$E$25,0),FALSE)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D176" s="19">
        <f>HLOOKUP(REG_TRA_DEMANDS!AD$3,'BY-Demands'!$J$5:$AK$14,MATCH($E176,'BY-Demands'!$I$5:$I$14,0),FALSE)*HLOOKUP(REG_TRA_DEMANDS!$F176,DEMANDS!$G$2:$CK$25,MATCH($E176,DEMANDS!$E$2:$E$25,0),FALSE)/HLOOKUP(2018,DEMANDS!$G$2:$CK$25,MATCH($E176,DEMANDS!$E$2:$E$25,0),FALSE)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E176" s="19">
        <f>HLOOKUP(REG_TRA_DEMANDS!AE$3,'BY-Demands'!$J$5:$AK$14,MATCH($E176,'BY-Demands'!$I$5:$I$14,0),FALSE)*HLOOKUP(REG_TRA_DEMANDS!$F176,DEMANDS!$G$2:$CK$25,MATCH($E176,DEMANDS!$E$2:$E$25,0),FALSE)/HLOOKUP(2018,DEMANDS!$G$2:$CK$25,MATCH($E176,DEMANDS!$E$2:$E$25,0),FALSE)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F176" s="19">
        <f>HLOOKUP(REG_TRA_DEMANDS!AF$3,'BY-Demands'!$J$5:$AK$14,MATCH($E176,'BY-Demands'!$I$5:$I$14,0),FALSE)*HLOOKUP(REG_TRA_DEMANDS!$F176,DEMANDS!$G$2:$CK$25,MATCH($E176,DEMANDS!$E$2:$E$25,0),FALSE)/HLOOKUP(2018,DEMANDS!$G$2:$CK$25,MATCH($E176,DEMANDS!$E$2:$E$25,0),FALSE)</f>
        <v>0</v>
      </c>
    </row>
    <row r="177" spans="4:32" ht="14.5">
      <c r="D177" t="s">
        <v>6</v>
      </c>
      <c r="E177" t="str">
        <f>DEMANDS!$E$23</f>
        <v>TOTH</v>
      </c>
      <c r="F177">
        <v>2031</v>
      </c>
      <c r="G177" s="19">
        <f>HLOOKUP(REG_TRA_DEMANDS!G$3,'BY-Demands'!$J$5:$AK$14,MATCH($E177,'BY-Demands'!$I$5:$I$14,0),FALSE)*HLOOKUP(REG_TRA_DEMANDS!$F177,DEMANDS!$G$2:$CK$25,MATCH($E177,DEMANDS!$E$2:$E$25,0),FALSE)/HLOOKUP(2018,DEMANDS!$G$2:$CK$25,MATCH($E177,DEMANDS!$E$2:$E$25,0),FALSE)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H177" s="19">
        <f>HLOOKUP(REG_TRA_DEMANDS!H$3,'BY-Demands'!$J$5:$AK$14,MATCH($E177,'BY-Demands'!$I$5:$I$14,0),FALSE)*HLOOKUP(REG_TRA_DEMANDS!$F177,DEMANDS!$G$2:$CK$25,MATCH($E177,DEMANDS!$E$2:$E$25,0),FALSE)/HLOOKUP(2018,DEMANDS!$G$2:$CK$25,MATCH($E177,DEMANDS!$E$2:$E$25,0),FALSE)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I177" s="19">
        <f>HLOOKUP(REG_TRA_DEMANDS!I$3,'BY-Demands'!$J$5:$AK$14,MATCH($E177,'BY-Demands'!$I$5:$I$14,0),FALSE)*HLOOKUP(REG_TRA_DEMANDS!$F177,DEMANDS!$G$2:$CK$25,MATCH($E177,DEMANDS!$E$2:$E$25,0),FALSE)/HLOOKUP(2018,DEMANDS!$G$2:$CK$25,MATCH($E177,DEMANDS!$E$2:$E$25,0),FALSE)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J177" s="19">
        <f>HLOOKUP(REG_TRA_DEMANDS!J$3,'BY-Demands'!$J$5:$AK$14,MATCH($E177,'BY-Demands'!$I$5:$I$14,0),FALSE)*HLOOKUP(REG_TRA_DEMANDS!$F177,DEMANDS!$G$2:$CK$25,MATCH($E177,DEMANDS!$E$2:$E$25,0),FALSE)/HLOOKUP(2018,DEMANDS!$G$2:$CK$25,MATCH($E177,DEMANDS!$E$2:$E$25,0),FALSE)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K177" s="19">
        <f>HLOOKUP(REG_TRA_DEMANDS!K$3,'BY-Demands'!$J$5:$AK$14,MATCH($E177,'BY-Demands'!$I$5:$I$14,0),FALSE)*HLOOKUP(REG_TRA_DEMANDS!$F177,DEMANDS!$G$2:$CK$25,MATCH($E177,DEMANDS!$E$2:$E$25,0),FALSE)/HLOOKUP(2018,DEMANDS!$G$2:$CK$25,MATCH($E177,DEMANDS!$E$2:$E$25,0),FALSE)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L177" s="19">
        <f>HLOOKUP(REG_TRA_DEMANDS!L$3,'BY-Demands'!$J$5:$AK$14,MATCH($E177,'BY-Demands'!$I$5:$I$14,0),FALSE)*HLOOKUP(REG_TRA_DEMANDS!$F177,DEMANDS!$G$2:$CK$25,MATCH($E177,DEMANDS!$E$2:$E$25,0),FALSE)/HLOOKUP(2018,DEMANDS!$G$2:$CK$25,MATCH($E177,DEMANDS!$E$2:$E$25,0),FALSE)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M177" s="19">
        <f>HLOOKUP(REG_TRA_DEMANDS!M$3,'BY-Demands'!$J$5:$AK$14,MATCH($E177,'BY-Demands'!$I$5:$I$14,0),FALSE)*HLOOKUP(REG_TRA_DEMANDS!$F177,DEMANDS!$G$2:$CK$25,MATCH($E177,DEMANDS!$E$2:$E$25,0),FALSE)/HLOOKUP(2018,DEMANDS!$G$2:$CK$25,MATCH($E177,DEMANDS!$E$2:$E$25,0),FALSE)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N177" s="19">
        <f>HLOOKUP(REG_TRA_DEMANDS!N$3,'BY-Demands'!$J$5:$AK$14,MATCH($E177,'BY-Demands'!$I$5:$I$14,0),FALSE)*HLOOKUP(REG_TRA_DEMANDS!$F177,DEMANDS!$G$2:$CK$25,MATCH($E177,DEMANDS!$E$2:$E$25,0),FALSE)/HLOOKUP(2018,DEMANDS!$G$2:$CK$25,MATCH($E177,DEMANDS!$E$2:$E$25,0),FALSE)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O177" s="19">
        <f>HLOOKUP(REG_TRA_DEMANDS!O$3,'BY-Demands'!$J$5:$AK$14,MATCH($E177,'BY-Demands'!$I$5:$I$14,0),FALSE)*HLOOKUP(REG_TRA_DEMANDS!$F177,DEMANDS!$G$2:$CK$25,MATCH($E177,DEMANDS!$E$2:$E$25,0),FALSE)/HLOOKUP(2018,DEMANDS!$G$2:$CK$25,MATCH($E177,DEMANDS!$E$2:$E$25,0),FALSE)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P177" s="19">
        <f>HLOOKUP(REG_TRA_DEMANDS!P$3,'BY-Demands'!$J$5:$AK$14,MATCH($E177,'BY-Demands'!$I$5:$I$14,0),FALSE)*HLOOKUP(REG_TRA_DEMANDS!$F177,DEMANDS!$G$2:$CK$25,MATCH($E177,DEMANDS!$E$2:$E$25,0),FALSE)/HLOOKUP(2018,DEMANDS!$G$2:$CK$25,MATCH($E177,DEMANDS!$E$2:$E$25,0),FALSE)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Q177" s="19">
        <f>HLOOKUP(REG_TRA_DEMANDS!Q$3,'BY-Demands'!$J$5:$AK$14,MATCH($E177,'BY-Demands'!$I$5:$I$14,0),FALSE)*HLOOKUP(REG_TRA_DEMANDS!$F177,DEMANDS!$G$2:$CK$25,MATCH($E177,DEMANDS!$E$2:$E$25,0),FALSE)/HLOOKUP(2018,DEMANDS!$G$2:$CK$25,MATCH($E177,DEMANDS!$E$2:$E$25,0),FALSE)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R177" s="19">
        <f>HLOOKUP(REG_TRA_DEMANDS!R$3,'BY-Demands'!$J$5:$AK$14,MATCH($E177,'BY-Demands'!$I$5:$I$14,0),FALSE)*HLOOKUP(REG_TRA_DEMANDS!$F177,DEMANDS!$G$2:$CK$25,MATCH($E177,DEMANDS!$E$2:$E$25,0),FALSE)/HLOOKUP(2018,DEMANDS!$G$2:$CK$25,MATCH($E177,DEMANDS!$E$2:$E$25,0),FALSE)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S177" s="19">
        <f>HLOOKUP(REG_TRA_DEMANDS!S$3,'BY-Demands'!$J$5:$AK$14,MATCH($E177,'BY-Demands'!$I$5:$I$14,0),FALSE)*HLOOKUP(REG_TRA_DEMANDS!$F177,DEMANDS!$G$2:$CK$25,MATCH($E177,DEMANDS!$E$2:$E$25,0),FALSE)/HLOOKUP(2018,DEMANDS!$G$2:$CK$25,MATCH($E177,DEMANDS!$E$2:$E$25,0),FALSE)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T177" s="19">
        <f>HLOOKUP(REG_TRA_DEMANDS!T$3,'BY-Demands'!$J$5:$AK$14,MATCH($E177,'BY-Demands'!$I$5:$I$14,0),FALSE)*HLOOKUP(REG_TRA_DEMANDS!$F177,DEMANDS!$G$2:$CK$25,MATCH($E177,DEMANDS!$E$2:$E$25,0),FALSE)/HLOOKUP(2018,DEMANDS!$G$2:$CK$25,MATCH($E177,DEMANDS!$E$2:$E$25,0),FALSE)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U177" s="19">
        <f>HLOOKUP(REG_TRA_DEMANDS!U$3,'BY-Demands'!$J$5:$AK$14,MATCH($E177,'BY-Demands'!$I$5:$I$14,0),FALSE)*HLOOKUP(REG_TRA_DEMANDS!$F177,DEMANDS!$G$2:$CK$25,MATCH($E177,DEMANDS!$E$2:$E$25,0),FALSE)/HLOOKUP(2018,DEMANDS!$G$2:$CK$25,MATCH($E177,DEMANDS!$E$2:$E$25,0),FALSE)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V177" s="19">
        <f>HLOOKUP(REG_TRA_DEMANDS!V$3,'BY-Demands'!$J$5:$AK$14,MATCH($E177,'BY-Demands'!$I$5:$I$14,0),FALSE)*HLOOKUP(REG_TRA_DEMANDS!$F177,DEMANDS!$G$2:$CK$25,MATCH($E177,DEMANDS!$E$2:$E$25,0),FALSE)/HLOOKUP(2018,DEMANDS!$G$2:$CK$25,MATCH($E177,DEMANDS!$E$2:$E$25,0),FALSE)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W177" s="19">
        <f>HLOOKUP(REG_TRA_DEMANDS!W$3,'BY-Demands'!$J$5:$AK$14,MATCH($E177,'BY-Demands'!$I$5:$I$14,0),FALSE)*HLOOKUP(REG_TRA_DEMANDS!$F177,DEMANDS!$G$2:$CK$25,MATCH($E177,DEMANDS!$E$2:$E$25,0),FALSE)/HLOOKUP(2018,DEMANDS!$G$2:$CK$25,MATCH($E177,DEMANDS!$E$2:$E$25,0),FALSE)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X177" s="19">
        <f>HLOOKUP(REG_TRA_DEMANDS!X$3,'BY-Demands'!$J$5:$AK$14,MATCH($E177,'BY-Demands'!$I$5:$I$14,0),FALSE)*HLOOKUP(REG_TRA_DEMANDS!$F177,DEMANDS!$G$2:$CK$25,MATCH($E177,DEMANDS!$E$2:$E$25,0),FALSE)/HLOOKUP(2018,DEMANDS!$G$2:$CK$25,MATCH($E177,DEMANDS!$E$2:$E$25,0),FALSE)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Y177" s="19">
        <f>HLOOKUP(REG_TRA_DEMANDS!Y$3,'BY-Demands'!$J$5:$AK$14,MATCH($E177,'BY-Demands'!$I$5:$I$14,0),FALSE)*HLOOKUP(REG_TRA_DEMANDS!$F177,DEMANDS!$G$2:$CK$25,MATCH($E177,DEMANDS!$E$2:$E$25,0),FALSE)/HLOOKUP(2018,DEMANDS!$G$2:$CK$25,MATCH($E177,DEMANDS!$E$2:$E$25,0),FALSE)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Z177" s="19">
        <f>HLOOKUP(REG_TRA_DEMANDS!Z$3,'BY-Demands'!$J$5:$AK$14,MATCH($E177,'BY-Demands'!$I$5:$I$14,0),FALSE)*HLOOKUP(REG_TRA_DEMANDS!$F177,DEMANDS!$G$2:$CK$25,MATCH($E177,DEMANDS!$E$2:$E$25,0),FALSE)/HLOOKUP(2018,DEMANDS!$G$2:$CK$25,MATCH($E177,DEMANDS!$E$2:$E$25,0),FALSE)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A177" s="19">
        <f>HLOOKUP(REG_TRA_DEMANDS!AA$3,'BY-Demands'!$J$5:$AK$14,MATCH($E177,'BY-Demands'!$I$5:$I$14,0),FALSE)*HLOOKUP(REG_TRA_DEMANDS!$F177,DEMANDS!$G$2:$CK$25,MATCH($E177,DEMANDS!$E$2:$E$25,0),FALSE)/HLOOKUP(2018,DEMANDS!$G$2:$CK$25,MATCH($E177,DEMANDS!$E$2:$E$25,0),FALSE)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B177" s="19">
        <f>HLOOKUP(REG_TRA_DEMANDS!AB$3,'BY-Demands'!$J$5:$AK$14,MATCH($E177,'BY-Demands'!$I$5:$I$14,0),FALSE)*HLOOKUP(REG_TRA_DEMANDS!$F177,DEMANDS!$G$2:$CK$25,MATCH($E177,DEMANDS!$E$2:$E$25,0),FALSE)/HLOOKUP(2018,DEMANDS!$G$2:$CK$25,MATCH($E177,DEMANDS!$E$2:$E$25,0),FALSE)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C177" s="19">
        <f>HLOOKUP(REG_TRA_DEMANDS!AC$3,'BY-Demands'!$J$5:$AK$14,MATCH($E177,'BY-Demands'!$I$5:$I$14,0),FALSE)*HLOOKUP(REG_TRA_DEMANDS!$F177,DEMANDS!$G$2:$CK$25,MATCH($E177,DEMANDS!$E$2:$E$25,0),FALSE)/HLOOKUP(2018,DEMANDS!$G$2:$CK$25,MATCH($E177,DEMANDS!$E$2:$E$25,0),FALSE)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D177" s="19">
        <f>HLOOKUP(REG_TRA_DEMANDS!AD$3,'BY-Demands'!$J$5:$AK$14,MATCH($E177,'BY-Demands'!$I$5:$I$14,0),FALSE)*HLOOKUP(REG_TRA_DEMANDS!$F177,DEMANDS!$G$2:$CK$25,MATCH($E177,DEMANDS!$E$2:$E$25,0),FALSE)/HLOOKUP(2018,DEMANDS!$G$2:$CK$25,MATCH($E177,DEMANDS!$E$2:$E$25,0),FALSE)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E177" s="19">
        <f>HLOOKUP(REG_TRA_DEMANDS!AE$3,'BY-Demands'!$J$5:$AK$14,MATCH($E177,'BY-Demands'!$I$5:$I$14,0),FALSE)*HLOOKUP(REG_TRA_DEMANDS!$F177,DEMANDS!$G$2:$CK$25,MATCH($E177,DEMANDS!$E$2:$E$25,0),FALSE)/HLOOKUP(2018,DEMANDS!$G$2:$CK$25,MATCH($E177,DEMANDS!$E$2:$E$25,0),FALSE)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F177" s="19">
        <f>HLOOKUP(REG_TRA_DEMANDS!AF$3,'BY-Demands'!$J$5:$AK$14,MATCH($E177,'BY-Demands'!$I$5:$I$14,0),FALSE)*HLOOKUP(REG_TRA_DEMANDS!$F177,DEMANDS!$G$2:$CK$25,MATCH($E177,DEMANDS!$E$2:$E$25,0),FALSE)/HLOOKUP(2018,DEMANDS!$G$2:$CK$25,MATCH($E177,DEMANDS!$E$2:$E$25,0),FALSE)</f>
        <v>0</v>
      </c>
    </row>
    <row r="178" spans="4:32" ht="14.5">
      <c r="D178" t="s">
        <v>6</v>
      </c>
      <c r="E178" t="str">
        <f>DEMANDS!$E$23</f>
        <v>TOTH</v>
      </c>
      <c r="F178">
        <v>2032</v>
      </c>
      <c r="G178" s="19">
        <f>HLOOKUP(REG_TRA_DEMANDS!G$3,'BY-Demands'!$J$5:$AK$14,MATCH($E178,'BY-Demands'!$I$5:$I$14,0),FALSE)*HLOOKUP(REG_TRA_DEMANDS!$F178,DEMANDS!$G$2:$CK$25,MATCH($E178,DEMANDS!$E$2:$E$25,0),FALSE)/HLOOKUP(2018,DEMANDS!$G$2:$CK$25,MATCH($E178,DEMANDS!$E$2:$E$25,0),FALSE)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H178" s="19">
        <f>HLOOKUP(REG_TRA_DEMANDS!H$3,'BY-Demands'!$J$5:$AK$14,MATCH($E178,'BY-Demands'!$I$5:$I$14,0),FALSE)*HLOOKUP(REG_TRA_DEMANDS!$F178,DEMANDS!$G$2:$CK$25,MATCH($E178,DEMANDS!$E$2:$E$25,0),FALSE)/HLOOKUP(2018,DEMANDS!$G$2:$CK$25,MATCH($E178,DEMANDS!$E$2:$E$25,0),FALSE)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I178" s="19">
        <f>HLOOKUP(REG_TRA_DEMANDS!I$3,'BY-Demands'!$J$5:$AK$14,MATCH($E178,'BY-Demands'!$I$5:$I$14,0),FALSE)*HLOOKUP(REG_TRA_DEMANDS!$F178,DEMANDS!$G$2:$CK$25,MATCH($E178,DEMANDS!$E$2:$E$25,0),FALSE)/HLOOKUP(2018,DEMANDS!$G$2:$CK$25,MATCH($E178,DEMANDS!$E$2:$E$25,0),FALSE)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J178" s="19">
        <f>HLOOKUP(REG_TRA_DEMANDS!J$3,'BY-Demands'!$J$5:$AK$14,MATCH($E178,'BY-Demands'!$I$5:$I$14,0),FALSE)*HLOOKUP(REG_TRA_DEMANDS!$F178,DEMANDS!$G$2:$CK$25,MATCH($E178,DEMANDS!$E$2:$E$25,0),FALSE)/HLOOKUP(2018,DEMANDS!$G$2:$CK$25,MATCH($E178,DEMANDS!$E$2:$E$25,0),FALSE)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K178" s="19">
        <f>HLOOKUP(REG_TRA_DEMANDS!K$3,'BY-Demands'!$J$5:$AK$14,MATCH($E178,'BY-Demands'!$I$5:$I$14,0),FALSE)*HLOOKUP(REG_TRA_DEMANDS!$F178,DEMANDS!$G$2:$CK$25,MATCH($E178,DEMANDS!$E$2:$E$25,0),FALSE)/HLOOKUP(2018,DEMANDS!$G$2:$CK$25,MATCH($E178,DEMANDS!$E$2:$E$25,0),FALSE)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L178" s="19">
        <f>HLOOKUP(REG_TRA_DEMANDS!L$3,'BY-Demands'!$J$5:$AK$14,MATCH($E178,'BY-Demands'!$I$5:$I$14,0),FALSE)*HLOOKUP(REG_TRA_DEMANDS!$F178,DEMANDS!$G$2:$CK$25,MATCH($E178,DEMANDS!$E$2:$E$25,0),FALSE)/HLOOKUP(2018,DEMANDS!$G$2:$CK$25,MATCH($E178,DEMANDS!$E$2:$E$25,0),FALSE)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M178" s="19">
        <f>HLOOKUP(REG_TRA_DEMANDS!M$3,'BY-Demands'!$J$5:$AK$14,MATCH($E178,'BY-Demands'!$I$5:$I$14,0),FALSE)*HLOOKUP(REG_TRA_DEMANDS!$F178,DEMANDS!$G$2:$CK$25,MATCH($E178,DEMANDS!$E$2:$E$25,0),FALSE)/HLOOKUP(2018,DEMANDS!$G$2:$CK$25,MATCH($E178,DEMANDS!$E$2:$E$25,0),FALSE)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N178" s="19">
        <f>HLOOKUP(REG_TRA_DEMANDS!N$3,'BY-Demands'!$J$5:$AK$14,MATCH($E178,'BY-Demands'!$I$5:$I$14,0),FALSE)*HLOOKUP(REG_TRA_DEMANDS!$F178,DEMANDS!$G$2:$CK$25,MATCH($E178,DEMANDS!$E$2:$E$25,0),FALSE)/HLOOKUP(2018,DEMANDS!$G$2:$CK$25,MATCH($E178,DEMANDS!$E$2:$E$25,0),FALSE)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O178" s="19">
        <f>HLOOKUP(REG_TRA_DEMANDS!O$3,'BY-Demands'!$J$5:$AK$14,MATCH($E178,'BY-Demands'!$I$5:$I$14,0),FALSE)*HLOOKUP(REG_TRA_DEMANDS!$F178,DEMANDS!$G$2:$CK$25,MATCH($E178,DEMANDS!$E$2:$E$25,0),FALSE)/HLOOKUP(2018,DEMANDS!$G$2:$CK$25,MATCH($E178,DEMANDS!$E$2:$E$25,0),FALSE)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P178" s="19">
        <f>HLOOKUP(REG_TRA_DEMANDS!P$3,'BY-Demands'!$J$5:$AK$14,MATCH($E178,'BY-Demands'!$I$5:$I$14,0),FALSE)*HLOOKUP(REG_TRA_DEMANDS!$F178,DEMANDS!$G$2:$CK$25,MATCH($E178,DEMANDS!$E$2:$E$25,0),FALSE)/HLOOKUP(2018,DEMANDS!$G$2:$CK$25,MATCH($E178,DEMANDS!$E$2:$E$25,0),FALSE)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Q178" s="19">
        <f>HLOOKUP(REG_TRA_DEMANDS!Q$3,'BY-Demands'!$J$5:$AK$14,MATCH($E178,'BY-Demands'!$I$5:$I$14,0),FALSE)*HLOOKUP(REG_TRA_DEMANDS!$F178,DEMANDS!$G$2:$CK$25,MATCH($E178,DEMANDS!$E$2:$E$25,0),FALSE)/HLOOKUP(2018,DEMANDS!$G$2:$CK$25,MATCH($E178,DEMANDS!$E$2:$E$25,0),FALSE)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R178" s="19">
        <f>HLOOKUP(REG_TRA_DEMANDS!R$3,'BY-Demands'!$J$5:$AK$14,MATCH($E178,'BY-Demands'!$I$5:$I$14,0),FALSE)*HLOOKUP(REG_TRA_DEMANDS!$F178,DEMANDS!$G$2:$CK$25,MATCH($E178,DEMANDS!$E$2:$E$25,0),FALSE)/HLOOKUP(2018,DEMANDS!$G$2:$CK$25,MATCH($E178,DEMANDS!$E$2:$E$25,0),FALSE)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S178" s="19">
        <f>HLOOKUP(REG_TRA_DEMANDS!S$3,'BY-Demands'!$J$5:$AK$14,MATCH($E178,'BY-Demands'!$I$5:$I$14,0),FALSE)*HLOOKUP(REG_TRA_DEMANDS!$F178,DEMANDS!$G$2:$CK$25,MATCH($E178,DEMANDS!$E$2:$E$25,0),FALSE)/HLOOKUP(2018,DEMANDS!$G$2:$CK$25,MATCH($E178,DEMANDS!$E$2:$E$25,0),FALSE)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T178" s="19">
        <f>HLOOKUP(REG_TRA_DEMANDS!T$3,'BY-Demands'!$J$5:$AK$14,MATCH($E178,'BY-Demands'!$I$5:$I$14,0),FALSE)*HLOOKUP(REG_TRA_DEMANDS!$F178,DEMANDS!$G$2:$CK$25,MATCH($E178,DEMANDS!$E$2:$E$25,0),FALSE)/HLOOKUP(2018,DEMANDS!$G$2:$CK$25,MATCH($E178,DEMANDS!$E$2:$E$25,0),FALSE)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U178" s="19">
        <f>HLOOKUP(REG_TRA_DEMANDS!U$3,'BY-Demands'!$J$5:$AK$14,MATCH($E178,'BY-Demands'!$I$5:$I$14,0),FALSE)*HLOOKUP(REG_TRA_DEMANDS!$F178,DEMANDS!$G$2:$CK$25,MATCH($E178,DEMANDS!$E$2:$E$25,0),FALSE)/HLOOKUP(2018,DEMANDS!$G$2:$CK$25,MATCH($E178,DEMANDS!$E$2:$E$25,0),FALSE)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V178" s="19">
        <f>HLOOKUP(REG_TRA_DEMANDS!V$3,'BY-Demands'!$J$5:$AK$14,MATCH($E178,'BY-Demands'!$I$5:$I$14,0),FALSE)*HLOOKUP(REG_TRA_DEMANDS!$F178,DEMANDS!$G$2:$CK$25,MATCH($E178,DEMANDS!$E$2:$E$25,0),FALSE)/HLOOKUP(2018,DEMANDS!$G$2:$CK$25,MATCH($E178,DEMANDS!$E$2:$E$25,0),FALSE)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W178" s="19">
        <f>HLOOKUP(REG_TRA_DEMANDS!W$3,'BY-Demands'!$J$5:$AK$14,MATCH($E178,'BY-Demands'!$I$5:$I$14,0),FALSE)*HLOOKUP(REG_TRA_DEMANDS!$F178,DEMANDS!$G$2:$CK$25,MATCH($E178,DEMANDS!$E$2:$E$25,0),FALSE)/HLOOKUP(2018,DEMANDS!$G$2:$CK$25,MATCH($E178,DEMANDS!$E$2:$E$25,0),FALSE)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X178" s="19">
        <f>HLOOKUP(REG_TRA_DEMANDS!X$3,'BY-Demands'!$J$5:$AK$14,MATCH($E178,'BY-Demands'!$I$5:$I$14,0),FALSE)*HLOOKUP(REG_TRA_DEMANDS!$F178,DEMANDS!$G$2:$CK$25,MATCH($E178,DEMANDS!$E$2:$E$25,0),FALSE)/HLOOKUP(2018,DEMANDS!$G$2:$CK$25,MATCH($E178,DEMANDS!$E$2:$E$25,0),FALSE)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Y178" s="19">
        <f>HLOOKUP(REG_TRA_DEMANDS!Y$3,'BY-Demands'!$J$5:$AK$14,MATCH($E178,'BY-Demands'!$I$5:$I$14,0),FALSE)*HLOOKUP(REG_TRA_DEMANDS!$F178,DEMANDS!$G$2:$CK$25,MATCH($E178,DEMANDS!$E$2:$E$25,0),FALSE)/HLOOKUP(2018,DEMANDS!$G$2:$CK$25,MATCH($E178,DEMANDS!$E$2:$E$25,0),FALSE)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Z178" s="19">
        <f>HLOOKUP(REG_TRA_DEMANDS!Z$3,'BY-Demands'!$J$5:$AK$14,MATCH($E178,'BY-Demands'!$I$5:$I$14,0),FALSE)*HLOOKUP(REG_TRA_DEMANDS!$F178,DEMANDS!$G$2:$CK$25,MATCH($E178,DEMANDS!$E$2:$E$25,0),FALSE)/HLOOKUP(2018,DEMANDS!$G$2:$CK$25,MATCH($E178,DEMANDS!$E$2:$E$25,0),FALSE)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A178" s="19">
        <f>HLOOKUP(REG_TRA_DEMANDS!AA$3,'BY-Demands'!$J$5:$AK$14,MATCH($E178,'BY-Demands'!$I$5:$I$14,0),FALSE)*HLOOKUP(REG_TRA_DEMANDS!$F178,DEMANDS!$G$2:$CK$25,MATCH($E178,DEMANDS!$E$2:$E$25,0),FALSE)/HLOOKUP(2018,DEMANDS!$G$2:$CK$25,MATCH($E178,DEMANDS!$E$2:$E$25,0),FALSE)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B178" s="19">
        <f>HLOOKUP(REG_TRA_DEMANDS!AB$3,'BY-Demands'!$J$5:$AK$14,MATCH($E178,'BY-Demands'!$I$5:$I$14,0),FALSE)*HLOOKUP(REG_TRA_DEMANDS!$F178,DEMANDS!$G$2:$CK$25,MATCH($E178,DEMANDS!$E$2:$E$25,0),FALSE)/HLOOKUP(2018,DEMANDS!$G$2:$CK$25,MATCH($E178,DEMANDS!$E$2:$E$25,0),FALSE)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C178" s="19">
        <f>HLOOKUP(REG_TRA_DEMANDS!AC$3,'BY-Demands'!$J$5:$AK$14,MATCH($E178,'BY-Demands'!$I$5:$I$14,0),FALSE)*HLOOKUP(REG_TRA_DEMANDS!$F178,DEMANDS!$G$2:$CK$25,MATCH($E178,DEMANDS!$E$2:$E$25,0),FALSE)/HLOOKUP(2018,DEMANDS!$G$2:$CK$25,MATCH($E178,DEMANDS!$E$2:$E$25,0),FALSE)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D178" s="19">
        <f>HLOOKUP(REG_TRA_DEMANDS!AD$3,'BY-Demands'!$J$5:$AK$14,MATCH($E178,'BY-Demands'!$I$5:$I$14,0),FALSE)*HLOOKUP(REG_TRA_DEMANDS!$F178,DEMANDS!$G$2:$CK$25,MATCH($E178,DEMANDS!$E$2:$E$25,0),FALSE)/HLOOKUP(2018,DEMANDS!$G$2:$CK$25,MATCH($E178,DEMANDS!$E$2:$E$25,0),FALSE)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E178" s="19">
        <f>HLOOKUP(REG_TRA_DEMANDS!AE$3,'BY-Demands'!$J$5:$AK$14,MATCH($E178,'BY-Demands'!$I$5:$I$14,0),FALSE)*HLOOKUP(REG_TRA_DEMANDS!$F178,DEMANDS!$G$2:$CK$25,MATCH($E178,DEMANDS!$E$2:$E$25,0),FALSE)/HLOOKUP(2018,DEMANDS!$G$2:$CK$25,MATCH($E178,DEMANDS!$E$2:$E$25,0),FALSE)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F178" s="19">
        <f>HLOOKUP(REG_TRA_DEMANDS!AF$3,'BY-Demands'!$J$5:$AK$14,MATCH($E178,'BY-Demands'!$I$5:$I$14,0),FALSE)*HLOOKUP(REG_TRA_DEMANDS!$F178,DEMANDS!$G$2:$CK$25,MATCH($E178,DEMANDS!$E$2:$E$25,0),FALSE)/HLOOKUP(2018,DEMANDS!$G$2:$CK$25,MATCH($E178,DEMANDS!$E$2:$E$25,0),FALSE)</f>
        <v>0</v>
      </c>
    </row>
    <row r="179" spans="4:32" ht="14.5">
      <c r="D179" t="s">
        <v>6</v>
      </c>
      <c r="E179" t="str">
        <f>DEMANDS!$E$23</f>
        <v>TOTH</v>
      </c>
      <c r="F179">
        <v>2033</v>
      </c>
      <c r="G179" s="19">
        <f>HLOOKUP(REG_TRA_DEMANDS!G$3,'BY-Demands'!$J$5:$AK$14,MATCH($E179,'BY-Demands'!$I$5:$I$14,0),FALSE)*HLOOKUP(REG_TRA_DEMANDS!$F179,DEMANDS!$G$2:$CK$25,MATCH($E179,DEMANDS!$E$2:$E$25,0),FALSE)/HLOOKUP(2018,DEMANDS!$G$2:$CK$25,MATCH($E179,DEMANDS!$E$2:$E$25,0),FALSE)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H179" s="19">
        <f>HLOOKUP(REG_TRA_DEMANDS!H$3,'BY-Demands'!$J$5:$AK$14,MATCH($E179,'BY-Demands'!$I$5:$I$14,0),FALSE)*HLOOKUP(REG_TRA_DEMANDS!$F179,DEMANDS!$G$2:$CK$25,MATCH($E179,DEMANDS!$E$2:$E$25,0),FALSE)/HLOOKUP(2018,DEMANDS!$G$2:$CK$25,MATCH($E179,DEMANDS!$E$2:$E$25,0),FALSE)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I179" s="19">
        <f>HLOOKUP(REG_TRA_DEMANDS!I$3,'BY-Demands'!$J$5:$AK$14,MATCH($E179,'BY-Demands'!$I$5:$I$14,0),FALSE)*HLOOKUP(REG_TRA_DEMANDS!$F179,DEMANDS!$G$2:$CK$25,MATCH($E179,DEMANDS!$E$2:$E$25,0),FALSE)/HLOOKUP(2018,DEMANDS!$G$2:$CK$25,MATCH($E179,DEMANDS!$E$2:$E$25,0),FALSE)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J179" s="19">
        <f>HLOOKUP(REG_TRA_DEMANDS!J$3,'BY-Demands'!$J$5:$AK$14,MATCH($E179,'BY-Demands'!$I$5:$I$14,0),FALSE)*HLOOKUP(REG_TRA_DEMANDS!$F179,DEMANDS!$G$2:$CK$25,MATCH($E179,DEMANDS!$E$2:$E$25,0),FALSE)/HLOOKUP(2018,DEMANDS!$G$2:$CK$25,MATCH($E179,DEMANDS!$E$2:$E$25,0),FALSE)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K179" s="19">
        <f>HLOOKUP(REG_TRA_DEMANDS!K$3,'BY-Demands'!$J$5:$AK$14,MATCH($E179,'BY-Demands'!$I$5:$I$14,0),FALSE)*HLOOKUP(REG_TRA_DEMANDS!$F179,DEMANDS!$G$2:$CK$25,MATCH($E179,DEMANDS!$E$2:$E$25,0),FALSE)/HLOOKUP(2018,DEMANDS!$G$2:$CK$25,MATCH($E179,DEMANDS!$E$2:$E$25,0),FALSE)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L179" s="19">
        <f>HLOOKUP(REG_TRA_DEMANDS!L$3,'BY-Demands'!$J$5:$AK$14,MATCH($E179,'BY-Demands'!$I$5:$I$14,0),FALSE)*HLOOKUP(REG_TRA_DEMANDS!$F179,DEMANDS!$G$2:$CK$25,MATCH($E179,DEMANDS!$E$2:$E$25,0),FALSE)/HLOOKUP(2018,DEMANDS!$G$2:$CK$25,MATCH($E179,DEMANDS!$E$2:$E$25,0),FALSE)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M179" s="19">
        <f>HLOOKUP(REG_TRA_DEMANDS!M$3,'BY-Demands'!$J$5:$AK$14,MATCH($E179,'BY-Demands'!$I$5:$I$14,0),FALSE)*HLOOKUP(REG_TRA_DEMANDS!$F179,DEMANDS!$G$2:$CK$25,MATCH($E179,DEMANDS!$E$2:$E$25,0),FALSE)/HLOOKUP(2018,DEMANDS!$G$2:$CK$25,MATCH($E179,DEMANDS!$E$2:$E$25,0),FALSE)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N179" s="19">
        <f>HLOOKUP(REG_TRA_DEMANDS!N$3,'BY-Demands'!$J$5:$AK$14,MATCH($E179,'BY-Demands'!$I$5:$I$14,0),FALSE)*HLOOKUP(REG_TRA_DEMANDS!$F179,DEMANDS!$G$2:$CK$25,MATCH($E179,DEMANDS!$E$2:$E$25,0),FALSE)/HLOOKUP(2018,DEMANDS!$G$2:$CK$25,MATCH($E179,DEMANDS!$E$2:$E$25,0),FALSE)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O179" s="19">
        <f>HLOOKUP(REG_TRA_DEMANDS!O$3,'BY-Demands'!$J$5:$AK$14,MATCH($E179,'BY-Demands'!$I$5:$I$14,0),FALSE)*HLOOKUP(REG_TRA_DEMANDS!$F179,DEMANDS!$G$2:$CK$25,MATCH($E179,DEMANDS!$E$2:$E$25,0),FALSE)/HLOOKUP(2018,DEMANDS!$G$2:$CK$25,MATCH($E179,DEMANDS!$E$2:$E$25,0),FALSE)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P179" s="19">
        <f>HLOOKUP(REG_TRA_DEMANDS!P$3,'BY-Demands'!$J$5:$AK$14,MATCH($E179,'BY-Demands'!$I$5:$I$14,0),FALSE)*HLOOKUP(REG_TRA_DEMANDS!$F179,DEMANDS!$G$2:$CK$25,MATCH($E179,DEMANDS!$E$2:$E$25,0),FALSE)/HLOOKUP(2018,DEMANDS!$G$2:$CK$25,MATCH($E179,DEMANDS!$E$2:$E$25,0),FALSE)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Q179" s="19">
        <f>HLOOKUP(REG_TRA_DEMANDS!Q$3,'BY-Demands'!$J$5:$AK$14,MATCH($E179,'BY-Demands'!$I$5:$I$14,0),FALSE)*HLOOKUP(REG_TRA_DEMANDS!$F179,DEMANDS!$G$2:$CK$25,MATCH($E179,DEMANDS!$E$2:$E$25,0),FALSE)/HLOOKUP(2018,DEMANDS!$G$2:$CK$25,MATCH($E179,DEMANDS!$E$2:$E$25,0),FALSE)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R179" s="19">
        <f>HLOOKUP(REG_TRA_DEMANDS!R$3,'BY-Demands'!$J$5:$AK$14,MATCH($E179,'BY-Demands'!$I$5:$I$14,0),FALSE)*HLOOKUP(REG_TRA_DEMANDS!$F179,DEMANDS!$G$2:$CK$25,MATCH($E179,DEMANDS!$E$2:$E$25,0),FALSE)/HLOOKUP(2018,DEMANDS!$G$2:$CK$25,MATCH($E179,DEMANDS!$E$2:$E$25,0),FALSE)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S179" s="19">
        <f>HLOOKUP(REG_TRA_DEMANDS!S$3,'BY-Demands'!$J$5:$AK$14,MATCH($E179,'BY-Demands'!$I$5:$I$14,0),FALSE)*HLOOKUP(REG_TRA_DEMANDS!$F179,DEMANDS!$G$2:$CK$25,MATCH($E179,DEMANDS!$E$2:$E$25,0),FALSE)/HLOOKUP(2018,DEMANDS!$G$2:$CK$25,MATCH($E179,DEMANDS!$E$2:$E$25,0),FALSE)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T179" s="19">
        <f>HLOOKUP(REG_TRA_DEMANDS!T$3,'BY-Demands'!$J$5:$AK$14,MATCH($E179,'BY-Demands'!$I$5:$I$14,0),FALSE)*HLOOKUP(REG_TRA_DEMANDS!$F179,DEMANDS!$G$2:$CK$25,MATCH($E179,DEMANDS!$E$2:$E$25,0),FALSE)/HLOOKUP(2018,DEMANDS!$G$2:$CK$25,MATCH($E179,DEMANDS!$E$2:$E$25,0),FALSE)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U179" s="19">
        <f>HLOOKUP(REG_TRA_DEMANDS!U$3,'BY-Demands'!$J$5:$AK$14,MATCH($E179,'BY-Demands'!$I$5:$I$14,0),FALSE)*HLOOKUP(REG_TRA_DEMANDS!$F179,DEMANDS!$G$2:$CK$25,MATCH($E179,DEMANDS!$E$2:$E$25,0),FALSE)/HLOOKUP(2018,DEMANDS!$G$2:$CK$25,MATCH($E179,DEMANDS!$E$2:$E$25,0),FALSE)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V179" s="19">
        <f>HLOOKUP(REG_TRA_DEMANDS!V$3,'BY-Demands'!$J$5:$AK$14,MATCH($E179,'BY-Demands'!$I$5:$I$14,0),FALSE)*HLOOKUP(REG_TRA_DEMANDS!$F179,DEMANDS!$G$2:$CK$25,MATCH($E179,DEMANDS!$E$2:$E$25,0),FALSE)/HLOOKUP(2018,DEMANDS!$G$2:$CK$25,MATCH($E179,DEMANDS!$E$2:$E$25,0),FALSE)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W179" s="19">
        <f>HLOOKUP(REG_TRA_DEMANDS!W$3,'BY-Demands'!$J$5:$AK$14,MATCH($E179,'BY-Demands'!$I$5:$I$14,0),FALSE)*HLOOKUP(REG_TRA_DEMANDS!$F179,DEMANDS!$G$2:$CK$25,MATCH($E179,DEMANDS!$E$2:$E$25,0),FALSE)/HLOOKUP(2018,DEMANDS!$G$2:$CK$25,MATCH($E179,DEMANDS!$E$2:$E$25,0),FALSE)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X179" s="19">
        <f>HLOOKUP(REG_TRA_DEMANDS!X$3,'BY-Demands'!$J$5:$AK$14,MATCH($E179,'BY-Demands'!$I$5:$I$14,0),FALSE)*HLOOKUP(REG_TRA_DEMANDS!$F179,DEMANDS!$G$2:$CK$25,MATCH($E179,DEMANDS!$E$2:$E$25,0),FALSE)/HLOOKUP(2018,DEMANDS!$G$2:$CK$25,MATCH($E179,DEMANDS!$E$2:$E$25,0),FALSE)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Y179" s="19">
        <f>HLOOKUP(REG_TRA_DEMANDS!Y$3,'BY-Demands'!$J$5:$AK$14,MATCH($E179,'BY-Demands'!$I$5:$I$14,0),FALSE)*HLOOKUP(REG_TRA_DEMANDS!$F179,DEMANDS!$G$2:$CK$25,MATCH($E179,DEMANDS!$E$2:$E$25,0),FALSE)/HLOOKUP(2018,DEMANDS!$G$2:$CK$25,MATCH($E179,DEMANDS!$E$2:$E$25,0),FALSE)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Z179" s="19">
        <f>HLOOKUP(REG_TRA_DEMANDS!Z$3,'BY-Demands'!$J$5:$AK$14,MATCH($E179,'BY-Demands'!$I$5:$I$14,0),FALSE)*HLOOKUP(REG_TRA_DEMANDS!$F179,DEMANDS!$G$2:$CK$25,MATCH($E179,DEMANDS!$E$2:$E$25,0),FALSE)/HLOOKUP(2018,DEMANDS!$G$2:$CK$25,MATCH($E179,DEMANDS!$E$2:$E$25,0),FALSE)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A179" s="19">
        <f>HLOOKUP(REG_TRA_DEMANDS!AA$3,'BY-Demands'!$J$5:$AK$14,MATCH($E179,'BY-Demands'!$I$5:$I$14,0),FALSE)*HLOOKUP(REG_TRA_DEMANDS!$F179,DEMANDS!$G$2:$CK$25,MATCH($E179,DEMANDS!$E$2:$E$25,0),FALSE)/HLOOKUP(2018,DEMANDS!$G$2:$CK$25,MATCH($E179,DEMANDS!$E$2:$E$25,0),FALSE)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B179" s="19">
        <f>HLOOKUP(REG_TRA_DEMANDS!AB$3,'BY-Demands'!$J$5:$AK$14,MATCH($E179,'BY-Demands'!$I$5:$I$14,0),FALSE)*HLOOKUP(REG_TRA_DEMANDS!$F179,DEMANDS!$G$2:$CK$25,MATCH($E179,DEMANDS!$E$2:$E$25,0),FALSE)/HLOOKUP(2018,DEMANDS!$G$2:$CK$25,MATCH($E179,DEMANDS!$E$2:$E$25,0),FALSE)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C179" s="19">
        <f>HLOOKUP(REG_TRA_DEMANDS!AC$3,'BY-Demands'!$J$5:$AK$14,MATCH($E179,'BY-Demands'!$I$5:$I$14,0),FALSE)*HLOOKUP(REG_TRA_DEMANDS!$F179,DEMANDS!$G$2:$CK$25,MATCH($E179,DEMANDS!$E$2:$E$25,0),FALSE)/HLOOKUP(2018,DEMANDS!$G$2:$CK$25,MATCH($E179,DEMANDS!$E$2:$E$25,0),FALSE)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D179" s="19">
        <f>HLOOKUP(REG_TRA_DEMANDS!AD$3,'BY-Demands'!$J$5:$AK$14,MATCH($E179,'BY-Demands'!$I$5:$I$14,0),FALSE)*HLOOKUP(REG_TRA_DEMANDS!$F179,DEMANDS!$G$2:$CK$25,MATCH($E179,DEMANDS!$E$2:$E$25,0),FALSE)/HLOOKUP(2018,DEMANDS!$G$2:$CK$25,MATCH($E179,DEMANDS!$E$2:$E$25,0),FALSE)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E179" s="19">
        <f>HLOOKUP(REG_TRA_DEMANDS!AE$3,'BY-Demands'!$J$5:$AK$14,MATCH($E179,'BY-Demands'!$I$5:$I$14,0),FALSE)*HLOOKUP(REG_TRA_DEMANDS!$F179,DEMANDS!$G$2:$CK$25,MATCH($E179,DEMANDS!$E$2:$E$25,0),FALSE)/HLOOKUP(2018,DEMANDS!$G$2:$CK$25,MATCH($E179,DEMANDS!$E$2:$E$25,0),FALSE)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F179" s="19">
        <f>HLOOKUP(REG_TRA_DEMANDS!AF$3,'BY-Demands'!$J$5:$AK$14,MATCH($E179,'BY-Demands'!$I$5:$I$14,0),FALSE)*HLOOKUP(REG_TRA_DEMANDS!$F179,DEMANDS!$G$2:$CK$25,MATCH($E179,DEMANDS!$E$2:$E$25,0),FALSE)/HLOOKUP(2018,DEMANDS!$G$2:$CK$25,MATCH($E179,DEMANDS!$E$2:$E$25,0),FALSE)</f>
        <v>0</v>
      </c>
    </row>
    <row r="180" spans="4:32" ht="14.5">
      <c r="D180" t="s">
        <v>6</v>
      </c>
      <c r="E180" t="str">
        <f>DEMANDS!$E$23</f>
        <v>TOTH</v>
      </c>
      <c r="F180">
        <v>2034</v>
      </c>
      <c r="G180" s="19">
        <f>HLOOKUP(REG_TRA_DEMANDS!G$3,'BY-Demands'!$J$5:$AK$14,MATCH($E180,'BY-Demands'!$I$5:$I$14,0),FALSE)*HLOOKUP(REG_TRA_DEMANDS!$F180,DEMANDS!$G$2:$CK$25,MATCH($E180,DEMANDS!$E$2:$E$25,0),FALSE)/HLOOKUP(2018,DEMANDS!$G$2:$CK$25,MATCH($E180,DEMANDS!$E$2:$E$25,0),FALSE)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H180" s="19">
        <f>HLOOKUP(REG_TRA_DEMANDS!H$3,'BY-Demands'!$J$5:$AK$14,MATCH($E180,'BY-Demands'!$I$5:$I$14,0),FALSE)*HLOOKUP(REG_TRA_DEMANDS!$F180,DEMANDS!$G$2:$CK$25,MATCH($E180,DEMANDS!$E$2:$E$25,0),FALSE)/HLOOKUP(2018,DEMANDS!$G$2:$CK$25,MATCH($E180,DEMANDS!$E$2:$E$25,0),FALSE)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I180" s="19">
        <f>HLOOKUP(REG_TRA_DEMANDS!I$3,'BY-Demands'!$J$5:$AK$14,MATCH($E180,'BY-Demands'!$I$5:$I$14,0),FALSE)*HLOOKUP(REG_TRA_DEMANDS!$F180,DEMANDS!$G$2:$CK$25,MATCH($E180,DEMANDS!$E$2:$E$25,0),FALSE)/HLOOKUP(2018,DEMANDS!$G$2:$CK$25,MATCH($E180,DEMANDS!$E$2:$E$25,0),FALSE)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J180" s="19">
        <f>HLOOKUP(REG_TRA_DEMANDS!J$3,'BY-Demands'!$J$5:$AK$14,MATCH($E180,'BY-Demands'!$I$5:$I$14,0),FALSE)*HLOOKUP(REG_TRA_DEMANDS!$F180,DEMANDS!$G$2:$CK$25,MATCH($E180,DEMANDS!$E$2:$E$25,0),FALSE)/HLOOKUP(2018,DEMANDS!$G$2:$CK$25,MATCH($E180,DEMANDS!$E$2:$E$25,0),FALSE)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K180" s="19">
        <f>HLOOKUP(REG_TRA_DEMANDS!K$3,'BY-Demands'!$J$5:$AK$14,MATCH($E180,'BY-Demands'!$I$5:$I$14,0),FALSE)*HLOOKUP(REG_TRA_DEMANDS!$F180,DEMANDS!$G$2:$CK$25,MATCH($E180,DEMANDS!$E$2:$E$25,0),FALSE)/HLOOKUP(2018,DEMANDS!$G$2:$CK$25,MATCH($E180,DEMANDS!$E$2:$E$25,0),FALSE)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L180" s="19">
        <f>HLOOKUP(REG_TRA_DEMANDS!L$3,'BY-Demands'!$J$5:$AK$14,MATCH($E180,'BY-Demands'!$I$5:$I$14,0),FALSE)*HLOOKUP(REG_TRA_DEMANDS!$F180,DEMANDS!$G$2:$CK$25,MATCH($E180,DEMANDS!$E$2:$E$25,0),FALSE)/HLOOKUP(2018,DEMANDS!$G$2:$CK$25,MATCH($E180,DEMANDS!$E$2:$E$25,0),FALSE)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M180" s="19">
        <f>HLOOKUP(REG_TRA_DEMANDS!M$3,'BY-Demands'!$J$5:$AK$14,MATCH($E180,'BY-Demands'!$I$5:$I$14,0),FALSE)*HLOOKUP(REG_TRA_DEMANDS!$F180,DEMANDS!$G$2:$CK$25,MATCH($E180,DEMANDS!$E$2:$E$25,0),FALSE)/HLOOKUP(2018,DEMANDS!$G$2:$CK$25,MATCH($E180,DEMANDS!$E$2:$E$25,0),FALSE)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N180" s="19">
        <f>HLOOKUP(REG_TRA_DEMANDS!N$3,'BY-Demands'!$J$5:$AK$14,MATCH($E180,'BY-Demands'!$I$5:$I$14,0),FALSE)*HLOOKUP(REG_TRA_DEMANDS!$F180,DEMANDS!$G$2:$CK$25,MATCH($E180,DEMANDS!$E$2:$E$25,0),FALSE)/HLOOKUP(2018,DEMANDS!$G$2:$CK$25,MATCH($E180,DEMANDS!$E$2:$E$25,0),FALSE)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O180" s="19">
        <f>HLOOKUP(REG_TRA_DEMANDS!O$3,'BY-Demands'!$J$5:$AK$14,MATCH($E180,'BY-Demands'!$I$5:$I$14,0),FALSE)*HLOOKUP(REG_TRA_DEMANDS!$F180,DEMANDS!$G$2:$CK$25,MATCH($E180,DEMANDS!$E$2:$E$25,0),FALSE)/HLOOKUP(2018,DEMANDS!$G$2:$CK$25,MATCH($E180,DEMANDS!$E$2:$E$25,0),FALSE)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P180" s="19">
        <f>HLOOKUP(REG_TRA_DEMANDS!P$3,'BY-Demands'!$J$5:$AK$14,MATCH($E180,'BY-Demands'!$I$5:$I$14,0),FALSE)*HLOOKUP(REG_TRA_DEMANDS!$F180,DEMANDS!$G$2:$CK$25,MATCH($E180,DEMANDS!$E$2:$E$25,0),FALSE)/HLOOKUP(2018,DEMANDS!$G$2:$CK$25,MATCH($E180,DEMANDS!$E$2:$E$25,0),FALSE)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Q180" s="19">
        <f>HLOOKUP(REG_TRA_DEMANDS!Q$3,'BY-Demands'!$J$5:$AK$14,MATCH($E180,'BY-Demands'!$I$5:$I$14,0),FALSE)*HLOOKUP(REG_TRA_DEMANDS!$F180,DEMANDS!$G$2:$CK$25,MATCH($E180,DEMANDS!$E$2:$E$25,0),FALSE)/HLOOKUP(2018,DEMANDS!$G$2:$CK$25,MATCH($E180,DEMANDS!$E$2:$E$25,0),FALSE)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R180" s="19">
        <f>HLOOKUP(REG_TRA_DEMANDS!R$3,'BY-Demands'!$J$5:$AK$14,MATCH($E180,'BY-Demands'!$I$5:$I$14,0),FALSE)*HLOOKUP(REG_TRA_DEMANDS!$F180,DEMANDS!$G$2:$CK$25,MATCH($E180,DEMANDS!$E$2:$E$25,0),FALSE)/HLOOKUP(2018,DEMANDS!$G$2:$CK$25,MATCH($E180,DEMANDS!$E$2:$E$25,0),FALSE)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S180" s="19">
        <f>HLOOKUP(REG_TRA_DEMANDS!S$3,'BY-Demands'!$J$5:$AK$14,MATCH($E180,'BY-Demands'!$I$5:$I$14,0),FALSE)*HLOOKUP(REG_TRA_DEMANDS!$F180,DEMANDS!$G$2:$CK$25,MATCH($E180,DEMANDS!$E$2:$E$25,0),FALSE)/HLOOKUP(2018,DEMANDS!$G$2:$CK$25,MATCH($E180,DEMANDS!$E$2:$E$25,0),FALSE)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T180" s="19">
        <f>HLOOKUP(REG_TRA_DEMANDS!T$3,'BY-Demands'!$J$5:$AK$14,MATCH($E180,'BY-Demands'!$I$5:$I$14,0),FALSE)*HLOOKUP(REG_TRA_DEMANDS!$F180,DEMANDS!$G$2:$CK$25,MATCH($E180,DEMANDS!$E$2:$E$25,0),FALSE)/HLOOKUP(2018,DEMANDS!$G$2:$CK$25,MATCH($E180,DEMANDS!$E$2:$E$25,0),FALSE)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U180" s="19">
        <f>HLOOKUP(REG_TRA_DEMANDS!U$3,'BY-Demands'!$J$5:$AK$14,MATCH($E180,'BY-Demands'!$I$5:$I$14,0),FALSE)*HLOOKUP(REG_TRA_DEMANDS!$F180,DEMANDS!$G$2:$CK$25,MATCH($E180,DEMANDS!$E$2:$E$25,0),FALSE)/HLOOKUP(2018,DEMANDS!$G$2:$CK$25,MATCH($E180,DEMANDS!$E$2:$E$25,0),FALSE)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V180" s="19">
        <f>HLOOKUP(REG_TRA_DEMANDS!V$3,'BY-Demands'!$J$5:$AK$14,MATCH($E180,'BY-Demands'!$I$5:$I$14,0),FALSE)*HLOOKUP(REG_TRA_DEMANDS!$F180,DEMANDS!$G$2:$CK$25,MATCH($E180,DEMANDS!$E$2:$E$25,0),FALSE)/HLOOKUP(2018,DEMANDS!$G$2:$CK$25,MATCH($E180,DEMANDS!$E$2:$E$25,0),FALSE)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W180" s="19">
        <f>HLOOKUP(REG_TRA_DEMANDS!W$3,'BY-Demands'!$J$5:$AK$14,MATCH($E180,'BY-Demands'!$I$5:$I$14,0),FALSE)*HLOOKUP(REG_TRA_DEMANDS!$F180,DEMANDS!$G$2:$CK$25,MATCH($E180,DEMANDS!$E$2:$E$25,0),FALSE)/HLOOKUP(2018,DEMANDS!$G$2:$CK$25,MATCH($E180,DEMANDS!$E$2:$E$25,0),FALSE)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X180" s="19">
        <f>HLOOKUP(REG_TRA_DEMANDS!X$3,'BY-Demands'!$J$5:$AK$14,MATCH($E180,'BY-Demands'!$I$5:$I$14,0),FALSE)*HLOOKUP(REG_TRA_DEMANDS!$F180,DEMANDS!$G$2:$CK$25,MATCH($E180,DEMANDS!$E$2:$E$25,0),FALSE)/HLOOKUP(2018,DEMANDS!$G$2:$CK$25,MATCH($E180,DEMANDS!$E$2:$E$25,0),FALSE)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Y180" s="19">
        <f>HLOOKUP(REG_TRA_DEMANDS!Y$3,'BY-Demands'!$J$5:$AK$14,MATCH($E180,'BY-Demands'!$I$5:$I$14,0),FALSE)*HLOOKUP(REG_TRA_DEMANDS!$F180,DEMANDS!$G$2:$CK$25,MATCH($E180,DEMANDS!$E$2:$E$25,0),FALSE)/HLOOKUP(2018,DEMANDS!$G$2:$CK$25,MATCH($E180,DEMANDS!$E$2:$E$25,0),FALSE)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Z180" s="19">
        <f>HLOOKUP(REG_TRA_DEMANDS!Z$3,'BY-Demands'!$J$5:$AK$14,MATCH($E180,'BY-Demands'!$I$5:$I$14,0),FALSE)*HLOOKUP(REG_TRA_DEMANDS!$F180,DEMANDS!$G$2:$CK$25,MATCH($E180,DEMANDS!$E$2:$E$25,0),FALSE)/HLOOKUP(2018,DEMANDS!$G$2:$CK$25,MATCH($E180,DEMANDS!$E$2:$E$25,0),FALSE)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A180" s="19">
        <f>HLOOKUP(REG_TRA_DEMANDS!AA$3,'BY-Demands'!$J$5:$AK$14,MATCH($E180,'BY-Demands'!$I$5:$I$14,0),FALSE)*HLOOKUP(REG_TRA_DEMANDS!$F180,DEMANDS!$G$2:$CK$25,MATCH($E180,DEMANDS!$E$2:$E$25,0),FALSE)/HLOOKUP(2018,DEMANDS!$G$2:$CK$25,MATCH($E180,DEMANDS!$E$2:$E$25,0),FALSE)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B180" s="19">
        <f>HLOOKUP(REG_TRA_DEMANDS!AB$3,'BY-Demands'!$J$5:$AK$14,MATCH($E180,'BY-Demands'!$I$5:$I$14,0),FALSE)*HLOOKUP(REG_TRA_DEMANDS!$F180,DEMANDS!$G$2:$CK$25,MATCH($E180,DEMANDS!$E$2:$E$25,0),FALSE)/HLOOKUP(2018,DEMANDS!$G$2:$CK$25,MATCH($E180,DEMANDS!$E$2:$E$25,0),FALSE)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C180" s="19">
        <f>HLOOKUP(REG_TRA_DEMANDS!AC$3,'BY-Demands'!$J$5:$AK$14,MATCH($E180,'BY-Demands'!$I$5:$I$14,0),FALSE)*HLOOKUP(REG_TRA_DEMANDS!$F180,DEMANDS!$G$2:$CK$25,MATCH($E180,DEMANDS!$E$2:$E$25,0),FALSE)/HLOOKUP(2018,DEMANDS!$G$2:$CK$25,MATCH($E180,DEMANDS!$E$2:$E$25,0),FALSE)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D180" s="19">
        <f>HLOOKUP(REG_TRA_DEMANDS!AD$3,'BY-Demands'!$J$5:$AK$14,MATCH($E180,'BY-Demands'!$I$5:$I$14,0),FALSE)*HLOOKUP(REG_TRA_DEMANDS!$F180,DEMANDS!$G$2:$CK$25,MATCH($E180,DEMANDS!$E$2:$E$25,0),FALSE)/HLOOKUP(2018,DEMANDS!$G$2:$CK$25,MATCH($E180,DEMANDS!$E$2:$E$25,0),FALSE)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E180" s="19">
        <f>HLOOKUP(REG_TRA_DEMANDS!AE$3,'BY-Demands'!$J$5:$AK$14,MATCH($E180,'BY-Demands'!$I$5:$I$14,0),FALSE)*HLOOKUP(REG_TRA_DEMANDS!$F180,DEMANDS!$G$2:$CK$25,MATCH($E180,DEMANDS!$E$2:$E$25,0),FALSE)/HLOOKUP(2018,DEMANDS!$G$2:$CK$25,MATCH($E180,DEMANDS!$E$2:$E$25,0),FALSE)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F180" s="19">
        <f>HLOOKUP(REG_TRA_DEMANDS!AF$3,'BY-Demands'!$J$5:$AK$14,MATCH($E180,'BY-Demands'!$I$5:$I$14,0),FALSE)*HLOOKUP(REG_TRA_DEMANDS!$F180,DEMANDS!$G$2:$CK$25,MATCH($E180,DEMANDS!$E$2:$E$25,0),FALSE)/HLOOKUP(2018,DEMANDS!$G$2:$CK$25,MATCH($E180,DEMANDS!$E$2:$E$25,0),FALSE)</f>
        <v>0</v>
      </c>
    </row>
    <row r="181" spans="4:32" ht="14.5">
      <c r="D181" t="s">
        <v>6</v>
      </c>
      <c r="E181" t="str">
        <f>DEMANDS!$E$23</f>
        <v>TOTH</v>
      </c>
      <c r="F181">
        <v>2035</v>
      </c>
      <c r="G181" s="19">
        <f>HLOOKUP(REG_TRA_DEMANDS!G$3,'BY-Demands'!$J$5:$AK$14,MATCH($E181,'BY-Demands'!$I$5:$I$14,0),FALSE)*HLOOKUP(REG_TRA_DEMANDS!$F181,DEMANDS!$G$2:$CK$25,MATCH($E181,DEMANDS!$E$2:$E$25,0),FALSE)/HLOOKUP(2018,DEMANDS!$G$2:$CK$25,MATCH($E181,DEMANDS!$E$2:$E$25,0),FALSE)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H181" s="19">
        <f>HLOOKUP(REG_TRA_DEMANDS!H$3,'BY-Demands'!$J$5:$AK$14,MATCH($E181,'BY-Demands'!$I$5:$I$14,0),FALSE)*HLOOKUP(REG_TRA_DEMANDS!$F181,DEMANDS!$G$2:$CK$25,MATCH($E181,DEMANDS!$E$2:$E$25,0),FALSE)/HLOOKUP(2018,DEMANDS!$G$2:$CK$25,MATCH($E181,DEMANDS!$E$2:$E$25,0),FALSE)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I181" s="19">
        <f>HLOOKUP(REG_TRA_DEMANDS!I$3,'BY-Demands'!$J$5:$AK$14,MATCH($E181,'BY-Demands'!$I$5:$I$14,0),FALSE)*HLOOKUP(REG_TRA_DEMANDS!$F181,DEMANDS!$G$2:$CK$25,MATCH($E181,DEMANDS!$E$2:$E$25,0),FALSE)/HLOOKUP(2018,DEMANDS!$G$2:$CK$25,MATCH($E181,DEMANDS!$E$2:$E$25,0),FALSE)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J181" s="19">
        <f>HLOOKUP(REG_TRA_DEMANDS!J$3,'BY-Demands'!$J$5:$AK$14,MATCH($E181,'BY-Demands'!$I$5:$I$14,0),FALSE)*HLOOKUP(REG_TRA_DEMANDS!$F181,DEMANDS!$G$2:$CK$25,MATCH($E181,DEMANDS!$E$2:$E$25,0),FALSE)/HLOOKUP(2018,DEMANDS!$G$2:$CK$25,MATCH($E181,DEMANDS!$E$2:$E$25,0),FALSE)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K181" s="19">
        <f>HLOOKUP(REG_TRA_DEMANDS!K$3,'BY-Demands'!$J$5:$AK$14,MATCH($E181,'BY-Demands'!$I$5:$I$14,0),FALSE)*HLOOKUP(REG_TRA_DEMANDS!$F181,DEMANDS!$G$2:$CK$25,MATCH($E181,DEMANDS!$E$2:$E$25,0),FALSE)/HLOOKUP(2018,DEMANDS!$G$2:$CK$25,MATCH($E181,DEMANDS!$E$2:$E$25,0),FALSE)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L181" s="19">
        <f>HLOOKUP(REG_TRA_DEMANDS!L$3,'BY-Demands'!$J$5:$AK$14,MATCH($E181,'BY-Demands'!$I$5:$I$14,0),FALSE)*HLOOKUP(REG_TRA_DEMANDS!$F181,DEMANDS!$G$2:$CK$25,MATCH($E181,DEMANDS!$E$2:$E$25,0),FALSE)/HLOOKUP(2018,DEMANDS!$G$2:$CK$25,MATCH($E181,DEMANDS!$E$2:$E$25,0),FALSE)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M181" s="19">
        <f>HLOOKUP(REG_TRA_DEMANDS!M$3,'BY-Demands'!$J$5:$AK$14,MATCH($E181,'BY-Demands'!$I$5:$I$14,0),FALSE)*HLOOKUP(REG_TRA_DEMANDS!$F181,DEMANDS!$G$2:$CK$25,MATCH($E181,DEMANDS!$E$2:$E$25,0),FALSE)/HLOOKUP(2018,DEMANDS!$G$2:$CK$25,MATCH($E181,DEMANDS!$E$2:$E$25,0),FALSE)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N181" s="19">
        <f>HLOOKUP(REG_TRA_DEMANDS!N$3,'BY-Demands'!$J$5:$AK$14,MATCH($E181,'BY-Demands'!$I$5:$I$14,0),FALSE)*HLOOKUP(REG_TRA_DEMANDS!$F181,DEMANDS!$G$2:$CK$25,MATCH($E181,DEMANDS!$E$2:$E$25,0),FALSE)/HLOOKUP(2018,DEMANDS!$G$2:$CK$25,MATCH($E181,DEMANDS!$E$2:$E$25,0),FALSE)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O181" s="19">
        <f>HLOOKUP(REG_TRA_DEMANDS!O$3,'BY-Demands'!$J$5:$AK$14,MATCH($E181,'BY-Demands'!$I$5:$I$14,0),FALSE)*HLOOKUP(REG_TRA_DEMANDS!$F181,DEMANDS!$G$2:$CK$25,MATCH($E181,DEMANDS!$E$2:$E$25,0),FALSE)/HLOOKUP(2018,DEMANDS!$G$2:$CK$25,MATCH($E181,DEMANDS!$E$2:$E$25,0),FALSE)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P181" s="19">
        <f>HLOOKUP(REG_TRA_DEMANDS!P$3,'BY-Demands'!$J$5:$AK$14,MATCH($E181,'BY-Demands'!$I$5:$I$14,0),FALSE)*HLOOKUP(REG_TRA_DEMANDS!$F181,DEMANDS!$G$2:$CK$25,MATCH($E181,DEMANDS!$E$2:$E$25,0),FALSE)/HLOOKUP(2018,DEMANDS!$G$2:$CK$25,MATCH($E181,DEMANDS!$E$2:$E$25,0),FALSE)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Q181" s="19">
        <f>HLOOKUP(REG_TRA_DEMANDS!Q$3,'BY-Demands'!$J$5:$AK$14,MATCH($E181,'BY-Demands'!$I$5:$I$14,0),FALSE)*HLOOKUP(REG_TRA_DEMANDS!$F181,DEMANDS!$G$2:$CK$25,MATCH($E181,DEMANDS!$E$2:$E$25,0),FALSE)/HLOOKUP(2018,DEMANDS!$G$2:$CK$25,MATCH($E181,DEMANDS!$E$2:$E$25,0),FALSE)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R181" s="19">
        <f>HLOOKUP(REG_TRA_DEMANDS!R$3,'BY-Demands'!$J$5:$AK$14,MATCH($E181,'BY-Demands'!$I$5:$I$14,0),FALSE)*HLOOKUP(REG_TRA_DEMANDS!$F181,DEMANDS!$G$2:$CK$25,MATCH($E181,DEMANDS!$E$2:$E$25,0),FALSE)/HLOOKUP(2018,DEMANDS!$G$2:$CK$25,MATCH($E181,DEMANDS!$E$2:$E$25,0),FALSE)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S181" s="19">
        <f>HLOOKUP(REG_TRA_DEMANDS!S$3,'BY-Demands'!$J$5:$AK$14,MATCH($E181,'BY-Demands'!$I$5:$I$14,0),FALSE)*HLOOKUP(REG_TRA_DEMANDS!$F181,DEMANDS!$G$2:$CK$25,MATCH($E181,DEMANDS!$E$2:$E$25,0),FALSE)/HLOOKUP(2018,DEMANDS!$G$2:$CK$25,MATCH($E181,DEMANDS!$E$2:$E$25,0),FALSE)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T181" s="19">
        <f>HLOOKUP(REG_TRA_DEMANDS!T$3,'BY-Demands'!$J$5:$AK$14,MATCH($E181,'BY-Demands'!$I$5:$I$14,0),FALSE)*HLOOKUP(REG_TRA_DEMANDS!$F181,DEMANDS!$G$2:$CK$25,MATCH($E181,DEMANDS!$E$2:$E$25,0),FALSE)/HLOOKUP(2018,DEMANDS!$G$2:$CK$25,MATCH($E181,DEMANDS!$E$2:$E$25,0),FALSE)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U181" s="19">
        <f>HLOOKUP(REG_TRA_DEMANDS!U$3,'BY-Demands'!$J$5:$AK$14,MATCH($E181,'BY-Demands'!$I$5:$I$14,0),FALSE)*HLOOKUP(REG_TRA_DEMANDS!$F181,DEMANDS!$G$2:$CK$25,MATCH($E181,DEMANDS!$E$2:$E$25,0),FALSE)/HLOOKUP(2018,DEMANDS!$G$2:$CK$25,MATCH($E181,DEMANDS!$E$2:$E$25,0),FALSE)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V181" s="19">
        <f>HLOOKUP(REG_TRA_DEMANDS!V$3,'BY-Demands'!$J$5:$AK$14,MATCH($E181,'BY-Demands'!$I$5:$I$14,0),FALSE)*HLOOKUP(REG_TRA_DEMANDS!$F181,DEMANDS!$G$2:$CK$25,MATCH($E181,DEMANDS!$E$2:$E$25,0),FALSE)/HLOOKUP(2018,DEMANDS!$G$2:$CK$25,MATCH($E181,DEMANDS!$E$2:$E$25,0),FALSE)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W181" s="19">
        <f>HLOOKUP(REG_TRA_DEMANDS!W$3,'BY-Demands'!$J$5:$AK$14,MATCH($E181,'BY-Demands'!$I$5:$I$14,0),FALSE)*HLOOKUP(REG_TRA_DEMANDS!$F181,DEMANDS!$G$2:$CK$25,MATCH($E181,DEMANDS!$E$2:$E$25,0),FALSE)/HLOOKUP(2018,DEMANDS!$G$2:$CK$25,MATCH($E181,DEMANDS!$E$2:$E$25,0),FALSE)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X181" s="19">
        <f>HLOOKUP(REG_TRA_DEMANDS!X$3,'BY-Demands'!$J$5:$AK$14,MATCH($E181,'BY-Demands'!$I$5:$I$14,0),FALSE)*HLOOKUP(REG_TRA_DEMANDS!$F181,DEMANDS!$G$2:$CK$25,MATCH($E181,DEMANDS!$E$2:$E$25,0),FALSE)/HLOOKUP(2018,DEMANDS!$G$2:$CK$25,MATCH($E181,DEMANDS!$E$2:$E$25,0),FALSE)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Y181" s="19">
        <f>HLOOKUP(REG_TRA_DEMANDS!Y$3,'BY-Demands'!$J$5:$AK$14,MATCH($E181,'BY-Demands'!$I$5:$I$14,0),FALSE)*HLOOKUP(REG_TRA_DEMANDS!$F181,DEMANDS!$G$2:$CK$25,MATCH($E181,DEMANDS!$E$2:$E$25,0),FALSE)/HLOOKUP(2018,DEMANDS!$G$2:$CK$25,MATCH($E181,DEMANDS!$E$2:$E$25,0),FALSE)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Z181" s="19">
        <f>HLOOKUP(REG_TRA_DEMANDS!Z$3,'BY-Demands'!$J$5:$AK$14,MATCH($E181,'BY-Demands'!$I$5:$I$14,0),FALSE)*HLOOKUP(REG_TRA_DEMANDS!$F181,DEMANDS!$G$2:$CK$25,MATCH($E181,DEMANDS!$E$2:$E$25,0),FALSE)/HLOOKUP(2018,DEMANDS!$G$2:$CK$25,MATCH($E181,DEMANDS!$E$2:$E$25,0),FALSE)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A181" s="19">
        <f>HLOOKUP(REG_TRA_DEMANDS!AA$3,'BY-Demands'!$J$5:$AK$14,MATCH($E181,'BY-Demands'!$I$5:$I$14,0),FALSE)*HLOOKUP(REG_TRA_DEMANDS!$F181,DEMANDS!$G$2:$CK$25,MATCH($E181,DEMANDS!$E$2:$E$25,0),FALSE)/HLOOKUP(2018,DEMANDS!$G$2:$CK$25,MATCH($E181,DEMANDS!$E$2:$E$25,0),FALSE)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B181" s="19">
        <f>HLOOKUP(REG_TRA_DEMANDS!AB$3,'BY-Demands'!$J$5:$AK$14,MATCH($E181,'BY-Demands'!$I$5:$I$14,0),FALSE)*HLOOKUP(REG_TRA_DEMANDS!$F181,DEMANDS!$G$2:$CK$25,MATCH($E181,DEMANDS!$E$2:$E$25,0),FALSE)/HLOOKUP(2018,DEMANDS!$G$2:$CK$25,MATCH($E181,DEMANDS!$E$2:$E$25,0),FALSE)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C181" s="19">
        <f>HLOOKUP(REG_TRA_DEMANDS!AC$3,'BY-Demands'!$J$5:$AK$14,MATCH($E181,'BY-Demands'!$I$5:$I$14,0),FALSE)*HLOOKUP(REG_TRA_DEMANDS!$F181,DEMANDS!$G$2:$CK$25,MATCH($E181,DEMANDS!$E$2:$E$25,0),FALSE)/HLOOKUP(2018,DEMANDS!$G$2:$CK$25,MATCH($E181,DEMANDS!$E$2:$E$25,0),FALSE)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D181" s="19">
        <f>HLOOKUP(REG_TRA_DEMANDS!AD$3,'BY-Demands'!$J$5:$AK$14,MATCH($E181,'BY-Demands'!$I$5:$I$14,0),FALSE)*HLOOKUP(REG_TRA_DEMANDS!$F181,DEMANDS!$G$2:$CK$25,MATCH($E181,DEMANDS!$E$2:$E$25,0),FALSE)/HLOOKUP(2018,DEMANDS!$G$2:$CK$25,MATCH($E181,DEMANDS!$E$2:$E$25,0),FALSE)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E181" s="19">
        <f>HLOOKUP(REG_TRA_DEMANDS!AE$3,'BY-Demands'!$J$5:$AK$14,MATCH($E181,'BY-Demands'!$I$5:$I$14,0),FALSE)*HLOOKUP(REG_TRA_DEMANDS!$F181,DEMANDS!$G$2:$CK$25,MATCH($E181,DEMANDS!$E$2:$E$25,0),FALSE)/HLOOKUP(2018,DEMANDS!$G$2:$CK$25,MATCH($E181,DEMANDS!$E$2:$E$25,0),FALSE)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F181" s="19">
        <f>HLOOKUP(REG_TRA_DEMANDS!AF$3,'BY-Demands'!$J$5:$AK$14,MATCH($E181,'BY-Demands'!$I$5:$I$14,0),FALSE)*HLOOKUP(REG_TRA_DEMANDS!$F181,DEMANDS!$G$2:$CK$25,MATCH($E181,DEMANDS!$E$2:$E$25,0),FALSE)/HLOOKUP(2018,DEMANDS!$G$2:$CK$25,MATCH($E181,DEMANDS!$E$2:$E$25,0),FALSE)</f>
        <v>0</v>
      </c>
    </row>
    <row r="182" spans="4:32" ht="14.5">
      <c r="D182" t="s">
        <v>6</v>
      </c>
      <c r="E182" t="str">
        <f>DEMANDS!$E$23</f>
        <v>TOTH</v>
      </c>
      <c r="F182">
        <v>2036</v>
      </c>
      <c r="G182" s="19">
        <f>HLOOKUP(REG_TRA_DEMANDS!G$3,'BY-Demands'!$J$5:$AK$14,MATCH($E182,'BY-Demands'!$I$5:$I$14,0),FALSE)*HLOOKUP(REG_TRA_DEMANDS!$F182,DEMANDS!$G$2:$CK$25,MATCH($E182,DEMANDS!$E$2:$E$25,0),FALSE)/HLOOKUP(2018,DEMANDS!$G$2:$CK$25,MATCH($E182,DEMANDS!$E$2:$E$25,0),FALSE)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H182" s="19">
        <f>HLOOKUP(REG_TRA_DEMANDS!H$3,'BY-Demands'!$J$5:$AK$14,MATCH($E182,'BY-Demands'!$I$5:$I$14,0),FALSE)*HLOOKUP(REG_TRA_DEMANDS!$F182,DEMANDS!$G$2:$CK$25,MATCH($E182,DEMANDS!$E$2:$E$25,0),FALSE)/HLOOKUP(2018,DEMANDS!$G$2:$CK$25,MATCH($E182,DEMANDS!$E$2:$E$25,0),FALSE)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I182" s="19">
        <f>HLOOKUP(REG_TRA_DEMANDS!I$3,'BY-Demands'!$J$5:$AK$14,MATCH($E182,'BY-Demands'!$I$5:$I$14,0),FALSE)*HLOOKUP(REG_TRA_DEMANDS!$F182,DEMANDS!$G$2:$CK$25,MATCH($E182,DEMANDS!$E$2:$E$25,0),FALSE)/HLOOKUP(2018,DEMANDS!$G$2:$CK$25,MATCH($E182,DEMANDS!$E$2:$E$25,0),FALSE)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J182" s="19">
        <f>HLOOKUP(REG_TRA_DEMANDS!J$3,'BY-Demands'!$J$5:$AK$14,MATCH($E182,'BY-Demands'!$I$5:$I$14,0),FALSE)*HLOOKUP(REG_TRA_DEMANDS!$F182,DEMANDS!$G$2:$CK$25,MATCH($E182,DEMANDS!$E$2:$E$25,0),FALSE)/HLOOKUP(2018,DEMANDS!$G$2:$CK$25,MATCH($E182,DEMANDS!$E$2:$E$25,0),FALSE)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K182" s="19">
        <f>HLOOKUP(REG_TRA_DEMANDS!K$3,'BY-Demands'!$J$5:$AK$14,MATCH($E182,'BY-Demands'!$I$5:$I$14,0),FALSE)*HLOOKUP(REG_TRA_DEMANDS!$F182,DEMANDS!$G$2:$CK$25,MATCH($E182,DEMANDS!$E$2:$E$25,0),FALSE)/HLOOKUP(2018,DEMANDS!$G$2:$CK$25,MATCH($E182,DEMANDS!$E$2:$E$25,0),FALSE)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L182" s="19">
        <f>HLOOKUP(REG_TRA_DEMANDS!L$3,'BY-Demands'!$J$5:$AK$14,MATCH($E182,'BY-Demands'!$I$5:$I$14,0),FALSE)*HLOOKUP(REG_TRA_DEMANDS!$F182,DEMANDS!$G$2:$CK$25,MATCH($E182,DEMANDS!$E$2:$E$25,0),FALSE)/HLOOKUP(2018,DEMANDS!$G$2:$CK$25,MATCH($E182,DEMANDS!$E$2:$E$25,0),FALSE)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M182" s="19">
        <f>HLOOKUP(REG_TRA_DEMANDS!M$3,'BY-Demands'!$J$5:$AK$14,MATCH($E182,'BY-Demands'!$I$5:$I$14,0),FALSE)*HLOOKUP(REG_TRA_DEMANDS!$F182,DEMANDS!$G$2:$CK$25,MATCH($E182,DEMANDS!$E$2:$E$25,0),FALSE)/HLOOKUP(2018,DEMANDS!$G$2:$CK$25,MATCH($E182,DEMANDS!$E$2:$E$25,0),FALSE)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N182" s="19">
        <f>HLOOKUP(REG_TRA_DEMANDS!N$3,'BY-Demands'!$J$5:$AK$14,MATCH($E182,'BY-Demands'!$I$5:$I$14,0),FALSE)*HLOOKUP(REG_TRA_DEMANDS!$F182,DEMANDS!$G$2:$CK$25,MATCH($E182,DEMANDS!$E$2:$E$25,0),FALSE)/HLOOKUP(2018,DEMANDS!$G$2:$CK$25,MATCH($E182,DEMANDS!$E$2:$E$25,0),FALSE)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O182" s="19">
        <f>HLOOKUP(REG_TRA_DEMANDS!O$3,'BY-Demands'!$J$5:$AK$14,MATCH($E182,'BY-Demands'!$I$5:$I$14,0),FALSE)*HLOOKUP(REG_TRA_DEMANDS!$F182,DEMANDS!$G$2:$CK$25,MATCH($E182,DEMANDS!$E$2:$E$25,0),FALSE)/HLOOKUP(2018,DEMANDS!$G$2:$CK$25,MATCH($E182,DEMANDS!$E$2:$E$25,0),FALSE)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P182" s="19">
        <f>HLOOKUP(REG_TRA_DEMANDS!P$3,'BY-Demands'!$J$5:$AK$14,MATCH($E182,'BY-Demands'!$I$5:$I$14,0),FALSE)*HLOOKUP(REG_TRA_DEMANDS!$F182,DEMANDS!$G$2:$CK$25,MATCH($E182,DEMANDS!$E$2:$E$25,0),FALSE)/HLOOKUP(2018,DEMANDS!$G$2:$CK$25,MATCH($E182,DEMANDS!$E$2:$E$25,0),FALSE)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Q182" s="19">
        <f>HLOOKUP(REG_TRA_DEMANDS!Q$3,'BY-Demands'!$J$5:$AK$14,MATCH($E182,'BY-Demands'!$I$5:$I$14,0),FALSE)*HLOOKUP(REG_TRA_DEMANDS!$F182,DEMANDS!$G$2:$CK$25,MATCH($E182,DEMANDS!$E$2:$E$25,0),FALSE)/HLOOKUP(2018,DEMANDS!$G$2:$CK$25,MATCH($E182,DEMANDS!$E$2:$E$25,0),FALSE)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R182" s="19">
        <f>HLOOKUP(REG_TRA_DEMANDS!R$3,'BY-Demands'!$J$5:$AK$14,MATCH($E182,'BY-Demands'!$I$5:$I$14,0),FALSE)*HLOOKUP(REG_TRA_DEMANDS!$F182,DEMANDS!$G$2:$CK$25,MATCH($E182,DEMANDS!$E$2:$E$25,0),FALSE)/HLOOKUP(2018,DEMANDS!$G$2:$CK$25,MATCH($E182,DEMANDS!$E$2:$E$25,0),FALSE)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S182" s="19">
        <f>HLOOKUP(REG_TRA_DEMANDS!S$3,'BY-Demands'!$J$5:$AK$14,MATCH($E182,'BY-Demands'!$I$5:$I$14,0),FALSE)*HLOOKUP(REG_TRA_DEMANDS!$F182,DEMANDS!$G$2:$CK$25,MATCH($E182,DEMANDS!$E$2:$E$25,0),FALSE)/HLOOKUP(2018,DEMANDS!$G$2:$CK$25,MATCH($E182,DEMANDS!$E$2:$E$25,0),FALSE)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T182" s="19">
        <f>HLOOKUP(REG_TRA_DEMANDS!T$3,'BY-Demands'!$J$5:$AK$14,MATCH($E182,'BY-Demands'!$I$5:$I$14,0),FALSE)*HLOOKUP(REG_TRA_DEMANDS!$F182,DEMANDS!$G$2:$CK$25,MATCH($E182,DEMANDS!$E$2:$E$25,0),FALSE)/HLOOKUP(2018,DEMANDS!$G$2:$CK$25,MATCH($E182,DEMANDS!$E$2:$E$25,0),FALSE)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U182" s="19">
        <f>HLOOKUP(REG_TRA_DEMANDS!U$3,'BY-Demands'!$J$5:$AK$14,MATCH($E182,'BY-Demands'!$I$5:$I$14,0),FALSE)*HLOOKUP(REG_TRA_DEMANDS!$F182,DEMANDS!$G$2:$CK$25,MATCH($E182,DEMANDS!$E$2:$E$25,0),FALSE)/HLOOKUP(2018,DEMANDS!$G$2:$CK$25,MATCH($E182,DEMANDS!$E$2:$E$25,0),FALSE)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V182" s="19">
        <f>HLOOKUP(REG_TRA_DEMANDS!V$3,'BY-Demands'!$J$5:$AK$14,MATCH($E182,'BY-Demands'!$I$5:$I$14,0),FALSE)*HLOOKUP(REG_TRA_DEMANDS!$F182,DEMANDS!$G$2:$CK$25,MATCH($E182,DEMANDS!$E$2:$E$25,0),FALSE)/HLOOKUP(2018,DEMANDS!$G$2:$CK$25,MATCH($E182,DEMANDS!$E$2:$E$25,0),FALSE)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W182" s="19">
        <f>HLOOKUP(REG_TRA_DEMANDS!W$3,'BY-Demands'!$J$5:$AK$14,MATCH($E182,'BY-Demands'!$I$5:$I$14,0),FALSE)*HLOOKUP(REG_TRA_DEMANDS!$F182,DEMANDS!$G$2:$CK$25,MATCH($E182,DEMANDS!$E$2:$E$25,0),FALSE)/HLOOKUP(2018,DEMANDS!$G$2:$CK$25,MATCH($E182,DEMANDS!$E$2:$E$25,0),FALSE)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X182" s="19">
        <f>HLOOKUP(REG_TRA_DEMANDS!X$3,'BY-Demands'!$J$5:$AK$14,MATCH($E182,'BY-Demands'!$I$5:$I$14,0),FALSE)*HLOOKUP(REG_TRA_DEMANDS!$F182,DEMANDS!$G$2:$CK$25,MATCH($E182,DEMANDS!$E$2:$E$25,0),FALSE)/HLOOKUP(2018,DEMANDS!$G$2:$CK$25,MATCH($E182,DEMANDS!$E$2:$E$25,0),FALSE)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Y182" s="19">
        <f>HLOOKUP(REG_TRA_DEMANDS!Y$3,'BY-Demands'!$J$5:$AK$14,MATCH($E182,'BY-Demands'!$I$5:$I$14,0),FALSE)*HLOOKUP(REG_TRA_DEMANDS!$F182,DEMANDS!$G$2:$CK$25,MATCH($E182,DEMANDS!$E$2:$E$25,0),FALSE)/HLOOKUP(2018,DEMANDS!$G$2:$CK$25,MATCH($E182,DEMANDS!$E$2:$E$25,0),FALSE)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Z182" s="19">
        <f>HLOOKUP(REG_TRA_DEMANDS!Z$3,'BY-Demands'!$J$5:$AK$14,MATCH($E182,'BY-Demands'!$I$5:$I$14,0),FALSE)*HLOOKUP(REG_TRA_DEMANDS!$F182,DEMANDS!$G$2:$CK$25,MATCH($E182,DEMANDS!$E$2:$E$25,0),FALSE)/HLOOKUP(2018,DEMANDS!$G$2:$CK$25,MATCH($E182,DEMANDS!$E$2:$E$25,0),FALSE)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A182" s="19">
        <f>HLOOKUP(REG_TRA_DEMANDS!AA$3,'BY-Demands'!$J$5:$AK$14,MATCH($E182,'BY-Demands'!$I$5:$I$14,0),FALSE)*HLOOKUP(REG_TRA_DEMANDS!$F182,DEMANDS!$G$2:$CK$25,MATCH($E182,DEMANDS!$E$2:$E$25,0),FALSE)/HLOOKUP(2018,DEMANDS!$G$2:$CK$25,MATCH($E182,DEMANDS!$E$2:$E$25,0),FALSE)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B182" s="19">
        <f>HLOOKUP(REG_TRA_DEMANDS!AB$3,'BY-Demands'!$J$5:$AK$14,MATCH($E182,'BY-Demands'!$I$5:$I$14,0),FALSE)*HLOOKUP(REG_TRA_DEMANDS!$F182,DEMANDS!$G$2:$CK$25,MATCH($E182,DEMANDS!$E$2:$E$25,0),FALSE)/HLOOKUP(2018,DEMANDS!$G$2:$CK$25,MATCH($E182,DEMANDS!$E$2:$E$25,0),FALSE)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C182" s="19">
        <f>HLOOKUP(REG_TRA_DEMANDS!AC$3,'BY-Demands'!$J$5:$AK$14,MATCH($E182,'BY-Demands'!$I$5:$I$14,0),FALSE)*HLOOKUP(REG_TRA_DEMANDS!$F182,DEMANDS!$G$2:$CK$25,MATCH($E182,DEMANDS!$E$2:$E$25,0),FALSE)/HLOOKUP(2018,DEMANDS!$G$2:$CK$25,MATCH($E182,DEMANDS!$E$2:$E$25,0),FALSE)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D182" s="19">
        <f>HLOOKUP(REG_TRA_DEMANDS!AD$3,'BY-Demands'!$J$5:$AK$14,MATCH($E182,'BY-Demands'!$I$5:$I$14,0),FALSE)*HLOOKUP(REG_TRA_DEMANDS!$F182,DEMANDS!$G$2:$CK$25,MATCH($E182,DEMANDS!$E$2:$E$25,0),FALSE)/HLOOKUP(2018,DEMANDS!$G$2:$CK$25,MATCH($E182,DEMANDS!$E$2:$E$25,0),FALSE)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E182" s="19">
        <f>HLOOKUP(REG_TRA_DEMANDS!AE$3,'BY-Demands'!$J$5:$AK$14,MATCH($E182,'BY-Demands'!$I$5:$I$14,0),FALSE)*HLOOKUP(REG_TRA_DEMANDS!$F182,DEMANDS!$G$2:$CK$25,MATCH($E182,DEMANDS!$E$2:$E$25,0),FALSE)/HLOOKUP(2018,DEMANDS!$G$2:$CK$25,MATCH($E182,DEMANDS!$E$2:$E$25,0),FALSE)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F182" s="19">
        <f>HLOOKUP(REG_TRA_DEMANDS!AF$3,'BY-Demands'!$J$5:$AK$14,MATCH($E182,'BY-Demands'!$I$5:$I$14,0),FALSE)*HLOOKUP(REG_TRA_DEMANDS!$F182,DEMANDS!$G$2:$CK$25,MATCH($E182,DEMANDS!$E$2:$E$25,0),FALSE)/HLOOKUP(2018,DEMANDS!$G$2:$CK$25,MATCH($E182,DEMANDS!$E$2:$E$25,0),FALSE)</f>
        <v>0</v>
      </c>
    </row>
    <row r="183" spans="4:32" ht="14.5">
      <c r="D183" t="s">
        <v>6</v>
      </c>
      <c r="E183" t="str">
        <f>DEMANDS!$E$23</f>
        <v>TOTH</v>
      </c>
      <c r="F183">
        <v>2037</v>
      </c>
      <c r="G183" s="19">
        <f>HLOOKUP(REG_TRA_DEMANDS!G$3,'BY-Demands'!$J$5:$AK$14,MATCH($E183,'BY-Demands'!$I$5:$I$14,0),FALSE)*HLOOKUP(REG_TRA_DEMANDS!$F183,DEMANDS!$G$2:$CK$25,MATCH($E183,DEMANDS!$E$2:$E$25,0),FALSE)/HLOOKUP(2018,DEMANDS!$G$2:$CK$25,MATCH($E183,DEMANDS!$E$2:$E$25,0),FALSE)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H183" s="19">
        <f>HLOOKUP(REG_TRA_DEMANDS!H$3,'BY-Demands'!$J$5:$AK$14,MATCH($E183,'BY-Demands'!$I$5:$I$14,0),FALSE)*HLOOKUP(REG_TRA_DEMANDS!$F183,DEMANDS!$G$2:$CK$25,MATCH($E183,DEMANDS!$E$2:$E$25,0),FALSE)/HLOOKUP(2018,DEMANDS!$G$2:$CK$25,MATCH($E183,DEMANDS!$E$2:$E$25,0),FALSE)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I183" s="19">
        <f>HLOOKUP(REG_TRA_DEMANDS!I$3,'BY-Demands'!$J$5:$AK$14,MATCH($E183,'BY-Demands'!$I$5:$I$14,0),FALSE)*HLOOKUP(REG_TRA_DEMANDS!$F183,DEMANDS!$G$2:$CK$25,MATCH($E183,DEMANDS!$E$2:$E$25,0),FALSE)/HLOOKUP(2018,DEMANDS!$G$2:$CK$25,MATCH($E183,DEMANDS!$E$2:$E$25,0),FALSE)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J183" s="19">
        <f>HLOOKUP(REG_TRA_DEMANDS!J$3,'BY-Demands'!$J$5:$AK$14,MATCH($E183,'BY-Demands'!$I$5:$I$14,0),FALSE)*HLOOKUP(REG_TRA_DEMANDS!$F183,DEMANDS!$G$2:$CK$25,MATCH($E183,DEMANDS!$E$2:$E$25,0),FALSE)/HLOOKUP(2018,DEMANDS!$G$2:$CK$25,MATCH($E183,DEMANDS!$E$2:$E$25,0),FALSE)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K183" s="19">
        <f>HLOOKUP(REG_TRA_DEMANDS!K$3,'BY-Demands'!$J$5:$AK$14,MATCH($E183,'BY-Demands'!$I$5:$I$14,0),FALSE)*HLOOKUP(REG_TRA_DEMANDS!$F183,DEMANDS!$G$2:$CK$25,MATCH($E183,DEMANDS!$E$2:$E$25,0),FALSE)/HLOOKUP(2018,DEMANDS!$G$2:$CK$25,MATCH($E183,DEMANDS!$E$2:$E$25,0),FALSE)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L183" s="19">
        <f>HLOOKUP(REG_TRA_DEMANDS!L$3,'BY-Demands'!$J$5:$AK$14,MATCH($E183,'BY-Demands'!$I$5:$I$14,0),FALSE)*HLOOKUP(REG_TRA_DEMANDS!$F183,DEMANDS!$G$2:$CK$25,MATCH($E183,DEMANDS!$E$2:$E$25,0),FALSE)/HLOOKUP(2018,DEMANDS!$G$2:$CK$25,MATCH($E183,DEMANDS!$E$2:$E$25,0),FALSE)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M183" s="19">
        <f>HLOOKUP(REG_TRA_DEMANDS!M$3,'BY-Demands'!$J$5:$AK$14,MATCH($E183,'BY-Demands'!$I$5:$I$14,0),FALSE)*HLOOKUP(REG_TRA_DEMANDS!$F183,DEMANDS!$G$2:$CK$25,MATCH($E183,DEMANDS!$E$2:$E$25,0),FALSE)/HLOOKUP(2018,DEMANDS!$G$2:$CK$25,MATCH($E183,DEMANDS!$E$2:$E$25,0),FALSE)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N183" s="19">
        <f>HLOOKUP(REG_TRA_DEMANDS!N$3,'BY-Demands'!$J$5:$AK$14,MATCH($E183,'BY-Demands'!$I$5:$I$14,0),FALSE)*HLOOKUP(REG_TRA_DEMANDS!$F183,DEMANDS!$G$2:$CK$25,MATCH($E183,DEMANDS!$E$2:$E$25,0),FALSE)/HLOOKUP(2018,DEMANDS!$G$2:$CK$25,MATCH($E183,DEMANDS!$E$2:$E$25,0),FALSE)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O183" s="19">
        <f>HLOOKUP(REG_TRA_DEMANDS!O$3,'BY-Demands'!$J$5:$AK$14,MATCH($E183,'BY-Demands'!$I$5:$I$14,0),FALSE)*HLOOKUP(REG_TRA_DEMANDS!$F183,DEMANDS!$G$2:$CK$25,MATCH($E183,DEMANDS!$E$2:$E$25,0),FALSE)/HLOOKUP(2018,DEMANDS!$G$2:$CK$25,MATCH($E183,DEMANDS!$E$2:$E$25,0),FALSE)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P183" s="19">
        <f>HLOOKUP(REG_TRA_DEMANDS!P$3,'BY-Demands'!$J$5:$AK$14,MATCH($E183,'BY-Demands'!$I$5:$I$14,0),FALSE)*HLOOKUP(REG_TRA_DEMANDS!$F183,DEMANDS!$G$2:$CK$25,MATCH($E183,DEMANDS!$E$2:$E$25,0),FALSE)/HLOOKUP(2018,DEMANDS!$G$2:$CK$25,MATCH($E183,DEMANDS!$E$2:$E$25,0),FALSE)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Q183" s="19">
        <f>HLOOKUP(REG_TRA_DEMANDS!Q$3,'BY-Demands'!$J$5:$AK$14,MATCH($E183,'BY-Demands'!$I$5:$I$14,0),FALSE)*HLOOKUP(REG_TRA_DEMANDS!$F183,DEMANDS!$G$2:$CK$25,MATCH($E183,DEMANDS!$E$2:$E$25,0),FALSE)/HLOOKUP(2018,DEMANDS!$G$2:$CK$25,MATCH($E183,DEMANDS!$E$2:$E$25,0),FALSE)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R183" s="19">
        <f>HLOOKUP(REG_TRA_DEMANDS!R$3,'BY-Demands'!$J$5:$AK$14,MATCH($E183,'BY-Demands'!$I$5:$I$14,0),FALSE)*HLOOKUP(REG_TRA_DEMANDS!$F183,DEMANDS!$G$2:$CK$25,MATCH($E183,DEMANDS!$E$2:$E$25,0),FALSE)/HLOOKUP(2018,DEMANDS!$G$2:$CK$25,MATCH($E183,DEMANDS!$E$2:$E$25,0),FALSE)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S183" s="19">
        <f>HLOOKUP(REG_TRA_DEMANDS!S$3,'BY-Demands'!$J$5:$AK$14,MATCH($E183,'BY-Demands'!$I$5:$I$14,0),FALSE)*HLOOKUP(REG_TRA_DEMANDS!$F183,DEMANDS!$G$2:$CK$25,MATCH($E183,DEMANDS!$E$2:$E$25,0),FALSE)/HLOOKUP(2018,DEMANDS!$G$2:$CK$25,MATCH($E183,DEMANDS!$E$2:$E$25,0),FALSE)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T183" s="19">
        <f>HLOOKUP(REG_TRA_DEMANDS!T$3,'BY-Demands'!$J$5:$AK$14,MATCH($E183,'BY-Demands'!$I$5:$I$14,0),FALSE)*HLOOKUP(REG_TRA_DEMANDS!$F183,DEMANDS!$G$2:$CK$25,MATCH($E183,DEMANDS!$E$2:$E$25,0),FALSE)/HLOOKUP(2018,DEMANDS!$G$2:$CK$25,MATCH($E183,DEMANDS!$E$2:$E$25,0),FALSE)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U183" s="19">
        <f>HLOOKUP(REG_TRA_DEMANDS!U$3,'BY-Demands'!$J$5:$AK$14,MATCH($E183,'BY-Demands'!$I$5:$I$14,0),FALSE)*HLOOKUP(REG_TRA_DEMANDS!$F183,DEMANDS!$G$2:$CK$25,MATCH($E183,DEMANDS!$E$2:$E$25,0),FALSE)/HLOOKUP(2018,DEMANDS!$G$2:$CK$25,MATCH($E183,DEMANDS!$E$2:$E$25,0),FALSE)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V183" s="19">
        <f>HLOOKUP(REG_TRA_DEMANDS!V$3,'BY-Demands'!$J$5:$AK$14,MATCH($E183,'BY-Demands'!$I$5:$I$14,0),FALSE)*HLOOKUP(REG_TRA_DEMANDS!$F183,DEMANDS!$G$2:$CK$25,MATCH($E183,DEMANDS!$E$2:$E$25,0),FALSE)/HLOOKUP(2018,DEMANDS!$G$2:$CK$25,MATCH($E183,DEMANDS!$E$2:$E$25,0),FALSE)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W183" s="19">
        <f>HLOOKUP(REG_TRA_DEMANDS!W$3,'BY-Demands'!$J$5:$AK$14,MATCH($E183,'BY-Demands'!$I$5:$I$14,0),FALSE)*HLOOKUP(REG_TRA_DEMANDS!$F183,DEMANDS!$G$2:$CK$25,MATCH($E183,DEMANDS!$E$2:$E$25,0),FALSE)/HLOOKUP(2018,DEMANDS!$G$2:$CK$25,MATCH($E183,DEMANDS!$E$2:$E$25,0),FALSE)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X183" s="19">
        <f>HLOOKUP(REG_TRA_DEMANDS!X$3,'BY-Demands'!$J$5:$AK$14,MATCH($E183,'BY-Demands'!$I$5:$I$14,0),FALSE)*HLOOKUP(REG_TRA_DEMANDS!$F183,DEMANDS!$G$2:$CK$25,MATCH($E183,DEMANDS!$E$2:$E$25,0),FALSE)/HLOOKUP(2018,DEMANDS!$G$2:$CK$25,MATCH($E183,DEMANDS!$E$2:$E$25,0),FALSE)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Y183" s="19">
        <f>HLOOKUP(REG_TRA_DEMANDS!Y$3,'BY-Demands'!$J$5:$AK$14,MATCH($E183,'BY-Demands'!$I$5:$I$14,0),FALSE)*HLOOKUP(REG_TRA_DEMANDS!$F183,DEMANDS!$G$2:$CK$25,MATCH($E183,DEMANDS!$E$2:$E$25,0),FALSE)/HLOOKUP(2018,DEMANDS!$G$2:$CK$25,MATCH($E183,DEMANDS!$E$2:$E$25,0),FALSE)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Z183" s="19">
        <f>HLOOKUP(REG_TRA_DEMANDS!Z$3,'BY-Demands'!$J$5:$AK$14,MATCH($E183,'BY-Demands'!$I$5:$I$14,0),FALSE)*HLOOKUP(REG_TRA_DEMANDS!$F183,DEMANDS!$G$2:$CK$25,MATCH($E183,DEMANDS!$E$2:$E$25,0),FALSE)/HLOOKUP(2018,DEMANDS!$G$2:$CK$25,MATCH($E183,DEMANDS!$E$2:$E$25,0),FALSE)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A183" s="19">
        <f>HLOOKUP(REG_TRA_DEMANDS!AA$3,'BY-Demands'!$J$5:$AK$14,MATCH($E183,'BY-Demands'!$I$5:$I$14,0),FALSE)*HLOOKUP(REG_TRA_DEMANDS!$F183,DEMANDS!$G$2:$CK$25,MATCH($E183,DEMANDS!$E$2:$E$25,0),FALSE)/HLOOKUP(2018,DEMANDS!$G$2:$CK$25,MATCH($E183,DEMANDS!$E$2:$E$25,0),FALSE)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B183" s="19">
        <f>HLOOKUP(REG_TRA_DEMANDS!AB$3,'BY-Demands'!$J$5:$AK$14,MATCH($E183,'BY-Demands'!$I$5:$I$14,0),FALSE)*HLOOKUP(REG_TRA_DEMANDS!$F183,DEMANDS!$G$2:$CK$25,MATCH($E183,DEMANDS!$E$2:$E$25,0),FALSE)/HLOOKUP(2018,DEMANDS!$G$2:$CK$25,MATCH($E183,DEMANDS!$E$2:$E$25,0),FALSE)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C183" s="19">
        <f>HLOOKUP(REG_TRA_DEMANDS!AC$3,'BY-Demands'!$J$5:$AK$14,MATCH($E183,'BY-Demands'!$I$5:$I$14,0),FALSE)*HLOOKUP(REG_TRA_DEMANDS!$F183,DEMANDS!$G$2:$CK$25,MATCH($E183,DEMANDS!$E$2:$E$25,0),FALSE)/HLOOKUP(2018,DEMANDS!$G$2:$CK$25,MATCH($E183,DEMANDS!$E$2:$E$25,0),FALSE)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D183" s="19">
        <f>HLOOKUP(REG_TRA_DEMANDS!AD$3,'BY-Demands'!$J$5:$AK$14,MATCH($E183,'BY-Demands'!$I$5:$I$14,0),FALSE)*HLOOKUP(REG_TRA_DEMANDS!$F183,DEMANDS!$G$2:$CK$25,MATCH($E183,DEMANDS!$E$2:$E$25,0),FALSE)/HLOOKUP(2018,DEMANDS!$G$2:$CK$25,MATCH($E183,DEMANDS!$E$2:$E$25,0),FALSE)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E183" s="19">
        <f>HLOOKUP(REG_TRA_DEMANDS!AE$3,'BY-Demands'!$J$5:$AK$14,MATCH($E183,'BY-Demands'!$I$5:$I$14,0),FALSE)*HLOOKUP(REG_TRA_DEMANDS!$F183,DEMANDS!$G$2:$CK$25,MATCH($E183,DEMANDS!$E$2:$E$25,0),FALSE)/HLOOKUP(2018,DEMANDS!$G$2:$CK$25,MATCH($E183,DEMANDS!$E$2:$E$25,0),FALSE)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F183" s="19">
        <f>HLOOKUP(REG_TRA_DEMANDS!AF$3,'BY-Demands'!$J$5:$AK$14,MATCH($E183,'BY-Demands'!$I$5:$I$14,0),FALSE)*HLOOKUP(REG_TRA_DEMANDS!$F183,DEMANDS!$G$2:$CK$25,MATCH($E183,DEMANDS!$E$2:$E$25,0),FALSE)/HLOOKUP(2018,DEMANDS!$G$2:$CK$25,MATCH($E183,DEMANDS!$E$2:$E$25,0),FALSE)</f>
        <v>0</v>
      </c>
    </row>
    <row r="184" spans="4:32" ht="14.5">
      <c r="D184" t="s">
        <v>6</v>
      </c>
      <c r="E184" t="str">
        <f>DEMANDS!$E$23</f>
        <v>TOTH</v>
      </c>
      <c r="F184">
        <v>2038</v>
      </c>
      <c r="G184" s="19">
        <f>HLOOKUP(REG_TRA_DEMANDS!G$3,'BY-Demands'!$J$5:$AK$14,MATCH($E184,'BY-Demands'!$I$5:$I$14,0),FALSE)*HLOOKUP(REG_TRA_DEMANDS!$F184,DEMANDS!$G$2:$CK$25,MATCH($E184,DEMANDS!$E$2:$E$25,0),FALSE)/HLOOKUP(2018,DEMANDS!$G$2:$CK$25,MATCH($E184,DEMANDS!$E$2:$E$25,0),FALSE)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H184" s="19">
        <f>HLOOKUP(REG_TRA_DEMANDS!H$3,'BY-Demands'!$J$5:$AK$14,MATCH($E184,'BY-Demands'!$I$5:$I$14,0),FALSE)*HLOOKUP(REG_TRA_DEMANDS!$F184,DEMANDS!$G$2:$CK$25,MATCH($E184,DEMANDS!$E$2:$E$25,0),FALSE)/HLOOKUP(2018,DEMANDS!$G$2:$CK$25,MATCH($E184,DEMANDS!$E$2:$E$25,0),FALSE)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I184" s="19">
        <f>HLOOKUP(REG_TRA_DEMANDS!I$3,'BY-Demands'!$J$5:$AK$14,MATCH($E184,'BY-Demands'!$I$5:$I$14,0),FALSE)*HLOOKUP(REG_TRA_DEMANDS!$F184,DEMANDS!$G$2:$CK$25,MATCH($E184,DEMANDS!$E$2:$E$25,0),FALSE)/HLOOKUP(2018,DEMANDS!$G$2:$CK$25,MATCH($E184,DEMANDS!$E$2:$E$25,0),FALSE)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J184" s="19">
        <f>HLOOKUP(REG_TRA_DEMANDS!J$3,'BY-Demands'!$J$5:$AK$14,MATCH($E184,'BY-Demands'!$I$5:$I$14,0),FALSE)*HLOOKUP(REG_TRA_DEMANDS!$F184,DEMANDS!$G$2:$CK$25,MATCH($E184,DEMANDS!$E$2:$E$25,0),FALSE)/HLOOKUP(2018,DEMANDS!$G$2:$CK$25,MATCH($E184,DEMANDS!$E$2:$E$25,0),FALSE)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K184" s="19">
        <f>HLOOKUP(REG_TRA_DEMANDS!K$3,'BY-Demands'!$J$5:$AK$14,MATCH($E184,'BY-Demands'!$I$5:$I$14,0),FALSE)*HLOOKUP(REG_TRA_DEMANDS!$F184,DEMANDS!$G$2:$CK$25,MATCH($E184,DEMANDS!$E$2:$E$25,0),FALSE)/HLOOKUP(2018,DEMANDS!$G$2:$CK$25,MATCH($E184,DEMANDS!$E$2:$E$25,0),FALSE)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L184" s="19">
        <f>HLOOKUP(REG_TRA_DEMANDS!L$3,'BY-Demands'!$J$5:$AK$14,MATCH($E184,'BY-Demands'!$I$5:$I$14,0),FALSE)*HLOOKUP(REG_TRA_DEMANDS!$F184,DEMANDS!$G$2:$CK$25,MATCH($E184,DEMANDS!$E$2:$E$25,0),FALSE)/HLOOKUP(2018,DEMANDS!$G$2:$CK$25,MATCH($E184,DEMANDS!$E$2:$E$25,0),FALSE)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M184" s="19">
        <f>HLOOKUP(REG_TRA_DEMANDS!M$3,'BY-Demands'!$J$5:$AK$14,MATCH($E184,'BY-Demands'!$I$5:$I$14,0),FALSE)*HLOOKUP(REG_TRA_DEMANDS!$F184,DEMANDS!$G$2:$CK$25,MATCH($E184,DEMANDS!$E$2:$E$25,0),FALSE)/HLOOKUP(2018,DEMANDS!$G$2:$CK$25,MATCH($E184,DEMANDS!$E$2:$E$25,0),FALSE)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N184" s="19">
        <f>HLOOKUP(REG_TRA_DEMANDS!N$3,'BY-Demands'!$J$5:$AK$14,MATCH($E184,'BY-Demands'!$I$5:$I$14,0),FALSE)*HLOOKUP(REG_TRA_DEMANDS!$F184,DEMANDS!$G$2:$CK$25,MATCH($E184,DEMANDS!$E$2:$E$25,0),FALSE)/HLOOKUP(2018,DEMANDS!$G$2:$CK$25,MATCH($E184,DEMANDS!$E$2:$E$25,0),FALSE)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O184" s="19">
        <f>HLOOKUP(REG_TRA_DEMANDS!O$3,'BY-Demands'!$J$5:$AK$14,MATCH($E184,'BY-Demands'!$I$5:$I$14,0),FALSE)*HLOOKUP(REG_TRA_DEMANDS!$F184,DEMANDS!$G$2:$CK$25,MATCH($E184,DEMANDS!$E$2:$E$25,0),FALSE)/HLOOKUP(2018,DEMANDS!$G$2:$CK$25,MATCH($E184,DEMANDS!$E$2:$E$25,0),FALSE)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P184" s="19">
        <f>HLOOKUP(REG_TRA_DEMANDS!P$3,'BY-Demands'!$J$5:$AK$14,MATCH($E184,'BY-Demands'!$I$5:$I$14,0),FALSE)*HLOOKUP(REG_TRA_DEMANDS!$F184,DEMANDS!$G$2:$CK$25,MATCH($E184,DEMANDS!$E$2:$E$25,0),FALSE)/HLOOKUP(2018,DEMANDS!$G$2:$CK$25,MATCH($E184,DEMANDS!$E$2:$E$25,0),FALSE)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Q184" s="19">
        <f>HLOOKUP(REG_TRA_DEMANDS!Q$3,'BY-Demands'!$J$5:$AK$14,MATCH($E184,'BY-Demands'!$I$5:$I$14,0),FALSE)*HLOOKUP(REG_TRA_DEMANDS!$F184,DEMANDS!$G$2:$CK$25,MATCH($E184,DEMANDS!$E$2:$E$25,0),FALSE)/HLOOKUP(2018,DEMANDS!$G$2:$CK$25,MATCH($E184,DEMANDS!$E$2:$E$25,0),FALSE)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R184" s="19">
        <f>HLOOKUP(REG_TRA_DEMANDS!R$3,'BY-Demands'!$J$5:$AK$14,MATCH($E184,'BY-Demands'!$I$5:$I$14,0),FALSE)*HLOOKUP(REG_TRA_DEMANDS!$F184,DEMANDS!$G$2:$CK$25,MATCH($E184,DEMANDS!$E$2:$E$25,0),FALSE)/HLOOKUP(2018,DEMANDS!$G$2:$CK$25,MATCH($E184,DEMANDS!$E$2:$E$25,0),FALSE)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S184" s="19">
        <f>HLOOKUP(REG_TRA_DEMANDS!S$3,'BY-Demands'!$J$5:$AK$14,MATCH($E184,'BY-Demands'!$I$5:$I$14,0),FALSE)*HLOOKUP(REG_TRA_DEMANDS!$F184,DEMANDS!$G$2:$CK$25,MATCH($E184,DEMANDS!$E$2:$E$25,0),FALSE)/HLOOKUP(2018,DEMANDS!$G$2:$CK$25,MATCH($E184,DEMANDS!$E$2:$E$25,0),FALSE)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T184" s="19">
        <f>HLOOKUP(REG_TRA_DEMANDS!T$3,'BY-Demands'!$J$5:$AK$14,MATCH($E184,'BY-Demands'!$I$5:$I$14,0),FALSE)*HLOOKUP(REG_TRA_DEMANDS!$F184,DEMANDS!$G$2:$CK$25,MATCH($E184,DEMANDS!$E$2:$E$25,0),FALSE)/HLOOKUP(2018,DEMANDS!$G$2:$CK$25,MATCH($E184,DEMANDS!$E$2:$E$25,0),FALSE)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U184" s="19">
        <f>HLOOKUP(REG_TRA_DEMANDS!U$3,'BY-Demands'!$J$5:$AK$14,MATCH($E184,'BY-Demands'!$I$5:$I$14,0),FALSE)*HLOOKUP(REG_TRA_DEMANDS!$F184,DEMANDS!$G$2:$CK$25,MATCH($E184,DEMANDS!$E$2:$E$25,0),FALSE)/HLOOKUP(2018,DEMANDS!$G$2:$CK$25,MATCH($E184,DEMANDS!$E$2:$E$25,0),FALSE)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V184" s="19">
        <f>HLOOKUP(REG_TRA_DEMANDS!V$3,'BY-Demands'!$J$5:$AK$14,MATCH($E184,'BY-Demands'!$I$5:$I$14,0),FALSE)*HLOOKUP(REG_TRA_DEMANDS!$F184,DEMANDS!$G$2:$CK$25,MATCH($E184,DEMANDS!$E$2:$E$25,0),FALSE)/HLOOKUP(2018,DEMANDS!$G$2:$CK$25,MATCH($E184,DEMANDS!$E$2:$E$25,0),FALSE)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W184" s="19">
        <f>HLOOKUP(REG_TRA_DEMANDS!W$3,'BY-Demands'!$J$5:$AK$14,MATCH($E184,'BY-Demands'!$I$5:$I$14,0),FALSE)*HLOOKUP(REG_TRA_DEMANDS!$F184,DEMANDS!$G$2:$CK$25,MATCH($E184,DEMANDS!$E$2:$E$25,0),FALSE)/HLOOKUP(2018,DEMANDS!$G$2:$CK$25,MATCH($E184,DEMANDS!$E$2:$E$25,0),FALSE)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X184" s="19">
        <f>HLOOKUP(REG_TRA_DEMANDS!X$3,'BY-Demands'!$J$5:$AK$14,MATCH($E184,'BY-Demands'!$I$5:$I$14,0),FALSE)*HLOOKUP(REG_TRA_DEMANDS!$F184,DEMANDS!$G$2:$CK$25,MATCH($E184,DEMANDS!$E$2:$E$25,0),FALSE)/HLOOKUP(2018,DEMANDS!$G$2:$CK$25,MATCH($E184,DEMANDS!$E$2:$E$25,0),FALSE)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Y184" s="19">
        <f>HLOOKUP(REG_TRA_DEMANDS!Y$3,'BY-Demands'!$J$5:$AK$14,MATCH($E184,'BY-Demands'!$I$5:$I$14,0),FALSE)*HLOOKUP(REG_TRA_DEMANDS!$F184,DEMANDS!$G$2:$CK$25,MATCH($E184,DEMANDS!$E$2:$E$25,0),FALSE)/HLOOKUP(2018,DEMANDS!$G$2:$CK$25,MATCH($E184,DEMANDS!$E$2:$E$25,0),FALSE)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Z184" s="19">
        <f>HLOOKUP(REG_TRA_DEMANDS!Z$3,'BY-Demands'!$J$5:$AK$14,MATCH($E184,'BY-Demands'!$I$5:$I$14,0),FALSE)*HLOOKUP(REG_TRA_DEMANDS!$F184,DEMANDS!$G$2:$CK$25,MATCH($E184,DEMANDS!$E$2:$E$25,0),FALSE)/HLOOKUP(2018,DEMANDS!$G$2:$CK$25,MATCH($E184,DEMANDS!$E$2:$E$25,0),FALSE)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A184" s="19">
        <f>HLOOKUP(REG_TRA_DEMANDS!AA$3,'BY-Demands'!$J$5:$AK$14,MATCH($E184,'BY-Demands'!$I$5:$I$14,0),FALSE)*HLOOKUP(REG_TRA_DEMANDS!$F184,DEMANDS!$G$2:$CK$25,MATCH($E184,DEMANDS!$E$2:$E$25,0),FALSE)/HLOOKUP(2018,DEMANDS!$G$2:$CK$25,MATCH($E184,DEMANDS!$E$2:$E$25,0),FALSE)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B184" s="19">
        <f>HLOOKUP(REG_TRA_DEMANDS!AB$3,'BY-Demands'!$J$5:$AK$14,MATCH($E184,'BY-Demands'!$I$5:$I$14,0),FALSE)*HLOOKUP(REG_TRA_DEMANDS!$F184,DEMANDS!$G$2:$CK$25,MATCH($E184,DEMANDS!$E$2:$E$25,0),FALSE)/HLOOKUP(2018,DEMANDS!$G$2:$CK$25,MATCH($E184,DEMANDS!$E$2:$E$25,0),FALSE)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C184" s="19">
        <f>HLOOKUP(REG_TRA_DEMANDS!AC$3,'BY-Demands'!$J$5:$AK$14,MATCH($E184,'BY-Demands'!$I$5:$I$14,0),FALSE)*HLOOKUP(REG_TRA_DEMANDS!$F184,DEMANDS!$G$2:$CK$25,MATCH($E184,DEMANDS!$E$2:$E$25,0),FALSE)/HLOOKUP(2018,DEMANDS!$G$2:$CK$25,MATCH($E184,DEMANDS!$E$2:$E$25,0),FALSE)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D184" s="19">
        <f>HLOOKUP(REG_TRA_DEMANDS!AD$3,'BY-Demands'!$J$5:$AK$14,MATCH($E184,'BY-Demands'!$I$5:$I$14,0),FALSE)*HLOOKUP(REG_TRA_DEMANDS!$F184,DEMANDS!$G$2:$CK$25,MATCH($E184,DEMANDS!$E$2:$E$25,0),FALSE)/HLOOKUP(2018,DEMANDS!$G$2:$CK$25,MATCH($E184,DEMANDS!$E$2:$E$25,0),FALSE)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E184" s="19">
        <f>HLOOKUP(REG_TRA_DEMANDS!AE$3,'BY-Demands'!$J$5:$AK$14,MATCH($E184,'BY-Demands'!$I$5:$I$14,0),FALSE)*HLOOKUP(REG_TRA_DEMANDS!$F184,DEMANDS!$G$2:$CK$25,MATCH($E184,DEMANDS!$E$2:$E$25,0),FALSE)/HLOOKUP(2018,DEMANDS!$G$2:$CK$25,MATCH($E184,DEMANDS!$E$2:$E$25,0),FALSE)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F184" s="19">
        <f>HLOOKUP(REG_TRA_DEMANDS!AF$3,'BY-Demands'!$J$5:$AK$14,MATCH($E184,'BY-Demands'!$I$5:$I$14,0),FALSE)*HLOOKUP(REG_TRA_DEMANDS!$F184,DEMANDS!$G$2:$CK$25,MATCH($E184,DEMANDS!$E$2:$E$25,0),FALSE)/HLOOKUP(2018,DEMANDS!$G$2:$CK$25,MATCH($E184,DEMANDS!$E$2:$E$25,0),FALSE)</f>
        <v>0</v>
      </c>
    </row>
    <row r="185" spans="4:32" ht="14.5">
      <c r="D185" t="s">
        <v>6</v>
      </c>
      <c r="E185" t="str">
        <f>DEMANDS!$E$23</f>
        <v>TOTH</v>
      </c>
      <c r="F185">
        <v>2039</v>
      </c>
      <c r="G185" s="19">
        <f>HLOOKUP(REG_TRA_DEMANDS!G$3,'BY-Demands'!$J$5:$AK$14,MATCH($E185,'BY-Demands'!$I$5:$I$14,0),FALSE)*HLOOKUP(REG_TRA_DEMANDS!$F185,DEMANDS!$G$2:$CK$25,MATCH($E185,DEMANDS!$E$2:$E$25,0),FALSE)/HLOOKUP(2018,DEMANDS!$G$2:$CK$25,MATCH($E185,DEMANDS!$E$2:$E$25,0),FALSE)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H185" s="19">
        <f>HLOOKUP(REG_TRA_DEMANDS!H$3,'BY-Demands'!$J$5:$AK$14,MATCH($E185,'BY-Demands'!$I$5:$I$14,0),FALSE)*HLOOKUP(REG_TRA_DEMANDS!$F185,DEMANDS!$G$2:$CK$25,MATCH($E185,DEMANDS!$E$2:$E$25,0),FALSE)/HLOOKUP(2018,DEMANDS!$G$2:$CK$25,MATCH($E185,DEMANDS!$E$2:$E$25,0),FALSE)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I185" s="19">
        <f>HLOOKUP(REG_TRA_DEMANDS!I$3,'BY-Demands'!$J$5:$AK$14,MATCH($E185,'BY-Demands'!$I$5:$I$14,0),FALSE)*HLOOKUP(REG_TRA_DEMANDS!$F185,DEMANDS!$G$2:$CK$25,MATCH($E185,DEMANDS!$E$2:$E$25,0),FALSE)/HLOOKUP(2018,DEMANDS!$G$2:$CK$25,MATCH($E185,DEMANDS!$E$2:$E$25,0),FALSE)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J185" s="19">
        <f>HLOOKUP(REG_TRA_DEMANDS!J$3,'BY-Demands'!$J$5:$AK$14,MATCH($E185,'BY-Demands'!$I$5:$I$14,0),FALSE)*HLOOKUP(REG_TRA_DEMANDS!$F185,DEMANDS!$G$2:$CK$25,MATCH($E185,DEMANDS!$E$2:$E$25,0),FALSE)/HLOOKUP(2018,DEMANDS!$G$2:$CK$25,MATCH($E185,DEMANDS!$E$2:$E$25,0),FALSE)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K185" s="19">
        <f>HLOOKUP(REG_TRA_DEMANDS!K$3,'BY-Demands'!$J$5:$AK$14,MATCH($E185,'BY-Demands'!$I$5:$I$14,0),FALSE)*HLOOKUP(REG_TRA_DEMANDS!$F185,DEMANDS!$G$2:$CK$25,MATCH($E185,DEMANDS!$E$2:$E$25,0),FALSE)/HLOOKUP(2018,DEMANDS!$G$2:$CK$25,MATCH($E185,DEMANDS!$E$2:$E$25,0),FALSE)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L185" s="19">
        <f>HLOOKUP(REG_TRA_DEMANDS!L$3,'BY-Demands'!$J$5:$AK$14,MATCH($E185,'BY-Demands'!$I$5:$I$14,0),FALSE)*HLOOKUP(REG_TRA_DEMANDS!$F185,DEMANDS!$G$2:$CK$25,MATCH($E185,DEMANDS!$E$2:$E$25,0),FALSE)/HLOOKUP(2018,DEMANDS!$G$2:$CK$25,MATCH($E185,DEMANDS!$E$2:$E$25,0),FALSE)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M185" s="19">
        <f>HLOOKUP(REG_TRA_DEMANDS!M$3,'BY-Demands'!$J$5:$AK$14,MATCH($E185,'BY-Demands'!$I$5:$I$14,0),FALSE)*HLOOKUP(REG_TRA_DEMANDS!$F185,DEMANDS!$G$2:$CK$25,MATCH($E185,DEMANDS!$E$2:$E$25,0),FALSE)/HLOOKUP(2018,DEMANDS!$G$2:$CK$25,MATCH($E185,DEMANDS!$E$2:$E$25,0),FALSE)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N185" s="19">
        <f>HLOOKUP(REG_TRA_DEMANDS!N$3,'BY-Demands'!$J$5:$AK$14,MATCH($E185,'BY-Demands'!$I$5:$I$14,0),FALSE)*HLOOKUP(REG_TRA_DEMANDS!$F185,DEMANDS!$G$2:$CK$25,MATCH($E185,DEMANDS!$E$2:$E$25,0),FALSE)/HLOOKUP(2018,DEMANDS!$G$2:$CK$25,MATCH($E185,DEMANDS!$E$2:$E$25,0),FALSE)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O185" s="19">
        <f>HLOOKUP(REG_TRA_DEMANDS!O$3,'BY-Demands'!$J$5:$AK$14,MATCH($E185,'BY-Demands'!$I$5:$I$14,0),FALSE)*HLOOKUP(REG_TRA_DEMANDS!$F185,DEMANDS!$G$2:$CK$25,MATCH($E185,DEMANDS!$E$2:$E$25,0),FALSE)/HLOOKUP(2018,DEMANDS!$G$2:$CK$25,MATCH($E185,DEMANDS!$E$2:$E$25,0),FALSE)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P185" s="19">
        <f>HLOOKUP(REG_TRA_DEMANDS!P$3,'BY-Demands'!$J$5:$AK$14,MATCH($E185,'BY-Demands'!$I$5:$I$14,0),FALSE)*HLOOKUP(REG_TRA_DEMANDS!$F185,DEMANDS!$G$2:$CK$25,MATCH($E185,DEMANDS!$E$2:$E$25,0),FALSE)/HLOOKUP(2018,DEMANDS!$G$2:$CK$25,MATCH($E185,DEMANDS!$E$2:$E$25,0),FALSE)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Q185" s="19">
        <f>HLOOKUP(REG_TRA_DEMANDS!Q$3,'BY-Demands'!$J$5:$AK$14,MATCH($E185,'BY-Demands'!$I$5:$I$14,0),FALSE)*HLOOKUP(REG_TRA_DEMANDS!$F185,DEMANDS!$G$2:$CK$25,MATCH($E185,DEMANDS!$E$2:$E$25,0),FALSE)/HLOOKUP(2018,DEMANDS!$G$2:$CK$25,MATCH($E185,DEMANDS!$E$2:$E$25,0),FALSE)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R185" s="19">
        <f>HLOOKUP(REG_TRA_DEMANDS!R$3,'BY-Demands'!$J$5:$AK$14,MATCH($E185,'BY-Demands'!$I$5:$I$14,0),FALSE)*HLOOKUP(REG_TRA_DEMANDS!$F185,DEMANDS!$G$2:$CK$25,MATCH($E185,DEMANDS!$E$2:$E$25,0),FALSE)/HLOOKUP(2018,DEMANDS!$G$2:$CK$25,MATCH($E185,DEMANDS!$E$2:$E$25,0),FALSE)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S185" s="19">
        <f>HLOOKUP(REG_TRA_DEMANDS!S$3,'BY-Demands'!$J$5:$AK$14,MATCH($E185,'BY-Demands'!$I$5:$I$14,0),FALSE)*HLOOKUP(REG_TRA_DEMANDS!$F185,DEMANDS!$G$2:$CK$25,MATCH($E185,DEMANDS!$E$2:$E$25,0),FALSE)/HLOOKUP(2018,DEMANDS!$G$2:$CK$25,MATCH($E185,DEMANDS!$E$2:$E$25,0),FALSE)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T185" s="19">
        <f>HLOOKUP(REG_TRA_DEMANDS!T$3,'BY-Demands'!$J$5:$AK$14,MATCH($E185,'BY-Demands'!$I$5:$I$14,0),FALSE)*HLOOKUP(REG_TRA_DEMANDS!$F185,DEMANDS!$G$2:$CK$25,MATCH($E185,DEMANDS!$E$2:$E$25,0),FALSE)/HLOOKUP(2018,DEMANDS!$G$2:$CK$25,MATCH($E185,DEMANDS!$E$2:$E$25,0),FALSE)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U185" s="19">
        <f>HLOOKUP(REG_TRA_DEMANDS!U$3,'BY-Demands'!$J$5:$AK$14,MATCH($E185,'BY-Demands'!$I$5:$I$14,0),FALSE)*HLOOKUP(REG_TRA_DEMANDS!$F185,DEMANDS!$G$2:$CK$25,MATCH($E185,DEMANDS!$E$2:$E$25,0),FALSE)/HLOOKUP(2018,DEMANDS!$G$2:$CK$25,MATCH($E185,DEMANDS!$E$2:$E$25,0),FALSE)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V185" s="19">
        <f>HLOOKUP(REG_TRA_DEMANDS!V$3,'BY-Demands'!$J$5:$AK$14,MATCH($E185,'BY-Demands'!$I$5:$I$14,0),FALSE)*HLOOKUP(REG_TRA_DEMANDS!$F185,DEMANDS!$G$2:$CK$25,MATCH($E185,DEMANDS!$E$2:$E$25,0),FALSE)/HLOOKUP(2018,DEMANDS!$G$2:$CK$25,MATCH($E185,DEMANDS!$E$2:$E$25,0),FALSE)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W185" s="19">
        <f>HLOOKUP(REG_TRA_DEMANDS!W$3,'BY-Demands'!$J$5:$AK$14,MATCH($E185,'BY-Demands'!$I$5:$I$14,0),FALSE)*HLOOKUP(REG_TRA_DEMANDS!$F185,DEMANDS!$G$2:$CK$25,MATCH($E185,DEMANDS!$E$2:$E$25,0),FALSE)/HLOOKUP(2018,DEMANDS!$G$2:$CK$25,MATCH($E185,DEMANDS!$E$2:$E$25,0),FALSE)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X185" s="19">
        <f>HLOOKUP(REG_TRA_DEMANDS!X$3,'BY-Demands'!$J$5:$AK$14,MATCH($E185,'BY-Demands'!$I$5:$I$14,0),FALSE)*HLOOKUP(REG_TRA_DEMANDS!$F185,DEMANDS!$G$2:$CK$25,MATCH($E185,DEMANDS!$E$2:$E$25,0),FALSE)/HLOOKUP(2018,DEMANDS!$G$2:$CK$25,MATCH($E185,DEMANDS!$E$2:$E$25,0),FALSE)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Y185" s="19">
        <f>HLOOKUP(REG_TRA_DEMANDS!Y$3,'BY-Demands'!$J$5:$AK$14,MATCH($E185,'BY-Demands'!$I$5:$I$14,0),FALSE)*HLOOKUP(REG_TRA_DEMANDS!$F185,DEMANDS!$G$2:$CK$25,MATCH($E185,DEMANDS!$E$2:$E$25,0),FALSE)/HLOOKUP(2018,DEMANDS!$G$2:$CK$25,MATCH($E185,DEMANDS!$E$2:$E$25,0),FALSE)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Z185" s="19">
        <f>HLOOKUP(REG_TRA_DEMANDS!Z$3,'BY-Demands'!$J$5:$AK$14,MATCH($E185,'BY-Demands'!$I$5:$I$14,0),FALSE)*HLOOKUP(REG_TRA_DEMANDS!$F185,DEMANDS!$G$2:$CK$25,MATCH($E185,DEMANDS!$E$2:$E$25,0),FALSE)/HLOOKUP(2018,DEMANDS!$G$2:$CK$25,MATCH($E185,DEMANDS!$E$2:$E$25,0),FALSE)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A185" s="19">
        <f>HLOOKUP(REG_TRA_DEMANDS!AA$3,'BY-Demands'!$J$5:$AK$14,MATCH($E185,'BY-Demands'!$I$5:$I$14,0),FALSE)*HLOOKUP(REG_TRA_DEMANDS!$F185,DEMANDS!$G$2:$CK$25,MATCH($E185,DEMANDS!$E$2:$E$25,0),FALSE)/HLOOKUP(2018,DEMANDS!$G$2:$CK$25,MATCH($E185,DEMANDS!$E$2:$E$25,0),FALSE)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B185" s="19">
        <f>HLOOKUP(REG_TRA_DEMANDS!AB$3,'BY-Demands'!$J$5:$AK$14,MATCH($E185,'BY-Demands'!$I$5:$I$14,0),FALSE)*HLOOKUP(REG_TRA_DEMANDS!$F185,DEMANDS!$G$2:$CK$25,MATCH($E185,DEMANDS!$E$2:$E$25,0),FALSE)/HLOOKUP(2018,DEMANDS!$G$2:$CK$25,MATCH($E185,DEMANDS!$E$2:$E$25,0),FALSE)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C185" s="19">
        <f>HLOOKUP(REG_TRA_DEMANDS!AC$3,'BY-Demands'!$J$5:$AK$14,MATCH($E185,'BY-Demands'!$I$5:$I$14,0),FALSE)*HLOOKUP(REG_TRA_DEMANDS!$F185,DEMANDS!$G$2:$CK$25,MATCH($E185,DEMANDS!$E$2:$E$25,0),FALSE)/HLOOKUP(2018,DEMANDS!$G$2:$CK$25,MATCH($E185,DEMANDS!$E$2:$E$25,0),FALSE)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D185" s="19">
        <f>HLOOKUP(REG_TRA_DEMANDS!AD$3,'BY-Demands'!$J$5:$AK$14,MATCH($E185,'BY-Demands'!$I$5:$I$14,0),FALSE)*HLOOKUP(REG_TRA_DEMANDS!$F185,DEMANDS!$G$2:$CK$25,MATCH($E185,DEMANDS!$E$2:$E$25,0),FALSE)/HLOOKUP(2018,DEMANDS!$G$2:$CK$25,MATCH($E185,DEMANDS!$E$2:$E$25,0),FALSE)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E185" s="19">
        <f>HLOOKUP(REG_TRA_DEMANDS!AE$3,'BY-Demands'!$J$5:$AK$14,MATCH($E185,'BY-Demands'!$I$5:$I$14,0),FALSE)*HLOOKUP(REG_TRA_DEMANDS!$F185,DEMANDS!$G$2:$CK$25,MATCH($E185,DEMANDS!$E$2:$E$25,0),FALSE)/HLOOKUP(2018,DEMANDS!$G$2:$CK$25,MATCH($E185,DEMANDS!$E$2:$E$25,0),FALSE)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F185" s="19">
        <f>HLOOKUP(REG_TRA_DEMANDS!AF$3,'BY-Demands'!$J$5:$AK$14,MATCH($E185,'BY-Demands'!$I$5:$I$14,0),FALSE)*HLOOKUP(REG_TRA_DEMANDS!$F185,DEMANDS!$G$2:$CK$25,MATCH($E185,DEMANDS!$E$2:$E$25,0),FALSE)/HLOOKUP(2018,DEMANDS!$G$2:$CK$25,MATCH($E185,DEMANDS!$E$2:$E$25,0),FALSE)</f>
        <v>0</v>
      </c>
    </row>
    <row r="186" spans="4:32" ht="14.5">
      <c r="D186" t="s">
        <v>6</v>
      </c>
      <c r="E186" t="str">
        <f>DEMANDS!$E$23</f>
        <v>TOTH</v>
      </c>
      <c r="F186">
        <v>2040</v>
      </c>
      <c r="G186" s="19">
        <f>HLOOKUP(REG_TRA_DEMANDS!G$3,'BY-Demands'!$J$5:$AK$14,MATCH($E186,'BY-Demands'!$I$5:$I$14,0),FALSE)*HLOOKUP(REG_TRA_DEMANDS!$F186,DEMANDS!$G$2:$CK$25,MATCH($E186,DEMANDS!$E$2:$E$25,0),FALSE)/HLOOKUP(2018,DEMANDS!$G$2:$CK$25,MATCH($E186,DEMANDS!$E$2:$E$25,0),FALSE)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H186" s="19">
        <f>HLOOKUP(REG_TRA_DEMANDS!H$3,'BY-Demands'!$J$5:$AK$14,MATCH($E186,'BY-Demands'!$I$5:$I$14,0),FALSE)*HLOOKUP(REG_TRA_DEMANDS!$F186,DEMANDS!$G$2:$CK$25,MATCH($E186,DEMANDS!$E$2:$E$25,0),FALSE)/HLOOKUP(2018,DEMANDS!$G$2:$CK$25,MATCH($E186,DEMANDS!$E$2:$E$25,0),FALSE)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I186" s="19">
        <f>HLOOKUP(REG_TRA_DEMANDS!I$3,'BY-Demands'!$J$5:$AK$14,MATCH($E186,'BY-Demands'!$I$5:$I$14,0),FALSE)*HLOOKUP(REG_TRA_DEMANDS!$F186,DEMANDS!$G$2:$CK$25,MATCH($E186,DEMANDS!$E$2:$E$25,0),FALSE)/HLOOKUP(2018,DEMANDS!$G$2:$CK$25,MATCH($E186,DEMANDS!$E$2:$E$25,0),FALSE)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J186" s="19">
        <f>HLOOKUP(REG_TRA_DEMANDS!J$3,'BY-Demands'!$J$5:$AK$14,MATCH($E186,'BY-Demands'!$I$5:$I$14,0),FALSE)*HLOOKUP(REG_TRA_DEMANDS!$F186,DEMANDS!$G$2:$CK$25,MATCH($E186,DEMANDS!$E$2:$E$25,0),FALSE)/HLOOKUP(2018,DEMANDS!$G$2:$CK$25,MATCH($E186,DEMANDS!$E$2:$E$25,0),FALSE)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K186" s="19">
        <f>HLOOKUP(REG_TRA_DEMANDS!K$3,'BY-Demands'!$J$5:$AK$14,MATCH($E186,'BY-Demands'!$I$5:$I$14,0),FALSE)*HLOOKUP(REG_TRA_DEMANDS!$F186,DEMANDS!$G$2:$CK$25,MATCH($E186,DEMANDS!$E$2:$E$25,0),FALSE)/HLOOKUP(2018,DEMANDS!$G$2:$CK$25,MATCH($E186,DEMANDS!$E$2:$E$25,0),FALSE)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L186" s="19">
        <f>HLOOKUP(REG_TRA_DEMANDS!L$3,'BY-Demands'!$J$5:$AK$14,MATCH($E186,'BY-Demands'!$I$5:$I$14,0),FALSE)*HLOOKUP(REG_TRA_DEMANDS!$F186,DEMANDS!$G$2:$CK$25,MATCH($E186,DEMANDS!$E$2:$E$25,0),FALSE)/HLOOKUP(2018,DEMANDS!$G$2:$CK$25,MATCH($E186,DEMANDS!$E$2:$E$25,0),FALSE)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M186" s="19">
        <f>HLOOKUP(REG_TRA_DEMANDS!M$3,'BY-Demands'!$J$5:$AK$14,MATCH($E186,'BY-Demands'!$I$5:$I$14,0),FALSE)*HLOOKUP(REG_TRA_DEMANDS!$F186,DEMANDS!$G$2:$CK$25,MATCH($E186,DEMANDS!$E$2:$E$25,0),FALSE)/HLOOKUP(2018,DEMANDS!$G$2:$CK$25,MATCH($E186,DEMANDS!$E$2:$E$25,0),FALSE)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N186" s="19">
        <f>HLOOKUP(REG_TRA_DEMANDS!N$3,'BY-Demands'!$J$5:$AK$14,MATCH($E186,'BY-Demands'!$I$5:$I$14,0),FALSE)*HLOOKUP(REG_TRA_DEMANDS!$F186,DEMANDS!$G$2:$CK$25,MATCH($E186,DEMANDS!$E$2:$E$25,0),FALSE)/HLOOKUP(2018,DEMANDS!$G$2:$CK$25,MATCH($E186,DEMANDS!$E$2:$E$25,0),FALSE)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O186" s="19">
        <f>HLOOKUP(REG_TRA_DEMANDS!O$3,'BY-Demands'!$J$5:$AK$14,MATCH($E186,'BY-Demands'!$I$5:$I$14,0),FALSE)*HLOOKUP(REG_TRA_DEMANDS!$F186,DEMANDS!$G$2:$CK$25,MATCH($E186,DEMANDS!$E$2:$E$25,0),FALSE)/HLOOKUP(2018,DEMANDS!$G$2:$CK$25,MATCH($E186,DEMANDS!$E$2:$E$25,0),FALSE)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P186" s="19">
        <f>HLOOKUP(REG_TRA_DEMANDS!P$3,'BY-Demands'!$J$5:$AK$14,MATCH($E186,'BY-Demands'!$I$5:$I$14,0),FALSE)*HLOOKUP(REG_TRA_DEMANDS!$F186,DEMANDS!$G$2:$CK$25,MATCH($E186,DEMANDS!$E$2:$E$25,0),FALSE)/HLOOKUP(2018,DEMANDS!$G$2:$CK$25,MATCH($E186,DEMANDS!$E$2:$E$25,0),FALSE)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Q186" s="19">
        <f>HLOOKUP(REG_TRA_DEMANDS!Q$3,'BY-Demands'!$J$5:$AK$14,MATCH($E186,'BY-Demands'!$I$5:$I$14,0),FALSE)*HLOOKUP(REG_TRA_DEMANDS!$F186,DEMANDS!$G$2:$CK$25,MATCH($E186,DEMANDS!$E$2:$E$25,0),FALSE)/HLOOKUP(2018,DEMANDS!$G$2:$CK$25,MATCH($E186,DEMANDS!$E$2:$E$25,0),FALSE)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R186" s="19">
        <f>HLOOKUP(REG_TRA_DEMANDS!R$3,'BY-Demands'!$J$5:$AK$14,MATCH($E186,'BY-Demands'!$I$5:$I$14,0),FALSE)*HLOOKUP(REG_TRA_DEMANDS!$F186,DEMANDS!$G$2:$CK$25,MATCH($E186,DEMANDS!$E$2:$E$25,0),FALSE)/HLOOKUP(2018,DEMANDS!$G$2:$CK$25,MATCH($E186,DEMANDS!$E$2:$E$25,0),FALSE)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S186" s="19">
        <f>HLOOKUP(REG_TRA_DEMANDS!S$3,'BY-Demands'!$J$5:$AK$14,MATCH($E186,'BY-Demands'!$I$5:$I$14,0),FALSE)*HLOOKUP(REG_TRA_DEMANDS!$F186,DEMANDS!$G$2:$CK$25,MATCH($E186,DEMANDS!$E$2:$E$25,0),FALSE)/HLOOKUP(2018,DEMANDS!$G$2:$CK$25,MATCH($E186,DEMANDS!$E$2:$E$25,0),FALSE)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T186" s="19">
        <f>HLOOKUP(REG_TRA_DEMANDS!T$3,'BY-Demands'!$J$5:$AK$14,MATCH($E186,'BY-Demands'!$I$5:$I$14,0),FALSE)*HLOOKUP(REG_TRA_DEMANDS!$F186,DEMANDS!$G$2:$CK$25,MATCH($E186,DEMANDS!$E$2:$E$25,0),FALSE)/HLOOKUP(2018,DEMANDS!$G$2:$CK$25,MATCH($E186,DEMANDS!$E$2:$E$25,0),FALSE)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U186" s="19">
        <f>HLOOKUP(REG_TRA_DEMANDS!U$3,'BY-Demands'!$J$5:$AK$14,MATCH($E186,'BY-Demands'!$I$5:$I$14,0),FALSE)*HLOOKUP(REG_TRA_DEMANDS!$F186,DEMANDS!$G$2:$CK$25,MATCH($E186,DEMANDS!$E$2:$E$25,0),FALSE)/HLOOKUP(2018,DEMANDS!$G$2:$CK$25,MATCH($E186,DEMANDS!$E$2:$E$25,0),FALSE)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V186" s="19">
        <f>HLOOKUP(REG_TRA_DEMANDS!V$3,'BY-Demands'!$J$5:$AK$14,MATCH($E186,'BY-Demands'!$I$5:$I$14,0),FALSE)*HLOOKUP(REG_TRA_DEMANDS!$F186,DEMANDS!$G$2:$CK$25,MATCH($E186,DEMANDS!$E$2:$E$25,0),FALSE)/HLOOKUP(2018,DEMANDS!$G$2:$CK$25,MATCH($E186,DEMANDS!$E$2:$E$25,0),FALSE)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W186" s="19">
        <f>HLOOKUP(REG_TRA_DEMANDS!W$3,'BY-Demands'!$J$5:$AK$14,MATCH($E186,'BY-Demands'!$I$5:$I$14,0),FALSE)*HLOOKUP(REG_TRA_DEMANDS!$F186,DEMANDS!$G$2:$CK$25,MATCH($E186,DEMANDS!$E$2:$E$25,0),FALSE)/HLOOKUP(2018,DEMANDS!$G$2:$CK$25,MATCH($E186,DEMANDS!$E$2:$E$25,0),FALSE)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X186" s="19">
        <f>HLOOKUP(REG_TRA_DEMANDS!X$3,'BY-Demands'!$J$5:$AK$14,MATCH($E186,'BY-Demands'!$I$5:$I$14,0),FALSE)*HLOOKUP(REG_TRA_DEMANDS!$F186,DEMANDS!$G$2:$CK$25,MATCH($E186,DEMANDS!$E$2:$E$25,0),FALSE)/HLOOKUP(2018,DEMANDS!$G$2:$CK$25,MATCH($E186,DEMANDS!$E$2:$E$25,0),FALSE)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Y186" s="19">
        <f>HLOOKUP(REG_TRA_DEMANDS!Y$3,'BY-Demands'!$J$5:$AK$14,MATCH($E186,'BY-Demands'!$I$5:$I$14,0),FALSE)*HLOOKUP(REG_TRA_DEMANDS!$F186,DEMANDS!$G$2:$CK$25,MATCH($E186,DEMANDS!$E$2:$E$25,0),FALSE)/HLOOKUP(2018,DEMANDS!$G$2:$CK$25,MATCH($E186,DEMANDS!$E$2:$E$25,0),FALSE)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Z186" s="19">
        <f>HLOOKUP(REG_TRA_DEMANDS!Z$3,'BY-Demands'!$J$5:$AK$14,MATCH($E186,'BY-Demands'!$I$5:$I$14,0),FALSE)*HLOOKUP(REG_TRA_DEMANDS!$F186,DEMANDS!$G$2:$CK$25,MATCH($E186,DEMANDS!$E$2:$E$25,0),FALSE)/HLOOKUP(2018,DEMANDS!$G$2:$CK$25,MATCH($E186,DEMANDS!$E$2:$E$25,0),FALSE)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A186" s="19">
        <f>HLOOKUP(REG_TRA_DEMANDS!AA$3,'BY-Demands'!$J$5:$AK$14,MATCH($E186,'BY-Demands'!$I$5:$I$14,0),FALSE)*HLOOKUP(REG_TRA_DEMANDS!$F186,DEMANDS!$G$2:$CK$25,MATCH($E186,DEMANDS!$E$2:$E$25,0),FALSE)/HLOOKUP(2018,DEMANDS!$G$2:$CK$25,MATCH($E186,DEMANDS!$E$2:$E$25,0),FALSE)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B186" s="19">
        <f>HLOOKUP(REG_TRA_DEMANDS!AB$3,'BY-Demands'!$J$5:$AK$14,MATCH($E186,'BY-Demands'!$I$5:$I$14,0),FALSE)*HLOOKUP(REG_TRA_DEMANDS!$F186,DEMANDS!$G$2:$CK$25,MATCH($E186,DEMANDS!$E$2:$E$25,0),FALSE)/HLOOKUP(2018,DEMANDS!$G$2:$CK$25,MATCH($E186,DEMANDS!$E$2:$E$25,0),FALSE)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C186" s="19">
        <f>HLOOKUP(REG_TRA_DEMANDS!AC$3,'BY-Demands'!$J$5:$AK$14,MATCH($E186,'BY-Demands'!$I$5:$I$14,0),FALSE)*HLOOKUP(REG_TRA_DEMANDS!$F186,DEMANDS!$G$2:$CK$25,MATCH($E186,DEMANDS!$E$2:$E$25,0),FALSE)/HLOOKUP(2018,DEMANDS!$G$2:$CK$25,MATCH($E186,DEMANDS!$E$2:$E$25,0),FALSE)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D186" s="19">
        <f>HLOOKUP(REG_TRA_DEMANDS!AD$3,'BY-Demands'!$J$5:$AK$14,MATCH($E186,'BY-Demands'!$I$5:$I$14,0),FALSE)*HLOOKUP(REG_TRA_DEMANDS!$F186,DEMANDS!$G$2:$CK$25,MATCH($E186,DEMANDS!$E$2:$E$25,0),FALSE)/HLOOKUP(2018,DEMANDS!$G$2:$CK$25,MATCH($E186,DEMANDS!$E$2:$E$25,0),FALSE)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E186" s="19">
        <f>HLOOKUP(REG_TRA_DEMANDS!AE$3,'BY-Demands'!$J$5:$AK$14,MATCH($E186,'BY-Demands'!$I$5:$I$14,0),FALSE)*HLOOKUP(REG_TRA_DEMANDS!$F186,DEMANDS!$G$2:$CK$25,MATCH($E186,DEMANDS!$E$2:$E$25,0),FALSE)/HLOOKUP(2018,DEMANDS!$G$2:$CK$25,MATCH($E186,DEMANDS!$E$2:$E$25,0),FALSE)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F186" s="19">
        <f>HLOOKUP(REG_TRA_DEMANDS!AF$3,'BY-Demands'!$J$5:$AK$14,MATCH($E186,'BY-Demands'!$I$5:$I$14,0),FALSE)*HLOOKUP(REG_TRA_DEMANDS!$F186,DEMANDS!$G$2:$CK$25,MATCH($E186,DEMANDS!$E$2:$E$25,0),FALSE)/HLOOKUP(2018,DEMANDS!$G$2:$CK$25,MATCH($E186,DEMANDS!$E$2:$E$25,0),FALSE)</f>
        <v>0</v>
      </c>
    </row>
    <row r="187" spans="4:32" ht="14.5">
      <c r="D187" t="s">
        <v>6</v>
      </c>
      <c r="E187" t="str">
        <f>DEMANDS!$E$23</f>
        <v>TOTH</v>
      </c>
      <c r="F187">
        <v>2045</v>
      </c>
      <c r="G187" s="19">
        <f>HLOOKUP(REG_TRA_DEMANDS!G$3,'BY-Demands'!$J$5:$AK$14,MATCH($E187,'BY-Demands'!$I$5:$I$14,0),FALSE)*HLOOKUP(REG_TRA_DEMANDS!$F187,DEMANDS!$G$2:$CK$25,MATCH($E187,DEMANDS!$E$2:$E$25,0),FALSE)/HLOOKUP(2018,DEMANDS!$G$2:$CK$25,MATCH($E187,DEMANDS!$E$2:$E$25,0),FALSE)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H187" s="19">
        <f>HLOOKUP(REG_TRA_DEMANDS!H$3,'BY-Demands'!$J$5:$AK$14,MATCH($E187,'BY-Demands'!$I$5:$I$14,0),FALSE)*HLOOKUP(REG_TRA_DEMANDS!$F187,DEMANDS!$G$2:$CK$25,MATCH($E187,DEMANDS!$E$2:$E$25,0),FALSE)/HLOOKUP(2018,DEMANDS!$G$2:$CK$25,MATCH($E187,DEMANDS!$E$2:$E$25,0),FALSE)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I187" s="19">
        <f>HLOOKUP(REG_TRA_DEMANDS!I$3,'BY-Demands'!$J$5:$AK$14,MATCH($E187,'BY-Demands'!$I$5:$I$14,0),FALSE)*HLOOKUP(REG_TRA_DEMANDS!$F187,DEMANDS!$G$2:$CK$25,MATCH($E187,DEMANDS!$E$2:$E$25,0),FALSE)/HLOOKUP(2018,DEMANDS!$G$2:$CK$25,MATCH($E187,DEMANDS!$E$2:$E$25,0),FALSE)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J187" s="19">
        <f>HLOOKUP(REG_TRA_DEMANDS!J$3,'BY-Demands'!$J$5:$AK$14,MATCH($E187,'BY-Demands'!$I$5:$I$14,0),FALSE)*HLOOKUP(REG_TRA_DEMANDS!$F187,DEMANDS!$G$2:$CK$25,MATCH($E187,DEMANDS!$E$2:$E$25,0),FALSE)/HLOOKUP(2018,DEMANDS!$G$2:$CK$25,MATCH($E187,DEMANDS!$E$2:$E$25,0),FALSE)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K187" s="19">
        <f>HLOOKUP(REG_TRA_DEMANDS!K$3,'BY-Demands'!$J$5:$AK$14,MATCH($E187,'BY-Demands'!$I$5:$I$14,0),FALSE)*HLOOKUP(REG_TRA_DEMANDS!$F187,DEMANDS!$G$2:$CK$25,MATCH($E187,DEMANDS!$E$2:$E$25,0),FALSE)/HLOOKUP(2018,DEMANDS!$G$2:$CK$25,MATCH($E187,DEMANDS!$E$2:$E$25,0),FALSE)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L187" s="19">
        <f>HLOOKUP(REG_TRA_DEMANDS!L$3,'BY-Demands'!$J$5:$AK$14,MATCH($E187,'BY-Demands'!$I$5:$I$14,0),FALSE)*HLOOKUP(REG_TRA_DEMANDS!$F187,DEMANDS!$G$2:$CK$25,MATCH($E187,DEMANDS!$E$2:$E$25,0),FALSE)/HLOOKUP(2018,DEMANDS!$G$2:$CK$25,MATCH($E187,DEMANDS!$E$2:$E$25,0),FALSE)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M187" s="19">
        <f>HLOOKUP(REG_TRA_DEMANDS!M$3,'BY-Demands'!$J$5:$AK$14,MATCH($E187,'BY-Demands'!$I$5:$I$14,0),FALSE)*HLOOKUP(REG_TRA_DEMANDS!$F187,DEMANDS!$G$2:$CK$25,MATCH($E187,DEMANDS!$E$2:$E$25,0),FALSE)/HLOOKUP(2018,DEMANDS!$G$2:$CK$25,MATCH($E187,DEMANDS!$E$2:$E$25,0),FALSE)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N187" s="19">
        <f>HLOOKUP(REG_TRA_DEMANDS!N$3,'BY-Demands'!$J$5:$AK$14,MATCH($E187,'BY-Demands'!$I$5:$I$14,0),FALSE)*HLOOKUP(REG_TRA_DEMANDS!$F187,DEMANDS!$G$2:$CK$25,MATCH($E187,DEMANDS!$E$2:$E$25,0),FALSE)/HLOOKUP(2018,DEMANDS!$G$2:$CK$25,MATCH($E187,DEMANDS!$E$2:$E$25,0),FALSE)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O187" s="19">
        <f>HLOOKUP(REG_TRA_DEMANDS!O$3,'BY-Demands'!$J$5:$AK$14,MATCH($E187,'BY-Demands'!$I$5:$I$14,0),FALSE)*HLOOKUP(REG_TRA_DEMANDS!$F187,DEMANDS!$G$2:$CK$25,MATCH($E187,DEMANDS!$E$2:$E$25,0),FALSE)/HLOOKUP(2018,DEMANDS!$G$2:$CK$25,MATCH($E187,DEMANDS!$E$2:$E$25,0),FALSE)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P187" s="19">
        <f>HLOOKUP(REG_TRA_DEMANDS!P$3,'BY-Demands'!$J$5:$AK$14,MATCH($E187,'BY-Demands'!$I$5:$I$14,0),FALSE)*HLOOKUP(REG_TRA_DEMANDS!$F187,DEMANDS!$G$2:$CK$25,MATCH($E187,DEMANDS!$E$2:$E$25,0),FALSE)/HLOOKUP(2018,DEMANDS!$G$2:$CK$25,MATCH($E187,DEMANDS!$E$2:$E$25,0),FALSE)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Q187" s="19">
        <f>HLOOKUP(REG_TRA_DEMANDS!Q$3,'BY-Demands'!$J$5:$AK$14,MATCH($E187,'BY-Demands'!$I$5:$I$14,0),FALSE)*HLOOKUP(REG_TRA_DEMANDS!$F187,DEMANDS!$G$2:$CK$25,MATCH($E187,DEMANDS!$E$2:$E$25,0),FALSE)/HLOOKUP(2018,DEMANDS!$G$2:$CK$25,MATCH($E187,DEMANDS!$E$2:$E$25,0),FALSE)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R187" s="19">
        <f>HLOOKUP(REG_TRA_DEMANDS!R$3,'BY-Demands'!$J$5:$AK$14,MATCH($E187,'BY-Demands'!$I$5:$I$14,0),FALSE)*HLOOKUP(REG_TRA_DEMANDS!$F187,DEMANDS!$G$2:$CK$25,MATCH($E187,DEMANDS!$E$2:$E$25,0),FALSE)/HLOOKUP(2018,DEMANDS!$G$2:$CK$25,MATCH($E187,DEMANDS!$E$2:$E$25,0),FALSE)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S187" s="19">
        <f>HLOOKUP(REG_TRA_DEMANDS!S$3,'BY-Demands'!$J$5:$AK$14,MATCH($E187,'BY-Demands'!$I$5:$I$14,0),FALSE)*HLOOKUP(REG_TRA_DEMANDS!$F187,DEMANDS!$G$2:$CK$25,MATCH($E187,DEMANDS!$E$2:$E$25,0),FALSE)/HLOOKUP(2018,DEMANDS!$G$2:$CK$25,MATCH($E187,DEMANDS!$E$2:$E$25,0),FALSE)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T187" s="19">
        <f>HLOOKUP(REG_TRA_DEMANDS!T$3,'BY-Demands'!$J$5:$AK$14,MATCH($E187,'BY-Demands'!$I$5:$I$14,0),FALSE)*HLOOKUP(REG_TRA_DEMANDS!$F187,DEMANDS!$G$2:$CK$25,MATCH($E187,DEMANDS!$E$2:$E$25,0),FALSE)/HLOOKUP(2018,DEMANDS!$G$2:$CK$25,MATCH($E187,DEMANDS!$E$2:$E$25,0),FALSE)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U187" s="19">
        <f>HLOOKUP(REG_TRA_DEMANDS!U$3,'BY-Demands'!$J$5:$AK$14,MATCH($E187,'BY-Demands'!$I$5:$I$14,0),FALSE)*HLOOKUP(REG_TRA_DEMANDS!$F187,DEMANDS!$G$2:$CK$25,MATCH($E187,DEMANDS!$E$2:$E$25,0),FALSE)/HLOOKUP(2018,DEMANDS!$G$2:$CK$25,MATCH($E187,DEMANDS!$E$2:$E$25,0),FALSE)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V187" s="19">
        <f>HLOOKUP(REG_TRA_DEMANDS!V$3,'BY-Demands'!$J$5:$AK$14,MATCH($E187,'BY-Demands'!$I$5:$I$14,0),FALSE)*HLOOKUP(REG_TRA_DEMANDS!$F187,DEMANDS!$G$2:$CK$25,MATCH($E187,DEMANDS!$E$2:$E$25,0),FALSE)/HLOOKUP(2018,DEMANDS!$G$2:$CK$25,MATCH($E187,DEMANDS!$E$2:$E$25,0),FALSE)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W187" s="19">
        <f>HLOOKUP(REG_TRA_DEMANDS!W$3,'BY-Demands'!$J$5:$AK$14,MATCH($E187,'BY-Demands'!$I$5:$I$14,0),FALSE)*HLOOKUP(REG_TRA_DEMANDS!$F187,DEMANDS!$G$2:$CK$25,MATCH($E187,DEMANDS!$E$2:$E$25,0),FALSE)/HLOOKUP(2018,DEMANDS!$G$2:$CK$25,MATCH($E187,DEMANDS!$E$2:$E$25,0),FALSE)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X187" s="19">
        <f>HLOOKUP(REG_TRA_DEMANDS!X$3,'BY-Demands'!$J$5:$AK$14,MATCH($E187,'BY-Demands'!$I$5:$I$14,0),FALSE)*HLOOKUP(REG_TRA_DEMANDS!$F187,DEMANDS!$G$2:$CK$25,MATCH($E187,DEMANDS!$E$2:$E$25,0),FALSE)/HLOOKUP(2018,DEMANDS!$G$2:$CK$25,MATCH($E187,DEMANDS!$E$2:$E$25,0),FALSE)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Y187" s="19">
        <f>HLOOKUP(REG_TRA_DEMANDS!Y$3,'BY-Demands'!$J$5:$AK$14,MATCH($E187,'BY-Demands'!$I$5:$I$14,0),FALSE)*HLOOKUP(REG_TRA_DEMANDS!$F187,DEMANDS!$G$2:$CK$25,MATCH($E187,DEMANDS!$E$2:$E$25,0),FALSE)/HLOOKUP(2018,DEMANDS!$G$2:$CK$25,MATCH($E187,DEMANDS!$E$2:$E$25,0),FALSE)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Z187" s="19">
        <f>HLOOKUP(REG_TRA_DEMANDS!Z$3,'BY-Demands'!$J$5:$AK$14,MATCH($E187,'BY-Demands'!$I$5:$I$14,0),FALSE)*HLOOKUP(REG_TRA_DEMANDS!$F187,DEMANDS!$G$2:$CK$25,MATCH($E187,DEMANDS!$E$2:$E$25,0),FALSE)/HLOOKUP(2018,DEMANDS!$G$2:$CK$25,MATCH($E187,DEMANDS!$E$2:$E$25,0),FALSE)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A187" s="19">
        <f>HLOOKUP(REG_TRA_DEMANDS!AA$3,'BY-Demands'!$J$5:$AK$14,MATCH($E187,'BY-Demands'!$I$5:$I$14,0),FALSE)*HLOOKUP(REG_TRA_DEMANDS!$F187,DEMANDS!$G$2:$CK$25,MATCH($E187,DEMANDS!$E$2:$E$25,0),FALSE)/HLOOKUP(2018,DEMANDS!$G$2:$CK$25,MATCH($E187,DEMANDS!$E$2:$E$25,0),FALSE)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B187" s="19">
        <f>HLOOKUP(REG_TRA_DEMANDS!AB$3,'BY-Demands'!$J$5:$AK$14,MATCH($E187,'BY-Demands'!$I$5:$I$14,0),FALSE)*HLOOKUP(REG_TRA_DEMANDS!$F187,DEMANDS!$G$2:$CK$25,MATCH($E187,DEMANDS!$E$2:$E$25,0),FALSE)/HLOOKUP(2018,DEMANDS!$G$2:$CK$25,MATCH($E187,DEMANDS!$E$2:$E$25,0),FALSE)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C187" s="19">
        <f>HLOOKUP(REG_TRA_DEMANDS!AC$3,'BY-Demands'!$J$5:$AK$14,MATCH($E187,'BY-Demands'!$I$5:$I$14,0),FALSE)*HLOOKUP(REG_TRA_DEMANDS!$F187,DEMANDS!$G$2:$CK$25,MATCH($E187,DEMANDS!$E$2:$E$25,0),FALSE)/HLOOKUP(2018,DEMANDS!$G$2:$CK$25,MATCH($E187,DEMANDS!$E$2:$E$25,0),FALSE)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D187" s="19">
        <f>HLOOKUP(REG_TRA_DEMANDS!AD$3,'BY-Demands'!$J$5:$AK$14,MATCH($E187,'BY-Demands'!$I$5:$I$14,0),FALSE)*HLOOKUP(REG_TRA_DEMANDS!$F187,DEMANDS!$G$2:$CK$25,MATCH($E187,DEMANDS!$E$2:$E$25,0),FALSE)/HLOOKUP(2018,DEMANDS!$G$2:$CK$25,MATCH($E187,DEMANDS!$E$2:$E$25,0),FALSE)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E187" s="19">
        <f>HLOOKUP(REG_TRA_DEMANDS!AE$3,'BY-Demands'!$J$5:$AK$14,MATCH($E187,'BY-Demands'!$I$5:$I$14,0),FALSE)*HLOOKUP(REG_TRA_DEMANDS!$F187,DEMANDS!$G$2:$CK$25,MATCH($E187,DEMANDS!$E$2:$E$25,0),FALSE)/HLOOKUP(2018,DEMANDS!$G$2:$CK$25,MATCH($E187,DEMANDS!$E$2:$E$25,0),FALSE)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F187" s="19">
        <f>HLOOKUP(REG_TRA_DEMANDS!AF$3,'BY-Demands'!$J$5:$AK$14,MATCH($E187,'BY-Demands'!$I$5:$I$14,0),FALSE)*HLOOKUP(REG_TRA_DEMANDS!$F187,DEMANDS!$G$2:$CK$25,MATCH($E187,DEMANDS!$E$2:$E$25,0),FALSE)/HLOOKUP(2018,DEMANDS!$G$2:$CK$25,MATCH($E187,DEMANDS!$E$2:$E$25,0),FALSE)</f>
        <v>0</v>
      </c>
    </row>
    <row r="188" spans="4:32" ht="14.5">
      <c r="D188" t="s">
        <v>6</v>
      </c>
      <c r="E188" t="str">
        <f>DEMANDS!$E$23</f>
        <v>TOTH</v>
      </c>
      <c r="F188">
        <v>2050</v>
      </c>
      <c r="G188" s="19">
        <f>HLOOKUP(REG_TRA_DEMANDS!G$3,'BY-Demands'!$J$5:$AK$14,MATCH($E188,'BY-Demands'!$I$5:$I$14,0),FALSE)*HLOOKUP(REG_TRA_DEMANDS!$F188,DEMANDS!$G$2:$CK$25,MATCH($E188,DEMANDS!$E$2:$E$25,0),FALSE)/HLOOKUP(2018,DEMANDS!$G$2:$CK$25,MATCH($E188,DEMANDS!$E$2:$E$25,0),FALSE)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H188" s="19">
        <f>HLOOKUP(REG_TRA_DEMANDS!H$3,'BY-Demands'!$J$5:$AK$14,MATCH($E188,'BY-Demands'!$I$5:$I$14,0),FALSE)*HLOOKUP(REG_TRA_DEMANDS!$F188,DEMANDS!$G$2:$CK$25,MATCH($E188,DEMANDS!$E$2:$E$25,0),FALSE)/HLOOKUP(2018,DEMANDS!$G$2:$CK$25,MATCH($E188,DEMANDS!$E$2:$E$25,0),FALSE)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I188" s="19">
        <f>HLOOKUP(REG_TRA_DEMANDS!I$3,'BY-Demands'!$J$5:$AK$14,MATCH($E188,'BY-Demands'!$I$5:$I$14,0),FALSE)*HLOOKUP(REG_TRA_DEMANDS!$F188,DEMANDS!$G$2:$CK$25,MATCH($E188,DEMANDS!$E$2:$E$25,0),FALSE)/HLOOKUP(2018,DEMANDS!$G$2:$CK$25,MATCH($E188,DEMANDS!$E$2:$E$25,0),FALSE)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J188" s="19">
        <f>HLOOKUP(REG_TRA_DEMANDS!J$3,'BY-Demands'!$J$5:$AK$14,MATCH($E188,'BY-Demands'!$I$5:$I$14,0),FALSE)*HLOOKUP(REG_TRA_DEMANDS!$F188,DEMANDS!$G$2:$CK$25,MATCH($E188,DEMANDS!$E$2:$E$25,0),FALSE)/HLOOKUP(2018,DEMANDS!$G$2:$CK$25,MATCH($E188,DEMANDS!$E$2:$E$25,0),FALSE)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K188" s="19">
        <f>HLOOKUP(REG_TRA_DEMANDS!K$3,'BY-Demands'!$J$5:$AK$14,MATCH($E188,'BY-Demands'!$I$5:$I$14,0),FALSE)*HLOOKUP(REG_TRA_DEMANDS!$F188,DEMANDS!$G$2:$CK$25,MATCH($E188,DEMANDS!$E$2:$E$25,0),FALSE)/HLOOKUP(2018,DEMANDS!$G$2:$CK$25,MATCH($E188,DEMANDS!$E$2:$E$25,0),FALSE)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L188" s="19">
        <f>HLOOKUP(REG_TRA_DEMANDS!L$3,'BY-Demands'!$J$5:$AK$14,MATCH($E188,'BY-Demands'!$I$5:$I$14,0),FALSE)*HLOOKUP(REG_TRA_DEMANDS!$F188,DEMANDS!$G$2:$CK$25,MATCH($E188,DEMANDS!$E$2:$E$25,0),FALSE)/HLOOKUP(2018,DEMANDS!$G$2:$CK$25,MATCH($E188,DEMANDS!$E$2:$E$25,0),FALSE)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M188" s="19">
        <f>HLOOKUP(REG_TRA_DEMANDS!M$3,'BY-Demands'!$J$5:$AK$14,MATCH($E188,'BY-Demands'!$I$5:$I$14,0),FALSE)*HLOOKUP(REG_TRA_DEMANDS!$F188,DEMANDS!$G$2:$CK$25,MATCH($E188,DEMANDS!$E$2:$E$25,0),FALSE)/HLOOKUP(2018,DEMANDS!$G$2:$CK$25,MATCH($E188,DEMANDS!$E$2:$E$25,0),FALSE)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N188" s="19">
        <f>HLOOKUP(REG_TRA_DEMANDS!N$3,'BY-Demands'!$J$5:$AK$14,MATCH($E188,'BY-Demands'!$I$5:$I$14,0),FALSE)*HLOOKUP(REG_TRA_DEMANDS!$F188,DEMANDS!$G$2:$CK$25,MATCH($E188,DEMANDS!$E$2:$E$25,0),FALSE)/HLOOKUP(2018,DEMANDS!$G$2:$CK$25,MATCH($E188,DEMANDS!$E$2:$E$25,0),FALSE)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O188" s="19">
        <f>HLOOKUP(REG_TRA_DEMANDS!O$3,'BY-Demands'!$J$5:$AK$14,MATCH($E188,'BY-Demands'!$I$5:$I$14,0),FALSE)*HLOOKUP(REG_TRA_DEMANDS!$F188,DEMANDS!$G$2:$CK$25,MATCH($E188,DEMANDS!$E$2:$E$25,0),FALSE)/HLOOKUP(2018,DEMANDS!$G$2:$CK$25,MATCH($E188,DEMANDS!$E$2:$E$25,0),FALSE)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P188" s="19">
        <f>HLOOKUP(REG_TRA_DEMANDS!P$3,'BY-Demands'!$J$5:$AK$14,MATCH($E188,'BY-Demands'!$I$5:$I$14,0),FALSE)*HLOOKUP(REG_TRA_DEMANDS!$F188,DEMANDS!$G$2:$CK$25,MATCH($E188,DEMANDS!$E$2:$E$25,0),FALSE)/HLOOKUP(2018,DEMANDS!$G$2:$CK$25,MATCH($E188,DEMANDS!$E$2:$E$25,0),FALSE)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Q188" s="19">
        <f>HLOOKUP(REG_TRA_DEMANDS!Q$3,'BY-Demands'!$J$5:$AK$14,MATCH($E188,'BY-Demands'!$I$5:$I$14,0),FALSE)*HLOOKUP(REG_TRA_DEMANDS!$F188,DEMANDS!$G$2:$CK$25,MATCH($E188,DEMANDS!$E$2:$E$25,0),FALSE)/HLOOKUP(2018,DEMANDS!$G$2:$CK$25,MATCH($E188,DEMANDS!$E$2:$E$25,0),FALSE)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R188" s="19">
        <f>HLOOKUP(REG_TRA_DEMANDS!R$3,'BY-Demands'!$J$5:$AK$14,MATCH($E188,'BY-Demands'!$I$5:$I$14,0),FALSE)*HLOOKUP(REG_TRA_DEMANDS!$F188,DEMANDS!$G$2:$CK$25,MATCH($E188,DEMANDS!$E$2:$E$25,0),FALSE)/HLOOKUP(2018,DEMANDS!$G$2:$CK$25,MATCH($E188,DEMANDS!$E$2:$E$25,0),FALSE)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S188" s="19">
        <f>HLOOKUP(REG_TRA_DEMANDS!S$3,'BY-Demands'!$J$5:$AK$14,MATCH($E188,'BY-Demands'!$I$5:$I$14,0),FALSE)*HLOOKUP(REG_TRA_DEMANDS!$F188,DEMANDS!$G$2:$CK$25,MATCH($E188,DEMANDS!$E$2:$E$25,0),FALSE)/HLOOKUP(2018,DEMANDS!$G$2:$CK$25,MATCH($E188,DEMANDS!$E$2:$E$25,0),FALSE)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T188" s="19">
        <f>HLOOKUP(REG_TRA_DEMANDS!T$3,'BY-Demands'!$J$5:$AK$14,MATCH($E188,'BY-Demands'!$I$5:$I$14,0),FALSE)*HLOOKUP(REG_TRA_DEMANDS!$F188,DEMANDS!$G$2:$CK$25,MATCH($E188,DEMANDS!$E$2:$E$25,0),FALSE)/HLOOKUP(2018,DEMANDS!$G$2:$CK$25,MATCH($E188,DEMANDS!$E$2:$E$25,0),FALSE)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U188" s="19">
        <f>HLOOKUP(REG_TRA_DEMANDS!U$3,'BY-Demands'!$J$5:$AK$14,MATCH($E188,'BY-Demands'!$I$5:$I$14,0),FALSE)*HLOOKUP(REG_TRA_DEMANDS!$F188,DEMANDS!$G$2:$CK$25,MATCH($E188,DEMANDS!$E$2:$E$25,0),FALSE)/HLOOKUP(2018,DEMANDS!$G$2:$CK$25,MATCH($E188,DEMANDS!$E$2:$E$25,0),FALSE)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V188" s="19">
        <f>HLOOKUP(REG_TRA_DEMANDS!V$3,'BY-Demands'!$J$5:$AK$14,MATCH($E188,'BY-Demands'!$I$5:$I$14,0),FALSE)*HLOOKUP(REG_TRA_DEMANDS!$F188,DEMANDS!$G$2:$CK$25,MATCH($E188,DEMANDS!$E$2:$E$25,0),FALSE)/HLOOKUP(2018,DEMANDS!$G$2:$CK$25,MATCH($E188,DEMANDS!$E$2:$E$25,0),FALSE)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W188" s="19">
        <f>HLOOKUP(REG_TRA_DEMANDS!W$3,'BY-Demands'!$J$5:$AK$14,MATCH($E188,'BY-Demands'!$I$5:$I$14,0),FALSE)*HLOOKUP(REG_TRA_DEMANDS!$F188,DEMANDS!$G$2:$CK$25,MATCH($E188,DEMANDS!$E$2:$E$25,0),FALSE)/HLOOKUP(2018,DEMANDS!$G$2:$CK$25,MATCH($E188,DEMANDS!$E$2:$E$25,0),FALSE)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X188" s="19">
        <f>HLOOKUP(REG_TRA_DEMANDS!X$3,'BY-Demands'!$J$5:$AK$14,MATCH($E188,'BY-Demands'!$I$5:$I$14,0),FALSE)*HLOOKUP(REG_TRA_DEMANDS!$F188,DEMANDS!$G$2:$CK$25,MATCH($E188,DEMANDS!$E$2:$E$25,0),FALSE)/HLOOKUP(2018,DEMANDS!$G$2:$CK$25,MATCH($E188,DEMANDS!$E$2:$E$25,0),FALSE)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Y188" s="19">
        <f>HLOOKUP(REG_TRA_DEMANDS!Y$3,'BY-Demands'!$J$5:$AK$14,MATCH($E188,'BY-Demands'!$I$5:$I$14,0),FALSE)*HLOOKUP(REG_TRA_DEMANDS!$F188,DEMANDS!$G$2:$CK$25,MATCH($E188,DEMANDS!$E$2:$E$25,0),FALSE)/HLOOKUP(2018,DEMANDS!$G$2:$CK$25,MATCH($E188,DEMANDS!$E$2:$E$25,0),FALSE)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Z188" s="19">
        <f>HLOOKUP(REG_TRA_DEMANDS!Z$3,'BY-Demands'!$J$5:$AK$14,MATCH($E188,'BY-Demands'!$I$5:$I$14,0),FALSE)*HLOOKUP(REG_TRA_DEMANDS!$F188,DEMANDS!$G$2:$CK$25,MATCH($E188,DEMANDS!$E$2:$E$25,0),FALSE)/HLOOKUP(2018,DEMANDS!$G$2:$CK$25,MATCH($E188,DEMANDS!$E$2:$E$25,0),FALSE)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A188" s="19">
        <f>HLOOKUP(REG_TRA_DEMANDS!AA$3,'BY-Demands'!$J$5:$AK$14,MATCH($E188,'BY-Demands'!$I$5:$I$14,0),FALSE)*HLOOKUP(REG_TRA_DEMANDS!$F188,DEMANDS!$G$2:$CK$25,MATCH($E188,DEMANDS!$E$2:$E$25,0),FALSE)/HLOOKUP(2018,DEMANDS!$G$2:$CK$25,MATCH($E188,DEMANDS!$E$2:$E$25,0),FALSE)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B188" s="19">
        <f>HLOOKUP(REG_TRA_DEMANDS!AB$3,'BY-Demands'!$J$5:$AK$14,MATCH($E188,'BY-Demands'!$I$5:$I$14,0),FALSE)*HLOOKUP(REG_TRA_DEMANDS!$F188,DEMANDS!$G$2:$CK$25,MATCH($E188,DEMANDS!$E$2:$E$25,0),FALSE)/HLOOKUP(2018,DEMANDS!$G$2:$CK$25,MATCH($E188,DEMANDS!$E$2:$E$25,0),FALSE)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C188" s="19">
        <f>HLOOKUP(REG_TRA_DEMANDS!AC$3,'BY-Demands'!$J$5:$AK$14,MATCH($E188,'BY-Demands'!$I$5:$I$14,0),FALSE)*HLOOKUP(REG_TRA_DEMANDS!$F188,DEMANDS!$G$2:$CK$25,MATCH($E188,DEMANDS!$E$2:$E$25,0),FALSE)/HLOOKUP(2018,DEMANDS!$G$2:$CK$25,MATCH($E188,DEMANDS!$E$2:$E$25,0),FALSE)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D188" s="19">
        <f>HLOOKUP(REG_TRA_DEMANDS!AD$3,'BY-Demands'!$J$5:$AK$14,MATCH($E188,'BY-Demands'!$I$5:$I$14,0),FALSE)*HLOOKUP(REG_TRA_DEMANDS!$F188,DEMANDS!$G$2:$CK$25,MATCH($E188,DEMANDS!$E$2:$E$25,0),FALSE)/HLOOKUP(2018,DEMANDS!$G$2:$CK$25,MATCH($E188,DEMANDS!$E$2:$E$25,0),FALSE)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E188" s="19">
        <f>HLOOKUP(REG_TRA_DEMANDS!AE$3,'BY-Demands'!$J$5:$AK$14,MATCH($E188,'BY-Demands'!$I$5:$I$14,0),FALSE)*HLOOKUP(REG_TRA_DEMANDS!$F188,DEMANDS!$G$2:$CK$25,MATCH($E188,DEMANDS!$E$2:$E$25,0),FALSE)/HLOOKUP(2018,DEMANDS!$G$2:$CK$25,MATCH($E188,DEMANDS!$E$2:$E$25,0),FALSE)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F188" s="19">
        <f>HLOOKUP(REG_TRA_DEMANDS!AF$3,'BY-Demands'!$J$5:$AK$14,MATCH($E188,'BY-Demands'!$I$5:$I$14,0),FALSE)*HLOOKUP(REG_TRA_DEMANDS!$F188,DEMANDS!$G$2:$CK$25,MATCH($E188,DEMANDS!$E$2:$E$25,0),FALSE)/HLOOKUP(2018,DEMANDS!$G$2:$CK$25,MATCH($E188,DEMANDS!$E$2:$E$25,0),FALSE)</f>
        <v>0</v>
      </c>
    </row>
    <row r="189" spans="4:32" ht="14.5">
      <c r="D189" t="s">
        <v>6</v>
      </c>
      <c r="E189" t="str">
        <f>DEMANDS!$E$23</f>
        <v>TOTH</v>
      </c>
      <c r="F189">
        <v>2055</v>
      </c>
      <c r="G189" s="19">
        <f>HLOOKUP(REG_TRA_DEMANDS!G$3,'BY-Demands'!$J$5:$AK$14,MATCH($E189,'BY-Demands'!$I$5:$I$14,0),FALSE)*HLOOKUP(REG_TRA_DEMANDS!$F189,DEMANDS!$G$2:$CK$25,MATCH($E189,DEMANDS!$E$2:$E$25,0),FALSE)/HLOOKUP(2018,DEMANDS!$G$2:$CK$25,MATCH($E189,DEMANDS!$E$2:$E$25,0),FALSE)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H189" s="19">
        <f>HLOOKUP(REG_TRA_DEMANDS!H$3,'BY-Demands'!$J$5:$AK$14,MATCH($E189,'BY-Demands'!$I$5:$I$14,0),FALSE)*HLOOKUP(REG_TRA_DEMANDS!$F189,DEMANDS!$G$2:$CK$25,MATCH($E189,DEMANDS!$E$2:$E$25,0),FALSE)/HLOOKUP(2018,DEMANDS!$G$2:$CK$25,MATCH($E189,DEMANDS!$E$2:$E$25,0),FALSE)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I189" s="19">
        <f>HLOOKUP(REG_TRA_DEMANDS!I$3,'BY-Demands'!$J$5:$AK$14,MATCH($E189,'BY-Demands'!$I$5:$I$14,0),FALSE)*HLOOKUP(REG_TRA_DEMANDS!$F189,DEMANDS!$G$2:$CK$25,MATCH($E189,DEMANDS!$E$2:$E$25,0),FALSE)/HLOOKUP(2018,DEMANDS!$G$2:$CK$25,MATCH($E189,DEMANDS!$E$2:$E$25,0),FALSE)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J189" s="19">
        <f>HLOOKUP(REG_TRA_DEMANDS!J$3,'BY-Demands'!$J$5:$AK$14,MATCH($E189,'BY-Demands'!$I$5:$I$14,0),FALSE)*HLOOKUP(REG_TRA_DEMANDS!$F189,DEMANDS!$G$2:$CK$25,MATCH($E189,DEMANDS!$E$2:$E$25,0),FALSE)/HLOOKUP(2018,DEMANDS!$G$2:$CK$25,MATCH($E189,DEMANDS!$E$2:$E$25,0),FALSE)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K189" s="19">
        <f>HLOOKUP(REG_TRA_DEMANDS!K$3,'BY-Demands'!$J$5:$AK$14,MATCH($E189,'BY-Demands'!$I$5:$I$14,0),FALSE)*HLOOKUP(REG_TRA_DEMANDS!$F189,DEMANDS!$G$2:$CK$25,MATCH($E189,DEMANDS!$E$2:$E$25,0),FALSE)/HLOOKUP(2018,DEMANDS!$G$2:$CK$25,MATCH($E189,DEMANDS!$E$2:$E$25,0),FALSE)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L189" s="19">
        <f>HLOOKUP(REG_TRA_DEMANDS!L$3,'BY-Demands'!$J$5:$AK$14,MATCH($E189,'BY-Demands'!$I$5:$I$14,0),FALSE)*HLOOKUP(REG_TRA_DEMANDS!$F189,DEMANDS!$G$2:$CK$25,MATCH($E189,DEMANDS!$E$2:$E$25,0),FALSE)/HLOOKUP(2018,DEMANDS!$G$2:$CK$25,MATCH($E189,DEMANDS!$E$2:$E$25,0),FALSE)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M189" s="19">
        <f>HLOOKUP(REG_TRA_DEMANDS!M$3,'BY-Demands'!$J$5:$AK$14,MATCH($E189,'BY-Demands'!$I$5:$I$14,0),FALSE)*HLOOKUP(REG_TRA_DEMANDS!$F189,DEMANDS!$G$2:$CK$25,MATCH($E189,DEMANDS!$E$2:$E$25,0),FALSE)/HLOOKUP(2018,DEMANDS!$G$2:$CK$25,MATCH($E189,DEMANDS!$E$2:$E$25,0),FALSE)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N189" s="19">
        <f>HLOOKUP(REG_TRA_DEMANDS!N$3,'BY-Demands'!$J$5:$AK$14,MATCH($E189,'BY-Demands'!$I$5:$I$14,0),FALSE)*HLOOKUP(REG_TRA_DEMANDS!$F189,DEMANDS!$G$2:$CK$25,MATCH($E189,DEMANDS!$E$2:$E$25,0),FALSE)/HLOOKUP(2018,DEMANDS!$G$2:$CK$25,MATCH($E189,DEMANDS!$E$2:$E$25,0),FALSE)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O189" s="19">
        <f>HLOOKUP(REG_TRA_DEMANDS!O$3,'BY-Demands'!$J$5:$AK$14,MATCH($E189,'BY-Demands'!$I$5:$I$14,0),FALSE)*HLOOKUP(REG_TRA_DEMANDS!$F189,DEMANDS!$G$2:$CK$25,MATCH($E189,DEMANDS!$E$2:$E$25,0),FALSE)/HLOOKUP(2018,DEMANDS!$G$2:$CK$25,MATCH($E189,DEMANDS!$E$2:$E$25,0),FALSE)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P189" s="19">
        <f>HLOOKUP(REG_TRA_DEMANDS!P$3,'BY-Demands'!$J$5:$AK$14,MATCH($E189,'BY-Demands'!$I$5:$I$14,0),FALSE)*HLOOKUP(REG_TRA_DEMANDS!$F189,DEMANDS!$G$2:$CK$25,MATCH($E189,DEMANDS!$E$2:$E$25,0),FALSE)/HLOOKUP(2018,DEMANDS!$G$2:$CK$25,MATCH($E189,DEMANDS!$E$2:$E$25,0),FALSE)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Q189" s="19">
        <f>HLOOKUP(REG_TRA_DEMANDS!Q$3,'BY-Demands'!$J$5:$AK$14,MATCH($E189,'BY-Demands'!$I$5:$I$14,0),FALSE)*HLOOKUP(REG_TRA_DEMANDS!$F189,DEMANDS!$G$2:$CK$25,MATCH($E189,DEMANDS!$E$2:$E$25,0),FALSE)/HLOOKUP(2018,DEMANDS!$G$2:$CK$25,MATCH($E189,DEMANDS!$E$2:$E$25,0),FALSE)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R189" s="19">
        <f>HLOOKUP(REG_TRA_DEMANDS!R$3,'BY-Demands'!$J$5:$AK$14,MATCH($E189,'BY-Demands'!$I$5:$I$14,0),FALSE)*HLOOKUP(REG_TRA_DEMANDS!$F189,DEMANDS!$G$2:$CK$25,MATCH($E189,DEMANDS!$E$2:$E$25,0),FALSE)/HLOOKUP(2018,DEMANDS!$G$2:$CK$25,MATCH($E189,DEMANDS!$E$2:$E$25,0),FALSE)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S189" s="19">
        <f>HLOOKUP(REG_TRA_DEMANDS!S$3,'BY-Demands'!$J$5:$AK$14,MATCH($E189,'BY-Demands'!$I$5:$I$14,0),FALSE)*HLOOKUP(REG_TRA_DEMANDS!$F189,DEMANDS!$G$2:$CK$25,MATCH($E189,DEMANDS!$E$2:$E$25,0),FALSE)/HLOOKUP(2018,DEMANDS!$G$2:$CK$25,MATCH($E189,DEMANDS!$E$2:$E$25,0),FALSE)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T189" s="19">
        <f>HLOOKUP(REG_TRA_DEMANDS!T$3,'BY-Demands'!$J$5:$AK$14,MATCH($E189,'BY-Demands'!$I$5:$I$14,0),FALSE)*HLOOKUP(REG_TRA_DEMANDS!$F189,DEMANDS!$G$2:$CK$25,MATCH($E189,DEMANDS!$E$2:$E$25,0),FALSE)/HLOOKUP(2018,DEMANDS!$G$2:$CK$25,MATCH($E189,DEMANDS!$E$2:$E$25,0),FALSE)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U189" s="19">
        <f>HLOOKUP(REG_TRA_DEMANDS!U$3,'BY-Demands'!$J$5:$AK$14,MATCH($E189,'BY-Demands'!$I$5:$I$14,0),FALSE)*HLOOKUP(REG_TRA_DEMANDS!$F189,DEMANDS!$G$2:$CK$25,MATCH($E189,DEMANDS!$E$2:$E$25,0),FALSE)/HLOOKUP(2018,DEMANDS!$G$2:$CK$25,MATCH($E189,DEMANDS!$E$2:$E$25,0),FALSE)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V189" s="19">
        <f>HLOOKUP(REG_TRA_DEMANDS!V$3,'BY-Demands'!$J$5:$AK$14,MATCH($E189,'BY-Demands'!$I$5:$I$14,0),FALSE)*HLOOKUP(REG_TRA_DEMANDS!$F189,DEMANDS!$G$2:$CK$25,MATCH($E189,DEMANDS!$E$2:$E$25,0),FALSE)/HLOOKUP(2018,DEMANDS!$G$2:$CK$25,MATCH($E189,DEMANDS!$E$2:$E$25,0),FALSE)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W189" s="19">
        <f>HLOOKUP(REG_TRA_DEMANDS!W$3,'BY-Demands'!$J$5:$AK$14,MATCH($E189,'BY-Demands'!$I$5:$I$14,0),FALSE)*HLOOKUP(REG_TRA_DEMANDS!$F189,DEMANDS!$G$2:$CK$25,MATCH($E189,DEMANDS!$E$2:$E$25,0),FALSE)/HLOOKUP(2018,DEMANDS!$G$2:$CK$25,MATCH($E189,DEMANDS!$E$2:$E$25,0),FALSE)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X189" s="19">
        <f>HLOOKUP(REG_TRA_DEMANDS!X$3,'BY-Demands'!$J$5:$AK$14,MATCH($E189,'BY-Demands'!$I$5:$I$14,0),FALSE)*HLOOKUP(REG_TRA_DEMANDS!$F189,DEMANDS!$G$2:$CK$25,MATCH($E189,DEMANDS!$E$2:$E$25,0),FALSE)/HLOOKUP(2018,DEMANDS!$G$2:$CK$25,MATCH($E189,DEMANDS!$E$2:$E$25,0),FALSE)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Y189" s="19">
        <f>HLOOKUP(REG_TRA_DEMANDS!Y$3,'BY-Demands'!$J$5:$AK$14,MATCH($E189,'BY-Demands'!$I$5:$I$14,0),FALSE)*HLOOKUP(REG_TRA_DEMANDS!$F189,DEMANDS!$G$2:$CK$25,MATCH($E189,DEMANDS!$E$2:$E$25,0),FALSE)/HLOOKUP(2018,DEMANDS!$G$2:$CK$25,MATCH($E189,DEMANDS!$E$2:$E$25,0),FALSE)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Z189" s="19">
        <f>HLOOKUP(REG_TRA_DEMANDS!Z$3,'BY-Demands'!$J$5:$AK$14,MATCH($E189,'BY-Demands'!$I$5:$I$14,0),FALSE)*HLOOKUP(REG_TRA_DEMANDS!$F189,DEMANDS!$G$2:$CK$25,MATCH($E189,DEMANDS!$E$2:$E$25,0),FALSE)/HLOOKUP(2018,DEMANDS!$G$2:$CK$25,MATCH($E189,DEMANDS!$E$2:$E$25,0),FALSE)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A189" s="19">
        <f>HLOOKUP(REG_TRA_DEMANDS!AA$3,'BY-Demands'!$J$5:$AK$14,MATCH($E189,'BY-Demands'!$I$5:$I$14,0),FALSE)*HLOOKUP(REG_TRA_DEMANDS!$F189,DEMANDS!$G$2:$CK$25,MATCH($E189,DEMANDS!$E$2:$E$25,0),FALSE)/HLOOKUP(2018,DEMANDS!$G$2:$CK$25,MATCH($E189,DEMANDS!$E$2:$E$25,0),FALSE)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B189" s="19">
        <f>HLOOKUP(REG_TRA_DEMANDS!AB$3,'BY-Demands'!$J$5:$AK$14,MATCH($E189,'BY-Demands'!$I$5:$I$14,0),FALSE)*HLOOKUP(REG_TRA_DEMANDS!$F189,DEMANDS!$G$2:$CK$25,MATCH($E189,DEMANDS!$E$2:$E$25,0),FALSE)/HLOOKUP(2018,DEMANDS!$G$2:$CK$25,MATCH($E189,DEMANDS!$E$2:$E$25,0),FALSE)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C189" s="19">
        <f>HLOOKUP(REG_TRA_DEMANDS!AC$3,'BY-Demands'!$J$5:$AK$14,MATCH($E189,'BY-Demands'!$I$5:$I$14,0),FALSE)*HLOOKUP(REG_TRA_DEMANDS!$F189,DEMANDS!$G$2:$CK$25,MATCH($E189,DEMANDS!$E$2:$E$25,0),FALSE)/HLOOKUP(2018,DEMANDS!$G$2:$CK$25,MATCH($E189,DEMANDS!$E$2:$E$25,0),FALSE)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D189" s="19">
        <f>HLOOKUP(REG_TRA_DEMANDS!AD$3,'BY-Demands'!$J$5:$AK$14,MATCH($E189,'BY-Demands'!$I$5:$I$14,0),FALSE)*HLOOKUP(REG_TRA_DEMANDS!$F189,DEMANDS!$G$2:$CK$25,MATCH($E189,DEMANDS!$E$2:$E$25,0),FALSE)/HLOOKUP(2018,DEMANDS!$G$2:$CK$25,MATCH($E189,DEMANDS!$E$2:$E$25,0),FALSE)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E189" s="19">
        <f>HLOOKUP(REG_TRA_DEMANDS!AE$3,'BY-Demands'!$J$5:$AK$14,MATCH($E189,'BY-Demands'!$I$5:$I$14,0),FALSE)*HLOOKUP(REG_TRA_DEMANDS!$F189,DEMANDS!$G$2:$CK$25,MATCH($E189,DEMANDS!$E$2:$E$25,0),FALSE)/HLOOKUP(2018,DEMANDS!$G$2:$CK$25,MATCH($E189,DEMANDS!$E$2:$E$25,0),FALSE)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F189" s="19">
        <f>HLOOKUP(REG_TRA_DEMANDS!AF$3,'BY-Demands'!$J$5:$AK$14,MATCH($E189,'BY-Demands'!$I$5:$I$14,0),FALSE)*HLOOKUP(REG_TRA_DEMANDS!$F189,DEMANDS!$G$2:$CK$25,MATCH($E189,DEMANDS!$E$2:$E$25,0),FALSE)/HLOOKUP(2018,DEMANDS!$G$2:$CK$25,MATCH($E189,DEMANDS!$E$2:$E$25,0),FALSE)</f>
        <v>0</v>
      </c>
    </row>
    <row r="190" spans="4:32" ht="14.5">
      <c r="D190" t="s">
        <v>6</v>
      </c>
      <c r="E190" t="str">
        <f>DEMANDS!$E$23</f>
        <v>TOTH</v>
      </c>
      <c r="F190">
        <v>2060</v>
      </c>
      <c r="G190" s="19">
        <f>HLOOKUP(REG_TRA_DEMANDS!G$3,'BY-Demands'!$J$5:$AK$14,MATCH($E190,'BY-Demands'!$I$5:$I$14,0),FALSE)*HLOOKUP(REG_TRA_DEMANDS!$F190,DEMANDS!$G$2:$CK$25,MATCH($E190,DEMANDS!$E$2:$E$25,0),FALSE)/HLOOKUP(2018,DEMANDS!$G$2:$CK$25,MATCH($E190,DEMANDS!$E$2:$E$25,0),FALSE)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H190" s="19">
        <f>HLOOKUP(REG_TRA_DEMANDS!H$3,'BY-Demands'!$J$5:$AK$14,MATCH($E190,'BY-Demands'!$I$5:$I$14,0),FALSE)*HLOOKUP(REG_TRA_DEMANDS!$F190,DEMANDS!$G$2:$CK$25,MATCH($E190,DEMANDS!$E$2:$E$25,0),FALSE)/HLOOKUP(2018,DEMANDS!$G$2:$CK$25,MATCH($E190,DEMANDS!$E$2:$E$25,0),FALSE)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I190" s="19">
        <f>HLOOKUP(REG_TRA_DEMANDS!I$3,'BY-Demands'!$J$5:$AK$14,MATCH($E190,'BY-Demands'!$I$5:$I$14,0),FALSE)*HLOOKUP(REG_TRA_DEMANDS!$F190,DEMANDS!$G$2:$CK$25,MATCH($E190,DEMANDS!$E$2:$E$25,0),FALSE)/HLOOKUP(2018,DEMANDS!$G$2:$CK$25,MATCH($E190,DEMANDS!$E$2:$E$25,0),FALSE)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J190" s="19">
        <f>HLOOKUP(REG_TRA_DEMANDS!J$3,'BY-Demands'!$J$5:$AK$14,MATCH($E190,'BY-Demands'!$I$5:$I$14,0),FALSE)*HLOOKUP(REG_TRA_DEMANDS!$F190,DEMANDS!$G$2:$CK$25,MATCH($E190,DEMANDS!$E$2:$E$25,0),FALSE)/HLOOKUP(2018,DEMANDS!$G$2:$CK$25,MATCH($E190,DEMANDS!$E$2:$E$25,0),FALSE)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K190" s="19">
        <f>HLOOKUP(REG_TRA_DEMANDS!K$3,'BY-Demands'!$J$5:$AK$14,MATCH($E190,'BY-Demands'!$I$5:$I$14,0),FALSE)*HLOOKUP(REG_TRA_DEMANDS!$F190,DEMANDS!$G$2:$CK$25,MATCH($E190,DEMANDS!$E$2:$E$25,0),FALSE)/HLOOKUP(2018,DEMANDS!$G$2:$CK$25,MATCH($E190,DEMANDS!$E$2:$E$25,0),FALSE)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L190" s="19">
        <f>HLOOKUP(REG_TRA_DEMANDS!L$3,'BY-Demands'!$J$5:$AK$14,MATCH($E190,'BY-Demands'!$I$5:$I$14,0),FALSE)*HLOOKUP(REG_TRA_DEMANDS!$F190,DEMANDS!$G$2:$CK$25,MATCH($E190,DEMANDS!$E$2:$E$25,0),FALSE)/HLOOKUP(2018,DEMANDS!$G$2:$CK$25,MATCH($E190,DEMANDS!$E$2:$E$25,0),FALSE)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M190" s="19">
        <f>HLOOKUP(REG_TRA_DEMANDS!M$3,'BY-Demands'!$J$5:$AK$14,MATCH($E190,'BY-Demands'!$I$5:$I$14,0),FALSE)*HLOOKUP(REG_TRA_DEMANDS!$F190,DEMANDS!$G$2:$CK$25,MATCH($E190,DEMANDS!$E$2:$E$25,0),FALSE)/HLOOKUP(2018,DEMANDS!$G$2:$CK$25,MATCH($E190,DEMANDS!$E$2:$E$25,0),FALSE)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N190" s="19">
        <f>HLOOKUP(REG_TRA_DEMANDS!N$3,'BY-Demands'!$J$5:$AK$14,MATCH($E190,'BY-Demands'!$I$5:$I$14,0),FALSE)*HLOOKUP(REG_TRA_DEMANDS!$F190,DEMANDS!$G$2:$CK$25,MATCH($E190,DEMANDS!$E$2:$E$25,0),FALSE)/HLOOKUP(2018,DEMANDS!$G$2:$CK$25,MATCH($E190,DEMANDS!$E$2:$E$25,0),FALSE)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O190" s="19">
        <f>HLOOKUP(REG_TRA_DEMANDS!O$3,'BY-Demands'!$J$5:$AK$14,MATCH($E190,'BY-Demands'!$I$5:$I$14,0),FALSE)*HLOOKUP(REG_TRA_DEMANDS!$F190,DEMANDS!$G$2:$CK$25,MATCH($E190,DEMANDS!$E$2:$E$25,0),FALSE)/HLOOKUP(2018,DEMANDS!$G$2:$CK$25,MATCH($E190,DEMANDS!$E$2:$E$25,0),FALSE)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P190" s="19">
        <f>HLOOKUP(REG_TRA_DEMANDS!P$3,'BY-Demands'!$J$5:$AK$14,MATCH($E190,'BY-Demands'!$I$5:$I$14,0),FALSE)*HLOOKUP(REG_TRA_DEMANDS!$F190,DEMANDS!$G$2:$CK$25,MATCH($E190,DEMANDS!$E$2:$E$25,0),FALSE)/HLOOKUP(2018,DEMANDS!$G$2:$CK$25,MATCH($E190,DEMANDS!$E$2:$E$25,0),FALSE)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Q190" s="19">
        <f>HLOOKUP(REG_TRA_DEMANDS!Q$3,'BY-Demands'!$J$5:$AK$14,MATCH($E190,'BY-Demands'!$I$5:$I$14,0),FALSE)*HLOOKUP(REG_TRA_DEMANDS!$F190,DEMANDS!$G$2:$CK$25,MATCH($E190,DEMANDS!$E$2:$E$25,0),FALSE)/HLOOKUP(2018,DEMANDS!$G$2:$CK$25,MATCH($E190,DEMANDS!$E$2:$E$25,0),FALSE)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R190" s="19">
        <f>HLOOKUP(REG_TRA_DEMANDS!R$3,'BY-Demands'!$J$5:$AK$14,MATCH($E190,'BY-Demands'!$I$5:$I$14,0),FALSE)*HLOOKUP(REG_TRA_DEMANDS!$F190,DEMANDS!$G$2:$CK$25,MATCH($E190,DEMANDS!$E$2:$E$25,0),FALSE)/HLOOKUP(2018,DEMANDS!$G$2:$CK$25,MATCH($E190,DEMANDS!$E$2:$E$25,0),FALSE)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S190" s="19">
        <f>HLOOKUP(REG_TRA_DEMANDS!S$3,'BY-Demands'!$J$5:$AK$14,MATCH($E190,'BY-Demands'!$I$5:$I$14,0),FALSE)*HLOOKUP(REG_TRA_DEMANDS!$F190,DEMANDS!$G$2:$CK$25,MATCH($E190,DEMANDS!$E$2:$E$25,0),FALSE)/HLOOKUP(2018,DEMANDS!$G$2:$CK$25,MATCH($E190,DEMANDS!$E$2:$E$25,0),FALSE)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T190" s="19">
        <f>HLOOKUP(REG_TRA_DEMANDS!T$3,'BY-Demands'!$J$5:$AK$14,MATCH($E190,'BY-Demands'!$I$5:$I$14,0),FALSE)*HLOOKUP(REG_TRA_DEMANDS!$F190,DEMANDS!$G$2:$CK$25,MATCH($E190,DEMANDS!$E$2:$E$25,0),FALSE)/HLOOKUP(2018,DEMANDS!$G$2:$CK$25,MATCH($E190,DEMANDS!$E$2:$E$25,0),FALSE)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U190" s="19">
        <f>HLOOKUP(REG_TRA_DEMANDS!U$3,'BY-Demands'!$J$5:$AK$14,MATCH($E190,'BY-Demands'!$I$5:$I$14,0),FALSE)*HLOOKUP(REG_TRA_DEMANDS!$F190,DEMANDS!$G$2:$CK$25,MATCH($E190,DEMANDS!$E$2:$E$25,0),FALSE)/HLOOKUP(2018,DEMANDS!$G$2:$CK$25,MATCH($E190,DEMANDS!$E$2:$E$25,0),FALSE)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V190" s="19">
        <f>HLOOKUP(REG_TRA_DEMANDS!V$3,'BY-Demands'!$J$5:$AK$14,MATCH($E190,'BY-Demands'!$I$5:$I$14,0),FALSE)*HLOOKUP(REG_TRA_DEMANDS!$F190,DEMANDS!$G$2:$CK$25,MATCH($E190,DEMANDS!$E$2:$E$25,0),FALSE)/HLOOKUP(2018,DEMANDS!$G$2:$CK$25,MATCH($E190,DEMANDS!$E$2:$E$25,0),FALSE)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W190" s="19">
        <f>HLOOKUP(REG_TRA_DEMANDS!W$3,'BY-Demands'!$J$5:$AK$14,MATCH($E190,'BY-Demands'!$I$5:$I$14,0),FALSE)*HLOOKUP(REG_TRA_DEMANDS!$F190,DEMANDS!$G$2:$CK$25,MATCH($E190,DEMANDS!$E$2:$E$25,0),FALSE)/HLOOKUP(2018,DEMANDS!$G$2:$CK$25,MATCH($E190,DEMANDS!$E$2:$E$25,0),FALSE)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X190" s="19">
        <f>HLOOKUP(REG_TRA_DEMANDS!X$3,'BY-Demands'!$J$5:$AK$14,MATCH($E190,'BY-Demands'!$I$5:$I$14,0),FALSE)*HLOOKUP(REG_TRA_DEMANDS!$F190,DEMANDS!$G$2:$CK$25,MATCH($E190,DEMANDS!$E$2:$E$25,0),FALSE)/HLOOKUP(2018,DEMANDS!$G$2:$CK$25,MATCH($E190,DEMANDS!$E$2:$E$25,0),FALSE)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Y190" s="19">
        <f>HLOOKUP(REG_TRA_DEMANDS!Y$3,'BY-Demands'!$J$5:$AK$14,MATCH($E190,'BY-Demands'!$I$5:$I$14,0),FALSE)*HLOOKUP(REG_TRA_DEMANDS!$F190,DEMANDS!$G$2:$CK$25,MATCH($E190,DEMANDS!$E$2:$E$25,0),FALSE)/HLOOKUP(2018,DEMANDS!$G$2:$CK$25,MATCH($E190,DEMANDS!$E$2:$E$25,0),FALSE)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Z190" s="19">
        <f>HLOOKUP(REG_TRA_DEMANDS!Z$3,'BY-Demands'!$J$5:$AK$14,MATCH($E190,'BY-Demands'!$I$5:$I$14,0),FALSE)*HLOOKUP(REG_TRA_DEMANDS!$F190,DEMANDS!$G$2:$CK$25,MATCH($E190,DEMANDS!$E$2:$E$25,0),FALSE)/HLOOKUP(2018,DEMANDS!$G$2:$CK$25,MATCH($E190,DEMANDS!$E$2:$E$25,0),FALSE)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A190" s="19">
        <f>HLOOKUP(REG_TRA_DEMANDS!AA$3,'BY-Demands'!$J$5:$AK$14,MATCH($E190,'BY-Demands'!$I$5:$I$14,0),FALSE)*HLOOKUP(REG_TRA_DEMANDS!$F190,DEMANDS!$G$2:$CK$25,MATCH($E190,DEMANDS!$E$2:$E$25,0),FALSE)/HLOOKUP(2018,DEMANDS!$G$2:$CK$25,MATCH($E190,DEMANDS!$E$2:$E$25,0),FALSE)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B190" s="19">
        <f>HLOOKUP(REG_TRA_DEMANDS!AB$3,'BY-Demands'!$J$5:$AK$14,MATCH($E190,'BY-Demands'!$I$5:$I$14,0),FALSE)*HLOOKUP(REG_TRA_DEMANDS!$F190,DEMANDS!$G$2:$CK$25,MATCH($E190,DEMANDS!$E$2:$E$25,0),FALSE)/HLOOKUP(2018,DEMANDS!$G$2:$CK$25,MATCH($E190,DEMANDS!$E$2:$E$25,0),FALSE)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C190" s="19">
        <f>HLOOKUP(REG_TRA_DEMANDS!AC$3,'BY-Demands'!$J$5:$AK$14,MATCH($E190,'BY-Demands'!$I$5:$I$14,0),FALSE)*HLOOKUP(REG_TRA_DEMANDS!$F190,DEMANDS!$G$2:$CK$25,MATCH($E190,DEMANDS!$E$2:$E$25,0),FALSE)/HLOOKUP(2018,DEMANDS!$G$2:$CK$25,MATCH($E190,DEMANDS!$E$2:$E$25,0),FALSE)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D190" s="19">
        <f>HLOOKUP(REG_TRA_DEMANDS!AD$3,'BY-Demands'!$J$5:$AK$14,MATCH($E190,'BY-Demands'!$I$5:$I$14,0),FALSE)*HLOOKUP(REG_TRA_DEMANDS!$F190,DEMANDS!$G$2:$CK$25,MATCH($E190,DEMANDS!$E$2:$E$25,0),FALSE)/HLOOKUP(2018,DEMANDS!$G$2:$CK$25,MATCH($E190,DEMANDS!$E$2:$E$25,0),FALSE)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E190" s="19">
        <f>HLOOKUP(REG_TRA_DEMANDS!AE$3,'BY-Demands'!$J$5:$AK$14,MATCH($E190,'BY-Demands'!$I$5:$I$14,0),FALSE)*HLOOKUP(REG_TRA_DEMANDS!$F190,DEMANDS!$G$2:$CK$25,MATCH($E190,DEMANDS!$E$2:$E$25,0),FALSE)/HLOOKUP(2018,DEMANDS!$G$2:$CK$25,MATCH($E190,DEMANDS!$E$2:$E$25,0),FALSE)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F190" s="19">
        <f>HLOOKUP(REG_TRA_DEMANDS!AF$3,'BY-Demands'!$J$5:$AK$14,MATCH($E190,'BY-Demands'!$I$5:$I$14,0),FALSE)*HLOOKUP(REG_TRA_DEMANDS!$F190,DEMANDS!$G$2:$CK$25,MATCH($E190,DEMANDS!$E$2:$E$25,0),FALSE)/HLOOKUP(2018,DEMANDS!$G$2:$CK$25,MATCH($E190,DEMANDS!$E$2:$E$25,0),FALSE)</f>
        <v>0</v>
      </c>
    </row>
    <row r="191" spans="4:32" ht="14.5">
      <c r="D191" t="s">
        <v>6</v>
      </c>
      <c r="E191" t="str">
        <f>DEMANDS!$E$23</f>
        <v>TOTH</v>
      </c>
      <c r="F191">
        <v>2065</v>
      </c>
      <c r="G191" s="19">
        <f>HLOOKUP(REG_TRA_DEMANDS!G$3,'BY-Demands'!$J$5:$AK$14,MATCH($E191,'BY-Demands'!$I$5:$I$14,0),FALSE)*HLOOKUP(REG_TRA_DEMANDS!$F191,DEMANDS!$G$2:$CK$25,MATCH($E191,DEMANDS!$E$2:$E$25,0),FALSE)/HLOOKUP(2018,DEMANDS!$G$2:$CK$25,MATCH($E191,DEMANDS!$E$2:$E$25,0),FALSE)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H191" s="19">
        <f>HLOOKUP(REG_TRA_DEMANDS!H$3,'BY-Demands'!$J$5:$AK$14,MATCH($E191,'BY-Demands'!$I$5:$I$14,0),FALSE)*HLOOKUP(REG_TRA_DEMANDS!$F191,DEMANDS!$G$2:$CK$25,MATCH($E191,DEMANDS!$E$2:$E$25,0),FALSE)/HLOOKUP(2018,DEMANDS!$G$2:$CK$25,MATCH($E191,DEMANDS!$E$2:$E$25,0),FALSE)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I191" s="19">
        <f>HLOOKUP(REG_TRA_DEMANDS!I$3,'BY-Demands'!$J$5:$AK$14,MATCH($E191,'BY-Demands'!$I$5:$I$14,0),FALSE)*HLOOKUP(REG_TRA_DEMANDS!$F191,DEMANDS!$G$2:$CK$25,MATCH($E191,DEMANDS!$E$2:$E$25,0),FALSE)/HLOOKUP(2018,DEMANDS!$G$2:$CK$25,MATCH($E191,DEMANDS!$E$2:$E$25,0),FALSE)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J191" s="19">
        <f>HLOOKUP(REG_TRA_DEMANDS!J$3,'BY-Demands'!$J$5:$AK$14,MATCH($E191,'BY-Demands'!$I$5:$I$14,0),FALSE)*HLOOKUP(REG_TRA_DEMANDS!$F191,DEMANDS!$G$2:$CK$25,MATCH($E191,DEMANDS!$E$2:$E$25,0),FALSE)/HLOOKUP(2018,DEMANDS!$G$2:$CK$25,MATCH($E191,DEMANDS!$E$2:$E$25,0),FALSE)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K191" s="19">
        <f>HLOOKUP(REG_TRA_DEMANDS!K$3,'BY-Demands'!$J$5:$AK$14,MATCH($E191,'BY-Demands'!$I$5:$I$14,0),FALSE)*HLOOKUP(REG_TRA_DEMANDS!$F191,DEMANDS!$G$2:$CK$25,MATCH($E191,DEMANDS!$E$2:$E$25,0),FALSE)/HLOOKUP(2018,DEMANDS!$G$2:$CK$25,MATCH($E191,DEMANDS!$E$2:$E$25,0),FALSE)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L191" s="19">
        <f>HLOOKUP(REG_TRA_DEMANDS!L$3,'BY-Demands'!$J$5:$AK$14,MATCH($E191,'BY-Demands'!$I$5:$I$14,0),FALSE)*HLOOKUP(REG_TRA_DEMANDS!$F191,DEMANDS!$G$2:$CK$25,MATCH($E191,DEMANDS!$E$2:$E$25,0),FALSE)/HLOOKUP(2018,DEMANDS!$G$2:$CK$25,MATCH($E191,DEMANDS!$E$2:$E$25,0),FALSE)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M191" s="19">
        <f>HLOOKUP(REG_TRA_DEMANDS!M$3,'BY-Demands'!$J$5:$AK$14,MATCH($E191,'BY-Demands'!$I$5:$I$14,0),FALSE)*HLOOKUP(REG_TRA_DEMANDS!$F191,DEMANDS!$G$2:$CK$25,MATCH($E191,DEMANDS!$E$2:$E$25,0),FALSE)/HLOOKUP(2018,DEMANDS!$G$2:$CK$25,MATCH($E191,DEMANDS!$E$2:$E$25,0),FALSE)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N191" s="19">
        <f>HLOOKUP(REG_TRA_DEMANDS!N$3,'BY-Demands'!$J$5:$AK$14,MATCH($E191,'BY-Demands'!$I$5:$I$14,0),FALSE)*HLOOKUP(REG_TRA_DEMANDS!$F191,DEMANDS!$G$2:$CK$25,MATCH($E191,DEMANDS!$E$2:$E$25,0),FALSE)/HLOOKUP(2018,DEMANDS!$G$2:$CK$25,MATCH($E191,DEMANDS!$E$2:$E$25,0),FALSE)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O191" s="19">
        <f>HLOOKUP(REG_TRA_DEMANDS!O$3,'BY-Demands'!$J$5:$AK$14,MATCH($E191,'BY-Demands'!$I$5:$I$14,0),FALSE)*HLOOKUP(REG_TRA_DEMANDS!$F191,DEMANDS!$G$2:$CK$25,MATCH($E191,DEMANDS!$E$2:$E$25,0),FALSE)/HLOOKUP(2018,DEMANDS!$G$2:$CK$25,MATCH($E191,DEMANDS!$E$2:$E$25,0),FALSE)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P191" s="19">
        <f>HLOOKUP(REG_TRA_DEMANDS!P$3,'BY-Demands'!$J$5:$AK$14,MATCH($E191,'BY-Demands'!$I$5:$I$14,0),FALSE)*HLOOKUP(REG_TRA_DEMANDS!$F191,DEMANDS!$G$2:$CK$25,MATCH($E191,DEMANDS!$E$2:$E$25,0),FALSE)/HLOOKUP(2018,DEMANDS!$G$2:$CK$25,MATCH($E191,DEMANDS!$E$2:$E$25,0),FALSE)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Q191" s="19">
        <f>HLOOKUP(REG_TRA_DEMANDS!Q$3,'BY-Demands'!$J$5:$AK$14,MATCH($E191,'BY-Demands'!$I$5:$I$14,0),FALSE)*HLOOKUP(REG_TRA_DEMANDS!$F191,DEMANDS!$G$2:$CK$25,MATCH($E191,DEMANDS!$E$2:$E$25,0),FALSE)/HLOOKUP(2018,DEMANDS!$G$2:$CK$25,MATCH($E191,DEMANDS!$E$2:$E$25,0),FALSE)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R191" s="19">
        <f>HLOOKUP(REG_TRA_DEMANDS!R$3,'BY-Demands'!$J$5:$AK$14,MATCH($E191,'BY-Demands'!$I$5:$I$14,0),FALSE)*HLOOKUP(REG_TRA_DEMANDS!$F191,DEMANDS!$G$2:$CK$25,MATCH($E191,DEMANDS!$E$2:$E$25,0),FALSE)/HLOOKUP(2018,DEMANDS!$G$2:$CK$25,MATCH($E191,DEMANDS!$E$2:$E$25,0),FALSE)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S191" s="19">
        <f>HLOOKUP(REG_TRA_DEMANDS!S$3,'BY-Demands'!$J$5:$AK$14,MATCH($E191,'BY-Demands'!$I$5:$I$14,0),FALSE)*HLOOKUP(REG_TRA_DEMANDS!$F191,DEMANDS!$G$2:$CK$25,MATCH($E191,DEMANDS!$E$2:$E$25,0),FALSE)/HLOOKUP(2018,DEMANDS!$G$2:$CK$25,MATCH($E191,DEMANDS!$E$2:$E$25,0),FALSE)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T191" s="19">
        <f>HLOOKUP(REG_TRA_DEMANDS!T$3,'BY-Demands'!$J$5:$AK$14,MATCH($E191,'BY-Demands'!$I$5:$I$14,0),FALSE)*HLOOKUP(REG_TRA_DEMANDS!$F191,DEMANDS!$G$2:$CK$25,MATCH($E191,DEMANDS!$E$2:$E$25,0),FALSE)/HLOOKUP(2018,DEMANDS!$G$2:$CK$25,MATCH($E191,DEMANDS!$E$2:$E$25,0),FALSE)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U191" s="19">
        <f>HLOOKUP(REG_TRA_DEMANDS!U$3,'BY-Demands'!$J$5:$AK$14,MATCH($E191,'BY-Demands'!$I$5:$I$14,0),FALSE)*HLOOKUP(REG_TRA_DEMANDS!$F191,DEMANDS!$G$2:$CK$25,MATCH($E191,DEMANDS!$E$2:$E$25,0),FALSE)/HLOOKUP(2018,DEMANDS!$G$2:$CK$25,MATCH($E191,DEMANDS!$E$2:$E$25,0),FALSE)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V191" s="19">
        <f>HLOOKUP(REG_TRA_DEMANDS!V$3,'BY-Demands'!$J$5:$AK$14,MATCH($E191,'BY-Demands'!$I$5:$I$14,0),FALSE)*HLOOKUP(REG_TRA_DEMANDS!$F191,DEMANDS!$G$2:$CK$25,MATCH($E191,DEMANDS!$E$2:$E$25,0),FALSE)/HLOOKUP(2018,DEMANDS!$G$2:$CK$25,MATCH($E191,DEMANDS!$E$2:$E$25,0),FALSE)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W191" s="19">
        <f>HLOOKUP(REG_TRA_DEMANDS!W$3,'BY-Demands'!$J$5:$AK$14,MATCH($E191,'BY-Demands'!$I$5:$I$14,0),FALSE)*HLOOKUP(REG_TRA_DEMANDS!$F191,DEMANDS!$G$2:$CK$25,MATCH($E191,DEMANDS!$E$2:$E$25,0),FALSE)/HLOOKUP(2018,DEMANDS!$G$2:$CK$25,MATCH($E191,DEMANDS!$E$2:$E$25,0),FALSE)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X191" s="19">
        <f>HLOOKUP(REG_TRA_DEMANDS!X$3,'BY-Demands'!$J$5:$AK$14,MATCH($E191,'BY-Demands'!$I$5:$I$14,0),FALSE)*HLOOKUP(REG_TRA_DEMANDS!$F191,DEMANDS!$G$2:$CK$25,MATCH($E191,DEMANDS!$E$2:$E$25,0),FALSE)/HLOOKUP(2018,DEMANDS!$G$2:$CK$25,MATCH($E191,DEMANDS!$E$2:$E$25,0),FALSE)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Y191" s="19">
        <f>HLOOKUP(REG_TRA_DEMANDS!Y$3,'BY-Demands'!$J$5:$AK$14,MATCH($E191,'BY-Demands'!$I$5:$I$14,0),FALSE)*HLOOKUP(REG_TRA_DEMANDS!$F191,DEMANDS!$G$2:$CK$25,MATCH($E191,DEMANDS!$E$2:$E$25,0),FALSE)/HLOOKUP(2018,DEMANDS!$G$2:$CK$25,MATCH($E191,DEMANDS!$E$2:$E$25,0),FALSE)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Z191" s="19">
        <f>HLOOKUP(REG_TRA_DEMANDS!Z$3,'BY-Demands'!$J$5:$AK$14,MATCH($E191,'BY-Demands'!$I$5:$I$14,0),FALSE)*HLOOKUP(REG_TRA_DEMANDS!$F191,DEMANDS!$G$2:$CK$25,MATCH($E191,DEMANDS!$E$2:$E$25,0),FALSE)/HLOOKUP(2018,DEMANDS!$G$2:$CK$25,MATCH($E191,DEMANDS!$E$2:$E$25,0),FALSE)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A191" s="19">
        <f>HLOOKUP(REG_TRA_DEMANDS!AA$3,'BY-Demands'!$J$5:$AK$14,MATCH($E191,'BY-Demands'!$I$5:$I$14,0),FALSE)*HLOOKUP(REG_TRA_DEMANDS!$F191,DEMANDS!$G$2:$CK$25,MATCH($E191,DEMANDS!$E$2:$E$25,0),FALSE)/HLOOKUP(2018,DEMANDS!$G$2:$CK$25,MATCH($E191,DEMANDS!$E$2:$E$25,0),FALSE)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B191" s="19">
        <f>HLOOKUP(REG_TRA_DEMANDS!AB$3,'BY-Demands'!$J$5:$AK$14,MATCH($E191,'BY-Demands'!$I$5:$I$14,0),FALSE)*HLOOKUP(REG_TRA_DEMANDS!$F191,DEMANDS!$G$2:$CK$25,MATCH($E191,DEMANDS!$E$2:$E$25,0),FALSE)/HLOOKUP(2018,DEMANDS!$G$2:$CK$25,MATCH($E191,DEMANDS!$E$2:$E$25,0),FALSE)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C191" s="19">
        <f>HLOOKUP(REG_TRA_DEMANDS!AC$3,'BY-Demands'!$J$5:$AK$14,MATCH($E191,'BY-Demands'!$I$5:$I$14,0),FALSE)*HLOOKUP(REG_TRA_DEMANDS!$F191,DEMANDS!$G$2:$CK$25,MATCH($E191,DEMANDS!$E$2:$E$25,0),FALSE)/HLOOKUP(2018,DEMANDS!$G$2:$CK$25,MATCH($E191,DEMANDS!$E$2:$E$25,0),FALSE)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D191" s="19">
        <f>HLOOKUP(REG_TRA_DEMANDS!AD$3,'BY-Demands'!$J$5:$AK$14,MATCH($E191,'BY-Demands'!$I$5:$I$14,0),FALSE)*HLOOKUP(REG_TRA_DEMANDS!$F191,DEMANDS!$G$2:$CK$25,MATCH($E191,DEMANDS!$E$2:$E$25,0),FALSE)/HLOOKUP(2018,DEMANDS!$G$2:$CK$25,MATCH($E191,DEMANDS!$E$2:$E$25,0),FALSE)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E191" s="19">
        <f>HLOOKUP(REG_TRA_DEMANDS!AE$3,'BY-Demands'!$J$5:$AK$14,MATCH($E191,'BY-Demands'!$I$5:$I$14,0),FALSE)*HLOOKUP(REG_TRA_DEMANDS!$F191,DEMANDS!$G$2:$CK$25,MATCH($E191,DEMANDS!$E$2:$E$25,0),FALSE)/HLOOKUP(2018,DEMANDS!$G$2:$CK$25,MATCH($E191,DEMANDS!$E$2:$E$25,0),FALSE)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F191" s="19">
        <f>HLOOKUP(REG_TRA_DEMANDS!AF$3,'BY-Demands'!$J$5:$AK$14,MATCH($E191,'BY-Demands'!$I$5:$I$14,0),FALSE)*HLOOKUP(REG_TRA_DEMANDS!$F191,DEMANDS!$G$2:$CK$25,MATCH($E191,DEMANDS!$E$2:$E$25,0),FALSE)/HLOOKUP(2018,DEMANDS!$G$2:$CK$25,MATCH($E191,DEMANDS!$E$2:$E$25,0),FALSE)</f>
        <v>0</v>
      </c>
    </row>
    <row r="192" spans="4:32" ht="14.5">
      <c r="D192" t="s">
        <v>6</v>
      </c>
      <c r="E192" t="str">
        <f>DEMANDS!$E$23</f>
        <v>TOTH</v>
      </c>
      <c r="F192">
        <v>2070</v>
      </c>
      <c r="G192" s="18">
        <f>HLOOKUP(REG_TRA_DEMANDS!G$3,'BY-Demands'!$J$5:$AK$14,MATCH($E192,'BY-Demands'!$I$5:$I$14,0),FALSE)*HLOOKUP(REG_TRA_DEMANDS!$F192,DEMANDS!$G$2:$CK$25,MATCH($E192,DEMANDS!$E$2:$E$25,0),FALSE)/HLOOKUP(2018,DEMANDS!$G$2:$CK$25,MATCH($E192,DEMANDS!$E$2:$E$25,0),FALSE)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H192" s="18">
        <f>HLOOKUP(REG_TRA_DEMANDS!H$3,'BY-Demands'!$J$5:$AK$14,MATCH($E192,'BY-Demands'!$I$5:$I$14,0),FALSE)*HLOOKUP(REG_TRA_DEMANDS!$F192,DEMANDS!$G$2:$CK$25,MATCH($E192,DEMANDS!$E$2:$E$25,0),FALSE)/HLOOKUP(2018,DEMANDS!$G$2:$CK$25,MATCH($E192,DEMANDS!$E$2:$E$25,0),FALSE)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I192" s="18">
        <f>HLOOKUP(REG_TRA_DEMANDS!I$3,'BY-Demands'!$J$5:$AK$14,MATCH($E192,'BY-Demands'!$I$5:$I$14,0),FALSE)*HLOOKUP(REG_TRA_DEMANDS!$F192,DEMANDS!$G$2:$CK$25,MATCH($E192,DEMANDS!$E$2:$E$25,0),FALSE)/HLOOKUP(2018,DEMANDS!$G$2:$CK$25,MATCH($E192,DEMANDS!$E$2:$E$25,0),FALSE)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J192" s="18">
        <f>HLOOKUP(REG_TRA_DEMANDS!J$3,'BY-Demands'!$J$5:$AK$14,MATCH($E192,'BY-Demands'!$I$5:$I$14,0),FALSE)*HLOOKUP(REG_TRA_DEMANDS!$F192,DEMANDS!$G$2:$CK$25,MATCH($E192,DEMANDS!$E$2:$E$25,0),FALSE)/HLOOKUP(2018,DEMANDS!$G$2:$CK$25,MATCH($E192,DEMANDS!$E$2:$E$25,0),FALSE)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K192" s="18">
        <f>HLOOKUP(REG_TRA_DEMANDS!K$3,'BY-Demands'!$J$5:$AK$14,MATCH($E192,'BY-Demands'!$I$5:$I$14,0),FALSE)*HLOOKUP(REG_TRA_DEMANDS!$F192,DEMANDS!$G$2:$CK$25,MATCH($E192,DEMANDS!$E$2:$E$25,0),FALSE)/HLOOKUP(2018,DEMANDS!$G$2:$CK$25,MATCH($E192,DEMANDS!$E$2:$E$25,0),FALSE)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L192" s="18">
        <f>HLOOKUP(REG_TRA_DEMANDS!L$3,'BY-Demands'!$J$5:$AK$14,MATCH($E192,'BY-Demands'!$I$5:$I$14,0),FALSE)*HLOOKUP(REG_TRA_DEMANDS!$F192,DEMANDS!$G$2:$CK$25,MATCH($E192,DEMANDS!$E$2:$E$25,0),FALSE)/HLOOKUP(2018,DEMANDS!$G$2:$CK$25,MATCH($E192,DEMANDS!$E$2:$E$25,0),FALSE)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M192" s="18">
        <f>HLOOKUP(REG_TRA_DEMANDS!M$3,'BY-Demands'!$J$5:$AK$14,MATCH($E192,'BY-Demands'!$I$5:$I$14,0),FALSE)*HLOOKUP(REG_TRA_DEMANDS!$F192,DEMANDS!$G$2:$CK$25,MATCH($E192,DEMANDS!$E$2:$E$25,0),FALSE)/HLOOKUP(2018,DEMANDS!$G$2:$CK$25,MATCH($E192,DEMANDS!$E$2:$E$25,0),FALSE)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N192" s="18">
        <f>HLOOKUP(REG_TRA_DEMANDS!N$3,'BY-Demands'!$J$5:$AK$14,MATCH($E192,'BY-Demands'!$I$5:$I$14,0),FALSE)*HLOOKUP(REG_TRA_DEMANDS!$F192,DEMANDS!$G$2:$CK$25,MATCH($E192,DEMANDS!$E$2:$E$25,0),FALSE)/HLOOKUP(2018,DEMANDS!$G$2:$CK$25,MATCH($E192,DEMANDS!$E$2:$E$25,0),FALSE)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O192" s="18">
        <f>HLOOKUP(REG_TRA_DEMANDS!O$3,'BY-Demands'!$J$5:$AK$14,MATCH($E192,'BY-Demands'!$I$5:$I$14,0),FALSE)*HLOOKUP(REG_TRA_DEMANDS!$F192,DEMANDS!$G$2:$CK$25,MATCH($E192,DEMANDS!$E$2:$E$25,0),FALSE)/HLOOKUP(2018,DEMANDS!$G$2:$CK$25,MATCH($E192,DEMANDS!$E$2:$E$25,0),FALSE)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P192" s="18">
        <f>HLOOKUP(REG_TRA_DEMANDS!P$3,'BY-Demands'!$J$5:$AK$14,MATCH($E192,'BY-Demands'!$I$5:$I$14,0),FALSE)*HLOOKUP(REG_TRA_DEMANDS!$F192,DEMANDS!$G$2:$CK$25,MATCH($E192,DEMANDS!$E$2:$E$25,0),FALSE)/HLOOKUP(2018,DEMANDS!$G$2:$CK$25,MATCH($E192,DEMANDS!$E$2:$E$25,0),FALSE)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Q192" s="18">
        <f>HLOOKUP(REG_TRA_DEMANDS!Q$3,'BY-Demands'!$J$5:$AK$14,MATCH($E192,'BY-Demands'!$I$5:$I$14,0),FALSE)*HLOOKUP(REG_TRA_DEMANDS!$F192,DEMANDS!$G$2:$CK$25,MATCH($E192,DEMANDS!$E$2:$E$25,0),FALSE)/HLOOKUP(2018,DEMANDS!$G$2:$CK$25,MATCH($E192,DEMANDS!$E$2:$E$25,0),FALSE)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R192" s="18">
        <f>HLOOKUP(REG_TRA_DEMANDS!R$3,'BY-Demands'!$J$5:$AK$14,MATCH($E192,'BY-Demands'!$I$5:$I$14,0),FALSE)*HLOOKUP(REG_TRA_DEMANDS!$F192,DEMANDS!$G$2:$CK$25,MATCH($E192,DEMANDS!$E$2:$E$25,0),FALSE)/HLOOKUP(2018,DEMANDS!$G$2:$CK$25,MATCH($E192,DEMANDS!$E$2:$E$25,0),FALSE)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S192" s="18">
        <f>HLOOKUP(REG_TRA_DEMANDS!S$3,'BY-Demands'!$J$5:$AK$14,MATCH($E192,'BY-Demands'!$I$5:$I$14,0),FALSE)*HLOOKUP(REG_TRA_DEMANDS!$F192,DEMANDS!$G$2:$CK$25,MATCH($E192,DEMANDS!$E$2:$E$25,0),FALSE)/HLOOKUP(2018,DEMANDS!$G$2:$CK$25,MATCH($E192,DEMANDS!$E$2:$E$25,0),FALSE)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T192" s="18">
        <f>HLOOKUP(REG_TRA_DEMANDS!T$3,'BY-Demands'!$J$5:$AK$14,MATCH($E192,'BY-Demands'!$I$5:$I$14,0),FALSE)*HLOOKUP(REG_TRA_DEMANDS!$F192,DEMANDS!$G$2:$CK$25,MATCH($E192,DEMANDS!$E$2:$E$25,0),FALSE)/HLOOKUP(2018,DEMANDS!$G$2:$CK$25,MATCH($E192,DEMANDS!$E$2:$E$25,0),FALSE)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U192" s="18">
        <f>HLOOKUP(REG_TRA_DEMANDS!U$3,'BY-Demands'!$J$5:$AK$14,MATCH($E192,'BY-Demands'!$I$5:$I$14,0),FALSE)*HLOOKUP(REG_TRA_DEMANDS!$F192,DEMANDS!$G$2:$CK$25,MATCH($E192,DEMANDS!$E$2:$E$25,0),FALSE)/HLOOKUP(2018,DEMANDS!$G$2:$CK$25,MATCH($E192,DEMANDS!$E$2:$E$25,0),FALSE)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V192" s="18">
        <f>HLOOKUP(REG_TRA_DEMANDS!V$3,'BY-Demands'!$J$5:$AK$14,MATCH($E192,'BY-Demands'!$I$5:$I$14,0),FALSE)*HLOOKUP(REG_TRA_DEMANDS!$F192,DEMANDS!$G$2:$CK$25,MATCH($E192,DEMANDS!$E$2:$E$25,0),FALSE)/HLOOKUP(2018,DEMANDS!$G$2:$CK$25,MATCH($E192,DEMANDS!$E$2:$E$25,0),FALSE)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W192" s="18">
        <f>HLOOKUP(REG_TRA_DEMANDS!W$3,'BY-Demands'!$J$5:$AK$14,MATCH($E192,'BY-Demands'!$I$5:$I$14,0),FALSE)*HLOOKUP(REG_TRA_DEMANDS!$F192,DEMANDS!$G$2:$CK$25,MATCH($E192,DEMANDS!$E$2:$E$25,0),FALSE)/HLOOKUP(2018,DEMANDS!$G$2:$CK$25,MATCH($E192,DEMANDS!$E$2:$E$25,0),FALSE)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X192" s="18">
        <f>HLOOKUP(REG_TRA_DEMANDS!X$3,'BY-Demands'!$J$5:$AK$14,MATCH($E192,'BY-Demands'!$I$5:$I$14,0),FALSE)*HLOOKUP(REG_TRA_DEMANDS!$F192,DEMANDS!$G$2:$CK$25,MATCH($E192,DEMANDS!$E$2:$E$25,0),FALSE)/HLOOKUP(2018,DEMANDS!$G$2:$CK$25,MATCH($E192,DEMANDS!$E$2:$E$25,0),FALSE)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Y192" s="18">
        <f>HLOOKUP(REG_TRA_DEMANDS!Y$3,'BY-Demands'!$J$5:$AK$14,MATCH($E192,'BY-Demands'!$I$5:$I$14,0),FALSE)*HLOOKUP(REG_TRA_DEMANDS!$F192,DEMANDS!$G$2:$CK$25,MATCH($E192,DEMANDS!$E$2:$E$25,0),FALSE)/HLOOKUP(2018,DEMANDS!$G$2:$CK$25,MATCH($E192,DEMANDS!$E$2:$E$25,0),FALSE)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Z192" s="18">
        <f>HLOOKUP(REG_TRA_DEMANDS!Z$3,'BY-Demands'!$J$5:$AK$14,MATCH($E192,'BY-Demands'!$I$5:$I$14,0),FALSE)*HLOOKUP(REG_TRA_DEMANDS!$F192,DEMANDS!$G$2:$CK$25,MATCH($E192,DEMANDS!$E$2:$E$25,0),FALSE)/HLOOKUP(2018,DEMANDS!$G$2:$CK$25,MATCH($E192,DEMANDS!$E$2:$E$25,0),FALSE)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A192" s="18">
        <f>HLOOKUP(REG_TRA_DEMANDS!AA$3,'BY-Demands'!$J$5:$AK$14,MATCH($E192,'BY-Demands'!$I$5:$I$14,0),FALSE)*HLOOKUP(REG_TRA_DEMANDS!$F192,DEMANDS!$G$2:$CK$25,MATCH($E192,DEMANDS!$E$2:$E$25,0),FALSE)/HLOOKUP(2018,DEMANDS!$G$2:$CK$25,MATCH($E192,DEMANDS!$E$2:$E$25,0),FALSE)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B192" s="18">
        <f>HLOOKUP(REG_TRA_DEMANDS!AB$3,'BY-Demands'!$J$5:$AK$14,MATCH($E192,'BY-Demands'!$I$5:$I$14,0),FALSE)*HLOOKUP(REG_TRA_DEMANDS!$F192,DEMANDS!$G$2:$CK$25,MATCH($E192,DEMANDS!$E$2:$E$25,0),FALSE)/HLOOKUP(2018,DEMANDS!$G$2:$CK$25,MATCH($E192,DEMANDS!$E$2:$E$25,0),FALSE)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C192" s="18">
        <f>HLOOKUP(REG_TRA_DEMANDS!AC$3,'BY-Demands'!$J$5:$AK$14,MATCH($E192,'BY-Demands'!$I$5:$I$14,0),FALSE)*HLOOKUP(REG_TRA_DEMANDS!$F192,DEMANDS!$G$2:$CK$25,MATCH($E192,DEMANDS!$E$2:$E$25,0),FALSE)/HLOOKUP(2018,DEMANDS!$G$2:$CK$25,MATCH($E192,DEMANDS!$E$2:$E$25,0),FALSE)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D192" s="18">
        <f>HLOOKUP(REG_TRA_DEMANDS!AD$3,'BY-Demands'!$J$5:$AK$14,MATCH($E192,'BY-Demands'!$I$5:$I$14,0),FALSE)*HLOOKUP(REG_TRA_DEMANDS!$F192,DEMANDS!$G$2:$CK$25,MATCH($E192,DEMANDS!$E$2:$E$25,0),FALSE)/HLOOKUP(2018,DEMANDS!$G$2:$CK$25,MATCH($E192,DEMANDS!$E$2:$E$25,0),FALSE)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E192" s="18">
        <f>HLOOKUP(REG_TRA_DEMANDS!AE$3,'BY-Demands'!$J$5:$AK$14,MATCH($E192,'BY-Demands'!$I$5:$I$14,0),FALSE)*HLOOKUP(REG_TRA_DEMANDS!$F192,DEMANDS!$G$2:$CK$25,MATCH($E192,DEMANDS!$E$2:$E$25,0),FALSE)/HLOOKUP(2018,DEMANDS!$G$2:$CK$25,MATCH($E192,DEMANDS!$E$2:$E$25,0),FALSE)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F192" s="18">
        <f>HLOOKUP(REG_TRA_DEMANDS!AF$3,'BY-Demands'!$J$5:$AK$14,MATCH($E192,'BY-Demands'!$I$5:$I$14,0),FALSE)*HLOOKUP(REG_TRA_DEMANDS!$F192,DEMANDS!$G$2:$CK$25,MATCH($E192,DEMANDS!$E$2:$E$25,0),FALSE)/HLOOKUP(2018,DEMANDS!$G$2:$CK$25,MATCH($E192,DEMANDS!$E$2:$E$25,0),FALSE)</f>
        <v>0</v>
      </c>
    </row>
    <row r="193" spans="4:32" ht="14.5">
      <c r="D193" s="20" t="s">
        <v>6</v>
      </c>
      <c r="E193" s="20" t="str">
        <f>DEMANDS!$E$24</f>
        <v>TAVIDOM</v>
      </c>
      <c r="F193" s="20">
        <v>2020</v>
      </c>
      <c r="G193" s="20">
        <f>HLOOKUP(REG_TRA_DEMANDS!G$3,'BY-Demands'!$J$5:$AK$14,MATCH($E193,'BY-Demands'!$I$5:$I$14,0),FALSE)*HLOOKUP(REG_TRA_DEMANDS!$F193,DEMANDS!$G$2:$CK$25,MATCH($E193,DEMANDS!$E$2:$E$25,0),FALSE)/HLOOKUP(2018,DEMANDS!$G$2:$CK$25,MATCH($E193,DEMANDS!$E$2:$E$25,0),FALSE)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H193" s="21">
        <f>HLOOKUP(REG_TRA_DEMANDS!H$3,'BY-Demands'!$J$5:$AK$14,MATCH($E193,'BY-Demands'!$I$5:$I$14,0),FALSE)*HLOOKUP(REG_TRA_DEMANDS!$F193,DEMANDS!$G$2:$CK$25,MATCH($E193,DEMANDS!$E$2:$E$25,0),FALSE)/HLOOKUP(2018,DEMANDS!$G$2:$CK$25,MATCH($E193,DEMANDS!$E$2:$E$25,0),FALSE)</f>
        <v>0.064093592729048743</v>
      </c>
      <c r="I193" s="20">
        <f>HLOOKUP(REG_TRA_DEMANDS!I$3,'BY-Demands'!$J$5:$AK$14,MATCH($E193,'BY-Demands'!$I$5:$I$14,0),FALSE)*HLOOKUP(REG_TRA_DEMANDS!$F193,DEMANDS!$G$2:$CK$25,MATCH($E193,DEMANDS!$E$2:$E$25,0),FALSE)/HLOOKUP(2018,DEMANDS!$G$2:$CK$25,MATCH($E193,DEMANDS!$E$2:$E$25,0),FALSE)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J193" s="20">
        <f>HLOOKUP(REG_TRA_DEMANDS!J$3,'BY-Demands'!$J$5:$AK$14,MATCH($E193,'BY-Demands'!$I$5:$I$14,0),FALSE)*HLOOKUP(REG_TRA_DEMANDS!$F193,DEMANDS!$G$2:$CK$25,MATCH($E193,DEMANDS!$E$2:$E$25,0),FALSE)/HLOOKUP(2018,DEMANDS!$G$2:$CK$25,MATCH($E193,DEMANDS!$E$2:$E$25,0),FALSE)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K193" s="20">
        <f>HLOOKUP(REG_TRA_DEMANDS!K$3,'BY-Demands'!$J$5:$AK$14,MATCH($E193,'BY-Demands'!$I$5:$I$14,0),FALSE)*HLOOKUP(REG_TRA_DEMANDS!$F193,DEMANDS!$G$2:$CK$25,MATCH($E193,DEMANDS!$E$2:$E$25,0),FALSE)/HLOOKUP(2018,DEMANDS!$G$2:$CK$25,MATCH($E193,DEMANDS!$E$2:$E$25,0),FALSE)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L193" s="20">
        <f>HLOOKUP(REG_TRA_DEMANDS!L$3,'BY-Demands'!$J$5:$AK$14,MATCH($E193,'BY-Demands'!$I$5:$I$14,0),FALSE)*HLOOKUP(REG_TRA_DEMANDS!$F193,DEMANDS!$G$2:$CK$25,MATCH($E193,DEMANDS!$E$2:$E$25,0),FALSE)/HLOOKUP(2018,DEMANDS!$G$2:$CK$25,MATCH($E193,DEMANDS!$E$2:$E$25,0),FALSE)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M193" s="20">
        <f>HLOOKUP(REG_TRA_DEMANDS!M$3,'BY-Demands'!$J$5:$AK$14,MATCH($E193,'BY-Demands'!$I$5:$I$14,0),FALSE)*HLOOKUP(REG_TRA_DEMANDS!$F193,DEMANDS!$G$2:$CK$25,MATCH($E193,DEMANDS!$E$2:$E$25,0),FALSE)/HLOOKUP(2018,DEMANDS!$G$2:$CK$25,MATCH($E193,DEMANDS!$E$2:$E$25,0),FALSE)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N193" s="20">
        <f>HLOOKUP(REG_TRA_DEMANDS!N$3,'BY-Demands'!$J$5:$AK$14,MATCH($E193,'BY-Demands'!$I$5:$I$14,0),FALSE)*HLOOKUP(REG_TRA_DEMANDS!$F193,DEMANDS!$G$2:$CK$25,MATCH($E193,DEMANDS!$E$2:$E$25,0),FALSE)/HLOOKUP(2018,DEMANDS!$G$2:$CK$25,MATCH($E193,DEMANDS!$E$2:$E$25,0),FALSE)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O193" s="20">
        <f>HLOOKUP(REG_TRA_DEMANDS!O$3,'BY-Demands'!$J$5:$AK$14,MATCH($E193,'BY-Demands'!$I$5:$I$14,0),FALSE)*HLOOKUP(REG_TRA_DEMANDS!$F193,DEMANDS!$G$2:$CK$25,MATCH($E193,DEMANDS!$E$2:$E$25,0),FALSE)/HLOOKUP(2018,DEMANDS!$G$2:$CK$25,MATCH($E193,DEMANDS!$E$2:$E$25,0),FALSE)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P193" s="20">
        <f>HLOOKUP(REG_TRA_DEMANDS!P$3,'BY-Demands'!$J$5:$AK$14,MATCH($E193,'BY-Demands'!$I$5:$I$14,0),FALSE)*HLOOKUP(REG_TRA_DEMANDS!$F193,DEMANDS!$G$2:$CK$25,MATCH($E193,DEMANDS!$E$2:$E$25,0),FALSE)/HLOOKUP(2018,DEMANDS!$G$2:$CK$25,MATCH($E193,DEMANDS!$E$2:$E$25,0),FALSE)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Q193" s="20">
        <f>HLOOKUP(REG_TRA_DEMANDS!Q$3,'BY-Demands'!$J$5:$AK$14,MATCH($E193,'BY-Demands'!$I$5:$I$14,0),FALSE)*HLOOKUP(REG_TRA_DEMANDS!$F193,DEMANDS!$G$2:$CK$25,MATCH($E193,DEMANDS!$E$2:$E$25,0),FALSE)/HLOOKUP(2018,DEMANDS!$G$2:$CK$25,MATCH($E193,DEMANDS!$E$2:$E$25,0),FALSE)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R193" s="20">
        <f>HLOOKUP(REG_TRA_DEMANDS!R$3,'BY-Demands'!$J$5:$AK$14,MATCH($E193,'BY-Demands'!$I$5:$I$14,0),FALSE)*HLOOKUP(REG_TRA_DEMANDS!$F193,DEMANDS!$G$2:$CK$25,MATCH($E193,DEMANDS!$E$2:$E$25,0),FALSE)/HLOOKUP(2018,DEMANDS!$G$2:$CK$25,MATCH($E193,DEMANDS!$E$2:$E$25,0),FALSE)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S193" s="21">
        <f>HLOOKUP(REG_TRA_DEMANDS!S$3,'BY-Demands'!$J$5:$AK$14,MATCH($E193,'BY-Demands'!$I$5:$I$14,0),FALSE)*HLOOKUP(REG_TRA_DEMANDS!$F193,DEMANDS!$G$2:$CK$25,MATCH($E193,DEMANDS!$E$2:$E$25,0),FALSE)/HLOOKUP(2018,DEMANDS!$G$2:$CK$25,MATCH($E193,DEMANDS!$E$2:$E$25,0),FALSE)</f>
        <v>0.022382134926061514</v>
      </c>
      <c r="T193" s="21">
        <f>HLOOKUP(REG_TRA_DEMANDS!T$3,'BY-Demands'!$J$5:$AK$14,MATCH($E193,'BY-Demands'!$I$5:$I$14,0),FALSE)*HLOOKUP(REG_TRA_DEMANDS!$F193,DEMANDS!$G$2:$CK$25,MATCH($E193,DEMANDS!$E$2:$E$25,0),FALSE)/HLOOKUP(2018,DEMANDS!$G$2:$CK$25,MATCH($E193,DEMANDS!$E$2:$E$25,0),FALSE)</f>
        <v>0.00022177930432032186</v>
      </c>
      <c r="U193" s="21">
        <f>HLOOKUP(REG_TRA_DEMANDS!U$3,'BY-Demands'!$J$5:$AK$14,MATCH($E193,'BY-Demands'!$I$5:$I$14,0),FALSE)*HLOOKUP(REG_TRA_DEMANDS!$F193,DEMANDS!$G$2:$CK$25,MATCH($E193,DEMANDS!$E$2:$E$25,0),FALSE)/HLOOKUP(2018,DEMANDS!$G$2:$CK$25,MATCH($E193,DEMANDS!$E$2:$E$25,0),FALSE)</f>
        <v>0.022262535129606249</v>
      </c>
      <c r="V193" s="20">
        <f>HLOOKUP(REG_TRA_DEMANDS!V$3,'BY-Demands'!$J$5:$AK$14,MATCH($E193,'BY-Demands'!$I$5:$I$14,0),FALSE)*HLOOKUP(REG_TRA_DEMANDS!$F193,DEMANDS!$G$2:$CK$25,MATCH($E193,DEMANDS!$E$2:$E$25,0),FALSE)/HLOOKUP(2018,DEMANDS!$G$2:$CK$25,MATCH($E193,DEMANDS!$E$2:$E$25,0),FALSE)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W193" s="20">
        <f>HLOOKUP(REG_TRA_DEMANDS!W$3,'BY-Demands'!$J$5:$AK$14,MATCH($E193,'BY-Demands'!$I$5:$I$14,0),FALSE)*HLOOKUP(REG_TRA_DEMANDS!$F193,DEMANDS!$G$2:$CK$25,MATCH($E193,DEMANDS!$E$2:$E$25,0),FALSE)/HLOOKUP(2018,DEMANDS!$G$2:$CK$25,MATCH($E193,DEMANDS!$E$2:$E$25,0),FALSE)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X193" s="20">
        <f>HLOOKUP(REG_TRA_DEMANDS!X$3,'BY-Demands'!$J$5:$AK$14,MATCH($E193,'BY-Demands'!$I$5:$I$14,0),FALSE)*HLOOKUP(REG_TRA_DEMANDS!$F193,DEMANDS!$G$2:$CK$25,MATCH($E193,DEMANDS!$E$2:$E$25,0),FALSE)/HLOOKUP(2018,DEMANDS!$G$2:$CK$25,MATCH($E193,DEMANDS!$E$2:$E$25,0),FALSE)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Y193" s="20">
        <f>HLOOKUP(REG_TRA_DEMANDS!Y$3,'BY-Demands'!$J$5:$AK$14,MATCH($E193,'BY-Demands'!$I$5:$I$14,0),FALSE)*HLOOKUP(REG_TRA_DEMANDS!$F193,DEMANDS!$G$2:$CK$25,MATCH($E193,DEMANDS!$E$2:$E$25,0),FALSE)/HLOOKUP(2018,DEMANDS!$G$2:$CK$25,MATCH($E193,DEMANDS!$E$2:$E$25,0),FALSE)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Z193" s="20">
        <f>HLOOKUP(REG_TRA_DEMANDS!Z$3,'BY-Demands'!$J$5:$AK$14,MATCH($E193,'BY-Demands'!$I$5:$I$14,0),FALSE)*HLOOKUP(REG_TRA_DEMANDS!$F193,DEMANDS!$G$2:$CK$25,MATCH($E193,DEMANDS!$E$2:$E$25,0),FALSE)/HLOOKUP(2018,DEMANDS!$G$2:$CK$25,MATCH($E193,DEMANDS!$E$2:$E$25,0),FALSE)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A193" s="38">
        <f>HLOOKUP(REG_TRA_DEMANDS!AA$3,'BY-Demands'!$J$5:$AK$14,MATCH($E193,'BY-Demands'!$I$5:$I$14,0),FALSE)*HLOOKUP(REG_TRA_DEMANDS!$F193,DEMANDS!$G$2:$CK$25,MATCH($E193,DEMANDS!$E$2:$E$25,0),FALSE)/HLOOKUP(2018,DEMANDS!$G$2:$CK$25,MATCH($E193,DEMANDS!$E$2:$E$25,0),FALSE)</f>
        <v>4.4355860864064419E-05</v>
      </c>
      <c r="AB193" s="20">
        <f>HLOOKUP(REG_TRA_DEMANDS!AB$3,'BY-Demands'!$J$5:$AK$14,MATCH($E193,'BY-Demands'!$I$5:$I$14,0),FALSE)*HLOOKUP(REG_TRA_DEMANDS!$F193,DEMANDS!$G$2:$CK$25,MATCH($E193,DEMANDS!$E$2:$E$25,0),FALSE)/HLOOKUP(2018,DEMANDS!$G$2:$CK$25,MATCH($E193,DEMANDS!$E$2:$E$25,0),FALSE)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C193" s="20">
        <f>HLOOKUP(REG_TRA_DEMANDS!AC$3,'BY-Demands'!$J$5:$AK$14,MATCH($E193,'BY-Demands'!$I$5:$I$14,0),FALSE)*HLOOKUP(REG_TRA_DEMANDS!$F193,DEMANDS!$G$2:$CK$25,MATCH($E193,DEMANDS!$E$2:$E$25,0),FALSE)/HLOOKUP(2018,DEMANDS!$G$2:$CK$25,MATCH($E193,DEMANDS!$E$2:$E$25,0),FALSE)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D193" s="20">
        <f>HLOOKUP(REG_TRA_DEMANDS!AD$3,'BY-Demands'!$J$5:$AK$14,MATCH($E193,'BY-Demands'!$I$5:$I$14,0),FALSE)*HLOOKUP(REG_TRA_DEMANDS!$F193,DEMANDS!$G$2:$CK$25,MATCH($E193,DEMANDS!$E$2:$E$25,0),FALSE)/HLOOKUP(2018,DEMANDS!$G$2:$CK$25,MATCH($E193,DEMANDS!$E$2:$E$25,0),FALSE)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E193" s="20">
        <f>HLOOKUP(REG_TRA_DEMANDS!AE$3,'BY-Demands'!$J$5:$AK$14,MATCH($E193,'BY-Demands'!$I$5:$I$14,0),FALSE)*HLOOKUP(REG_TRA_DEMANDS!$F193,DEMANDS!$G$2:$CK$25,MATCH($E193,DEMANDS!$E$2:$E$25,0),FALSE)/HLOOKUP(2018,DEMANDS!$G$2:$CK$25,MATCH($E193,DEMANDS!$E$2:$E$25,0),FALSE)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F193" s="20">
        <f>HLOOKUP(REG_TRA_DEMANDS!AF$3,'BY-Demands'!$J$5:$AK$14,MATCH($E193,'BY-Demands'!$I$5:$I$14,0),FALSE)*HLOOKUP(REG_TRA_DEMANDS!$F193,DEMANDS!$G$2:$CK$25,MATCH($E193,DEMANDS!$E$2:$E$25,0),FALSE)/HLOOKUP(2018,DEMANDS!$G$2:$CK$25,MATCH($E193,DEMANDS!$E$2:$E$25,0),FALSE)</f>
        <v>0</v>
      </c>
    </row>
    <row r="194" spans="4:32" ht="14.5">
      <c r="D194" t="s">
        <v>6</v>
      </c>
      <c r="E194" t="str">
        <f>DEMANDS!$E$24</f>
        <v>TAVIDOM</v>
      </c>
      <c r="F194">
        <v>2021</v>
      </c>
      <c r="G194" s="36">
        <f>HLOOKUP(REG_TRA_DEMANDS!G$3,'BY-Demands'!$J$5:$AK$14,MATCH($E194,'BY-Demands'!$I$5:$I$14,0),FALSE)*HLOOKUP(REG_TRA_DEMANDS!$F194,DEMANDS!$G$2:$CK$25,MATCH($E194,DEMANDS!$E$2:$E$25,0),FALSE)/HLOOKUP(2018,DEMANDS!$G$2:$CK$25,MATCH($E194,DEMANDS!$E$2:$E$25,0),FALSE)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H194" s="19">
        <f>HLOOKUP(REG_TRA_DEMANDS!H$3,'BY-Demands'!$J$5:$AK$14,MATCH($E194,'BY-Demands'!$I$5:$I$14,0),FALSE)*HLOOKUP(REG_TRA_DEMANDS!$F194,DEMANDS!$G$2:$CK$25,MATCH($E194,DEMANDS!$E$2:$E$25,0),FALSE)/HLOOKUP(2018,DEMANDS!$G$2:$CK$25,MATCH($E194,DEMANDS!$E$2:$E$25,0),FALSE)</f>
        <v>0.069928010319333211</v>
      </c>
      <c r="I194" s="36">
        <f>HLOOKUP(REG_TRA_DEMANDS!I$3,'BY-Demands'!$J$5:$AK$14,MATCH($E194,'BY-Demands'!$I$5:$I$14,0),FALSE)*HLOOKUP(REG_TRA_DEMANDS!$F194,DEMANDS!$G$2:$CK$25,MATCH($E194,DEMANDS!$E$2:$E$25,0),FALSE)/HLOOKUP(2018,DEMANDS!$G$2:$CK$25,MATCH($E194,DEMANDS!$E$2:$E$25,0),FALSE)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J194" s="36">
        <f>HLOOKUP(REG_TRA_DEMANDS!J$3,'BY-Demands'!$J$5:$AK$14,MATCH($E194,'BY-Demands'!$I$5:$I$14,0),FALSE)*HLOOKUP(REG_TRA_DEMANDS!$F194,DEMANDS!$G$2:$CK$25,MATCH($E194,DEMANDS!$E$2:$E$25,0),FALSE)/HLOOKUP(2018,DEMANDS!$G$2:$CK$25,MATCH($E194,DEMANDS!$E$2:$E$25,0),FALSE)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K194" s="36">
        <f>HLOOKUP(REG_TRA_DEMANDS!K$3,'BY-Demands'!$J$5:$AK$14,MATCH($E194,'BY-Demands'!$I$5:$I$14,0),FALSE)*HLOOKUP(REG_TRA_DEMANDS!$F194,DEMANDS!$G$2:$CK$25,MATCH($E194,DEMANDS!$E$2:$E$25,0),FALSE)/HLOOKUP(2018,DEMANDS!$G$2:$CK$25,MATCH($E194,DEMANDS!$E$2:$E$25,0),FALSE)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L194" s="36">
        <f>HLOOKUP(REG_TRA_DEMANDS!L$3,'BY-Demands'!$J$5:$AK$14,MATCH($E194,'BY-Demands'!$I$5:$I$14,0),FALSE)*HLOOKUP(REG_TRA_DEMANDS!$F194,DEMANDS!$G$2:$CK$25,MATCH($E194,DEMANDS!$E$2:$E$25,0),FALSE)/HLOOKUP(2018,DEMANDS!$G$2:$CK$25,MATCH($E194,DEMANDS!$E$2:$E$25,0),FALSE)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M194" s="36">
        <f>HLOOKUP(REG_TRA_DEMANDS!M$3,'BY-Demands'!$J$5:$AK$14,MATCH($E194,'BY-Demands'!$I$5:$I$14,0),FALSE)*HLOOKUP(REG_TRA_DEMANDS!$F194,DEMANDS!$G$2:$CK$25,MATCH($E194,DEMANDS!$E$2:$E$25,0),FALSE)/HLOOKUP(2018,DEMANDS!$G$2:$CK$25,MATCH($E194,DEMANDS!$E$2:$E$25,0),FALSE)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N194" s="36">
        <f>HLOOKUP(REG_TRA_DEMANDS!N$3,'BY-Demands'!$J$5:$AK$14,MATCH($E194,'BY-Demands'!$I$5:$I$14,0),FALSE)*HLOOKUP(REG_TRA_DEMANDS!$F194,DEMANDS!$G$2:$CK$25,MATCH($E194,DEMANDS!$E$2:$E$25,0),FALSE)/HLOOKUP(2018,DEMANDS!$G$2:$CK$25,MATCH($E194,DEMANDS!$E$2:$E$25,0),FALSE)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O194" s="36">
        <f>HLOOKUP(REG_TRA_DEMANDS!O$3,'BY-Demands'!$J$5:$AK$14,MATCH($E194,'BY-Demands'!$I$5:$I$14,0),FALSE)*HLOOKUP(REG_TRA_DEMANDS!$F194,DEMANDS!$G$2:$CK$25,MATCH($E194,DEMANDS!$E$2:$E$25,0),FALSE)/HLOOKUP(2018,DEMANDS!$G$2:$CK$25,MATCH($E194,DEMANDS!$E$2:$E$25,0),FALSE)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P194" s="36">
        <f>HLOOKUP(REG_TRA_DEMANDS!P$3,'BY-Demands'!$J$5:$AK$14,MATCH($E194,'BY-Demands'!$I$5:$I$14,0),FALSE)*HLOOKUP(REG_TRA_DEMANDS!$F194,DEMANDS!$G$2:$CK$25,MATCH($E194,DEMANDS!$E$2:$E$25,0),FALSE)/HLOOKUP(2018,DEMANDS!$G$2:$CK$25,MATCH($E194,DEMANDS!$E$2:$E$25,0),FALSE)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Q194" s="36">
        <f>HLOOKUP(REG_TRA_DEMANDS!Q$3,'BY-Demands'!$J$5:$AK$14,MATCH($E194,'BY-Demands'!$I$5:$I$14,0),FALSE)*HLOOKUP(REG_TRA_DEMANDS!$F194,DEMANDS!$G$2:$CK$25,MATCH($E194,DEMANDS!$E$2:$E$25,0),FALSE)/HLOOKUP(2018,DEMANDS!$G$2:$CK$25,MATCH($E194,DEMANDS!$E$2:$E$25,0),FALSE)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R194" s="36">
        <f>HLOOKUP(REG_TRA_DEMANDS!R$3,'BY-Demands'!$J$5:$AK$14,MATCH($E194,'BY-Demands'!$I$5:$I$14,0),FALSE)*HLOOKUP(REG_TRA_DEMANDS!$F194,DEMANDS!$G$2:$CK$25,MATCH($E194,DEMANDS!$E$2:$E$25,0),FALSE)/HLOOKUP(2018,DEMANDS!$G$2:$CK$25,MATCH($E194,DEMANDS!$E$2:$E$25,0),FALSE)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S194" s="19">
        <f>HLOOKUP(REG_TRA_DEMANDS!S$3,'BY-Demands'!$J$5:$AK$14,MATCH($E194,'BY-Demands'!$I$5:$I$14,0),FALSE)*HLOOKUP(REG_TRA_DEMANDS!$F194,DEMANDS!$G$2:$CK$25,MATCH($E194,DEMANDS!$E$2:$E$25,0),FALSE)/HLOOKUP(2018,DEMANDS!$G$2:$CK$25,MATCH($E194,DEMANDS!$E$2:$E$25,0),FALSE)</f>
        <v>0.024419572931335776</v>
      </c>
      <c r="T194" s="19">
        <f>HLOOKUP(REG_TRA_DEMANDS!T$3,'BY-Demands'!$J$5:$AK$14,MATCH($E194,'BY-Demands'!$I$5:$I$14,0),FALSE)*HLOOKUP(REG_TRA_DEMANDS!$F194,DEMANDS!$G$2:$CK$25,MATCH($E194,DEMANDS!$E$2:$E$25,0),FALSE)/HLOOKUP(2018,DEMANDS!$G$2:$CK$25,MATCH($E194,DEMANDS!$E$2:$E$25,0),FALSE)</f>
        <v>0.00024196779772804261</v>
      </c>
      <c r="U194" s="19">
        <f>HLOOKUP(REG_TRA_DEMANDS!U$3,'BY-Demands'!$J$5:$AK$14,MATCH($E194,'BY-Demands'!$I$5:$I$14,0),FALSE)*HLOOKUP(REG_TRA_DEMANDS!$F194,DEMANDS!$G$2:$CK$25,MATCH($E194,DEMANDS!$E$2:$E$25,0),FALSE)/HLOOKUP(2018,DEMANDS!$G$2:$CK$25,MATCH($E194,DEMANDS!$E$2:$E$25,0),FALSE)</f>
        <v>0.024289086006752381</v>
      </c>
      <c r="V194" s="36">
        <f>HLOOKUP(REG_TRA_DEMANDS!V$3,'BY-Demands'!$J$5:$AK$14,MATCH($E194,'BY-Demands'!$I$5:$I$14,0),FALSE)*HLOOKUP(REG_TRA_DEMANDS!$F194,DEMANDS!$G$2:$CK$25,MATCH($E194,DEMANDS!$E$2:$E$25,0),FALSE)/HLOOKUP(2018,DEMANDS!$G$2:$CK$25,MATCH($E194,DEMANDS!$E$2:$E$25,0),FALSE)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W194" s="36">
        <f>HLOOKUP(REG_TRA_DEMANDS!W$3,'BY-Demands'!$J$5:$AK$14,MATCH($E194,'BY-Demands'!$I$5:$I$14,0),FALSE)*HLOOKUP(REG_TRA_DEMANDS!$F194,DEMANDS!$G$2:$CK$25,MATCH($E194,DEMANDS!$E$2:$E$25,0),FALSE)/HLOOKUP(2018,DEMANDS!$G$2:$CK$25,MATCH($E194,DEMANDS!$E$2:$E$25,0),FALSE)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X194" s="36">
        <f>HLOOKUP(REG_TRA_DEMANDS!X$3,'BY-Demands'!$J$5:$AK$14,MATCH($E194,'BY-Demands'!$I$5:$I$14,0),FALSE)*HLOOKUP(REG_TRA_DEMANDS!$F194,DEMANDS!$G$2:$CK$25,MATCH($E194,DEMANDS!$E$2:$E$25,0),FALSE)/HLOOKUP(2018,DEMANDS!$G$2:$CK$25,MATCH($E194,DEMANDS!$E$2:$E$25,0),FALSE)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Y194" s="36">
        <f>HLOOKUP(REG_TRA_DEMANDS!Y$3,'BY-Demands'!$J$5:$AK$14,MATCH($E194,'BY-Demands'!$I$5:$I$14,0),FALSE)*HLOOKUP(REG_TRA_DEMANDS!$F194,DEMANDS!$G$2:$CK$25,MATCH($E194,DEMANDS!$E$2:$E$25,0),FALSE)/HLOOKUP(2018,DEMANDS!$G$2:$CK$25,MATCH($E194,DEMANDS!$E$2:$E$25,0),FALSE)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Z194" s="36">
        <f>HLOOKUP(REG_TRA_DEMANDS!Z$3,'BY-Demands'!$J$5:$AK$14,MATCH($E194,'BY-Demands'!$I$5:$I$14,0),FALSE)*HLOOKUP(REG_TRA_DEMANDS!$F194,DEMANDS!$G$2:$CK$25,MATCH($E194,DEMANDS!$E$2:$E$25,0),FALSE)/HLOOKUP(2018,DEMANDS!$G$2:$CK$25,MATCH($E194,DEMANDS!$E$2:$E$25,0),FALSE)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A194" s="36">
        <f>HLOOKUP(REG_TRA_DEMANDS!AA$3,'BY-Demands'!$J$5:$AK$14,MATCH($E194,'BY-Demands'!$I$5:$I$14,0),FALSE)*HLOOKUP(REG_TRA_DEMANDS!$F194,DEMANDS!$G$2:$CK$25,MATCH($E194,DEMANDS!$E$2:$E$25,0),FALSE)/HLOOKUP(2018,DEMANDS!$G$2:$CK$25,MATCH($E194,DEMANDS!$E$2:$E$25,0),FALSE)</f>
        <v>4.839355954560858E-05</v>
      </c>
      <c r="AB194" s="36">
        <f>HLOOKUP(REG_TRA_DEMANDS!AB$3,'BY-Demands'!$J$5:$AK$14,MATCH($E194,'BY-Demands'!$I$5:$I$14,0),FALSE)*HLOOKUP(REG_TRA_DEMANDS!$F194,DEMANDS!$G$2:$CK$25,MATCH($E194,DEMANDS!$E$2:$E$25,0),FALSE)/HLOOKUP(2018,DEMANDS!$G$2:$CK$25,MATCH($E194,DEMANDS!$E$2:$E$25,0),FALSE)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C194" s="36">
        <f>HLOOKUP(REG_TRA_DEMANDS!AC$3,'BY-Demands'!$J$5:$AK$14,MATCH($E194,'BY-Demands'!$I$5:$I$14,0),FALSE)*HLOOKUP(REG_TRA_DEMANDS!$F194,DEMANDS!$G$2:$CK$25,MATCH($E194,DEMANDS!$E$2:$E$25,0),FALSE)/HLOOKUP(2018,DEMANDS!$G$2:$CK$25,MATCH($E194,DEMANDS!$E$2:$E$25,0),FALSE)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D194" s="36">
        <f>HLOOKUP(REG_TRA_DEMANDS!AD$3,'BY-Demands'!$J$5:$AK$14,MATCH($E194,'BY-Demands'!$I$5:$I$14,0),FALSE)*HLOOKUP(REG_TRA_DEMANDS!$F194,DEMANDS!$G$2:$CK$25,MATCH($E194,DEMANDS!$E$2:$E$25,0),FALSE)/HLOOKUP(2018,DEMANDS!$G$2:$CK$25,MATCH($E194,DEMANDS!$E$2:$E$25,0),FALSE)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E194" s="36">
        <f>HLOOKUP(REG_TRA_DEMANDS!AE$3,'BY-Demands'!$J$5:$AK$14,MATCH($E194,'BY-Demands'!$I$5:$I$14,0),FALSE)*HLOOKUP(REG_TRA_DEMANDS!$F194,DEMANDS!$G$2:$CK$25,MATCH($E194,DEMANDS!$E$2:$E$25,0),FALSE)/HLOOKUP(2018,DEMANDS!$G$2:$CK$25,MATCH($E194,DEMANDS!$E$2:$E$25,0),FALSE)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F194" s="36">
        <f>HLOOKUP(REG_TRA_DEMANDS!AF$3,'BY-Demands'!$J$5:$AK$14,MATCH($E194,'BY-Demands'!$I$5:$I$14,0),FALSE)*HLOOKUP(REG_TRA_DEMANDS!$F194,DEMANDS!$G$2:$CK$25,MATCH($E194,DEMANDS!$E$2:$E$25,0),FALSE)/HLOOKUP(2018,DEMANDS!$G$2:$CK$25,MATCH($E194,DEMANDS!$E$2:$E$25,0),FALSE)</f>
        <v>0</v>
      </c>
    </row>
    <row r="195" spans="4:32" ht="14.5">
      <c r="D195" t="s">
        <v>6</v>
      </c>
      <c r="E195" t="str">
        <f>DEMANDS!$E$24</f>
        <v>TAVIDOM</v>
      </c>
      <c r="F195">
        <v>2022</v>
      </c>
      <c r="G195" s="36">
        <f>HLOOKUP(REG_TRA_DEMANDS!G$3,'BY-Demands'!$J$5:$AK$14,MATCH($E195,'BY-Demands'!$I$5:$I$14,0),FALSE)*HLOOKUP(REG_TRA_DEMANDS!$F195,DEMANDS!$G$2:$CK$25,MATCH($E195,DEMANDS!$E$2:$E$25,0),FALSE)/HLOOKUP(2018,DEMANDS!$G$2:$CK$25,MATCH($E195,DEMANDS!$E$2:$E$25,0),FALSE)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H195" s="19">
        <f>HLOOKUP(REG_TRA_DEMANDS!H$3,'BY-Demands'!$J$5:$AK$14,MATCH($E195,'BY-Demands'!$I$5:$I$14,0),FALSE)*HLOOKUP(REG_TRA_DEMANDS!$F195,DEMANDS!$G$2:$CK$25,MATCH($E195,DEMANDS!$E$2:$E$25,0),FALSE)/HLOOKUP(2018,DEMANDS!$G$2:$CK$25,MATCH($E195,DEMANDS!$E$2:$E$25,0),FALSE)</f>
        <v>0.13395677260860595</v>
      </c>
      <c r="I195" s="36">
        <f>HLOOKUP(REG_TRA_DEMANDS!I$3,'BY-Demands'!$J$5:$AK$14,MATCH($E195,'BY-Demands'!$I$5:$I$14,0),FALSE)*HLOOKUP(REG_TRA_DEMANDS!$F195,DEMANDS!$G$2:$CK$25,MATCH($E195,DEMANDS!$E$2:$E$25,0),FALSE)/HLOOKUP(2018,DEMANDS!$G$2:$CK$25,MATCH($E195,DEMANDS!$E$2:$E$25,0),FALSE)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J195" s="36">
        <f>HLOOKUP(REG_TRA_DEMANDS!J$3,'BY-Demands'!$J$5:$AK$14,MATCH($E195,'BY-Demands'!$I$5:$I$14,0),FALSE)*HLOOKUP(REG_TRA_DEMANDS!$F195,DEMANDS!$G$2:$CK$25,MATCH($E195,DEMANDS!$E$2:$E$25,0),FALSE)/HLOOKUP(2018,DEMANDS!$G$2:$CK$25,MATCH($E195,DEMANDS!$E$2:$E$25,0),FALSE)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K195" s="36">
        <f>HLOOKUP(REG_TRA_DEMANDS!K$3,'BY-Demands'!$J$5:$AK$14,MATCH($E195,'BY-Demands'!$I$5:$I$14,0),FALSE)*HLOOKUP(REG_TRA_DEMANDS!$F195,DEMANDS!$G$2:$CK$25,MATCH($E195,DEMANDS!$E$2:$E$25,0),FALSE)/HLOOKUP(2018,DEMANDS!$G$2:$CK$25,MATCH($E195,DEMANDS!$E$2:$E$25,0),FALSE)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L195" s="36">
        <f>HLOOKUP(REG_TRA_DEMANDS!L$3,'BY-Demands'!$J$5:$AK$14,MATCH($E195,'BY-Demands'!$I$5:$I$14,0),FALSE)*HLOOKUP(REG_TRA_DEMANDS!$F195,DEMANDS!$G$2:$CK$25,MATCH($E195,DEMANDS!$E$2:$E$25,0),FALSE)/HLOOKUP(2018,DEMANDS!$G$2:$CK$25,MATCH($E195,DEMANDS!$E$2:$E$25,0),FALSE)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M195" s="36">
        <f>HLOOKUP(REG_TRA_DEMANDS!M$3,'BY-Demands'!$J$5:$AK$14,MATCH($E195,'BY-Demands'!$I$5:$I$14,0),FALSE)*HLOOKUP(REG_TRA_DEMANDS!$F195,DEMANDS!$G$2:$CK$25,MATCH($E195,DEMANDS!$E$2:$E$25,0),FALSE)/HLOOKUP(2018,DEMANDS!$G$2:$CK$25,MATCH($E195,DEMANDS!$E$2:$E$25,0),FALSE)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N195" s="36">
        <f>HLOOKUP(REG_TRA_DEMANDS!N$3,'BY-Demands'!$J$5:$AK$14,MATCH($E195,'BY-Demands'!$I$5:$I$14,0),FALSE)*HLOOKUP(REG_TRA_DEMANDS!$F195,DEMANDS!$G$2:$CK$25,MATCH($E195,DEMANDS!$E$2:$E$25,0),FALSE)/HLOOKUP(2018,DEMANDS!$G$2:$CK$25,MATCH($E195,DEMANDS!$E$2:$E$25,0),FALSE)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O195" s="36">
        <f>HLOOKUP(REG_TRA_DEMANDS!O$3,'BY-Demands'!$J$5:$AK$14,MATCH($E195,'BY-Demands'!$I$5:$I$14,0),FALSE)*HLOOKUP(REG_TRA_DEMANDS!$F195,DEMANDS!$G$2:$CK$25,MATCH($E195,DEMANDS!$E$2:$E$25,0),FALSE)/HLOOKUP(2018,DEMANDS!$G$2:$CK$25,MATCH($E195,DEMANDS!$E$2:$E$25,0),FALSE)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P195" s="36">
        <f>HLOOKUP(REG_TRA_DEMANDS!P$3,'BY-Demands'!$J$5:$AK$14,MATCH($E195,'BY-Demands'!$I$5:$I$14,0),FALSE)*HLOOKUP(REG_TRA_DEMANDS!$F195,DEMANDS!$G$2:$CK$25,MATCH($E195,DEMANDS!$E$2:$E$25,0),FALSE)/HLOOKUP(2018,DEMANDS!$G$2:$CK$25,MATCH($E195,DEMANDS!$E$2:$E$25,0),FALSE)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Q195" s="36">
        <f>HLOOKUP(REG_TRA_DEMANDS!Q$3,'BY-Demands'!$J$5:$AK$14,MATCH($E195,'BY-Demands'!$I$5:$I$14,0),FALSE)*HLOOKUP(REG_TRA_DEMANDS!$F195,DEMANDS!$G$2:$CK$25,MATCH($E195,DEMANDS!$E$2:$E$25,0),FALSE)/HLOOKUP(2018,DEMANDS!$G$2:$CK$25,MATCH($E195,DEMANDS!$E$2:$E$25,0),FALSE)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R195" s="36">
        <f>HLOOKUP(REG_TRA_DEMANDS!R$3,'BY-Demands'!$J$5:$AK$14,MATCH($E195,'BY-Demands'!$I$5:$I$14,0),FALSE)*HLOOKUP(REG_TRA_DEMANDS!$F195,DEMANDS!$G$2:$CK$25,MATCH($E195,DEMANDS!$E$2:$E$25,0),FALSE)/HLOOKUP(2018,DEMANDS!$G$2:$CK$25,MATCH($E195,DEMANDS!$E$2:$E$25,0),FALSE)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S195" s="19">
        <f>HLOOKUP(REG_TRA_DEMANDS!S$3,'BY-Demands'!$J$5:$AK$14,MATCH($E195,'BY-Demands'!$I$5:$I$14,0),FALSE)*HLOOKUP(REG_TRA_DEMANDS!$F195,DEMANDS!$G$2:$CK$25,MATCH($E195,DEMANDS!$E$2:$E$25,0),FALSE)/HLOOKUP(2018,DEMANDS!$G$2:$CK$25,MATCH($E195,DEMANDS!$E$2:$E$25,0),FALSE)</f>
        <v>0.046779068407982807</v>
      </c>
      <c r="T195" s="19">
        <f>HLOOKUP(REG_TRA_DEMANDS!T$3,'BY-Demands'!$J$5:$AK$14,MATCH($E195,'BY-Demands'!$I$5:$I$14,0),FALSE)*HLOOKUP(REG_TRA_DEMANDS!$F195,DEMANDS!$G$2:$CK$25,MATCH($E195,DEMANDS!$E$2:$E$25,0),FALSE)/HLOOKUP(2018,DEMANDS!$G$2:$CK$25,MATCH($E195,DEMANDS!$E$2:$E$25,0),FALSE)</f>
        <v>0.00046352277307537207</v>
      </c>
      <c r="U195" s="19">
        <f>HLOOKUP(REG_TRA_DEMANDS!U$3,'BY-Demands'!$J$5:$AK$14,MATCH($E195,'BY-Demands'!$I$5:$I$14,0),FALSE)*HLOOKUP(REG_TRA_DEMANDS!$F195,DEMANDS!$G$2:$CK$25,MATCH($E195,DEMANDS!$E$2:$E$25,0),FALSE)/HLOOKUP(2018,DEMANDS!$G$2:$CK$25,MATCH($E195,DEMANDS!$E$2:$E$25,0),FALSE)</f>
        <v>0.046529102661710439</v>
      </c>
      <c r="V195" s="36">
        <f>HLOOKUP(REG_TRA_DEMANDS!V$3,'BY-Demands'!$J$5:$AK$14,MATCH($E195,'BY-Demands'!$I$5:$I$14,0),FALSE)*HLOOKUP(REG_TRA_DEMANDS!$F195,DEMANDS!$G$2:$CK$25,MATCH($E195,DEMANDS!$E$2:$E$25,0),FALSE)/HLOOKUP(2018,DEMANDS!$G$2:$CK$25,MATCH($E195,DEMANDS!$E$2:$E$25,0),FALSE)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W195" s="36">
        <f>HLOOKUP(REG_TRA_DEMANDS!W$3,'BY-Demands'!$J$5:$AK$14,MATCH($E195,'BY-Demands'!$I$5:$I$14,0),FALSE)*HLOOKUP(REG_TRA_DEMANDS!$F195,DEMANDS!$G$2:$CK$25,MATCH($E195,DEMANDS!$E$2:$E$25,0),FALSE)/HLOOKUP(2018,DEMANDS!$G$2:$CK$25,MATCH($E195,DEMANDS!$E$2:$E$25,0),FALSE)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X195" s="36">
        <f>HLOOKUP(REG_TRA_DEMANDS!X$3,'BY-Demands'!$J$5:$AK$14,MATCH($E195,'BY-Demands'!$I$5:$I$14,0),FALSE)*HLOOKUP(REG_TRA_DEMANDS!$F195,DEMANDS!$G$2:$CK$25,MATCH($E195,DEMANDS!$E$2:$E$25,0),FALSE)/HLOOKUP(2018,DEMANDS!$G$2:$CK$25,MATCH($E195,DEMANDS!$E$2:$E$25,0),FALSE)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Y195" s="36">
        <f>HLOOKUP(REG_TRA_DEMANDS!Y$3,'BY-Demands'!$J$5:$AK$14,MATCH($E195,'BY-Demands'!$I$5:$I$14,0),FALSE)*HLOOKUP(REG_TRA_DEMANDS!$F195,DEMANDS!$G$2:$CK$25,MATCH($E195,DEMANDS!$E$2:$E$25,0),FALSE)/HLOOKUP(2018,DEMANDS!$G$2:$CK$25,MATCH($E195,DEMANDS!$E$2:$E$25,0),FALSE)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Z195" s="36">
        <f>HLOOKUP(REG_TRA_DEMANDS!Z$3,'BY-Demands'!$J$5:$AK$14,MATCH($E195,'BY-Demands'!$I$5:$I$14,0),FALSE)*HLOOKUP(REG_TRA_DEMANDS!$F195,DEMANDS!$G$2:$CK$25,MATCH($E195,DEMANDS!$E$2:$E$25,0),FALSE)/HLOOKUP(2018,DEMANDS!$G$2:$CK$25,MATCH($E195,DEMANDS!$E$2:$E$25,0),FALSE)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A195" s="36">
        <f>HLOOKUP(REG_TRA_DEMANDS!AA$3,'BY-Demands'!$J$5:$AK$14,MATCH($E195,'BY-Demands'!$I$5:$I$14,0),FALSE)*HLOOKUP(REG_TRA_DEMANDS!$F195,DEMANDS!$G$2:$CK$25,MATCH($E195,DEMANDS!$E$2:$E$25,0),FALSE)/HLOOKUP(2018,DEMANDS!$G$2:$CK$25,MATCH($E195,DEMANDS!$E$2:$E$25,0),FALSE)</f>
        <v>9.2704554615074527E-05</v>
      </c>
      <c r="AB195" s="36">
        <f>HLOOKUP(REG_TRA_DEMANDS!AB$3,'BY-Demands'!$J$5:$AK$14,MATCH($E195,'BY-Demands'!$I$5:$I$14,0),FALSE)*HLOOKUP(REG_TRA_DEMANDS!$F195,DEMANDS!$G$2:$CK$25,MATCH($E195,DEMANDS!$E$2:$E$25,0),FALSE)/HLOOKUP(2018,DEMANDS!$G$2:$CK$25,MATCH($E195,DEMANDS!$E$2:$E$25,0),FALSE)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C195" s="36">
        <f>HLOOKUP(REG_TRA_DEMANDS!AC$3,'BY-Demands'!$J$5:$AK$14,MATCH($E195,'BY-Demands'!$I$5:$I$14,0),FALSE)*HLOOKUP(REG_TRA_DEMANDS!$F195,DEMANDS!$G$2:$CK$25,MATCH($E195,DEMANDS!$E$2:$E$25,0),FALSE)/HLOOKUP(2018,DEMANDS!$G$2:$CK$25,MATCH($E195,DEMANDS!$E$2:$E$25,0),FALSE)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D195" s="36">
        <f>HLOOKUP(REG_TRA_DEMANDS!AD$3,'BY-Demands'!$J$5:$AK$14,MATCH($E195,'BY-Demands'!$I$5:$I$14,0),FALSE)*HLOOKUP(REG_TRA_DEMANDS!$F195,DEMANDS!$G$2:$CK$25,MATCH($E195,DEMANDS!$E$2:$E$25,0),FALSE)/HLOOKUP(2018,DEMANDS!$G$2:$CK$25,MATCH($E195,DEMANDS!$E$2:$E$25,0),FALSE)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E195" s="36">
        <f>HLOOKUP(REG_TRA_DEMANDS!AE$3,'BY-Demands'!$J$5:$AK$14,MATCH($E195,'BY-Demands'!$I$5:$I$14,0),FALSE)*HLOOKUP(REG_TRA_DEMANDS!$F195,DEMANDS!$G$2:$CK$25,MATCH($E195,DEMANDS!$E$2:$E$25,0),FALSE)/HLOOKUP(2018,DEMANDS!$G$2:$CK$25,MATCH($E195,DEMANDS!$E$2:$E$25,0),FALSE)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F195" s="36">
        <f>HLOOKUP(REG_TRA_DEMANDS!AF$3,'BY-Demands'!$J$5:$AK$14,MATCH($E195,'BY-Demands'!$I$5:$I$14,0),FALSE)*HLOOKUP(REG_TRA_DEMANDS!$F195,DEMANDS!$G$2:$CK$25,MATCH($E195,DEMANDS!$E$2:$E$25,0),FALSE)/HLOOKUP(2018,DEMANDS!$G$2:$CK$25,MATCH($E195,DEMANDS!$E$2:$E$25,0),FALSE)</f>
        <v>0</v>
      </c>
    </row>
    <row r="196" spans="4:32" ht="14.5">
      <c r="D196" t="s">
        <v>6</v>
      </c>
      <c r="E196" t="str">
        <f>DEMANDS!$E$24</f>
        <v>TAVIDOM</v>
      </c>
      <c r="F196">
        <v>2023</v>
      </c>
      <c r="G196" s="36">
        <f>HLOOKUP(REG_TRA_DEMANDS!G$3,'BY-Demands'!$J$5:$AK$14,MATCH($E196,'BY-Demands'!$I$5:$I$14,0),FALSE)*HLOOKUP(REG_TRA_DEMANDS!$F196,DEMANDS!$G$2:$CK$25,MATCH($E196,DEMANDS!$E$2:$E$25,0),FALSE)/HLOOKUP(2018,DEMANDS!$G$2:$CK$25,MATCH($E196,DEMANDS!$E$2:$E$25,0),FALSE)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H196" s="19">
        <f>HLOOKUP(REG_TRA_DEMANDS!H$3,'BY-Demands'!$J$5:$AK$14,MATCH($E196,'BY-Demands'!$I$5:$I$14,0),FALSE)*HLOOKUP(REG_TRA_DEMANDS!$F196,DEMANDS!$G$2:$CK$25,MATCH($E196,DEMANDS!$E$2:$E$25,0),FALSE)/HLOOKUP(2018,DEMANDS!$G$2:$CK$25,MATCH($E196,DEMANDS!$E$2:$E$25,0),FALSE)</f>
        <v>0.13395677260860595</v>
      </c>
      <c r="I196" s="36">
        <f>HLOOKUP(REG_TRA_DEMANDS!I$3,'BY-Demands'!$J$5:$AK$14,MATCH($E196,'BY-Demands'!$I$5:$I$14,0),FALSE)*HLOOKUP(REG_TRA_DEMANDS!$F196,DEMANDS!$G$2:$CK$25,MATCH($E196,DEMANDS!$E$2:$E$25,0),FALSE)/HLOOKUP(2018,DEMANDS!$G$2:$CK$25,MATCH($E196,DEMANDS!$E$2:$E$25,0),FALSE)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J196" s="36">
        <f>HLOOKUP(REG_TRA_DEMANDS!J$3,'BY-Demands'!$J$5:$AK$14,MATCH($E196,'BY-Demands'!$I$5:$I$14,0),FALSE)*HLOOKUP(REG_TRA_DEMANDS!$F196,DEMANDS!$G$2:$CK$25,MATCH($E196,DEMANDS!$E$2:$E$25,0),FALSE)/HLOOKUP(2018,DEMANDS!$G$2:$CK$25,MATCH($E196,DEMANDS!$E$2:$E$25,0),FALSE)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K196" s="36">
        <f>HLOOKUP(REG_TRA_DEMANDS!K$3,'BY-Demands'!$J$5:$AK$14,MATCH($E196,'BY-Demands'!$I$5:$I$14,0),FALSE)*HLOOKUP(REG_TRA_DEMANDS!$F196,DEMANDS!$G$2:$CK$25,MATCH($E196,DEMANDS!$E$2:$E$25,0),FALSE)/HLOOKUP(2018,DEMANDS!$G$2:$CK$25,MATCH($E196,DEMANDS!$E$2:$E$25,0),FALSE)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L196" s="36">
        <f>HLOOKUP(REG_TRA_DEMANDS!L$3,'BY-Demands'!$J$5:$AK$14,MATCH($E196,'BY-Demands'!$I$5:$I$14,0),FALSE)*HLOOKUP(REG_TRA_DEMANDS!$F196,DEMANDS!$G$2:$CK$25,MATCH($E196,DEMANDS!$E$2:$E$25,0),FALSE)/HLOOKUP(2018,DEMANDS!$G$2:$CK$25,MATCH($E196,DEMANDS!$E$2:$E$25,0),FALSE)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M196" s="36">
        <f>HLOOKUP(REG_TRA_DEMANDS!M$3,'BY-Demands'!$J$5:$AK$14,MATCH($E196,'BY-Demands'!$I$5:$I$14,0),FALSE)*HLOOKUP(REG_TRA_DEMANDS!$F196,DEMANDS!$G$2:$CK$25,MATCH($E196,DEMANDS!$E$2:$E$25,0),FALSE)/HLOOKUP(2018,DEMANDS!$G$2:$CK$25,MATCH($E196,DEMANDS!$E$2:$E$25,0),FALSE)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N196" s="36">
        <f>HLOOKUP(REG_TRA_DEMANDS!N$3,'BY-Demands'!$J$5:$AK$14,MATCH($E196,'BY-Demands'!$I$5:$I$14,0),FALSE)*HLOOKUP(REG_TRA_DEMANDS!$F196,DEMANDS!$G$2:$CK$25,MATCH($E196,DEMANDS!$E$2:$E$25,0),FALSE)/HLOOKUP(2018,DEMANDS!$G$2:$CK$25,MATCH($E196,DEMANDS!$E$2:$E$25,0),FALSE)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O196" s="36">
        <f>HLOOKUP(REG_TRA_DEMANDS!O$3,'BY-Demands'!$J$5:$AK$14,MATCH($E196,'BY-Demands'!$I$5:$I$14,0),FALSE)*HLOOKUP(REG_TRA_DEMANDS!$F196,DEMANDS!$G$2:$CK$25,MATCH($E196,DEMANDS!$E$2:$E$25,0),FALSE)/HLOOKUP(2018,DEMANDS!$G$2:$CK$25,MATCH($E196,DEMANDS!$E$2:$E$25,0),FALSE)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P196" s="36">
        <f>HLOOKUP(REG_TRA_DEMANDS!P$3,'BY-Demands'!$J$5:$AK$14,MATCH($E196,'BY-Demands'!$I$5:$I$14,0),FALSE)*HLOOKUP(REG_TRA_DEMANDS!$F196,DEMANDS!$G$2:$CK$25,MATCH($E196,DEMANDS!$E$2:$E$25,0),FALSE)/HLOOKUP(2018,DEMANDS!$G$2:$CK$25,MATCH($E196,DEMANDS!$E$2:$E$25,0),FALSE)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Q196" s="36">
        <f>HLOOKUP(REG_TRA_DEMANDS!Q$3,'BY-Demands'!$J$5:$AK$14,MATCH($E196,'BY-Demands'!$I$5:$I$14,0),FALSE)*HLOOKUP(REG_TRA_DEMANDS!$F196,DEMANDS!$G$2:$CK$25,MATCH($E196,DEMANDS!$E$2:$E$25,0),FALSE)/HLOOKUP(2018,DEMANDS!$G$2:$CK$25,MATCH($E196,DEMANDS!$E$2:$E$25,0),FALSE)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R196" s="36">
        <f>HLOOKUP(REG_TRA_DEMANDS!R$3,'BY-Demands'!$J$5:$AK$14,MATCH($E196,'BY-Demands'!$I$5:$I$14,0),FALSE)*HLOOKUP(REG_TRA_DEMANDS!$F196,DEMANDS!$G$2:$CK$25,MATCH($E196,DEMANDS!$E$2:$E$25,0),FALSE)/HLOOKUP(2018,DEMANDS!$G$2:$CK$25,MATCH($E196,DEMANDS!$E$2:$E$25,0),FALSE)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S196" s="19">
        <f>HLOOKUP(REG_TRA_DEMANDS!S$3,'BY-Demands'!$J$5:$AK$14,MATCH($E196,'BY-Demands'!$I$5:$I$14,0),FALSE)*HLOOKUP(REG_TRA_DEMANDS!$F196,DEMANDS!$G$2:$CK$25,MATCH($E196,DEMANDS!$E$2:$E$25,0),FALSE)/HLOOKUP(2018,DEMANDS!$G$2:$CK$25,MATCH($E196,DEMANDS!$E$2:$E$25,0),FALSE)</f>
        <v>0.046779068407982807</v>
      </c>
      <c r="T196" s="19">
        <f>HLOOKUP(REG_TRA_DEMANDS!T$3,'BY-Demands'!$J$5:$AK$14,MATCH($E196,'BY-Demands'!$I$5:$I$14,0),FALSE)*HLOOKUP(REG_TRA_DEMANDS!$F196,DEMANDS!$G$2:$CK$25,MATCH($E196,DEMANDS!$E$2:$E$25,0),FALSE)/HLOOKUP(2018,DEMANDS!$G$2:$CK$25,MATCH($E196,DEMANDS!$E$2:$E$25,0),FALSE)</f>
        <v>0.00046352277307537207</v>
      </c>
      <c r="U196" s="19">
        <f>HLOOKUP(REG_TRA_DEMANDS!U$3,'BY-Demands'!$J$5:$AK$14,MATCH($E196,'BY-Demands'!$I$5:$I$14,0),FALSE)*HLOOKUP(REG_TRA_DEMANDS!$F196,DEMANDS!$G$2:$CK$25,MATCH($E196,DEMANDS!$E$2:$E$25,0),FALSE)/HLOOKUP(2018,DEMANDS!$G$2:$CK$25,MATCH($E196,DEMANDS!$E$2:$E$25,0),FALSE)</f>
        <v>0.046529102661710439</v>
      </c>
      <c r="V196" s="36">
        <f>HLOOKUP(REG_TRA_DEMANDS!V$3,'BY-Demands'!$J$5:$AK$14,MATCH($E196,'BY-Demands'!$I$5:$I$14,0),FALSE)*HLOOKUP(REG_TRA_DEMANDS!$F196,DEMANDS!$G$2:$CK$25,MATCH($E196,DEMANDS!$E$2:$E$25,0),FALSE)/HLOOKUP(2018,DEMANDS!$G$2:$CK$25,MATCH($E196,DEMANDS!$E$2:$E$25,0),FALSE)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W196" s="36">
        <f>HLOOKUP(REG_TRA_DEMANDS!W$3,'BY-Demands'!$J$5:$AK$14,MATCH($E196,'BY-Demands'!$I$5:$I$14,0),FALSE)*HLOOKUP(REG_TRA_DEMANDS!$F196,DEMANDS!$G$2:$CK$25,MATCH($E196,DEMANDS!$E$2:$E$25,0),FALSE)/HLOOKUP(2018,DEMANDS!$G$2:$CK$25,MATCH($E196,DEMANDS!$E$2:$E$25,0),FALSE)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X196" s="36">
        <f>HLOOKUP(REG_TRA_DEMANDS!X$3,'BY-Demands'!$J$5:$AK$14,MATCH($E196,'BY-Demands'!$I$5:$I$14,0),FALSE)*HLOOKUP(REG_TRA_DEMANDS!$F196,DEMANDS!$G$2:$CK$25,MATCH($E196,DEMANDS!$E$2:$E$25,0),FALSE)/HLOOKUP(2018,DEMANDS!$G$2:$CK$25,MATCH($E196,DEMANDS!$E$2:$E$25,0),FALSE)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Y196" s="36">
        <f>HLOOKUP(REG_TRA_DEMANDS!Y$3,'BY-Demands'!$J$5:$AK$14,MATCH($E196,'BY-Demands'!$I$5:$I$14,0),FALSE)*HLOOKUP(REG_TRA_DEMANDS!$F196,DEMANDS!$G$2:$CK$25,MATCH($E196,DEMANDS!$E$2:$E$25,0),FALSE)/HLOOKUP(2018,DEMANDS!$G$2:$CK$25,MATCH($E196,DEMANDS!$E$2:$E$25,0),FALSE)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Z196" s="36">
        <f>HLOOKUP(REG_TRA_DEMANDS!Z$3,'BY-Demands'!$J$5:$AK$14,MATCH($E196,'BY-Demands'!$I$5:$I$14,0),FALSE)*HLOOKUP(REG_TRA_DEMANDS!$F196,DEMANDS!$G$2:$CK$25,MATCH($E196,DEMANDS!$E$2:$E$25,0),FALSE)/HLOOKUP(2018,DEMANDS!$G$2:$CK$25,MATCH($E196,DEMANDS!$E$2:$E$25,0),FALSE)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A196" s="36">
        <f>HLOOKUP(REG_TRA_DEMANDS!AA$3,'BY-Demands'!$J$5:$AK$14,MATCH($E196,'BY-Demands'!$I$5:$I$14,0),FALSE)*HLOOKUP(REG_TRA_DEMANDS!$F196,DEMANDS!$G$2:$CK$25,MATCH($E196,DEMANDS!$E$2:$E$25,0),FALSE)/HLOOKUP(2018,DEMANDS!$G$2:$CK$25,MATCH($E196,DEMANDS!$E$2:$E$25,0),FALSE)</f>
        <v>9.2704554615074527E-05</v>
      </c>
      <c r="AB196" s="36">
        <f>HLOOKUP(REG_TRA_DEMANDS!AB$3,'BY-Demands'!$J$5:$AK$14,MATCH($E196,'BY-Demands'!$I$5:$I$14,0),FALSE)*HLOOKUP(REG_TRA_DEMANDS!$F196,DEMANDS!$G$2:$CK$25,MATCH($E196,DEMANDS!$E$2:$E$25,0),FALSE)/HLOOKUP(2018,DEMANDS!$G$2:$CK$25,MATCH($E196,DEMANDS!$E$2:$E$25,0),FALSE)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C196" s="36">
        <f>HLOOKUP(REG_TRA_DEMANDS!AC$3,'BY-Demands'!$J$5:$AK$14,MATCH($E196,'BY-Demands'!$I$5:$I$14,0),FALSE)*HLOOKUP(REG_TRA_DEMANDS!$F196,DEMANDS!$G$2:$CK$25,MATCH($E196,DEMANDS!$E$2:$E$25,0),FALSE)/HLOOKUP(2018,DEMANDS!$G$2:$CK$25,MATCH($E196,DEMANDS!$E$2:$E$25,0),FALSE)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D196" s="36">
        <f>HLOOKUP(REG_TRA_DEMANDS!AD$3,'BY-Demands'!$J$5:$AK$14,MATCH($E196,'BY-Demands'!$I$5:$I$14,0),FALSE)*HLOOKUP(REG_TRA_DEMANDS!$F196,DEMANDS!$G$2:$CK$25,MATCH($E196,DEMANDS!$E$2:$E$25,0),FALSE)/HLOOKUP(2018,DEMANDS!$G$2:$CK$25,MATCH($E196,DEMANDS!$E$2:$E$25,0),FALSE)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E196" s="36">
        <f>HLOOKUP(REG_TRA_DEMANDS!AE$3,'BY-Demands'!$J$5:$AK$14,MATCH($E196,'BY-Demands'!$I$5:$I$14,0),FALSE)*HLOOKUP(REG_TRA_DEMANDS!$F196,DEMANDS!$G$2:$CK$25,MATCH($E196,DEMANDS!$E$2:$E$25,0),FALSE)/HLOOKUP(2018,DEMANDS!$G$2:$CK$25,MATCH($E196,DEMANDS!$E$2:$E$25,0),FALSE)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F196" s="36">
        <f>HLOOKUP(REG_TRA_DEMANDS!AF$3,'BY-Demands'!$J$5:$AK$14,MATCH($E196,'BY-Demands'!$I$5:$I$14,0),FALSE)*HLOOKUP(REG_TRA_DEMANDS!$F196,DEMANDS!$G$2:$CK$25,MATCH($E196,DEMANDS!$E$2:$E$25,0),FALSE)/HLOOKUP(2018,DEMANDS!$G$2:$CK$25,MATCH($E196,DEMANDS!$E$2:$E$25,0),FALSE)</f>
        <v>0</v>
      </c>
    </row>
    <row r="197" spans="4:32" ht="14.5">
      <c r="D197" t="s">
        <v>6</v>
      </c>
      <c r="E197" t="str">
        <f>DEMANDS!$E$24</f>
        <v>TAVIDOM</v>
      </c>
      <c r="F197">
        <v>2024</v>
      </c>
      <c r="G197" s="36">
        <f>HLOOKUP(REG_TRA_DEMANDS!G$3,'BY-Demands'!$J$5:$AK$14,MATCH($E197,'BY-Demands'!$I$5:$I$14,0),FALSE)*HLOOKUP(REG_TRA_DEMANDS!$F197,DEMANDS!$G$2:$CK$25,MATCH($E197,DEMANDS!$E$2:$E$25,0),FALSE)/HLOOKUP(2018,DEMANDS!$G$2:$CK$25,MATCH($E197,DEMANDS!$E$2:$E$25,0),FALSE)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H197" s="19">
        <f>HLOOKUP(REG_TRA_DEMANDS!H$3,'BY-Demands'!$J$5:$AK$14,MATCH($E197,'BY-Demands'!$I$5:$I$14,0),FALSE)*HLOOKUP(REG_TRA_DEMANDS!$F197,DEMANDS!$G$2:$CK$25,MATCH($E197,DEMANDS!$E$2:$E$25,0),FALSE)/HLOOKUP(2018,DEMANDS!$G$2:$CK$25,MATCH($E197,DEMANDS!$E$2:$E$25,0),FALSE)</f>
        <v>0.13395677260860595</v>
      </c>
      <c r="I197" s="36">
        <f>HLOOKUP(REG_TRA_DEMANDS!I$3,'BY-Demands'!$J$5:$AK$14,MATCH($E197,'BY-Demands'!$I$5:$I$14,0),FALSE)*HLOOKUP(REG_TRA_DEMANDS!$F197,DEMANDS!$G$2:$CK$25,MATCH($E197,DEMANDS!$E$2:$E$25,0),FALSE)/HLOOKUP(2018,DEMANDS!$G$2:$CK$25,MATCH($E197,DEMANDS!$E$2:$E$25,0),FALSE)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J197" s="36">
        <f>HLOOKUP(REG_TRA_DEMANDS!J$3,'BY-Demands'!$J$5:$AK$14,MATCH($E197,'BY-Demands'!$I$5:$I$14,0),FALSE)*HLOOKUP(REG_TRA_DEMANDS!$F197,DEMANDS!$G$2:$CK$25,MATCH($E197,DEMANDS!$E$2:$E$25,0),FALSE)/HLOOKUP(2018,DEMANDS!$G$2:$CK$25,MATCH($E197,DEMANDS!$E$2:$E$25,0),FALSE)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K197" s="36">
        <f>HLOOKUP(REG_TRA_DEMANDS!K$3,'BY-Demands'!$J$5:$AK$14,MATCH($E197,'BY-Demands'!$I$5:$I$14,0),FALSE)*HLOOKUP(REG_TRA_DEMANDS!$F197,DEMANDS!$G$2:$CK$25,MATCH($E197,DEMANDS!$E$2:$E$25,0),FALSE)/HLOOKUP(2018,DEMANDS!$G$2:$CK$25,MATCH($E197,DEMANDS!$E$2:$E$25,0),FALSE)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L197" s="36">
        <f>HLOOKUP(REG_TRA_DEMANDS!L$3,'BY-Demands'!$J$5:$AK$14,MATCH($E197,'BY-Demands'!$I$5:$I$14,0),FALSE)*HLOOKUP(REG_TRA_DEMANDS!$F197,DEMANDS!$G$2:$CK$25,MATCH($E197,DEMANDS!$E$2:$E$25,0),FALSE)/HLOOKUP(2018,DEMANDS!$G$2:$CK$25,MATCH($E197,DEMANDS!$E$2:$E$25,0),FALSE)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M197" s="36">
        <f>HLOOKUP(REG_TRA_DEMANDS!M$3,'BY-Demands'!$J$5:$AK$14,MATCH($E197,'BY-Demands'!$I$5:$I$14,0),FALSE)*HLOOKUP(REG_TRA_DEMANDS!$F197,DEMANDS!$G$2:$CK$25,MATCH($E197,DEMANDS!$E$2:$E$25,0),FALSE)/HLOOKUP(2018,DEMANDS!$G$2:$CK$25,MATCH($E197,DEMANDS!$E$2:$E$25,0),FALSE)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N197" s="36">
        <f>HLOOKUP(REG_TRA_DEMANDS!N$3,'BY-Demands'!$J$5:$AK$14,MATCH($E197,'BY-Demands'!$I$5:$I$14,0),FALSE)*HLOOKUP(REG_TRA_DEMANDS!$F197,DEMANDS!$G$2:$CK$25,MATCH($E197,DEMANDS!$E$2:$E$25,0),FALSE)/HLOOKUP(2018,DEMANDS!$G$2:$CK$25,MATCH($E197,DEMANDS!$E$2:$E$25,0),FALSE)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O197" s="36">
        <f>HLOOKUP(REG_TRA_DEMANDS!O$3,'BY-Demands'!$J$5:$AK$14,MATCH($E197,'BY-Demands'!$I$5:$I$14,0),FALSE)*HLOOKUP(REG_TRA_DEMANDS!$F197,DEMANDS!$G$2:$CK$25,MATCH($E197,DEMANDS!$E$2:$E$25,0),FALSE)/HLOOKUP(2018,DEMANDS!$G$2:$CK$25,MATCH($E197,DEMANDS!$E$2:$E$25,0),FALSE)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P197" s="36">
        <f>HLOOKUP(REG_TRA_DEMANDS!P$3,'BY-Demands'!$J$5:$AK$14,MATCH($E197,'BY-Demands'!$I$5:$I$14,0),FALSE)*HLOOKUP(REG_TRA_DEMANDS!$F197,DEMANDS!$G$2:$CK$25,MATCH($E197,DEMANDS!$E$2:$E$25,0),FALSE)/HLOOKUP(2018,DEMANDS!$G$2:$CK$25,MATCH($E197,DEMANDS!$E$2:$E$25,0),FALSE)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Q197" s="36">
        <f>HLOOKUP(REG_TRA_DEMANDS!Q$3,'BY-Demands'!$J$5:$AK$14,MATCH($E197,'BY-Demands'!$I$5:$I$14,0),FALSE)*HLOOKUP(REG_TRA_DEMANDS!$F197,DEMANDS!$G$2:$CK$25,MATCH($E197,DEMANDS!$E$2:$E$25,0),FALSE)/HLOOKUP(2018,DEMANDS!$G$2:$CK$25,MATCH($E197,DEMANDS!$E$2:$E$25,0),FALSE)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R197" s="36">
        <f>HLOOKUP(REG_TRA_DEMANDS!R$3,'BY-Demands'!$J$5:$AK$14,MATCH($E197,'BY-Demands'!$I$5:$I$14,0),FALSE)*HLOOKUP(REG_TRA_DEMANDS!$F197,DEMANDS!$G$2:$CK$25,MATCH($E197,DEMANDS!$E$2:$E$25,0),FALSE)/HLOOKUP(2018,DEMANDS!$G$2:$CK$25,MATCH($E197,DEMANDS!$E$2:$E$25,0),FALSE)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S197" s="19">
        <f>HLOOKUP(REG_TRA_DEMANDS!S$3,'BY-Demands'!$J$5:$AK$14,MATCH($E197,'BY-Demands'!$I$5:$I$14,0),FALSE)*HLOOKUP(REG_TRA_DEMANDS!$F197,DEMANDS!$G$2:$CK$25,MATCH($E197,DEMANDS!$E$2:$E$25,0),FALSE)/HLOOKUP(2018,DEMANDS!$G$2:$CK$25,MATCH($E197,DEMANDS!$E$2:$E$25,0),FALSE)</f>
        <v>0.046779068407982807</v>
      </c>
      <c r="T197" s="19">
        <f>HLOOKUP(REG_TRA_DEMANDS!T$3,'BY-Demands'!$J$5:$AK$14,MATCH($E197,'BY-Demands'!$I$5:$I$14,0),FALSE)*HLOOKUP(REG_TRA_DEMANDS!$F197,DEMANDS!$G$2:$CK$25,MATCH($E197,DEMANDS!$E$2:$E$25,0),FALSE)/HLOOKUP(2018,DEMANDS!$G$2:$CK$25,MATCH($E197,DEMANDS!$E$2:$E$25,0),FALSE)</f>
        <v>0.00046352277307537207</v>
      </c>
      <c r="U197" s="19">
        <f>HLOOKUP(REG_TRA_DEMANDS!U$3,'BY-Demands'!$J$5:$AK$14,MATCH($E197,'BY-Demands'!$I$5:$I$14,0),FALSE)*HLOOKUP(REG_TRA_DEMANDS!$F197,DEMANDS!$G$2:$CK$25,MATCH($E197,DEMANDS!$E$2:$E$25,0),FALSE)/HLOOKUP(2018,DEMANDS!$G$2:$CK$25,MATCH($E197,DEMANDS!$E$2:$E$25,0),FALSE)</f>
        <v>0.046529102661710439</v>
      </c>
      <c r="V197" s="36">
        <f>HLOOKUP(REG_TRA_DEMANDS!V$3,'BY-Demands'!$J$5:$AK$14,MATCH($E197,'BY-Demands'!$I$5:$I$14,0),FALSE)*HLOOKUP(REG_TRA_DEMANDS!$F197,DEMANDS!$G$2:$CK$25,MATCH($E197,DEMANDS!$E$2:$E$25,0),FALSE)/HLOOKUP(2018,DEMANDS!$G$2:$CK$25,MATCH($E197,DEMANDS!$E$2:$E$25,0),FALSE)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W197" s="36">
        <f>HLOOKUP(REG_TRA_DEMANDS!W$3,'BY-Demands'!$J$5:$AK$14,MATCH($E197,'BY-Demands'!$I$5:$I$14,0),FALSE)*HLOOKUP(REG_TRA_DEMANDS!$F197,DEMANDS!$G$2:$CK$25,MATCH($E197,DEMANDS!$E$2:$E$25,0),FALSE)/HLOOKUP(2018,DEMANDS!$G$2:$CK$25,MATCH($E197,DEMANDS!$E$2:$E$25,0),FALSE)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X197" s="36">
        <f>HLOOKUP(REG_TRA_DEMANDS!X$3,'BY-Demands'!$J$5:$AK$14,MATCH($E197,'BY-Demands'!$I$5:$I$14,0),FALSE)*HLOOKUP(REG_TRA_DEMANDS!$F197,DEMANDS!$G$2:$CK$25,MATCH($E197,DEMANDS!$E$2:$E$25,0),FALSE)/HLOOKUP(2018,DEMANDS!$G$2:$CK$25,MATCH($E197,DEMANDS!$E$2:$E$25,0),FALSE)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Y197" s="36">
        <f>HLOOKUP(REG_TRA_DEMANDS!Y$3,'BY-Demands'!$J$5:$AK$14,MATCH($E197,'BY-Demands'!$I$5:$I$14,0),FALSE)*HLOOKUP(REG_TRA_DEMANDS!$F197,DEMANDS!$G$2:$CK$25,MATCH($E197,DEMANDS!$E$2:$E$25,0),FALSE)/HLOOKUP(2018,DEMANDS!$G$2:$CK$25,MATCH($E197,DEMANDS!$E$2:$E$25,0),FALSE)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Z197" s="36">
        <f>HLOOKUP(REG_TRA_DEMANDS!Z$3,'BY-Demands'!$J$5:$AK$14,MATCH($E197,'BY-Demands'!$I$5:$I$14,0),FALSE)*HLOOKUP(REG_TRA_DEMANDS!$F197,DEMANDS!$G$2:$CK$25,MATCH($E197,DEMANDS!$E$2:$E$25,0),FALSE)/HLOOKUP(2018,DEMANDS!$G$2:$CK$25,MATCH($E197,DEMANDS!$E$2:$E$25,0),FALSE)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A197" s="36">
        <f>HLOOKUP(REG_TRA_DEMANDS!AA$3,'BY-Demands'!$J$5:$AK$14,MATCH($E197,'BY-Demands'!$I$5:$I$14,0),FALSE)*HLOOKUP(REG_TRA_DEMANDS!$F197,DEMANDS!$G$2:$CK$25,MATCH($E197,DEMANDS!$E$2:$E$25,0),FALSE)/HLOOKUP(2018,DEMANDS!$G$2:$CK$25,MATCH($E197,DEMANDS!$E$2:$E$25,0),FALSE)</f>
        <v>9.2704554615074527E-05</v>
      </c>
      <c r="AB197" s="36">
        <f>HLOOKUP(REG_TRA_DEMANDS!AB$3,'BY-Demands'!$J$5:$AK$14,MATCH($E197,'BY-Demands'!$I$5:$I$14,0),FALSE)*HLOOKUP(REG_TRA_DEMANDS!$F197,DEMANDS!$G$2:$CK$25,MATCH($E197,DEMANDS!$E$2:$E$25,0),FALSE)/HLOOKUP(2018,DEMANDS!$G$2:$CK$25,MATCH($E197,DEMANDS!$E$2:$E$25,0),FALSE)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C197" s="36">
        <f>HLOOKUP(REG_TRA_DEMANDS!AC$3,'BY-Demands'!$J$5:$AK$14,MATCH($E197,'BY-Demands'!$I$5:$I$14,0),FALSE)*HLOOKUP(REG_TRA_DEMANDS!$F197,DEMANDS!$G$2:$CK$25,MATCH($E197,DEMANDS!$E$2:$E$25,0),FALSE)/HLOOKUP(2018,DEMANDS!$G$2:$CK$25,MATCH($E197,DEMANDS!$E$2:$E$25,0),FALSE)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D197" s="36">
        <f>HLOOKUP(REG_TRA_DEMANDS!AD$3,'BY-Demands'!$J$5:$AK$14,MATCH($E197,'BY-Demands'!$I$5:$I$14,0),FALSE)*HLOOKUP(REG_TRA_DEMANDS!$F197,DEMANDS!$G$2:$CK$25,MATCH($E197,DEMANDS!$E$2:$E$25,0),FALSE)/HLOOKUP(2018,DEMANDS!$G$2:$CK$25,MATCH($E197,DEMANDS!$E$2:$E$25,0),FALSE)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E197" s="36">
        <f>HLOOKUP(REG_TRA_DEMANDS!AE$3,'BY-Demands'!$J$5:$AK$14,MATCH($E197,'BY-Demands'!$I$5:$I$14,0),FALSE)*HLOOKUP(REG_TRA_DEMANDS!$F197,DEMANDS!$G$2:$CK$25,MATCH($E197,DEMANDS!$E$2:$E$25,0),FALSE)/HLOOKUP(2018,DEMANDS!$G$2:$CK$25,MATCH($E197,DEMANDS!$E$2:$E$25,0),FALSE)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F197" s="36">
        <f>HLOOKUP(REG_TRA_DEMANDS!AF$3,'BY-Demands'!$J$5:$AK$14,MATCH($E197,'BY-Demands'!$I$5:$I$14,0),FALSE)*HLOOKUP(REG_TRA_DEMANDS!$F197,DEMANDS!$G$2:$CK$25,MATCH($E197,DEMANDS!$E$2:$E$25,0),FALSE)/HLOOKUP(2018,DEMANDS!$G$2:$CK$25,MATCH($E197,DEMANDS!$E$2:$E$25,0),FALSE)</f>
        <v>0</v>
      </c>
    </row>
    <row r="198" spans="4:32" ht="14.5">
      <c r="D198" t="s">
        <v>6</v>
      </c>
      <c r="E198" t="str">
        <f>DEMANDS!$E$24</f>
        <v>TAVIDOM</v>
      </c>
      <c r="F198">
        <v>2025</v>
      </c>
      <c r="G198" s="36">
        <f>HLOOKUP(REG_TRA_DEMANDS!G$3,'BY-Demands'!$J$5:$AK$14,MATCH($E198,'BY-Demands'!$I$5:$I$14,0),FALSE)*HLOOKUP(REG_TRA_DEMANDS!$F198,DEMANDS!$G$2:$CK$25,MATCH($E198,DEMANDS!$E$2:$E$25,0),FALSE)/HLOOKUP(2018,DEMANDS!$G$2:$CK$25,MATCH($E198,DEMANDS!$E$2:$E$25,0),FALSE)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H198" s="19">
        <f>HLOOKUP(REG_TRA_DEMANDS!H$3,'BY-Demands'!$J$5:$AK$14,MATCH($E198,'BY-Demands'!$I$5:$I$14,0),FALSE)*HLOOKUP(REG_TRA_DEMANDS!$F198,DEMANDS!$G$2:$CK$25,MATCH($E198,DEMANDS!$E$2:$E$25,0),FALSE)/HLOOKUP(2018,DEMANDS!$G$2:$CK$25,MATCH($E198,DEMANDS!$E$2:$E$25,0),FALSE)</f>
        <v>0.13395677260860595</v>
      </c>
      <c r="I198" s="36">
        <f>HLOOKUP(REG_TRA_DEMANDS!I$3,'BY-Demands'!$J$5:$AK$14,MATCH($E198,'BY-Demands'!$I$5:$I$14,0),FALSE)*HLOOKUP(REG_TRA_DEMANDS!$F198,DEMANDS!$G$2:$CK$25,MATCH($E198,DEMANDS!$E$2:$E$25,0),FALSE)/HLOOKUP(2018,DEMANDS!$G$2:$CK$25,MATCH($E198,DEMANDS!$E$2:$E$25,0),FALSE)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J198" s="36">
        <f>HLOOKUP(REG_TRA_DEMANDS!J$3,'BY-Demands'!$J$5:$AK$14,MATCH($E198,'BY-Demands'!$I$5:$I$14,0),FALSE)*HLOOKUP(REG_TRA_DEMANDS!$F198,DEMANDS!$G$2:$CK$25,MATCH($E198,DEMANDS!$E$2:$E$25,0),FALSE)/HLOOKUP(2018,DEMANDS!$G$2:$CK$25,MATCH($E198,DEMANDS!$E$2:$E$25,0),FALSE)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K198" s="36">
        <f>HLOOKUP(REG_TRA_DEMANDS!K$3,'BY-Demands'!$J$5:$AK$14,MATCH($E198,'BY-Demands'!$I$5:$I$14,0),FALSE)*HLOOKUP(REG_TRA_DEMANDS!$F198,DEMANDS!$G$2:$CK$25,MATCH($E198,DEMANDS!$E$2:$E$25,0),FALSE)/HLOOKUP(2018,DEMANDS!$G$2:$CK$25,MATCH($E198,DEMANDS!$E$2:$E$25,0),FALSE)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L198" s="36">
        <f>HLOOKUP(REG_TRA_DEMANDS!L$3,'BY-Demands'!$J$5:$AK$14,MATCH($E198,'BY-Demands'!$I$5:$I$14,0),FALSE)*HLOOKUP(REG_TRA_DEMANDS!$F198,DEMANDS!$G$2:$CK$25,MATCH($E198,DEMANDS!$E$2:$E$25,0),FALSE)/HLOOKUP(2018,DEMANDS!$G$2:$CK$25,MATCH($E198,DEMANDS!$E$2:$E$25,0),FALSE)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M198" s="36">
        <f>HLOOKUP(REG_TRA_DEMANDS!M$3,'BY-Demands'!$J$5:$AK$14,MATCH($E198,'BY-Demands'!$I$5:$I$14,0),FALSE)*HLOOKUP(REG_TRA_DEMANDS!$F198,DEMANDS!$G$2:$CK$25,MATCH($E198,DEMANDS!$E$2:$E$25,0),FALSE)/HLOOKUP(2018,DEMANDS!$G$2:$CK$25,MATCH($E198,DEMANDS!$E$2:$E$25,0),FALSE)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N198" s="36">
        <f>HLOOKUP(REG_TRA_DEMANDS!N$3,'BY-Demands'!$J$5:$AK$14,MATCH($E198,'BY-Demands'!$I$5:$I$14,0),FALSE)*HLOOKUP(REG_TRA_DEMANDS!$F198,DEMANDS!$G$2:$CK$25,MATCH($E198,DEMANDS!$E$2:$E$25,0),FALSE)/HLOOKUP(2018,DEMANDS!$G$2:$CK$25,MATCH($E198,DEMANDS!$E$2:$E$25,0),FALSE)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O198" s="36">
        <f>HLOOKUP(REG_TRA_DEMANDS!O$3,'BY-Demands'!$J$5:$AK$14,MATCH($E198,'BY-Demands'!$I$5:$I$14,0),FALSE)*HLOOKUP(REG_TRA_DEMANDS!$F198,DEMANDS!$G$2:$CK$25,MATCH($E198,DEMANDS!$E$2:$E$25,0),FALSE)/HLOOKUP(2018,DEMANDS!$G$2:$CK$25,MATCH($E198,DEMANDS!$E$2:$E$25,0),FALSE)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P198" s="36">
        <f>HLOOKUP(REG_TRA_DEMANDS!P$3,'BY-Demands'!$J$5:$AK$14,MATCH($E198,'BY-Demands'!$I$5:$I$14,0),FALSE)*HLOOKUP(REG_TRA_DEMANDS!$F198,DEMANDS!$G$2:$CK$25,MATCH($E198,DEMANDS!$E$2:$E$25,0),FALSE)/HLOOKUP(2018,DEMANDS!$G$2:$CK$25,MATCH($E198,DEMANDS!$E$2:$E$25,0),FALSE)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Q198" s="36">
        <f>HLOOKUP(REG_TRA_DEMANDS!Q$3,'BY-Demands'!$J$5:$AK$14,MATCH($E198,'BY-Demands'!$I$5:$I$14,0),FALSE)*HLOOKUP(REG_TRA_DEMANDS!$F198,DEMANDS!$G$2:$CK$25,MATCH($E198,DEMANDS!$E$2:$E$25,0),FALSE)/HLOOKUP(2018,DEMANDS!$G$2:$CK$25,MATCH($E198,DEMANDS!$E$2:$E$25,0),FALSE)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R198" s="36">
        <f>HLOOKUP(REG_TRA_DEMANDS!R$3,'BY-Demands'!$J$5:$AK$14,MATCH($E198,'BY-Demands'!$I$5:$I$14,0),FALSE)*HLOOKUP(REG_TRA_DEMANDS!$F198,DEMANDS!$G$2:$CK$25,MATCH($E198,DEMANDS!$E$2:$E$25,0),FALSE)/HLOOKUP(2018,DEMANDS!$G$2:$CK$25,MATCH($E198,DEMANDS!$E$2:$E$25,0),FALSE)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S198" s="19">
        <f>HLOOKUP(REG_TRA_DEMANDS!S$3,'BY-Demands'!$J$5:$AK$14,MATCH($E198,'BY-Demands'!$I$5:$I$14,0),FALSE)*HLOOKUP(REG_TRA_DEMANDS!$F198,DEMANDS!$G$2:$CK$25,MATCH($E198,DEMANDS!$E$2:$E$25,0),FALSE)/HLOOKUP(2018,DEMANDS!$G$2:$CK$25,MATCH($E198,DEMANDS!$E$2:$E$25,0),FALSE)</f>
        <v>0.046779068407982807</v>
      </c>
      <c r="T198" s="19">
        <f>HLOOKUP(REG_TRA_DEMANDS!T$3,'BY-Demands'!$J$5:$AK$14,MATCH($E198,'BY-Demands'!$I$5:$I$14,0),FALSE)*HLOOKUP(REG_TRA_DEMANDS!$F198,DEMANDS!$G$2:$CK$25,MATCH($E198,DEMANDS!$E$2:$E$25,0),FALSE)/HLOOKUP(2018,DEMANDS!$G$2:$CK$25,MATCH($E198,DEMANDS!$E$2:$E$25,0),FALSE)</f>
        <v>0.00046352277307537207</v>
      </c>
      <c r="U198" s="19">
        <f>HLOOKUP(REG_TRA_DEMANDS!U$3,'BY-Demands'!$J$5:$AK$14,MATCH($E198,'BY-Demands'!$I$5:$I$14,0),FALSE)*HLOOKUP(REG_TRA_DEMANDS!$F198,DEMANDS!$G$2:$CK$25,MATCH($E198,DEMANDS!$E$2:$E$25,0),FALSE)/HLOOKUP(2018,DEMANDS!$G$2:$CK$25,MATCH($E198,DEMANDS!$E$2:$E$25,0),FALSE)</f>
        <v>0.046529102661710439</v>
      </c>
      <c r="V198" s="36">
        <f>HLOOKUP(REG_TRA_DEMANDS!V$3,'BY-Demands'!$J$5:$AK$14,MATCH($E198,'BY-Demands'!$I$5:$I$14,0),FALSE)*HLOOKUP(REG_TRA_DEMANDS!$F198,DEMANDS!$G$2:$CK$25,MATCH($E198,DEMANDS!$E$2:$E$25,0),FALSE)/HLOOKUP(2018,DEMANDS!$G$2:$CK$25,MATCH($E198,DEMANDS!$E$2:$E$25,0),FALSE)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W198" s="36">
        <f>HLOOKUP(REG_TRA_DEMANDS!W$3,'BY-Demands'!$J$5:$AK$14,MATCH($E198,'BY-Demands'!$I$5:$I$14,0),FALSE)*HLOOKUP(REG_TRA_DEMANDS!$F198,DEMANDS!$G$2:$CK$25,MATCH($E198,DEMANDS!$E$2:$E$25,0),FALSE)/HLOOKUP(2018,DEMANDS!$G$2:$CK$25,MATCH($E198,DEMANDS!$E$2:$E$25,0),FALSE)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X198" s="36">
        <f>HLOOKUP(REG_TRA_DEMANDS!X$3,'BY-Demands'!$J$5:$AK$14,MATCH($E198,'BY-Demands'!$I$5:$I$14,0),FALSE)*HLOOKUP(REG_TRA_DEMANDS!$F198,DEMANDS!$G$2:$CK$25,MATCH($E198,DEMANDS!$E$2:$E$25,0),FALSE)/HLOOKUP(2018,DEMANDS!$G$2:$CK$25,MATCH($E198,DEMANDS!$E$2:$E$25,0),FALSE)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Y198" s="36">
        <f>HLOOKUP(REG_TRA_DEMANDS!Y$3,'BY-Demands'!$J$5:$AK$14,MATCH($E198,'BY-Demands'!$I$5:$I$14,0),FALSE)*HLOOKUP(REG_TRA_DEMANDS!$F198,DEMANDS!$G$2:$CK$25,MATCH($E198,DEMANDS!$E$2:$E$25,0),FALSE)/HLOOKUP(2018,DEMANDS!$G$2:$CK$25,MATCH($E198,DEMANDS!$E$2:$E$25,0),FALSE)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Z198" s="36">
        <f>HLOOKUP(REG_TRA_DEMANDS!Z$3,'BY-Demands'!$J$5:$AK$14,MATCH($E198,'BY-Demands'!$I$5:$I$14,0),FALSE)*HLOOKUP(REG_TRA_DEMANDS!$F198,DEMANDS!$G$2:$CK$25,MATCH($E198,DEMANDS!$E$2:$E$25,0),FALSE)/HLOOKUP(2018,DEMANDS!$G$2:$CK$25,MATCH($E198,DEMANDS!$E$2:$E$25,0),FALSE)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A198" s="36">
        <f>HLOOKUP(REG_TRA_DEMANDS!AA$3,'BY-Demands'!$J$5:$AK$14,MATCH($E198,'BY-Demands'!$I$5:$I$14,0),FALSE)*HLOOKUP(REG_TRA_DEMANDS!$F198,DEMANDS!$G$2:$CK$25,MATCH($E198,DEMANDS!$E$2:$E$25,0),FALSE)/HLOOKUP(2018,DEMANDS!$G$2:$CK$25,MATCH($E198,DEMANDS!$E$2:$E$25,0),FALSE)</f>
        <v>9.2704554615074527E-05</v>
      </c>
      <c r="AB198" s="36">
        <f>HLOOKUP(REG_TRA_DEMANDS!AB$3,'BY-Demands'!$J$5:$AK$14,MATCH($E198,'BY-Demands'!$I$5:$I$14,0),FALSE)*HLOOKUP(REG_TRA_DEMANDS!$F198,DEMANDS!$G$2:$CK$25,MATCH($E198,DEMANDS!$E$2:$E$25,0),FALSE)/HLOOKUP(2018,DEMANDS!$G$2:$CK$25,MATCH($E198,DEMANDS!$E$2:$E$25,0),FALSE)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C198" s="36">
        <f>HLOOKUP(REG_TRA_DEMANDS!AC$3,'BY-Demands'!$J$5:$AK$14,MATCH($E198,'BY-Demands'!$I$5:$I$14,0),FALSE)*HLOOKUP(REG_TRA_DEMANDS!$F198,DEMANDS!$G$2:$CK$25,MATCH($E198,DEMANDS!$E$2:$E$25,0),FALSE)/HLOOKUP(2018,DEMANDS!$G$2:$CK$25,MATCH($E198,DEMANDS!$E$2:$E$25,0),FALSE)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D198" s="36">
        <f>HLOOKUP(REG_TRA_DEMANDS!AD$3,'BY-Demands'!$J$5:$AK$14,MATCH($E198,'BY-Demands'!$I$5:$I$14,0),FALSE)*HLOOKUP(REG_TRA_DEMANDS!$F198,DEMANDS!$G$2:$CK$25,MATCH($E198,DEMANDS!$E$2:$E$25,0),FALSE)/HLOOKUP(2018,DEMANDS!$G$2:$CK$25,MATCH($E198,DEMANDS!$E$2:$E$25,0),FALSE)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E198" s="36">
        <f>HLOOKUP(REG_TRA_DEMANDS!AE$3,'BY-Demands'!$J$5:$AK$14,MATCH($E198,'BY-Demands'!$I$5:$I$14,0),FALSE)*HLOOKUP(REG_TRA_DEMANDS!$F198,DEMANDS!$G$2:$CK$25,MATCH($E198,DEMANDS!$E$2:$E$25,0),FALSE)/HLOOKUP(2018,DEMANDS!$G$2:$CK$25,MATCH($E198,DEMANDS!$E$2:$E$25,0),FALSE)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F198" s="36">
        <f>HLOOKUP(REG_TRA_DEMANDS!AF$3,'BY-Demands'!$J$5:$AK$14,MATCH($E198,'BY-Demands'!$I$5:$I$14,0),FALSE)*HLOOKUP(REG_TRA_DEMANDS!$F198,DEMANDS!$G$2:$CK$25,MATCH($E198,DEMANDS!$E$2:$E$25,0),FALSE)/HLOOKUP(2018,DEMANDS!$G$2:$CK$25,MATCH($E198,DEMANDS!$E$2:$E$25,0),FALSE)</f>
        <v>0</v>
      </c>
    </row>
    <row r="199" spans="4:32" ht="14.5">
      <c r="D199" t="s">
        <v>6</v>
      </c>
      <c r="E199" t="str">
        <f>DEMANDS!$E$24</f>
        <v>TAVIDOM</v>
      </c>
      <c r="F199">
        <v>2026</v>
      </c>
      <c r="G199" s="36">
        <f>HLOOKUP(REG_TRA_DEMANDS!G$3,'BY-Demands'!$J$5:$AK$14,MATCH($E199,'BY-Demands'!$I$5:$I$14,0),FALSE)*HLOOKUP(REG_TRA_DEMANDS!$F199,DEMANDS!$G$2:$CK$25,MATCH($E199,DEMANDS!$E$2:$E$25,0),FALSE)/HLOOKUP(2018,DEMANDS!$G$2:$CK$25,MATCH($E199,DEMANDS!$E$2:$E$25,0),FALSE)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H199" s="19">
        <f>HLOOKUP(REG_TRA_DEMANDS!H$3,'BY-Demands'!$J$5:$AK$14,MATCH($E199,'BY-Demands'!$I$5:$I$14,0),FALSE)*HLOOKUP(REG_TRA_DEMANDS!$F199,DEMANDS!$G$2:$CK$25,MATCH($E199,DEMANDS!$E$2:$E$25,0),FALSE)/HLOOKUP(2018,DEMANDS!$G$2:$CK$25,MATCH($E199,DEMANDS!$E$2:$E$25,0),FALSE)</f>
        <v>0.13395677260860595</v>
      </c>
      <c r="I199" s="36">
        <f>HLOOKUP(REG_TRA_DEMANDS!I$3,'BY-Demands'!$J$5:$AK$14,MATCH($E199,'BY-Demands'!$I$5:$I$14,0),FALSE)*HLOOKUP(REG_TRA_DEMANDS!$F199,DEMANDS!$G$2:$CK$25,MATCH($E199,DEMANDS!$E$2:$E$25,0),FALSE)/HLOOKUP(2018,DEMANDS!$G$2:$CK$25,MATCH($E199,DEMANDS!$E$2:$E$25,0),FALSE)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J199" s="36">
        <f>HLOOKUP(REG_TRA_DEMANDS!J$3,'BY-Demands'!$J$5:$AK$14,MATCH($E199,'BY-Demands'!$I$5:$I$14,0),FALSE)*HLOOKUP(REG_TRA_DEMANDS!$F199,DEMANDS!$G$2:$CK$25,MATCH($E199,DEMANDS!$E$2:$E$25,0),FALSE)/HLOOKUP(2018,DEMANDS!$G$2:$CK$25,MATCH($E199,DEMANDS!$E$2:$E$25,0),FALSE)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K199" s="36">
        <f>HLOOKUP(REG_TRA_DEMANDS!K$3,'BY-Demands'!$J$5:$AK$14,MATCH($E199,'BY-Demands'!$I$5:$I$14,0),FALSE)*HLOOKUP(REG_TRA_DEMANDS!$F199,DEMANDS!$G$2:$CK$25,MATCH($E199,DEMANDS!$E$2:$E$25,0),FALSE)/HLOOKUP(2018,DEMANDS!$G$2:$CK$25,MATCH($E199,DEMANDS!$E$2:$E$25,0),FALSE)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L199" s="36">
        <f>HLOOKUP(REG_TRA_DEMANDS!L$3,'BY-Demands'!$J$5:$AK$14,MATCH($E199,'BY-Demands'!$I$5:$I$14,0),FALSE)*HLOOKUP(REG_TRA_DEMANDS!$F199,DEMANDS!$G$2:$CK$25,MATCH($E199,DEMANDS!$E$2:$E$25,0),FALSE)/HLOOKUP(2018,DEMANDS!$G$2:$CK$25,MATCH($E199,DEMANDS!$E$2:$E$25,0),FALSE)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M199" s="36">
        <f>HLOOKUP(REG_TRA_DEMANDS!M$3,'BY-Demands'!$J$5:$AK$14,MATCH($E199,'BY-Demands'!$I$5:$I$14,0),FALSE)*HLOOKUP(REG_TRA_DEMANDS!$F199,DEMANDS!$G$2:$CK$25,MATCH($E199,DEMANDS!$E$2:$E$25,0),FALSE)/HLOOKUP(2018,DEMANDS!$G$2:$CK$25,MATCH($E199,DEMANDS!$E$2:$E$25,0),FALSE)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N199" s="36">
        <f>HLOOKUP(REG_TRA_DEMANDS!N$3,'BY-Demands'!$J$5:$AK$14,MATCH($E199,'BY-Demands'!$I$5:$I$14,0),FALSE)*HLOOKUP(REG_TRA_DEMANDS!$F199,DEMANDS!$G$2:$CK$25,MATCH($E199,DEMANDS!$E$2:$E$25,0),FALSE)/HLOOKUP(2018,DEMANDS!$G$2:$CK$25,MATCH($E199,DEMANDS!$E$2:$E$25,0),FALSE)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O199" s="36">
        <f>HLOOKUP(REG_TRA_DEMANDS!O$3,'BY-Demands'!$J$5:$AK$14,MATCH($E199,'BY-Demands'!$I$5:$I$14,0),FALSE)*HLOOKUP(REG_TRA_DEMANDS!$F199,DEMANDS!$G$2:$CK$25,MATCH($E199,DEMANDS!$E$2:$E$25,0),FALSE)/HLOOKUP(2018,DEMANDS!$G$2:$CK$25,MATCH($E199,DEMANDS!$E$2:$E$25,0),FALSE)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P199" s="36">
        <f>HLOOKUP(REG_TRA_DEMANDS!P$3,'BY-Demands'!$J$5:$AK$14,MATCH($E199,'BY-Demands'!$I$5:$I$14,0),FALSE)*HLOOKUP(REG_TRA_DEMANDS!$F199,DEMANDS!$G$2:$CK$25,MATCH($E199,DEMANDS!$E$2:$E$25,0),FALSE)/HLOOKUP(2018,DEMANDS!$G$2:$CK$25,MATCH($E199,DEMANDS!$E$2:$E$25,0),FALSE)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Q199" s="36">
        <f>HLOOKUP(REG_TRA_DEMANDS!Q$3,'BY-Demands'!$J$5:$AK$14,MATCH($E199,'BY-Demands'!$I$5:$I$14,0),FALSE)*HLOOKUP(REG_TRA_DEMANDS!$F199,DEMANDS!$G$2:$CK$25,MATCH($E199,DEMANDS!$E$2:$E$25,0),FALSE)/HLOOKUP(2018,DEMANDS!$G$2:$CK$25,MATCH($E199,DEMANDS!$E$2:$E$25,0),FALSE)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R199" s="36">
        <f>HLOOKUP(REG_TRA_DEMANDS!R$3,'BY-Demands'!$J$5:$AK$14,MATCH($E199,'BY-Demands'!$I$5:$I$14,0),FALSE)*HLOOKUP(REG_TRA_DEMANDS!$F199,DEMANDS!$G$2:$CK$25,MATCH($E199,DEMANDS!$E$2:$E$25,0),FALSE)/HLOOKUP(2018,DEMANDS!$G$2:$CK$25,MATCH($E199,DEMANDS!$E$2:$E$25,0),FALSE)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S199" s="19">
        <f>HLOOKUP(REG_TRA_DEMANDS!S$3,'BY-Demands'!$J$5:$AK$14,MATCH($E199,'BY-Demands'!$I$5:$I$14,0),FALSE)*HLOOKUP(REG_TRA_DEMANDS!$F199,DEMANDS!$G$2:$CK$25,MATCH($E199,DEMANDS!$E$2:$E$25,0),FALSE)/HLOOKUP(2018,DEMANDS!$G$2:$CK$25,MATCH($E199,DEMANDS!$E$2:$E$25,0),FALSE)</f>
        <v>0.046779068407982807</v>
      </c>
      <c r="T199" s="19">
        <f>HLOOKUP(REG_TRA_DEMANDS!T$3,'BY-Demands'!$J$5:$AK$14,MATCH($E199,'BY-Demands'!$I$5:$I$14,0),FALSE)*HLOOKUP(REG_TRA_DEMANDS!$F199,DEMANDS!$G$2:$CK$25,MATCH($E199,DEMANDS!$E$2:$E$25,0),FALSE)/HLOOKUP(2018,DEMANDS!$G$2:$CK$25,MATCH($E199,DEMANDS!$E$2:$E$25,0),FALSE)</f>
        <v>0.00046352277307537207</v>
      </c>
      <c r="U199" s="19">
        <f>HLOOKUP(REG_TRA_DEMANDS!U$3,'BY-Demands'!$J$5:$AK$14,MATCH($E199,'BY-Demands'!$I$5:$I$14,0),FALSE)*HLOOKUP(REG_TRA_DEMANDS!$F199,DEMANDS!$G$2:$CK$25,MATCH($E199,DEMANDS!$E$2:$E$25,0),FALSE)/HLOOKUP(2018,DEMANDS!$G$2:$CK$25,MATCH($E199,DEMANDS!$E$2:$E$25,0),FALSE)</f>
        <v>0.046529102661710439</v>
      </c>
      <c r="V199" s="36">
        <f>HLOOKUP(REG_TRA_DEMANDS!V$3,'BY-Demands'!$J$5:$AK$14,MATCH($E199,'BY-Demands'!$I$5:$I$14,0),FALSE)*HLOOKUP(REG_TRA_DEMANDS!$F199,DEMANDS!$G$2:$CK$25,MATCH($E199,DEMANDS!$E$2:$E$25,0),FALSE)/HLOOKUP(2018,DEMANDS!$G$2:$CK$25,MATCH($E199,DEMANDS!$E$2:$E$25,0),FALSE)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W199" s="36">
        <f>HLOOKUP(REG_TRA_DEMANDS!W$3,'BY-Demands'!$J$5:$AK$14,MATCH($E199,'BY-Demands'!$I$5:$I$14,0),FALSE)*HLOOKUP(REG_TRA_DEMANDS!$F199,DEMANDS!$G$2:$CK$25,MATCH($E199,DEMANDS!$E$2:$E$25,0),FALSE)/HLOOKUP(2018,DEMANDS!$G$2:$CK$25,MATCH($E199,DEMANDS!$E$2:$E$25,0),FALSE)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X199" s="36">
        <f>HLOOKUP(REG_TRA_DEMANDS!X$3,'BY-Demands'!$J$5:$AK$14,MATCH($E199,'BY-Demands'!$I$5:$I$14,0),FALSE)*HLOOKUP(REG_TRA_DEMANDS!$F199,DEMANDS!$G$2:$CK$25,MATCH($E199,DEMANDS!$E$2:$E$25,0),FALSE)/HLOOKUP(2018,DEMANDS!$G$2:$CK$25,MATCH($E199,DEMANDS!$E$2:$E$25,0),FALSE)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Y199" s="36">
        <f>HLOOKUP(REG_TRA_DEMANDS!Y$3,'BY-Demands'!$J$5:$AK$14,MATCH($E199,'BY-Demands'!$I$5:$I$14,0),FALSE)*HLOOKUP(REG_TRA_DEMANDS!$F199,DEMANDS!$G$2:$CK$25,MATCH($E199,DEMANDS!$E$2:$E$25,0),FALSE)/HLOOKUP(2018,DEMANDS!$G$2:$CK$25,MATCH($E199,DEMANDS!$E$2:$E$25,0),FALSE)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Z199" s="36">
        <f>HLOOKUP(REG_TRA_DEMANDS!Z$3,'BY-Demands'!$J$5:$AK$14,MATCH($E199,'BY-Demands'!$I$5:$I$14,0),FALSE)*HLOOKUP(REG_TRA_DEMANDS!$F199,DEMANDS!$G$2:$CK$25,MATCH($E199,DEMANDS!$E$2:$E$25,0),FALSE)/HLOOKUP(2018,DEMANDS!$G$2:$CK$25,MATCH($E199,DEMANDS!$E$2:$E$25,0),FALSE)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A199" s="36">
        <f>HLOOKUP(REG_TRA_DEMANDS!AA$3,'BY-Demands'!$J$5:$AK$14,MATCH($E199,'BY-Demands'!$I$5:$I$14,0),FALSE)*HLOOKUP(REG_TRA_DEMANDS!$F199,DEMANDS!$G$2:$CK$25,MATCH($E199,DEMANDS!$E$2:$E$25,0),FALSE)/HLOOKUP(2018,DEMANDS!$G$2:$CK$25,MATCH($E199,DEMANDS!$E$2:$E$25,0),FALSE)</f>
        <v>9.2704554615074527E-05</v>
      </c>
      <c r="AB199" s="36">
        <f>HLOOKUP(REG_TRA_DEMANDS!AB$3,'BY-Demands'!$J$5:$AK$14,MATCH($E199,'BY-Demands'!$I$5:$I$14,0),FALSE)*HLOOKUP(REG_TRA_DEMANDS!$F199,DEMANDS!$G$2:$CK$25,MATCH($E199,DEMANDS!$E$2:$E$25,0),FALSE)/HLOOKUP(2018,DEMANDS!$G$2:$CK$25,MATCH($E199,DEMANDS!$E$2:$E$25,0),FALSE)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C199" s="36">
        <f>HLOOKUP(REG_TRA_DEMANDS!AC$3,'BY-Demands'!$J$5:$AK$14,MATCH($E199,'BY-Demands'!$I$5:$I$14,0),FALSE)*HLOOKUP(REG_TRA_DEMANDS!$F199,DEMANDS!$G$2:$CK$25,MATCH($E199,DEMANDS!$E$2:$E$25,0),FALSE)/HLOOKUP(2018,DEMANDS!$G$2:$CK$25,MATCH($E199,DEMANDS!$E$2:$E$25,0),FALSE)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D199" s="36">
        <f>HLOOKUP(REG_TRA_DEMANDS!AD$3,'BY-Demands'!$J$5:$AK$14,MATCH($E199,'BY-Demands'!$I$5:$I$14,0),FALSE)*HLOOKUP(REG_TRA_DEMANDS!$F199,DEMANDS!$G$2:$CK$25,MATCH($E199,DEMANDS!$E$2:$E$25,0),FALSE)/HLOOKUP(2018,DEMANDS!$G$2:$CK$25,MATCH($E199,DEMANDS!$E$2:$E$25,0),FALSE)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E199" s="36">
        <f>HLOOKUP(REG_TRA_DEMANDS!AE$3,'BY-Demands'!$J$5:$AK$14,MATCH($E199,'BY-Demands'!$I$5:$I$14,0),FALSE)*HLOOKUP(REG_TRA_DEMANDS!$F199,DEMANDS!$G$2:$CK$25,MATCH($E199,DEMANDS!$E$2:$E$25,0),FALSE)/HLOOKUP(2018,DEMANDS!$G$2:$CK$25,MATCH($E199,DEMANDS!$E$2:$E$25,0),FALSE)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F199" s="36">
        <f>HLOOKUP(REG_TRA_DEMANDS!AF$3,'BY-Demands'!$J$5:$AK$14,MATCH($E199,'BY-Demands'!$I$5:$I$14,0),FALSE)*HLOOKUP(REG_TRA_DEMANDS!$F199,DEMANDS!$G$2:$CK$25,MATCH($E199,DEMANDS!$E$2:$E$25,0),FALSE)/HLOOKUP(2018,DEMANDS!$G$2:$CK$25,MATCH($E199,DEMANDS!$E$2:$E$25,0),FALSE)</f>
        <v>0</v>
      </c>
    </row>
    <row r="200" spans="4:32" ht="14.5">
      <c r="D200" t="s">
        <v>6</v>
      </c>
      <c r="E200" t="str">
        <f>DEMANDS!$E$24</f>
        <v>TAVIDOM</v>
      </c>
      <c r="F200">
        <v>2027</v>
      </c>
      <c r="G200" s="36">
        <f>HLOOKUP(REG_TRA_DEMANDS!G$3,'BY-Demands'!$J$5:$AK$14,MATCH($E200,'BY-Demands'!$I$5:$I$14,0),FALSE)*HLOOKUP(REG_TRA_DEMANDS!$F200,DEMANDS!$G$2:$CK$25,MATCH($E200,DEMANDS!$E$2:$E$25,0),FALSE)/HLOOKUP(2018,DEMANDS!$G$2:$CK$25,MATCH($E200,DEMANDS!$E$2:$E$25,0),FALSE)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H200" s="19">
        <f>HLOOKUP(REG_TRA_DEMANDS!H$3,'BY-Demands'!$J$5:$AK$14,MATCH($E200,'BY-Demands'!$I$5:$I$14,0),FALSE)*HLOOKUP(REG_TRA_DEMANDS!$F200,DEMANDS!$G$2:$CK$25,MATCH($E200,DEMANDS!$E$2:$E$25,0),FALSE)/HLOOKUP(2018,DEMANDS!$G$2:$CK$25,MATCH($E200,DEMANDS!$E$2:$E$25,0),FALSE)</f>
        <v>0.13395677260860595</v>
      </c>
      <c r="I200" s="36">
        <f>HLOOKUP(REG_TRA_DEMANDS!I$3,'BY-Demands'!$J$5:$AK$14,MATCH($E200,'BY-Demands'!$I$5:$I$14,0),FALSE)*HLOOKUP(REG_TRA_DEMANDS!$F200,DEMANDS!$G$2:$CK$25,MATCH($E200,DEMANDS!$E$2:$E$25,0),FALSE)/HLOOKUP(2018,DEMANDS!$G$2:$CK$25,MATCH($E200,DEMANDS!$E$2:$E$25,0),FALSE)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J200" s="36">
        <f>HLOOKUP(REG_TRA_DEMANDS!J$3,'BY-Demands'!$J$5:$AK$14,MATCH($E200,'BY-Demands'!$I$5:$I$14,0),FALSE)*HLOOKUP(REG_TRA_DEMANDS!$F200,DEMANDS!$G$2:$CK$25,MATCH($E200,DEMANDS!$E$2:$E$25,0),FALSE)/HLOOKUP(2018,DEMANDS!$G$2:$CK$25,MATCH($E200,DEMANDS!$E$2:$E$25,0),FALSE)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K200" s="36">
        <f>HLOOKUP(REG_TRA_DEMANDS!K$3,'BY-Demands'!$J$5:$AK$14,MATCH($E200,'BY-Demands'!$I$5:$I$14,0),FALSE)*HLOOKUP(REG_TRA_DEMANDS!$F200,DEMANDS!$G$2:$CK$25,MATCH($E200,DEMANDS!$E$2:$E$25,0),FALSE)/HLOOKUP(2018,DEMANDS!$G$2:$CK$25,MATCH($E200,DEMANDS!$E$2:$E$25,0),FALSE)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L200" s="36">
        <f>HLOOKUP(REG_TRA_DEMANDS!L$3,'BY-Demands'!$J$5:$AK$14,MATCH($E200,'BY-Demands'!$I$5:$I$14,0),FALSE)*HLOOKUP(REG_TRA_DEMANDS!$F200,DEMANDS!$G$2:$CK$25,MATCH($E200,DEMANDS!$E$2:$E$25,0),FALSE)/HLOOKUP(2018,DEMANDS!$G$2:$CK$25,MATCH($E200,DEMANDS!$E$2:$E$25,0),FALSE)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M200" s="36">
        <f>HLOOKUP(REG_TRA_DEMANDS!M$3,'BY-Demands'!$J$5:$AK$14,MATCH($E200,'BY-Demands'!$I$5:$I$14,0),FALSE)*HLOOKUP(REG_TRA_DEMANDS!$F200,DEMANDS!$G$2:$CK$25,MATCH($E200,DEMANDS!$E$2:$E$25,0),FALSE)/HLOOKUP(2018,DEMANDS!$G$2:$CK$25,MATCH($E200,DEMANDS!$E$2:$E$25,0),FALSE)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N200" s="36">
        <f>HLOOKUP(REG_TRA_DEMANDS!N$3,'BY-Demands'!$J$5:$AK$14,MATCH($E200,'BY-Demands'!$I$5:$I$14,0),FALSE)*HLOOKUP(REG_TRA_DEMANDS!$F200,DEMANDS!$G$2:$CK$25,MATCH($E200,DEMANDS!$E$2:$E$25,0),FALSE)/HLOOKUP(2018,DEMANDS!$G$2:$CK$25,MATCH($E200,DEMANDS!$E$2:$E$25,0),FALSE)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O200" s="36">
        <f>HLOOKUP(REG_TRA_DEMANDS!O$3,'BY-Demands'!$J$5:$AK$14,MATCH($E200,'BY-Demands'!$I$5:$I$14,0),FALSE)*HLOOKUP(REG_TRA_DEMANDS!$F200,DEMANDS!$G$2:$CK$25,MATCH($E200,DEMANDS!$E$2:$E$25,0),FALSE)/HLOOKUP(2018,DEMANDS!$G$2:$CK$25,MATCH($E200,DEMANDS!$E$2:$E$25,0),FALSE)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P200" s="36">
        <f>HLOOKUP(REG_TRA_DEMANDS!P$3,'BY-Demands'!$J$5:$AK$14,MATCH($E200,'BY-Demands'!$I$5:$I$14,0),FALSE)*HLOOKUP(REG_TRA_DEMANDS!$F200,DEMANDS!$G$2:$CK$25,MATCH($E200,DEMANDS!$E$2:$E$25,0),FALSE)/HLOOKUP(2018,DEMANDS!$G$2:$CK$25,MATCH($E200,DEMANDS!$E$2:$E$25,0),FALSE)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Q200" s="36">
        <f>HLOOKUP(REG_TRA_DEMANDS!Q$3,'BY-Demands'!$J$5:$AK$14,MATCH($E200,'BY-Demands'!$I$5:$I$14,0),FALSE)*HLOOKUP(REG_TRA_DEMANDS!$F200,DEMANDS!$G$2:$CK$25,MATCH($E200,DEMANDS!$E$2:$E$25,0),FALSE)/HLOOKUP(2018,DEMANDS!$G$2:$CK$25,MATCH($E200,DEMANDS!$E$2:$E$25,0),FALSE)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R200" s="36">
        <f>HLOOKUP(REG_TRA_DEMANDS!R$3,'BY-Demands'!$J$5:$AK$14,MATCH($E200,'BY-Demands'!$I$5:$I$14,0),FALSE)*HLOOKUP(REG_TRA_DEMANDS!$F200,DEMANDS!$G$2:$CK$25,MATCH($E200,DEMANDS!$E$2:$E$25,0),FALSE)/HLOOKUP(2018,DEMANDS!$G$2:$CK$25,MATCH($E200,DEMANDS!$E$2:$E$25,0),FALSE)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S200" s="19">
        <f>HLOOKUP(REG_TRA_DEMANDS!S$3,'BY-Demands'!$J$5:$AK$14,MATCH($E200,'BY-Demands'!$I$5:$I$14,0),FALSE)*HLOOKUP(REG_TRA_DEMANDS!$F200,DEMANDS!$G$2:$CK$25,MATCH($E200,DEMANDS!$E$2:$E$25,0),FALSE)/HLOOKUP(2018,DEMANDS!$G$2:$CK$25,MATCH($E200,DEMANDS!$E$2:$E$25,0),FALSE)</f>
        <v>0.046779068407982807</v>
      </c>
      <c r="T200" s="19">
        <f>HLOOKUP(REG_TRA_DEMANDS!T$3,'BY-Demands'!$J$5:$AK$14,MATCH($E200,'BY-Demands'!$I$5:$I$14,0),FALSE)*HLOOKUP(REG_TRA_DEMANDS!$F200,DEMANDS!$G$2:$CK$25,MATCH($E200,DEMANDS!$E$2:$E$25,0),FALSE)/HLOOKUP(2018,DEMANDS!$G$2:$CK$25,MATCH($E200,DEMANDS!$E$2:$E$25,0),FALSE)</f>
        <v>0.00046352277307537207</v>
      </c>
      <c r="U200" s="19">
        <f>HLOOKUP(REG_TRA_DEMANDS!U$3,'BY-Demands'!$J$5:$AK$14,MATCH($E200,'BY-Demands'!$I$5:$I$14,0),FALSE)*HLOOKUP(REG_TRA_DEMANDS!$F200,DEMANDS!$G$2:$CK$25,MATCH($E200,DEMANDS!$E$2:$E$25,0),FALSE)/HLOOKUP(2018,DEMANDS!$G$2:$CK$25,MATCH($E200,DEMANDS!$E$2:$E$25,0),FALSE)</f>
        <v>0.046529102661710439</v>
      </c>
      <c r="V200" s="36">
        <f>HLOOKUP(REG_TRA_DEMANDS!V$3,'BY-Demands'!$J$5:$AK$14,MATCH($E200,'BY-Demands'!$I$5:$I$14,0),FALSE)*HLOOKUP(REG_TRA_DEMANDS!$F200,DEMANDS!$G$2:$CK$25,MATCH($E200,DEMANDS!$E$2:$E$25,0),FALSE)/HLOOKUP(2018,DEMANDS!$G$2:$CK$25,MATCH($E200,DEMANDS!$E$2:$E$25,0),FALSE)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W200" s="36">
        <f>HLOOKUP(REG_TRA_DEMANDS!W$3,'BY-Demands'!$J$5:$AK$14,MATCH($E200,'BY-Demands'!$I$5:$I$14,0),FALSE)*HLOOKUP(REG_TRA_DEMANDS!$F200,DEMANDS!$G$2:$CK$25,MATCH($E200,DEMANDS!$E$2:$E$25,0),FALSE)/HLOOKUP(2018,DEMANDS!$G$2:$CK$25,MATCH($E200,DEMANDS!$E$2:$E$25,0),FALSE)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X200" s="36">
        <f>HLOOKUP(REG_TRA_DEMANDS!X$3,'BY-Demands'!$J$5:$AK$14,MATCH($E200,'BY-Demands'!$I$5:$I$14,0),FALSE)*HLOOKUP(REG_TRA_DEMANDS!$F200,DEMANDS!$G$2:$CK$25,MATCH($E200,DEMANDS!$E$2:$E$25,0),FALSE)/HLOOKUP(2018,DEMANDS!$G$2:$CK$25,MATCH($E200,DEMANDS!$E$2:$E$25,0),FALSE)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Y200" s="36">
        <f>HLOOKUP(REG_TRA_DEMANDS!Y$3,'BY-Demands'!$J$5:$AK$14,MATCH($E200,'BY-Demands'!$I$5:$I$14,0),FALSE)*HLOOKUP(REG_TRA_DEMANDS!$F200,DEMANDS!$G$2:$CK$25,MATCH($E200,DEMANDS!$E$2:$E$25,0),FALSE)/HLOOKUP(2018,DEMANDS!$G$2:$CK$25,MATCH($E200,DEMANDS!$E$2:$E$25,0),FALSE)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Z200" s="36">
        <f>HLOOKUP(REG_TRA_DEMANDS!Z$3,'BY-Demands'!$J$5:$AK$14,MATCH($E200,'BY-Demands'!$I$5:$I$14,0),FALSE)*HLOOKUP(REG_TRA_DEMANDS!$F200,DEMANDS!$G$2:$CK$25,MATCH($E200,DEMANDS!$E$2:$E$25,0),FALSE)/HLOOKUP(2018,DEMANDS!$G$2:$CK$25,MATCH($E200,DEMANDS!$E$2:$E$25,0),FALSE)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A200" s="36">
        <f>HLOOKUP(REG_TRA_DEMANDS!AA$3,'BY-Demands'!$J$5:$AK$14,MATCH($E200,'BY-Demands'!$I$5:$I$14,0),FALSE)*HLOOKUP(REG_TRA_DEMANDS!$F200,DEMANDS!$G$2:$CK$25,MATCH($E200,DEMANDS!$E$2:$E$25,0),FALSE)/HLOOKUP(2018,DEMANDS!$G$2:$CK$25,MATCH($E200,DEMANDS!$E$2:$E$25,0),FALSE)</f>
        <v>9.2704554615074527E-05</v>
      </c>
      <c r="AB200" s="36">
        <f>HLOOKUP(REG_TRA_DEMANDS!AB$3,'BY-Demands'!$J$5:$AK$14,MATCH($E200,'BY-Demands'!$I$5:$I$14,0),FALSE)*HLOOKUP(REG_TRA_DEMANDS!$F200,DEMANDS!$G$2:$CK$25,MATCH($E200,DEMANDS!$E$2:$E$25,0),FALSE)/HLOOKUP(2018,DEMANDS!$G$2:$CK$25,MATCH($E200,DEMANDS!$E$2:$E$25,0),FALSE)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C200" s="36">
        <f>HLOOKUP(REG_TRA_DEMANDS!AC$3,'BY-Demands'!$J$5:$AK$14,MATCH($E200,'BY-Demands'!$I$5:$I$14,0),FALSE)*HLOOKUP(REG_TRA_DEMANDS!$F200,DEMANDS!$G$2:$CK$25,MATCH($E200,DEMANDS!$E$2:$E$25,0),FALSE)/HLOOKUP(2018,DEMANDS!$G$2:$CK$25,MATCH($E200,DEMANDS!$E$2:$E$25,0),FALSE)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D200" s="36">
        <f>HLOOKUP(REG_TRA_DEMANDS!AD$3,'BY-Demands'!$J$5:$AK$14,MATCH($E200,'BY-Demands'!$I$5:$I$14,0),FALSE)*HLOOKUP(REG_TRA_DEMANDS!$F200,DEMANDS!$G$2:$CK$25,MATCH($E200,DEMANDS!$E$2:$E$25,0),FALSE)/HLOOKUP(2018,DEMANDS!$G$2:$CK$25,MATCH($E200,DEMANDS!$E$2:$E$25,0),FALSE)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E200" s="36">
        <f>HLOOKUP(REG_TRA_DEMANDS!AE$3,'BY-Demands'!$J$5:$AK$14,MATCH($E200,'BY-Demands'!$I$5:$I$14,0),FALSE)*HLOOKUP(REG_TRA_DEMANDS!$F200,DEMANDS!$G$2:$CK$25,MATCH($E200,DEMANDS!$E$2:$E$25,0),FALSE)/HLOOKUP(2018,DEMANDS!$G$2:$CK$25,MATCH($E200,DEMANDS!$E$2:$E$25,0),FALSE)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F200" s="36">
        <f>HLOOKUP(REG_TRA_DEMANDS!AF$3,'BY-Demands'!$J$5:$AK$14,MATCH($E200,'BY-Demands'!$I$5:$I$14,0),FALSE)*HLOOKUP(REG_TRA_DEMANDS!$F200,DEMANDS!$G$2:$CK$25,MATCH($E200,DEMANDS!$E$2:$E$25,0),FALSE)/HLOOKUP(2018,DEMANDS!$G$2:$CK$25,MATCH($E200,DEMANDS!$E$2:$E$25,0),FALSE)</f>
        <v>0</v>
      </c>
    </row>
    <row r="201" spans="4:32" ht="14.5">
      <c r="D201" t="s">
        <v>6</v>
      </c>
      <c r="E201" t="str">
        <f>DEMANDS!$E$24</f>
        <v>TAVIDOM</v>
      </c>
      <c r="F201">
        <v>2028</v>
      </c>
      <c r="G201" s="36">
        <f>HLOOKUP(REG_TRA_DEMANDS!G$3,'BY-Demands'!$J$5:$AK$14,MATCH($E201,'BY-Demands'!$I$5:$I$14,0),FALSE)*HLOOKUP(REG_TRA_DEMANDS!$F201,DEMANDS!$G$2:$CK$25,MATCH($E201,DEMANDS!$E$2:$E$25,0),FALSE)/HLOOKUP(2018,DEMANDS!$G$2:$CK$25,MATCH($E201,DEMANDS!$E$2:$E$25,0),FALSE)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H201" s="19">
        <f>HLOOKUP(REG_TRA_DEMANDS!H$3,'BY-Demands'!$J$5:$AK$14,MATCH($E201,'BY-Demands'!$I$5:$I$14,0),FALSE)*HLOOKUP(REG_TRA_DEMANDS!$F201,DEMANDS!$G$2:$CK$25,MATCH($E201,DEMANDS!$E$2:$E$25,0),FALSE)/HLOOKUP(2018,DEMANDS!$G$2:$CK$25,MATCH($E201,DEMANDS!$E$2:$E$25,0),FALSE)</f>
        <v>0.13395677260860595</v>
      </c>
      <c r="I201" s="36">
        <f>HLOOKUP(REG_TRA_DEMANDS!I$3,'BY-Demands'!$J$5:$AK$14,MATCH($E201,'BY-Demands'!$I$5:$I$14,0),FALSE)*HLOOKUP(REG_TRA_DEMANDS!$F201,DEMANDS!$G$2:$CK$25,MATCH($E201,DEMANDS!$E$2:$E$25,0),FALSE)/HLOOKUP(2018,DEMANDS!$G$2:$CK$25,MATCH($E201,DEMANDS!$E$2:$E$25,0),FALSE)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J201" s="36">
        <f>HLOOKUP(REG_TRA_DEMANDS!J$3,'BY-Demands'!$J$5:$AK$14,MATCH($E201,'BY-Demands'!$I$5:$I$14,0),FALSE)*HLOOKUP(REG_TRA_DEMANDS!$F201,DEMANDS!$G$2:$CK$25,MATCH($E201,DEMANDS!$E$2:$E$25,0),FALSE)/HLOOKUP(2018,DEMANDS!$G$2:$CK$25,MATCH($E201,DEMANDS!$E$2:$E$25,0),FALSE)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K201" s="36">
        <f>HLOOKUP(REG_TRA_DEMANDS!K$3,'BY-Demands'!$J$5:$AK$14,MATCH($E201,'BY-Demands'!$I$5:$I$14,0),FALSE)*HLOOKUP(REG_TRA_DEMANDS!$F201,DEMANDS!$G$2:$CK$25,MATCH($E201,DEMANDS!$E$2:$E$25,0),FALSE)/HLOOKUP(2018,DEMANDS!$G$2:$CK$25,MATCH($E201,DEMANDS!$E$2:$E$25,0),FALSE)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L201" s="36">
        <f>HLOOKUP(REG_TRA_DEMANDS!L$3,'BY-Demands'!$J$5:$AK$14,MATCH($E201,'BY-Demands'!$I$5:$I$14,0),FALSE)*HLOOKUP(REG_TRA_DEMANDS!$F201,DEMANDS!$G$2:$CK$25,MATCH($E201,DEMANDS!$E$2:$E$25,0),FALSE)/HLOOKUP(2018,DEMANDS!$G$2:$CK$25,MATCH($E201,DEMANDS!$E$2:$E$25,0),FALSE)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M201" s="36">
        <f>HLOOKUP(REG_TRA_DEMANDS!M$3,'BY-Demands'!$J$5:$AK$14,MATCH($E201,'BY-Demands'!$I$5:$I$14,0),FALSE)*HLOOKUP(REG_TRA_DEMANDS!$F201,DEMANDS!$G$2:$CK$25,MATCH($E201,DEMANDS!$E$2:$E$25,0),FALSE)/HLOOKUP(2018,DEMANDS!$G$2:$CK$25,MATCH($E201,DEMANDS!$E$2:$E$25,0),FALSE)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N201" s="36">
        <f>HLOOKUP(REG_TRA_DEMANDS!N$3,'BY-Demands'!$J$5:$AK$14,MATCH($E201,'BY-Demands'!$I$5:$I$14,0),FALSE)*HLOOKUP(REG_TRA_DEMANDS!$F201,DEMANDS!$G$2:$CK$25,MATCH($E201,DEMANDS!$E$2:$E$25,0),FALSE)/HLOOKUP(2018,DEMANDS!$G$2:$CK$25,MATCH($E201,DEMANDS!$E$2:$E$25,0),FALSE)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O201" s="36">
        <f>HLOOKUP(REG_TRA_DEMANDS!O$3,'BY-Demands'!$J$5:$AK$14,MATCH($E201,'BY-Demands'!$I$5:$I$14,0),FALSE)*HLOOKUP(REG_TRA_DEMANDS!$F201,DEMANDS!$G$2:$CK$25,MATCH($E201,DEMANDS!$E$2:$E$25,0),FALSE)/HLOOKUP(2018,DEMANDS!$G$2:$CK$25,MATCH($E201,DEMANDS!$E$2:$E$25,0),FALSE)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P201" s="36">
        <f>HLOOKUP(REG_TRA_DEMANDS!P$3,'BY-Demands'!$J$5:$AK$14,MATCH($E201,'BY-Demands'!$I$5:$I$14,0),FALSE)*HLOOKUP(REG_TRA_DEMANDS!$F201,DEMANDS!$G$2:$CK$25,MATCH($E201,DEMANDS!$E$2:$E$25,0),FALSE)/HLOOKUP(2018,DEMANDS!$G$2:$CK$25,MATCH($E201,DEMANDS!$E$2:$E$25,0),FALSE)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Q201" s="36">
        <f>HLOOKUP(REG_TRA_DEMANDS!Q$3,'BY-Demands'!$J$5:$AK$14,MATCH($E201,'BY-Demands'!$I$5:$I$14,0),FALSE)*HLOOKUP(REG_TRA_DEMANDS!$F201,DEMANDS!$G$2:$CK$25,MATCH($E201,DEMANDS!$E$2:$E$25,0),FALSE)/HLOOKUP(2018,DEMANDS!$G$2:$CK$25,MATCH($E201,DEMANDS!$E$2:$E$25,0),FALSE)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R201" s="36">
        <f>HLOOKUP(REG_TRA_DEMANDS!R$3,'BY-Demands'!$J$5:$AK$14,MATCH($E201,'BY-Demands'!$I$5:$I$14,0),FALSE)*HLOOKUP(REG_TRA_DEMANDS!$F201,DEMANDS!$G$2:$CK$25,MATCH($E201,DEMANDS!$E$2:$E$25,0),FALSE)/HLOOKUP(2018,DEMANDS!$G$2:$CK$25,MATCH($E201,DEMANDS!$E$2:$E$25,0),FALSE)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S201" s="19">
        <f>HLOOKUP(REG_TRA_DEMANDS!S$3,'BY-Demands'!$J$5:$AK$14,MATCH($E201,'BY-Demands'!$I$5:$I$14,0),FALSE)*HLOOKUP(REG_TRA_DEMANDS!$F201,DEMANDS!$G$2:$CK$25,MATCH($E201,DEMANDS!$E$2:$E$25,0),FALSE)/HLOOKUP(2018,DEMANDS!$G$2:$CK$25,MATCH($E201,DEMANDS!$E$2:$E$25,0),FALSE)</f>
        <v>0.046779068407982807</v>
      </c>
      <c r="T201" s="19">
        <f>HLOOKUP(REG_TRA_DEMANDS!T$3,'BY-Demands'!$J$5:$AK$14,MATCH($E201,'BY-Demands'!$I$5:$I$14,0),FALSE)*HLOOKUP(REG_TRA_DEMANDS!$F201,DEMANDS!$G$2:$CK$25,MATCH($E201,DEMANDS!$E$2:$E$25,0),FALSE)/HLOOKUP(2018,DEMANDS!$G$2:$CK$25,MATCH($E201,DEMANDS!$E$2:$E$25,0),FALSE)</f>
        <v>0.00046352277307537207</v>
      </c>
      <c r="U201" s="19">
        <f>HLOOKUP(REG_TRA_DEMANDS!U$3,'BY-Demands'!$J$5:$AK$14,MATCH($E201,'BY-Demands'!$I$5:$I$14,0),FALSE)*HLOOKUP(REG_TRA_DEMANDS!$F201,DEMANDS!$G$2:$CK$25,MATCH($E201,DEMANDS!$E$2:$E$25,0),FALSE)/HLOOKUP(2018,DEMANDS!$G$2:$CK$25,MATCH($E201,DEMANDS!$E$2:$E$25,0),FALSE)</f>
        <v>0.046529102661710439</v>
      </c>
      <c r="V201" s="36">
        <f>HLOOKUP(REG_TRA_DEMANDS!V$3,'BY-Demands'!$J$5:$AK$14,MATCH($E201,'BY-Demands'!$I$5:$I$14,0),FALSE)*HLOOKUP(REG_TRA_DEMANDS!$F201,DEMANDS!$G$2:$CK$25,MATCH($E201,DEMANDS!$E$2:$E$25,0),FALSE)/HLOOKUP(2018,DEMANDS!$G$2:$CK$25,MATCH($E201,DEMANDS!$E$2:$E$25,0),FALSE)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W201" s="36">
        <f>HLOOKUP(REG_TRA_DEMANDS!W$3,'BY-Demands'!$J$5:$AK$14,MATCH($E201,'BY-Demands'!$I$5:$I$14,0),FALSE)*HLOOKUP(REG_TRA_DEMANDS!$F201,DEMANDS!$G$2:$CK$25,MATCH($E201,DEMANDS!$E$2:$E$25,0),FALSE)/HLOOKUP(2018,DEMANDS!$G$2:$CK$25,MATCH($E201,DEMANDS!$E$2:$E$25,0),FALSE)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X201" s="36">
        <f>HLOOKUP(REG_TRA_DEMANDS!X$3,'BY-Demands'!$J$5:$AK$14,MATCH($E201,'BY-Demands'!$I$5:$I$14,0),FALSE)*HLOOKUP(REG_TRA_DEMANDS!$F201,DEMANDS!$G$2:$CK$25,MATCH($E201,DEMANDS!$E$2:$E$25,0),FALSE)/HLOOKUP(2018,DEMANDS!$G$2:$CK$25,MATCH($E201,DEMANDS!$E$2:$E$25,0),FALSE)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Y201" s="36">
        <f>HLOOKUP(REG_TRA_DEMANDS!Y$3,'BY-Demands'!$J$5:$AK$14,MATCH($E201,'BY-Demands'!$I$5:$I$14,0),FALSE)*HLOOKUP(REG_TRA_DEMANDS!$F201,DEMANDS!$G$2:$CK$25,MATCH($E201,DEMANDS!$E$2:$E$25,0),FALSE)/HLOOKUP(2018,DEMANDS!$G$2:$CK$25,MATCH($E201,DEMANDS!$E$2:$E$25,0),FALSE)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Z201" s="36">
        <f>HLOOKUP(REG_TRA_DEMANDS!Z$3,'BY-Demands'!$J$5:$AK$14,MATCH($E201,'BY-Demands'!$I$5:$I$14,0),FALSE)*HLOOKUP(REG_TRA_DEMANDS!$F201,DEMANDS!$G$2:$CK$25,MATCH($E201,DEMANDS!$E$2:$E$25,0),FALSE)/HLOOKUP(2018,DEMANDS!$G$2:$CK$25,MATCH($E201,DEMANDS!$E$2:$E$25,0),FALSE)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A201" s="36">
        <f>HLOOKUP(REG_TRA_DEMANDS!AA$3,'BY-Demands'!$J$5:$AK$14,MATCH($E201,'BY-Demands'!$I$5:$I$14,0),FALSE)*HLOOKUP(REG_TRA_DEMANDS!$F201,DEMANDS!$G$2:$CK$25,MATCH($E201,DEMANDS!$E$2:$E$25,0),FALSE)/HLOOKUP(2018,DEMANDS!$G$2:$CK$25,MATCH($E201,DEMANDS!$E$2:$E$25,0),FALSE)</f>
        <v>9.2704554615074527E-05</v>
      </c>
      <c r="AB201" s="36">
        <f>HLOOKUP(REG_TRA_DEMANDS!AB$3,'BY-Demands'!$J$5:$AK$14,MATCH($E201,'BY-Demands'!$I$5:$I$14,0),FALSE)*HLOOKUP(REG_TRA_DEMANDS!$F201,DEMANDS!$G$2:$CK$25,MATCH($E201,DEMANDS!$E$2:$E$25,0),FALSE)/HLOOKUP(2018,DEMANDS!$G$2:$CK$25,MATCH($E201,DEMANDS!$E$2:$E$25,0),FALSE)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C201" s="36">
        <f>HLOOKUP(REG_TRA_DEMANDS!AC$3,'BY-Demands'!$J$5:$AK$14,MATCH($E201,'BY-Demands'!$I$5:$I$14,0),FALSE)*HLOOKUP(REG_TRA_DEMANDS!$F201,DEMANDS!$G$2:$CK$25,MATCH($E201,DEMANDS!$E$2:$E$25,0),FALSE)/HLOOKUP(2018,DEMANDS!$G$2:$CK$25,MATCH($E201,DEMANDS!$E$2:$E$25,0),FALSE)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D201" s="36">
        <f>HLOOKUP(REG_TRA_DEMANDS!AD$3,'BY-Demands'!$J$5:$AK$14,MATCH($E201,'BY-Demands'!$I$5:$I$14,0),FALSE)*HLOOKUP(REG_TRA_DEMANDS!$F201,DEMANDS!$G$2:$CK$25,MATCH($E201,DEMANDS!$E$2:$E$25,0),FALSE)/HLOOKUP(2018,DEMANDS!$G$2:$CK$25,MATCH($E201,DEMANDS!$E$2:$E$25,0),FALSE)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E201" s="36">
        <f>HLOOKUP(REG_TRA_DEMANDS!AE$3,'BY-Demands'!$J$5:$AK$14,MATCH($E201,'BY-Demands'!$I$5:$I$14,0),FALSE)*HLOOKUP(REG_TRA_DEMANDS!$F201,DEMANDS!$G$2:$CK$25,MATCH($E201,DEMANDS!$E$2:$E$25,0),FALSE)/HLOOKUP(2018,DEMANDS!$G$2:$CK$25,MATCH($E201,DEMANDS!$E$2:$E$25,0),FALSE)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F201" s="36">
        <f>HLOOKUP(REG_TRA_DEMANDS!AF$3,'BY-Demands'!$J$5:$AK$14,MATCH($E201,'BY-Demands'!$I$5:$I$14,0),FALSE)*HLOOKUP(REG_TRA_DEMANDS!$F201,DEMANDS!$G$2:$CK$25,MATCH($E201,DEMANDS!$E$2:$E$25,0),FALSE)/HLOOKUP(2018,DEMANDS!$G$2:$CK$25,MATCH($E201,DEMANDS!$E$2:$E$25,0),FALSE)</f>
        <v>0</v>
      </c>
    </row>
    <row r="202" spans="4:32" ht="14.5">
      <c r="D202" t="s">
        <v>6</v>
      </c>
      <c r="E202" t="str">
        <f>DEMANDS!$E$24</f>
        <v>TAVIDOM</v>
      </c>
      <c r="F202">
        <v>2029</v>
      </c>
      <c r="G202" s="36">
        <f>HLOOKUP(REG_TRA_DEMANDS!G$3,'BY-Demands'!$J$5:$AK$14,MATCH($E202,'BY-Demands'!$I$5:$I$14,0),FALSE)*HLOOKUP(REG_TRA_DEMANDS!$F202,DEMANDS!$G$2:$CK$25,MATCH($E202,DEMANDS!$E$2:$E$25,0),FALSE)/HLOOKUP(2018,DEMANDS!$G$2:$CK$25,MATCH($E202,DEMANDS!$E$2:$E$25,0),FALSE)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H202" s="19">
        <f>HLOOKUP(REG_TRA_DEMANDS!H$3,'BY-Demands'!$J$5:$AK$14,MATCH($E202,'BY-Demands'!$I$5:$I$14,0),FALSE)*HLOOKUP(REG_TRA_DEMANDS!$F202,DEMANDS!$G$2:$CK$25,MATCH($E202,DEMANDS!$E$2:$E$25,0),FALSE)/HLOOKUP(2018,DEMANDS!$G$2:$CK$25,MATCH($E202,DEMANDS!$E$2:$E$25,0),FALSE)</f>
        <v>0.13395677260860595</v>
      </c>
      <c r="I202" s="36">
        <f>HLOOKUP(REG_TRA_DEMANDS!I$3,'BY-Demands'!$J$5:$AK$14,MATCH($E202,'BY-Demands'!$I$5:$I$14,0),FALSE)*HLOOKUP(REG_TRA_DEMANDS!$F202,DEMANDS!$G$2:$CK$25,MATCH($E202,DEMANDS!$E$2:$E$25,0),FALSE)/HLOOKUP(2018,DEMANDS!$G$2:$CK$25,MATCH($E202,DEMANDS!$E$2:$E$25,0),FALSE)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J202" s="36">
        <f>HLOOKUP(REG_TRA_DEMANDS!J$3,'BY-Demands'!$J$5:$AK$14,MATCH($E202,'BY-Demands'!$I$5:$I$14,0),FALSE)*HLOOKUP(REG_TRA_DEMANDS!$F202,DEMANDS!$G$2:$CK$25,MATCH($E202,DEMANDS!$E$2:$E$25,0),FALSE)/HLOOKUP(2018,DEMANDS!$G$2:$CK$25,MATCH($E202,DEMANDS!$E$2:$E$25,0),FALSE)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K202" s="36">
        <f>HLOOKUP(REG_TRA_DEMANDS!K$3,'BY-Demands'!$J$5:$AK$14,MATCH($E202,'BY-Demands'!$I$5:$I$14,0),FALSE)*HLOOKUP(REG_TRA_DEMANDS!$F202,DEMANDS!$G$2:$CK$25,MATCH($E202,DEMANDS!$E$2:$E$25,0),FALSE)/HLOOKUP(2018,DEMANDS!$G$2:$CK$25,MATCH($E202,DEMANDS!$E$2:$E$25,0),FALSE)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L202" s="36">
        <f>HLOOKUP(REG_TRA_DEMANDS!L$3,'BY-Demands'!$J$5:$AK$14,MATCH($E202,'BY-Demands'!$I$5:$I$14,0),FALSE)*HLOOKUP(REG_TRA_DEMANDS!$F202,DEMANDS!$G$2:$CK$25,MATCH($E202,DEMANDS!$E$2:$E$25,0),FALSE)/HLOOKUP(2018,DEMANDS!$G$2:$CK$25,MATCH($E202,DEMANDS!$E$2:$E$25,0),FALSE)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M202" s="36">
        <f>HLOOKUP(REG_TRA_DEMANDS!M$3,'BY-Demands'!$J$5:$AK$14,MATCH($E202,'BY-Demands'!$I$5:$I$14,0),FALSE)*HLOOKUP(REG_TRA_DEMANDS!$F202,DEMANDS!$G$2:$CK$25,MATCH($E202,DEMANDS!$E$2:$E$25,0),FALSE)/HLOOKUP(2018,DEMANDS!$G$2:$CK$25,MATCH($E202,DEMANDS!$E$2:$E$25,0),FALSE)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N202" s="36">
        <f>HLOOKUP(REG_TRA_DEMANDS!N$3,'BY-Demands'!$J$5:$AK$14,MATCH($E202,'BY-Demands'!$I$5:$I$14,0),FALSE)*HLOOKUP(REG_TRA_DEMANDS!$F202,DEMANDS!$G$2:$CK$25,MATCH($E202,DEMANDS!$E$2:$E$25,0),FALSE)/HLOOKUP(2018,DEMANDS!$G$2:$CK$25,MATCH($E202,DEMANDS!$E$2:$E$25,0),FALSE)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O202" s="36">
        <f>HLOOKUP(REG_TRA_DEMANDS!O$3,'BY-Demands'!$J$5:$AK$14,MATCH($E202,'BY-Demands'!$I$5:$I$14,0),FALSE)*HLOOKUP(REG_TRA_DEMANDS!$F202,DEMANDS!$G$2:$CK$25,MATCH($E202,DEMANDS!$E$2:$E$25,0),FALSE)/HLOOKUP(2018,DEMANDS!$G$2:$CK$25,MATCH($E202,DEMANDS!$E$2:$E$25,0),FALSE)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P202" s="36">
        <f>HLOOKUP(REG_TRA_DEMANDS!P$3,'BY-Demands'!$J$5:$AK$14,MATCH($E202,'BY-Demands'!$I$5:$I$14,0),FALSE)*HLOOKUP(REG_TRA_DEMANDS!$F202,DEMANDS!$G$2:$CK$25,MATCH($E202,DEMANDS!$E$2:$E$25,0),FALSE)/HLOOKUP(2018,DEMANDS!$G$2:$CK$25,MATCH($E202,DEMANDS!$E$2:$E$25,0),FALSE)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Q202" s="36">
        <f>HLOOKUP(REG_TRA_DEMANDS!Q$3,'BY-Demands'!$J$5:$AK$14,MATCH($E202,'BY-Demands'!$I$5:$I$14,0),FALSE)*HLOOKUP(REG_TRA_DEMANDS!$F202,DEMANDS!$G$2:$CK$25,MATCH($E202,DEMANDS!$E$2:$E$25,0),FALSE)/HLOOKUP(2018,DEMANDS!$G$2:$CK$25,MATCH($E202,DEMANDS!$E$2:$E$25,0),FALSE)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R202" s="36">
        <f>HLOOKUP(REG_TRA_DEMANDS!R$3,'BY-Demands'!$J$5:$AK$14,MATCH($E202,'BY-Demands'!$I$5:$I$14,0),FALSE)*HLOOKUP(REG_TRA_DEMANDS!$F202,DEMANDS!$G$2:$CK$25,MATCH($E202,DEMANDS!$E$2:$E$25,0),FALSE)/HLOOKUP(2018,DEMANDS!$G$2:$CK$25,MATCH($E202,DEMANDS!$E$2:$E$25,0),FALSE)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S202" s="19">
        <f>HLOOKUP(REG_TRA_DEMANDS!S$3,'BY-Demands'!$J$5:$AK$14,MATCH($E202,'BY-Demands'!$I$5:$I$14,0),FALSE)*HLOOKUP(REG_TRA_DEMANDS!$F202,DEMANDS!$G$2:$CK$25,MATCH($E202,DEMANDS!$E$2:$E$25,0),FALSE)/HLOOKUP(2018,DEMANDS!$G$2:$CK$25,MATCH($E202,DEMANDS!$E$2:$E$25,0),FALSE)</f>
        <v>0.046779068407982807</v>
      </c>
      <c r="T202" s="19">
        <f>HLOOKUP(REG_TRA_DEMANDS!T$3,'BY-Demands'!$J$5:$AK$14,MATCH($E202,'BY-Demands'!$I$5:$I$14,0),FALSE)*HLOOKUP(REG_TRA_DEMANDS!$F202,DEMANDS!$G$2:$CK$25,MATCH($E202,DEMANDS!$E$2:$E$25,0),FALSE)/HLOOKUP(2018,DEMANDS!$G$2:$CK$25,MATCH($E202,DEMANDS!$E$2:$E$25,0),FALSE)</f>
        <v>0.00046352277307537207</v>
      </c>
      <c r="U202" s="19">
        <f>HLOOKUP(REG_TRA_DEMANDS!U$3,'BY-Demands'!$J$5:$AK$14,MATCH($E202,'BY-Demands'!$I$5:$I$14,0),FALSE)*HLOOKUP(REG_TRA_DEMANDS!$F202,DEMANDS!$G$2:$CK$25,MATCH($E202,DEMANDS!$E$2:$E$25,0),FALSE)/HLOOKUP(2018,DEMANDS!$G$2:$CK$25,MATCH($E202,DEMANDS!$E$2:$E$25,0),FALSE)</f>
        <v>0.046529102661710439</v>
      </c>
      <c r="V202" s="36">
        <f>HLOOKUP(REG_TRA_DEMANDS!V$3,'BY-Demands'!$J$5:$AK$14,MATCH($E202,'BY-Demands'!$I$5:$I$14,0),FALSE)*HLOOKUP(REG_TRA_DEMANDS!$F202,DEMANDS!$G$2:$CK$25,MATCH($E202,DEMANDS!$E$2:$E$25,0),FALSE)/HLOOKUP(2018,DEMANDS!$G$2:$CK$25,MATCH($E202,DEMANDS!$E$2:$E$25,0),FALSE)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W202" s="36">
        <f>HLOOKUP(REG_TRA_DEMANDS!W$3,'BY-Demands'!$J$5:$AK$14,MATCH($E202,'BY-Demands'!$I$5:$I$14,0),FALSE)*HLOOKUP(REG_TRA_DEMANDS!$F202,DEMANDS!$G$2:$CK$25,MATCH($E202,DEMANDS!$E$2:$E$25,0),FALSE)/HLOOKUP(2018,DEMANDS!$G$2:$CK$25,MATCH($E202,DEMANDS!$E$2:$E$25,0),FALSE)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X202" s="36">
        <f>HLOOKUP(REG_TRA_DEMANDS!X$3,'BY-Demands'!$J$5:$AK$14,MATCH($E202,'BY-Demands'!$I$5:$I$14,0),FALSE)*HLOOKUP(REG_TRA_DEMANDS!$F202,DEMANDS!$G$2:$CK$25,MATCH($E202,DEMANDS!$E$2:$E$25,0),FALSE)/HLOOKUP(2018,DEMANDS!$G$2:$CK$25,MATCH($E202,DEMANDS!$E$2:$E$25,0),FALSE)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Y202" s="36">
        <f>HLOOKUP(REG_TRA_DEMANDS!Y$3,'BY-Demands'!$J$5:$AK$14,MATCH($E202,'BY-Demands'!$I$5:$I$14,0),FALSE)*HLOOKUP(REG_TRA_DEMANDS!$F202,DEMANDS!$G$2:$CK$25,MATCH($E202,DEMANDS!$E$2:$E$25,0),FALSE)/HLOOKUP(2018,DEMANDS!$G$2:$CK$25,MATCH($E202,DEMANDS!$E$2:$E$25,0),FALSE)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Z202" s="36">
        <f>HLOOKUP(REG_TRA_DEMANDS!Z$3,'BY-Demands'!$J$5:$AK$14,MATCH($E202,'BY-Demands'!$I$5:$I$14,0),FALSE)*HLOOKUP(REG_TRA_DEMANDS!$F202,DEMANDS!$G$2:$CK$25,MATCH($E202,DEMANDS!$E$2:$E$25,0),FALSE)/HLOOKUP(2018,DEMANDS!$G$2:$CK$25,MATCH($E202,DEMANDS!$E$2:$E$25,0),FALSE)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A202" s="36">
        <f>HLOOKUP(REG_TRA_DEMANDS!AA$3,'BY-Demands'!$J$5:$AK$14,MATCH($E202,'BY-Demands'!$I$5:$I$14,0),FALSE)*HLOOKUP(REG_TRA_DEMANDS!$F202,DEMANDS!$G$2:$CK$25,MATCH($E202,DEMANDS!$E$2:$E$25,0),FALSE)/HLOOKUP(2018,DEMANDS!$G$2:$CK$25,MATCH($E202,DEMANDS!$E$2:$E$25,0),FALSE)</f>
        <v>9.2704554615074527E-05</v>
      </c>
      <c r="AB202" s="36">
        <f>HLOOKUP(REG_TRA_DEMANDS!AB$3,'BY-Demands'!$J$5:$AK$14,MATCH($E202,'BY-Demands'!$I$5:$I$14,0),FALSE)*HLOOKUP(REG_TRA_DEMANDS!$F202,DEMANDS!$G$2:$CK$25,MATCH($E202,DEMANDS!$E$2:$E$25,0),FALSE)/HLOOKUP(2018,DEMANDS!$G$2:$CK$25,MATCH($E202,DEMANDS!$E$2:$E$25,0),FALSE)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C202" s="36">
        <f>HLOOKUP(REG_TRA_DEMANDS!AC$3,'BY-Demands'!$J$5:$AK$14,MATCH($E202,'BY-Demands'!$I$5:$I$14,0),FALSE)*HLOOKUP(REG_TRA_DEMANDS!$F202,DEMANDS!$G$2:$CK$25,MATCH($E202,DEMANDS!$E$2:$E$25,0),FALSE)/HLOOKUP(2018,DEMANDS!$G$2:$CK$25,MATCH($E202,DEMANDS!$E$2:$E$25,0),FALSE)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D202" s="36">
        <f>HLOOKUP(REG_TRA_DEMANDS!AD$3,'BY-Demands'!$J$5:$AK$14,MATCH($E202,'BY-Demands'!$I$5:$I$14,0),FALSE)*HLOOKUP(REG_TRA_DEMANDS!$F202,DEMANDS!$G$2:$CK$25,MATCH($E202,DEMANDS!$E$2:$E$25,0),FALSE)/HLOOKUP(2018,DEMANDS!$G$2:$CK$25,MATCH($E202,DEMANDS!$E$2:$E$25,0),FALSE)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E202" s="36">
        <f>HLOOKUP(REG_TRA_DEMANDS!AE$3,'BY-Demands'!$J$5:$AK$14,MATCH($E202,'BY-Demands'!$I$5:$I$14,0),FALSE)*HLOOKUP(REG_TRA_DEMANDS!$F202,DEMANDS!$G$2:$CK$25,MATCH($E202,DEMANDS!$E$2:$E$25,0),FALSE)/HLOOKUP(2018,DEMANDS!$G$2:$CK$25,MATCH($E202,DEMANDS!$E$2:$E$25,0),FALSE)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F202" s="36">
        <f>HLOOKUP(REG_TRA_DEMANDS!AF$3,'BY-Demands'!$J$5:$AK$14,MATCH($E202,'BY-Demands'!$I$5:$I$14,0),FALSE)*HLOOKUP(REG_TRA_DEMANDS!$F202,DEMANDS!$G$2:$CK$25,MATCH($E202,DEMANDS!$E$2:$E$25,0),FALSE)/HLOOKUP(2018,DEMANDS!$G$2:$CK$25,MATCH($E202,DEMANDS!$E$2:$E$25,0),FALSE)</f>
        <v>0</v>
      </c>
    </row>
    <row r="203" spans="4:32" ht="14.5">
      <c r="D203" t="s">
        <v>6</v>
      </c>
      <c r="E203" t="str">
        <f>DEMANDS!$E$24</f>
        <v>TAVIDOM</v>
      </c>
      <c r="F203">
        <v>2030</v>
      </c>
      <c r="G203" s="36">
        <f>HLOOKUP(REG_TRA_DEMANDS!G$3,'BY-Demands'!$J$5:$AK$14,MATCH($E203,'BY-Demands'!$I$5:$I$14,0),FALSE)*HLOOKUP(REG_TRA_DEMANDS!$F203,DEMANDS!$G$2:$CK$25,MATCH($E203,DEMANDS!$E$2:$E$25,0),FALSE)/HLOOKUP(2018,DEMANDS!$G$2:$CK$25,MATCH($E203,DEMANDS!$E$2:$E$25,0),FALSE)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H203" s="19">
        <f>HLOOKUP(REG_TRA_DEMANDS!H$3,'BY-Demands'!$J$5:$AK$14,MATCH($E203,'BY-Demands'!$I$5:$I$14,0),FALSE)*HLOOKUP(REG_TRA_DEMANDS!$F203,DEMANDS!$G$2:$CK$25,MATCH($E203,DEMANDS!$E$2:$E$25,0),FALSE)/HLOOKUP(2018,DEMANDS!$G$2:$CK$25,MATCH($E203,DEMANDS!$E$2:$E$25,0),FALSE)</f>
        <v>0.13395677260860595</v>
      </c>
      <c r="I203" s="36">
        <f>HLOOKUP(REG_TRA_DEMANDS!I$3,'BY-Demands'!$J$5:$AK$14,MATCH($E203,'BY-Demands'!$I$5:$I$14,0),FALSE)*HLOOKUP(REG_TRA_DEMANDS!$F203,DEMANDS!$G$2:$CK$25,MATCH($E203,DEMANDS!$E$2:$E$25,0),FALSE)/HLOOKUP(2018,DEMANDS!$G$2:$CK$25,MATCH($E203,DEMANDS!$E$2:$E$25,0),FALSE)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J203" s="36">
        <f>HLOOKUP(REG_TRA_DEMANDS!J$3,'BY-Demands'!$J$5:$AK$14,MATCH($E203,'BY-Demands'!$I$5:$I$14,0),FALSE)*HLOOKUP(REG_TRA_DEMANDS!$F203,DEMANDS!$G$2:$CK$25,MATCH($E203,DEMANDS!$E$2:$E$25,0),FALSE)/HLOOKUP(2018,DEMANDS!$G$2:$CK$25,MATCH($E203,DEMANDS!$E$2:$E$25,0),FALSE)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K203" s="36">
        <f>HLOOKUP(REG_TRA_DEMANDS!K$3,'BY-Demands'!$J$5:$AK$14,MATCH($E203,'BY-Demands'!$I$5:$I$14,0),FALSE)*HLOOKUP(REG_TRA_DEMANDS!$F203,DEMANDS!$G$2:$CK$25,MATCH($E203,DEMANDS!$E$2:$E$25,0),FALSE)/HLOOKUP(2018,DEMANDS!$G$2:$CK$25,MATCH($E203,DEMANDS!$E$2:$E$25,0),FALSE)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L203" s="36">
        <f>HLOOKUP(REG_TRA_DEMANDS!L$3,'BY-Demands'!$J$5:$AK$14,MATCH($E203,'BY-Demands'!$I$5:$I$14,0),FALSE)*HLOOKUP(REG_TRA_DEMANDS!$F203,DEMANDS!$G$2:$CK$25,MATCH($E203,DEMANDS!$E$2:$E$25,0),FALSE)/HLOOKUP(2018,DEMANDS!$G$2:$CK$25,MATCH($E203,DEMANDS!$E$2:$E$25,0),FALSE)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M203" s="36">
        <f>HLOOKUP(REG_TRA_DEMANDS!M$3,'BY-Demands'!$J$5:$AK$14,MATCH($E203,'BY-Demands'!$I$5:$I$14,0),FALSE)*HLOOKUP(REG_TRA_DEMANDS!$F203,DEMANDS!$G$2:$CK$25,MATCH($E203,DEMANDS!$E$2:$E$25,0),FALSE)/HLOOKUP(2018,DEMANDS!$G$2:$CK$25,MATCH($E203,DEMANDS!$E$2:$E$25,0),FALSE)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N203" s="36">
        <f>HLOOKUP(REG_TRA_DEMANDS!N$3,'BY-Demands'!$J$5:$AK$14,MATCH($E203,'BY-Demands'!$I$5:$I$14,0),FALSE)*HLOOKUP(REG_TRA_DEMANDS!$F203,DEMANDS!$G$2:$CK$25,MATCH($E203,DEMANDS!$E$2:$E$25,0),FALSE)/HLOOKUP(2018,DEMANDS!$G$2:$CK$25,MATCH($E203,DEMANDS!$E$2:$E$25,0),FALSE)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O203" s="36">
        <f>HLOOKUP(REG_TRA_DEMANDS!O$3,'BY-Demands'!$J$5:$AK$14,MATCH($E203,'BY-Demands'!$I$5:$I$14,0),FALSE)*HLOOKUP(REG_TRA_DEMANDS!$F203,DEMANDS!$G$2:$CK$25,MATCH($E203,DEMANDS!$E$2:$E$25,0),FALSE)/HLOOKUP(2018,DEMANDS!$G$2:$CK$25,MATCH($E203,DEMANDS!$E$2:$E$25,0),FALSE)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P203" s="36">
        <f>HLOOKUP(REG_TRA_DEMANDS!P$3,'BY-Demands'!$J$5:$AK$14,MATCH($E203,'BY-Demands'!$I$5:$I$14,0),FALSE)*HLOOKUP(REG_TRA_DEMANDS!$F203,DEMANDS!$G$2:$CK$25,MATCH($E203,DEMANDS!$E$2:$E$25,0),FALSE)/HLOOKUP(2018,DEMANDS!$G$2:$CK$25,MATCH($E203,DEMANDS!$E$2:$E$25,0),FALSE)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Q203" s="36">
        <f>HLOOKUP(REG_TRA_DEMANDS!Q$3,'BY-Demands'!$J$5:$AK$14,MATCH($E203,'BY-Demands'!$I$5:$I$14,0),FALSE)*HLOOKUP(REG_TRA_DEMANDS!$F203,DEMANDS!$G$2:$CK$25,MATCH($E203,DEMANDS!$E$2:$E$25,0),FALSE)/HLOOKUP(2018,DEMANDS!$G$2:$CK$25,MATCH($E203,DEMANDS!$E$2:$E$25,0),FALSE)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R203" s="36">
        <f>HLOOKUP(REG_TRA_DEMANDS!R$3,'BY-Demands'!$J$5:$AK$14,MATCH($E203,'BY-Demands'!$I$5:$I$14,0),FALSE)*HLOOKUP(REG_TRA_DEMANDS!$F203,DEMANDS!$G$2:$CK$25,MATCH($E203,DEMANDS!$E$2:$E$25,0),FALSE)/HLOOKUP(2018,DEMANDS!$G$2:$CK$25,MATCH($E203,DEMANDS!$E$2:$E$25,0),FALSE)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S203" s="19">
        <f>HLOOKUP(REG_TRA_DEMANDS!S$3,'BY-Demands'!$J$5:$AK$14,MATCH($E203,'BY-Demands'!$I$5:$I$14,0),FALSE)*HLOOKUP(REG_TRA_DEMANDS!$F203,DEMANDS!$G$2:$CK$25,MATCH($E203,DEMANDS!$E$2:$E$25,0),FALSE)/HLOOKUP(2018,DEMANDS!$G$2:$CK$25,MATCH($E203,DEMANDS!$E$2:$E$25,0),FALSE)</f>
        <v>0.046779068407982807</v>
      </c>
      <c r="T203" s="19">
        <f>HLOOKUP(REG_TRA_DEMANDS!T$3,'BY-Demands'!$J$5:$AK$14,MATCH($E203,'BY-Demands'!$I$5:$I$14,0),FALSE)*HLOOKUP(REG_TRA_DEMANDS!$F203,DEMANDS!$G$2:$CK$25,MATCH($E203,DEMANDS!$E$2:$E$25,0),FALSE)/HLOOKUP(2018,DEMANDS!$G$2:$CK$25,MATCH($E203,DEMANDS!$E$2:$E$25,0),FALSE)</f>
        <v>0.00046352277307537207</v>
      </c>
      <c r="U203" s="19">
        <f>HLOOKUP(REG_TRA_DEMANDS!U$3,'BY-Demands'!$J$5:$AK$14,MATCH($E203,'BY-Demands'!$I$5:$I$14,0),FALSE)*HLOOKUP(REG_TRA_DEMANDS!$F203,DEMANDS!$G$2:$CK$25,MATCH($E203,DEMANDS!$E$2:$E$25,0),FALSE)/HLOOKUP(2018,DEMANDS!$G$2:$CK$25,MATCH($E203,DEMANDS!$E$2:$E$25,0),FALSE)</f>
        <v>0.046529102661710439</v>
      </c>
      <c r="V203" s="36">
        <f>HLOOKUP(REG_TRA_DEMANDS!V$3,'BY-Demands'!$J$5:$AK$14,MATCH($E203,'BY-Demands'!$I$5:$I$14,0),FALSE)*HLOOKUP(REG_TRA_DEMANDS!$F203,DEMANDS!$G$2:$CK$25,MATCH($E203,DEMANDS!$E$2:$E$25,0),FALSE)/HLOOKUP(2018,DEMANDS!$G$2:$CK$25,MATCH($E203,DEMANDS!$E$2:$E$25,0),FALSE)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W203" s="36">
        <f>HLOOKUP(REG_TRA_DEMANDS!W$3,'BY-Demands'!$J$5:$AK$14,MATCH($E203,'BY-Demands'!$I$5:$I$14,0),FALSE)*HLOOKUP(REG_TRA_DEMANDS!$F203,DEMANDS!$G$2:$CK$25,MATCH($E203,DEMANDS!$E$2:$E$25,0),FALSE)/HLOOKUP(2018,DEMANDS!$G$2:$CK$25,MATCH($E203,DEMANDS!$E$2:$E$25,0),FALSE)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X203" s="36">
        <f>HLOOKUP(REG_TRA_DEMANDS!X$3,'BY-Demands'!$J$5:$AK$14,MATCH($E203,'BY-Demands'!$I$5:$I$14,0),FALSE)*HLOOKUP(REG_TRA_DEMANDS!$F203,DEMANDS!$G$2:$CK$25,MATCH($E203,DEMANDS!$E$2:$E$25,0),FALSE)/HLOOKUP(2018,DEMANDS!$G$2:$CK$25,MATCH($E203,DEMANDS!$E$2:$E$25,0),FALSE)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Y203" s="36">
        <f>HLOOKUP(REG_TRA_DEMANDS!Y$3,'BY-Demands'!$J$5:$AK$14,MATCH($E203,'BY-Demands'!$I$5:$I$14,0),FALSE)*HLOOKUP(REG_TRA_DEMANDS!$F203,DEMANDS!$G$2:$CK$25,MATCH($E203,DEMANDS!$E$2:$E$25,0),FALSE)/HLOOKUP(2018,DEMANDS!$G$2:$CK$25,MATCH($E203,DEMANDS!$E$2:$E$25,0),FALSE)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Z203" s="36">
        <f>HLOOKUP(REG_TRA_DEMANDS!Z$3,'BY-Demands'!$J$5:$AK$14,MATCH($E203,'BY-Demands'!$I$5:$I$14,0),FALSE)*HLOOKUP(REG_TRA_DEMANDS!$F203,DEMANDS!$G$2:$CK$25,MATCH($E203,DEMANDS!$E$2:$E$25,0),FALSE)/HLOOKUP(2018,DEMANDS!$G$2:$CK$25,MATCH($E203,DEMANDS!$E$2:$E$25,0),FALSE)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A203" s="36">
        <f>HLOOKUP(REG_TRA_DEMANDS!AA$3,'BY-Demands'!$J$5:$AK$14,MATCH($E203,'BY-Demands'!$I$5:$I$14,0),FALSE)*HLOOKUP(REG_TRA_DEMANDS!$F203,DEMANDS!$G$2:$CK$25,MATCH($E203,DEMANDS!$E$2:$E$25,0),FALSE)/HLOOKUP(2018,DEMANDS!$G$2:$CK$25,MATCH($E203,DEMANDS!$E$2:$E$25,0),FALSE)</f>
        <v>9.2704554615074527E-05</v>
      </c>
      <c r="AB203" s="36">
        <f>HLOOKUP(REG_TRA_DEMANDS!AB$3,'BY-Demands'!$J$5:$AK$14,MATCH($E203,'BY-Demands'!$I$5:$I$14,0),FALSE)*HLOOKUP(REG_TRA_DEMANDS!$F203,DEMANDS!$G$2:$CK$25,MATCH($E203,DEMANDS!$E$2:$E$25,0),FALSE)/HLOOKUP(2018,DEMANDS!$G$2:$CK$25,MATCH($E203,DEMANDS!$E$2:$E$25,0),FALSE)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C203" s="36">
        <f>HLOOKUP(REG_TRA_DEMANDS!AC$3,'BY-Demands'!$J$5:$AK$14,MATCH($E203,'BY-Demands'!$I$5:$I$14,0),FALSE)*HLOOKUP(REG_TRA_DEMANDS!$F203,DEMANDS!$G$2:$CK$25,MATCH($E203,DEMANDS!$E$2:$E$25,0),FALSE)/HLOOKUP(2018,DEMANDS!$G$2:$CK$25,MATCH($E203,DEMANDS!$E$2:$E$25,0),FALSE)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D203" s="36">
        <f>HLOOKUP(REG_TRA_DEMANDS!AD$3,'BY-Demands'!$J$5:$AK$14,MATCH($E203,'BY-Demands'!$I$5:$I$14,0),FALSE)*HLOOKUP(REG_TRA_DEMANDS!$F203,DEMANDS!$G$2:$CK$25,MATCH($E203,DEMANDS!$E$2:$E$25,0),FALSE)/HLOOKUP(2018,DEMANDS!$G$2:$CK$25,MATCH($E203,DEMANDS!$E$2:$E$25,0),FALSE)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E203" s="36">
        <f>HLOOKUP(REG_TRA_DEMANDS!AE$3,'BY-Demands'!$J$5:$AK$14,MATCH($E203,'BY-Demands'!$I$5:$I$14,0),FALSE)*HLOOKUP(REG_TRA_DEMANDS!$F203,DEMANDS!$G$2:$CK$25,MATCH($E203,DEMANDS!$E$2:$E$25,0),FALSE)/HLOOKUP(2018,DEMANDS!$G$2:$CK$25,MATCH($E203,DEMANDS!$E$2:$E$25,0),FALSE)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F203" s="36">
        <f>HLOOKUP(REG_TRA_DEMANDS!AF$3,'BY-Demands'!$J$5:$AK$14,MATCH($E203,'BY-Demands'!$I$5:$I$14,0),FALSE)*HLOOKUP(REG_TRA_DEMANDS!$F203,DEMANDS!$G$2:$CK$25,MATCH($E203,DEMANDS!$E$2:$E$25,0),FALSE)/HLOOKUP(2018,DEMANDS!$G$2:$CK$25,MATCH($E203,DEMANDS!$E$2:$E$25,0),FALSE)</f>
        <v>0</v>
      </c>
    </row>
    <row r="204" spans="4:32" ht="14.5">
      <c r="D204" t="s">
        <v>6</v>
      </c>
      <c r="E204" t="str">
        <f>DEMANDS!$E$24</f>
        <v>TAVIDOM</v>
      </c>
      <c r="F204">
        <v>2031</v>
      </c>
      <c r="G204" s="36">
        <f>HLOOKUP(REG_TRA_DEMANDS!G$3,'BY-Demands'!$J$5:$AK$14,MATCH($E204,'BY-Demands'!$I$5:$I$14,0),FALSE)*HLOOKUP(REG_TRA_DEMANDS!$F204,DEMANDS!$G$2:$CK$25,MATCH($E204,DEMANDS!$E$2:$E$25,0),FALSE)/HLOOKUP(2018,DEMANDS!$G$2:$CK$25,MATCH($E204,DEMANDS!$E$2:$E$25,0),FALSE)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H204" s="19">
        <f>HLOOKUP(REG_TRA_DEMANDS!H$3,'BY-Demands'!$J$5:$AK$14,MATCH($E204,'BY-Demands'!$I$5:$I$14,0),FALSE)*HLOOKUP(REG_TRA_DEMANDS!$F204,DEMANDS!$G$2:$CK$25,MATCH($E204,DEMANDS!$E$2:$E$25,0),FALSE)/HLOOKUP(2018,DEMANDS!$G$2:$CK$25,MATCH($E204,DEMANDS!$E$2:$E$25,0),FALSE)</f>
        <v>0.13395677260860595</v>
      </c>
      <c r="I204" s="36">
        <f>HLOOKUP(REG_TRA_DEMANDS!I$3,'BY-Demands'!$J$5:$AK$14,MATCH($E204,'BY-Demands'!$I$5:$I$14,0),FALSE)*HLOOKUP(REG_TRA_DEMANDS!$F204,DEMANDS!$G$2:$CK$25,MATCH($E204,DEMANDS!$E$2:$E$25,0),FALSE)/HLOOKUP(2018,DEMANDS!$G$2:$CK$25,MATCH($E204,DEMANDS!$E$2:$E$25,0),FALSE)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J204" s="36">
        <f>HLOOKUP(REG_TRA_DEMANDS!J$3,'BY-Demands'!$J$5:$AK$14,MATCH($E204,'BY-Demands'!$I$5:$I$14,0),FALSE)*HLOOKUP(REG_TRA_DEMANDS!$F204,DEMANDS!$G$2:$CK$25,MATCH($E204,DEMANDS!$E$2:$E$25,0),FALSE)/HLOOKUP(2018,DEMANDS!$G$2:$CK$25,MATCH($E204,DEMANDS!$E$2:$E$25,0),FALSE)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K204" s="36">
        <f>HLOOKUP(REG_TRA_DEMANDS!K$3,'BY-Demands'!$J$5:$AK$14,MATCH($E204,'BY-Demands'!$I$5:$I$14,0),FALSE)*HLOOKUP(REG_TRA_DEMANDS!$F204,DEMANDS!$G$2:$CK$25,MATCH($E204,DEMANDS!$E$2:$E$25,0),FALSE)/HLOOKUP(2018,DEMANDS!$G$2:$CK$25,MATCH($E204,DEMANDS!$E$2:$E$25,0),FALSE)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L204" s="36">
        <f>HLOOKUP(REG_TRA_DEMANDS!L$3,'BY-Demands'!$J$5:$AK$14,MATCH($E204,'BY-Demands'!$I$5:$I$14,0),FALSE)*HLOOKUP(REG_TRA_DEMANDS!$F204,DEMANDS!$G$2:$CK$25,MATCH($E204,DEMANDS!$E$2:$E$25,0),FALSE)/HLOOKUP(2018,DEMANDS!$G$2:$CK$25,MATCH($E204,DEMANDS!$E$2:$E$25,0),FALSE)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M204" s="36">
        <f>HLOOKUP(REG_TRA_DEMANDS!M$3,'BY-Demands'!$J$5:$AK$14,MATCH($E204,'BY-Demands'!$I$5:$I$14,0),FALSE)*HLOOKUP(REG_TRA_DEMANDS!$F204,DEMANDS!$G$2:$CK$25,MATCH($E204,DEMANDS!$E$2:$E$25,0),FALSE)/HLOOKUP(2018,DEMANDS!$G$2:$CK$25,MATCH($E204,DEMANDS!$E$2:$E$25,0),FALSE)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N204" s="36">
        <f>HLOOKUP(REG_TRA_DEMANDS!N$3,'BY-Demands'!$J$5:$AK$14,MATCH($E204,'BY-Demands'!$I$5:$I$14,0),FALSE)*HLOOKUP(REG_TRA_DEMANDS!$F204,DEMANDS!$G$2:$CK$25,MATCH($E204,DEMANDS!$E$2:$E$25,0),FALSE)/HLOOKUP(2018,DEMANDS!$G$2:$CK$25,MATCH($E204,DEMANDS!$E$2:$E$25,0),FALSE)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O204" s="36">
        <f>HLOOKUP(REG_TRA_DEMANDS!O$3,'BY-Demands'!$J$5:$AK$14,MATCH($E204,'BY-Demands'!$I$5:$I$14,0),FALSE)*HLOOKUP(REG_TRA_DEMANDS!$F204,DEMANDS!$G$2:$CK$25,MATCH($E204,DEMANDS!$E$2:$E$25,0),FALSE)/HLOOKUP(2018,DEMANDS!$G$2:$CK$25,MATCH($E204,DEMANDS!$E$2:$E$25,0),FALSE)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P204" s="36">
        <f>HLOOKUP(REG_TRA_DEMANDS!P$3,'BY-Demands'!$J$5:$AK$14,MATCH($E204,'BY-Demands'!$I$5:$I$14,0),FALSE)*HLOOKUP(REG_TRA_DEMANDS!$F204,DEMANDS!$G$2:$CK$25,MATCH($E204,DEMANDS!$E$2:$E$25,0),FALSE)/HLOOKUP(2018,DEMANDS!$G$2:$CK$25,MATCH($E204,DEMANDS!$E$2:$E$25,0),FALSE)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Q204" s="36">
        <f>HLOOKUP(REG_TRA_DEMANDS!Q$3,'BY-Demands'!$J$5:$AK$14,MATCH($E204,'BY-Demands'!$I$5:$I$14,0),FALSE)*HLOOKUP(REG_TRA_DEMANDS!$F204,DEMANDS!$G$2:$CK$25,MATCH($E204,DEMANDS!$E$2:$E$25,0),FALSE)/HLOOKUP(2018,DEMANDS!$G$2:$CK$25,MATCH($E204,DEMANDS!$E$2:$E$25,0),FALSE)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R204" s="36">
        <f>HLOOKUP(REG_TRA_DEMANDS!R$3,'BY-Demands'!$J$5:$AK$14,MATCH($E204,'BY-Demands'!$I$5:$I$14,0),FALSE)*HLOOKUP(REG_TRA_DEMANDS!$F204,DEMANDS!$G$2:$CK$25,MATCH($E204,DEMANDS!$E$2:$E$25,0),FALSE)/HLOOKUP(2018,DEMANDS!$G$2:$CK$25,MATCH($E204,DEMANDS!$E$2:$E$25,0),FALSE)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S204" s="19">
        <f>HLOOKUP(REG_TRA_DEMANDS!S$3,'BY-Demands'!$J$5:$AK$14,MATCH($E204,'BY-Demands'!$I$5:$I$14,0),FALSE)*HLOOKUP(REG_TRA_DEMANDS!$F204,DEMANDS!$G$2:$CK$25,MATCH($E204,DEMANDS!$E$2:$E$25,0),FALSE)/HLOOKUP(2018,DEMANDS!$G$2:$CK$25,MATCH($E204,DEMANDS!$E$2:$E$25,0),FALSE)</f>
        <v>0.046779068407982807</v>
      </c>
      <c r="T204" s="19">
        <f>HLOOKUP(REG_TRA_DEMANDS!T$3,'BY-Demands'!$J$5:$AK$14,MATCH($E204,'BY-Demands'!$I$5:$I$14,0),FALSE)*HLOOKUP(REG_TRA_DEMANDS!$F204,DEMANDS!$G$2:$CK$25,MATCH($E204,DEMANDS!$E$2:$E$25,0),FALSE)/HLOOKUP(2018,DEMANDS!$G$2:$CK$25,MATCH($E204,DEMANDS!$E$2:$E$25,0),FALSE)</f>
        <v>0.00046352277307537207</v>
      </c>
      <c r="U204" s="19">
        <f>HLOOKUP(REG_TRA_DEMANDS!U$3,'BY-Demands'!$J$5:$AK$14,MATCH($E204,'BY-Demands'!$I$5:$I$14,0),FALSE)*HLOOKUP(REG_TRA_DEMANDS!$F204,DEMANDS!$G$2:$CK$25,MATCH($E204,DEMANDS!$E$2:$E$25,0),FALSE)/HLOOKUP(2018,DEMANDS!$G$2:$CK$25,MATCH($E204,DEMANDS!$E$2:$E$25,0),FALSE)</f>
        <v>0.046529102661710439</v>
      </c>
      <c r="V204" s="36">
        <f>HLOOKUP(REG_TRA_DEMANDS!V$3,'BY-Demands'!$J$5:$AK$14,MATCH($E204,'BY-Demands'!$I$5:$I$14,0),FALSE)*HLOOKUP(REG_TRA_DEMANDS!$F204,DEMANDS!$G$2:$CK$25,MATCH($E204,DEMANDS!$E$2:$E$25,0),FALSE)/HLOOKUP(2018,DEMANDS!$G$2:$CK$25,MATCH($E204,DEMANDS!$E$2:$E$25,0),FALSE)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W204" s="36">
        <f>HLOOKUP(REG_TRA_DEMANDS!W$3,'BY-Demands'!$J$5:$AK$14,MATCH($E204,'BY-Demands'!$I$5:$I$14,0),FALSE)*HLOOKUP(REG_TRA_DEMANDS!$F204,DEMANDS!$G$2:$CK$25,MATCH($E204,DEMANDS!$E$2:$E$25,0),FALSE)/HLOOKUP(2018,DEMANDS!$G$2:$CK$25,MATCH($E204,DEMANDS!$E$2:$E$25,0),FALSE)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X204" s="36">
        <f>HLOOKUP(REG_TRA_DEMANDS!X$3,'BY-Demands'!$J$5:$AK$14,MATCH($E204,'BY-Demands'!$I$5:$I$14,0),FALSE)*HLOOKUP(REG_TRA_DEMANDS!$F204,DEMANDS!$G$2:$CK$25,MATCH($E204,DEMANDS!$E$2:$E$25,0),FALSE)/HLOOKUP(2018,DEMANDS!$G$2:$CK$25,MATCH($E204,DEMANDS!$E$2:$E$25,0),FALSE)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Y204" s="36">
        <f>HLOOKUP(REG_TRA_DEMANDS!Y$3,'BY-Demands'!$J$5:$AK$14,MATCH($E204,'BY-Demands'!$I$5:$I$14,0),FALSE)*HLOOKUP(REG_TRA_DEMANDS!$F204,DEMANDS!$G$2:$CK$25,MATCH($E204,DEMANDS!$E$2:$E$25,0),FALSE)/HLOOKUP(2018,DEMANDS!$G$2:$CK$25,MATCH($E204,DEMANDS!$E$2:$E$25,0),FALSE)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Z204" s="36">
        <f>HLOOKUP(REG_TRA_DEMANDS!Z$3,'BY-Demands'!$J$5:$AK$14,MATCH($E204,'BY-Demands'!$I$5:$I$14,0),FALSE)*HLOOKUP(REG_TRA_DEMANDS!$F204,DEMANDS!$G$2:$CK$25,MATCH($E204,DEMANDS!$E$2:$E$25,0),FALSE)/HLOOKUP(2018,DEMANDS!$G$2:$CK$25,MATCH($E204,DEMANDS!$E$2:$E$25,0),FALSE)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A204" s="36">
        <f>HLOOKUP(REG_TRA_DEMANDS!AA$3,'BY-Demands'!$J$5:$AK$14,MATCH($E204,'BY-Demands'!$I$5:$I$14,0),FALSE)*HLOOKUP(REG_TRA_DEMANDS!$F204,DEMANDS!$G$2:$CK$25,MATCH($E204,DEMANDS!$E$2:$E$25,0),FALSE)/HLOOKUP(2018,DEMANDS!$G$2:$CK$25,MATCH($E204,DEMANDS!$E$2:$E$25,0),FALSE)</f>
        <v>9.2704554615074527E-05</v>
      </c>
      <c r="AB204" s="36">
        <f>HLOOKUP(REG_TRA_DEMANDS!AB$3,'BY-Demands'!$J$5:$AK$14,MATCH($E204,'BY-Demands'!$I$5:$I$14,0),FALSE)*HLOOKUP(REG_TRA_DEMANDS!$F204,DEMANDS!$G$2:$CK$25,MATCH($E204,DEMANDS!$E$2:$E$25,0),FALSE)/HLOOKUP(2018,DEMANDS!$G$2:$CK$25,MATCH($E204,DEMANDS!$E$2:$E$25,0),FALSE)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C204" s="36">
        <f>HLOOKUP(REG_TRA_DEMANDS!AC$3,'BY-Demands'!$J$5:$AK$14,MATCH($E204,'BY-Demands'!$I$5:$I$14,0),FALSE)*HLOOKUP(REG_TRA_DEMANDS!$F204,DEMANDS!$G$2:$CK$25,MATCH($E204,DEMANDS!$E$2:$E$25,0),FALSE)/HLOOKUP(2018,DEMANDS!$G$2:$CK$25,MATCH($E204,DEMANDS!$E$2:$E$25,0),FALSE)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D204" s="36">
        <f>HLOOKUP(REG_TRA_DEMANDS!AD$3,'BY-Demands'!$J$5:$AK$14,MATCH($E204,'BY-Demands'!$I$5:$I$14,0),FALSE)*HLOOKUP(REG_TRA_DEMANDS!$F204,DEMANDS!$G$2:$CK$25,MATCH($E204,DEMANDS!$E$2:$E$25,0),FALSE)/HLOOKUP(2018,DEMANDS!$G$2:$CK$25,MATCH($E204,DEMANDS!$E$2:$E$25,0),FALSE)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E204" s="36">
        <f>HLOOKUP(REG_TRA_DEMANDS!AE$3,'BY-Demands'!$J$5:$AK$14,MATCH($E204,'BY-Demands'!$I$5:$I$14,0),FALSE)*HLOOKUP(REG_TRA_DEMANDS!$F204,DEMANDS!$G$2:$CK$25,MATCH($E204,DEMANDS!$E$2:$E$25,0),FALSE)/HLOOKUP(2018,DEMANDS!$G$2:$CK$25,MATCH($E204,DEMANDS!$E$2:$E$25,0),FALSE)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F204" s="36">
        <f>HLOOKUP(REG_TRA_DEMANDS!AF$3,'BY-Demands'!$J$5:$AK$14,MATCH($E204,'BY-Demands'!$I$5:$I$14,0),FALSE)*HLOOKUP(REG_TRA_DEMANDS!$F204,DEMANDS!$G$2:$CK$25,MATCH($E204,DEMANDS!$E$2:$E$25,0),FALSE)/HLOOKUP(2018,DEMANDS!$G$2:$CK$25,MATCH($E204,DEMANDS!$E$2:$E$25,0),FALSE)</f>
        <v>0</v>
      </c>
    </row>
    <row r="205" spans="4:32" ht="14.5">
      <c r="D205" t="s">
        <v>6</v>
      </c>
      <c r="E205" t="str">
        <f>DEMANDS!$E$24</f>
        <v>TAVIDOM</v>
      </c>
      <c r="F205">
        <v>2032</v>
      </c>
      <c r="G205" s="36">
        <f>HLOOKUP(REG_TRA_DEMANDS!G$3,'BY-Demands'!$J$5:$AK$14,MATCH($E205,'BY-Demands'!$I$5:$I$14,0),FALSE)*HLOOKUP(REG_TRA_DEMANDS!$F205,DEMANDS!$G$2:$CK$25,MATCH($E205,DEMANDS!$E$2:$E$25,0),FALSE)/HLOOKUP(2018,DEMANDS!$G$2:$CK$25,MATCH($E205,DEMANDS!$E$2:$E$25,0),FALSE)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H205" s="19">
        <f>HLOOKUP(REG_TRA_DEMANDS!H$3,'BY-Demands'!$J$5:$AK$14,MATCH($E205,'BY-Demands'!$I$5:$I$14,0),FALSE)*HLOOKUP(REG_TRA_DEMANDS!$F205,DEMANDS!$G$2:$CK$25,MATCH($E205,DEMANDS!$E$2:$E$25,0),FALSE)/HLOOKUP(2018,DEMANDS!$G$2:$CK$25,MATCH($E205,DEMANDS!$E$2:$E$25,0),FALSE)</f>
        <v>0.13395677260860595</v>
      </c>
      <c r="I205" s="36">
        <f>HLOOKUP(REG_TRA_DEMANDS!I$3,'BY-Demands'!$J$5:$AK$14,MATCH($E205,'BY-Demands'!$I$5:$I$14,0),FALSE)*HLOOKUP(REG_TRA_DEMANDS!$F205,DEMANDS!$G$2:$CK$25,MATCH($E205,DEMANDS!$E$2:$E$25,0),FALSE)/HLOOKUP(2018,DEMANDS!$G$2:$CK$25,MATCH($E205,DEMANDS!$E$2:$E$25,0),FALSE)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J205" s="36">
        <f>HLOOKUP(REG_TRA_DEMANDS!J$3,'BY-Demands'!$J$5:$AK$14,MATCH($E205,'BY-Demands'!$I$5:$I$14,0),FALSE)*HLOOKUP(REG_TRA_DEMANDS!$F205,DEMANDS!$G$2:$CK$25,MATCH($E205,DEMANDS!$E$2:$E$25,0),FALSE)/HLOOKUP(2018,DEMANDS!$G$2:$CK$25,MATCH($E205,DEMANDS!$E$2:$E$25,0),FALSE)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K205" s="36">
        <f>HLOOKUP(REG_TRA_DEMANDS!K$3,'BY-Demands'!$J$5:$AK$14,MATCH($E205,'BY-Demands'!$I$5:$I$14,0),FALSE)*HLOOKUP(REG_TRA_DEMANDS!$F205,DEMANDS!$G$2:$CK$25,MATCH($E205,DEMANDS!$E$2:$E$25,0),FALSE)/HLOOKUP(2018,DEMANDS!$G$2:$CK$25,MATCH($E205,DEMANDS!$E$2:$E$25,0),FALSE)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L205" s="36">
        <f>HLOOKUP(REG_TRA_DEMANDS!L$3,'BY-Demands'!$J$5:$AK$14,MATCH($E205,'BY-Demands'!$I$5:$I$14,0),FALSE)*HLOOKUP(REG_TRA_DEMANDS!$F205,DEMANDS!$G$2:$CK$25,MATCH($E205,DEMANDS!$E$2:$E$25,0),FALSE)/HLOOKUP(2018,DEMANDS!$G$2:$CK$25,MATCH($E205,DEMANDS!$E$2:$E$25,0),FALSE)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M205" s="36">
        <f>HLOOKUP(REG_TRA_DEMANDS!M$3,'BY-Demands'!$J$5:$AK$14,MATCH($E205,'BY-Demands'!$I$5:$I$14,0),FALSE)*HLOOKUP(REG_TRA_DEMANDS!$F205,DEMANDS!$G$2:$CK$25,MATCH($E205,DEMANDS!$E$2:$E$25,0),FALSE)/HLOOKUP(2018,DEMANDS!$G$2:$CK$25,MATCH($E205,DEMANDS!$E$2:$E$25,0),FALSE)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N205" s="36">
        <f>HLOOKUP(REG_TRA_DEMANDS!N$3,'BY-Demands'!$J$5:$AK$14,MATCH($E205,'BY-Demands'!$I$5:$I$14,0),FALSE)*HLOOKUP(REG_TRA_DEMANDS!$F205,DEMANDS!$G$2:$CK$25,MATCH($E205,DEMANDS!$E$2:$E$25,0),FALSE)/HLOOKUP(2018,DEMANDS!$G$2:$CK$25,MATCH($E205,DEMANDS!$E$2:$E$25,0),FALSE)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O205" s="36">
        <f>HLOOKUP(REG_TRA_DEMANDS!O$3,'BY-Demands'!$J$5:$AK$14,MATCH($E205,'BY-Demands'!$I$5:$I$14,0),FALSE)*HLOOKUP(REG_TRA_DEMANDS!$F205,DEMANDS!$G$2:$CK$25,MATCH($E205,DEMANDS!$E$2:$E$25,0),FALSE)/HLOOKUP(2018,DEMANDS!$G$2:$CK$25,MATCH($E205,DEMANDS!$E$2:$E$25,0),FALSE)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P205" s="36">
        <f>HLOOKUP(REG_TRA_DEMANDS!P$3,'BY-Demands'!$J$5:$AK$14,MATCH($E205,'BY-Demands'!$I$5:$I$14,0),FALSE)*HLOOKUP(REG_TRA_DEMANDS!$F205,DEMANDS!$G$2:$CK$25,MATCH($E205,DEMANDS!$E$2:$E$25,0),FALSE)/HLOOKUP(2018,DEMANDS!$G$2:$CK$25,MATCH($E205,DEMANDS!$E$2:$E$25,0),FALSE)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Q205" s="36">
        <f>HLOOKUP(REG_TRA_DEMANDS!Q$3,'BY-Demands'!$J$5:$AK$14,MATCH($E205,'BY-Demands'!$I$5:$I$14,0),FALSE)*HLOOKUP(REG_TRA_DEMANDS!$F205,DEMANDS!$G$2:$CK$25,MATCH($E205,DEMANDS!$E$2:$E$25,0),FALSE)/HLOOKUP(2018,DEMANDS!$G$2:$CK$25,MATCH($E205,DEMANDS!$E$2:$E$25,0),FALSE)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R205" s="36">
        <f>HLOOKUP(REG_TRA_DEMANDS!R$3,'BY-Demands'!$J$5:$AK$14,MATCH($E205,'BY-Demands'!$I$5:$I$14,0),FALSE)*HLOOKUP(REG_TRA_DEMANDS!$F205,DEMANDS!$G$2:$CK$25,MATCH($E205,DEMANDS!$E$2:$E$25,0),FALSE)/HLOOKUP(2018,DEMANDS!$G$2:$CK$25,MATCH($E205,DEMANDS!$E$2:$E$25,0),FALSE)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S205" s="19">
        <f>HLOOKUP(REG_TRA_DEMANDS!S$3,'BY-Demands'!$J$5:$AK$14,MATCH($E205,'BY-Demands'!$I$5:$I$14,0),FALSE)*HLOOKUP(REG_TRA_DEMANDS!$F205,DEMANDS!$G$2:$CK$25,MATCH($E205,DEMANDS!$E$2:$E$25,0),FALSE)/HLOOKUP(2018,DEMANDS!$G$2:$CK$25,MATCH($E205,DEMANDS!$E$2:$E$25,0),FALSE)</f>
        <v>0.046779068407982807</v>
      </c>
      <c r="T205" s="19">
        <f>HLOOKUP(REG_TRA_DEMANDS!T$3,'BY-Demands'!$J$5:$AK$14,MATCH($E205,'BY-Demands'!$I$5:$I$14,0),FALSE)*HLOOKUP(REG_TRA_DEMANDS!$F205,DEMANDS!$G$2:$CK$25,MATCH($E205,DEMANDS!$E$2:$E$25,0),FALSE)/HLOOKUP(2018,DEMANDS!$G$2:$CK$25,MATCH($E205,DEMANDS!$E$2:$E$25,0),FALSE)</f>
        <v>0.00046352277307537207</v>
      </c>
      <c r="U205" s="19">
        <f>HLOOKUP(REG_TRA_DEMANDS!U$3,'BY-Demands'!$J$5:$AK$14,MATCH($E205,'BY-Demands'!$I$5:$I$14,0),FALSE)*HLOOKUP(REG_TRA_DEMANDS!$F205,DEMANDS!$G$2:$CK$25,MATCH($E205,DEMANDS!$E$2:$E$25,0),FALSE)/HLOOKUP(2018,DEMANDS!$G$2:$CK$25,MATCH($E205,DEMANDS!$E$2:$E$25,0),FALSE)</f>
        <v>0.046529102661710439</v>
      </c>
      <c r="V205" s="36">
        <f>HLOOKUP(REG_TRA_DEMANDS!V$3,'BY-Demands'!$J$5:$AK$14,MATCH($E205,'BY-Demands'!$I$5:$I$14,0),FALSE)*HLOOKUP(REG_TRA_DEMANDS!$F205,DEMANDS!$G$2:$CK$25,MATCH($E205,DEMANDS!$E$2:$E$25,0),FALSE)/HLOOKUP(2018,DEMANDS!$G$2:$CK$25,MATCH($E205,DEMANDS!$E$2:$E$25,0),FALSE)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W205" s="36">
        <f>HLOOKUP(REG_TRA_DEMANDS!W$3,'BY-Demands'!$J$5:$AK$14,MATCH($E205,'BY-Demands'!$I$5:$I$14,0),FALSE)*HLOOKUP(REG_TRA_DEMANDS!$F205,DEMANDS!$G$2:$CK$25,MATCH($E205,DEMANDS!$E$2:$E$25,0),FALSE)/HLOOKUP(2018,DEMANDS!$G$2:$CK$25,MATCH($E205,DEMANDS!$E$2:$E$25,0),FALSE)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X205" s="36">
        <f>HLOOKUP(REG_TRA_DEMANDS!X$3,'BY-Demands'!$J$5:$AK$14,MATCH($E205,'BY-Demands'!$I$5:$I$14,0),FALSE)*HLOOKUP(REG_TRA_DEMANDS!$F205,DEMANDS!$G$2:$CK$25,MATCH($E205,DEMANDS!$E$2:$E$25,0),FALSE)/HLOOKUP(2018,DEMANDS!$G$2:$CK$25,MATCH($E205,DEMANDS!$E$2:$E$25,0),FALSE)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Y205" s="36">
        <f>HLOOKUP(REG_TRA_DEMANDS!Y$3,'BY-Demands'!$J$5:$AK$14,MATCH($E205,'BY-Demands'!$I$5:$I$14,0),FALSE)*HLOOKUP(REG_TRA_DEMANDS!$F205,DEMANDS!$G$2:$CK$25,MATCH($E205,DEMANDS!$E$2:$E$25,0),FALSE)/HLOOKUP(2018,DEMANDS!$G$2:$CK$25,MATCH($E205,DEMANDS!$E$2:$E$25,0),FALSE)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Z205" s="36">
        <f>HLOOKUP(REG_TRA_DEMANDS!Z$3,'BY-Demands'!$J$5:$AK$14,MATCH($E205,'BY-Demands'!$I$5:$I$14,0),FALSE)*HLOOKUP(REG_TRA_DEMANDS!$F205,DEMANDS!$G$2:$CK$25,MATCH($E205,DEMANDS!$E$2:$E$25,0),FALSE)/HLOOKUP(2018,DEMANDS!$G$2:$CK$25,MATCH($E205,DEMANDS!$E$2:$E$25,0),FALSE)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A205" s="36">
        <f>HLOOKUP(REG_TRA_DEMANDS!AA$3,'BY-Demands'!$J$5:$AK$14,MATCH($E205,'BY-Demands'!$I$5:$I$14,0),FALSE)*HLOOKUP(REG_TRA_DEMANDS!$F205,DEMANDS!$G$2:$CK$25,MATCH($E205,DEMANDS!$E$2:$E$25,0),FALSE)/HLOOKUP(2018,DEMANDS!$G$2:$CK$25,MATCH($E205,DEMANDS!$E$2:$E$25,0),FALSE)</f>
        <v>9.2704554615074527E-05</v>
      </c>
      <c r="AB205" s="36">
        <f>HLOOKUP(REG_TRA_DEMANDS!AB$3,'BY-Demands'!$J$5:$AK$14,MATCH($E205,'BY-Demands'!$I$5:$I$14,0),FALSE)*HLOOKUP(REG_TRA_DEMANDS!$F205,DEMANDS!$G$2:$CK$25,MATCH($E205,DEMANDS!$E$2:$E$25,0),FALSE)/HLOOKUP(2018,DEMANDS!$G$2:$CK$25,MATCH($E205,DEMANDS!$E$2:$E$25,0),FALSE)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C205" s="36">
        <f>HLOOKUP(REG_TRA_DEMANDS!AC$3,'BY-Demands'!$J$5:$AK$14,MATCH($E205,'BY-Demands'!$I$5:$I$14,0),FALSE)*HLOOKUP(REG_TRA_DEMANDS!$F205,DEMANDS!$G$2:$CK$25,MATCH($E205,DEMANDS!$E$2:$E$25,0),FALSE)/HLOOKUP(2018,DEMANDS!$G$2:$CK$25,MATCH($E205,DEMANDS!$E$2:$E$25,0),FALSE)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D205" s="36">
        <f>HLOOKUP(REG_TRA_DEMANDS!AD$3,'BY-Demands'!$J$5:$AK$14,MATCH($E205,'BY-Demands'!$I$5:$I$14,0),FALSE)*HLOOKUP(REG_TRA_DEMANDS!$F205,DEMANDS!$G$2:$CK$25,MATCH($E205,DEMANDS!$E$2:$E$25,0),FALSE)/HLOOKUP(2018,DEMANDS!$G$2:$CK$25,MATCH($E205,DEMANDS!$E$2:$E$25,0),FALSE)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E205" s="36">
        <f>HLOOKUP(REG_TRA_DEMANDS!AE$3,'BY-Demands'!$J$5:$AK$14,MATCH($E205,'BY-Demands'!$I$5:$I$14,0),FALSE)*HLOOKUP(REG_TRA_DEMANDS!$F205,DEMANDS!$G$2:$CK$25,MATCH($E205,DEMANDS!$E$2:$E$25,0),FALSE)/HLOOKUP(2018,DEMANDS!$G$2:$CK$25,MATCH($E205,DEMANDS!$E$2:$E$25,0),FALSE)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F205" s="36">
        <f>HLOOKUP(REG_TRA_DEMANDS!AF$3,'BY-Demands'!$J$5:$AK$14,MATCH($E205,'BY-Demands'!$I$5:$I$14,0),FALSE)*HLOOKUP(REG_TRA_DEMANDS!$F205,DEMANDS!$G$2:$CK$25,MATCH($E205,DEMANDS!$E$2:$E$25,0),FALSE)/HLOOKUP(2018,DEMANDS!$G$2:$CK$25,MATCH($E205,DEMANDS!$E$2:$E$25,0),FALSE)</f>
        <v>0</v>
      </c>
    </row>
    <row r="206" spans="4:32" ht="14.5">
      <c r="D206" t="s">
        <v>6</v>
      </c>
      <c r="E206" t="str">
        <f>DEMANDS!$E$24</f>
        <v>TAVIDOM</v>
      </c>
      <c r="F206">
        <v>2033</v>
      </c>
      <c r="G206" s="36">
        <f>HLOOKUP(REG_TRA_DEMANDS!G$3,'BY-Demands'!$J$5:$AK$14,MATCH($E206,'BY-Demands'!$I$5:$I$14,0),FALSE)*HLOOKUP(REG_TRA_DEMANDS!$F206,DEMANDS!$G$2:$CK$25,MATCH($E206,DEMANDS!$E$2:$E$25,0),FALSE)/HLOOKUP(2018,DEMANDS!$G$2:$CK$25,MATCH($E206,DEMANDS!$E$2:$E$25,0),FALSE)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H206" s="19">
        <f>HLOOKUP(REG_TRA_DEMANDS!H$3,'BY-Demands'!$J$5:$AK$14,MATCH($E206,'BY-Demands'!$I$5:$I$14,0),FALSE)*HLOOKUP(REG_TRA_DEMANDS!$F206,DEMANDS!$G$2:$CK$25,MATCH($E206,DEMANDS!$E$2:$E$25,0),FALSE)/HLOOKUP(2018,DEMANDS!$G$2:$CK$25,MATCH($E206,DEMANDS!$E$2:$E$25,0),FALSE)</f>
        <v>0.13395677260860595</v>
      </c>
      <c r="I206" s="36">
        <f>HLOOKUP(REG_TRA_DEMANDS!I$3,'BY-Demands'!$J$5:$AK$14,MATCH($E206,'BY-Demands'!$I$5:$I$14,0),FALSE)*HLOOKUP(REG_TRA_DEMANDS!$F206,DEMANDS!$G$2:$CK$25,MATCH($E206,DEMANDS!$E$2:$E$25,0),FALSE)/HLOOKUP(2018,DEMANDS!$G$2:$CK$25,MATCH($E206,DEMANDS!$E$2:$E$25,0),FALSE)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J206" s="36">
        <f>HLOOKUP(REG_TRA_DEMANDS!J$3,'BY-Demands'!$J$5:$AK$14,MATCH($E206,'BY-Demands'!$I$5:$I$14,0),FALSE)*HLOOKUP(REG_TRA_DEMANDS!$F206,DEMANDS!$G$2:$CK$25,MATCH($E206,DEMANDS!$E$2:$E$25,0),FALSE)/HLOOKUP(2018,DEMANDS!$G$2:$CK$25,MATCH($E206,DEMANDS!$E$2:$E$25,0),FALSE)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K206" s="36">
        <f>HLOOKUP(REG_TRA_DEMANDS!K$3,'BY-Demands'!$J$5:$AK$14,MATCH($E206,'BY-Demands'!$I$5:$I$14,0),FALSE)*HLOOKUP(REG_TRA_DEMANDS!$F206,DEMANDS!$G$2:$CK$25,MATCH($E206,DEMANDS!$E$2:$E$25,0),FALSE)/HLOOKUP(2018,DEMANDS!$G$2:$CK$25,MATCH($E206,DEMANDS!$E$2:$E$25,0),FALSE)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L206" s="36">
        <f>HLOOKUP(REG_TRA_DEMANDS!L$3,'BY-Demands'!$J$5:$AK$14,MATCH($E206,'BY-Demands'!$I$5:$I$14,0),FALSE)*HLOOKUP(REG_TRA_DEMANDS!$F206,DEMANDS!$G$2:$CK$25,MATCH($E206,DEMANDS!$E$2:$E$25,0),FALSE)/HLOOKUP(2018,DEMANDS!$G$2:$CK$25,MATCH($E206,DEMANDS!$E$2:$E$25,0),FALSE)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M206" s="36">
        <f>HLOOKUP(REG_TRA_DEMANDS!M$3,'BY-Demands'!$J$5:$AK$14,MATCH($E206,'BY-Demands'!$I$5:$I$14,0),FALSE)*HLOOKUP(REG_TRA_DEMANDS!$F206,DEMANDS!$G$2:$CK$25,MATCH($E206,DEMANDS!$E$2:$E$25,0),FALSE)/HLOOKUP(2018,DEMANDS!$G$2:$CK$25,MATCH($E206,DEMANDS!$E$2:$E$25,0),FALSE)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N206" s="36">
        <f>HLOOKUP(REG_TRA_DEMANDS!N$3,'BY-Demands'!$J$5:$AK$14,MATCH($E206,'BY-Demands'!$I$5:$I$14,0),FALSE)*HLOOKUP(REG_TRA_DEMANDS!$F206,DEMANDS!$G$2:$CK$25,MATCH($E206,DEMANDS!$E$2:$E$25,0),FALSE)/HLOOKUP(2018,DEMANDS!$G$2:$CK$25,MATCH($E206,DEMANDS!$E$2:$E$25,0),FALSE)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O206" s="36">
        <f>HLOOKUP(REG_TRA_DEMANDS!O$3,'BY-Demands'!$J$5:$AK$14,MATCH($E206,'BY-Demands'!$I$5:$I$14,0),FALSE)*HLOOKUP(REG_TRA_DEMANDS!$F206,DEMANDS!$G$2:$CK$25,MATCH($E206,DEMANDS!$E$2:$E$25,0),FALSE)/HLOOKUP(2018,DEMANDS!$G$2:$CK$25,MATCH($E206,DEMANDS!$E$2:$E$25,0),FALSE)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P206" s="36">
        <f>HLOOKUP(REG_TRA_DEMANDS!P$3,'BY-Demands'!$J$5:$AK$14,MATCH($E206,'BY-Demands'!$I$5:$I$14,0),FALSE)*HLOOKUP(REG_TRA_DEMANDS!$F206,DEMANDS!$G$2:$CK$25,MATCH($E206,DEMANDS!$E$2:$E$25,0),FALSE)/HLOOKUP(2018,DEMANDS!$G$2:$CK$25,MATCH($E206,DEMANDS!$E$2:$E$25,0),FALSE)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Q206" s="36">
        <f>HLOOKUP(REG_TRA_DEMANDS!Q$3,'BY-Demands'!$J$5:$AK$14,MATCH($E206,'BY-Demands'!$I$5:$I$14,0),FALSE)*HLOOKUP(REG_TRA_DEMANDS!$F206,DEMANDS!$G$2:$CK$25,MATCH($E206,DEMANDS!$E$2:$E$25,0),FALSE)/HLOOKUP(2018,DEMANDS!$G$2:$CK$25,MATCH($E206,DEMANDS!$E$2:$E$25,0),FALSE)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R206" s="36">
        <f>HLOOKUP(REG_TRA_DEMANDS!R$3,'BY-Demands'!$J$5:$AK$14,MATCH($E206,'BY-Demands'!$I$5:$I$14,0),FALSE)*HLOOKUP(REG_TRA_DEMANDS!$F206,DEMANDS!$G$2:$CK$25,MATCH($E206,DEMANDS!$E$2:$E$25,0),FALSE)/HLOOKUP(2018,DEMANDS!$G$2:$CK$25,MATCH($E206,DEMANDS!$E$2:$E$25,0),FALSE)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S206" s="19">
        <f>HLOOKUP(REG_TRA_DEMANDS!S$3,'BY-Demands'!$J$5:$AK$14,MATCH($E206,'BY-Demands'!$I$5:$I$14,0),FALSE)*HLOOKUP(REG_TRA_DEMANDS!$F206,DEMANDS!$G$2:$CK$25,MATCH($E206,DEMANDS!$E$2:$E$25,0),FALSE)/HLOOKUP(2018,DEMANDS!$G$2:$CK$25,MATCH($E206,DEMANDS!$E$2:$E$25,0),FALSE)</f>
        <v>0.046779068407982807</v>
      </c>
      <c r="T206" s="19">
        <f>HLOOKUP(REG_TRA_DEMANDS!T$3,'BY-Demands'!$J$5:$AK$14,MATCH($E206,'BY-Demands'!$I$5:$I$14,0),FALSE)*HLOOKUP(REG_TRA_DEMANDS!$F206,DEMANDS!$G$2:$CK$25,MATCH($E206,DEMANDS!$E$2:$E$25,0),FALSE)/HLOOKUP(2018,DEMANDS!$G$2:$CK$25,MATCH($E206,DEMANDS!$E$2:$E$25,0),FALSE)</f>
        <v>0.00046352277307537207</v>
      </c>
      <c r="U206" s="19">
        <f>HLOOKUP(REG_TRA_DEMANDS!U$3,'BY-Demands'!$J$5:$AK$14,MATCH($E206,'BY-Demands'!$I$5:$I$14,0),FALSE)*HLOOKUP(REG_TRA_DEMANDS!$F206,DEMANDS!$G$2:$CK$25,MATCH($E206,DEMANDS!$E$2:$E$25,0),FALSE)/HLOOKUP(2018,DEMANDS!$G$2:$CK$25,MATCH($E206,DEMANDS!$E$2:$E$25,0),FALSE)</f>
        <v>0.046529102661710439</v>
      </c>
      <c r="V206" s="36">
        <f>HLOOKUP(REG_TRA_DEMANDS!V$3,'BY-Demands'!$J$5:$AK$14,MATCH($E206,'BY-Demands'!$I$5:$I$14,0),FALSE)*HLOOKUP(REG_TRA_DEMANDS!$F206,DEMANDS!$G$2:$CK$25,MATCH($E206,DEMANDS!$E$2:$E$25,0),FALSE)/HLOOKUP(2018,DEMANDS!$G$2:$CK$25,MATCH($E206,DEMANDS!$E$2:$E$25,0),FALSE)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W206" s="36">
        <f>HLOOKUP(REG_TRA_DEMANDS!W$3,'BY-Demands'!$J$5:$AK$14,MATCH($E206,'BY-Demands'!$I$5:$I$14,0),FALSE)*HLOOKUP(REG_TRA_DEMANDS!$F206,DEMANDS!$G$2:$CK$25,MATCH($E206,DEMANDS!$E$2:$E$25,0),FALSE)/HLOOKUP(2018,DEMANDS!$G$2:$CK$25,MATCH($E206,DEMANDS!$E$2:$E$25,0),FALSE)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X206" s="36">
        <f>HLOOKUP(REG_TRA_DEMANDS!X$3,'BY-Demands'!$J$5:$AK$14,MATCH($E206,'BY-Demands'!$I$5:$I$14,0),FALSE)*HLOOKUP(REG_TRA_DEMANDS!$F206,DEMANDS!$G$2:$CK$25,MATCH($E206,DEMANDS!$E$2:$E$25,0),FALSE)/HLOOKUP(2018,DEMANDS!$G$2:$CK$25,MATCH($E206,DEMANDS!$E$2:$E$25,0),FALSE)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Y206" s="36">
        <f>HLOOKUP(REG_TRA_DEMANDS!Y$3,'BY-Demands'!$J$5:$AK$14,MATCH($E206,'BY-Demands'!$I$5:$I$14,0),FALSE)*HLOOKUP(REG_TRA_DEMANDS!$F206,DEMANDS!$G$2:$CK$25,MATCH($E206,DEMANDS!$E$2:$E$25,0),FALSE)/HLOOKUP(2018,DEMANDS!$G$2:$CK$25,MATCH($E206,DEMANDS!$E$2:$E$25,0),FALSE)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Z206" s="36">
        <f>HLOOKUP(REG_TRA_DEMANDS!Z$3,'BY-Demands'!$J$5:$AK$14,MATCH($E206,'BY-Demands'!$I$5:$I$14,0),FALSE)*HLOOKUP(REG_TRA_DEMANDS!$F206,DEMANDS!$G$2:$CK$25,MATCH($E206,DEMANDS!$E$2:$E$25,0),FALSE)/HLOOKUP(2018,DEMANDS!$G$2:$CK$25,MATCH($E206,DEMANDS!$E$2:$E$25,0),FALSE)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A206" s="36">
        <f>HLOOKUP(REG_TRA_DEMANDS!AA$3,'BY-Demands'!$J$5:$AK$14,MATCH($E206,'BY-Demands'!$I$5:$I$14,0),FALSE)*HLOOKUP(REG_TRA_DEMANDS!$F206,DEMANDS!$G$2:$CK$25,MATCH($E206,DEMANDS!$E$2:$E$25,0),FALSE)/HLOOKUP(2018,DEMANDS!$G$2:$CK$25,MATCH($E206,DEMANDS!$E$2:$E$25,0),FALSE)</f>
        <v>9.2704554615074527E-05</v>
      </c>
      <c r="AB206" s="36">
        <f>HLOOKUP(REG_TRA_DEMANDS!AB$3,'BY-Demands'!$J$5:$AK$14,MATCH($E206,'BY-Demands'!$I$5:$I$14,0),FALSE)*HLOOKUP(REG_TRA_DEMANDS!$F206,DEMANDS!$G$2:$CK$25,MATCH($E206,DEMANDS!$E$2:$E$25,0),FALSE)/HLOOKUP(2018,DEMANDS!$G$2:$CK$25,MATCH($E206,DEMANDS!$E$2:$E$25,0),FALSE)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C206" s="36">
        <f>HLOOKUP(REG_TRA_DEMANDS!AC$3,'BY-Demands'!$J$5:$AK$14,MATCH($E206,'BY-Demands'!$I$5:$I$14,0),FALSE)*HLOOKUP(REG_TRA_DEMANDS!$F206,DEMANDS!$G$2:$CK$25,MATCH($E206,DEMANDS!$E$2:$E$25,0),FALSE)/HLOOKUP(2018,DEMANDS!$G$2:$CK$25,MATCH($E206,DEMANDS!$E$2:$E$25,0),FALSE)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D206" s="36">
        <f>HLOOKUP(REG_TRA_DEMANDS!AD$3,'BY-Demands'!$J$5:$AK$14,MATCH($E206,'BY-Demands'!$I$5:$I$14,0),FALSE)*HLOOKUP(REG_TRA_DEMANDS!$F206,DEMANDS!$G$2:$CK$25,MATCH($E206,DEMANDS!$E$2:$E$25,0),FALSE)/HLOOKUP(2018,DEMANDS!$G$2:$CK$25,MATCH($E206,DEMANDS!$E$2:$E$25,0),FALSE)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E206" s="36">
        <f>HLOOKUP(REG_TRA_DEMANDS!AE$3,'BY-Demands'!$J$5:$AK$14,MATCH($E206,'BY-Demands'!$I$5:$I$14,0),FALSE)*HLOOKUP(REG_TRA_DEMANDS!$F206,DEMANDS!$G$2:$CK$25,MATCH($E206,DEMANDS!$E$2:$E$25,0),FALSE)/HLOOKUP(2018,DEMANDS!$G$2:$CK$25,MATCH($E206,DEMANDS!$E$2:$E$25,0),FALSE)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F206" s="36">
        <f>HLOOKUP(REG_TRA_DEMANDS!AF$3,'BY-Demands'!$J$5:$AK$14,MATCH($E206,'BY-Demands'!$I$5:$I$14,0),FALSE)*HLOOKUP(REG_TRA_DEMANDS!$F206,DEMANDS!$G$2:$CK$25,MATCH($E206,DEMANDS!$E$2:$E$25,0),FALSE)/HLOOKUP(2018,DEMANDS!$G$2:$CK$25,MATCH($E206,DEMANDS!$E$2:$E$25,0),FALSE)</f>
        <v>0</v>
      </c>
    </row>
    <row r="207" spans="4:32" ht="14.5">
      <c r="D207" t="s">
        <v>6</v>
      </c>
      <c r="E207" t="str">
        <f>DEMANDS!$E$24</f>
        <v>TAVIDOM</v>
      </c>
      <c r="F207">
        <v>2034</v>
      </c>
      <c r="G207" s="36">
        <f>HLOOKUP(REG_TRA_DEMANDS!G$3,'BY-Demands'!$J$5:$AK$14,MATCH($E207,'BY-Demands'!$I$5:$I$14,0),FALSE)*HLOOKUP(REG_TRA_DEMANDS!$F207,DEMANDS!$G$2:$CK$25,MATCH($E207,DEMANDS!$E$2:$E$25,0),FALSE)/HLOOKUP(2018,DEMANDS!$G$2:$CK$25,MATCH($E207,DEMANDS!$E$2:$E$25,0),FALSE)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H207" s="19">
        <f>HLOOKUP(REG_TRA_DEMANDS!H$3,'BY-Demands'!$J$5:$AK$14,MATCH($E207,'BY-Demands'!$I$5:$I$14,0),FALSE)*HLOOKUP(REG_TRA_DEMANDS!$F207,DEMANDS!$G$2:$CK$25,MATCH($E207,DEMANDS!$E$2:$E$25,0),FALSE)/HLOOKUP(2018,DEMANDS!$G$2:$CK$25,MATCH($E207,DEMANDS!$E$2:$E$25,0),FALSE)</f>
        <v>0.13395677260860595</v>
      </c>
      <c r="I207" s="36">
        <f>HLOOKUP(REG_TRA_DEMANDS!I$3,'BY-Demands'!$J$5:$AK$14,MATCH($E207,'BY-Demands'!$I$5:$I$14,0),FALSE)*HLOOKUP(REG_TRA_DEMANDS!$F207,DEMANDS!$G$2:$CK$25,MATCH($E207,DEMANDS!$E$2:$E$25,0),FALSE)/HLOOKUP(2018,DEMANDS!$G$2:$CK$25,MATCH($E207,DEMANDS!$E$2:$E$25,0),FALSE)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J207" s="36">
        <f>HLOOKUP(REG_TRA_DEMANDS!J$3,'BY-Demands'!$J$5:$AK$14,MATCH($E207,'BY-Demands'!$I$5:$I$14,0),FALSE)*HLOOKUP(REG_TRA_DEMANDS!$F207,DEMANDS!$G$2:$CK$25,MATCH($E207,DEMANDS!$E$2:$E$25,0),FALSE)/HLOOKUP(2018,DEMANDS!$G$2:$CK$25,MATCH($E207,DEMANDS!$E$2:$E$25,0),FALSE)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K207" s="36">
        <f>HLOOKUP(REG_TRA_DEMANDS!K$3,'BY-Demands'!$J$5:$AK$14,MATCH($E207,'BY-Demands'!$I$5:$I$14,0),FALSE)*HLOOKUP(REG_TRA_DEMANDS!$F207,DEMANDS!$G$2:$CK$25,MATCH($E207,DEMANDS!$E$2:$E$25,0),FALSE)/HLOOKUP(2018,DEMANDS!$G$2:$CK$25,MATCH($E207,DEMANDS!$E$2:$E$25,0),FALSE)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L207" s="36">
        <f>HLOOKUP(REG_TRA_DEMANDS!L$3,'BY-Demands'!$J$5:$AK$14,MATCH($E207,'BY-Demands'!$I$5:$I$14,0),FALSE)*HLOOKUP(REG_TRA_DEMANDS!$F207,DEMANDS!$G$2:$CK$25,MATCH($E207,DEMANDS!$E$2:$E$25,0),FALSE)/HLOOKUP(2018,DEMANDS!$G$2:$CK$25,MATCH($E207,DEMANDS!$E$2:$E$25,0),FALSE)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M207" s="36">
        <f>HLOOKUP(REG_TRA_DEMANDS!M$3,'BY-Demands'!$J$5:$AK$14,MATCH($E207,'BY-Demands'!$I$5:$I$14,0),FALSE)*HLOOKUP(REG_TRA_DEMANDS!$F207,DEMANDS!$G$2:$CK$25,MATCH($E207,DEMANDS!$E$2:$E$25,0),FALSE)/HLOOKUP(2018,DEMANDS!$G$2:$CK$25,MATCH($E207,DEMANDS!$E$2:$E$25,0),FALSE)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N207" s="36">
        <f>HLOOKUP(REG_TRA_DEMANDS!N$3,'BY-Demands'!$J$5:$AK$14,MATCH($E207,'BY-Demands'!$I$5:$I$14,0),FALSE)*HLOOKUP(REG_TRA_DEMANDS!$F207,DEMANDS!$G$2:$CK$25,MATCH($E207,DEMANDS!$E$2:$E$25,0),FALSE)/HLOOKUP(2018,DEMANDS!$G$2:$CK$25,MATCH($E207,DEMANDS!$E$2:$E$25,0),FALSE)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O207" s="36">
        <f>HLOOKUP(REG_TRA_DEMANDS!O$3,'BY-Demands'!$J$5:$AK$14,MATCH($E207,'BY-Demands'!$I$5:$I$14,0),FALSE)*HLOOKUP(REG_TRA_DEMANDS!$F207,DEMANDS!$G$2:$CK$25,MATCH($E207,DEMANDS!$E$2:$E$25,0),FALSE)/HLOOKUP(2018,DEMANDS!$G$2:$CK$25,MATCH($E207,DEMANDS!$E$2:$E$25,0),FALSE)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P207" s="36">
        <f>HLOOKUP(REG_TRA_DEMANDS!P$3,'BY-Demands'!$J$5:$AK$14,MATCH($E207,'BY-Demands'!$I$5:$I$14,0),FALSE)*HLOOKUP(REG_TRA_DEMANDS!$F207,DEMANDS!$G$2:$CK$25,MATCH($E207,DEMANDS!$E$2:$E$25,0),FALSE)/HLOOKUP(2018,DEMANDS!$G$2:$CK$25,MATCH($E207,DEMANDS!$E$2:$E$25,0),FALSE)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Q207" s="36">
        <f>HLOOKUP(REG_TRA_DEMANDS!Q$3,'BY-Demands'!$J$5:$AK$14,MATCH($E207,'BY-Demands'!$I$5:$I$14,0),FALSE)*HLOOKUP(REG_TRA_DEMANDS!$F207,DEMANDS!$G$2:$CK$25,MATCH($E207,DEMANDS!$E$2:$E$25,0),FALSE)/HLOOKUP(2018,DEMANDS!$G$2:$CK$25,MATCH($E207,DEMANDS!$E$2:$E$25,0),FALSE)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R207" s="36">
        <f>HLOOKUP(REG_TRA_DEMANDS!R$3,'BY-Demands'!$J$5:$AK$14,MATCH($E207,'BY-Demands'!$I$5:$I$14,0),FALSE)*HLOOKUP(REG_TRA_DEMANDS!$F207,DEMANDS!$G$2:$CK$25,MATCH($E207,DEMANDS!$E$2:$E$25,0),FALSE)/HLOOKUP(2018,DEMANDS!$G$2:$CK$25,MATCH($E207,DEMANDS!$E$2:$E$25,0),FALSE)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S207" s="19">
        <f>HLOOKUP(REG_TRA_DEMANDS!S$3,'BY-Demands'!$J$5:$AK$14,MATCH($E207,'BY-Demands'!$I$5:$I$14,0),FALSE)*HLOOKUP(REG_TRA_DEMANDS!$F207,DEMANDS!$G$2:$CK$25,MATCH($E207,DEMANDS!$E$2:$E$25,0),FALSE)/HLOOKUP(2018,DEMANDS!$G$2:$CK$25,MATCH($E207,DEMANDS!$E$2:$E$25,0),FALSE)</f>
        <v>0.046779068407982807</v>
      </c>
      <c r="T207" s="19">
        <f>HLOOKUP(REG_TRA_DEMANDS!T$3,'BY-Demands'!$J$5:$AK$14,MATCH($E207,'BY-Demands'!$I$5:$I$14,0),FALSE)*HLOOKUP(REG_TRA_DEMANDS!$F207,DEMANDS!$G$2:$CK$25,MATCH($E207,DEMANDS!$E$2:$E$25,0),FALSE)/HLOOKUP(2018,DEMANDS!$G$2:$CK$25,MATCH($E207,DEMANDS!$E$2:$E$25,0),FALSE)</f>
        <v>0.00046352277307537207</v>
      </c>
      <c r="U207" s="19">
        <f>HLOOKUP(REG_TRA_DEMANDS!U$3,'BY-Demands'!$J$5:$AK$14,MATCH($E207,'BY-Demands'!$I$5:$I$14,0),FALSE)*HLOOKUP(REG_TRA_DEMANDS!$F207,DEMANDS!$G$2:$CK$25,MATCH($E207,DEMANDS!$E$2:$E$25,0),FALSE)/HLOOKUP(2018,DEMANDS!$G$2:$CK$25,MATCH($E207,DEMANDS!$E$2:$E$25,0),FALSE)</f>
        <v>0.046529102661710439</v>
      </c>
      <c r="V207" s="36">
        <f>HLOOKUP(REG_TRA_DEMANDS!V$3,'BY-Demands'!$J$5:$AK$14,MATCH($E207,'BY-Demands'!$I$5:$I$14,0),FALSE)*HLOOKUP(REG_TRA_DEMANDS!$F207,DEMANDS!$G$2:$CK$25,MATCH($E207,DEMANDS!$E$2:$E$25,0),FALSE)/HLOOKUP(2018,DEMANDS!$G$2:$CK$25,MATCH($E207,DEMANDS!$E$2:$E$25,0),FALSE)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W207" s="36">
        <f>HLOOKUP(REG_TRA_DEMANDS!W$3,'BY-Demands'!$J$5:$AK$14,MATCH($E207,'BY-Demands'!$I$5:$I$14,0),FALSE)*HLOOKUP(REG_TRA_DEMANDS!$F207,DEMANDS!$G$2:$CK$25,MATCH($E207,DEMANDS!$E$2:$E$25,0),FALSE)/HLOOKUP(2018,DEMANDS!$G$2:$CK$25,MATCH($E207,DEMANDS!$E$2:$E$25,0),FALSE)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X207" s="36">
        <f>HLOOKUP(REG_TRA_DEMANDS!X$3,'BY-Demands'!$J$5:$AK$14,MATCH($E207,'BY-Demands'!$I$5:$I$14,0),FALSE)*HLOOKUP(REG_TRA_DEMANDS!$F207,DEMANDS!$G$2:$CK$25,MATCH($E207,DEMANDS!$E$2:$E$25,0),FALSE)/HLOOKUP(2018,DEMANDS!$G$2:$CK$25,MATCH($E207,DEMANDS!$E$2:$E$25,0),FALSE)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Y207" s="36">
        <f>HLOOKUP(REG_TRA_DEMANDS!Y$3,'BY-Demands'!$J$5:$AK$14,MATCH($E207,'BY-Demands'!$I$5:$I$14,0),FALSE)*HLOOKUP(REG_TRA_DEMANDS!$F207,DEMANDS!$G$2:$CK$25,MATCH($E207,DEMANDS!$E$2:$E$25,0),FALSE)/HLOOKUP(2018,DEMANDS!$G$2:$CK$25,MATCH($E207,DEMANDS!$E$2:$E$25,0),FALSE)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Z207" s="36">
        <f>HLOOKUP(REG_TRA_DEMANDS!Z$3,'BY-Demands'!$J$5:$AK$14,MATCH($E207,'BY-Demands'!$I$5:$I$14,0),FALSE)*HLOOKUP(REG_TRA_DEMANDS!$F207,DEMANDS!$G$2:$CK$25,MATCH($E207,DEMANDS!$E$2:$E$25,0),FALSE)/HLOOKUP(2018,DEMANDS!$G$2:$CK$25,MATCH($E207,DEMANDS!$E$2:$E$25,0),FALSE)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A207" s="36">
        <f>HLOOKUP(REG_TRA_DEMANDS!AA$3,'BY-Demands'!$J$5:$AK$14,MATCH($E207,'BY-Demands'!$I$5:$I$14,0),FALSE)*HLOOKUP(REG_TRA_DEMANDS!$F207,DEMANDS!$G$2:$CK$25,MATCH($E207,DEMANDS!$E$2:$E$25,0),FALSE)/HLOOKUP(2018,DEMANDS!$G$2:$CK$25,MATCH($E207,DEMANDS!$E$2:$E$25,0),FALSE)</f>
        <v>9.2704554615074527E-05</v>
      </c>
      <c r="AB207" s="36">
        <f>HLOOKUP(REG_TRA_DEMANDS!AB$3,'BY-Demands'!$J$5:$AK$14,MATCH($E207,'BY-Demands'!$I$5:$I$14,0),FALSE)*HLOOKUP(REG_TRA_DEMANDS!$F207,DEMANDS!$G$2:$CK$25,MATCH($E207,DEMANDS!$E$2:$E$25,0),FALSE)/HLOOKUP(2018,DEMANDS!$G$2:$CK$25,MATCH($E207,DEMANDS!$E$2:$E$25,0),FALSE)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C207" s="36">
        <f>HLOOKUP(REG_TRA_DEMANDS!AC$3,'BY-Demands'!$J$5:$AK$14,MATCH($E207,'BY-Demands'!$I$5:$I$14,0),FALSE)*HLOOKUP(REG_TRA_DEMANDS!$F207,DEMANDS!$G$2:$CK$25,MATCH($E207,DEMANDS!$E$2:$E$25,0),FALSE)/HLOOKUP(2018,DEMANDS!$G$2:$CK$25,MATCH($E207,DEMANDS!$E$2:$E$25,0),FALSE)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D207" s="36">
        <f>HLOOKUP(REG_TRA_DEMANDS!AD$3,'BY-Demands'!$J$5:$AK$14,MATCH($E207,'BY-Demands'!$I$5:$I$14,0),FALSE)*HLOOKUP(REG_TRA_DEMANDS!$F207,DEMANDS!$G$2:$CK$25,MATCH($E207,DEMANDS!$E$2:$E$25,0),FALSE)/HLOOKUP(2018,DEMANDS!$G$2:$CK$25,MATCH($E207,DEMANDS!$E$2:$E$25,0),FALSE)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E207" s="36">
        <f>HLOOKUP(REG_TRA_DEMANDS!AE$3,'BY-Demands'!$J$5:$AK$14,MATCH($E207,'BY-Demands'!$I$5:$I$14,0),FALSE)*HLOOKUP(REG_TRA_DEMANDS!$F207,DEMANDS!$G$2:$CK$25,MATCH($E207,DEMANDS!$E$2:$E$25,0),FALSE)/HLOOKUP(2018,DEMANDS!$G$2:$CK$25,MATCH($E207,DEMANDS!$E$2:$E$25,0),FALSE)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F207" s="36">
        <f>HLOOKUP(REG_TRA_DEMANDS!AF$3,'BY-Demands'!$J$5:$AK$14,MATCH($E207,'BY-Demands'!$I$5:$I$14,0),FALSE)*HLOOKUP(REG_TRA_DEMANDS!$F207,DEMANDS!$G$2:$CK$25,MATCH($E207,DEMANDS!$E$2:$E$25,0),FALSE)/HLOOKUP(2018,DEMANDS!$G$2:$CK$25,MATCH($E207,DEMANDS!$E$2:$E$25,0),FALSE)</f>
        <v>0</v>
      </c>
    </row>
    <row r="208" spans="4:32" ht="14.5">
      <c r="D208" t="s">
        <v>6</v>
      </c>
      <c r="E208" t="str">
        <f>DEMANDS!$E$24</f>
        <v>TAVIDOM</v>
      </c>
      <c r="F208">
        <v>2035</v>
      </c>
      <c r="G208" s="36">
        <f>HLOOKUP(REG_TRA_DEMANDS!G$3,'BY-Demands'!$J$5:$AK$14,MATCH($E208,'BY-Demands'!$I$5:$I$14,0),FALSE)*HLOOKUP(REG_TRA_DEMANDS!$F208,DEMANDS!$G$2:$CK$25,MATCH($E208,DEMANDS!$E$2:$E$25,0),FALSE)/HLOOKUP(2018,DEMANDS!$G$2:$CK$25,MATCH($E208,DEMANDS!$E$2:$E$25,0),FALSE)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H208" s="19">
        <f>HLOOKUP(REG_TRA_DEMANDS!H$3,'BY-Demands'!$J$5:$AK$14,MATCH($E208,'BY-Demands'!$I$5:$I$14,0),FALSE)*HLOOKUP(REG_TRA_DEMANDS!$F208,DEMANDS!$G$2:$CK$25,MATCH($E208,DEMANDS!$E$2:$E$25,0),FALSE)/HLOOKUP(2018,DEMANDS!$G$2:$CK$25,MATCH($E208,DEMANDS!$E$2:$E$25,0),FALSE)</f>
        <v>0.13395677260860595</v>
      </c>
      <c r="I208" s="36">
        <f>HLOOKUP(REG_TRA_DEMANDS!I$3,'BY-Demands'!$J$5:$AK$14,MATCH($E208,'BY-Demands'!$I$5:$I$14,0),FALSE)*HLOOKUP(REG_TRA_DEMANDS!$F208,DEMANDS!$G$2:$CK$25,MATCH($E208,DEMANDS!$E$2:$E$25,0),FALSE)/HLOOKUP(2018,DEMANDS!$G$2:$CK$25,MATCH($E208,DEMANDS!$E$2:$E$25,0),FALSE)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J208" s="36">
        <f>HLOOKUP(REG_TRA_DEMANDS!J$3,'BY-Demands'!$J$5:$AK$14,MATCH($E208,'BY-Demands'!$I$5:$I$14,0),FALSE)*HLOOKUP(REG_TRA_DEMANDS!$F208,DEMANDS!$G$2:$CK$25,MATCH($E208,DEMANDS!$E$2:$E$25,0),FALSE)/HLOOKUP(2018,DEMANDS!$G$2:$CK$25,MATCH($E208,DEMANDS!$E$2:$E$25,0),FALSE)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K208" s="36">
        <f>HLOOKUP(REG_TRA_DEMANDS!K$3,'BY-Demands'!$J$5:$AK$14,MATCH($E208,'BY-Demands'!$I$5:$I$14,0),FALSE)*HLOOKUP(REG_TRA_DEMANDS!$F208,DEMANDS!$G$2:$CK$25,MATCH($E208,DEMANDS!$E$2:$E$25,0),FALSE)/HLOOKUP(2018,DEMANDS!$G$2:$CK$25,MATCH($E208,DEMANDS!$E$2:$E$25,0),FALSE)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L208" s="36">
        <f>HLOOKUP(REG_TRA_DEMANDS!L$3,'BY-Demands'!$J$5:$AK$14,MATCH($E208,'BY-Demands'!$I$5:$I$14,0),FALSE)*HLOOKUP(REG_TRA_DEMANDS!$F208,DEMANDS!$G$2:$CK$25,MATCH($E208,DEMANDS!$E$2:$E$25,0),FALSE)/HLOOKUP(2018,DEMANDS!$G$2:$CK$25,MATCH($E208,DEMANDS!$E$2:$E$25,0),FALSE)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M208" s="36">
        <f>HLOOKUP(REG_TRA_DEMANDS!M$3,'BY-Demands'!$J$5:$AK$14,MATCH($E208,'BY-Demands'!$I$5:$I$14,0),FALSE)*HLOOKUP(REG_TRA_DEMANDS!$F208,DEMANDS!$G$2:$CK$25,MATCH($E208,DEMANDS!$E$2:$E$25,0),FALSE)/HLOOKUP(2018,DEMANDS!$G$2:$CK$25,MATCH($E208,DEMANDS!$E$2:$E$25,0),FALSE)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N208" s="36">
        <f>HLOOKUP(REG_TRA_DEMANDS!N$3,'BY-Demands'!$J$5:$AK$14,MATCH($E208,'BY-Demands'!$I$5:$I$14,0),FALSE)*HLOOKUP(REG_TRA_DEMANDS!$F208,DEMANDS!$G$2:$CK$25,MATCH($E208,DEMANDS!$E$2:$E$25,0),FALSE)/HLOOKUP(2018,DEMANDS!$G$2:$CK$25,MATCH($E208,DEMANDS!$E$2:$E$25,0),FALSE)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O208" s="36">
        <f>HLOOKUP(REG_TRA_DEMANDS!O$3,'BY-Demands'!$J$5:$AK$14,MATCH($E208,'BY-Demands'!$I$5:$I$14,0),FALSE)*HLOOKUP(REG_TRA_DEMANDS!$F208,DEMANDS!$G$2:$CK$25,MATCH($E208,DEMANDS!$E$2:$E$25,0),FALSE)/HLOOKUP(2018,DEMANDS!$G$2:$CK$25,MATCH($E208,DEMANDS!$E$2:$E$25,0),FALSE)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P208" s="36">
        <f>HLOOKUP(REG_TRA_DEMANDS!P$3,'BY-Demands'!$J$5:$AK$14,MATCH($E208,'BY-Demands'!$I$5:$I$14,0),FALSE)*HLOOKUP(REG_TRA_DEMANDS!$F208,DEMANDS!$G$2:$CK$25,MATCH($E208,DEMANDS!$E$2:$E$25,0),FALSE)/HLOOKUP(2018,DEMANDS!$G$2:$CK$25,MATCH($E208,DEMANDS!$E$2:$E$25,0),FALSE)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Q208" s="36">
        <f>HLOOKUP(REG_TRA_DEMANDS!Q$3,'BY-Demands'!$J$5:$AK$14,MATCH($E208,'BY-Demands'!$I$5:$I$14,0),FALSE)*HLOOKUP(REG_TRA_DEMANDS!$F208,DEMANDS!$G$2:$CK$25,MATCH($E208,DEMANDS!$E$2:$E$25,0),FALSE)/HLOOKUP(2018,DEMANDS!$G$2:$CK$25,MATCH($E208,DEMANDS!$E$2:$E$25,0),FALSE)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R208" s="36">
        <f>HLOOKUP(REG_TRA_DEMANDS!R$3,'BY-Demands'!$J$5:$AK$14,MATCH($E208,'BY-Demands'!$I$5:$I$14,0),FALSE)*HLOOKUP(REG_TRA_DEMANDS!$F208,DEMANDS!$G$2:$CK$25,MATCH($E208,DEMANDS!$E$2:$E$25,0),FALSE)/HLOOKUP(2018,DEMANDS!$G$2:$CK$25,MATCH($E208,DEMANDS!$E$2:$E$25,0),FALSE)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S208" s="19">
        <f>HLOOKUP(REG_TRA_DEMANDS!S$3,'BY-Demands'!$J$5:$AK$14,MATCH($E208,'BY-Demands'!$I$5:$I$14,0),FALSE)*HLOOKUP(REG_TRA_DEMANDS!$F208,DEMANDS!$G$2:$CK$25,MATCH($E208,DEMANDS!$E$2:$E$25,0),FALSE)/HLOOKUP(2018,DEMANDS!$G$2:$CK$25,MATCH($E208,DEMANDS!$E$2:$E$25,0),FALSE)</f>
        <v>0.046779068407982807</v>
      </c>
      <c r="T208" s="19">
        <f>HLOOKUP(REG_TRA_DEMANDS!T$3,'BY-Demands'!$J$5:$AK$14,MATCH($E208,'BY-Demands'!$I$5:$I$14,0),FALSE)*HLOOKUP(REG_TRA_DEMANDS!$F208,DEMANDS!$G$2:$CK$25,MATCH($E208,DEMANDS!$E$2:$E$25,0),FALSE)/HLOOKUP(2018,DEMANDS!$G$2:$CK$25,MATCH($E208,DEMANDS!$E$2:$E$25,0),FALSE)</f>
        <v>0.00046352277307537207</v>
      </c>
      <c r="U208" s="19">
        <f>HLOOKUP(REG_TRA_DEMANDS!U$3,'BY-Demands'!$J$5:$AK$14,MATCH($E208,'BY-Demands'!$I$5:$I$14,0),FALSE)*HLOOKUP(REG_TRA_DEMANDS!$F208,DEMANDS!$G$2:$CK$25,MATCH($E208,DEMANDS!$E$2:$E$25,0),FALSE)/HLOOKUP(2018,DEMANDS!$G$2:$CK$25,MATCH($E208,DEMANDS!$E$2:$E$25,0),FALSE)</f>
        <v>0.046529102661710439</v>
      </c>
      <c r="V208" s="36">
        <f>HLOOKUP(REG_TRA_DEMANDS!V$3,'BY-Demands'!$J$5:$AK$14,MATCH($E208,'BY-Demands'!$I$5:$I$14,0),FALSE)*HLOOKUP(REG_TRA_DEMANDS!$F208,DEMANDS!$G$2:$CK$25,MATCH($E208,DEMANDS!$E$2:$E$25,0),FALSE)/HLOOKUP(2018,DEMANDS!$G$2:$CK$25,MATCH($E208,DEMANDS!$E$2:$E$25,0),FALSE)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W208" s="36">
        <f>HLOOKUP(REG_TRA_DEMANDS!W$3,'BY-Demands'!$J$5:$AK$14,MATCH($E208,'BY-Demands'!$I$5:$I$14,0),FALSE)*HLOOKUP(REG_TRA_DEMANDS!$F208,DEMANDS!$G$2:$CK$25,MATCH($E208,DEMANDS!$E$2:$E$25,0),FALSE)/HLOOKUP(2018,DEMANDS!$G$2:$CK$25,MATCH($E208,DEMANDS!$E$2:$E$25,0),FALSE)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X208" s="36">
        <f>HLOOKUP(REG_TRA_DEMANDS!X$3,'BY-Demands'!$J$5:$AK$14,MATCH($E208,'BY-Demands'!$I$5:$I$14,0),FALSE)*HLOOKUP(REG_TRA_DEMANDS!$F208,DEMANDS!$G$2:$CK$25,MATCH($E208,DEMANDS!$E$2:$E$25,0),FALSE)/HLOOKUP(2018,DEMANDS!$G$2:$CK$25,MATCH($E208,DEMANDS!$E$2:$E$25,0),FALSE)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Y208" s="36">
        <f>HLOOKUP(REG_TRA_DEMANDS!Y$3,'BY-Demands'!$J$5:$AK$14,MATCH($E208,'BY-Demands'!$I$5:$I$14,0),FALSE)*HLOOKUP(REG_TRA_DEMANDS!$F208,DEMANDS!$G$2:$CK$25,MATCH($E208,DEMANDS!$E$2:$E$25,0),FALSE)/HLOOKUP(2018,DEMANDS!$G$2:$CK$25,MATCH($E208,DEMANDS!$E$2:$E$25,0),FALSE)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Z208" s="36">
        <f>HLOOKUP(REG_TRA_DEMANDS!Z$3,'BY-Demands'!$J$5:$AK$14,MATCH($E208,'BY-Demands'!$I$5:$I$14,0),FALSE)*HLOOKUP(REG_TRA_DEMANDS!$F208,DEMANDS!$G$2:$CK$25,MATCH($E208,DEMANDS!$E$2:$E$25,0),FALSE)/HLOOKUP(2018,DEMANDS!$G$2:$CK$25,MATCH($E208,DEMANDS!$E$2:$E$25,0),FALSE)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A208" s="36">
        <f>HLOOKUP(REG_TRA_DEMANDS!AA$3,'BY-Demands'!$J$5:$AK$14,MATCH($E208,'BY-Demands'!$I$5:$I$14,0),FALSE)*HLOOKUP(REG_TRA_DEMANDS!$F208,DEMANDS!$G$2:$CK$25,MATCH($E208,DEMANDS!$E$2:$E$25,0),FALSE)/HLOOKUP(2018,DEMANDS!$G$2:$CK$25,MATCH($E208,DEMANDS!$E$2:$E$25,0),FALSE)</f>
        <v>9.2704554615074527E-05</v>
      </c>
      <c r="AB208" s="36">
        <f>HLOOKUP(REG_TRA_DEMANDS!AB$3,'BY-Demands'!$J$5:$AK$14,MATCH($E208,'BY-Demands'!$I$5:$I$14,0),FALSE)*HLOOKUP(REG_TRA_DEMANDS!$F208,DEMANDS!$G$2:$CK$25,MATCH($E208,DEMANDS!$E$2:$E$25,0),FALSE)/HLOOKUP(2018,DEMANDS!$G$2:$CK$25,MATCH($E208,DEMANDS!$E$2:$E$25,0),FALSE)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C208" s="36">
        <f>HLOOKUP(REG_TRA_DEMANDS!AC$3,'BY-Demands'!$J$5:$AK$14,MATCH($E208,'BY-Demands'!$I$5:$I$14,0),FALSE)*HLOOKUP(REG_TRA_DEMANDS!$F208,DEMANDS!$G$2:$CK$25,MATCH($E208,DEMANDS!$E$2:$E$25,0),FALSE)/HLOOKUP(2018,DEMANDS!$G$2:$CK$25,MATCH($E208,DEMANDS!$E$2:$E$25,0),FALSE)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D208" s="36">
        <f>HLOOKUP(REG_TRA_DEMANDS!AD$3,'BY-Demands'!$J$5:$AK$14,MATCH($E208,'BY-Demands'!$I$5:$I$14,0),FALSE)*HLOOKUP(REG_TRA_DEMANDS!$F208,DEMANDS!$G$2:$CK$25,MATCH($E208,DEMANDS!$E$2:$E$25,0),FALSE)/HLOOKUP(2018,DEMANDS!$G$2:$CK$25,MATCH($E208,DEMANDS!$E$2:$E$25,0),FALSE)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E208" s="36">
        <f>HLOOKUP(REG_TRA_DEMANDS!AE$3,'BY-Demands'!$J$5:$AK$14,MATCH($E208,'BY-Demands'!$I$5:$I$14,0),FALSE)*HLOOKUP(REG_TRA_DEMANDS!$F208,DEMANDS!$G$2:$CK$25,MATCH($E208,DEMANDS!$E$2:$E$25,0),FALSE)/HLOOKUP(2018,DEMANDS!$G$2:$CK$25,MATCH($E208,DEMANDS!$E$2:$E$25,0),FALSE)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F208" s="36">
        <f>HLOOKUP(REG_TRA_DEMANDS!AF$3,'BY-Demands'!$J$5:$AK$14,MATCH($E208,'BY-Demands'!$I$5:$I$14,0),FALSE)*HLOOKUP(REG_TRA_DEMANDS!$F208,DEMANDS!$G$2:$CK$25,MATCH($E208,DEMANDS!$E$2:$E$25,0),FALSE)/HLOOKUP(2018,DEMANDS!$G$2:$CK$25,MATCH($E208,DEMANDS!$E$2:$E$25,0),FALSE)</f>
        <v>0</v>
      </c>
    </row>
    <row r="209" spans="4:32" ht="14.5">
      <c r="D209" t="s">
        <v>6</v>
      </c>
      <c r="E209" t="str">
        <f>DEMANDS!$E$24</f>
        <v>TAVIDOM</v>
      </c>
      <c r="F209">
        <v>2036</v>
      </c>
      <c r="G209" s="36">
        <f>HLOOKUP(REG_TRA_DEMANDS!G$3,'BY-Demands'!$J$5:$AK$14,MATCH($E209,'BY-Demands'!$I$5:$I$14,0),FALSE)*HLOOKUP(REG_TRA_DEMANDS!$F209,DEMANDS!$G$2:$CK$25,MATCH($E209,DEMANDS!$E$2:$E$25,0),FALSE)/HLOOKUP(2018,DEMANDS!$G$2:$CK$25,MATCH($E209,DEMANDS!$E$2:$E$25,0),FALSE)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H209" s="19">
        <f>HLOOKUP(REG_TRA_DEMANDS!H$3,'BY-Demands'!$J$5:$AK$14,MATCH($E209,'BY-Demands'!$I$5:$I$14,0),FALSE)*HLOOKUP(REG_TRA_DEMANDS!$F209,DEMANDS!$G$2:$CK$25,MATCH($E209,DEMANDS!$E$2:$E$25,0),FALSE)/HLOOKUP(2018,DEMANDS!$G$2:$CK$25,MATCH($E209,DEMANDS!$E$2:$E$25,0),FALSE)</f>
        <v>0.13395677260860595</v>
      </c>
      <c r="I209" s="36">
        <f>HLOOKUP(REG_TRA_DEMANDS!I$3,'BY-Demands'!$J$5:$AK$14,MATCH($E209,'BY-Demands'!$I$5:$I$14,0),FALSE)*HLOOKUP(REG_TRA_DEMANDS!$F209,DEMANDS!$G$2:$CK$25,MATCH($E209,DEMANDS!$E$2:$E$25,0),FALSE)/HLOOKUP(2018,DEMANDS!$G$2:$CK$25,MATCH($E209,DEMANDS!$E$2:$E$25,0),FALSE)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J209" s="36">
        <f>HLOOKUP(REG_TRA_DEMANDS!J$3,'BY-Demands'!$J$5:$AK$14,MATCH($E209,'BY-Demands'!$I$5:$I$14,0),FALSE)*HLOOKUP(REG_TRA_DEMANDS!$F209,DEMANDS!$G$2:$CK$25,MATCH($E209,DEMANDS!$E$2:$E$25,0),FALSE)/HLOOKUP(2018,DEMANDS!$G$2:$CK$25,MATCH($E209,DEMANDS!$E$2:$E$25,0),FALSE)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K209" s="36">
        <f>HLOOKUP(REG_TRA_DEMANDS!K$3,'BY-Demands'!$J$5:$AK$14,MATCH($E209,'BY-Demands'!$I$5:$I$14,0),FALSE)*HLOOKUP(REG_TRA_DEMANDS!$F209,DEMANDS!$G$2:$CK$25,MATCH($E209,DEMANDS!$E$2:$E$25,0),FALSE)/HLOOKUP(2018,DEMANDS!$G$2:$CK$25,MATCH($E209,DEMANDS!$E$2:$E$25,0),FALSE)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L209" s="36">
        <f>HLOOKUP(REG_TRA_DEMANDS!L$3,'BY-Demands'!$J$5:$AK$14,MATCH($E209,'BY-Demands'!$I$5:$I$14,0),FALSE)*HLOOKUP(REG_TRA_DEMANDS!$F209,DEMANDS!$G$2:$CK$25,MATCH($E209,DEMANDS!$E$2:$E$25,0),FALSE)/HLOOKUP(2018,DEMANDS!$G$2:$CK$25,MATCH($E209,DEMANDS!$E$2:$E$25,0),FALSE)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M209" s="36">
        <f>HLOOKUP(REG_TRA_DEMANDS!M$3,'BY-Demands'!$J$5:$AK$14,MATCH($E209,'BY-Demands'!$I$5:$I$14,0),FALSE)*HLOOKUP(REG_TRA_DEMANDS!$F209,DEMANDS!$G$2:$CK$25,MATCH($E209,DEMANDS!$E$2:$E$25,0),FALSE)/HLOOKUP(2018,DEMANDS!$G$2:$CK$25,MATCH($E209,DEMANDS!$E$2:$E$25,0),FALSE)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N209" s="36">
        <f>HLOOKUP(REG_TRA_DEMANDS!N$3,'BY-Demands'!$J$5:$AK$14,MATCH($E209,'BY-Demands'!$I$5:$I$14,0),FALSE)*HLOOKUP(REG_TRA_DEMANDS!$F209,DEMANDS!$G$2:$CK$25,MATCH($E209,DEMANDS!$E$2:$E$25,0),FALSE)/HLOOKUP(2018,DEMANDS!$G$2:$CK$25,MATCH($E209,DEMANDS!$E$2:$E$25,0),FALSE)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O209" s="36">
        <f>HLOOKUP(REG_TRA_DEMANDS!O$3,'BY-Demands'!$J$5:$AK$14,MATCH($E209,'BY-Demands'!$I$5:$I$14,0),FALSE)*HLOOKUP(REG_TRA_DEMANDS!$F209,DEMANDS!$G$2:$CK$25,MATCH($E209,DEMANDS!$E$2:$E$25,0),FALSE)/HLOOKUP(2018,DEMANDS!$G$2:$CK$25,MATCH($E209,DEMANDS!$E$2:$E$25,0),FALSE)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P209" s="36">
        <f>HLOOKUP(REG_TRA_DEMANDS!P$3,'BY-Demands'!$J$5:$AK$14,MATCH($E209,'BY-Demands'!$I$5:$I$14,0),FALSE)*HLOOKUP(REG_TRA_DEMANDS!$F209,DEMANDS!$G$2:$CK$25,MATCH($E209,DEMANDS!$E$2:$E$25,0),FALSE)/HLOOKUP(2018,DEMANDS!$G$2:$CK$25,MATCH($E209,DEMANDS!$E$2:$E$25,0),FALSE)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Q209" s="36">
        <f>HLOOKUP(REG_TRA_DEMANDS!Q$3,'BY-Demands'!$J$5:$AK$14,MATCH($E209,'BY-Demands'!$I$5:$I$14,0),FALSE)*HLOOKUP(REG_TRA_DEMANDS!$F209,DEMANDS!$G$2:$CK$25,MATCH($E209,DEMANDS!$E$2:$E$25,0),FALSE)/HLOOKUP(2018,DEMANDS!$G$2:$CK$25,MATCH($E209,DEMANDS!$E$2:$E$25,0),FALSE)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R209" s="36">
        <f>HLOOKUP(REG_TRA_DEMANDS!R$3,'BY-Demands'!$J$5:$AK$14,MATCH($E209,'BY-Demands'!$I$5:$I$14,0),FALSE)*HLOOKUP(REG_TRA_DEMANDS!$F209,DEMANDS!$G$2:$CK$25,MATCH($E209,DEMANDS!$E$2:$E$25,0),FALSE)/HLOOKUP(2018,DEMANDS!$G$2:$CK$25,MATCH($E209,DEMANDS!$E$2:$E$25,0),FALSE)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S209" s="19">
        <f>HLOOKUP(REG_TRA_DEMANDS!S$3,'BY-Demands'!$J$5:$AK$14,MATCH($E209,'BY-Demands'!$I$5:$I$14,0),FALSE)*HLOOKUP(REG_TRA_DEMANDS!$F209,DEMANDS!$G$2:$CK$25,MATCH($E209,DEMANDS!$E$2:$E$25,0),FALSE)/HLOOKUP(2018,DEMANDS!$G$2:$CK$25,MATCH($E209,DEMANDS!$E$2:$E$25,0),FALSE)</f>
        <v>0.046779068407982807</v>
      </c>
      <c r="T209" s="19">
        <f>HLOOKUP(REG_TRA_DEMANDS!T$3,'BY-Demands'!$J$5:$AK$14,MATCH($E209,'BY-Demands'!$I$5:$I$14,0),FALSE)*HLOOKUP(REG_TRA_DEMANDS!$F209,DEMANDS!$G$2:$CK$25,MATCH($E209,DEMANDS!$E$2:$E$25,0),FALSE)/HLOOKUP(2018,DEMANDS!$G$2:$CK$25,MATCH($E209,DEMANDS!$E$2:$E$25,0),FALSE)</f>
        <v>0.00046352277307537207</v>
      </c>
      <c r="U209" s="19">
        <f>HLOOKUP(REG_TRA_DEMANDS!U$3,'BY-Demands'!$J$5:$AK$14,MATCH($E209,'BY-Demands'!$I$5:$I$14,0),FALSE)*HLOOKUP(REG_TRA_DEMANDS!$F209,DEMANDS!$G$2:$CK$25,MATCH($E209,DEMANDS!$E$2:$E$25,0),FALSE)/HLOOKUP(2018,DEMANDS!$G$2:$CK$25,MATCH($E209,DEMANDS!$E$2:$E$25,0),FALSE)</f>
        <v>0.046529102661710439</v>
      </c>
      <c r="V209" s="36">
        <f>HLOOKUP(REG_TRA_DEMANDS!V$3,'BY-Demands'!$J$5:$AK$14,MATCH($E209,'BY-Demands'!$I$5:$I$14,0),FALSE)*HLOOKUP(REG_TRA_DEMANDS!$F209,DEMANDS!$G$2:$CK$25,MATCH($E209,DEMANDS!$E$2:$E$25,0),FALSE)/HLOOKUP(2018,DEMANDS!$G$2:$CK$25,MATCH($E209,DEMANDS!$E$2:$E$25,0),FALSE)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W209" s="36">
        <f>HLOOKUP(REG_TRA_DEMANDS!W$3,'BY-Demands'!$J$5:$AK$14,MATCH($E209,'BY-Demands'!$I$5:$I$14,0),FALSE)*HLOOKUP(REG_TRA_DEMANDS!$F209,DEMANDS!$G$2:$CK$25,MATCH($E209,DEMANDS!$E$2:$E$25,0),FALSE)/HLOOKUP(2018,DEMANDS!$G$2:$CK$25,MATCH($E209,DEMANDS!$E$2:$E$25,0),FALSE)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X209" s="36">
        <f>HLOOKUP(REG_TRA_DEMANDS!X$3,'BY-Demands'!$J$5:$AK$14,MATCH($E209,'BY-Demands'!$I$5:$I$14,0),FALSE)*HLOOKUP(REG_TRA_DEMANDS!$F209,DEMANDS!$G$2:$CK$25,MATCH($E209,DEMANDS!$E$2:$E$25,0),FALSE)/HLOOKUP(2018,DEMANDS!$G$2:$CK$25,MATCH($E209,DEMANDS!$E$2:$E$25,0),FALSE)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Y209" s="36">
        <f>HLOOKUP(REG_TRA_DEMANDS!Y$3,'BY-Demands'!$J$5:$AK$14,MATCH($E209,'BY-Demands'!$I$5:$I$14,0),FALSE)*HLOOKUP(REG_TRA_DEMANDS!$F209,DEMANDS!$G$2:$CK$25,MATCH($E209,DEMANDS!$E$2:$E$25,0),FALSE)/HLOOKUP(2018,DEMANDS!$G$2:$CK$25,MATCH($E209,DEMANDS!$E$2:$E$25,0),FALSE)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Z209" s="36">
        <f>HLOOKUP(REG_TRA_DEMANDS!Z$3,'BY-Demands'!$J$5:$AK$14,MATCH($E209,'BY-Demands'!$I$5:$I$14,0),FALSE)*HLOOKUP(REG_TRA_DEMANDS!$F209,DEMANDS!$G$2:$CK$25,MATCH($E209,DEMANDS!$E$2:$E$25,0),FALSE)/HLOOKUP(2018,DEMANDS!$G$2:$CK$25,MATCH($E209,DEMANDS!$E$2:$E$25,0),FALSE)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A209" s="36">
        <f>HLOOKUP(REG_TRA_DEMANDS!AA$3,'BY-Demands'!$J$5:$AK$14,MATCH($E209,'BY-Demands'!$I$5:$I$14,0),FALSE)*HLOOKUP(REG_TRA_DEMANDS!$F209,DEMANDS!$G$2:$CK$25,MATCH($E209,DEMANDS!$E$2:$E$25,0),FALSE)/HLOOKUP(2018,DEMANDS!$G$2:$CK$25,MATCH($E209,DEMANDS!$E$2:$E$25,0),FALSE)</f>
        <v>9.2704554615074527E-05</v>
      </c>
      <c r="AB209" s="36">
        <f>HLOOKUP(REG_TRA_DEMANDS!AB$3,'BY-Demands'!$J$5:$AK$14,MATCH($E209,'BY-Demands'!$I$5:$I$14,0),FALSE)*HLOOKUP(REG_TRA_DEMANDS!$F209,DEMANDS!$G$2:$CK$25,MATCH($E209,DEMANDS!$E$2:$E$25,0),FALSE)/HLOOKUP(2018,DEMANDS!$G$2:$CK$25,MATCH($E209,DEMANDS!$E$2:$E$25,0),FALSE)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C209" s="36">
        <f>HLOOKUP(REG_TRA_DEMANDS!AC$3,'BY-Demands'!$J$5:$AK$14,MATCH($E209,'BY-Demands'!$I$5:$I$14,0),FALSE)*HLOOKUP(REG_TRA_DEMANDS!$F209,DEMANDS!$G$2:$CK$25,MATCH($E209,DEMANDS!$E$2:$E$25,0),FALSE)/HLOOKUP(2018,DEMANDS!$G$2:$CK$25,MATCH($E209,DEMANDS!$E$2:$E$25,0),FALSE)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D209" s="36">
        <f>HLOOKUP(REG_TRA_DEMANDS!AD$3,'BY-Demands'!$J$5:$AK$14,MATCH($E209,'BY-Demands'!$I$5:$I$14,0),FALSE)*HLOOKUP(REG_TRA_DEMANDS!$F209,DEMANDS!$G$2:$CK$25,MATCH($E209,DEMANDS!$E$2:$E$25,0),FALSE)/HLOOKUP(2018,DEMANDS!$G$2:$CK$25,MATCH($E209,DEMANDS!$E$2:$E$25,0),FALSE)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E209" s="36">
        <f>HLOOKUP(REG_TRA_DEMANDS!AE$3,'BY-Demands'!$J$5:$AK$14,MATCH($E209,'BY-Demands'!$I$5:$I$14,0),FALSE)*HLOOKUP(REG_TRA_DEMANDS!$F209,DEMANDS!$G$2:$CK$25,MATCH($E209,DEMANDS!$E$2:$E$25,0),FALSE)/HLOOKUP(2018,DEMANDS!$G$2:$CK$25,MATCH($E209,DEMANDS!$E$2:$E$25,0),FALSE)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F209" s="36">
        <f>HLOOKUP(REG_TRA_DEMANDS!AF$3,'BY-Demands'!$J$5:$AK$14,MATCH($E209,'BY-Demands'!$I$5:$I$14,0),FALSE)*HLOOKUP(REG_TRA_DEMANDS!$F209,DEMANDS!$G$2:$CK$25,MATCH($E209,DEMANDS!$E$2:$E$25,0),FALSE)/HLOOKUP(2018,DEMANDS!$G$2:$CK$25,MATCH($E209,DEMANDS!$E$2:$E$25,0),FALSE)</f>
        <v>0</v>
      </c>
    </row>
    <row r="210" spans="4:32" ht="14.5">
      <c r="D210" t="s">
        <v>6</v>
      </c>
      <c r="E210" t="str">
        <f>DEMANDS!$E$24</f>
        <v>TAVIDOM</v>
      </c>
      <c r="F210">
        <v>2037</v>
      </c>
      <c r="G210" s="36">
        <f>HLOOKUP(REG_TRA_DEMANDS!G$3,'BY-Demands'!$J$5:$AK$14,MATCH($E210,'BY-Demands'!$I$5:$I$14,0),FALSE)*HLOOKUP(REG_TRA_DEMANDS!$F210,DEMANDS!$G$2:$CK$25,MATCH($E210,DEMANDS!$E$2:$E$25,0),FALSE)/HLOOKUP(2018,DEMANDS!$G$2:$CK$25,MATCH($E210,DEMANDS!$E$2:$E$25,0),FALSE)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H210" s="19">
        <f>HLOOKUP(REG_TRA_DEMANDS!H$3,'BY-Demands'!$J$5:$AK$14,MATCH($E210,'BY-Demands'!$I$5:$I$14,0),FALSE)*HLOOKUP(REG_TRA_DEMANDS!$F210,DEMANDS!$G$2:$CK$25,MATCH($E210,DEMANDS!$E$2:$E$25,0),FALSE)/HLOOKUP(2018,DEMANDS!$G$2:$CK$25,MATCH($E210,DEMANDS!$E$2:$E$25,0),FALSE)</f>
        <v>0.13395677260860595</v>
      </c>
      <c r="I210" s="36">
        <f>HLOOKUP(REG_TRA_DEMANDS!I$3,'BY-Demands'!$J$5:$AK$14,MATCH($E210,'BY-Demands'!$I$5:$I$14,0),FALSE)*HLOOKUP(REG_TRA_DEMANDS!$F210,DEMANDS!$G$2:$CK$25,MATCH($E210,DEMANDS!$E$2:$E$25,0),FALSE)/HLOOKUP(2018,DEMANDS!$G$2:$CK$25,MATCH($E210,DEMANDS!$E$2:$E$25,0),FALSE)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J210" s="36">
        <f>HLOOKUP(REG_TRA_DEMANDS!J$3,'BY-Demands'!$J$5:$AK$14,MATCH($E210,'BY-Demands'!$I$5:$I$14,0),FALSE)*HLOOKUP(REG_TRA_DEMANDS!$F210,DEMANDS!$G$2:$CK$25,MATCH($E210,DEMANDS!$E$2:$E$25,0),FALSE)/HLOOKUP(2018,DEMANDS!$G$2:$CK$25,MATCH($E210,DEMANDS!$E$2:$E$25,0),FALSE)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K210" s="36">
        <f>HLOOKUP(REG_TRA_DEMANDS!K$3,'BY-Demands'!$J$5:$AK$14,MATCH($E210,'BY-Demands'!$I$5:$I$14,0),FALSE)*HLOOKUP(REG_TRA_DEMANDS!$F210,DEMANDS!$G$2:$CK$25,MATCH($E210,DEMANDS!$E$2:$E$25,0),FALSE)/HLOOKUP(2018,DEMANDS!$G$2:$CK$25,MATCH($E210,DEMANDS!$E$2:$E$25,0),FALSE)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L210" s="36">
        <f>HLOOKUP(REG_TRA_DEMANDS!L$3,'BY-Demands'!$J$5:$AK$14,MATCH($E210,'BY-Demands'!$I$5:$I$14,0),FALSE)*HLOOKUP(REG_TRA_DEMANDS!$F210,DEMANDS!$G$2:$CK$25,MATCH($E210,DEMANDS!$E$2:$E$25,0),FALSE)/HLOOKUP(2018,DEMANDS!$G$2:$CK$25,MATCH($E210,DEMANDS!$E$2:$E$25,0),FALSE)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M210" s="36">
        <f>HLOOKUP(REG_TRA_DEMANDS!M$3,'BY-Demands'!$J$5:$AK$14,MATCH($E210,'BY-Demands'!$I$5:$I$14,0),FALSE)*HLOOKUP(REG_TRA_DEMANDS!$F210,DEMANDS!$G$2:$CK$25,MATCH($E210,DEMANDS!$E$2:$E$25,0),FALSE)/HLOOKUP(2018,DEMANDS!$G$2:$CK$25,MATCH($E210,DEMANDS!$E$2:$E$25,0),FALSE)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N210" s="36">
        <f>HLOOKUP(REG_TRA_DEMANDS!N$3,'BY-Demands'!$J$5:$AK$14,MATCH($E210,'BY-Demands'!$I$5:$I$14,0),FALSE)*HLOOKUP(REG_TRA_DEMANDS!$F210,DEMANDS!$G$2:$CK$25,MATCH($E210,DEMANDS!$E$2:$E$25,0),FALSE)/HLOOKUP(2018,DEMANDS!$G$2:$CK$25,MATCH($E210,DEMANDS!$E$2:$E$25,0),FALSE)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O210" s="36">
        <f>HLOOKUP(REG_TRA_DEMANDS!O$3,'BY-Demands'!$J$5:$AK$14,MATCH($E210,'BY-Demands'!$I$5:$I$14,0),FALSE)*HLOOKUP(REG_TRA_DEMANDS!$F210,DEMANDS!$G$2:$CK$25,MATCH($E210,DEMANDS!$E$2:$E$25,0),FALSE)/HLOOKUP(2018,DEMANDS!$G$2:$CK$25,MATCH($E210,DEMANDS!$E$2:$E$25,0),FALSE)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P210" s="36">
        <f>HLOOKUP(REG_TRA_DEMANDS!P$3,'BY-Demands'!$J$5:$AK$14,MATCH($E210,'BY-Demands'!$I$5:$I$14,0),FALSE)*HLOOKUP(REG_TRA_DEMANDS!$F210,DEMANDS!$G$2:$CK$25,MATCH($E210,DEMANDS!$E$2:$E$25,0),FALSE)/HLOOKUP(2018,DEMANDS!$G$2:$CK$25,MATCH($E210,DEMANDS!$E$2:$E$25,0),FALSE)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Q210" s="36">
        <f>HLOOKUP(REG_TRA_DEMANDS!Q$3,'BY-Demands'!$J$5:$AK$14,MATCH($E210,'BY-Demands'!$I$5:$I$14,0),FALSE)*HLOOKUP(REG_TRA_DEMANDS!$F210,DEMANDS!$G$2:$CK$25,MATCH($E210,DEMANDS!$E$2:$E$25,0),FALSE)/HLOOKUP(2018,DEMANDS!$G$2:$CK$25,MATCH($E210,DEMANDS!$E$2:$E$25,0),FALSE)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R210" s="36">
        <f>HLOOKUP(REG_TRA_DEMANDS!R$3,'BY-Demands'!$J$5:$AK$14,MATCH($E210,'BY-Demands'!$I$5:$I$14,0),FALSE)*HLOOKUP(REG_TRA_DEMANDS!$F210,DEMANDS!$G$2:$CK$25,MATCH($E210,DEMANDS!$E$2:$E$25,0),FALSE)/HLOOKUP(2018,DEMANDS!$G$2:$CK$25,MATCH($E210,DEMANDS!$E$2:$E$25,0),FALSE)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S210" s="19">
        <f>HLOOKUP(REG_TRA_DEMANDS!S$3,'BY-Demands'!$J$5:$AK$14,MATCH($E210,'BY-Demands'!$I$5:$I$14,0),FALSE)*HLOOKUP(REG_TRA_DEMANDS!$F210,DEMANDS!$G$2:$CK$25,MATCH($E210,DEMANDS!$E$2:$E$25,0),FALSE)/HLOOKUP(2018,DEMANDS!$G$2:$CK$25,MATCH($E210,DEMANDS!$E$2:$E$25,0),FALSE)</f>
        <v>0.046779068407982807</v>
      </c>
      <c r="T210" s="19">
        <f>HLOOKUP(REG_TRA_DEMANDS!T$3,'BY-Demands'!$J$5:$AK$14,MATCH($E210,'BY-Demands'!$I$5:$I$14,0),FALSE)*HLOOKUP(REG_TRA_DEMANDS!$F210,DEMANDS!$G$2:$CK$25,MATCH($E210,DEMANDS!$E$2:$E$25,0),FALSE)/HLOOKUP(2018,DEMANDS!$G$2:$CK$25,MATCH($E210,DEMANDS!$E$2:$E$25,0),FALSE)</f>
        <v>0.00046352277307537207</v>
      </c>
      <c r="U210" s="19">
        <f>HLOOKUP(REG_TRA_DEMANDS!U$3,'BY-Demands'!$J$5:$AK$14,MATCH($E210,'BY-Demands'!$I$5:$I$14,0),FALSE)*HLOOKUP(REG_TRA_DEMANDS!$F210,DEMANDS!$G$2:$CK$25,MATCH($E210,DEMANDS!$E$2:$E$25,0),FALSE)/HLOOKUP(2018,DEMANDS!$G$2:$CK$25,MATCH($E210,DEMANDS!$E$2:$E$25,0),FALSE)</f>
        <v>0.046529102661710439</v>
      </c>
      <c r="V210" s="36">
        <f>HLOOKUP(REG_TRA_DEMANDS!V$3,'BY-Demands'!$J$5:$AK$14,MATCH($E210,'BY-Demands'!$I$5:$I$14,0),FALSE)*HLOOKUP(REG_TRA_DEMANDS!$F210,DEMANDS!$G$2:$CK$25,MATCH($E210,DEMANDS!$E$2:$E$25,0),FALSE)/HLOOKUP(2018,DEMANDS!$G$2:$CK$25,MATCH($E210,DEMANDS!$E$2:$E$25,0),FALSE)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W210" s="36">
        <f>HLOOKUP(REG_TRA_DEMANDS!W$3,'BY-Demands'!$J$5:$AK$14,MATCH($E210,'BY-Demands'!$I$5:$I$14,0),FALSE)*HLOOKUP(REG_TRA_DEMANDS!$F210,DEMANDS!$G$2:$CK$25,MATCH($E210,DEMANDS!$E$2:$E$25,0),FALSE)/HLOOKUP(2018,DEMANDS!$G$2:$CK$25,MATCH($E210,DEMANDS!$E$2:$E$25,0),FALSE)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X210" s="36">
        <f>HLOOKUP(REG_TRA_DEMANDS!X$3,'BY-Demands'!$J$5:$AK$14,MATCH($E210,'BY-Demands'!$I$5:$I$14,0),FALSE)*HLOOKUP(REG_TRA_DEMANDS!$F210,DEMANDS!$G$2:$CK$25,MATCH($E210,DEMANDS!$E$2:$E$25,0),FALSE)/HLOOKUP(2018,DEMANDS!$G$2:$CK$25,MATCH($E210,DEMANDS!$E$2:$E$25,0),FALSE)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Y210" s="36">
        <f>HLOOKUP(REG_TRA_DEMANDS!Y$3,'BY-Demands'!$J$5:$AK$14,MATCH($E210,'BY-Demands'!$I$5:$I$14,0),FALSE)*HLOOKUP(REG_TRA_DEMANDS!$F210,DEMANDS!$G$2:$CK$25,MATCH($E210,DEMANDS!$E$2:$E$25,0),FALSE)/HLOOKUP(2018,DEMANDS!$G$2:$CK$25,MATCH($E210,DEMANDS!$E$2:$E$25,0),FALSE)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Z210" s="36">
        <f>HLOOKUP(REG_TRA_DEMANDS!Z$3,'BY-Demands'!$J$5:$AK$14,MATCH($E210,'BY-Demands'!$I$5:$I$14,0),FALSE)*HLOOKUP(REG_TRA_DEMANDS!$F210,DEMANDS!$G$2:$CK$25,MATCH($E210,DEMANDS!$E$2:$E$25,0),FALSE)/HLOOKUP(2018,DEMANDS!$G$2:$CK$25,MATCH($E210,DEMANDS!$E$2:$E$25,0),FALSE)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A210" s="36">
        <f>HLOOKUP(REG_TRA_DEMANDS!AA$3,'BY-Demands'!$J$5:$AK$14,MATCH($E210,'BY-Demands'!$I$5:$I$14,0),FALSE)*HLOOKUP(REG_TRA_DEMANDS!$F210,DEMANDS!$G$2:$CK$25,MATCH($E210,DEMANDS!$E$2:$E$25,0),FALSE)/HLOOKUP(2018,DEMANDS!$G$2:$CK$25,MATCH($E210,DEMANDS!$E$2:$E$25,0),FALSE)</f>
        <v>9.2704554615074527E-05</v>
      </c>
      <c r="AB210" s="36">
        <f>HLOOKUP(REG_TRA_DEMANDS!AB$3,'BY-Demands'!$J$5:$AK$14,MATCH($E210,'BY-Demands'!$I$5:$I$14,0),FALSE)*HLOOKUP(REG_TRA_DEMANDS!$F210,DEMANDS!$G$2:$CK$25,MATCH($E210,DEMANDS!$E$2:$E$25,0),FALSE)/HLOOKUP(2018,DEMANDS!$G$2:$CK$25,MATCH($E210,DEMANDS!$E$2:$E$25,0),FALSE)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C210" s="36">
        <f>HLOOKUP(REG_TRA_DEMANDS!AC$3,'BY-Demands'!$J$5:$AK$14,MATCH($E210,'BY-Demands'!$I$5:$I$14,0),FALSE)*HLOOKUP(REG_TRA_DEMANDS!$F210,DEMANDS!$G$2:$CK$25,MATCH($E210,DEMANDS!$E$2:$E$25,0),FALSE)/HLOOKUP(2018,DEMANDS!$G$2:$CK$25,MATCH($E210,DEMANDS!$E$2:$E$25,0),FALSE)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D210" s="36">
        <f>HLOOKUP(REG_TRA_DEMANDS!AD$3,'BY-Demands'!$J$5:$AK$14,MATCH($E210,'BY-Demands'!$I$5:$I$14,0),FALSE)*HLOOKUP(REG_TRA_DEMANDS!$F210,DEMANDS!$G$2:$CK$25,MATCH($E210,DEMANDS!$E$2:$E$25,0),FALSE)/HLOOKUP(2018,DEMANDS!$G$2:$CK$25,MATCH($E210,DEMANDS!$E$2:$E$25,0),FALSE)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E210" s="36">
        <f>HLOOKUP(REG_TRA_DEMANDS!AE$3,'BY-Demands'!$J$5:$AK$14,MATCH($E210,'BY-Demands'!$I$5:$I$14,0),FALSE)*HLOOKUP(REG_TRA_DEMANDS!$F210,DEMANDS!$G$2:$CK$25,MATCH($E210,DEMANDS!$E$2:$E$25,0),FALSE)/HLOOKUP(2018,DEMANDS!$G$2:$CK$25,MATCH($E210,DEMANDS!$E$2:$E$25,0),FALSE)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F210" s="36">
        <f>HLOOKUP(REG_TRA_DEMANDS!AF$3,'BY-Demands'!$J$5:$AK$14,MATCH($E210,'BY-Demands'!$I$5:$I$14,0),FALSE)*HLOOKUP(REG_TRA_DEMANDS!$F210,DEMANDS!$G$2:$CK$25,MATCH($E210,DEMANDS!$E$2:$E$25,0),FALSE)/HLOOKUP(2018,DEMANDS!$G$2:$CK$25,MATCH($E210,DEMANDS!$E$2:$E$25,0),FALSE)</f>
        <v>0</v>
      </c>
    </row>
    <row r="211" spans="4:32" ht="14.5">
      <c r="D211" t="s">
        <v>6</v>
      </c>
      <c r="E211" t="str">
        <f>DEMANDS!$E$24</f>
        <v>TAVIDOM</v>
      </c>
      <c r="F211">
        <v>2038</v>
      </c>
      <c r="G211" s="36">
        <f>HLOOKUP(REG_TRA_DEMANDS!G$3,'BY-Demands'!$J$5:$AK$14,MATCH($E211,'BY-Demands'!$I$5:$I$14,0),FALSE)*HLOOKUP(REG_TRA_DEMANDS!$F211,DEMANDS!$G$2:$CK$25,MATCH($E211,DEMANDS!$E$2:$E$25,0),FALSE)/HLOOKUP(2018,DEMANDS!$G$2:$CK$25,MATCH($E211,DEMANDS!$E$2:$E$25,0),FALSE)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H211" s="19">
        <f>HLOOKUP(REG_TRA_DEMANDS!H$3,'BY-Demands'!$J$5:$AK$14,MATCH($E211,'BY-Demands'!$I$5:$I$14,0),FALSE)*HLOOKUP(REG_TRA_DEMANDS!$F211,DEMANDS!$G$2:$CK$25,MATCH($E211,DEMANDS!$E$2:$E$25,0),FALSE)/HLOOKUP(2018,DEMANDS!$G$2:$CK$25,MATCH($E211,DEMANDS!$E$2:$E$25,0),FALSE)</f>
        <v>0.13395677260860595</v>
      </c>
      <c r="I211" s="36">
        <f>HLOOKUP(REG_TRA_DEMANDS!I$3,'BY-Demands'!$J$5:$AK$14,MATCH($E211,'BY-Demands'!$I$5:$I$14,0),FALSE)*HLOOKUP(REG_TRA_DEMANDS!$F211,DEMANDS!$G$2:$CK$25,MATCH($E211,DEMANDS!$E$2:$E$25,0),FALSE)/HLOOKUP(2018,DEMANDS!$G$2:$CK$25,MATCH($E211,DEMANDS!$E$2:$E$25,0),FALSE)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J211" s="36">
        <f>HLOOKUP(REG_TRA_DEMANDS!J$3,'BY-Demands'!$J$5:$AK$14,MATCH($E211,'BY-Demands'!$I$5:$I$14,0),FALSE)*HLOOKUP(REG_TRA_DEMANDS!$F211,DEMANDS!$G$2:$CK$25,MATCH($E211,DEMANDS!$E$2:$E$25,0),FALSE)/HLOOKUP(2018,DEMANDS!$G$2:$CK$25,MATCH($E211,DEMANDS!$E$2:$E$25,0),FALSE)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K211" s="36">
        <f>HLOOKUP(REG_TRA_DEMANDS!K$3,'BY-Demands'!$J$5:$AK$14,MATCH($E211,'BY-Demands'!$I$5:$I$14,0),FALSE)*HLOOKUP(REG_TRA_DEMANDS!$F211,DEMANDS!$G$2:$CK$25,MATCH($E211,DEMANDS!$E$2:$E$25,0),FALSE)/HLOOKUP(2018,DEMANDS!$G$2:$CK$25,MATCH($E211,DEMANDS!$E$2:$E$25,0),FALSE)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L211" s="36">
        <f>HLOOKUP(REG_TRA_DEMANDS!L$3,'BY-Demands'!$J$5:$AK$14,MATCH($E211,'BY-Demands'!$I$5:$I$14,0),FALSE)*HLOOKUP(REG_TRA_DEMANDS!$F211,DEMANDS!$G$2:$CK$25,MATCH($E211,DEMANDS!$E$2:$E$25,0),FALSE)/HLOOKUP(2018,DEMANDS!$G$2:$CK$25,MATCH($E211,DEMANDS!$E$2:$E$25,0),FALSE)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M211" s="36">
        <f>HLOOKUP(REG_TRA_DEMANDS!M$3,'BY-Demands'!$J$5:$AK$14,MATCH($E211,'BY-Demands'!$I$5:$I$14,0),FALSE)*HLOOKUP(REG_TRA_DEMANDS!$F211,DEMANDS!$G$2:$CK$25,MATCH($E211,DEMANDS!$E$2:$E$25,0),FALSE)/HLOOKUP(2018,DEMANDS!$G$2:$CK$25,MATCH($E211,DEMANDS!$E$2:$E$25,0),FALSE)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N211" s="36">
        <f>HLOOKUP(REG_TRA_DEMANDS!N$3,'BY-Demands'!$J$5:$AK$14,MATCH($E211,'BY-Demands'!$I$5:$I$14,0),FALSE)*HLOOKUP(REG_TRA_DEMANDS!$F211,DEMANDS!$G$2:$CK$25,MATCH($E211,DEMANDS!$E$2:$E$25,0),FALSE)/HLOOKUP(2018,DEMANDS!$G$2:$CK$25,MATCH($E211,DEMANDS!$E$2:$E$25,0),FALSE)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O211" s="36">
        <f>HLOOKUP(REG_TRA_DEMANDS!O$3,'BY-Demands'!$J$5:$AK$14,MATCH($E211,'BY-Demands'!$I$5:$I$14,0),FALSE)*HLOOKUP(REG_TRA_DEMANDS!$F211,DEMANDS!$G$2:$CK$25,MATCH($E211,DEMANDS!$E$2:$E$25,0),FALSE)/HLOOKUP(2018,DEMANDS!$G$2:$CK$25,MATCH($E211,DEMANDS!$E$2:$E$25,0),FALSE)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P211" s="36">
        <f>HLOOKUP(REG_TRA_DEMANDS!P$3,'BY-Demands'!$J$5:$AK$14,MATCH($E211,'BY-Demands'!$I$5:$I$14,0),FALSE)*HLOOKUP(REG_TRA_DEMANDS!$F211,DEMANDS!$G$2:$CK$25,MATCH($E211,DEMANDS!$E$2:$E$25,0),FALSE)/HLOOKUP(2018,DEMANDS!$G$2:$CK$25,MATCH($E211,DEMANDS!$E$2:$E$25,0),FALSE)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Q211" s="36">
        <f>HLOOKUP(REG_TRA_DEMANDS!Q$3,'BY-Demands'!$J$5:$AK$14,MATCH($E211,'BY-Demands'!$I$5:$I$14,0),FALSE)*HLOOKUP(REG_TRA_DEMANDS!$F211,DEMANDS!$G$2:$CK$25,MATCH($E211,DEMANDS!$E$2:$E$25,0),FALSE)/HLOOKUP(2018,DEMANDS!$G$2:$CK$25,MATCH($E211,DEMANDS!$E$2:$E$25,0),FALSE)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R211" s="36">
        <f>HLOOKUP(REG_TRA_DEMANDS!R$3,'BY-Demands'!$J$5:$AK$14,MATCH($E211,'BY-Demands'!$I$5:$I$14,0),FALSE)*HLOOKUP(REG_TRA_DEMANDS!$F211,DEMANDS!$G$2:$CK$25,MATCH($E211,DEMANDS!$E$2:$E$25,0),FALSE)/HLOOKUP(2018,DEMANDS!$G$2:$CK$25,MATCH($E211,DEMANDS!$E$2:$E$25,0),FALSE)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S211" s="19">
        <f>HLOOKUP(REG_TRA_DEMANDS!S$3,'BY-Demands'!$J$5:$AK$14,MATCH($E211,'BY-Demands'!$I$5:$I$14,0),FALSE)*HLOOKUP(REG_TRA_DEMANDS!$F211,DEMANDS!$G$2:$CK$25,MATCH($E211,DEMANDS!$E$2:$E$25,0),FALSE)/HLOOKUP(2018,DEMANDS!$G$2:$CK$25,MATCH($E211,DEMANDS!$E$2:$E$25,0),FALSE)</f>
        <v>0.046779068407982807</v>
      </c>
      <c r="T211" s="19">
        <f>HLOOKUP(REG_TRA_DEMANDS!T$3,'BY-Demands'!$J$5:$AK$14,MATCH($E211,'BY-Demands'!$I$5:$I$14,0),FALSE)*HLOOKUP(REG_TRA_DEMANDS!$F211,DEMANDS!$G$2:$CK$25,MATCH($E211,DEMANDS!$E$2:$E$25,0),FALSE)/HLOOKUP(2018,DEMANDS!$G$2:$CK$25,MATCH($E211,DEMANDS!$E$2:$E$25,0),FALSE)</f>
        <v>0.00046352277307537207</v>
      </c>
      <c r="U211" s="19">
        <f>HLOOKUP(REG_TRA_DEMANDS!U$3,'BY-Demands'!$J$5:$AK$14,MATCH($E211,'BY-Demands'!$I$5:$I$14,0),FALSE)*HLOOKUP(REG_TRA_DEMANDS!$F211,DEMANDS!$G$2:$CK$25,MATCH($E211,DEMANDS!$E$2:$E$25,0),FALSE)/HLOOKUP(2018,DEMANDS!$G$2:$CK$25,MATCH($E211,DEMANDS!$E$2:$E$25,0),FALSE)</f>
        <v>0.046529102661710439</v>
      </c>
      <c r="V211" s="36">
        <f>HLOOKUP(REG_TRA_DEMANDS!V$3,'BY-Demands'!$J$5:$AK$14,MATCH($E211,'BY-Demands'!$I$5:$I$14,0),FALSE)*HLOOKUP(REG_TRA_DEMANDS!$F211,DEMANDS!$G$2:$CK$25,MATCH($E211,DEMANDS!$E$2:$E$25,0),FALSE)/HLOOKUP(2018,DEMANDS!$G$2:$CK$25,MATCH($E211,DEMANDS!$E$2:$E$25,0),FALSE)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W211" s="36">
        <f>HLOOKUP(REG_TRA_DEMANDS!W$3,'BY-Demands'!$J$5:$AK$14,MATCH($E211,'BY-Demands'!$I$5:$I$14,0),FALSE)*HLOOKUP(REG_TRA_DEMANDS!$F211,DEMANDS!$G$2:$CK$25,MATCH($E211,DEMANDS!$E$2:$E$25,0),FALSE)/HLOOKUP(2018,DEMANDS!$G$2:$CK$25,MATCH($E211,DEMANDS!$E$2:$E$25,0),FALSE)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X211" s="36">
        <f>HLOOKUP(REG_TRA_DEMANDS!X$3,'BY-Demands'!$J$5:$AK$14,MATCH($E211,'BY-Demands'!$I$5:$I$14,0),FALSE)*HLOOKUP(REG_TRA_DEMANDS!$F211,DEMANDS!$G$2:$CK$25,MATCH($E211,DEMANDS!$E$2:$E$25,0),FALSE)/HLOOKUP(2018,DEMANDS!$G$2:$CK$25,MATCH($E211,DEMANDS!$E$2:$E$25,0),FALSE)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Y211" s="36">
        <f>HLOOKUP(REG_TRA_DEMANDS!Y$3,'BY-Demands'!$J$5:$AK$14,MATCH($E211,'BY-Demands'!$I$5:$I$14,0),FALSE)*HLOOKUP(REG_TRA_DEMANDS!$F211,DEMANDS!$G$2:$CK$25,MATCH($E211,DEMANDS!$E$2:$E$25,0),FALSE)/HLOOKUP(2018,DEMANDS!$G$2:$CK$25,MATCH($E211,DEMANDS!$E$2:$E$25,0),FALSE)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Z211" s="36">
        <f>HLOOKUP(REG_TRA_DEMANDS!Z$3,'BY-Demands'!$J$5:$AK$14,MATCH($E211,'BY-Demands'!$I$5:$I$14,0),FALSE)*HLOOKUP(REG_TRA_DEMANDS!$F211,DEMANDS!$G$2:$CK$25,MATCH($E211,DEMANDS!$E$2:$E$25,0),FALSE)/HLOOKUP(2018,DEMANDS!$G$2:$CK$25,MATCH($E211,DEMANDS!$E$2:$E$25,0),FALSE)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A211" s="36">
        <f>HLOOKUP(REG_TRA_DEMANDS!AA$3,'BY-Demands'!$J$5:$AK$14,MATCH($E211,'BY-Demands'!$I$5:$I$14,0),FALSE)*HLOOKUP(REG_TRA_DEMANDS!$F211,DEMANDS!$G$2:$CK$25,MATCH($E211,DEMANDS!$E$2:$E$25,0),FALSE)/HLOOKUP(2018,DEMANDS!$G$2:$CK$25,MATCH($E211,DEMANDS!$E$2:$E$25,0),FALSE)</f>
        <v>9.2704554615074527E-05</v>
      </c>
      <c r="AB211" s="36">
        <f>HLOOKUP(REG_TRA_DEMANDS!AB$3,'BY-Demands'!$J$5:$AK$14,MATCH($E211,'BY-Demands'!$I$5:$I$14,0),FALSE)*HLOOKUP(REG_TRA_DEMANDS!$F211,DEMANDS!$G$2:$CK$25,MATCH($E211,DEMANDS!$E$2:$E$25,0),FALSE)/HLOOKUP(2018,DEMANDS!$G$2:$CK$25,MATCH($E211,DEMANDS!$E$2:$E$25,0),FALSE)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C211" s="36">
        <f>HLOOKUP(REG_TRA_DEMANDS!AC$3,'BY-Demands'!$J$5:$AK$14,MATCH($E211,'BY-Demands'!$I$5:$I$14,0),FALSE)*HLOOKUP(REG_TRA_DEMANDS!$F211,DEMANDS!$G$2:$CK$25,MATCH($E211,DEMANDS!$E$2:$E$25,0),FALSE)/HLOOKUP(2018,DEMANDS!$G$2:$CK$25,MATCH($E211,DEMANDS!$E$2:$E$25,0),FALSE)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D211" s="36">
        <f>HLOOKUP(REG_TRA_DEMANDS!AD$3,'BY-Demands'!$J$5:$AK$14,MATCH($E211,'BY-Demands'!$I$5:$I$14,0),FALSE)*HLOOKUP(REG_TRA_DEMANDS!$F211,DEMANDS!$G$2:$CK$25,MATCH($E211,DEMANDS!$E$2:$E$25,0),FALSE)/HLOOKUP(2018,DEMANDS!$G$2:$CK$25,MATCH($E211,DEMANDS!$E$2:$E$25,0),FALSE)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E211" s="36">
        <f>HLOOKUP(REG_TRA_DEMANDS!AE$3,'BY-Demands'!$J$5:$AK$14,MATCH($E211,'BY-Demands'!$I$5:$I$14,0),FALSE)*HLOOKUP(REG_TRA_DEMANDS!$F211,DEMANDS!$G$2:$CK$25,MATCH($E211,DEMANDS!$E$2:$E$25,0),FALSE)/HLOOKUP(2018,DEMANDS!$G$2:$CK$25,MATCH($E211,DEMANDS!$E$2:$E$25,0),FALSE)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F211" s="36">
        <f>HLOOKUP(REG_TRA_DEMANDS!AF$3,'BY-Demands'!$J$5:$AK$14,MATCH($E211,'BY-Demands'!$I$5:$I$14,0),FALSE)*HLOOKUP(REG_TRA_DEMANDS!$F211,DEMANDS!$G$2:$CK$25,MATCH($E211,DEMANDS!$E$2:$E$25,0),FALSE)/HLOOKUP(2018,DEMANDS!$G$2:$CK$25,MATCH($E211,DEMANDS!$E$2:$E$25,0),FALSE)</f>
        <v>0</v>
      </c>
    </row>
    <row r="212" spans="4:32" ht="14.5">
      <c r="D212" t="s">
        <v>6</v>
      </c>
      <c r="E212" t="str">
        <f>DEMANDS!$E$24</f>
        <v>TAVIDOM</v>
      </c>
      <c r="F212">
        <v>2039</v>
      </c>
      <c r="G212" s="36">
        <f>HLOOKUP(REG_TRA_DEMANDS!G$3,'BY-Demands'!$J$5:$AK$14,MATCH($E212,'BY-Demands'!$I$5:$I$14,0),FALSE)*HLOOKUP(REG_TRA_DEMANDS!$F212,DEMANDS!$G$2:$CK$25,MATCH($E212,DEMANDS!$E$2:$E$25,0),FALSE)/HLOOKUP(2018,DEMANDS!$G$2:$CK$25,MATCH($E212,DEMANDS!$E$2:$E$25,0),FALSE)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H212" s="19">
        <f>HLOOKUP(REG_TRA_DEMANDS!H$3,'BY-Demands'!$J$5:$AK$14,MATCH($E212,'BY-Demands'!$I$5:$I$14,0),FALSE)*HLOOKUP(REG_TRA_DEMANDS!$F212,DEMANDS!$G$2:$CK$25,MATCH($E212,DEMANDS!$E$2:$E$25,0),FALSE)/HLOOKUP(2018,DEMANDS!$G$2:$CK$25,MATCH($E212,DEMANDS!$E$2:$E$25,0),FALSE)</f>
        <v>0.13395677260860595</v>
      </c>
      <c r="I212" s="36">
        <f>HLOOKUP(REG_TRA_DEMANDS!I$3,'BY-Demands'!$J$5:$AK$14,MATCH($E212,'BY-Demands'!$I$5:$I$14,0),FALSE)*HLOOKUP(REG_TRA_DEMANDS!$F212,DEMANDS!$G$2:$CK$25,MATCH($E212,DEMANDS!$E$2:$E$25,0),FALSE)/HLOOKUP(2018,DEMANDS!$G$2:$CK$25,MATCH($E212,DEMANDS!$E$2:$E$25,0),FALSE)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J212" s="36">
        <f>HLOOKUP(REG_TRA_DEMANDS!J$3,'BY-Demands'!$J$5:$AK$14,MATCH($E212,'BY-Demands'!$I$5:$I$14,0),FALSE)*HLOOKUP(REG_TRA_DEMANDS!$F212,DEMANDS!$G$2:$CK$25,MATCH($E212,DEMANDS!$E$2:$E$25,0),FALSE)/HLOOKUP(2018,DEMANDS!$G$2:$CK$25,MATCH($E212,DEMANDS!$E$2:$E$25,0),FALSE)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K212" s="36">
        <f>HLOOKUP(REG_TRA_DEMANDS!K$3,'BY-Demands'!$J$5:$AK$14,MATCH($E212,'BY-Demands'!$I$5:$I$14,0),FALSE)*HLOOKUP(REG_TRA_DEMANDS!$F212,DEMANDS!$G$2:$CK$25,MATCH($E212,DEMANDS!$E$2:$E$25,0),FALSE)/HLOOKUP(2018,DEMANDS!$G$2:$CK$25,MATCH($E212,DEMANDS!$E$2:$E$25,0),FALSE)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L212" s="36">
        <f>HLOOKUP(REG_TRA_DEMANDS!L$3,'BY-Demands'!$J$5:$AK$14,MATCH($E212,'BY-Demands'!$I$5:$I$14,0),FALSE)*HLOOKUP(REG_TRA_DEMANDS!$F212,DEMANDS!$G$2:$CK$25,MATCH($E212,DEMANDS!$E$2:$E$25,0),FALSE)/HLOOKUP(2018,DEMANDS!$G$2:$CK$25,MATCH($E212,DEMANDS!$E$2:$E$25,0),FALSE)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M212" s="36">
        <f>HLOOKUP(REG_TRA_DEMANDS!M$3,'BY-Demands'!$J$5:$AK$14,MATCH($E212,'BY-Demands'!$I$5:$I$14,0),FALSE)*HLOOKUP(REG_TRA_DEMANDS!$F212,DEMANDS!$G$2:$CK$25,MATCH($E212,DEMANDS!$E$2:$E$25,0),FALSE)/HLOOKUP(2018,DEMANDS!$G$2:$CK$25,MATCH($E212,DEMANDS!$E$2:$E$25,0),FALSE)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N212" s="36">
        <f>HLOOKUP(REG_TRA_DEMANDS!N$3,'BY-Demands'!$J$5:$AK$14,MATCH($E212,'BY-Demands'!$I$5:$I$14,0),FALSE)*HLOOKUP(REG_TRA_DEMANDS!$F212,DEMANDS!$G$2:$CK$25,MATCH($E212,DEMANDS!$E$2:$E$25,0),FALSE)/HLOOKUP(2018,DEMANDS!$G$2:$CK$25,MATCH($E212,DEMANDS!$E$2:$E$25,0),FALSE)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O212" s="36">
        <f>HLOOKUP(REG_TRA_DEMANDS!O$3,'BY-Demands'!$J$5:$AK$14,MATCH($E212,'BY-Demands'!$I$5:$I$14,0),FALSE)*HLOOKUP(REG_TRA_DEMANDS!$F212,DEMANDS!$G$2:$CK$25,MATCH($E212,DEMANDS!$E$2:$E$25,0),FALSE)/HLOOKUP(2018,DEMANDS!$G$2:$CK$25,MATCH($E212,DEMANDS!$E$2:$E$25,0),FALSE)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P212" s="36">
        <f>HLOOKUP(REG_TRA_DEMANDS!P$3,'BY-Demands'!$J$5:$AK$14,MATCH($E212,'BY-Demands'!$I$5:$I$14,0),FALSE)*HLOOKUP(REG_TRA_DEMANDS!$F212,DEMANDS!$G$2:$CK$25,MATCH($E212,DEMANDS!$E$2:$E$25,0),FALSE)/HLOOKUP(2018,DEMANDS!$G$2:$CK$25,MATCH($E212,DEMANDS!$E$2:$E$25,0),FALSE)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Q212" s="36">
        <f>HLOOKUP(REG_TRA_DEMANDS!Q$3,'BY-Demands'!$J$5:$AK$14,MATCH($E212,'BY-Demands'!$I$5:$I$14,0),FALSE)*HLOOKUP(REG_TRA_DEMANDS!$F212,DEMANDS!$G$2:$CK$25,MATCH($E212,DEMANDS!$E$2:$E$25,0),FALSE)/HLOOKUP(2018,DEMANDS!$G$2:$CK$25,MATCH($E212,DEMANDS!$E$2:$E$25,0),FALSE)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R212" s="36">
        <f>HLOOKUP(REG_TRA_DEMANDS!R$3,'BY-Demands'!$J$5:$AK$14,MATCH($E212,'BY-Demands'!$I$5:$I$14,0),FALSE)*HLOOKUP(REG_TRA_DEMANDS!$F212,DEMANDS!$G$2:$CK$25,MATCH($E212,DEMANDS!$E$2:$E$25,0),FALSE)/HLOOKUP(2018,DEMANDS!$G$2:$CK$25,MATCH($E212,DEMANDS!$E$2:$E$25,0),FALSE)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S212" s="19">
        <f>HLOOKUP(REG_TRA_DEMANDS!S$3,'BY-Demands'!$J$5:$AK$14,MATCH($E212,'BY-Demands'!$I$5:$I$14,0),FALSE)*HLOOKUP(REG_TRA_DEMANDS!$F212,DEMANDS!$G$2:$CK$25,MATCH($E212,DEMANDS!$E$2:$E$25,0),FALSE)/HLOOKUP(2018,DEMANDS!$G$2:$CK$25,MATCH($E212,DEMANDS!$E$2:$E$25,0),FALSE)</f>
        <v>0.046779068407982807</v>
      </c>
      <c r="T212" s="19">
        <f>HLOOKUP(REG_TRA_DEMANDS!T$3,'BY-Demands'!$J$5:$AK$14,MATCH($E212,'BY-Demands'!$I$5:$I$14,0),FALSE)*HLOOKUP(REG_TRA_DEMANDS!$F212,DEMANDS!$G$2:$CK$25,MATCH($E212,DEMANDS!$E$2:$E$25,0),FALSE)/HLOOKUP(2018,DEMANDS!$G$2:$CK$25,MATCH($E212,DEMANDS!$E$2:$E$25,0),FALSE)</f>
        <v>0.00046352277307537207</v>
      </c>
      <c r="U212" s="19">
        <f>HLOOKUP(REG_TRA_DEMANDS!U$3,'BY-Demands'!$J$5:$AK$14,MATCH($E212,'BY-Demands'!$I$5:$I$14,0),FALSE)*HLOOKUP(REG_TRA_DEMANDS!$F212,DEMANDS!$G$2:$CK$25,MATCH($E212,DEMANDS!$E$2:$E$25,0),FALSE)/HLOOKUP(2018,DEMANDS!$G$2:$CK$25,MATCH($E212,DEMANDS!$E$2:$E$25,0),FALSE)</f>
        <v>0.046529102661710439</v>
      </c>
      <c r="V212" s="36">
        <f>HLOOKUP(REG_TRA_DEMANDS!V$3,'BY-Demands'!$J$5:$AK$14,MATCH($E212,'BY-Demands'!$I$5:$I$14,0),FALSE)*HLOOKUP(REG_TRA_DEMANDS!$F212,DEMANDS!$G$2:$CK$25,MATCH($E212,DEMANDS!$E$2:$E$25,0),FALSE)/HLOOKUP(2018,DEMANDS!$G$2:$CK$25,MATCH($E212,DEMANDS!$E$2:$E$25,0),FALSE)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W212" s="36">
        <f>HLOOKUP(REG_TRA_DEMANDS!W$3,'BY-Demands'!$J$5:$AK$14,MATCH($E212,'BY-Demands'!$I$5:$I$14,0),FALSE)*HLOOKUP(REG_TRA_DEMANDS!$F212,DEMANDS!$G$2:$CK$25,MATCH($E212,DEMANDS!$E$2:$E$25,0),FALSE)/HLOOKUP(2018,DEMANDS!$G$2:$CK$25,MATCH($E212,DEMANDS!$E$2:$E$25,0),FALSE)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X212" s="36">
        <f>HLOOKUP(REG_TRA_DEMANDS!X$3,'BY-Demands'!$J$5:$AK$14,MATCH($E212,'BY-Demands'!$I$5:$I$14,0),FALSE)*HLOOKUP(REG_TRA_DEMANDS!$F212,DEMANDS!$G$2:$CK$25,MATCH($E212,DEMANDS!$E$2:$E$25,0),FALSE)/HLOOKUP(2018,DEMANDS!$G$2:$CK$25,MATCH($E212,DEMANDS!$E$2:$E$25,0),FALSE)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Y212" s="36">
        <f>HLOOKUP(REG_TRA_DEMANDS!Y$3,'BY-Demands'!$J$5:$AK$14,MATCH($E212,'BY-Demands'!$I$5:$I$14,0),FALSE)*HLOOKUP(REG_TRA_DEMANDS!$F212,DEMANDS!$G$2:$CK$25,MATCH($E212,DEMANDS!$E$2:$E$25,0),FALSE)/HLOOKUP(2018,DEMANDS!$G$2:$CK$25,MATCH($E212,DEMANDS!$E$2:$E$25,0),FALSE)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Z212" s="36">
        <f>HLOOKUP(REG_TRA_DEMANDS!Z$3,'BY-Demands'!$J$5:$AK$14,MATCH($E212,'BY-Demands'!$I$5:$I$14,0),FALSE)*HLOOKUP(REG_TRA_DEMANDS!$F212,DEMANDS!$G$2:$CK$25,MATCH($E212,DEMANDS!$E$2:$E$25,0),FALSE)/HLOOKUP(2018,DEMANDS!$G$2:$CK$25,MATCH($E212,DEMANDS!$E$2:$E$25,0),FALSE)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A212" s="36">
        <f>HLOOKUP(REG_TRA_DEMANDS!AA$3,'BY-Demands'!$J$5:$AK$14,MATCH($E212,'BY-Demands'!$I$5:$I$14,0),FALSE)*HLOOKUP(REG_TRA_DEMANDS!$F212,DEMANDS!$G$2:$CK$25,MATCH($E212,DEMANDS!$E$2:$E$25,0),FALSE)/HLOOKUP(2018,DEMANDS!$G$2:$CK$25,MATCH($E212,DEMANDS!$E$2:$E$25,0),FALSE)</f>
        <v>9.2704554615074527E-05</v>
      </c>
      <c r="AB212" s="36">
        <f>HLOOKUP(REG_TRA_DEMANDS!AB$3,'BY-Demands'!$J$5:$AK$14,MATCH($E212,'BY-Demands'!$I$5:$I$14,0),FALSE)*HLOOKUP(REG_TRA_DEMANDS!$F212,DEMANDS!$G$2:$CK$25,MATCH($E212,DEMANDS!$E$2:$E$25,0),FALSE)/HLOOKUP(2018,DEMANDS!$G$2:$CK$25,MATCH($E212,DEMANDS!$E$2:$E$25,0),FALSE)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C212" s="36">
        <f>HLOOKUP(REG_TRA_DEMANDS!AC$3,'BY-Demands'!$J$5:$AK$14,MATCH($E212,'BY-Demands'!$I$5:$I$14,0),FALSE)*HLOOKUP(REG_TRA_DEMANDS!$F212,DEMANDS!$G$2:$CK$25,MATCH($E212,DEMANDS!$E$2:$E$25,0),FALSE)/HLOOKUP(2018,DEMANDS!$G$2:$CK$25,MATCH($E212,DEMANDS!$E$2:$E$25,0),FALSE)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D212" s="36">
        <f>HLOOKUP(REG_TRA_DEMANDS!AD$3,'BY-Demands'!$J$5:$AK$14,MATCH($E212,'BY-Demands'!$I$5:$I$14,0),FALSE)*HLOOKUP(REG_TRA_DEMANDS!$F212,DEMANDS!$G$2:$CK$25,MATCH($E212,DEMANDS!$E$2:$E$25,0),FALSE)/HLOOKUP(2018,DEMANDS!$G$2:$CK$25,MATCH($E212,DEMANDS!$E$2:$E$25,0),FALSE)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E212" s="36">
        <f>HLOOKUP(REG_TRA_DEMANDS!AE$3,'BY-Demands'!$J$5:$AK$14,MATCH($E212,'BY-Demands'!$I$5:$I$14,0),FALSE)*HLOOKUP(REG_TRA_DEMANDS!$F212,DEMANDS!$G$2:$CK$25,MATCH($E212,DEMANDS!$E$2:$E$25,0),FALSE)/HLOOKUP(2018,DEMANDS!$G$2:$CK$25,MATCH($E212,DEMANDS!$E$2:$E$25,0),FALSE)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F212" s="36">
        <f>HLOOKUP(REG_TRA_DEMANDS!AF$3,'BY-Demands'!$J$5:$AK$14,MATCH($E212,'BY-Demands'!$I$5:$I$14,0),FALSE)*HLOOKUP(REG_TRA_DEMANDS!$F212,DEMANDS!$G$2:$CK$25,MATCH($E212,DEMANDS!$E$2:$E$25,0),FALSE)/HLOOKUP(2018,DEMANDS!$G$2:$CK$25,MATCH($E212,DEMANDS!$E$2:$E$25,0),FALSE)</f>
        <v>0</v>
      </c>
    </row>
    <row r="213" spans="4:32" ht="14.5">
      <c r="D213" t="s">
        <v>6</v>
      </c>
      <c r="E213" t="str">
        <f>DEMANDS!$E$24</f>
        <v>TAVIDOM</v>
      </c>
      <c r="F213">
        <v>2040</v>
      </c>
      <c r="G213">
        <f>HLOOKUP(REG_TRA_DEMANDS!G$3,'BY-Demands'!$J$5:$AK$14,MATCH($E213,'BY-Demands'!$I$5:$I$14,0),FALSE)*HLOOKUP(REG_TRA_DEMANDS!$F213,DEMANDS!$G$2:$CK$25,MATCH($E213,DEMANDS!$E$2:$E$25,0),FALSE)/HLOOKUP(2018,DEMANDS!$G$2:$CK$25,MATCH($E213,DEMANDS!$E$2:$E$25,0),FALSE)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H213" s="19">
        <f>HLOOKUP(REG_TRA_DEMANDS!H$3,'BY-Demands'!$J$5:$AK$14,MATCH($E213,'BY-Demands'!$I$5:$I$14,0),FALSE)*HLOOKUP(REG_TRA_DEMANDS!$F213,DEMANDS!$G$2:$CK$25,MATCH($E213,DEMANDS!$E$2:$E$25,0),FALSE)/HLOOKUP(2018,DEMANDS!$G$2:$CK$25,MATCH($E213,DEMANDS!$E$2:$E$25,0),FALSE)</f>
        <v>0.13395677260860595</v>
      </c>
      <c r="I213" s="36">
        <f>HLOOKUP(REG_TRA_DEMANDS!I$3,'BY-Demands'!$J$5:$AK$14,MATCH($E213,'BY-Demands'!$I$5:$I$14,0),FALSE)*HLOOKUP(REG_TRA_DEMANDS!$F213,DEMANDS!$G$2:$CK$25,MATCH($E213,DEMANDS!$E$2:$E$25,0),FALSE)/HLOOKUP(2018,DEMANDS!$G$2:$CK$25,MATCH($E213,DEMANDS!$E$2:$E$25,0),FALSE)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J213" s="36">
        <f>HLOOKUP(REG_TRA_DEMANDS!J$3,'BY-Demands'!$J$5:$AK$14,MATCH($E213,'BY-Demands'!$I$5:$I$14,0),FALSE)*HLOOKUP(REG_TRA_DEMANDS!$F213,DEMANDS!$G$2:$CK$25,MATCH($E213,DEMANDS!$E$2:$E$25,0),FALSE)/HLOOKUP(2018,DEMANDS!$G$2:$CK$25,MATCH($E213,DEMANDS!$E$2:$E$25,0),FALSE)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K213" s="36">
        <f>HLOOKUP(REG_TRA_DEMANDS!K$3,'BY-Demands'!$J$5:$AK$14,MATCH($E213,'BY-Demands'!$I$5:$I$14,0),FALSE)*HLOOKUP(REG_TRA_DEMANDS!$F213,DEMANDS!$G$2:$CK$25,MATCH($E213,DEMANDS!$E$2:$E$25,0),FALSE)/HLOOKUP(2018,DEMANDS!$G$2:$CK$25,MATCH($E213,DEMANDS!$E$2:$E$25,0),FALSE)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L213" s="36">
        <f>HLOOKUP(REG_TRA_DEMANDS!L$3,'BY-Demands'!$J$5:$AK$14,MATCH($E213,'BY-Demands'!$I$5:$I$14,0),FALSE)*HLOOKUP(REG_TRA_DEMANDS!$F213,DEMANDS!$G$2:$CK$25,MATCH($E213,DEMANDS!$E$2:$E$25,0),FALSE)/HLOOKUP(2018,DEMANDS!$G$2:$CK$25,MATCH($E213,DEMANDS!$E$2:$E$25,0),FALSE)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M213" s="36">
        <f>HLOOKUP(REG_TRA_DEMANDS!M$3,'BY-Demands'!$J$5:$AK$14,MATCH($E213,'BY-Demands'!$I$5:$I$14,0),FALSE)*HLOOKUP(REG_TRA_DEMANDS!$F213,DEMANDS!$G$2:$CK$25,MATCH($E213,DEMANDS!$E$2:$E$25,0),FALSE)/HLOOKUP(2018,DEMANDS!$G$2:$CK$25,MATCH($E213,DEMANDS!$E$2:$E$25,0),FALSE)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N213" s="36">
        <f>HLOOKUP(REG_TRA_DEMANDS!N$3,'BY-Demands'!$J$5:$AK$14,MATCH($E213,'BY-Demands'!$I$5:$I$14,0),FALSE)*HLOOKUP(REG_TRA_DEMANDS!$F213,DEMANDS!$G$2:$CK$25,MATCH($E213,DEMANDS!$E$2:$E$25,0),FALSE)/HLOOKUP(2018,DEMANDS!$G$2:$CK$25,MATCH($E213,DEMANDS!$E$2:$E$25,0),FALSE)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O213" s="36">
        <f>HLOOKUP(REG_TRA_DEMANDS!O$3,'BY-Demands'!$J$5:$AK$14,MATCH($E213,'BY-Demands'!$I$5:$I$14,0),FALSE)*HLOOKUP(REG_TRA_DEMANDS!$F213,DEMANDS!$G$2:$CK$25,MATCH($E213,DEMANDS!$E$2:$E$25,0),FALSE)/HLOOKUP(2018,DEMANDS!$G$2:$CK$25,MATCH($E213,DEMANDS!$E$2:$E$25,0),FALSE)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P213" s="36">
        <f>HLOOKUP(REG_TRA_DEMANDS!P$3,'BY-Demands'!$J$5:$AK$14,MATCH($E213,'BY-Demands'!$I$5:$I$14,0),FALSE)*HLOOKUP(REG_TRA_DEMANDS!$F213,DEMANDS!$G$2:$CK$25,MATCH($E213,DEMANDS!$E$2:$E$25,0),FALSE)/HLOOKUP(2018,DEMANDS!$G$2:$CK$25,MATCH($E213,DEMANDS!$E$2:$E$25,0),FALSE)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Q213" s="36">
        <f>HLOOKUP(REG_TRA_DEMANDS!Q$3,'BY-Demands'!$J$5:$AK$14,MATCH($E213,'BY-Demands'!$I$5:$I$14,0),FALSE)*HLOOKUP(REG_TRA_DEMANDS!$F213,DEMANDS!$G$2:$CK$25,MATCH($E213,DEMANDS!$E$2:$E$25,0),FALSE)/HLOOKUP(2018,DEMANDS!$G$2:$CK$25,MATCH($E213,DEMANDS!$E$2:$E$25,0),FALSE)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R213" s="36">
        <f>HLOOKUP(REG_TRA_DEMANDS!R$3,'BY-Demands'!$J$5:$AK$14,MATCH($E213,'BY-Demands'!$I$5:$I$14,0),FALSE)*HLOOKUP(REG_TRA_DEMANDS!$F213,DEMANDS!$G$2:$CK$25,MATCH($E213,DEMANDS!$E$2:$E$25,0),FALSE)/HLOOKUP(2018,DEMANDS!$G$2:$CK$25,MATCH($E213,DEMANDS!$E$2:$E$25,0),FALSE)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S213" s="19">
        <f>HLOOKUP(REG_TRA_DEMANDS!S$3,'BY-Demands'!$J$5:$AK$14,MATCH($E213,'BY-Demands'!$I$5:$I$14,0),FALSE)*HLOOKUP(REG_TRA_DEMANDS!$F213,DEMANDS!$G$2:$CK$25,MATCH($E213,DEMANDS!$E$2:$E$25,0),FALSE)/HLOOKUP(2018,DEMANDS!$G$2:$CK$25,MATCH($E213,DEMANDS!$E$2:$E$25,0),FALSE)</f>
        <v>0.046779068407982807</v>
      </c>
      <c r="T213" s="19">
        <f>HLOOKUP(REG_TRA_DEMANDS!T$3,'BY-Demands'!$J$5:$AK$14,MATCH($E213,'BY-Demands'!$I$5:$I$14,0),FALSE)*HLOOKUP(REG_TRA_DEMANDS!$F213,DEMANDS!$G$2:$CK$25,MATCH($E213,DEMANDS!$E$2:$E$25,0),FALSE)/HLOOKUP(2018,DEMANDS!$G$2:$CK$25,MATCH($E213,DEMANDS!$E$2:$E$25,0),FALSE)</f>
        <v>0.00046352277307537207</v>
      </c>
      <c r="U213" s="19">
        <f>HLOOKUP(REG_TRA_DEMANDS!U$3,'BY-Demands'!$J$5:$AK$14,MATCH($E213,'BY-Demands'!$I$5:$I$14,0),FALSE)*HLOOKUP(REG_TRA_DEMANDS!$F213,DEMANDS!$G$2:$CK$25,MATCH($E213,DEMANDS!$E$2:$E$25,0),FALSE)/HLOOKUP(2018,DEMANDS!$G$2:$CK$25,MATCH($E213,DEMANDS!$E$2:$E$25,0),FALSE)</f>
        <v>0.046529102661710439</v>
      </c>
      <c r="V213" s="36">
        <f>HLOOKUP(REG_TRA_DEMANDS!V$3,'BY-Demands'!$J$5:$AK$14,MATCH($E213,'BY-Demands'!$I$5:$I$14,0),FALSE)*HLOOKUP(REG_TRA_DEMANDS!$F213,DEMANDS!$G$2:$CK$25,MATCH($E213,DEMANDS!$E$2:$E$25,0),FALSE)/HLOOKUP(2018,DEMANDS!$G$2:$CK$25,MATCH($E213,DEMANDS!$E$2:$E$25,0),FALSE)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W213" s="36">
        <f>HLOOKUP(REG_TRA_DEMANDS!W$3,'BY-Demands'!$J$5:$AK$14,MATCH($E213,'BY-Demands'!$I$5:$I$14,0),FALSE)*HLOOKUP(REG_TRA_DEMANDS!$F213,DEMANDS!$G$2:$CK$25,MATCH($E213,DEMANDS!$E$2:$E$25,0),FALSE)/HLOOKUP(2018,DEMANDS!$G$2:$CK$25,MATCH($E213,DEMANDS!$E$2:$E$25,0),FALSE)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X213" s="36">
        <f>HLOOKUP(REG_TRA_DEMANDS!X$3,'BY-Demands'!$J$5:$AK$14,MATCH($E213,'BY-Demands'!$I$5:$I$14,0),FALSE)*HLOOKUP(REG_TRA_DEMANDS!$F213,DEMANDS!$G$2:$CK$25,MATCH($E213,DEMANDS!$E$2:$E$25,0),FALSE)/HLOOKUP(2018,DEMANDS!$G$2:$CK$25,MATCH($E213,DEMANDS!$E$2:$E$25,0),FALSE)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Y213" s="36">
        <f>HLOOKUP(REG_TRA_DEMANDS!Y$3,'BY-Demands'!$J$5:$AK$14,MATCH($E213,'BY-Demands'!$I$5:$I$14,0),FALSE)*HLOOKUP(REG_TRA_DEMANDS!$F213,DEMANDS!$G$2:$CK$25,MATCH($E213,DEMANDS!$E$2:$E$25,0),FALSE)/HLOOKUP(2018,DEMANDS!$G$2:$CK$25,MATCH($E213,DEMANDS!$E$2:$E$25,0),FALSE)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Z213" s="36">
        <f>HLOOKUP(REG_TRA_DEMANDS!Z$3,'BY-Demands'!$J$5:$AK$14,MATCH($E213,'BY-Demands'!$I$5:$I$14,0),FALSE)*HLOOKUP(REG_TRA_DEMANDS!$F213,DEMANDS!$G$2:$CK$25,MATCH($E213,DEMANDS!$E$2:$E$25,0),FALSE)/HLOOKUP(2018,DEMANDS!$G$2:$CK$25,MATCH($E213,DEMANDS!$E$2:$E$25,0),FALSE)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A213" s="36">
        <f>HLOOKUP(REG_TRA_DEMANDS!AA$3,'BY-Demands'!$J$5:$AK$14,MATCH($E213,'BY-Demands'!$I$5:$I$14,0),FALSE)*HLOOKUP(REG_TRA_DEMANDS!$F213,DEMANDS!$G$2:$CK$25,MATCH($E213,DEMANDS!$E$2:$E$25,0),FALSE)/HLOOKUP(2018,DEMANDS!$G$2:$CK$25,MATCH($E213,DEMANDS!$E$2:$E$25,0),FALSE)</f>
        <v>9.2704554615074527E-05</v>
      </c>
      <c r="AB213" s="36">
        <f>HLOOKUP(REG_TRA_DEMANDS!AB$3,'BY-Demands'!$J$5:$AK$14,MATCH($E213,'BY-Demands'!$I$5:$I$14,0),FALSE)*HLOOKUP(REG_TRA_DEMANDS!$F213,DEMANDS!$G$2:$CK$25,MATCH($E213,DEMANDS!$E$2:$E$25,0),FALSE)/HLOOKUP(2018,DEMANDS!$G$2:$CK$25,MATCH($E213,DEMANDS!$E$2:$E$25,0),FALSE)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C213" s="36">
        <f>HLOOKUP(REG_TRA_DEMANDS!AC$3,'BY-Demands'!$J$5:$AK$14,MATCH($E213,'BY-Demands'!$I$5:$I$14,0),FALSE)*HLOOKUP(REG_TRA_DEMANDS!$F213,DEMANDS!$G$2:$CK$25,MATCH($E213,DEMANDS!$E$2:$E$25,0),FALSE)/HLOOKUP(2018,DEMANDS!$G$2:$CK$25,MATCH($E213,DEMANDS!$E$2:$E$25,0),FALSE)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D213" s="36">
        <f>HLOOKUP(REG_TRA_DEMANDS!AD$3,'BY-Demands'!$J$5:$AK$14,MATCH($E213,'BY-Demands'!$I$5:$I$14,0),FALSE)*HLOOKUP(REG_TRA_DEMANDS!$F213,DEMANDS!$G$2:$CK$25,MATCH($E213,DEMANDS!$E$2:$E$25,0),FALSE)/HLOOKUP(2018,DEMANDS!$G$2:$CK$25,MATCH($E213,DEMANDS!$E$2:$E$25,0),FALSE)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E213" s="36">
        <f>HLOOKUP(REG_TRA_DEMANDS!AE$3,'BY-Demands'!$J$5:$AK$14,MATCH($E213,'BY-Demands'!$I$5:$I$14,0),FALSE)*HLOOKUP(REG_TRA_DEMANDS!$F213,DEMANDS!$G$2:$CK$25,MATCH($E213,DEMANDS!$E$2:$E$25,0),FALSE)/HLOOKUP(2018,DEMANDS!$G$2:$CK$25,MATCH($E213,DEMANDS!$E$2:$E$25,0),FALSE)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F213" s="36">
        <f>HLOOKUP(REG_TRA_DEMANDS!AF$3,'BY-Demands'!$J$5:$AK$14,MATCH($E213,'BY-Demands'!$I$5:$I$14,0),FALSE)*HLOOKUP(REG_TRA_DEMANDS!$F213,DEMANDS!$G$2:$CK$25,MATCH($E213,DEMANDS!$E$2:$E$25,0),FALSE)/HLOOKUP(2018,DEMANDS!$G$2:$CK$25,MATCH($E213,DEMANDS!$E$2:$E$25,0),FALSE)</f>
        <v>0</v>
      </c>
    </row>
    <row r="214" spans="4:32" ht="14.5">
      <c r="D214" t="s">
        <v>6</v>
      </c>
      <c r="E214" t="str">
        <f>DEMANDS!$E$24</f>
        <v>TAVIDOM</v>
      </c>
      <c r="F214">
        <v>2045</v>
      </c>
      <c r="G214">
        <f>HLOOKUP(REG_TRA_DEMANDS!G$3,'BY-Demands'!$J$5:$AK$14,MATCH($E214,'BY-Demands'!$I$5:$I$14,0),FALSE)*HLOOKUP(REG_TRA_DEMANDS!$F214,DEMANDS!$G$2:$CK$25,MATCH($E214,DEMANDS!$E$2:$E$25,0),FALSE)/HLOOKUP(2018,DEMANDS!$G$2:$CK$25,MATCH($E214,DEMANDS!$E$2:$E$25,0),FALSE)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H214" s="19">
        <f>HLOOKUP(REG_TRA_DEMANDS!H$3,'BY-Demands'!$J$5:$AK$14,MATCH($E214,'BY-Demands'!$I$5:$I$14,0),FALSE)*HLOOKUP(REG_TRA_DEMANDS!$F214,DEMANDS!$G$2:$CK$25,MATCH($E214,DEMANDS!$E$2:$E$25,0),FALSE)/HLOOKUP(2018,DEMANDS!$G$2:$CK$25,MATCH($E214,DEMANDS!$E$2:$E$25,0),FALSE)</f>
        <v>0.13395677260860595</v>
      </c>
      <c r="I214" s="36">
        <f>HLOOKUP(REG_TRA_DEMANDS!I$3,'BY-Demands'!$J$5:$AK$14,MATCH($E214,'BY-Demands'!$I$5:$I$14,0),FALSE)*HLOOKUP(REG_TRA_DEMANDS!$F214,DEMANDS!$G$2:$CK$25,MATCH($E214,DEMANDS!$E$2:$E$25,0),FALSE)/HLOOKUP(2018,DEMANDS!$G$2:$CK$25,MATCH($E214,DEMANDS!$E$2:$E$25,0),FALSE)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J214" s="36">
        <f>HLOOKUP(REG_TRA_DEMANDS!J$3,'BY-Demands'!$J$5:$AK$14,MATCH($E214,'BY-Demands'!$I$5:$I$14,0),FALSE)*HLOOKUP(REG_TRA_DEMANDS!$F214,DEMANDS!$G$2:$CK$25,MATCH($E214,DEMANDS!$E$2:$E$25,0),FALSE)/HLOOKUP(2018,DEMANDS!$G$2:$CK$25,MATCH($E214,DEMANDS!$E$2:$E$25,0),FALSE)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K214" s="36">
        <f>HLOOKUP(REG_TRA_DEMANDS!K$3,'BY-Demands'!$J$5:$AK$14,MATCH($E214,'BY-Demands'!$I$5:$I$14,0),FALSE)*HLOOKUP(REG_TRA_DEMANDS!$F214,DEMANDS!$G$2:$CK$25,MATCH($E214,DEMANDS!$E$2:$E$25,0),FALSE)/HLOOKUP(2018,DEMANDS!$G$2:$CK$25,MATCH($E214,DEMANDS!$E$2:$E$25,0),FALSE)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L214" s="36">
        <f>HLOOKUP(REG_TRA_DEMANDS!L$3,'BY-Demands'!$J$5:$AK$14,MATCH($E214,'BY-Demands'!$I$5:$I$14,0),FALSE)*HLOOKUP(REG_TRA_DEMANDS!$F214,DEMANDS!$G$2:$CK$25,MATCH($E214,DEMANDS!$E$2:$E$25,0),FALSE)/HLOOKUP(2018,DEMANDS!$G$2:$CK$25,MATCH($E214,DEMANDS!$E$2:$E$25,0),FALSE)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M214" s="36">
        <f>HLOOKUP(REG_TRA_DEMANDS!M$3,'BY-Demands'!$J$5:$AK$14,MATCH($E214,'BY-Demands'!$I$5:$I$14,0),FALSE)*HLOOKUP(REG_TRA_DEMANDS!$F214,DEMANDS!$G$2:$CK$25,MATCH($E214,DEMANDS!$E$2:$E$25,0),FALSE)/HLOOKUP(2018,DEMANDS!$G$2:$CK$25,MATCH($E214,DEMANDS!$E$2:$E$25,0),FALSE)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N214" s="36">
        <f>HLOOKUP(REG_TRA_DEMANDS!N$3,'BY-Demands'!$J$5:$AK$14,MATCH($E214,'BY-Demands'!$I$5:$I$14,0),FALSE)*HLOOKUP(REG_TRA_DEMANDS!$F214,DEMANDS!$G$2:$CK$25,MATCH($E214,DEMANDS!$E$2:$E$25,0),FALSE)/HLOOKUP(2018,DEMANDS!$G$2:$CK$25,MATCH($E214,DEMANDS!$E$2:$E$25,0),FALSE)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O214" s="36">
        <f>HLOOKUP(REG_TRA_DEMANDS!O$3,'BY-Demands'!$J$5:$AK$14,MATCH($E214,'BY-Demands'!$I$5:$I$14,0),FALSE)*HLOOKUP(REG_TRA_DEMANDS!$F214,DEMANDS!$G$2:$CK$25,MATCH($E214,DEMANDS!$E$2:$E$25,0),FALSE)/HLOOKUP(2018,DEMANDS!$G$2:$CK$25,MATCH($E214,DEMANDS!$E$2:$E$25,0),FALSE)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P214" s="36">
        <f>HLOOKUP(REG_TRA_DEMANDS!P$3,'BY-Demands'!$J$5:$AK$14,MATCH($E214,'BY-Demands'!$I$5:$I$14,0),FALSE)*HLOOKUP(REG_TRA_DEMANDS!$F214,DEMANDS!$G$2:$CK$25,MATCH($E214,DEMANDS!$E$2:$E$25,0),FALSE)/HLOOKUP(2018,DEMANDS!$G$2:$CK$25,MATCH($E214,DEMANDS!$E$2:$E$25,0),FALSE)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Q214" s="36">
        <f>HLOOKUP(REG_TRA_DEMANDS!Q$3,'BY-Demands'!$J$5:$AK$14,MATCH($E214,'BY-Demands'!$I$5:$I$14,0),FALSE)*HLOOKUP(REG_TRA_DEMANDS!$F214,DEMANDS!$G$2:$CK$25,MATCH($E214,DEMANDS!$E$2:$E$25,0),FALSE)/HLOOKUP(2018,DEMANDS!$G$2:$CK$25,MATCH($E214,DEMANDS!$E$2:$E$25,0),FALSE)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R214" s="36">
        <f>HLOOKUP(REG_TRA_DEMANDS!R$3,'BY-Demands'!$J$5:$AK$14,MATCH($E214,'BY-Demands'!$I$5:$I$14,0),FALSE)*HLOOKUP(REG_TRA_DEMANDS!$F214,DEMANDS!$G$2:$CK$25,MATCH($E214,DEMANDS!$E$2:$E$25,0),FALSE)/HLOOKUP(2018,DEMANDS!$G$2:$CK$25,MATCH($E214,DEMANDS!$E$2:$E$25,0),FALSE)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S214" s="19">
        <f>HLOOKUP(REG_TRA_DEMANDS!S$3,'BY-Demands'!$J$5:$AK$14,MATCH($E214,'BY-Demands'!$I$5:$I$14,0),FALSE)*HLOOKUP(REG_TRA_DEMANDS!$F214,DEMANDS!$G$2:$CK$25,MATCH($E214,DEMANDS!$E$2:$E$25,0),FALSE)/HLOOKUP(2018,DEMANDS!$G$2:$CK$25,MATCH($E214,DEMANDS!$E$2:$E$25,0),FALSE)</f>
        <v>0.046779068407982807</v>
      </c>
      <c r="T214" s="19">
        <f>HLOOKUP(REG_TRA_DEMANDS!T$3,'BY-Demands'!$J$5:$AK$14,MATCH($E214,'BY-Demands'!$I$5:$I$14,0),FALSE)*HLOOKUP(REG_TRA_DEMANDS!$F214,DEMANDS!$G$2:$CK$25,MATCH($E214,DEMANDS!$E$2:$E$25,0),FALSE)/HLOOKUP(2018,DEMANDS!$G$2:$CK$25,MATCH($E214,DEMANDS!$E$2:$E$25,0),FALSE)</f>
        <v>0.00046352277307537207</v>
      </c>
      <c r="U214" s="19">
        <f>HLOOKUP(REG_TRA_DEMANDS!U$3,'BY-Demands'!$J$5:$AK$14,MATCH($E214,'BY-Demands'!$I$5:$I$14,0),FALSE)*HLOOKUP(REG_TRA_DEMANDS!$F214,DEMANDS!$G$2:$CK$25,MATCH($E214,DEMANDS!$E$2:$E$25,0),FALSE)/HLOOKUP(2018,DEMANDS!$G$2:$CK$25,MATCH($E214,DEMANDS!$E$2:$E$25,0),FALSE)</f>
        <v>0.046529102661710439</v>
      </c>
      <c r="V214" s="36">
        <f>HLOOKUP(REG_TRA_DEMANDS!V$3,'BY-Demands'!$J$5:$AK$14,MATCH($E214,'BY-Demands'!$I$5:$I$14,0),FALSE)*HLOOKUP(REG_TRA_DEMANDS!$F214,DEMANDS!$G$2:$CK$25,MATCH($E214,DEMANDS!$E$2:$E$25,0),FALSE)/HLOOKUP(2018,DEMANDS!$G$2:$CK$25,MATCH($E214,DEMANDS!$E$2:$E$25,0),FALSE)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W214" s="36">
        <f>HLOOKUP(REG_TRA_DEMANDS!W$3,'BY-Demands'!$J$5:$AK$14,MATCH($E214,'BY-Demands'!$I$5:$I$14,0),FALSE)*HLOOKUP(REG_TRA_DEMANDS!$F214,DEMANDS!$G$2:$CK$25,MATCH($E214,DEMANDS!$E$2:$E$25,0),FALSE)/HLOOKUP(2018,DEMANDS!$G$2:$CK$25,MATCH($E214,DEMANDS!$E$2:$E$25,0),FALSE)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X214" s="36">
        <f>HLOOKUP(REG_TRA_DEMANDS!X$3,'BY-Demands'!$J$5:$AK$14,MATCH($E214,'BY-Demands'!$I$5:$I$14,0),FALSE)*HLOOKUP(REG_TRA_DEMANDS!$F214,DEMANDS!$G$2:$CK$25,MATCH($E214,DEMANDS!$E$2:$E$25,0),FALSE)/HLOOKUP(2018,DEMANDS!$G$2:$CK$25,MATCH($E214,DEMANDS!$E$2:$E$25,0),FALSE)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Y214" s="36">
        <f>HLOOKUP(REG_TRA_DEMANDS!Y$3,'BY-Demands'!$J$5:$AK$14,MATCH($E214,'BY-Demands'!$I$5:$I$14,0),FALSE)*HLOOKUP(REG_TRA_DEMANDS!$F214,DEMANDS!$G$2:$CK$25,MATCH($E214,DEMANDS!$E$2:$E$25,0),FALSE)/HLOOKUP(2018,DEMANDS!$G$2:$CK$25,MATCH($E214,DEMANDS!$E$2:$E$25,0),FALSE)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Z214" s="36">
        <f>HLOOKUP(REG_TRA_DEMANDS!Z$3,'BY-Demands'!$J$5:$AK$14,MATCH($E214,'BY-Demands'!$I$5:$I$14,0),FALSE)*HLOOKUP(REG_TRA_DEMANDS!$F214,DEMANDS!$G$2:$CK$25,MATCH($E214,DEMANDS!$E$2:$E$25,0),FALSE)/HLOOKUP(2018,DEMANDS!$G$2:$CK$25,MATCH($E214,DEMANDS!$E$2:$E$25,0),FALSE)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A214" s="36">
        <f>HLOOKUP(REG_TRA_DEMANDS!AA$3,'BY-Demands'!$J$5:$AK$14,MATCH($E214,'BY-Demands'!$I$5:$I$14,0),FALSE)*HLOOKUP(REG_TRA_DEMANDS!$F214,DEMANDS!$G$2:$CK$25,MATCH($E214,DEMANDS!$E$2:$E$25,0),FALSE)/HLOOKUP(2018,DEMANDS!$G$2:$CK$25,MATCH($E214,DEMANDS!$E$2:$E$25,0),FALSE)</f>
        <v>9.2704554615074527E-05</v>
      </c>
      <c r="AB214" s="36">
        <f>HLOOKUP(REG_TRA_DEMANDS!AB$3,'BY-Demands'!$J$5:$AK$14,MATCH($E214,'BY-Demands'!$I$5:$I$14,0),FALSE)*HLOOKUP(REG_TRA_DEMANDS!$F214,DEMANDS!$G$2:$CK$25,MATCH($E214,DEMANDS!$E$2:$E$25,0),FALSE)/HLOOKUP(2018,DEMANDS!$G$2:$CK$25,MATCH($E214,DEMANDS!$E$2:$E$25,0),FALSE)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C214" s="36">
        <f>HLOOKUP(REG_TRA_DEMANDS!AC$3,'BY-Demands'!$J$5:$AK$14,MATCH($E214,'BY-Demands'!$I$5:$I$14,0),FALSE)*HLOOKUP(REG_TRA_DEMANDS!$F214,DEMANDS!$G$2:$CK$25,MATCH($E214,DEMANDS!$E$2:$E$25,0),FALSE)/HLOOKUP(2018,DEMANDS!$G$2:$CK$25,MATCH($E214,DEMANDS!$E$2:$E$25,0),FALSE)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D214" s="36">
        <f>HLOOKUP(REG_TRA_DEMANDS!AD$3,'BY-Demands'!$J$5:$AK$14,MATCH($E214,'BY-Demands'!$I$5:$I$14,0),FALSE)*HLOOKUP(REG_TRA_DEMANDS!$F214,DEMANDS!$G$2:$CK$25,MATCH($E214,DEMANDS!$E$2:$E$25,0),FALSE)/HLOOKUP(2018,DEMANDS!$G$2:$CK$25,MATCH($E214,DEMANDS!$E$2:$E$25,0),FALSE)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E214" s="36">
        <f>HLOOKUP(REG_TRA_DEMANDS!AE$3,'BY-Demands'!$J$5:$AK$14,MATCH($E214,'BY-Demands'!$I$5:$I$14,0),FALSE)*HLOOKUP(REG_TRA_DEMANDS!$F214,DEMANDS!$G$2:$CK$25,MATCH($E214,DEMANDS!$E$2:$E$25,0),FALSE)/HLOOKUP(2018,DEMANDS!$G$2:$CK$25,MATCH($E214,DEMANDS!$E$2:$E$25,0),FALSE)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F214" s="36">
        <f>HLOOKUP(REG_TRA_DEMANDS!AF$3,'BY-Demands'!$J$5:$AK$14,MATCH($E214,'BY-Demands'!$I$5:$I$14,0),FALSE)*HLOOKUP(REG_TRA_DEMANDS!$F214,DEMANDS!$G$2:$CK$25,MATCH($E214,DEMANDS!$E$2:$E$25,0),FALSE)/HLOOKUP(2018,DEMANDS!$G$2:$CK$25,MATCH($E214,DEMANDS!$E$2:$E$25,0),FALSE)</f>
        <v>0</v>
      </c>
    </row>
    <row r="215" spans="4:32" ht="14.5">
      <c r="D215" t="s">
        <v>6</v>
      </c>
      <c r="E215" t="str">
        <f>DEMANDS!$E$24</f>
        <v>TAVIDOM</v>
      </c>
      <c r="F215">
        <v>2050</v>
      </c>
      <c r="G215">
        <f>HLOOKUP(REG_TRA_DEMANDS!G$3,'BY-Demands'!$J$5:$AK$14,MATCH($E215,'BY-Demands'!$I$5:$I$14,0),FALSE)*HLOOKUP(REG_TRA_DEMANDS!$F215,DEMANDS!$G$2:$CK$25,MATCH($E215,DEMANDS!$E$2:$E$25,0),FALSE)/HLOOKUP(2018,DEMANDS!$G$2:$CK$25,MATCH($E215,DEMANDS!$E$2:$E$25,0),FALSE)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H215" s="19">
        <f>HLOOKUP(REG_TRA_DEMANDS!H$3,'BY-Demands'!$J$5:$AK$14,MATCH($E215,'BY-Demands'!$I$5:$I$14,0),FALSE)*HLOOKUP(REG_TRA_DEMANDS!$F215,DEMANDS!$G$2:$CK$25,MATCH($E215,DEMANDS!$E$2:$E$25,0),FALSE)/HLOOKUP(2018,DEMANDS!$G$2:$CK$25,MATCH($E215,DEMANDS!$E$2:$E$25,0),FALSE)</f>
        <v>0.13395677260860595</v>
      </c>
      <c r="I215" s="36">
        <f>HLOOKUP(REG_TRA_DEMANDS!I$3,'BY-Demands'!$J$5:$AK$14,MATCH($E215,'BY-Demands'!$I$5:$I$14,0),FALSE)*HLOOKUP(REG_TRA_DEMANDS!$F215,DEMANDS!$G$2:$CK$25,MATCH($E215,DEMANDS!$E$2:$E$25,0),FALSE)/HLOOKUP(2018,DEMANDS!$G$2:$CK$25,MATCH($E215,DEMANDS!$E$2:$E$25,0),FALSE)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J215" s="36">
        <f>HLOOKUP(REG_TRA_DEMANDS!J$3,'BY-Demands'!$J$5:$AK$14,MATCH($E215,'BY-Demands'!$I$5:$I$14,0),FALSE)*HLOOKUP(REG_TRA_DEMANDS!$F215,DEMANDS!$G$2:$CK$25,MATCH($E215,DEMANDS!$E$2:$E$25,0),FALSE)/HLOOKUP(2018,DEMANDS!$G$2:$CK$25,MATCH($E215,DEMANDS!$E$2:$E$25,0),FALSE)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K215" s="36">
        <f>HLOOKUP(REG_TRA_DEMANDS!K$3,'BY-Demands'!$J$5:$AK$14,MATCH($E215,'BY-Demands'!$I$5:$I$14,0),FALSE)*HLOOKUP(REG_TRA_DEMANDS!$F215,DEMANDS!$G$2:$CK$25,MATCH($E215,DEMANDS!$E$2:$E$25,0),FALSE)/HLOOKUP(2018,DEMANDS!$G$2:$CK$25,MATCH($E215,DEMANDS!$E$2:$E$25,0),FALSE)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L215" s="36">
        <f>HLOOKUP(REG_TRA_DEMANDS!L$3,'BY-Demands'!$J$5:$AK$14,MATCH($E215,'BY-Demands'!$I$5:$I$14,0),FALSE)*HLOOKUP(REG_TRA_DEMANDS!$F215,DEMANDS!$G$2:$CK$25,MATCH($E215,DEMANDS!$E$2:$E$25,0),FALSE)/HLOOKUP(2018,DEMANDS!$G$2:$CK$25,MATCH($E215,DEMANDS!$E$2:$E$25,0),FALSE)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M215" s="36">
        <f>HLOOKUP(REG_TRA_DEMANDS!M$3,'BY-Demands'!$J$5:$AK$14,MATCH($E215,'BY-Demands'!$I$5:$I$14,0),FALSE)*HLOOKUP(REG_TRA_DEMANDS!$F215,DEMANDS!$G$2:$CK$25,MATCH($E215,DEMANDS!$E$2:$E$25,0),FALSE)/HLOOKUP(2018,DEMANDS!$G$2:$CK$25,MATCH($E215,DEMANDS!$E$2:$E$25,0),FALSE)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N215" s="36">
        <f>HLOOKUP(REG_TRA_DEMANDS!N$3,'BY-Demands'!$J$5:$AK$14,MATCH($E215,'BY-Demands'!$I$5:$I$14,0),FALSE)*HLOOKUP(REG_TRA_DEMANDS!$F215,DEMANDS!$G$2:$CK$25,MATCH($E215,DEMANDS!$E$2:$E$25,0),FALSE)/HLOOKUP(2018,DEMANDS!$G$2:$CK$25,MATCH($E215,DEMANDS!$E$2:$E$25,0),FALSE)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O215" s="36">
        <f>HLOOKUP(REG_TRA_DEMANDS!O$3,'BY-Demands'!$J$5:$AK$14,MATCH($E215,'BY-Demands'!$I$5:$I$14,0),FALSE)*HLOOKUP(REG_TRA_DEMANDS!$F215,DEMANDS!$G$2:$CK$25,MATCH($E215,DEMANDS!$E$2:$E$25,0),FALSE)/HLOOKUP(2018,DEMANDS!$G$2:$CK$25,MATCH($E215,DEMANDS!$E$2:$E$25,0),FALSE)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P215" s="36">
        <f>HLOOKUP(REG_TRA_DEMANDS!P$3,'BY-Demands'!$J$5:$AK$14,MATCH($E215,'BY-Demands'!$I$5:$I$14,0),FALSE)*HLOOKUP(REG_TRA_DEMANDS!$F215,DEMANDS!$G$2:$CK$25,MATCH($E215,DEMANDS!$E$2:$E$25,0),FALSE)/HLOOKUP(2018,DEMANDS!$G$2:$CK$25,MATCH($E215,DEMANDS!$E$2:$E$25,0),FALSE)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Q215" s="36">
        <f>HLOOKUP(REG_TRA_DEMANDS!Q$3,'BY-Demands'!$J$5:$AK$14,MATCH($E215,'BY-Demands'!$I$5:$I$14,0),FALSE)*HLOOKUP(REG_TRA_DEMANDS!$F215,DEMANDS!$G$2:$CK$25,MATCH($E215,DEMANDS!$E$2:$E$25,0),FALSE)/HLOOKUP(2018,DEMANDS!$G$2:$CK$25,MATCH($E215,DEMANDS!$E$2:$E$25,0),FALSE)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R215" s="36">
        <f>HLOOKUP(REG_TRA_DEMANDS!R$3,'BY-Demands'!$J$5:$AK$14,MATCH($E215,'BY-Demands'!$I$5:$I$14,0),FALSE)*HLOOKUP(REG_TRA_DEMANDS!$F215,DEMANDS!$G$2:$CK$25,MATCH($E215,DEMANDS!$E$2:$E$25,0),FALSE)/HLOOKUP(2018,DEMANDS!$G$2:$CK$25,MATCH($E215,DEMANDS!$E$2:$E$25,0),FALSE)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S215" s="19">
        <f>HLOOKUP(REG_TRA_DEMANDS!S$3,'BY-Demands'!$J$5:$AK$14,MATCH($E215,'BY-Demands'!$I$5:$I$14,0),FALSE)*HLOOKUP(REG_TRA_DEMANDS!$F215,DEMANDS!$G$2:$CK$25,MATCH($E215,DEMANDS!$E$2:$E$25,0),FALSE)/HLOOKUP(2018,DEMANDS!$G$2:$CK$25,MATCH($E215,DEMANDS!$E$2:$E$25,0),FALSE)</f>
        <v>0.046779068407982807</v>
      </c>
      <c r="T215" s="19">
        <f>HLOOKUP(REG_TRA_DEMANDS!T$3,'BY-Demands'!$J$5:$AK$14,MATCH($E215,'BY-Demands'!$I$5:$I$14,0),FALSE)*HLOOKUP(REG_TRA_DEMANDS!$F215,DEMANDS!$G$2:$CK$25,MATCH($E215,DEMANDS!$E$2:$E$25,0),FALSE)/HLOOKUP(2018,DEMANDS!$G$2:$CK$25,MATCH($E215,DEMANDS!$E$2:$E$25,0),FALSE)</f>
        <v>0.00046352277307537207</v>
      </c>
      <c r="U215" s="19">
        <f>HLOOKUP(REG_TRA_DEMANDS!U$3,'BY-Demands'!$J$5:$AK$14,MATCH($E215,'BY-Demands'!$I$5:$I$14,0),FALSE)*HLOOKUP(REG_TRA_DEMANDS!$F215,DEMANDS!$G$2:$CK$25,MATCH($E215,DEMANDS!$E$2:$E$25,0),FALSE)/HLOOKUP(2018,DEMANDS!$G$2:$CK$25,MATCH($E215,DEMANDS!$E$2:$E$25,0),FALSE)</f>
        <v>0.046529102661710439</v>
      </c>
      <c r="V215" s="36">
        <f>HLOOKUP(REG_TRA_DEMANDS!V$3,'BY-Demands'!$J$5:$AK$14,MATCH($E215,'BY-Demands'!$I$5:$I$14,0),FALSE)*HLOOKUP(REG_TRA_DEMANDS!$F215,DEMANDS!$G$2:$CK$25,MATCH($E215,DEMANDS!$E$2:$E$25,0),FALSE)/HLOOKUP(2018,DEMANDS!$G$2:$CK$25,MATCH($E215,DEMANDS!$E$2:$E$25,0),FALSE)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W215" s="36">
        <f>HLOOKUP(REG_TRA_DEMANDS!W$3,'BY-Demands'!$J$5:$AK$14,MATCH($E215,'BY-Demands'!$I$5:$I$14,0),FALSE)*HLOOKUP(REG_TRA_DEMANDS!$F215,DEMANDS!$G$2:$CK$25,MATCH($E215,DEMANDS!$E$2:$E$25,0),FALSE)/HLOOKUP(2018,DEMANDS!$G$2:$CK$25,MATCH($E215,DEMANDS!$E$2:$E$25,0),FALSE)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X215" s="36">
        <f>HLOOKUP(REG_TRA_DEMANDS!X$3,'BY-Demands'!$J$5:$AK$14,MATCH($E215,'BY-Demands'!$I$5:$I$14,0),FALSE)*HLOOKUP(REG_TRA_DEMANDS!$F215,DEMANDS!$G$2:$CK$25,MATCH($E215,DEMANDS!$E$2:$E$25,0),FALSE)/HLOOKUP(2018,DEMANDS!$G$2:$CK$25,MATCH($E215,DEMANDS!$E$2:$E$25,0),FALSE)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Y215" s="36">
        <f>HLOOKUP(REG_TRA_DEMANDS!Y$3,'BY-Demands'!$J$5:$AK$14,MATCH($E215,'BY-Demands'!$I$5:$I$14,0),FALSE)*HLOOKUP(REG_TRA_DEMANDS!$F215,DEMANDS!$G$2:$CK$25,MATCH($E215,DEMANDS!$E$2:$E$25,0),FALSE)/HLOOKUP(2018,DEMANDS!$G$2:$CK$25,MATCH($E215,DEMANDS!$E$2:$E$25,0),FALSE)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Z215" s="36">
        <f>HLOOKUP(REG_TRA_DEMANDS!Z$3,'BY-Demands'!$J$5:$AK$14,MATCH($E215,'BY-Demands'!$I$5:$I$14,0),FALSE)*HLOOKUP(REG_TRA_DEMANDS!$F215,DEMANDS!$G$2:$CK$25,MATCH($E215,DEMANDS!$E$2:$E$25,0),FALSE)/HLOOKUP(2018,DEMANDS!$G$2:$CK$25,MATCH($E215,DEMANDS!$E$2:$E$25,0),FALSE)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A215" s="36">
        <f>HLOOKUP(REG_TRA_DEMANDS!AA$3,'BY-Demands'!$J$5:$AK$14,MATCH($E215,'BY-Demands'!$I$5:$I$14,0),FALSE)*HLOOKUP(REG_TRA_DEMANDS!$F215,DEMANDS!$G$2:$CK$25,MATCH($E215,DEMANDS!$E$2:$E$25,0),FALSE)/HLOOKUP(2018,DEMANDS!$G$2:$CK$25,MATCH($E215,DEMANDS!$E$2:$E$25,0),FALSE)</f>
        <v>9.2704554615074527E-05</v>
      </c>
      <c r="AB215" s="36">
        <f>HLOOKUP(REG_TRA_DEMANDS!AB$3,'BY-Demands'!$J$5:$AK$14,MATCH($E215,'BY-Demands'!$I$5:$I$14,0),FALSE)*HLOOKUP(REG_TRA_DEMANDS!$F215,DEMANDS!$G$2:$CK$25,MATCH($E215,DEMANDS!$E$2:$E$25,0),FALSE)/HLOOKUP(2018,DEMANDS!$G$2:$CK$25,MATCH($E215,DEMANDS!$E$2:$E$25,0),FALSE)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C215" s="36">
        <f>HLOOKUP(REG_TRA_DEMANDS!AC$3,'BY-Demands'!$J$5:$AK$14,MATCH($E215,'BY-Demands'!$I$5:$I$14,0),FALSE)*HLOOKUP(REG_TRA_DEMANDS!$F215,DEMANDS!$G$2:$CK$25,MATCH($E215,DEMANDS!$E$2:$E$25,0),FALSE)/HLOOKUP(2018,DEMANDS!$G$2:$CK$25,MATCH($E215,DEMANDS!$E$2:$E$25,0),FALSE)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D215" s="36">
        <f>HLOOKUP(REG_TRA_DEMANDS!AD$3,'BY-Demands'!$J$5:$AK$14,MATCH($E215,'BY-Demands'!$I$5:$I$14,0),FALSE)*HLOOKUP(REG_TRA_DEMANDS!$F215,DEMANDS!$G$2:$CK$25,MATCH($E215,DEMANDS!$E$2:$E$25,0),FALSE)/HLOOKUP(2018,DEMANDS!$G$2:$CK$25,MATCH($E215,DEMANDS!$E$2:$E$25,0),FALSE)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E215" s="36">
        <f>HLOOKUP(REG_TRA_DEMANDS!AE$3,'BY-Demands'!$J$5:$AK$14,MATCH($E215,'BY-Demands'!$I$5:$I$14,0),FALSE)*HLOOKUP(REG_TRA_DEMANDS!$F215,DEMANDS!$G$2:$CK$25,MATCH($E215,DEMANDS!$E$2:$E$25,0),FALSE)/HLOOKUP(2018,DEMANDS!$G$2:$CK$25,MATCH($E215,DEMANDS!$E$2:$E$25,0),FALSE)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F215" s="36">
        <f>HLOOKUP(REG_TRA_DEMANDS!AF$3,'BY-Demands'!$J$5:$AK$14,MATCH($E215,'BY-Demands'!$I$5:$I$14,0),FALSE)*HLOOKUP(REG_TRA_DEMANDS!$F215,DEMANDS!$G$2:$CK$25,MATCH($E215,DEMANDS!$E$2:$E$25,0),FALSE)/HLOOKUP(2018,DEMANDS!$G$2:$CK$25,MATCH($E215,DEMANDS!$E$2:$E$25,0),FALSE)</f>
        <v>0</v>
      </c>
    </row>
    <row r="216" spans="4:32" ht="14.5">
      <c r="D216" t="s">
        <v>6</v>
      </c>
      <c r="E216" t="str">
        <f>DEMANDS!$E$24</f>
        <v>TAVIDOM</v>
      </c>
      <c r="F216">
        <v>2055</v>
      </c>
      <c r="G216">
        <f>HLOOKUP(REG_TRA_DEMANDS!G$3,'BY-Demands'!$J$5:$AK$14,MATCH($E216,'BY-Demands'!$I$5:$I$14,0),FALSE)*HLOOKUP(REG_TRA_DEMANDS!$F216,DEMANDS!$G$2:$CK$25,MATCH($E216,DEMANDS!$E$2:$E$25,0),FALSE)/HLOOKUP(2018,DEMANDS!$G$2:$CK$25,MATCH($E216,DEMANDS!$E$2:$E$25,0),FALSE)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H216" s="19">
        <f>HLOOKUP(REG_TRA_DEMANDS!H$3,'BY-Demands'!$J$5:$AK$14,MATCH($E216,'BY-Demands'!$I$5:$I$14,0),FALSE)*HLOOKUP(REG_TRA_DEMANDS!$F216,DEMANDS!$G$2:$CK$25,MATCH($E216,DEMANDS!$E$2:$E$25,0),FALSE)/HLOOKUP(2018,DEMANDS!$G$2:$CK$25,MATCH($E216,DEMANDS!$E$2:$E$25,0),FALSE)</f>
        <v>0.13395677260860595</v>
      </c>
      <c r="I216" s="36">
        <f>HLOOKUP(REG_TRA_DEMANDS!I$3,'BY-Demands'!$J$5:$AK$14,MATCH($E216,'BY-Demands'!$I$5:$I$14,0),FALSE)*HLOOKUP(REG_TRA_DEMANDS!$F216,DEMANDS!$G$2:$CK$25,MATCH($E216,DEMANDS!$E$2:$E$25,0),FALSE)/HLOOKUP(2018,DEMANDS!$G$2:$CK$25,MATCH($E216,DEMANDS!$E$2:$E$25,0),FALSE)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J216" s="36">
        <f>HLOOKUP(REG_TRA_DEMANDS!J$3,'BY-Demands'!$J$5:$AK$14,MATCH($E216,'BY-Demands'!$I$5:$I$14,0),FALSE)*HLOOKUP(REG_TRA_DEMANDS!$F216,DEMANDS!$G$2:$CK$25,MATCH($E216,DEMANDS!$E$2:$E$25,0),FALSE)/HLOOKUP(2018,DEMANDS!$G$2:$CK$25,MATCH($E216,DEMANDS!$E$2:$E$25,0),FALSE)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K216" s="36">
        <f>HLOOKUP(REG_TRA_DEMANDS!K$3,'BY-Demands'!$J$5:$AK$14,MATCH($E216,'BY-Demands'!$I$5:$I$14,0),FALSE)*HLOOKUP(REG_TRA_DEMANDS!$F216,DEMANDS!$G$2:$CK$25,MATCH($E216,DEMANDS!$E$2:$E$25,0),FALSE)/HLOOKUP(2018,DEMANDS!$G$2:$CK$25,MATCH($E216,DEMANDS!$E$2:$E$25,0),FALSE)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L216" s="36">
        <f>HLOOKUP(REG_TRA_DEMANDS!L$3,'BY-Demands'!$J$5:$AK$14,MATCH($E216,'BY-Demands'!$I$5:$I$14,0),FALSE)*HLOOKUP(REG_TRA_DEMANDS!$F216,DEMANDS!$G$2:$CK$25,MATCH($E216,DEMANDS!$E$2:$E$25,0),FALSE)/HLOOKUP(2018,DEMANDS!$G$2:$CK$25,MATCH($E216,DEMANDS!$E$2:$E$25,0),FALSE)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M216" s="36">
        <f>HLOOKUP(REG_TRA_DEMANDS!M$3,'BY-Demands'!$J$5:$AK$14,MATCH($E216,'BY-Demands'!$I$5:$I$14,0),FALSE)*HLOOKUP(REG_TRA_DEMANDS!$F216,DEMANDS!$G$2:$CK$25,MATCH($E216,DEMANDS!$E$2:$E$25,0),FALSE)/HLOOKUP(2018,DEMANDS!$G$2:$CK$25,MATCH($E216,DEMANDS!$E$2:$E$25,0),FALSE)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N216" s="36">
        <f>HLOOKUP(REG_TRA_DEMANDS!N$3,'BY-Demands'!$J$5:$AK$14,MATCH($E216,'BY-Demands'!$I$5:$I$14,0),FALSE)*HLOOKUP(REG_TRA_DEMANDS!$F216,DEMANDS!$G$2:$CK$25,MATCH($E216,DEMANDS!$E$2:$E$25,0),FALSE)/HLOOKUP(2018,DEMANDS!$G$2:$CK$25,MATCH($E216,DEMANDS!$E$2:$E$25,0),FALSE)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O216" s="36">
        <f>HLOOKUP(REG_TRA_DEMANDS!O$3,'BY-Demands'!$J$5:$AK$14,MATCH($E216,'BY-Demands'!$I$5:$I$14,0),FALSE)*HLOOKUP(REG_TRA_DEMANDS!$F216,DEMANDS!$G$2:$CK$25,MATCH($E216,DEMANDS!$E$2:$E$25,0),FALSE)/HLOOKUP(2018,DEMANDS!$G$2:$CK$25,MATCH($E216,DEMANDS!$E$2:$E$25,0),FALSE)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P216" s="36">
        <f>HLOOKUP(REG_TRA_DEMANDS!P$3,'BY-Demands'!$J$5:$AK$14,MATCH($E216,'BY-Demands'!$I$5:$I$14,0),FALSE)*HLOOKUP(REG_TRA_DEMANDS!$F216,DEMANDS!$G$2:$CK$25,MATCH($E216,DEMANDS!$E$2:$E$25,0),FALSE)/HLOOKUP(2018,DEMANDS!$G$2:$CK$25,MATCH($E216,DEMANDS!$E$2:$E$25,0),FALSE)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Q216" s="36">
        <f>HLOOKUP(REG_TRA_DEMANDS!Q$3,'BY-Demands'!$J$5:$AK$14,MATCH($E216,'BY-Demands'!$I$5:$I$14,0),FALSE)*HLOOKUP(REG_TRA_DEMANDS!$F216,DEMANDS!$G$2:$CK$25,MATCH($E216,DEMANDS!$E$2:$E$25,0),FALSE)/HLOOKUP(2018,DEMANDS!$G$2:$CK$25,MATCH($E216,DEMANDS!$E$2:$E$25,0),FALSE)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R216" s="36">
        <f>HLOOKUP(REG_TRA_DEMANDS!R$3,'BY-Demands'!$J$5:$AK$14,MATCH($E216,'BY-Demands'!$I$5:$I$14,0),FALSE)*HLOOKUP(REG_TRA_DEMANDS!$F216,DEMANDS!$G$2:$CK$25,MATCH($E216,DEMANDS!$E$2:$E$25,0),FALSE)/HLOOKUP(2018,DEMANDS!$G$2:$CK$25,MATCH($E216,DEMANDS!$E$2:$E$25,0),FALSE)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S216" s="19">
        <f>HLOOKUP(REG_TRA_DEMANDS!S$3,'BY-Demands'!$J$5:$AK$14,MATCH($E216,'BY-Demands'!$I$5:$I$14,0),FALSE)*HLOOKUP(REG_TRA_DEMANDS!$F216,DEMANDS!$G$2:$CK$25,MATCH($E216,DEMANDS!$E$2:$E$25,0),FALSE)/HLOOKUP(2018,DEMANDS!$G$2:$CK$25,MATCH($E216,DEMANDS!$E$2:$E$25,0),FALSE)</f>
        <v>0.046779068407982807</v>
      </c>
      <c r="T216" s="19">
        <f>HLOOKUP(REG_TRA_DEMANDS!T$3,'BY-Demands'!$J$5:$AK$14,MATCH($E216,'BY-Demands'!$I$5:$I$14,0),FALSE)*HLOOKUP(REG_TRA_DEMANDS!$F216,DEMANDS!$G$2:$CK$25,MATCH($E216,DEMANDS!$E$2:$E$25,0),FALSE)/HLOOKUP(2018,DEMANDS!$G$2:$CK$25,MATCH($E216,DEMANDS!$E$2:$E$25,0),FALSE)</f>
        <v>0.00046352277307537207</v>
      </c>
      <c r="U216" s="19">
        <f>HLOOKUP(REG_TRA_DEMANDS!U$3,'BY-Demands'!$J$5:$AK$14,MATCH($E216,'BY-Demands'!$I$5:$I$14,0),FALSE)*HLOOKUP(REG_TRA_DEMANDS!$F216,DEMANDS!$G$2:$CK$25,MATCH($E216,DEMANDS!$E$2:$E$25,0),FALSE)/HLOOKUP(2018,DEMANDS!$G$2:$CK$25,MATCH($E216,DEMANDS!$E$2:$E$25,0),FALSE)</f>
        <v>0.046529102661710439</v>
      </c>
      <c r="V216" s="36">
        <f>HLOOKUP(REG_TRA_DEMANDS!V$3,'BY-Demands'!$J$5:$AK$14,MATCH($E216,'BY-Demands'!$I$5:$I$14,0),FALSE)*HLOOKUP(REG_TRA_DEMANDS!$F216,DEMANDS!$G$2:$CK$25,MATCH($E216,DEMANDS!$E$2:$E$25,0),FALSE)/HLOOKUP(2018,DEMANDS!$G$2:$CK$25,MATCH($E216,DEMANDS!$E$2:$E$25,0),FALSE)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W216" s="36">
        <f>HLOOKUP(REG_TRA_DEMANDS!W$3,'BY-Demands'!$J$5:$AK$14,MATCH($E216,'BY-Demands'!$I$5:$I$14,0),FALSE)*HLOOKUP(REG_TRA_DEMANDS!$F216,DEMANDS!$G$2:$CK$25,MATCH($E216,DEMANDS!$E$2:$E$25,0),FALSE)/HLOOKUP(2018,DEMANDS!$G$2:$CK$25,MATCH($E216,DEMANDS!$E$2:$E$25,0),FALSE)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X216" s="36">
        <f>HLOOKUP(REG_TRA_DEMANDS!X$3,'BY-Demands'!$J$5:$AK$14,MATCH($E216,'BY-Demands'!$I$5:$I$14,0),FALSE)*HLOOKUP(REG_TRA_DEMANDS!$F216,DEMANDS!$G$2:$CK$25,MATCH($E216,DEMANDS!$E$2:$E$25,0),FALSE)/HLOOKUP(2018,DEMANDS!$G$2:$CK$25,MATCH($E216,DEMANDS!$E$2:$E$25,0),FALSE)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Y216" s="36">
        <f>HLOOKUP(REG_TRA_DEMANDS!Y$3,'BY-Demands'!$J$5:$AK$14,MATCH($E216,'BY-Demands'!$I$5:$I$14,0),FALSE)*HLOOKUP(REG_TRA_DEMANDS!$F216,DEMANDS!$G$2:$CK$25,MATCH($E216,DEMANDS!$E$2:$E$25,0),FALSE)/HLOOKUP(2018,DEMANDS!$G$2:$CK$25,MATCH($E216,DEMANDS!$E$2:$E$25,0),FALSE)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Z216" s="36">
        <f>HLOOKUP(REG_TRA_DEMANDS!Z$3,'BY-Demands'!$J$5:$AK$14,MATCH($E216,'BY-Demands'!$I$5:$I$14,0),FALSE)*HLOOKUP(REG_TRA_DEMANDS!$F216,DEMANDS!$G$2:$CK$25,MATCH($E216,DEMANDS!$E$2:$E$25,0),FALSE)/HLOOKUP(2018,DEMANDS!$G$2:$CK$25,MATCH($E216,DEMANDS!$E$2:$E$25,0),FALSE)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A216" s="36">
        <f>HLOOKUP(REG_TRA_DEMANDS!AA$3,'BY-Demands'!$J$5:$AK$14,MATCH($E216,'BY-Demands'!$I$5:$I$14,0),FALSE)*HLOOKUP(REG_TRA_DEMANDS!$F216,DEMANDS!$G$2:$CK$25,MATCH($E216,DEMANDS!$E$2:$E$25,0),FALSE)/HLOOKUP(2018,DEMANDS!$G$2:$CK$25,MATCH($E216,DEMANDS!$E$2:$E$25,0),FALSE)</f>
        <v>9.2704554615074527E-05</v>
      </c>
      <c r="AB216" s="36">
        <f>HLOOKUP(REG_TRA_DEMANDS!AB$3,'BY-Demands'!$J$5:$AK$14,MATCH($E216,'BY-Demands'!$I$5:$I$14,0),FALSE)*HLOOKUP(REG_TRA_DEMANDS!$F216,DEMANDS!$G$2:$CK$25,MATCH($E216,DEMANDS!$E$2:$E$25,0),FALSE)/HLOOKUP(2018,DEMANDS!$G$2:$CK$25,MATCH($E216,DEMANDS!$E$2:$E$25,0),FALSE)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C216" s="36">
        <f>HLOOKUP(REG_TRA_DEMANDS!AC$3,'BY-Demands'!$J$5:$AK$14,MATCH($E216,'BY-Demands'!$I$5:$I$14,0),FALSE)*HLOOKUP(REG_TRA_DEMANDS!$F216,DEMANDS!$G$2:$CK$25,MATCH($E216,DEMANDS!$E$2:$E$25,0),FALSE)/HLOOKUP(2018,DEMANDS!$G$2:$CK$25,MATCH($E216,DEMANDS!$E$2:$E$25,0),FALSE)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D216" s="36">
        <f>HLOOKUP(REG_TRA_DEMANDS!AD$3,'BY-Demands'!$J$5:$AK$14,MATCH($E216,'BY-Demands'!$I$5:$I$14,0),FALSE)*HLOOKUP(REG_TRA_DEMANDS!$F216,DEMANDS!$G$2:$CK$25,MATCH($E216,DEMANDS!$E$2:$E$25,0),FALSE)/HLOOKUP(2018,DEMANDS!$G$2:$CK$25,MATCH($E216,DEMANDS!$E$2:$E$25,0),FALSE)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E216" s="36">
        <f>HLOOKUP(REG_TRA_DEMANDS!AE$3,'BY-Demands'!$J$5:$AK$14,MATCH($E216,'BY-Demands'!$I$5:$I$14,0),FALSE)*HLOOKUP(REG_TRA_DEMANDS!$F216,DEMANDS!$G$2:$CK$25,MATCH($E216,DEMANDS!$E$2:$E$25,0),FALSE)/HLOOKUP(2018,DEMANDS!$G$2:$CK$25,MATCH($E216,DEMANDS!$E$2:$E$25,0),FALSE)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F216" s="36">
        <f>HLOOKUP(REG_TRA_DEMANDS!AF$3,'BY-Demands'!$J$5:$AK$14,MATCH($E216,'BY-Demands'!$I$5:$I$14,0),FALSE)*HLOOKUP(REG_TRA_DEMANDS!$F216,DEMANDS!$G$2:$CK$25,MATCH($E216,DEMANDS!$E$2:$E$25,0),FALSE)/HLOOKUP(2018,DEMANDS!$G$2:$CK$25,MATCH($E216,DEMANDS!$E$2:$E$25,0),FALSE)</f>
        <v>0</v>
      </c>
    </row>
    <row r="217" spans="4:32" ht="14.5">
      <c r="D217" t="s">
        <v>6</v>
      </c>
      <c r="E217" t="str">
        <f>DEMANDS!$E$24</f>
        <v>TAVIDOM</v>
      </c>
      <c r="F217">
        <v>2060</v>
      </c>
      <c r="G217">
        <f>HLOOKUP(REG_TRA_DEMANDS!G$3,'BY-Demands'!$J$5:$AK$14,MATCH($E217,'BY-Demands'!$I$5:$I$14,0),FALSE)*HLOOKUP(REG_TRA_DEMANDS!$F217,DEMANDS!$G$2:$CK$25,MATCH($E217,DEMANDS!$E$2:$E$25,0),FALSE)/HLOOKUP(2018,DEMANDS!$G$2:$CK$25,MATCH($E217,DEMANDS!$E$2:$E$25,0),FALSE)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H217" s="19">
        <f>HLOOKUP(REG_TRA_DEMANDS!H$3,'BY-Demands'!$J$5:$AK$14,MATCH($E217,'BY-Demands'!$I$5:$I$14,0),FALSE)*HLOOKUP(REG_TRA_DEMANDS!$F217,DEMANDS!$G$2:$CK$25,MATCH($E217,DEMANDS!$E$2:$E$25,0),FALSE)/HLOOKUP(2018,DEMANDS!$G$2:$CK$25,MATCH($E217,DEMANDS!$E$2:$E$25,0),FALSE)</f>
        <v>0.13395677260860595</v>
      </c>
      <c r="I217" s="36">
        <f>HLOOKUP(REG_TRA_DEMANDS!I$3,'BY-Demands'!$J$5:$AK$14,MATCH($E217,'BY-Demands'!$I$5:$I$14,0),FALSE)*HLOOKUP(REG_TRA_DEMANDS!$F217,DEMANDS!$G$2:$CK$25,MATCH($E217,DEMANDS!$E$2:$E$25,0),FALSE)/HLOOKUP(2018,DEMANDS!$G$2:$CK$25,MATCH($E217,DEMANDS!$E$2:$E$25,0),FALSE)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J217" s="36">
        <f>HLOOKUP(REG_TRA_DEMANDS!J$3,'BY-Demands'!$J$5:$AK$14,MATCH($E217,'BY-Demands'!$I$5:$I$14,0),FALSE)*HLOOKUP(REG_TRA_DEMANDS!$F217,DEMANDS!$G$2:$CK$25,MATCH($E217,DEMANDS!$E$2:$E$25,0),FALSE)/HLOOKUP(2018,DEMANDS!$G$2:$CK$25,MATCH($E217,DEMANDS!$E$2:$E$25,0),FALSE)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K217" s="36">
        <f>HLOOKUP(REG_TRA_DEMANDS!K$3,'BY-Demands'!$J$5:$AK$14,MATCH($E217,'BY-Demands'!$I$5:$I$14,0),FALSE)*HLOOKUP(REG_TRA_DEMANDS!$F217,DEMANDS!$G$2:$CK$25,MATCH($E217,DEMANDS!$E$2:$E$25,0),FALSE)/HLOOKUP(2018,DEMANDS!$G$2:$CK$25,MATCH($E217,DEMANDS!$E$2:$E$25,0),FALSE)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L217" s="36">
        <f>HLOOKUP(REG_TRA_DEMANDS!L$3,'BY-Demands'!$J$5:$AK$14,MATCH($E217,'BY-Demands'!$I$5:$I$14,0),FALSE)*HLOOKUP(REG_TRA_DEMANDS!$F217,DEMANDS!$G$2:$CK$25,MATCH($E217,DEMANDS!$E$2:$E$25,0),FALSE)/HLOOKUP(2018,DEMANDS!$G$2:$CK$25,MATCH($E217,DEMANDS!$E$2:$E$25,0),FALSE)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M217" s="36">
        <f>HLOOKUP(REG_TRA_DEMANDS!M$3,'BY-Demands'!$J$5:$AK$14,MATCH($E217,'BY-Demands'!$I$5:$I$14,0),FALSE)*HLOOKUP(REG_TRA_DEMANDS!$F217,DEMANDS!$G$2:$CK$25,MATCH($E217,DEMANDS!$E$2:$E$25,0),FALSE)/HLOOKUP(2018,DEMANDS!$G$2:$CK$25,MATCH($E217,DEMANDS!$E$2:$E$25,0),FALSE)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N217" s="36">
        <f>HLOOKUP(REG_TRA_DEMANDS!N$3,'BY-Demands'!$J$5:$AK$14,MATCH($E217,'BY-Demands'!$I$5:$I$14,0),FALSE)*HLOOKUP(REG_TRA_DEMANDS!$F217,DEMANDS!$G$2:$CK$25,MATCH($E217,DEMANDS!$E$2:$E$25,0),FALSE)/HLOOKUP(2018,DEMANDS!$G$2:$CK$25,MATCH($E217,DEMANDS!$E$2:$E$25,0),FALSE)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O217" s="36">
        <f>HLOOKUP(REG_TRA_DEMANDS!O$3,'BY-Demands'!$J$5:$AK$14,MATCH($E217,'BY-Demands'!$I$5:$I$14,0),FALSE)*HLOOKUP(REG_TRA_DEMANDS!$F217,DEMANDS!$G$2:$CK$25,MATCH($E217,DEMANDS!$E$2:$E$25,0),FALSE)/HLOOKUP(2018,DEMANDS!$G$2:$CK$25,MATCH($E217,DEMANDS!$E$2:$E$25,0),FALSE)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P217" s="36">
        <f>HLOOKUP(REG_TRA_DEMANDS!P$3,'BY-Demands'!$J$5:$AK$14,MATCH($E217,'BY-Demands'!$I$5:$I$14,0),FALSE)*HLOOKUP(REG_TRA_DEMANDS!$F217,DEMANDS!$G$2:$CK$25,MATCH($E217,DEMANDS!$E$2:$E$25,0),FALSE)/HLOOKUP(2018,DEMANDS!$G$2:$CK$25,MATCH($E217,DEMANDS!$E$2:$E$25,0),FALSE)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Q217" s="36">
        <f>HLOOKUP(REG_TRA_DEMANDS!Q$3,'BY-Demands'!$J$5:$AK$14,MATCH($E217,'BY-Demands'!$I$5:$I$14,0),FALSE)*HLOOKUP(REG_TRA_DEMANDS!$F217,DEMANDS!$G$2:$CK$25,MATCH($E217,DEMANDS!$E$2:$E$25,0),FALSE)/HLOOKUP(2018,DEMANDS!$G$2:$CK$25,MATCH($E217,DEMANDS!$E$2:$E$25,0),FALSE)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R217" s="36">
        <f>HLOOKUP(REG_TRA_DEMANDS!R$3,'BY-Demands'!$J$5:$AK$14,MATCH($E217,'BY-Demands'!$I$5:$I$14,0),FALSE)*HLOOKUP(REG_TRA_DEMANDS!$F217,DEMANDS!$G$2:$CK$25,MATCH($E217,DEMANDS!$E$2:$E$25,0),FALSE)/HLOOKUP(2018,DEMANDS!$G$2:$CK$25,MATCH($E217,DEMANDS!$E$2:$E$25,0),FALSE)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S217" s="19">
        <f>HLOOKUP(REG_TRA_DEMANDS!S$3,'BY-Demands'!$J$5:$AK$14,MATCH($E217,'BY-Demands'!$I$5:$I$14,0),FALSE)*HLOOKUP(REG_TRA_DEMANDS!$F217,DEMANDS!$G$2:$CK$25,MATCH($E217,DEMANDS!$E$2:$E$25,0),FALSE)/HLOOKUP(2018,DEMANDS!$G$2:$CK$25,MATCH($E217,DEMANDS!$E$2:$E$25,0),FALSE)</f>
        <v>0.046779068407982807</v>
      </c>
      <c r="T217" s="19">
        <f>HLOOKUP(REG_TRA_DEMANDS!T$3,'BY-Demands'!$J$5:$AK$14,MATCH($E217,'BY-Demands'!$I$5:$I$14,0),FALSE)*HLOOKUP(REG_TRA_DEMANDS!$F217,DEMANDS!$G$2:$CK$25,MATCH($E217,DEMANDS!$E$2:$E$25,0),FALSE)/HLOOKUP(2018,DEMANDS!$G$2:$CK$25,MATCH($E217,DEMANDS!$E$2:$E$25,0),FALSE)</f>
        <v>0.00046352277307537207</v>
      </c>
      <c r="U217" s="19">
        <f>HLOOKUP(REG_TRA_DEMANDS!U$3,'BY-Demands'!$J$5:$AK$14,MATCH($E217,'BY-Demands'!$I$5:$I$14,0),FALSE)*HLOOKUP(REG_TRA_DEMANDS!$F217,DEMANDS!$G$2:$CK$25,MATCH($E217,DEMANDS!$E$2:$E$25,0),FALSE)/HLOOKUP(2018,DEMANDS!$G$2:$CK$25,MATCH($E217,DEMANDS!$E$2:$E$25,0),FALSE)</f>
        <v>0.046529102661710439</v>
      </c>
      <c r="V217" s="36">
        <f>HLOOKUP(REG_TRA_DEMANDS!V$3,'BY-Demands'!$J$5:$AK$14,MATCH($E217,'BY-Demands'!$I$5:$I$14,0),FALSE)*HLOOKUP(REG_TRA_DEMANDS!$F217,DEMANDS!$G$2:$CK$25,MATCH($E217,DEMANDS!$E$2:$E$25,0),FALSE)/HLOOKUP(2018,DEMANDS!$G$2:$CK$25,MATCH($E217,DEMANDS!$E$2:$E$25,0),FALSE)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W217" s="36">
        <f>HLOOKUP(REG_TRA_DEMANDS!W$3,'BY-Demands'!$J$5:$AK$14,MATCH($E217,'BY-Demands'!$I$5:$I$14,0),FALSE)*HLOOKUP(REG_TRA_DEMANDS!$F217,DEMANDS!$G$2:$CK$25,MATCH($E217,DEMANDS!$E$2:$E$25,0),FALSE)/HLOOKUP(2018,DEMANDS!$G$2:$CK$25,MATCH($E217,DEMANDS!$E$2:$E$25,0),FALSE)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X217" s="36">
        <f>HLOOKUP(REG_TRA_DEMANDS!X$3,'BY-Demands'!$J$5:$AK$14,MATCH($E217,'BY-Demands'!$I$5:$I$14,0),FALSE)*HLOOKUP(REG_TRA_DEMANDS!$F217,DEMANDS!$G$2:$CK$25,MATCH($E217,DEMANDS!$E$2:$E$25,0),FALSE)/HLOOKUP(2018,DEMANDS!$G$2:$CK$25,MATCH($E217,DEMANDS!$E$2:$E$25,0),FALSE)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Y217" s="36">
        <f>HLOOKUP(REG_TRA_DEMANDS!Y$3,'BY-Demands'!$J$5:$AK$14,MATCH($E217,'BY-Demands'!$I$5:$I$14,0),FALSE)*HLOOKUP(REG_TRA_DEMANDS!$F217,DEMANDS!$G$2:$CK$25,MATCH($E217,DEMANDS!$E$2:$E$25,0),FALSE)/HLOOKUP(2018,DEMANDS!$G$2:$CK$25,MATCH($E217,DEMANDS!$E$2:$E$25,0),FALSE)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Z217" s="36">
        <f>HLOOKUP(REG_TRA_DEMANDS!Z$3,'BY-Demands'!$J$5:$AK$14,MATCH($E217,'BY-Demands'!$I$5:$I$14,0),FALSE)*HLOOKUP(REG_TRA_DEMANDS!$F217,DEMANDS!$G$2:$CK$25,MATCH($E217,DEMANDS!$E$2:$E$25,0),FALSE)/HLOOKUP(2018,DEMANDS!$G$2:$CK$25,MATCH($E217,DEMANDS!$E$2:$E$25,0),FALSE)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A217" s="36">
        <f>HLOOKUP(REG_TRA_DEMANDS!AA$3,'BY-Demands'!$J$5:$AK$14,MATCH($E217,'BY-Demands'!$I$5:$I$14,0),FALSE)*HLOOKUP(REG_TRA_DEMANDS!$F217,DEMANDS!$G$2:$CK$25,MATCH($E217,DEMANDS!$E$2:$E$25,0),FALSE)/HLOOKUP(2018,DEMANDS!$G$2:$CK$25,MATCH($E217,DEMANDS!$E$2:$E$25,0),FALSE)</f>
        <v>9.2704554615074527E-05</v>
      </c>
      <c r="AB217" s="36">
        <f>HLOOKUP(REG_TRA_DEMANDS!AB$3,'BY-Demands'!$J$5:$AK$14,MATCH($E217,'BY-Demands'!$I$5:$I$14,0),FALSE)*HLOOKUP(REG_TRA_DEMANDS!$F217,DEMANDS!$G$2:$CK$25,MATCH($E217,DEMANDS!$E$2:$E$25,0),FALSE)/HLOOKUP(2018,DEMANDS!$G$2:$CK$25,MATCH($E217,DEMANDS!$E$2:$E$25,0),FALSE)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C217" s="36">
        <f>HLOOKUP(REG_TRA_DEMANDS!AC$3,'BY-Demands'!$J$5:$AK$14,MATCH($E217,'BY-Demands'!$I$5:$I$14,0),FALSE)*HLOOKUP(REG_TRA_DEMANDS!$F217,DEMANDS!$G$2:$CK$25,MATCH($E217,DEMANDS!$E$2:$E$25,0),FALSE)/HLOOKUP(2018,DEMANDS!$G$2:$CK$25,MATCH($E217,DEMANDS!$E$2:$E$25,0),FALSE)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D217" s="36">
        <f>HLOOKUP(REG_TRA_DEMANDS!AD$3,'BY-Demands'!$J$5:$AK$14,MATCH($E217,'BY-Demands'!$I$5:$I$14,0),FALSE)*HLOOKUP(REG_TRA_DEMANDS!$F217,DEMANDS!$G$2:$CK$25,MATCH($E217,DEMANDS!$E$2:$E$25,0),FALSE)/HLOOKUP(2018,DEMANDS!$G$2:$CK$25,MATCH($E217,DEMANDS!$E$2:$E$25,0),FALSE)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E217" s="36">
        <f>HLOOKUP(REG_TRA_DEMANDS!AE$3,'BY-Demands'!$J$5:$AK$14,MATCH($E217,'BY-Demands'!$I$5:$I$14,0),FALSE)*HLOOKUP(REG_TRA_DEMANDS!$F217,DEMANDS!$G$2:$CK$25,MATCH($E217,DEMANDS!$E$2:$E$25,0),FALSE)/HLOOKUP(2018,DEMANDS!$G$2:$CK$25,MATCH($E217,DEMANDS!$E$2:$E$25,0),FALSE)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F217" s="36">
        <f>HLOOKUP(REG_TRA_DEMANDS!AF$3,'BY-Demands'!$J$5:$AK$14,MATCH($E217,'BY-Demands'!$I$5:$I$14,0),FALSE)*HLOOKUP(REG_TRA_DEMANDS!$F217,DEMANDS!$G$2:$CK$25,MATCH($E217,DEMANDS!$E$2:$E$25,0),FALSE)/HLOOKUP(2018,DEMANDS!$G$2:$CK$25,MATCH($E217,DEMANDS!$E$2:$E$25,0),FALSE)</f>
        <v>0</v>
      </c>
    </row>
    <row r="218" spans="4:32" ht="14.5">
      <c r="D218" t="s">
        <v>6</v>
      </c>
      <c r="E218" t="str">
        <f>DEMANDS!$E$24</f>
        <v>TAVIDOM</v>
      </c>
      <c r="F218">
        <v>2065</v>
      </c>
      <c r="G218">
        <f>HLOOKUP(REG_TRA_DEMANDS!G$3,'BY-Demands'!$J$5:$AK$14,MATCH($E218,'BY-Demands'!$I$5:$I$14,0),FALSE)*HLOOKUP(REG_TRA_DEMANDS!$F218,DEMANDS!$G$2:$CK$25,MATCH($E218,DEMANDS!$E$2:$E$25,0),FALSE)/HLOOKUP(2018,DEMANDS!$G$2:$CK$25,MATCH($E218,DEMANDS!$E$2:$E$25,0),FALSE)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H218" s="19">
        <f>HLOOKUP(REG_TRA_DEMANDS!H$3,'BY-Demands'!$J$5:$AK$14,MATCH($E218,'BY-Demands'!$I$5:$I$14,0),FALSE)*HLOOKUP(REG_TRA_DEMANDS!$F218,DEMANDS!$G$2:$CK$25,MATCH($E218,DEMANDS!$E$2:$E$25,0),FALSE)/HLOOKUP(2018,DEMANDS!$G$2:$CK$25,MATCH($E218,DEMANDS!$E$2:$E$25,0),FALSE)</f>
        <v>0.13395677260860595</v>
      </c>
      <c r="I218" s="36">
        <f>HLOOKUP(REG_TRA_DEMANDS!I$3,'BY-Demands'!$J$5:$AK$14,MATCH($E218,'BY-Demands'!$I$5:$I$14,0),FALSE)*HLOOKUP(REG_TRA_DEMANDS!$F218,DEMANDS!$G$2:$CK$25,MATCH($E218,DEMANDS!$E$2:$E$25,0),FALSE)/HLOOKUP(2018,DEMANDS!$G$2:$CK$25,MATCH($E218,DEMANDS!$E$2:$E$25,0),FALSE)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J218" s="36">
        <f>HLOOKUP(REG_TRA_DEMANDS!J$3,'BY-Demands'!$J$5:$AK$14,MATCH($E218,'BY-Demands'!$I$5:$I$14,0),FALSE)*HLOOKUP(REG_TRA_DEMANDS!$F218,DEMANDS!$G$2:$CK$25,MATCH($E218,DEMANDS!$E$2:$E$25,0),FALSE)/HLOOKUP(2018,DEMANDS!$G$2:$CK$25,MATCH($E218,DEMANDS!$E$2:$E$25,0),FALSE)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K218" s="36">
        <f>HLOOKUP(REG_TRA_DEMANDS!K$3,'BY-Demands'!$J$5:$AK$14,MATCH($E218,'BY-Demands'!$I$5:$I$14,0),FALSE)*HLOOKUP(REG_TRA_DEMANDS!$F218,DEMANDS!$G$2:$CK$25,MATCH($E218,DEMANDS!$E$2:$E$25,0),FALSE)/HLOOKUP(2018,DEMANDS!$G$2:$CK$25,MATCH($E218,DEMANDS!$E$2:$E$25,0),FALSE)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L218" s="36">
        <f>HLOOKUP(REG_TRA_DEMANDS!L$3,'BY-Demands'!$J$5:$AK$14,MATCH($E218,'BY-Demands'!$I$5:$I$14,0),FALSE)*HLOOKUP(REG_TRA_DEMANDS!$F218,DEMANDS!$G$2:$CK$25,MATCH($E218,DEMANDS!$E$2:$E$25,0),FALSE)/HLOOKUP(2018,DEMANDS!$G$2:$CK$25,MATCH($E218,DEMANDS!$E$2:$E$25,0),FALSE)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M218" s="36">
        <f>HLOOKUP(REG_TRA_DEMANDS!M$3,'BY-Demands'!$J$5:$AK$14,MATCH($E218,'BY-Demands'!$I$5:$I$14,0),FALSE)*HLOOKUP(REG_TRA_DEMANDS!$F218,DEMANDS!$G$2:$CK$25,MATCH($E218,DEMANDS!$E$2:$E$25,0),FALSE)/HLOOKUP(2018,DEMANDS!$G$2:$CK$25,MATCH($E218,DEMANDS!$E$2:$E$25,0),FALSE)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N218" s="36">
        <f>HLOOKUP(REG_TRA_DEMANDS!N$3,'BY-Demands'!$J$5:$AK$14,MATCH($E218,'BY-Demands'!$I$5:$I$14,0),FALSE)*HLOOKUP(REG_TRA_DEMANDS!$F218,DEMANDS!$G$2:$CK$25,MATCH($E218,DEMANDS!$E$2:$E$25,0),FALSE)/HLOOKUP(2018,DEMANDS!$G$2:$CK$25,MATCH($E218,DEMANDS!$E$2:$E$25,0),FALSE)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O218" s="36">
        <f>HLOOKUP(REG_TRA_DEMANDS!O$3,'BY-Demands'!$J$5:$AK$14,MATCH($E218,'BY-Demands'!$I$5:$I$14,0),FALSE)*HLOOKUP(REG_TRA_DEMANDS!$F218,DEMANDS!$G$2:$CK$25,MATCH($E218,DEMANDS!$E$2:$E$25,0),FALSE)/HLOOKUP(2018,DEMANDS!$G$2:$CK$25,MATCH($E218,DEMANDS!$E$2:$E$25,0),FALSE)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P218" s="36">
        <f>HLOOKUP(REG_TRA_DEMANDS!P$3,'BY-Demands'!$J$5:$AK$14,MATCH($E218,'BY-Demands'!$I$5:$I$14,0),FALSE)*HLOOKUP(REG_TRA_DEMANDS!$F218,DEMANDS!$G$2:$CK$25,MATCH($E218,DEMANDS!$E$2:$E$25,0),FALSE)/HLOOKUP(2018,DEMANDS!$G$2:$CK$25,MATCH($E218,DEMANDS!$E$2:$E$25,0),FALSE)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Q218" s="36">
        <f>HLOOKUP(REG_TRA_DEMANDS!Q$3,'BY-Demands'!$J$5:$AK$14,MATCH($E218,'BY-Demands'!$I$5:$I$14,0),FALSE)*HLOOKUP(REG_TRA_DEMANDS!$F218,DEMANDS!$G$2:$CK$25,MATCH($E218,DEMANDS!$E$2:$E$25,0),FALSE)/HLOOKUP(2018,DEMANDS!$G$2:$CK$25,MATCH($E218,DEMANDS!$E$2:$E$25,0),FALSE)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R218" s="36">
        <f>HLOOKUP(REG_TRA_DEMANDS!R$3,'BY-Demands'!$J$5:$AK$14,MATCH($E218,'BY-Demands'!$I$5:$I$14,0),FALSE)*HLOOKUP(REG_TRA_DEMANDS!$F218,DEMANDS!$G$2:$CK$25,MATCH($E218,DEMANDS!$E$2:$E$25,0),FALSE)/HLOOKUP(2018,DEMANDS!$G$2:$CK$25,MATCH($E218,DEMANDS!$E$2:$E$25,0),FALSE)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S218" s="19">
        <f>HLOOKUP(REG_TRA_DEMANDS!S$3,'BY-Demands'!$J$5:$AK$14,MATCH($E218,'BY-Demands'!$I$5:$I$14,0),FALSE)*HLOOKUP(REG_TRA_DEMANDS!$F218,DEMANDS!$G$2:$CK$25,MATCH($E218,DEMANDS!$E$2:$E$25,0),FALSE)/HLOOKUP(2018,DEMANDS!$G$2:$CK$25,MATCH($E218,DEMANDS!$E$2:$E$25,0),FALSE)</f>
        <v>0.046779068407982807</v>
      </c>
      <c r="T218" s="19">
        <f>HLOOKUP(REG_TRA_DEMANDS!T$3,'BY-Demands'!$J$5:$AK$14,MATCH($E218,'BY-Demands'!$I$5:$I$14,0),FALSE)*HLOOKUP(REG_TRA_DEMANDS!$F218,DEMANDS!$G$2:$CK$25,MATCH($E218,DEMANDS!$E$2:$E$25,0),FALSE)/HLOOKUP(2018,DEMANDS!$G$2:$CK$25,MATCH($E218,DEMANDS!$E$2:$E$25,0),FALSE)</f>
        <v>0.00046352277307537207</v>
      </c>
      <c r="U218" s="19">
        <f>HLOOKUP(REG_TRA_DEMANDS!U$3,'BY-Demands'!$J$5:$AK$14,MATCH($E218,'BY-Demands'!$I$5:$I$14,0),FALSE)*HLOOKUP(REG_TRA_DEMANDS!$F218,DEMANDS!$G$2:$CK$25,MATCH($E218,DEMANDS!$E$2:$E$25,0),FALSE)/HLOOKUP(2018,DEMANDS!$G$2:$CK$25,MATCH($E218,DEMANDS!$E$2:$E$25,0),FALSE)</f>
        <v>0.046529102661710439</v>
      </c>
      <c r="V218" s="36">
        <f>HLOOKUP(REG_TRA_DEMANDS!V$3,'BY-Demands'!$J$5:$AK$14,MATCH($E218,'BY-Demands'!$I$5:$I$14,0),FALSE)*HLOOKUP(REG_TRA_DEMANDS!$F218,DEMANDS!$G$2:$CK$25,MATCH($E218,DEMANDS!$E$2:$E$25,0),FALSE)/HLOOKUP(2018,DEMANDS!$G$2:$CK$25,MATCH($E218,DEMANDS!$E$2:$E$25,0),FALSE)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W218" s="36">
        <f>HLOOKUP(REG_TRA_DEMANDS!W$3,'BY-Demands'!$J$5:$AK$14,MATCH($E218,'BY-Demands'!$I$5:$I$14,0),FALSE)*HLOOKUP(REG_TRA_DEMANDS!$F218,DEMANDS!$G$2:$CK$25,MATCH($E218,DEMANDS!$E$2:$E$25,0),FALSE)/HLOOKUP(2018,DEMANDS!$G$2:$CK$25,MATCH($E218,DEMANDS!$E$2:$E$25,0),FALSE)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X218" s="36">
        <f>HLOOKUP(REG_TRA_DEMANDS!X$3,'BY-Demands'!$J$5:$AK$14,MATCH($E218,'BY-Demands'!$I$5:$I$14,0),FALSE)*HLOOKUP(REG_TRA_DEMANDS!$F218,DEMANDS!$G$2:$CK$25,MATCH($E218,DEMANDS!$E$2:$E$25,0),FALSE)/HLOOKUP(2018,DEMANDS!$G$2:$CK$25,MATCH($E218,DEMANDS!$E$2:$E$25,0),FALSE)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Y218" s="36">
        <f>HLOOKUP(REG_TRA_DEMANDS!Y$3,'BY-Demands'!$J$5:$AK$14,MATCH($E218,'BY-Demands'!$I$5:$I$14,0),FALSE)*HLOOKUP(REG_TRA_DEMANDS!$F218,DEMANDS!$G$2:$CK$25,MATCH($E218,DEMANDS!$E$2:$E$25,0),FALSE)/HLOOKUP(2018,DEMANDS!$G$2:$CK$25,MATCH($E218,DEMANDS!$E$2:$E$25,0),FALSE)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Z218" s="36">
        <f>HLOOKUP(REG_TRA_DEMANDS!Z$3,'BY-Demands'!$J$5:$AK$14,MATCH($E218,'BY-Demands'!$I$5:$I$14,0),FALSE)*HLOOKUP(REG_TRA_DEMANDS!$F218,DEMANDS!$G$2:$CK$25,MATCH($E218,DEMANDS!$E$2:$E$25,0),FALSE)/HLOOKUP(2018,DEMANDS!$G$2:$CK$25,MATCH($E218,DEMANDS!$E$2:$E$25,0),FALSE)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A218" s="36">
        <f>HLOOKUP(REG_TRA_DEMANDS!AA$3,'BY-Demands'!$J$5:$AK$14,MATCH($E218,'BY-Demands'!$I$5:$I$14,0),FALSE)*HLOOKUP(REG_TRA_DEMANDS!$F218,DEMANDS!$G$2:$CK$25,MATCH($E218,DEMANDS!$E$2:$E$25,0),FALSE)/HLOOKUP(2018,DEMANDS!$G$2:$CK$25,MATCH($E218,DEMANDS!$E$2:$E$25,0),FALSE)</f>
        <v>9.2704554615074527E-05</v>
      </c>
      <c r="AB218" s="36">
        <f>HLOOKUP(REG_TRA_DEMANDS!AB$3,'BY-Demands'!$J$5:$AK$14,MATCH($E218,'BY-Demands'!$I$5:$I$14,0),FALSE)*HLOOKUP(REG_TRA_DEMANDS!$F218,DEMANDS!$G$2:$CK$25,MATCH($E218,DEMANDS!$E$2:$E$25,0),FALSE)/HLOOKUP(2018,DEMANDS!$G$2:$CK$25,MATCH($E218,DEMANDS!$E$2:$E$25,0),FALSE)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C218" s="36">
        <f>HLOOKUP(REG_TRA_DEMANDS!AC$3,'BY-Demands'!$J$5:$AK$14,MATCH($E218,'BY-Demands'!$I$5:$I$14,0),FALSE)*HLOOKUP(REG_TRA_DEMANDS!$F218,DEMANDS!$G$2:$CK$25,MATCH($E218,DEMANDS!$E$2:$E$25,0),FALSE)/HLOOKUP(2018,DEMANDS!$G$2:$CK$25,MATCH($E218,DEMANDS!$E$2:$E$25,0),FALSE)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D218" s="36">
        <f>HLOOKUP(REG_TRA_DEMANDS!AD$3,'BY-Demands'!$J$5:$AK$14,MATCH($E218,'BY-Demands'!$I$5:$I$14,0),FALSE)*HLOOKUP(REG_TRA_DEMANDS!$F218,DEMANDS!$G$2:$CK$25,MATCH($E218,DEMANDS!$E$2:$E$25,0),FALSE)/HLOOKUP(2018,DEMANDS!$G$2:$CK$25,MATCH($E218,DEMANDS!$E$2:$E$25,0),FALSE)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E218" s="36">
        <f>HLOOKUP(REG_TRA_DEMANDS!AE$3,'BY-Demands'!$J$5:$AK$14,MATCH($E218,'BY-Demands'!$I$5:$I$14,0),FALSE)*HLOOKUP(REG_TRA_DEMANDS!$F218,DEMANDS!$G$2:$CK$25,MATCH($E218,DEMANDS!$E$2:$E$25,0),FALSE)/HLOOKUP(2018,DEMANDS!$G$2:$CK$25,MATCH($E218,DEMANDS!$E$2:$E$25,0),FALSE)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F218" s="36">
        <f>HLOOKUP(REG_TRA_DEMANDS!AF$3,'BY-Demands'!$J$5:$AK$14,MATCH($E218,'BY-Demands'!$I$5:$I$14,0),FALSE)*HLOOKUP(REG_TRA_DEMANDS!$F218,DEMANDS!$G$2:$CK$25,MATCH($E218,DEMANDS!$E$2:$E$25,0),FALSE)/HLOOKUP(2018,DEMANDS!$G$2:$CK$25,MATCH($E218,DEMANDS!$E$2:$E$25,0),FALSE)</f>
        <v>0</v>
      </c>
    </row>
    <row r="219" spans="4:32" ht="14.5">
      <c r="D219" t="s">
        <v>6</v>
      </c>
      <c r="E219" t="str">
        <f>DEMANDS!$E$24</f>
        <v>TAVIDOM</v>
      </c>
      <c r="F219">
        <v>2070</v>
      </c>
      <c r="G219" s="17">
        <f>HLOOKUP(REG_TRA_DEMANDS!G$3,'BY-Demands'!$J$5:$AK$14,MATCH($E219,'BY-Demands'!$I$5:$I$14,0),FALSE)*HLOOKUP(REG_TRA_DEMANDS!$F219,DEMANDS!$G$2:$CK$25,MATCH($E219,DEMANDS!$E$2:$E$25,0),FALSE)/HLOOKUP(2018,DEMANDS!$G$2:$CK$25,MATCH($E219,DEMANDS!$E$2:$E$25,0),FALSE)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H219" s="18">
        <f>HLOOKUP(REG_TRA_DEMANDS!H$3,'BY-Demands'!$J$5:$AK$14,MATCH($E219,'BY-Demands'!$I$5:$I$14,0),FALSE)*HLOOKUP(REG_TRA_DEMANDS!$F219,DEMANDS!$G$2:$CK$25,MATCH($E219,DEMANDS!$E$2:$E$25,0),FALSE)/HLOOKUP(2018,DEMANDS!$G$2:$CK$25,MATCH($E219,DEMANDS!$E$2:$E$25,0),FALSE)</f>
        <v>0.13395677260860595</v>
      </c>
      <c r="I219" s="37">
        <f>HLOOKUP(REG_TRA_DEMANDS!I$3,'BY-Demands'!$J$5:$AK$14,MATCH($E219,'BY-Demands'!$I$5:$I$14,0),FALSE)*HLOOKUP(REG_TRA_DEMANDS!$F219,DEMANDS!$G$2:$CK$25,MATCH($E219,DEMANDS!$E$2:$E$25,0),FALSE)/HLOOKUP(2018,DEMANDS!$G$2:$CK$25,MATCH($E219,DEMANDS!$E$2:$E$25,0),FALSE)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J219" s="37">
        <f>HLOOKUP(REG_TRA_DEMANDS!J$3,'BY-Demands'!$J$5:$AK$14,MATCH($E219,'BY-Demands'!$I$5:$I$14,0),FALSE)*HLOOKUP(REG_TRA_DEMANDS!$F219,DEMANDS!$G$2:$CK$25,MATCH($E219,DEMANDS!$E$2:$E$25,0),FALSE)/HLOOKUP(2018,DEMANDS!$G$2:$CK$25,MATCH($E219,DEMANDS!$E$2:$E$25,0),FALSE)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K219" s="37">
        <f>HLOOKUP(REG_TRA_DEMANDS!K$3,'BY-Demands'!$J$5:$AK$14,MATCH($E219,'BY-Demands'!$I$5:$I$14,0),FALSE)*HLOOKUP(REG_TRA_DEMANDS!$F219,DEMANDS!$G$2:$CK$25,MATCH($E219,DEMANDS!$E$2:$E$25,0),FALSE)/HLOOKUP(2018,DEMANDS!$G$2:$CK$25,MATCH($E219,DEMANDS!$E$2:$E$25,0),FALSE)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L219" s="37">
        <f>HLOOKUP(REG_TRA_DEMANDS!L$3,'BY-Demands'!$J$5:$AK$14,MATCH($E219,'BY-Demands'!$I$5:$I$14,0),FALSE)*HLOOKUP(REG_TRA_DEMANDS!$F219,DEMANDS!$G$2:$CK$25,MATCH($E219,DEMANDS!$E$2:$E$25,0),FALSE)/HLOOKUP(2018,DEMANDS!$G$2:$CK$25,MATCH($E219,DEMANDS!$E$2:$E$25,0),FALSE)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M219" s="37">
        <f>HLOOKUP(REG_TRA_DEMANDS!M$3,'BY-Demands'!$J$5:$AK$14,MATCH($E219,'BY-Demands'!$I$5:$I$14,0),FALSE)*HLOOKUP(REG_TRA_DEMANDS!$F219,DEMANDS!$G$2:$CK$25,MATCH($E219,DEMANDS!$E$2:$E$25,0),FALSE)/HLOOKUP(2018,DEMANDS!$G$2:$CK$25,MATCH($E219,DEMANDS!$E$2:$E$25,0),FALSE)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N219" s="37">
        <f>HLOOKUP(REG_TRA_DEMANDS!N$3,'BY-Demands'!$J$5:$AK$14,MATCH($E219,'BY-Demands'!$I$5:$I$14,0),FALSE)*HLOOKUP(REG_TRA_DEMANDS!$F219,DEMANDS!$G$2:$CK$25,MATCH($E219,DEMANDS!$E$2:$E$25,0),FALSE)/HLOOKUP(2018,DEMANDS!$G$2:$CK$25,MATCH($E219,DEMANDS!$E$2:$E$25,0),FALSE)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O219" s="37">
        <f>HLOOKUP(REG_TRA_DEMANDS!O$3,'BY-Demands'!$J$5:$AK$14,MATCH($E219,'BY-Demands'!$I$5:$I$14,0),FALSE)*HLOOKUP(REG_TRA_DEMANDS!$F219,DEMANDS!$G$2:$CK$25,MATCH($E219,DEMANDS!$E$2:$E$25,0),FALSE)/HLOOKUP(2018,DEMANDS!$G$2:$CK$25,MATCH($E219,DEMANDS!$E$2:$E$25,0),FALSE)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P219" s="37">
        <f>HLOOKUP(REG_TRA_DEMANDS!P$3,'BY-Demands'!$J$5:$AK$14,MATCH($E219,'BY-Demands'!$I$5:$I$14,0),FALSE)*HLOOKUP(REG_TRA_DEMANDS!$F219,DEMANDS!$G$2:$CK$25,MATCH($E219,DEMANDS!$E$2:$E$25,0),FALSE)/HLOOKUP(2018,DEMANDS!$G$2:$CK$25,MATCH($E219,DEMANDS!$E$2:$E$25,0),FALSE)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Q219" s="37">
        <f>HLOOKUP(REG_TRA_DEMANDS!Q$3,'BY-Demands'!$J$5:$AK$14,MATCH($E219,'BY-Demands'!$I$5:$I$14,0),FALSE)*HLOOKUP(REG_TRA_DEMANDS!$F219,DEMANDS!$G$2:$CK$25,MATCH($E219,DEMANDS!$E$2:$E$25,0),FALSE)/HLOOKUP(2018,DEMANDS!$G$2:$CK$25,MATCH($E219,DEMANDS!$E$2:$E$25,0),FALSE)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R219" s="37">
        <f>HLOOKUP(REG_TRA_DEMANDS!R$3,'BY-Demands'!$J$5:$AK$14,MATCH($E219,'BY-Demands'!$I$5:$I$14,0),FALSE)*HLOOKUP(REG_TRA_DEMANDS!$F219,DEMANDS!$G$2:$CK$25,MATCH($E219,DEMANDS!$E$2:$E$25,0),FALSE)/HLOOKUP(2018,DEMANDS!$G$2:$CK$25,MATCH($E219,DEMANDS!$E$2:$E$25,0),FALSE)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S219" s="18">
        <f>HLOOKUP(REG_TRA_DEMANDS!S$3,'BY-Demands'!$J$5:$AK$14,MATCH($E219,'BY-Demands'!$I$5:$I$14,0),FALSE)*HLOOKUP(REG_TRA_DEMANDS!$F219,DEMANDS!$G$2:$CK$25,MATCH($E219,DEMANDS!$E$2:$E$25,0),FALSE)/HLOOKUP(2018,DEMANDS!$G$2:$CK$25,MATCH($E219,DEMANDS!$E$2:$E$25,0),FALSE)</f>
        <v>0.046779068407982807</v>
      </c>
      <c r="T219" s="18">
        <f>HLOOKUP(REG_TRA_DEMANDS!T$3,'BY-Demands'!$J$5:$AK$14,MATCH($E219,'BY-Demands'!$I$5:$I$14,0),FALSE)*HLOOKUP(REG_TRA_DEMANDS!$F219,DEMANDS!$G$2:$CK$25,MATCH($E219,DEMANDS!$E$2:$E$25,0),FALSE)/HLOOKUP(2018,DEMANDS!$G$2:$CK$25,MATCH($E219,DEMANDS!$E$2:$E$25,0),FALSE)</f>
        <v>0.00046352277307537207</v>
      </c>
      <c r="U219" s="18">
        <f>HLOOKUP(REG_TRA_DEMANDS!U$3,'BY-Demands'!$J$5:$AK$14,MATCH($E219,'BY-Demands'!$I$5:$I$14,0),FALSE)*HLOOKUP(REG_TRA_DEMANDS!$F219,DEMANDS!$G$2:$CK$25,MATCH($E219,DEMANDS!$E$2:$E$25,0),FALSE)/HLOOKUP(2018,DEMANDS!$G$2:$CK$25,MATCH($E219,DEMANDS!$E$2:$E$25,0),FALSE)</f>
        <v>0.046529102661710439</v>
      </c>
      <c r="V219" s="37">
        <f>HLOOKUP(REG_TRA_DEMANDS!V$3,'BY-Demands'!$J$5:$AK$14,MATCH($E219,'BY-Demands'!$I$5:$I$14,0),FALSE)*HLOOKUP(REG_TRA_DEMANDS!$F219,DEMANDS!$G$2:$CK$25,MATCH($E219,DEMANDS!$E$2:$E$25,0),FALSE)/HLOOKUP(2018,DEMANDS!$G$2:$CK$25,MATCH($E219,DEMANDS!$E$2:$E$25,0),FALSE)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W219" s="37">
        <f>HLOOKUP(REG_TRA_DEMANDS!W$3,'BY-Demands'!$J$5:$AK$14,MATCH($E219,'BY-Demands'!$I$5:$I$14,0),FALSE)*HLOOKUP(REG_TRA_DEMANDS!$F219,DEMANDS!$G$2:$CK$25,MATCH($E219,DEMANDS!$E$2:$E$25,0),FALSE)/HLOOKUP(2018,DEMANDS!$G$2:$CK$25,MATCH($E219,DEMANDS!$E$2:$E$25,0),FALSE)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X219" s="37">
        <f>HLOOKUP(REG_TRA_DEMANDS!X$3,'BY-Demands'!$J$5:$AK$14,MATCH($E219,'BY-Demands'!$I$5:$I$14,0),FALSE)*HLOOKUP(REG_TRA_DEMANDS!$F219,DEMANDS!$G$2:$CK$25,MATCH($E219,DEMANDS!$E$2:$E$25,0),FALSE)/HLOOKUP(2018,DEMANDS!$G$2:$CK$25,MATCH($E219,DEMANDS!$E$2:$E$25,0),FALSE)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Y219" s="37">
        <f>HLOOKUP(REG_TRA_DEMANDS!Y$3,'BY-Demands'!$J$5:$AK$14,MATCH($E219,'BY-Demands'!$I$5:$I$14,0),FALSE)*HLOOKUP(REG_TRA_DEMANDS!$F219,DEMANDS!$G$2:$CK$25,MATCH($E219,DEMANDS!$E$2:$E$25,0),FALSE)/HLOOKUP(2018,DEMANDS!$G$2:$CK$25,MATCH($E219,DEMANDS!$E$2:$E$25,0),FALSE)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Z219" s="37">
        <f>HLOOKUP(REG_TRA_DEMANDS!Z$3,'BY-Demands'!$J$5:$AK$14,MATCH($E219,'BY-Demands'!$I$5:$I$14,0),FALSE)*HLOOKUP(REG_TRA_DEMANDS!$F219,DEMANDS!$G$2:$CK$25,MATCH($E219,DEMANDS!$E$2:$E$25,0),FALSE)/HLOOKUP(2018,DEMANDS!$G$2:$CK$25,MATCH($E219,DEMANDS!$E$2:$E$25,0),FALSE)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A219" s="37">
        <f>HLOOKUP(REG_TRA_DEMANDS!AA$3,'BY-Demands'!$J$5:$AK$14,MATCH($E219,'BY-Demands'!$I$5:$I$14,0),FALSE)*HLOOKUP(REG_TRA_DEMANDS!$F219,DEMANDS!$G$2:$CK$25,MATCH($E219,DEMANDS!$E$2:$E$25,0),FALSE)/HLOOKUP(2018,DEMANDS!$G$2:$CK$25,MATCH($E219,DEMANDS!$E$2:$E$25,0),FALSE)</f>
        <v>9.2704554615074527E-05</v>
      </c>
      <c r="AB219" s="37">
        <f>HLOOKUP(REG_TRA_DEMANDS!AB$3,'BY-Demands'!$J$5:$AK$14,MATCH($E219,'BY-Demands'!$I$5:$I$14,0),FALSE)*HLOOKUP(REG_TRA_DEMANDS!$F219,DEMANDS!$G$2:$CK$25,MATCH($E219,DEMANDS!$E$2:$E$25,0),FALSE)/HLOOKUP(2018,DEMANDS!$G$2:$CK$25,MATCH($E219,DEMANDS!$E$2:$E$25,0),FALSE)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C219" s="37">
        <f>HLOOKUP(REG_TRA_DEMANDS!AC$3,'BY-Demands'!$J$5:$AK$14,MATCH($E219,'BY-Demands'!$I$5:$I$14,0),FALSE)*HLOOKUP(REG_TRA_DEMANDS!$F219,DEMANDS!$G$2:$CK$25,MATCH($E219,DEMANDS!$E$2:$E$25,0),FALSE)/HLOOKUP(2018,DEMANDS!$G$2:$CK$25,MATCH($E219,DEMANDS!$E$2:$E$25,0),FALSE)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D219" s="37">
        <f>HLOOKUP(REG_TRA_DEMANDS!AD$3,'BY-Demands'!$J$5:$AK$14,MATCH($E219,'BY-Demands'!$I$5:$I$14,0),FALSE)*HLOOKUP(REG_TRA_DEMANDS!$F219,DEMANDS!$G$2:$CK$25,MATCH($E219,DEMANDS!$E$2:$E$25,0),FALSE)/HLOOKUP(2018,DEMANDS!$G$2:$CK$25,MATCH($E219,DEMANDS!$E$2:$E$25,0),FALSE)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E219" s="37">
        <f>HLOOKUP(REG_TRA_DEMANDS!AE$3,'BY-Demands'!$J$5:$AK$14,MATCH($E219,'BY-Demands'!$I$5:$I$14,0),FALSE)*HLOOKUP(REG_TRA_DEMANDS!$F219,DEMANDS!$G$2:$CK$25,MATCH($E219,DEMANDS!$E$2:$E$25,0),FALSE)/HLOOKUP(2018,DEMANDS!$G$2:$CK$25,MATCH($E219,DEMANDS!$E$2:$E$25,0),FALSE)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F219" s="37">
        <f>HLOOKUP(REG_TRA_DEMANDS!AF$3,'BY-Demands'!$J$5:$AK$14,MATCH($E219,'BY-Demands'!$I$5:$I$14,0),FALSE)*HLOOKUP(REG_TRA_DEMANDS!$F219,DEMANDS!$G$2:$CK$25,MATCH($E219,DEMANDS!$E$2:$E$25,0),FALSE)/HLOOKUP(2018,DEMANDS!$G$2:$CK$25,MATCH($E219,DEMANDS!$E$2:$E$25,0),FALSE)</f>
        <v>0</v>
      </c>
    </row>
    <row r="220" spans="4:32" ht="14.5">
      <c r="D220" s="20" t="s">
        <v>6</v>
      </c>
      <c r="E220" s="20" t="str">
        <f>DEMANDS!$E$25</f>
        <v>TAVIINT</v>
      </c>
      <c r="F220" s="20">
        <v>2020</v>
      </c>
      <c r="G220" s="20">
        <f>HLOOKUP(REG_TRA_DEMANDS!G$3,'BY-Demands'!$J$5:$AK$14,MATCH($E220,'BY-Demands'!$I$5:$I$14,0),FALSE)*HLOOKUP(REG_TRA_DEMANDS!$F220,DEMANDS!$G$2:$CK$25,MATCH($E220,DEMANDS!$E$2:$E$25,0),FALSE)/HLOOKUP(2018,DEMANDS!$G$2:$CK$25,MATCH($E220,DEMANDS!$E$2:$E$25,0),FALSE)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H220" s="21">
        <f>HLOOKUP(REG_TRA_DEMANDS!H$3,'BY-Demands'!$J$5:$AK$14,MATCH($E220,'BY-Demands'!$I$5:$I$14,0),FALSE)*HLOOKUP(REG_TRA_DEMANDS!$F220,DEMANDS!$G$2:$CK$25,MATCH($E220,DEMANDS!$E$2:$E$25,0),FALSE)/HLOOKUP(2018,DEMANDS!$G$2:$CK$25,MATCH($E220,DEMANDS!$E$2:$E$25,0),FALSE)</f>
        <v>14.586505081244802</v>
      </c>
      <c r="I220" s="38">
        <f>HLOOKUP(REG_TRA_DEMANDS!I$3,'BY-Demands'!$J$5:$AK$14,MATCH($E220,'BY-Demands'!$I$5:$I$14,0),FALSE)*HLOOKUP(REG_TRA_DEMANDS!$F220,DEMANDS!$G$2:$CK$25,MATCH($E220,DEMANDS!$E$2:$E$25,0),FALSE)/HLOOKUP(2018,DEMANDS!$G$2:$CK$25,MATCH($E220,DEMANDS!$E$2:$E$25,0),FALSE)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J220" s="38">
        <f>HLOOKUP(REG_TRA_DEMANDS!J$3,'BY-Demands'!$J$5:$AK$14,MATCH($E220,'BY-Demands'!$I$5:$I$14,0),FALSE)*HLOOKUP(REG_TRA_DEMANDS!$F220,DEMANDS!$G$2:$CK$25,MATCH($E220,DEMANDS!$E$2:$E$25,0),FALSE)/HLOOKUP(2018,DEMANDS!$G$2:$CK$25,MATCH($E220,DEMANDS!$E$2:$E$25,0),FALSE)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K220" s="38">
        <f>HLOOKUP(REG_TRA_DEMANDS!K$3,'BY-Demands'!$J$5:$AK$14,MATCH($E220,'BY-Demands'!$I$5:$I$14,0),FALSE)*HLOOKUP(REG_TRA_DEMANDS!$F220,DEMANDS!$G$2:$CK$25,MATCH($E220,DEMANDS!$E$2:$E$25,0),FALSE)/HLOOKUP(2018,DEMANDS!$G$2:$CK$25,MATCH($E220,DEMANDS!$E$2:$E$25,0),FALSE)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L220" s="38">
        <f>HLOOKUP(REG_TRA_DEMANDS!L$3,'BY-Demands'!$J$5:$AK$14,MATCH($E220,'BY-Demands'!$I$5:$I$14,0),FALSE)*HLOOKUP(REG_TRA_DEMANDS!$F220,DEMANDS!$G$2:$CK$25,MATCH($E220,DEMANDS!$E$2:$E$25,0),FALSE)/HLOOKUP(2018,DEMANDS!$G$2:$CK$25,MATCH($E220,DEMANDS!$E$2:$E$25,0),FALSE)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M220" s="38">
        <f>HLOOKUP(REG_TRA_DEMANDS!M$3,'BY-Demands'!$J$5:$AK$14,MATCH($E220,'BY-Demands'!$I$5:$I$14,0),FALSE)*HLOOKUP(REG_TRA_DEMANDS!$F220,DEMANDS!$G$2:$CK$25,MATCH($E220,DEMANDS!$E$2:$E$25,0),FALSE)/HLOOKUP(2018,DEMANDS!$G$2:$CK$25,MATCH($E220,DEMANDS!$E$2:$E$25,0),FALSE)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N220" s="38">
        <f>HLOOKUP(REG_TRA_DEMANDS!N$3,'BY-Demands'!$J$5:$AK$14,MATCH($E220,'BY-Demands'!$I$5:$I$14,0),FALSE)*HLOOKUP(REG_TRA_DEMANDS!$F220,DEMANDS!$G$2:$CK$25,MATCH($E220,DEMANDS!$E$2:$E$25,0),FALSE)/HLOOKUP(2018,DEMANDS!$G$2:$CK$25,MATCH($E220,DEMANDS!$E$2:$E$25,0),FALSE)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O220" s="38">
        <f>HLOOKUP(REG_TRA_DEMANDS!O$3,'BY-Demands'!$J$5:$AK$14,MATCH($E220,'BY-Demands'!$I$5:$I$14,0),FALSE)*HLOOKUP(REG_TRA_DEMANDS!$F220,DEMANDS!$G$2:$CK$25,MATCH($E220,DEMANDS!$E$2:$E$25,0),FALSE)/HLOOKUP(2018,DEMANDS!$G$2:$CK$25,MATCH($E220,DEMANDS!$E$2:$E$25,0),FALSE)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P220" s="38">
        <f>HLOOKUP(REG_TRA_DEMANDS!P$3,'BY-Demands'!$J$5:$AK$14,MATCH($E220,'BY-Demands'!$I$5:$I$14,0),FALSE)*HLOOKUP(REG_TRA_DEMANDS!$F220,DEMANDS!$G$2:$CK$25,MATCH($E220,DEMANDS!$E$2:$E$25,0),FALSE)/HLOOKUP(2018,DEMANDS!$G$2:$CK$25,MATCH($E220,DEMANDS!$E$2:$E$25,0),FALSE)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Q220" s="38">
        <f>HLOOKUP(REG_TRA_DEMANDS!Q$3,'BY-Demands'!$J$5:$AK$14,MATCH($E220,'BY-Demands'!$I$5:$I$14,0),FALSE)*HLOOKUP(REG_TRA_DEMANDS!$F220,DEMANDS!$G$2:$CK$25,MATCH($E220,DEMANDS!$E$2:$E$25,0),FALSE)/HLOOKUP(2018,DEMANDS!$G$2:$CK$25,MATCH($E220,DEMANDS!$E$2:$E$25,0),FALSE)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R220" s="38">
        <f>HLOOKUP(REG_TRA_DEMANDS!R$3,'BY-Demands'!$J$5:$AK$14,MATCH($E220,'BY-Demands'!$I$5:$I$14,0),FALSE)*HLOOKUP(REG_TRA_DEMANDS!$F220,DEMANDS!$G$2:$CK$25,MATCH($E220,DEMANDS!$E$2:$E$25,0),FALSE)/HLOOKUP(2018,DEMANDS!$G$2:$CK$25,MATCH($E220,DEMANDS!$E$2:$E$25,0),FALSE)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S220" s="21">
        <f>HLOOKUP(REG_TRA_DEMANDS!S$3,'BY-Demands'!$J$5:$AK$14,MATCH($E220,'BY-Demands'!$I$5:$I$14,0),FALSE)*HLOOKUP(REG_TRA_DEMANDS!$F220,DEMANDS!$G$2:$CK$25,MATCH($E220,DEMANDS!$E$2:$E$25,0),FALSE)/HLOOKUP(2018,DEMANDS!$G$2:$CK$25,MATCH($E220,DEMANDS!$E$2:$E$25,0),FALSE)</f>
        <v>0.86368340775974672</v>
      </c>
      <c r="T220" s="21">
        <f>HLOOKUP(REG_TRA_DEMANDS!T$3,'BY-Demands'!$J$5:$AK$14,MATCH($E220,'BY-Demands'!$I$5:$I$14,0),FALSE)*HLOOKUP(REG_TRA_DEMANDS!$F220,DEMANDS!$G$2:$CK$25,MATCH($E220,DEMANDS!$E$2:$E$25,0),FALSE)/HLOOKUP(2018,DEMANDS!$G$2:$CK$25,MATCH($E220,DEMANDS!$E$2:$E$25,0),FALSE)</f>
        <v>0.79857800435837634</v>
      </c>
      <c r="U220" s="21">
        <f>HLOOKUP(REG_TRA_DEMANDS!U$3,'BY-Demands'!$J$5:$AK$14,MATCH($E220,'BY-Demands'!$I$5:$I$14,0),FALSE)*HLOOKUP(REG_TRA_DEMANDS!$F220,DEMANDS!$G$2:$CK$25,MATCH($E220,DEMANDS!$E$2:$E$25,0),FALSE)/HLOOKUP(2018,DEMANDS!$G$2:$CK$25,MATCH($E220,DEMANDS!$E$2:$E$25,0),FALSE)</f>
        <v>0.087025700566917275</v>
      </c>
      <c r="V220" s="38">
        <f>HLOOKUP(REG_TRA_DEMANDS!V$3,'BY-Demands'!$J$5:$AK$14,MATCH($E220,'BY-Demands'!$I$5:$I$14,0),FALSE)*HLOOKUP(REG_TRA_DEMANDS!$F220,DEMANDS!$G$2:$CK$25,MATCH($E220,DEMANDS!$E$2:$E$25,0),FALSE)/HLOOKUP(2018,DEMANDS!$G$2:$CK$25,MATCH($E220,DEMANDS!$E$2:$E$25,0),FALSE)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W220" s="38">
        <f>HLOOKUP(REG_TRA_DEMANDS!W$3,'BY-Demands'!$J$5:$AK$14,MATCH($E220,'BY-Demands'!$I$5:$I$14,0),FALSE)*HLOOKUP(REG_TRA_DEMANDS!$F220,DEMANDS!$G$2:$CK$25,MATCH($E220,DEMANDS!$E$2:$E$25,0),FALSE)/HLOOKUP(2018,DEMANDS!$G$2:$CK$25,MATCH($E220,DEMANDS!$E$2:$E$25,0),FALSE)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X220" s="38">
        <f>HLOOKUP(REG_TRA_DEMANDS!X$3,'BY-Demands'!$J$5:$AK$14,MATCH($E220,'BY-Demands'!$I$5:$I$14,0),FALSE)*HLOOKUP(REG_TRA_DEMANDS!$F220,DEMANDS!$G$2:$CK$25,MATCH($E220,DEMANDS!$E$2:$E$25,0),FALSE)/HLOOKUP(2018,DEMANDS!$G$2:$CK$25,MATCH($E220,DEMANDS!$E$2:$E$25,0),FALSE)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Y220" s="38">
        <f>HLOOKUP(REG_TRA_DEMANDS!Y$3,'BY-Demands'!$J$5:$AK$14,MATCH($E220,'BY-Demands'!$I$5:$I$14,0),FALSE)*HLOOKUP(REG_TRA_DEMANDS!$F220,DEMANDS!$G$2:$CK$25,MATCH($E220,DEMANDS!$E$2:$E$25,0),FALSE)/HLOOKUP(2018,DEMANDS!$G$2:$CK$25,MATCH($E220,DEMANDS!$E$2:$E$25,0),FALSE)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Z220" s="38">
        <f>HLOOKUP(REG_TRA_DEMANDS!Z$3,'BY-Demands'!$J$5:$AK$14,MATCH($E220,'BY-Demands'!$I$5:$I$14,0),FALSE)*HLOOKUP(REG_TRA_DEMANDS!$F220,DEMANDS!$G$2:$CK$25,MATCH($E220,DEMANDS!$E$2:$E$25,0),FALSE)/HLOOKUP(2018,DEMANDS!$G$2:$CK$25,MATCH($E220,DEMANDS!$E$2:$E$25,0),FALSE)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A220" s="21">
        <f>HLOOKUP(REG_TRA_DEMANDS!AA$3,'BY-Demands'!$J$5:$AK$14,MATCH($E220,'BY-Demands'!$I$5:$I$14,0),FALSE)*HLOOKUP(REG_TRA_DEMANDS!$F220,DEMANDS!$G$2:$CK$25,MATCH($E220,DEMANDS!$E$2:$E$25,0),FALSE)/HLOOKUP(2018,DEMANDS!$G$2:$CK$25,MATCH($E220,DEMANDS!$E$2:$E$25,0),FALSE)</f>
        <v>0.24845129032760774</v>
      </c>
      <c r="AB220" s="38">
        <f>HLOOKUP(REG_TRA_DEMANDS!AB$3,'BY-Demands'!$J$5:$AK$14,MATCH($E220,'BY-Demands'!$I$5:$I$14,0),FALSE)*HLOOKUP(REG_TRA_DEMANDS!$F220,DEMANDS!$G$2:$CK$25,MATCH($E220,DEMANDS!$E$2:$E$25,0),FALSE)/HLOOKUP(2018,DEMANDS!$G$2:$CK$25,MATCH($E220,DEMANDS!$E$2:$E$25,0),FALSE)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C220" s="38">
        <f>HLOOKUP(REG_TRA_DEMANDS!AC$3,'BY-Demands'!$J$5:$AK$14,MATCH($E220,'BY-Demands'!$I$5:$I$14,0),FALSE)*HLOOKUP(REG_TRA_DEMANDS!$F220,DEMANDS!$G$2:$CK$25,MATCH($E220,DEMANDS!$E$2:$E$25,0),FALSE)/HLOOKUP(2018,DEMANDS!$G$2:$CK$25,MATCH($E220,DEMANDS!$E$2:$E$25,0),FALSE)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D220" s="38">
        <f>HLOOKUP(REG_TRA_DEMANDS!AD$3,'BY-Demands'!$J$5:$AK$14,MATCH($E220,'BY-Demands'!$I$5:$I$14,0),FALSE)*HLOOKUP(REG_TRA_DEMANDS!$F220,DEMANDS!$G$2:$CK$25,MATCH($E220,DEMANDS!$E$2:$E$25,0),FALSE)/HLOOKUP(2018,DEMANDS!$G$2:$CK$25,MATCH($E220,DEMANDS!$E$2:$E$25,0),FALSE)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E220" s="38">
        <f>HLOOKUP(REG_TRA_DEMANDS!AE$3,'BY-Demands'!$J$5:$AK$14,MATCH($E220,'BY-Demands'!$I$5:$I$14,0),FALSE)*HLOOKUP(REG_TRA_DEMANDS!$F220,DEMANDS!$G$2:$CK$25,MATCH($E220,DEMANDS!$E$2:$E$25,0),FALSE)/HLOOKUP(2018,DEMANDS!$G$2:$CK$25,MATCH($E220,DEMANDS!$E$2:$E$25,0),FALSE)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F220" s="38">
        <f>HLOOKUP(REG_TRA_DEMANDS!AF$3,'BY-Demands'!$J$5:$AK$14,MATCH($E220,'BY-Demands'!$I$5:$I$14,0),FALSE)*HLOOKUP(REG_TRA_DEMANDS!$F220,DEMANDS!$G$2:$CK$25,MATCH($E220,DEMANDS!$E$2:$E$25,0),FALSE)/HLOOKUP(2018,DEMANDS!$G$2:$CK$25,MATCH($E220,DEMANDS!$E$2:$E$25,0),FALSE)</f>
        <v>0</v>
      </c>
    </row>
    <row r="221" spans="4:32" ht="14.5">
      <c r="D221" t="s">
        <v>6</v>
      </c>
      <c r="E221" t="str">
        <f>DEMANDS!$E$25</f>
        <v>TAVIINT</v>
      </c>
      <c r="F221">
        <v>2021</v>
      </c>
      <c r="G221" s="36">
        <f>HLOOKUP(REG_TRA_DEMANDS!G$3,'BY-Demands'!$J$5:$AK$14,MATCH($E221,'BY-Demands'!$I$5:$I$14,0),FALSE)*HLOOKUP(REG_TRA_DEMANDS!$F221,DEMANDS!$G$2:$CK$25,MATCH($E221,DEMANDS!$E$2:$E$25,0),FALSE)/HLOOKUP(2018,DEMANDS!$G$2:$CK$25,MATCH($E221,DEMANDS!$E$2:$E$25,0),FALSE)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H221" s="19">
        <f>HLOOKUP(REG_TRA_DEMANDS!H$3,'BY-Demands'!$J$5:$AK$14,MATCH($E221,'BY-Demands'!$I$5:$I$14,0),FALSE)*HLOOKUP(REG_TRA_DEMANDS!$F221,DEMANDS!$G$2:$CK$25,MATCH($E221,DEMANDS!$E$2:$E$25,0),FALSE)/HLOOKUP(2018,DEMANDS!$G$2:$CK$25,MATCH($E221,DEMANDS!$E$2:$E$25,0),FALSE)</f>
        <v>16.341785735482759</v>
      </c>
      <c r="I221" s="36">
        <f>HLOOKUP(REG_TRA_DEMANDS!I$3,'BY-Demands'!$J$5:$AK$14,MATCH($E221,'BY-Demands'!$I$5:$I$14,0),FALSE)*HLOOKUP(REG_TRA_DEMANDS!$F221,DEMANDS!$G$2:$CK$25,MATCH($E221,DEMANDS!$E$2:$E$25,0),FALSE)/HLOOKUP(2018,DEMANDS!$G$2:$CK$25,MATCH($E221,DEMANDS!$E$2:$E$25,0),FALSE)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J221" s="36">
        <f>HLOOKUP(REG_TRA_DEMANDS!J$3,'BY-Demands'!$J$5:$AK$14,MATCH($E221,'BY-Demands'!$I$5:$I$14,0),FALSE)*HLOOKUP(REG_TRA_DEMANDS!$F221,DEMANDS!$G$2:$CK$25,MATCH($E221,DEMANDS!$E$2:$E$25,0),FALSE)/HLOOKUP(2018,DEMANDS!$G$2:$CK$25,MATCH($E221,DEMANDS!$E$2:$E$25,0),FALSE)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K221" s="36">
        <f>HLOOKUP(REG_TRA_DEMANDS!K$3,'BY-Demands'!$J$5:$AK$14,MATCH($E221,'BY-Demands'!$I$5:$I$14,0),FALSE)*HLOOKUP(REG_TRA_DEMANDS!$F221,DEMANDS!$G$2:$CK$25,MATCH($E221,DEMANDS!$E$2:$E$25,0),FALSE)/HLOOKUP(2018,DEMANDS!$G$2:$CK$25,MATCH($E221,DEMANDS!$E$2:$E$25,0),FALSE)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L221" s="36">
        <f>HLOOKUP(REG_TRA_DEMANDS!L$3,'BY-Demands'!$J$5:$AK$14,MATCH($E221,'BY-Demands'!$I$5:$I$14,0),FALSE)*HLOOKUP(REG_TRA_DEMANDS!$F221,DEMANDS!$G$2:$CK$25,MATCH($E221,DEMANDS!$E$2:$E$25,0),FALSE)/HLOOKUP(2018,DEMANDS!$G$2:$CK$25,MATCH($E221,DEMANDS!$E$2:$E$25,0),FALSE)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M221" s="36">
        <f>HLOOKUP(REG_TRA_DEMANDS!M$3,'BY-Demands'!$J$5:$AK$14,MATCH($E221,'BY-Demands'!$I$5:$I$14,0),FALSE)*HLOOKUP(REG_TRA_DEMANDS!$F221,DEMANDS!$G$2:$CK$25,MATCH($E221,DEMANDS!$E$2:$E$25,0),FALSE)/HLOOKUP(2018,DEMANDS!$G$2:$CK$25,MATCH($E221,DEMANDS!$E$2:$E$25,0),FALSE)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N221" s="36">
        <f>HLOOKUP(REG_TRA_DEMANDS!N$3,'BY-Demands'!$J$5:$AK$14,MATCH($E221,'BY-Demands'!$I$5:$I$14,0),FALSE)*HLOOKUP(REG_TRA_DEMANDS!$F221,DEMANDS!$G$2:$CK$25,MATCH($E221,DEMANDS!$E$2:$E$25,0),FALSE)/HLOOKUP(2018,DEMANDS!$G$2:$CK$25,MATCH($E221,DEMANDS!$E$2:$E$25,0),FALSE)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O221" s="36">
        <f>HLOOKUP(REG_TRA_DEMANDS!O$3,'BY-Demands'!$J$5:$AK$14,MATCH($E221,'BY-Demands'!$I$5:$I$14,0),FALSE)*HLOOKUP(REG_TRA_DEMANDS!$F221,DEMANDS!$G$2:$CK$25,MATCH($E221,DEMANDS!$E$2:$E$25,0),FALSE)/HLOOKUP(2018,DEMANDS!$G$2:$CK$25,MATCH($E221,DEMANDS!$E$2:$E$25,0),FALSE)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P221" s="36">
        <f>HLOOKUP(REG_TRA_DEMANDS!P$3,'BY-Demands'!$J$5:$AK$14,MATCH($E221,'BY-Demands'!$I$5:$I$14,0),FALSE)*HLOOKUP(REG_TRA_DEMANDS!$F221,DEMANDS!$G$2:$CK$25,MATCH($E221,DEMANDS!$E$2:$E$25,0),FALSE)/HLOOKUP(2018,DEMANDS!$G$2:$CK$25,MATCH($E221,DEMANDS!$E$2:$E$25,0),FALSE)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Q221" s="36">
        <f>HLOOKUP(REG_TRA_DEMANDS!Q$3,'BY-Demands'!$J$5:$AK$14,MATCH($E221,'BY-Demands'!$I$5:$I$14,0),FALSE)*HLOOKUP(REG_TRA_DEMANDS!$F221,DEMANDS!$G$2:$CK$25,MATCH($E221,DEMANDS!$E$2:$E$25,0),FALSE)/HLOOKUP(2018,DEMANDS!$G$2:$CK$25,MATCH($E221,DEMANDS!$E$2:$E$25,0),FALSE)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R221" s="36">
        <f>HLOOKUP(REG_TRA_DEMANDS!R$3,'BY-Demands'!$J$5:$AK$14,MATCH($E221,'BY-Demands'!$I$5:$I$14,0),FALSE)*HLOOKUP(REG_TRA_DEMANDS!$F221,DEMANDS!$G$2:$CK$25,MATCH($E221,DEMANDS!$E$2:$E$25,0),FALSE)/HLOOKUP(2018,DEMANDS!$G$2:$CK$25,MATCH($E221,DEMANDS!$E$2:$E$25,0),FALSE)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S221" s="19">
        <f>HLOOKUP(REG_TRA_DEMANDS!S$3,'BY-Demands'!$J$5:$AK$14,MATCH($E221,'BY-Demands'!$I$5:$I$14,0),FALSE)*HLOOKUP(REG_TRA_DEMANDS!$F221,DEMANDS!$G$2:$CK$25,MATCH($E221,DEMANDS!$E$2:$E$25,0),FALSE)/HLOOKUP(2018,DEMANDS!$G$2:$CK$25,MATCH($E221,DEMANDS!$E$2:$E$25,0),FALSE)</f>
        <v>0.96761555384841225</v>
      </c>
      <c r="T221" s="19">
        <f>HLOOKUP(REG_TRA_DEMANDS!T$3,'BY-Demands'!$J$5:$AK$14,MATCH($E221,'BY-Demands'!$I$5:$I$14,0),FALSE)*HLOOKUP(REG_TRA_DEMANDS!$F221,DEMANDS!$G$2:$CK$25,MATCH($E221,DEMANDS!$E$2:$E$25,0),FALSE)/HLOOKUP(2018,DEMANDS!$G$2:$CK$25,MATCH($E221,DEMANDS!$E$2:$E$25,0),FALSE)</f>
        <v>0.89467563118144178</v>
      </c>
      <c r="U221" s="19">
        <f>HLOOKUP(REG_TRA_DEMANDS!U$3,'BY-Demands'!$J$5:$AK$14,MATCH($E221,'BY-Demands'!$I$5:$I$14,0),FALSE)*HLOOKUP(REG_TRA_DEMANDS!$F221,DEMANDS!$G$2:$CK$25,MATCH($E221,DEMANDS!$E$2:$E$25,0),FALSE)/HLOOKUP(2018,DEMANDS!$G$2:$CK$25,MATCH($E221,DEMANDS!$E$2:$E$25,0),FALSE)</f>
        <v>0.097498019177564163</v>
      </c>
      <c r="V221" s="36">
        <f>HLOOKUP(REG_TRA_DEMANDS!V$3,'BY-Demands'!$J$5:$AK$14,MATCH($E221,'BY-Demands'!$I$5:$I$14,0),FALSE)*HLOOKUP(REG_TRA_DEMANDS!$F221,DEMANDS!$G$2:$CK$25,MATCH($E221,DEMANDS!$E$2:$E$25,0),FALSE)/HLOOKUP(2018,DEMANDS!$G$2:$CK$25,MATCH($E221,DEMANDS!$E$2:$E$25,0),FALSE)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W221" s="36">
        <f>HLOOKUP(REG_TRA_DEMANDS!W$3,'BY-Demands'!$J$5:$AK$14,MATCH($E221,'BY-Demands'!$I$5:$I$14,0),FALSE)*HLOOKUP(REG_TRA_DEMANDS!$F221,DEMANDS!$G$2:$CK$25,MATCH($E221,DEMANDS!$E$2:$E$25,0),FALSE)/HLOOKUP(2018,DEMANDS!$G$2:$CK$25,MATCH($E221,DEMANDS!$E$2:$E$25,0),FALSE)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X221" s="36">
        <f>HLOOKUP(REG_TRA_DEMANDS!X$3,'BY-Demands'!$J$5:$AK$14,MATCH($E221,'BY-Demands'!$I$5:$I$14,0),FALSE)*HLOOKUP(REG_TRA_DEMANDS!$F221,DEMANDS!$G$2:$CK$25,MATCH($E221,DEMANDS!$E$2:$E$25,0),FALSE)/HLOOKUP(2018,DEMANDS!$G$2:$CK$25,MATCH($E221,DEMANDS!$E$2:$E$25,0),FALSE)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Y221" s="36">
        <f>HLOOKUP(REG_TRA_DEMANDS!Y$3,'BY-Demands'!$J$5:$AK$14,MATCH($E221,'BY-Demands'!$I$5:$I$14,0),FALSE)*HLOOKUP(REG_TRA_DEMANDS!$F221,DEMANDS!$G$2:$CK$25,MATCH($E221,DEMANDS!$E$2:$E$25,0),FALSE)/HLOOKUP(2018,DEMANDS!$G$2:$CK$25,MATCH($E221,DEMANDS!$E$2:$E$25,0),FALSE)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Z221" s="36">
        <f>HLOOKUP(REG_TRA_DEMANDS!Z$3,'BY-Demands'!$J$5:$AK$14,MATCH($E221,'BY-Demands'!$I$5:$I$14,0),FALSE)*HLOOKUP(REG_TRA_DEMANDS!$F221,DEMANDS!$G$2:$CK$25,MATCH($E221,DEMANDS!$E$2:$E$25,0),FALSE)/HLOOKUP(2018,DEMANDS!$G$2:$CK$25,MATCH($E221,DEMANDS!$E$2:$E$25,0),FALSE)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A221" s="19">
        <f>HLOOKUP(REG_TRA_DEMANDS!AA$3,'BY-Demands'!$J$5:$AK$14,MATCH($E221,'BY-Demands'!$I$5:$I$14,0),FALSE)*HLOOKUP(REG_TRA_DEMANDS!$F221,DEMANDS!$G$2:$CK$25,MATCH($E221,DEMANDS!$E$2:$E$25,0),FALSE)/HLOOKUP(2018,DEMANDS!$G$2:$CK$25,MATCH($E221,DEMANDS!$E$2:$E$25,0),FALSE)</f>
        <v>0.27834890740609786</v>
      </c>
      <c r="AB221" s="36">
        <f>HLOOKUP(REG_TRA_DEMANDS!AB$3,'BY-Demands'!$J$5:$AK$14,MATCH($E221,'BY-Demands'!$I$5:$I$14,0),FALSE)*HLOOKUP(REG_TRA_DEMANDS!$F221,DEMANDS!$G$2:$CK$25,MATCH($E221,DEMANDS!$E$2:$E$25,0),FALSE)/HLOOKUP(2018,DEMANDS!$G$2:$CK$25,MATCH($E221,DEMANDS!$E$2:$E$25,0),FALSE)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C221" s="36">
        <f>HLOOKUP(REG_TRA_DEMANDS!AC$3,'BY-Demands'!$J$5:$AK$14,MATCH($E221,'BY-Demands'!$I$5:$I$14,0),FALSE)*HLOOKUP(REG_TRA_DEMANDS!$F221,DEMANDS!$G$2:$CK$25,MATCH($E221,DEMANDS!$E$2:$E$25,0),FALSE)/HLOOKUP(2018,DEMANDS!$G$2:$CK$25,MATCH($E221,DEMANDS!$E$2:$E$25,0),FALSE)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D221" s="36">
        <f>HLOOKUP(REG_TRA_DEMANDS!AD$3,'BY-Demands'!$J$5:$AK$14,MATCH($E221,'BY-Demands'!$I$5:$I$14,0),FALSE)*HLOOKUP(REG_TRA_DEMANDS!$F221,DEMANDS!$G$2:$CK$25,MATCH($E221,DEMANDS!$E$2:$E$25,0),FALSE)/HLOOKUP(2018,DEMANDS!$G$2:$CK$25,MATCH($E221,DEMANDS!$E$2:$E$25,0),FALSE)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E221" s="36">
        <f>HLOOKUP(REG_TRA_DEMANDS!AE$3,'BY-Demands'!$J$5:$AK$14,MATCH($E221,'BY-Demands'!$I$5:$I$14,0),FALSE)*HLOOKUP(REG_TRA_DEMANDS!$F221,DEMANDS!$G$2:$CK$25,MATCH($E221,DEMANDS!$E$2:$E$25,0),FALSE)/HLOOKUP(2018,DEMANDS!$G$2:$CK$25,MATCH($E221,DEMANDS!$E$2:$E$25,0),FALSE)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F221" s="36">
        <f>HLOOKUP(REG_TRA_DEMANDS!AF$3,'BY-Demands'!$J$5:$AK$14,MATCH($E221,'BY-Demands'!$I$5:$I$14,0),FALSE)*HLOOKUP(REG_TRA_DEMANDS!$F221,DEMANDS!$G$2:$CK$25,MATCH($E221,DEMANDS!$E$2:$E$25,0),FALSE)/HLOOKUP(2018,DEMANDS!$G$2:$CK$25,MATCH($E221,DEMANDS!$E$2:$E$25,0),FALSE)</f>
        <v>0</v>
      </c>
    </row>
    <row r="222" spans="4:32" ht="14.5">
      <c r="D222" t="s">
        <v>6</v>
      </c>
      <c r="E222" t="str">
        <f>DEMANDS!$E$25</f>
        <v>TAVIINT</v>
      </c>
      <c r="F222">
        <v>2022</v>
      </c>
      <c r="G222" s="36">
        <f>HLOOKUP(REG_TRA_DEMANDS!G$3,'BY-Demands'!$J$5:$AK$14,MATCH($E222,'BY-Demands'!$I$5:$I$14,0),FALSE)*HLOOKUP(REG_TRA_DEMANDS!$F222,DEMANDS!$G$2:$CK$25,MATCH($E222,DEMANDS!$E$2:$E$25,0),FALSE)/HLOOKUP(2018,DEMANDS!$G$2:$CK$25,MATCH($E222,DEMANDS!$E$2:$E$25,0),FALSE)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H222" s="19">
        <f>HLOOKUP(REG_TRA_DEMANDS!H$3,'BY-Demands'!$J$5:$AK$14,MATCH($E222,'BY-Demands'!$I$5:$I$14,0),FALSE)*HLOOKUP(REG_TRA_DEMANDS!$F222,DEMANDS!$G$2:$CK$25,MATCH($E222,DEMANDS!$E$2:$E$25,0),FALSE)/HLOOKUP(2018,DEMANDS!$G$2:$CK$25,MATCH($E222,DEMANDS!$E$2:$E$25,0),FALSE)</f>
        <v>42.396731488180166</v>
      </c>
      <c r="I222" s="36">
        <f>HLOOKUP(REG_TRA_DEMANDS!I$3,'BY-Demands'!$J$5:$AK$14,MATCH($E222,'BY-Demands'!$I$5:$I$14,0),FALSE)*HLOOKUP(REG_TRA_DEMANDS!$F222,DEMANDS!$G$2:$CK$25,MATCH($E222,DEMANDS!$E$2:$E$25,0),FALSE)/HLOOKUP(2018,DEMANDS!$G$2:$CK$25,MATCH($E222,DEMANDS!$E$2:$E$25,0),FALSE)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J222" s="36">
        <f>HLOOKUP(REG_TRA_DEMANDS!J$3,'BY-Demands'!$J$5:$AK$14,MATCH($E222,'BY-Demands'!$I$5:$I$14,0),FALSE)*HLOOKUP(REG_TRA_DEMANDS!$F222,DEMANDS!$G$2:$CK$25,MATCH($E222,DEMANDS!$E$2:$E$25,0),FALSE)/HLOOKUP(2018,DEMANDS!$G$2:$CK$25,MATCH($E222,DEMANDS!$E$2:$E$25,0),FALSE)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K222" s="36">
        <f>HLOOKUP(REG_TRA_DEMANDS!K$3,'BY-Demands'!$J$5:$AK$14,MATCH($E222,'BY-Demands'!$I$5:$I$14,0),FALSE)*HLOOKUP(REG_TRA_DEMANDS!$F222,DEMANDS!$G$2:$CK$25,MATCH($E222,DEMANDS!$E$2:$E$25,0),FALSE)/HLOOKUP(2018,DEMANDS!$G$2:$CK$25,MATCH($E222,DEMANDS!$E$2:$E$25,0),FALSE)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L222" s="36">
        <f>HLOOKUP(REG_TRA_DEMANDS!L$3,'BY-Demands'!$J$5:$AK$14,MATCH($E222,'BY-Demands'!$I$5:$I$14,0),FALSE)*HLOOKUP(REG_TRA_DEMANDS!$F222,DEMANDS!$G$2:$CK$25,MATCH($E222,DEMANDS!$E$2:$E$25,0),FALSE)/HLOOKUP(2018,DEMANDS!$G$2:$CK$25,MATCH($E222,DEMANDS!$E$2:$E$25,0),FALSE)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M222" s="36">
        <f>HLOOKUP(REG_TRA_DEMANDS!M$3,'BY-Demands'!$J$5:$AK$14,MATCH($E222,'BY-Demands'!$I$5:$I$14,0),FALSE)*HLOOKUP(REG_TRA_DEMANDS!$F222,DEMANDS!$G$2:$CK$25,MATCH($E222,DEMANDS!$E$2:$E$25,0),FALSE)/HLOOKUP(2018,DEMANDS!$G$2:$CK$25,MATCH($E222,DEMANDS!$E$2:$E$25,0),FALSE)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N222" s="36">
        <f>HLOOKUP(REG_TRA_DEMANDS!N$3,'BY-Demands'!$J$5:$AK$14,MATCH($E222,'BY-Demands'!$I$5:$I$14,0),FALSE)*HLOOKUP(REG_TRA_DEMANDS!$F222,DEMANDS!$G$2:$CK$25,MATCH($E222,DEMANDS!$E$2:$E$25,0),FALSE)/HLOOKUP(2018,DEMANDS!$G$2:$CK$25,MATCH($E222,DEMANDS!$E$2:$E$25,0),FALSE)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O222" s="36">
        <f>HLOOKUP(REG_TRA_DEMANDS!O$3,'BY-Demands'!$J$5:$AK$14,MATCH($E222,'BY-Demands'!$I$5:$I$14,0),FALSE)*HLOOKUP(REG_TRA_DEMANDS!$F222,DEMANDS!$G$2:$CK$25,MATCH($E222,DEMANDS!$E$2:$E$25,0),FALSE)/HLOOKUP(2018,DEMANDS!$G$2:$CK$25,MATCH($E222,DEMANDS!$E$2:$E$25,0),FALSE)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P222" s="36">
        <f>HLOOKUP(REG_TRA_DEMANDS!P$3,'BY-Demands'!$J$5:$AK$14,MATCH($E222,'BY-Demands'!$I$5:$I$14,0),FALSE)*HLOOKUP(REG_TRA_DEMANDS!$F222,DEMANDS!$G$2:$CK$25,MATCH($E222,DEMANDS!$E$2:$E$25,0),FALSE)/HLOOKUP(2018,DEMANDS!$G$2:$CK$25,MATCH($E222,DEMANDS!$E$2:$E$25,0),FALSE)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Q222" s="36">
        <f>HLOOKUP(REG_TRA_DEMANDS!Q$3,'BY-Demands'!$J$5:$AK$14,MATCH($E222,'BY-Demands'!$I$5:$I$14,0),FALSE)*HLOOKUP(REG_TRA_DEMANDS!$F222,DEMANDS!$G$2:$CK$25,MATCH($E222,DEMANDS!$E$2:$E$25,0),FALSE)/HLOOKUP(2018,DEMANDS!$G$2:$CK$25,MATCH($E222,DEMANDS!$E$2:$E$25,0),FALSE)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R222" s="36">
        <f>HLOOKUP(REG_TRA_DEMANDS!R$3,'BY-Demands'!$J$5:$AK$14,MATCH($E222,'BY-Demands'!$I$5:$I$14,0),FALSE)*HLOOKUP(REG_TRA_DEMANDS!$F222,DEMANDS!$G$2:$CK$25,MATCH($E222,DEMANDS!$E$2:$E$25,0),FALSE)/HLOOKUP(2018,DEMANDS!$G$2:$CK$25,MATCH($E222,DEMANDS!$E$2:$E$25,0),FALSE)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S222" s="19">
        <f>HLOOKUP(REG_TRA_DEMANDS!S$3,'BY-Demands'!$J$5:$AK$14,MATCH($E222,'BY-Demands'!$I$5:$I$14,0),FALSE)*HLOOKUP(REG_TRA_DEMANDS!$F222,DEMANDS!$G$2:$CK$25,MATCH($E222,DEMANDS!$E$2:$E$25,0),FALSE)/HLOOKUP(2018,DEMANDS!$G$2:$CK$25,MATCH($E222,DEMANDS!$E$2:$E$25,0),FALSE)</f>
        <v>2.5103582609838924</v>
      </c>
      <c r="T222" s="19">
        <f>HLOOKUP(REG_TRA_DEMANDS!T$3,'BY-Demands'!$J$5:$AK$14,MATCH($E222,'BY-Demands'!$I$5:$I$14,0),FALSE)*HLOOKUP(REG_TRA_DEMANDS!$F222,DEMANDS!$G$2:$CK$25,MATCH($E222,DEMANDS!$E$2:$E$25,0),FALSE)/HLOOKUP(2018,DEMANDS!$G$2:$CK$25,MATCH($E222,DEMANDS!$E$2:$E$25,0),FALSE)</f>
        <v>2.3211246994786991</v>
      </c>
      <c r="U222" s="19">
        <f>HLOOKUP(REG_TRA_DEMANDS!U$3,'BY-Demands'!$J$5:$AK$14,MATCH($E222,'BY-Demands'!$I$5:$I$14,0),FALSE)*HLOOKUP(REG_TRA_DEMANDS!$F222,DEMANDS!$G$2:$CK$25,MATCH($E222,DEMANDS!$E$2:$E$25,0),FALSE)/HLOOKUP(2018,DEMANDS!$G$2:$CK$25,MATCH($E222,DEMANDS!$E$2:$E$25,0),FALSE)</f>
        <v>0.25294648985180301</v>
      </c>
      <c r="V222" s="36">
        <f>HLOOKUP(REG_TRA_DEMANDS!V$3,'BY-Demands'!$J$5:$AK$14,MATCH($E222,'BY-Demands'!$I$5:$I$14,0),FALSE)*HLOOKUP(REG_TRA_DEMANDS!$F222,DEMANDS!$G$2:$CK$25,MATCH($E222,DEMANDS!$E$2:$E$25,0),FALSE)/HLOOKUP(2018,DEMANDS!$G$2:$CK$25,MATCH($E222,DEMANDS!$E$2:$E$25,0),FALSE)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W222" s="36">
        <f>HLOOKUP(REG_TRA_DEMANDS!W$3,'BY-Demands'!$J$5:$AK$14,MATCH($E222,'BY-Demands'!$I$5:$I$14,0),FALSE)*HLOOKUP(REG_TRA_DEMANDS!$F222,DEMANDS!$G$2:$CK$25,MATCH($E222,DEMANDS!$E$2:$E$25,0),FALSE)/HLOOKUP(2018,DEMANDS!$G$2:$CK$25,MATCH($E222,DEMANDS!$E$2:$E$25,0),FALSE)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X222" s="36">
        <f>HLOOKUP(REG_TRA_DEMANDS!X$3,'BY-Demands'!$J$5:$AK$14,MATCH($E222,'BY-Demands'!$I$5:$I$14,0),FALSE)*HLOOKUP(REG_TRA_DEMANDS!$F222,DEMANDS!$G$2:$CK$25,MATCH($E222,DEMANDS!$E$2:$E$25,0),FALSE)/HLOOKUP(2018,DEMANDS!$G$2:$CK$25,MATCH($E222,DEMANDS!$E$2:$E$25,0),FALSE)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Y222" s="36">
        <f>HLOOKUP(REG_TRA_DEMANDS!Y$3,'BY-Demands'!$J$5:$AK$14,MATCH($E222,'BY-Demands'!$I$5:$I$14,0),FALSE)*HLOOKUP(REG_TRA_DEMANDS!$F222,DEMANDS!$G$2:$CK$25,MATCH($E222,DEMANDS!$E$2:$E$25,0),FALSE)/HLOOKUP(2018,DEMANDS!$G$2:$CK$25,MATCH($E222,DEMANDS!$E$2:$E$25,0),FALSE)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Z222" s="36">
        <f>HLOOKUP(REG_TRA_DEMANDS!Z$3,'BY-Demands'!$J$5:$AK$14,MATCH($E222,'BY-Demands'!$I$5:$I$14,0),FALSE)*HLOOKUP(REG_TRA_DEMANDS!$F222,DEMANDS!$G$2:$CK$25,MATCH($E222,DEMANDS!$E$2:$E$25,0),FALSE)/HLOOKUP(2018,DEMANDS!$G$2:$CK$25,MATCH($E222,DEMANDS!$E$2:$E$25,0),FALSE)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A222" s="19">
        <f>HLOOKUP(REG_TRA_DEMANDS!AA$3,'BY-Demands'!$J$5:$AK$14,MATCH($E222,'BY-Demands'!$I$5:$I$14,0),FALSE)*HLOOKUP(REG_TRA_DEMANDS!$F222,DEMANDS!$G$2:$CK$25,MATCH($E222,DEMANDS!$E$2:$E$25,0),FALSE)/HLOOKUP(2018,DEMANDS!$G$2:$CK$25,MATCH($E222,DEMANDS!$E$2:$E$25,0),FALSE)</f>
        <v>0.72214163606986215</v>
      </c>
      <c r="AB222" s="36">
        <f>HLOOKUP(REG_TRA_DEMANDS!AB$3,'BY-Demands'!$J$5:$AK$14,MATCH($E222,'BY-Demands'!$I$5:$I$14,0),FALSE)*HLOOKUP(REG_TRA_DEMANDS!$F222,DEMANDS!$G$2:$CK$25,MATCH($E222,DEMANDS!$E$2:$E$25,0),FALSE)/HLOOKUP(2018,DEMANDS!$G$2:$CK$25,MATCH($E222,DEMANDS!$E$2:$E$25,0),FALSE)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C222" s="36">
        <f>HLOOKUP(REG_TRA_DEMANDS!AC$3,'BY-Demands'!$J$5:$AK$14,MATCH($E222,'BY-Demands'!$I$5:$I$14,0),FALSE)*HLOOKUP(REG_TRA_DEMANDS!$F222,DEMANDS!$G$2:$CK$25,MATCH($E222,DEMANDS!$E$2:$E$25,0),FALSE)/HLOOKUP(2018,DEMANDS!$G$2:$CK$25,MATCH($E222,DEMANDS!$E$2:$E$25,0),FALSE)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D222" s="36">
        <f>HLOOKUP(REG_TRA_DEMANDS!AD$3,'BY-Demands'!$J$5:$AK$14,MATCH($E222,'BY-Demands'!$I$5:$I$14,0),FALSE)*HLOOKUP(REG_TRA_DEMANDS!$F222,DEMANDS!$G$2:$CK$25,MATCH($E222,DEMANDS!$E$2:$E$25,0),FALSE)/HLOOKUP(2018,DEMANDS!$G$2:$CK$25,MATCH($E222,DEMANDS!$E$2:$E$25,0),FALSE)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E222" s="36">
        <f>HLOOKUP(REG_TRA_DEMANDS!AE$3,'BY-Demands'!$J$5:$AK$14,MATCH($E222,'BY-Demands'!$I$5:$I$14,0),FALSE)*HLOOKUP(REG_TRA_DEMANDS!$F222,DEMANDS!$G$2:$CK$25,MATCH($E222,DEMANDS!$E$2:$E$25,0),FALSE)/HLOOKUP(2018,DEMANDS!$G$2:$CK$25,MATCH($E222,DEMANDS!$E$2:$E$25,0),FALSE)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F222" s="36">
        <f>HLOOKUP(REG_TRA_DEMANDS!AF$3,'BY-Demands'!$J$5:$AK$14,MATCH($E222,'BY-Demands'!$I$5:$I$14,0),FALSE)*HLOOKUP(REG_TRA_DEMANDS!$F222,DEMANDS!$G$2:$CK$25,MATCH($E222,DEMANDS!$E$2:$E$25,0),FALSE)/HLOOKUP(2018,DEMANDS!$G$2:$CK$25,MATCH($E222,DEMANDS!$E$2:$E$25,0),FALSE)</f>
        <v>0</v>
      </c>
    </row>
    <row r="223" spans="4:32" ht="14.5">
      <c r="D223" t="s">
        <v>6</v>
      </c>
      <c r="E223" t="str">
        <f>DEMANDS!$E$25</f>
        <v>TAVIINT</v>
      </c>
      <c r="F223">
        <v>2023</v>
      </c>
      <c r="G223" s="36">
        <f>HLOOKUP(REG_TRA_DEMANDS!G$3,'BY-Demands'!$J$5:$AK$14,MATCH($E223,'BY-Demands'!$I$5:$I$14,0),FALSE)*HLOOKUP(REG_TRA_DEMANDS!$F223,DEMANDS!$G$2:$CK$25,MATCH($E223,DEMANDS!$E$2:$E$25,0),FALSE)/HLOOKUP(2018,DEMANDS!$G$2:$CK$25,MATCH($E223,DEMANDS!$E$2:$E$25,0),FALSE)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H223" s="19">
        <f>HLOOKUP(REG_TRA_DEMANDS!H$3,'BY-Demands'!$J$5:$AK$14,MATCH($E223,'BY-Demands'!$I$5:$I$14,0),FALSE)*HLOOKUP(REG_TRA_DEMANDS!$F223,DEMANDS!$G$2:$CK$25,MATCH($E223,DEMANDS!$E$2:$E$25,0),FALSE)/HLOOKUP(2018,DEMANDS!$G$2:$CK$25,MATCH($E223,DEMANDS!$E$2:$E$25,0),FALSE)</f>
        <v>42.98473356776946</v>
      </c>
      <c r="I223" s="36">
        <f>HLOOKUP(REG_TRA_DEMANDS!I$3,'BY-Demands'!$J$5:$AK$14,MATCH($E223,'BY-Demands'!$I$5:$I$14,0),FALSE)*HLOOKUP(REG_TRA_DEMANDS!$F223,DEMANDS!$G$2:$CK$25,MATCH($E223,DEMANDS!$E$2:$E$25,0),FALSE)/HLOOKUP(2018,DEMANDS!$G$2:$CK$25,MATCH($E223,DEMANDS!$E$2:$E$25,0),FALSE)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J223" s="36">
        <f>HLOOKUP(REG_TRA_DEMANDS!J$3,'BY-Demands'!$J$5:$AK$14,MATCH($E223,'BY-Demands'!$I$5:$I$14,0),FALSE)*HLOOKUP(REG_TRA_DEMANDS!$F223,DEMANDS!$G$2:$CK$25,MATCH($E223,DEMANDS!$E$2:$E$25,0),FALSE)/HLOOKUP(2018,DEMANDS!$G$2:$CK$25,MATCH($E223,DEMANDS!$E$2:$E$25,0),FALSE)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K223" s="36">
        <f>HLOOKUP(REG_TRA_DEMANDS!K$3,'BY-Demands'!$J$5:$AK$14,MATCH($E223,'BY-Demands'!$I$5:$I$14,0),FALSE)*HLOOKUP(REG_TRA_DEMANDS!$F223,DEMANDS!$G$2:$CK$25,MATCH($E223,DEMANDS!$E$2:$E$25,0),FALSE)/HLOOKUP(2018,DEMANDS!$G$2:$CK$25,MATCH($E223,DEMANDS!$E$2:$E$25,0),FALSE)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L223" s="36">
        <f>HLOOKUP(REG_TRA_DEMANDS!L$3,'BY-Demands'!$J$5:$AK$14,MATCH($E223,'BY-Demands'!$I$5:$I$14,0),FALSE)*HLOOKUP(REG_TRA_DEMANDS!$F223,DEMANDS!$G$2:$CK$25,MATCH($E223,DEMANDS!$E$2:$E$25,0),FALSE)/HLOOKUP(2018,DEMANDS!$G$2:$CK$25,MATCH($E223,DEMANDS!$E$2:$E$25,0),FALSE)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M223" s="36">
        <f>HLOOKUP(REG_TRA_DEMANDS!M$3,'BY-Demands'!$J$5:$AK$14,MATCH($E223,'BY-Demands'!$I$5:$I$14,0),FALSE)*HLOOKUP(REG_TRA_DEMANDS!$F223,DEMANDS!$G$2:$CK$25,MATCH($E223,DEMANDS!$E$2:$E$25,0),FALSE)/HLOOKUP(2018,DEMANDS!$G$2:$CK$25,MATCH($E223,DEMANDS!$E$2:$E$25,0),FALSE)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N223" s="36">
        <f>HLOOKUP(REG_TRA_DEMANDS!N$3,'BY-Demands'!$J$5:$AK$14,MATCH($E223,'BY-Demands'!$I$5:$I$14,0),FALSE)*HLOOKUP(REG_TRA_DEMANDS!$F223,DEMANDS!$G$2:$CK$25,MATCH($E223,DEMANDS!$E$2:$E$25,0),FALSE)/HLOOKUP(2018,DEMANDS!$G$2:$CK$25,MATCH($E223,DEMANDS!$E$2:$E$25,0),FALSE)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O223" s="36">
        <f>HLOOKUP(REG_TRA_DEMANDS!O$3,'BY-Demands'!$J$5:$AK$14,MATCH($E223,'BY-Demands'!$I$5:$I$14,0),FALSE)*HLOOKUP(REG_TRA_DEMANDS!$F223,DEMANDS!$G$2:$CK$25,MATCH($E223,DEMANDS!$E$2:$E$25,0),FALSE)/HLOOKUP(2018,DEMANDS!$G$2:$CK$25,MATCH($E223,DEMANDS!$E$2:$E$25,0),FALSE)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P223" s="36">
        <f>HLOOKUP(REG_TRA_DEMANDS!P$3,'BY-Demands'!$J$5:$AK$14,MATCH($E223,'BY-Demands'!$I$5:$I$14,0),FALSE)*HLOOKUP(REG_TRA_DEMANDS!$F223,DEMANDS!$G$2:$CK$25,MATCH($E223,DEMANDS!$E$2:$E$25,0),FALSE)/HLOOKUP(2018,DEMANDS!$G$2:$CK$25,MATCH($E223,DEMANDS!$E$2:$E$25,0),FALSE)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Q223" s="36">
        <f>HLOOKUP(REG_TRA_DEMANDS!Q$3,'BY-Demands'!$J$5:$AK$14,MATCH($E223,'BY-Demands'!$I$5:$I$14,0),FALSE)*HLOOKUP(REG_TRA_DEMANDS!$F223,DEMANDS!$G$2:$CK$25,MATCH($E223,DEMANDS!$E$2:$E$25,0),FALSE)/HLOOKUP(2018,DEMANDS!$G$2:$CK$25,MATCH($E223,DEMANDS!$E$2:$E$25,0),FALSE)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R223" s="36">
        <f>HLOOKUP(REG_TRA_DEMANDS!R$3,'BY-Demands'!$J$5:$AK$14,MATCH($E223,'BY-Demands'!$I$5:$I$14,0),FALSE)*HLOOKUP(REG_TRA_DEMANDS!$F223,DEMANDS!$G$2:$CK$25,MATCH($E223,DEMANDS!$E$2:$E$25,0),FALSE)/HLOOKUP(2018,DEMANDS!$G$2:$CK$25,MATCH($E223,DEMANDS!$E$2:$E$25,0),FALSE)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S223" s="19">
        <f>HLOOKUP(REG_TRA_DEMANDS!S$3,'BY-Demands'!$J$5:$AK$14,MATCH($E223,'BY-Demands'!$I$5:$I$14,0),FALSE)*HLOOKUP(REG_TRA_DEMANDS!$F223,DEMANDS!$G$2:$CK$25,MATCH($E223,DEMANDS!$E$2:$E$25,0),FALSE)/HLOOKUP(2018,DEMANDS!$G$2:$CK$25,MATCH($E223,DEMANDS!$E$2:$E$25,0),FALSE)</f>
        <v>2.5451745269119446</v>
      </c>
      <c r="T223" s="19">
        <f>HLOOKUP(REG_TRA_DEMANDS!T$3,'BY-Demands'!$J$5:$AK$14,MATCH($E223,'BY-Demands'!$I$5:$I$14,0),FALSE)*HLOOKUP(REG_TRA_DEMANDS!$F223,DEMANDS!$G$2:$CK$25,MATCH($E223,DEMANDS!$E$2:$E$25,0),FALSE)/HLOOKUP(2018,DEMANDS!$G$2:$CK$25,MATCH($E223,DEMANDS!$E$2:$E$25,0),FALSE)</f>
        <v>2.3533164770608943</v>
      </c>
      <c r="U223" s="19">
        <f>HLOOKUP(REG_TRA_DEMANDS!U$3,'BY-Demands'!$J$5:$AK$14,MATCH($E223,'BY-Demands'!$I$5:$I$14,0),FALSE)*HLOOKUP(REG_TRA_DEMANDS!$F223,DEMANDS!$G$2:$CK$25,MATCH($E223,DEMANDS!$E$2:$E$25,0),FALSE)/HLOOKUP(2018,DEMANDS!$G$2:$CK$25,MATCH($E223,DEMANDS!$E$2:$E$25,0),FALSE)</f>
        <v>0.25645461552180043</v>
      </c>
      <c r="V223" s="36">
        <f>HLOOKUP(REG_TRA_DEMANDS!V$3,'BY-Demands'!$J$5:$AK$14,MATCH($E223,'BY-Demands'!$I$5:$I$14,0),FALSE)*HLOOKUP(REG_TRA_DEMANDS!$F223,DEMANDS!$G$2:$CK$25,MATCH($E223,DEMANDS!$E$2:$E$25,0),FALSE)/HLOOKUP(2018,DEMANDS!$G$2:$CK$25,MATCH($E223,DEMANDS!$E$2:$E$25,0),FALSE)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W223" s="36">
        <f>HLOOKUP(REG_TRA_DEMANDS!W$3,'BY-Demands'!$J$5:$AK$14,MATCH($E223,'BY-Demands'!$I$5:$I$14,0),FALSE)*HLOOKUP(REG_TRA_DEMANDS!$F223,DEMANDS!$G$2:$CK$25,MATCH($E223,DEMANDS!$E$2:$E$25,0),FALSE)/HLOOKUP(2018,DEMANDS!$G$2:$CK$25,MATCH($E223,DEMANDS!$E$2:$E$25,0),FALSE)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X223" s="36">
        <f>HLOOKUP(REG_TRA_DEMANDS!X$3,'BY-Demands'!$J$5:$AK$14,MATCH($E223,'BY-Demands'!$I$5:$I$14,0),FALSE)*HLOOKUP(REG_TRA_DEMANDS!$F223,DEMANDS!$G$2:$CK$25,MATCH($E223,DEMANDS!$E$2:$E$25,0),FALSE)/HLOOKUP(2018,DEMANDS!$G$2:$CK$25,MATCH($E223,DEMANDS!$E$2:$E$25,0),FALSE)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Y223" s="36">
        <f>HLOOKUP(REG_TRA_DEMANDS!Y$3,'BY-Demands'!$J$5:$AK$14,MATCH($E223,'BY-Demands'!$I$5:$I$14,0),FALSE)*HLOOKUP(REG_TRA_DEMANDS!$F223,DEMANDS!$G$2:$CK$25,MATCH($E223,DEMANDS!$E$2:$E$25,0),FALSE)/HLOOKUP(2018,DEMANDS!$G$2:$CK$25,MATCH($E223,DEMANDS!$E$2:$E$25,0),FALSE)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Z223" s="36">
        <f>HLOOKUP(REG_TRA_DEMANDS!Z$3,'BY-Demands'!$J$5:$AK$14,MATCH($E223,'BY-Demands'!$I$5:$I$14,0),FALSE)*HLOOKUP(REG_TRA_DEMANDS!$F223,DEMANDS!$G$2:$CK$25,MATCH($E223,DEMANDS!$E$2:$E$25,0),FALSE)/HLOOKUP(2018,DEMANDS!$G$2:$CK$25,MATCH($E223,DEMANDS!$E$2:$E$25,0),FALSE)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A223" s="19">
        <f>HLOOKUP(REG_TRA_DEMANDS!AA$3,'BY-Demands'!$J$5:$AK$14,MATCH($E223,'BY-Demands'!$I$5:$I$14,0),FALSE)*HLOOKUP(REG_TRA_DEMANDS!$F223,DEMANDS!$G$2:$CK$25,MATCH($E223,DEMANDS!$E$2:$E$25,0),FALSE)/HLOOKUP(2018,DEMANDS!$G$2:$CK$25,MATCH($E223,DEMANDS!$E$2:$E$25,0),FALSE)</f>
        <v>0.73215704926003888</v>
      </c>
      <c r="AB223" s="36">
        <f>HLOOKUP(REG_TRA_DEMANDS!AB$3,'BY-Demands'!$J$5:$AK$14,MATCH($E223,'BY-Demands'!$I$5:$I$14,0),FALSE)*HLOOKUP(REG_TRA_DEMANDS!$F223,DEMANDS!$G$2:$CK$25,MATCH($E223,DEMANDS!$E$2:$E$25,0),FALSE)/HLOOKUP(2018,DEMANDS!$G$2:$CK$25,MATCH($E223,DEMANDS!$E$2:$E$25,0),FALSE)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C223" s="36">
        <f>HLOOKUP(REG_TRA_DEMANDS!AC$3,'BY-Demands'!$J$5:$AK$14,MATCH($E223,'BY-Demands'!$I$5:$I$14,0),FALSE)*HLOOKUP(REG_TRA_DEMANDS!$F223,DEMANDS!$G$2:$CK$25,MATCH($E223,DEMANDS!$E$2:$E$25,0),FALSE)/HLOOKUP(2018,DEMANDS!$G$2:$CK$25,MATCH($E223,DEMANDS!$E$2:$E$25,0),FALSE)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D223" s="36">
        <f>HLOOKUP(REG_TRA_DEMANDS!AD$3,'BY-Demands'!$J$5:$AK$14,MATCH($E223,'BY-Demands'!$I$5:$I$14,0),FALSE)*HLOOKUP(REG_TRA_DEMANDS!$F223,DEMANDS!$G$2:$CK$25,MATCH($E223,DEMANDS!$E$2:$E$25,0),FALSE)/HLOOKUP(2018,DEMANDS!$G$2:$CK$25,MATCH($E223,DEMANDS!$E$2:$E$25,0),FALSE)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E223" s="36">
        <f>HLOOKUP(REG_TRA_DEMANDS!AE$3,'BY-Demands'!$J$5:$AK$14,MATCH($E223,'BY-Demands'!$I$5:$I$14,0),FALSE)*HLOOKUP(REG_TRA_DEMANDS!$F223,DEMANDS!$G$2:$CK$25,MATCH($E223,DEMANDS!$E$2:$E$25,0),FALSE)/HLOOKUP(2018,DEMANDS!$G$2:$CK$25,MATCH($E223,DEMANDS!$E$2:$E$25,0),FALSE)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F223" s="36">
        <f>HLOOKUP(REG_TRA_DEMANDS!AF$3,'BY-Demands'!$J$5:$AK$14,MATCH($E223,'BY-Demands'!$I$5:$I$14,0),FALSE)*HLOOKUP(REG_TRA_DEMANDS!$F223,DEMANDS!$G$2:$CK$25,MATCH($E223,DEMANDS!$E$2:$E$25,0),FALSE)/HLOOKUP(2018,DEMANDS!$G$2:$CK$25,MATCH($E223,DEMANDS!$E$2:$E$25,0),FALSE)</f>
        <v>0</v>
      </c>
    </row>
    <row r="224" spans="4:32" ht="14.5">
      <c r="D224" t="s">
        <v>6</v>
      </c>
      <c r="E224" t="str">
        <f>DEMANDS!$E$25</f>
        <v>TAVIINT</v>
      </c>
      <c r="F224">
        <v>2024</v>
      </c>
      <c r="G224" s="36">
        <f>HLOOKUP(REG_TRA_DEMANDS!G$3,'BY-Demands'!$J$5:$AK$14,MATCH($E224,'BY-Demands'!$I$5:$I$14,0),FALSE)*HLOOKUP(REG_TRA_DEMANDS!$F224,DEMANDS!$G$2:$CK$25,MATCH($E224,DEMANDS!$E$2:$E$25,0),FALSE)/HLOOKUP(2018,DEMANDS!$G$2:$CK$25,MATCH($E224,DEMANDS!$E$2:$E$25,0),FALSE)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H224" s="19">
        <f>HLOOKUP(REG_TRA_DEMANDS!H$3,'BY-Demands'!$J$5:$AK$14,MATCH($E224,'BY-Demands'!$I$5:$I$14,0),FALSE)*HLOOKUP(REG_TRA_DEMANDS!$F224,DEMANDS!$G$2:$CK$25,MATCH($E224,DEMANDS!$E$2:$E$25,0),FALSE)/HLOOKUP(2018,DEMANDS!$G$2:$CK$25,MATCH($E224,DEMANDS!$E$2:$E$25,0),FALSE)</f>
        <v>43.560974179006251</v>
      </c>
      <c r="I224" s="36">
        <f>HLOOKUP(REG_TRA_DEMANDS!I$3,'BY-Demands'!$J$5:$AK$14,MATCH($E224,'BY-Demands'!$I$5:$I$14,0),FALSE)*HLOOKUP(REG_TRA_DEMANDS!$F224,DEMANDS!$G$2:$CK$25,MATCH($E224,DEMANDS!$E$2:$E$25,0),FALSE)/HLOOKUP(2018,DEMANDS!$G$2:$CK$25,MATCH($E224,DEMANDS!$E$2:$E$25,0),FALSE)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J224" s="36">
        <f>HLOOKUP(REG_TRA_DEMANDS!J$3,'BY-Demands'!$J$5:$AK$14,MATCH($E224,'BY-Demands'!$I$5:$I$14,0),FALSE)*HLOOKUP(REG_TRA_DEMANDS!$F224,DEMANDS!$G$2:$CK$25,MATCH($E224,DEMANDS!$E$2:$E$25,0),FALSE)/HLOOKUP(2018,DEMANDS!$G$2:$CK$25,MATCH($E224,DEMANDS!$E$2:$E$25,0),FALSE)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K224" s="36">
        <f>HLOOKUP(REG_TRA_DEMANDS!K$3,'BY-Demands'!$J$5:$AK$14,MATCH($E224,'BY-Demands'!$I$5:$I$14,0),FALSE)*HLOOKUP(REG_TRA_DEMANDS!$F224,DEMANDS!$G$2:$CK$25,MATCH($E224,DEMANDS!$E$2:$E$25,0),FALSE)/HLOOKUP(2018,DEMANDS!$G$2:$CK$25,MATCH($E224,DEMANDS!$E$2:$E$25,0),FALSE)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L224" s="36">
        <f>HLOOKUP(REG_TRA_DEMANDS!L$3,'BY-Demands'!$J$5:$AK$14,MATCH($E224,'BY-Demands'!$I$5:$I$14,0),FALSE)*HLOOKUP(REG_TRA_DEMANDS!$F224,DEMANDS!$G$2:$CK$25,MATCH($E224,DEMANDS!$E$2:$E$25,0),FALSE)/HLOOKUP(2018,DEMANDS!$G$2:$CK$25,MATCH($E224,DEMANDS!$E$2:$E$25,0),FALSE)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M224" s="36">
        <f>HLOOKUP(REG_TRA_DEMANDS!M$3,'BY-Demands'!$J$5:$AK$14,MATCH($E224,'BY-Demands'!$I$5:$I$14,0),FALSE)*HLOOKUP(REG_TRA_DEMANDS!$F224,DEMANDS!$G$2:$CK$25,MATCH($E224,DEMANDS!$E$2:$E$25,0),FALSE)/HLOOKUP(2018,DEMANDS!$G$2:$CK$25,MATCH($E224,DEMANDS!$E$2:$E$25,0),FALSE)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N224" s="36">
        <f>HLOOKUP(REG_TRA_DEMANDS!N$3,'BY-Demands'!$J$5:$AK$14,MATCH($E224,'BY-Demands'!$I$5:$I$14,0),FALSE)*HLOOKUP(REG_TRA_DEMANDS!$F224,DEMANDS!$G$2:$CK$25,MATCH($E224,DEMANDS!$E$2:$E$25,0),FALSE)/HLOOKUP(2018,DEMANDS!$G$2:$CK$25,MATCH($E224,DEMANDS!$E$2:$E$25,0),FALSE)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O224" s="36">
        <f>HLOOKUP(REG_TRA_DEMANDS!O$3,'BY-Demands'!$J$5:$AK$14,MATCH($E224,'BY-Demands'!$I$5:$I$14,0),FALSE)*HLOOKUP(REG_TRA_DEMANDS!$F224,DEMANDS!$G$2:$CK$25,MATCH($E224,DEMANDS!$E$2:$E$25,0),FALSE)/HLOOKUP(2018,DEMANDS!$G$2:$CK$25,MATCH($E224,DEMANDS!$E$2:$E$25,0),FALSE)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P224" s="36">
        <f>HLOOKUP(REG_TRA_DEMANDS!P$3,'BY-Demands'!$J$5:$AK$14,MATCH($E224,'BY-Demands'!$I$5:$I$14,0),FALSE)*HLOOKUP(REG_TRA_DEMANDS!$F224,DEMANDS!$G$2:$CK$25,MATCH($E224,DEMANDS!$E$2:$E$25,0),FALSE)/HLOOKUP(2018,DEMANDS!$G$2:$CK$25,MATCH($E224,DEMANDS!$E$2:$E$25,0),FALSE)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Q224" s="36">
        <f>HLOOKUP(REG_TRA_DEMANDS!Q$3,'BY-Demands'!$J$5:$AK$14,MATCH($E224,'BY-Demands'!$I$5:$I$14,0),FALSE)*HLOOKUP(REG_TRA_DEMANDS!$F224,DEMANDS!$G$2:$CK$25,MATCH($E224,DEMANDS!$E$2:$E$25,0),FALSE)/HLOOKUP(2018,DEMANDS!$G$2:$CK$25,MATCH($E224,DEMANDS!$E$2:$E$25,0),FALSE)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R224" s="36">
        <f>HLOOKUP(REG_TRA_DEMANDS!R$3,'BY-Demands'!$J$5:$AK$14,MATCH($E224,'BY-Demands'!$I$5:$I$14,0),FALSE)*HLOOKUP(REG_TRA_DEMANDS!$F224,DEMANDS!$G$2:$CK$25,MATCH($E224,DEMANDS!$E$2:$E$25,0),FALSE)/HLOOKUP(2018,DEMANDS!$G$2:$CK$25,MATCH($E224,DEMANDS!$E$2:$E$25,0),FALSE)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S224" s="19">
        <f>HLOOKUP(REG_TRA_DEMANDS!S$3,'BY-Demands'!$J$5:$AK$14,MATCH($E224,'BY-Demands'!$I$5:$I$14,0),FALSE)*HLOOKUP(REG_TRA_DEMANDS!$F224,DEMANDS!$G$2:$CK$25,MATCH($E224,DEMANDS!$E$2:$E$25,0),FALSE)/HLOOKUP(2018,DEMANDS!$G$2:$CK$25,MATCH($E224,DEMANDS!$E$2:$E$25,0),FALSE)</f>
        <v>2.5792943830413249</v>
      </c>
      <c r="T224" s="19">
        <f>HLOOKUP(REG_TRA_DEMANDS!T$3,'BY-Demands'!$J$5:$AK$14,MATCH($E224,'BY-Demands'!$I$5:$I$14,0),FALSE)*HLOOKUP(REG_TRA_DEMANDS!$F224,DEMANDS!$G$2:$CK$25,MATCH($E224,DEMANDS!$E$2:$E$25,0),FALSE)/HLOOKUP(2018,DEMANDS!$G$2:$CK$25,MATCH($E224,DEMANDS!$E$2:$E$25,0),FALSE)</f>
        <v>2.3848643409795387</v>
      </c>
      <c r="U224" s="19">
        <f>HLOOKUP(REG_TRA_DEMANDS!U$3,'BY-Demands'!$J$5:$AK$14,MATCH($E224,'BY-Demands'!$I$5:$I$14,0),FALSE)*HLOOKUP(REG_TRA_DEMANDS!$F224,DEMANDS!$G$2:$CK$25,MATCH($E224,DEMANDS!$E$2:$E$25,0),FALSE)/HLOOKUP(2018,DEMANDS!$G$2:$CK$25,MATCH($E224,DEMANDS!$E$2:$E$25,0),FALSE)</f>
        <v>0.25989257016608802</v>
      </c>
      <c r="V224" s="36">
        <f>HLOOKUP(REG_TRA_DEMANDS!V$3,'BY-Demands'!$J$5:$AK$14,MATCH($E224,'BY-Demands'!$I$5:$I$14,0),FALSE)*HLOOKUP(REG_TRA_DEMANDS!$F224,DEMANDS!$G$2:$CK$25,MATCH($E224,DEMANDS!$E$2:$E$25,0),FALSE)/HLOOKUP(2018,DEMANDS!$G$2:$CK$25,MATCH($E224,DEMANDS!$E$2:$E$25,0),FALSE)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W224" s="36">
        <f>HLOOKUP(REG_TRA_DEMANDS!W$3,'BY-Demands'!$J$5:$AK$14,MATCH($E224,'BY-Demands'!$I$5:$I$14,0),FALSE)*HLOOKUP(REG_TRA_DEMANDS!$F224,DEMANDS!$G$2:$CK$25,MATCH($E224,DEMANDS!$E$2:$E$25,0),FALSE)/HLOOKUP(2018,DEMANDS!$G$2:$CK$25,MATCH($E224,DEMANDS!$E$2:$E$25,0),FALSE)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X224" s="36">
        <f>HLOOKUP(REG_TRA_DEMANDS!X$3,'BY-Demands'!$J$5:$AK$14,MATCH($E224,'BY-Demands'!$I$5:$I$14,0),FALSE)*HLOOKUP(REG_TRA_DEMANDS!$F224,DEMANDS!$G$2:$CK$25,MATCH($E224,DEMANDS!$E$2:$E$25,0),FALSE)/HLOOKUP(2018,DEMANDS!$G$2:$CK$25,MATCH($E224,DEMANDS!$E$2:$E$25,0),FALSE)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Y224" s="36">
        <f>HLOOKUP(REG_TRA_DEMANDS!Y$3,'BY-Demands'!$J$5:$AK$14,MATCH($E224,'BY-Demands'!$I$5:$I$14,0),FALSE)*HLOOKUP(REG_TRA_DEMANDS!$F224,DEMANDS!$G$2:$CK$25,MATCH($E224,DEMANDS!$E$2:$E$25,0),FALSE)/HLOOKUP(2018,DEMANDS!$G$2:$CK$25,MATCH($E224,DEMANDS!$E$2:$E$25,0),FALSE)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Z224" s="36">
        <f>HLOOKUP(REG_TRA_DEMANDS!Z$3,'BY-Demands'!$J$5:$AK$14,MATCH($E224,'BY-Demands'!$I$5:$I$14,0),FALSE)*HLOOKUP(REG_TRA_DEMANDS!$F224,DEMANDS!$G$2:$CK$25,MATCH($E224,DEMANDS!$E$2:$E$25,0),FALSE)/HLOOKUP(2018,DEMANDS!$G$2:$CK$25,MATCH($E224,DEMANDS!$E$2:$E$25,0),FALSE)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A224" s="19">
        <f>HLOOKUP(REG_TRA_DEMANDS!AA$3,'BY-Demands'!$J$5:$AK$14,MATCH($E224,'BY-Demands'!$I$5:$I$14,0),FALSE)*HLOOKUP(REG_TRA_DEMANDS!$F224,DEMANDS!$G$2:$CK$25,MATCH($E224,DEMANDS!$E$2:$E$25,0),FALSE)/HLOOKUP(2018,DEMANDS!$G$2:$CK$25,MATCH($E224,DEMANDS!$E$2:$E$25,0),FALSE)</f>
        <v>0.74197212988446015</v>
      </c>
      <c r="AB224" s="36">
        <f>HLOOKUP(REG_TRA_DEMANDS!AB$3,'BY-Demands'!$J$5:$AK$14,MATCH($E224,'BY-Demands'!$I$5:$I$14,0),FALSE)*HLOOKUP(REG_TRA_DEMANDS!$F224,DEMANDS!$G$2:$CK$25,MATCH($E224,DEMANDS!$E$2:$E$25,0),FALSE)/HLOOKUP(2018,DEMANDS!$G$2:$CK$25,MATCH($E224,DEMANDS!$E$2:$E$25,0),FALSE)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C224" s="36">
        <f>HLOOKUP(REG_TRA_DEMANDS!AC$3,'BY-Demands'!$J$5:$AK$14,MATCH($E224,'BY-Demands'!$I$5:$I$14,0),FALSE)*HLOOKUP(REG_TRA_DEMANDS!$F224,DEMANDS!$G$2:$CK$25,MATCH($E224,DEMANDS!$E$2:$E$25,0),FALSE)/HLOOKUP(2018,DEMANDS!$G$2:$CK$25,MATCH($E224,DEMANDS!$E$2:$E$25,0),FALSE)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D224" s="36">
        <f>HLOOKUP(REG_TRA_DEMANDS!AD$3,'BY-Demands'!$J$5:$AK$14,MATCH($E224,'BY-Demands'!$I$5:$I$14,0),FALSE)*HLOOKUP(REG_TRA_DEMANDS!$F224,DEMANDS!$G$2:$CK$25,MATCH($E224,DEMANDS!$E$2:$E$25,0),FALSE)/HLOOKUP(2018,DEMANDS!$G$2:$CK$25,MATCH($E224,DEMANDS!$E$2:$E$25,0),FALSE)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E224" s="36">
        <f>HLOOKUP(REG_TRA_DEMANDS!AE$3,'BY-Demands'!$J$5:$AK$14,MATCH($E224,'BY-Demands'!$I$5:$I$14,0),FALSE)*HLOOKUP(REG_TRA_DEMANDS!$F224,DEMANDS!$G$2:$CK$25,MATCH($E224,DEMANDS!$E$2:$E$25,0),FALSE)/HLOOKUP(2018,DEMANDS!$G$2:$CK$25,MATCH($E224,DEMANDS!$E$2:$E$25,0),FALSE)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F224" s="36">
        <f>HLOOKUP(REG_TRA_DEMANDS!AF$3,'BY-Demands'!$J$5:$AK$14,MATCH($E224,'BY-Demands'!$I$5:$I$14,0),FALSE)*HLOOKUP(REG_TRA_DEMANDS!$F224,DEMANDS!$G$2:$CK$25,MATCH($E224,DEMANDS!$E$2:$E$25,0),FALSE)/HLOOKUP(2018,DEMANDS!$G$2:$CK$25,MATCH($E224,DEMANDS!$E$2:$E$25,0),FALSE)</f>
        <v>0</v>
      </c>
    </row>
    <row r="225" spans="4:32" ht="14.5">
      <c r="D225" t="s">
        <v>6</v>
      </c>
      <c r="E225" t="str">
        <f>DEMANDS!$E$25</f>
        <v>TAVIINT</v>
      </c>
      <c r="F225">
        <v>2025</v>
      </c>
      <c r="G225" s="36">
        <f>HLOOKUP(REG_TRA_DEMANDS!G$3,'BY-Demands'!$J$5:$AK$14,MATCH($E225,'BY-Demands'!$I$5:$I$14,0),FALSE)*HLOOKUP(REG_TRA_DEMANDS!$F225,DEMANDS!$G$2:$CK$25,MATCH($E225,DEMANDS!$E$2:$E$25,0),FALSE)/HLOOKUP(2018,DEMANDS!$G$2:$CK$25,MATCH($E225,DEMANDS!$E$2:$E$25,0),FALSE)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H225" s="19">
        <f>HLOOKUP(REG_TRA_DEMANDS!H$3,'BY-Demands'!$J$5:$AK$14,MATCH($E225,'BY-Demands'!$I$5:$I$14,0),FALSE)*HLOOKUP(REG_TRA_DEMANDS!$F225,DEMANDS!$G$2:$CK$25,MATCH($E225,DEMANDS!$E$2:$E$25,0),FALSE)/HLOOKUP(2018,DEMANDS!$G$2:$CK$25,MATCH($E225,DEMANDS!$E$2:$E$25,0),FALSE)</f>
        <v>44.125688599291323</v>
      </c>
      <c r="I225" s="36">
        <f>HLOOKUP(REG_TRA_DEMANDS!I$3,'BY-Demands'!$J$5:$AK$14,MATCH($E225,'BY-Demands'!$I$5:$I$14,0),FALSE)*HLOOKUP(REG_TRA_DEMANDS!$F225,DEMANDS!$G$2:$CK$25,MATCH($E225,DEMANDS!$E$2:$E$25,0),FALSE)/HLOOKUP(2018,DEMANDS!$G$2:$CK$25,MATCH($E225,DEMANDS!$E$2:$E$25,0),FALSE)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J225" s="36">
        <f>HLOOKUP(REG_TRA_DEMANDS!J$3,'BY-Demands'!$J$5:$AK$14,MATCH($E225,'BY-Demands'!$I$5:$I$14,0),FALSE)*HLOOKUP(REG_TRA_DEMANDS!$F225,DEMANDS!$G$2:$CK$25,MATCH($E225,DEMANDS!$E$2:$E$25,0),FALSE)/HLOOKUP(2018,DEMANDS!$G$2:$CK$25,MATCH($E225,DEMANDS!$E$2:$E$25,0),FALSE)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K225" s="36">
        <f>HLOOKUP(REG_TRA_DEMANDS!K$3,'BY-Demands'!$J$5:$AK$14,MATCH($E225,'BY-Demands'!$I$5:$I$14,0),FALSE)*HLOOKUP(REG_TRA_DEMANDS!$F225,DEMANDS!$G$2:$CK$25,MATCH($E225,DEMANDS!$E$2:$E$25,0),FALSE)/HLOOKUP(2018,DEMANDS!$G$2:$CK$25,MATCH($E225,DEMANDS!$E$2:$E$25,0),FALSE)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L225" s="36">
        <f>HLOOKUP(REG_TRA_DEMANDS!L$3,'BY-Demands'!$J$5:$AK$14,MATCH($E225,'BY-Demands'!$I$5:$I$14,0),FALSE)*HLOOKUP(REG_TRA_DEMANDS!$F225,DEMANDS!$G$2:$CK$25,MATCH($E225,DEMANDS!$E$2:$E$25,0),FALSE)/HLOOKUP(2018,DEMANDS!$G$2:$CK$25,MATCH($E225,DEMANDS!$E$2:$E$25,0),FALSE)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M225" s="36">
        <f>HLOOKUP(REG_TRA_DEMANDS!M$3,'BY-Demands'!$J$5:$AK$14,MATCH($E225,'BY-Demands'!$I$5:$I$14,0),FALSE)*HLOOKUP(REG_TRA_DEMANDS!$F225,DEMANDS!$G$2:$CK$25,MATCH($E225,DEMANDS!$E$2:$E$25,0),FALSE)/HLOOKUP(2018,DEMANDS!$G$2:$CK$25,MATCH($E225,DEMANDS!$E$2:$E$25,0),FALSE)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N225" s="36">
        <f>HLOOKUP(REG_TRA_DEMANDS!N$3,'BY-Demands'!$J$5:$AK$14,MATCH($E225,'BY-Demands'!$I$5:$I$14,0),FALSE)*HLOOKUP(REG_TRA_DEMANDS!$F225,DEMANDS!$G$2:$CK$25,MATCH($E225,DEMANDS!$E$2:$E$25,0),FALSE)/HLOOKUP(2018,DEMANDS!$G$2:$CK$25,MATCH($E225,DEMANDS!$E$2:$E$25,0),FALSE)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O225" s="36">
        <f>HLOOKUP(REG_TRA_DEMANDS!O$3,'BY-Demands'!$J$5:$AK$14,MATCH($E225,'BY-Demands'!$I$5:$I$14,0),FALSE)*HLOOKUP(REG_TRA_DEMANDS!$F225,DEMANDS!$G$2:$CK$25,MATCH($E225,DEMANDS!$E$2:$E$25,0),FALSE)/HLOOKUP(2018,DEMANDS!$G$2:$CK$25,MATCH($E225,DEMANDS!$E$2:$E$25,0),FALSE)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P225" s="36">
        <f>HLOOKUP(REG_TRA_DEMANDS!P$3,'BY-Demands'!$J$5:$AK$14,MATCH($E225,'BY-Demands'!$I$5:$I$14,0),FALSE)*HLOOKUP(REG_TRA_DEMANDS!$F225,DEMANDS!$G$2:$CK$25,MATCH($E225,DEMANDS!$E$2:$E$25,0),FALSE)/HLOOKUP(2018,DEMANDS!$G$2:$CK$25,MATCH($E225,DEMANDS!$E$2:$E$25,0),FALSE)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Q225" s="36">
        <f>HLOOKUP(REG_TRA_DEMANDS!Q$3,'BY-Demands'!$J$5:$AK$14,MATCH($E225,'BY-Demands'!$I$5:$I$14,0),FALSE)*HLOOKUP(REG_TRA_DEMANDS!$F225,DEMANDS!$G$2:$CK$25,MATCH($E225,DEMANDS!$E$2:$E$25,0),FALSE)/HLOOKUP(2018,DEMANDS!$G$2:$CK$25,MATCH($E225,DEMANDS!$E$2:$E$25,0),FALSE)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R225" s="36">
        <f>HLOOKUP(REG_TRA_DEMANDS!R$3,'BY-Demands'!$J$5:$AK$14,MATCH($E225,'BY-Demands'!$I$5:$I$14,0),FALSE)*HLOOKUP(REG_TRA_DEMANDS!$F225,DEMANDS!$G$2:$CK$25,MATCH($E225,DEMANDS!$E$2:$E$25,0),FALSE)/HLOOKUP(2018,DEMANDS!$G$2:$CK$25,MATCH($E225,DEMANDS!$E$2:$E$25,0),FALSE)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S225" s="19">
        <f>HLOOKUP(REG_TRA_DEMANDS!S$3,'BY-Demands'!$J$5:$AK$14,MATCH($E225,'BY-Demands'!$I$5:$I$14,0),FALSE)*HLOOKUP(REG_TRA_DEMANDS!$F225,DEMANDS!$G$2:$CK$25,MATCH($E225,DEMANDS!$E$2:$E$25,0),FALSE)/HLOOKUP(2018,DEMANDS!$G$2:$CK$25,MATCH($E225,DEMANDS!$E$2:$E$25,0),FALSE)</f>
        <v>2.6127317604121387</v>
      </c>
      <c r="T225" s="19">
        <f>HLOOKUP(REG_TRA_DEMANDS!T$3,'BY-Demands'!$J$5:$AK$14,MATCH($E225,'BY-Demands'!$I$5:$I$14,0),FALSE)*HLOOKUP(REG_TRA_DEMANDS!$F225,DEMANDS!$G$2:$CK$25,MATCH($E225,DEMANDS!$E$2:$E$25,0),FALSE)/HLOOKUP(2018,DEMANDS!$G$2:$CK$25,MATCH($E225,DEMANDS!$E$2:$E$25,0),FALSE)</f>
        <v>2.4157811721376414</v>
      </c>
      <c r="U225" s="19">
        <f>HLOOKUP(REG_TRA_DEMANDS!U$3,'BY-Demands'!$J$5:$AK$14,MATCH($E225,'BY-Demands'!$I$5:$I$14,0),FALSE)*HLOOKUP(REG_TRA_DEMANDS!$F225,DEMANDS!$G$2:$CK$25,MATCH($E225,DEMANDS!$E$2:$E$25,0),FALSE)/HLOOKUP(2018,DEMANDS!$G$2:$CK$25,MATCH($E225,DEMANDS!$E$2:$E$25,0),FALSE)</f>
        <v>0.2632617574917579</v>
      </c>
      <c r="V225" s="36">
        <f>HLOOKUP(REG_TRA_DEMANDS!V$3,'BY-Demands'!$J$5:$AK$14,MATCH($E225,'BY-Demands'!$I$5:$I$14,0),FALSE)*HLOOKUP(REG_TRA_DEMANDS!$F225,DEMANDS!$G$2:$CK$25,MATCH($E225,DEMANDS!$E$2:$E$25,0),FALSE)/HLOOKUP(2018,DEMANDS!$G$2:$CK$25,MATCH($E225,DEMANDS!$E$2:$E$25,0),FALSE)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W225" s="36">
        <f>HLOOKUP(REG_TRA_DEMANDS!W$3,'BY-Demands'!$J$5:$AK$14,MATCH($E225,'BY-Demands'!$I$5:$I$14,0),FALSE)*HLOOKUP(REG_TRA_DEMANDS!$F225,DEMANDS!$G$2:$CK$25,MATCH($E225,DEMANDS!$E$2:$E$25,0),FALSE)/HLOOKUP(2018,DEMANDS!$G$2:$CK$25,MATCH($E225,DEMANDS!$E$2:$E$25,0),FALSE)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X225" s="36">
        <f>HLOOKUP(REG_TRA_DEMANDS!X$3,'BY-Demands'!$J$5:$AK$14,MATCH($E225,'BY-Demands'!$I$5:$I$14,0),FALSE)*HLOOKUP(REG_TRA_DEMANDS!$F225,DEMANDS!$G$2:$CK$25,MATCH($E225,DEMANDS!$E$2:$E$25,0),FALSE)/HLOOKUP(2018,DEMANDS!$G$2:$CK$25,MATCH($E225,DEMANDS!$E$2:$E$25,0),FALSE)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Y225" s="36">
        <f>HLOOKUP(REG_TRA_DEMANDS!Y$3,'BY-Demands'!$J$5:$AK$14,MATCH($E225,'BY-Demands'!$I$5:$I$14,0),FALSE)*HLOOKUP(REG_TRA_DEMANDS!$F225,DEMANDS!$G$2:$CK$25,MATCH($E225,DEMANDS!$E$2:$E$25,0),FALSE)/HLOOKUP(2018,DEMANDS!$G$2:$CK$25,MATCH($E225,DEMANDS!$E$2:$E$25,0),FALSE)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Z225" s="36">
        <f>HLOOKUP(REG_TRA_DEMANDS!Z$3,'BY-Demands'!$J$5:$AK$14,MATCH($E225,'BY-Demands'!$I$5:$I$14,0),FALSE)*HLOOKUP(REG_TRA_DEMANDS!$F225,DEMANDS!$G$2:$CK$25,MATCH($E225,DEMANDS!$E$2:$E$25,0),FALSE)/HLOOKUP(2018,DEMANDS!$G$2:$CK$25,MATCH($E225,DEMANDS!$E$2:$E$25,0),FALSE)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A225" s="19">
        <f>HLOOKUP(REG_TRA_DEMANDS!AA$3,'BY-Demands'!$J$5:$AK$14,MATCH($E225,'BY-Demands'!$I$5:$I$14,0),FALSE)*HLOOKUP(REG_TRA_DEMANDS!$F225,DEMANDS!$G$2:$CK$25,MATCH($E225,DEMANDS!$E$2:$E$25,0),FALSE)/HLOOKUP(2018,DEMANDS!$G$2:$CK$25,MATCH($E225,DEMANDS!$E$2:$E$25,0),FALSE)</f>
        <v>0.751590885412598</v>
      </c>
      <c r="AB225" s="36">
        <f>HLOOKUP(REG_TRA_DEMANDS!AB$3,'BY-Demands'!$J$5:$AK$14,MATCH($E225,'BY-Demands'!$I$5:$I$14,0),FALSE)*HLOOKUP(REG_TRA_DEMANDS!$F225,DEMANDS!$G$2:$CK$25,MATCH($E225,DEMANDS!$E$2:$E$25,0),FALSE)/HLOOKUP(2018,DEMANDS!$G$2:$CK$25,MATCH($E225,DEMANDS!$E$2:$E$25,0),FALSE)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C225" s="36">
        <f>HLOOKUP(REG_TRA_DEMANDS!AC$3,'BY-Demands'!$J$5:$AK$14,MATCH($E225,'BY-Demands'!$I$5:$I$14,0),FALSE)*HLOOKUP(REG_TRA_DEMANDS!$F225,DEMANDS!$G$2:$CK$25,MATCH($E225,DEMANDS!$E$2:$E$25,0),FALSE)/HLOOKUP(2018,DEMANDS!$G$2:$CK$25,MATCH($E225,DEMANDS!$E$2:$E$25,0),FALSE)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D225" s="36">
        <f>HLOOKUP(REG_TRA_DEMANDS!AD$3,'BY-Demands'!$J$5:$AK$14,MATCH($E225,'BY-Demands'!$I$5:$I$14,0),FALSE)*HLOOKUP(REG_TRA_DEMANDS!$F225,DEMANDS!$G$2:$CK$25,MATCH($E225,DEMANDS!$E$2:$E$25,0),FALSE)/HLOOKUP(2018,DEMANDS!$G$2:$CK$25,MATCH($E225,DEMANDS!$E$2:$E$25,0),FALSE)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E225" s="36">
        <f>HLOOKUP(REG_TRA_DEMANDS!AE$3,'BY-Demands'!$J$5:$AK$14,MATCH($E225,'BY-Demands'!$I$5:$I$14,0),FALSE)*HLOOKUP(REG_TRA_DEMANDS!$F225,DEMANDS!$G$2:$CK$25,MATCH($E225,DEMANDS!$E$2:$E$25,0),FALSE)/HLOOKUP(2018,DEMANDS!$G$2:$CK$25,MATCH($E225,DEMANDS!$E$2:$E$25,0),FALSE)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F225" s="36">
        <f>HLOOKUP(REG_TRA_DEMANDS!AF$3,'BY-Demands'!$J$5:$AK$14,MATCH($E225,'BY-Demands'!$I$5:$I$14,0),FALSE)*HLOOKUP(REG_TRA_DEMANDS!$F225,DEMANDS!$G$2:$CK$25,MATCH($E225,DEMANDS!$E$2:$E$25,0),FALSE)/HLOOKUP(2018,DEMANDS!$G$2:$CK$25,MATCH($E225,DEMANDS!$E$2:$E$25,0),FALSE)</f>
        <v>0</v>
      </c>
    </row>
    <row r="226" spans="4:32" ht="14.5">
      <c r="D226" t="s">
        <v>6</v>
      </c>
      <c r="E226" t="str">
        <f>DEMANDS!$E$25</f>
        <v>TAVIINT</v>
      </c>
      <c r="F226">
        <v>2026</v>
      </c>
      <c r="G226" s="36">
        <f>HLOOKUP(REG_TRA_DEMANDS!G$3,'BY-Demands'!$J$5:$AK$14,MATCH($E226,'BY-Demands'!$I$5:$I$14,0),FALSE)*HLOOKUP(REG_TRA_DEMANDS!$F226,DEMANDS!$G$2:$CK$25,MATCH($E226,DEMANDS!$E$2:$E$25,0),FALSE)/HLOOKUP(2018,DEMANDS!$G$2:$CK$25,MATCH($E226,DEMANDS!$E$2:$E$25,0),FALSE)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H226" s="19">
        <f>HLOOKUP(REG_TRA_DEMANDS!H$3,'BY-Demands'!$J$5:$AK$14,MATCH($E226,'BY-Demands'!$I$5:$I$14,0),FALSE)*HLOOKUP(REG_TRA_DEMANDS!$F226,DEMANDS!$G$2:$CK$25,MATCH($E226,DEMANDS!$E$2:$E$25,0),FALSE)/HLOOKUP(2018,DEMANDS!$G$2:$CK$25,MATCH($E226,DEMANDS!$E$2:$E$25,0),FALSE)</f>
        <v>44.679107364232223</v>
      </c>
      <c r="I226" s="36">
        <f>HLOOKUP(REG_TRA_DEMANDS!I$3,'BY-Demands'!$J$5:$AK$14,MATCH($E226,'BY-Demands'!$I$5:$I$14,0),FALSE)*HLOOKUP(REG_TRA_DEMANDS!$F226,DEMANDS!$G$2:$CK$25,MATCH($E226,DEMANDS!$E$2:$E$25,0),FALSE)/HLOOKUP(2018,DEMANDS!$G$2:$CK$25,MATCH($E226,DEMANDS!$E$2:$E$25,0),FALSE)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J226" s="36">
        <f>HLOOKUP(REG_TRA_DEMANDS!J$3,'BY-Demands'!$J$5:$AK$14,MATCH($E226,'BY-Demands'!$I$5:$I$14,0),FALSE)*HLOOKUP(REG_TRA_DEMANDS!$F226,DEMANDS!$G$2:$CK$25,MATCH($E226,DEMANDS!$E$2:$E$25,0),FALSE)/HLOOKUP(2018,DEMANDS!$G$2:$CK$25,MATCH($E226,DEMANDS!$E$2:$E$25,0),FALSE)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K226" s="36">
        <f>HLOOKUP(REG_TRA_DEMANDS!K$3,'BY-Demands'!$J$5:$AK$14,MATCH($E226,'BY-Demands'!$I$5:$I$14,0),FALSE)*HLOOKUP(REG_TRA_DEMANDS!$F226,DEMANDS!$G$2:$CK$25,MATCH($E226,DEMANDS!$E$2:$E$25,0),FALSE)/HLOOKUP(2018,DEMANDS!$G$2:$CK$25,MATCH($E226,DEMANDS!$E$2:$E$25,0),FALSE)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L226" s="36">
        <f>HLOOKUP(REG_TRA_DEMANDS!L$3,'BY-Demands'!$J$5:$AK$14,MATCH($E226,'BY-Demands'!$I$5:$I$14,0),FALSE)*HLOOKUP(REG_TRA_DEMANDS!$F226,DEMANDS!$G$2:$CK$25,MATCH($E226,DEMANDS!$E$2:$E$25,0),FALSE)/HLOOKUP(2018,DEMANDS!$G$2:$CK$25,MATCH($E226,DEMANDS!$E$2:$E$25,0),FALSE)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M226" s="36">
        <f>HLOOKUP(REG_TRA_DEMANDS!M$3,'BY-Demands'!$J$5:$AK$14,MATCH($E226,'BY-Demands'!$I$5:$I$14,0),FALSE)*HLOOKUP(REG_TRA_DEMANDS!$F226,DEMANDS!$G$2:$CK$25,MATCH($E226,DEMANDS!$E$2:$E$25,0),FALSE)/HLOOKUP(2018,DEMANDS!$G$2:$CK$25,MATCH($E226,DEMANDS!$E$2:$E$25,0),FALSE)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N226" s="36">
        <f>HLOOKUP(REG_TRA_DEMANDS!N$3,'BY-Demands'!$J$5:$AK$14,MATCH($E226,'BY-Demands'!$I$5:$I$14,0),FALSE)*HLOOKUP(REG_TRA_DEMANDS!$F226,DEMANDS!$G$2:$CK$25,MATCH($E226,DEMANDS!$E$2:$E$25,0),FALSE)/HLOOKUP(2018,DEMANDS!$G$2:$CK$25,MATCH($E226,DEMANDS!$E$2:$E$25,0),FALSE)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O226" s="36">
        <f>HLOOKUP(REG_TRA_DEMANDS!O$3,'BY-Demands'!$J$5:$AK$14,MATCH($E226,'BY-Demands'!$I$5:$I$14,0),FALSE)*HLOOKUP(REG_TRA_DEMANDS!$F226,DEMANDS!$G$2:$CK$25,MATCH($E226,DEMANDS!$E$2:$E$25,0),FALSE)/HLOOKUP(2018,DEMANDS!$G$2:$CK$25,MATCH($E226,DEMANDS!$E$2:$E$25,0),FALSE)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P226" s="36">
        <f>HLOOKUP(REG_TRA_DEMANDS!P$3,'BY-Demands'!$J$5:$AK$14,MATCH($E226,'BY-Demands'!$I$5:$I$14,0),FALSE)*HLOOKUP(REG_TRA_DEMANDS!$F226,DEMANDS!$G$2:$CK$25,MATCH($E226,DEMANDS!$E$2:$E$25,0),FALSE)/HLOOKUP(2018,DEMANDS!$G$2:$CK$25,MATCH($E226,DEMANDS!$E$2:$E$25,0),FALSE)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Q226" s="36">
        <f>HLOOKUP(REG_TRA_DEMANDS!Q$3,'BY-Demands'!$J$5:$AK$14,MATCH($E226,'BY-Demands'!$I$5:$I$14,0),FALSE)*HLOOKUP(REG_TRA_DEMANDS!$F226,DEMANDS!$G$2:$CK$25,MATCH($E226,DEMANDS!$E$2:$E$25,0),FALSE)/HLOOKUP(2018,DEMANDS!$G$2:$CK$25,MATCH($E226,DEMANDS!$E$2:$E$25,0),FALSE)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R226" s="36">
        <f>HLOOKUP(REG_TRA_DEMANDS!R$3,'BY-Demands'!$J$5:$AK$14,MATCH($E226,'BY-Demands'!$I$5:$I$14,0),FALSE)*HLOOKUP(REG_TRA_DEMANDS!$F226,DEMANDS!$G$2:$CK$25,MATCH($E226,DEMANDS!$E$2:$E$25,0),FALSE)/HLOOKUP(2018,DEMANDS!$G$2:$CK$25,MATCH($E226,DEMANDS!$E$2:$E$25,0),FALSE)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S226" s="19">
        <f>HLOOKUP(REG_TRA_DEMANDS!S$3,'BY-Demands'!$J$5:$AK$14,MATCH($E226,'BY-Demands'!$I$5:$I$14,0),FALSE)*HLOOKUP(REG_TRA_DEMANDS!$F226,DEMANDS!$G$2:$CK$25,MATCH($E226,DEMANDS!$E$2:$E$25,0),FALSE)/HLOOKUP(2018,DEMANDS!$G$2:$CK$25,MATCH($E226,DEMANDS!$E$2:$E$25,0),FALSE)</f>
        <v>2.6455003092975691</v>
      </c>
      <c r="T226" s="19">
        <f>HLOOKUP(REG_TRA_DEMANDS!T$3,'BY-Demands'!$J$5:$AK$14,MATCH($E226,'BY-Demands'!$I$5:$I$14,0),FALSE)*HLOOKUP(REG_TRA_DEMANDS!$F226,DEMANDS!$G$2:$CK$25,MATCH($E226,DEMANDS!$E$2:$E$25,0),FALSE)/HLOOKUP(2018,DEMANDS!$G$2:$CK$25,MATCH($E226,DEMANDS!$E$2:$E$25,0),FALSE)</f>
        <v>2.4460795918358067</v>
      </c>
      <c r="U226" s="19">
        <f>HLOOKUP(REG_TRA_DEMANDS!U$3,'BY-Demands'!$J$5:$AK$14,MATCH($E226,'BY-Demands'!$I$5:$I$14,0),FALSE)*HLOOKUP(REG_TRA_DEMANDS!$F226,DEMANDS!$G$2:$CK$25,MATCH($E226,DEMANDS!$E$2:$E$25,0),FALSE)/HLOOKUP(2018,DEMANDS!$G$2:$CK$25,MATCH($E226,DEMANDS!$E$2:$E$25,0),FALSE)</f>
        <v>0.2665635529155147</v>
      </c>
      <c r="V226" s="36">
        <f>HLOOKUP(REG_TRA_DEMANDS!V$3,'BY-Demands'!$J$5:$AK$14,MATCH($E226,'BY-Demands'!$I$5:$I$14,0),FALSE)*HLOOKUP(REG_TRA_DEMANDS!$F226,DEMANDS!$G$2:$CK$25,MATCH($E226,DEMANDS!$E$2:$E$25,0),FALSE)/HLOOKUP(2018,DEMANDS!$G$2:$CK$25,MATCH($E226,DEMANDS!$E$2:$E$25,0),FALSE)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W226" s="36">
        <f>HLOOKUP(REG_TRA_DEMANDS!W$3,'BY-Demands'!$J$5:$AK$14,MATCH($E226,'BY-Demands'!$I$5:$I$14,0),FALSE)*HLOOKUP(REG_TRA_DEMANDS!$F226,DEMANDS!$G$2:$CK$25,MATCH($E226,DEMANDS!$E$2:$E$25,0),FALSE)/HLOOKUP(2018,DEMANDS!$G$2:$CK$25,MATCH($E226,DEMANDS!$E$2:$E$25,0),FALSE)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X226" s="36">
        <f>HLOOKUP(REG_TRA_DEMANDS!X$3,'BY-Demands'!$J$5:$AK$14,MATCH($E226,'BY-Demands'!$I$5:$I$14,0),FALSE)*HLOOKUP(REG_TRA_DEMANDS!$F226,DEMANDS!$G$2:$CK$25,MATCH($E226,DEMANDS!$E$2:$E$25,0),FALSE)/HLOOKUP(2018,DEMANDS!$G$2:$CK$25,MATCH($E226,DEMANDS!$E$2:$E$25,0),FALSE)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Y226" s="36">
        <f>HLOOKUP(REG_TRA_DEMANDS!Y$3,'BY-Demands'!$J$5:$AK$14,MATCH($E226,'BY-Demands'!$I$5:$I$14,0),FALSE)*HLOOKUP(REG_TRA_DEMANDS!$F226,DEMANDS!$G$2:$CK$25,MATCH($E226,DEMANDS!$E$2:$E$25,0),FALSE)/HLOOKUP(2018,DEMANDS!$G$2:$CK$25,MATCH($E226,DEMANDS!$E$2:$E$25,0),FALSE)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Z226" s="36">
        <f>HLOOKUP(REG_TRA_DEMANDS!Z$3,'BY-Demands'!$J$5:$AK$14,MATCH($E226,'BY-Demands'!$I$5:$I$14,0),FALSE)*HLOOKUP(REG_TRA_DEMANDS!$F226,DEMANDS!$G$2:$CK$25,MATCH($E226,DEMANDS!$E$2:$E$25,0),FALSE)/HLOOKUP(2018,DEMANDS!$G$2:$CK$25,MATCH($E226,DEMANDS!$E$2:$E$25,0),FALSE)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A226" s="19">
        <f>HLOOKUP(REG_TRA_DEMANDS!AA$3,'BY-Demands'!$J$5:$AK$14,MATCH($E226,'BY-Demands'!$I$5:$I$14,0),FALSE)*HLOOKUP(REG_TRA_DEMANDS!$F226,DEMANDS!$G$2:$CK$25,MATCH($E226,DEMANDS!$E$2:$E$25,0),FALSE)/HLOOKUP(2018,DEMANDS!$G$2:$CK$25,MATCH($E226,DEMANDS!$E$2:$E$25,0),FALSE)</f>
        <v>0.76101724254717096</v>
      </c>
      <c r="AB226" s="36">
        <f>HLOOKUP(REG_TRA_DEMANDS!AB$3,'BY-Demands'!$J$5:$AK$14,MATCH($E226,'BY-Demands'!$I$5:$I$14,0),FALSE)*HLOOKUP(REG_TRA_DEMANDS!$F226,DEMANDS!$G$2:$CK$25,MATCH($E226,DEMANDS!$E$2:$E$25,0),FALSE)/HLOOKUP(2018,DEMANDS!$G$2:$CK$25,MATCH($E226,DEMANDS!$E$2:$E$25,0),FALSE)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C226" s="36">
        <f>HLOOKUP(REG_TRA_DEMANDS!AC$3,'BY-Demands'!$J$5:$AK$14,MATCH($E226,'BY-Demands'!$I$5:$I$14,0),FALSE)*HLOOKUP(REG_TRA_DEMANDS!$F226,DEMANDS!$G$2:$CK$25,MATCH($E226,DEMANDS!$E$2:$E$25,0),FALSE)/HLOOKUP(2018,DEMANDS!$G$2:$CK$25,MATCH($E226,DEMANDS!$E$2:$E$25,0),FALSE)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D226" s="36">
        <f>HLOOKUP(REG_TRA_DEMANDS!AD$3,'BY-Demands'!$J$5:$AK$14,MATCH($E226,'BY-Demands'!$I$5:$I$14,0),FALSE)*HLOOKUP(REG_TRA_DEMANDS!$F226,DEMANDS!$G$2:$CK$25,MATCH($E226,DEMANDS!$E$2:$E$25,0),FALSE)/HLOOKUP(2018,DEMANDS!$G$2:$CK$25,MATCH($E226,DEMANDS!$E$2:$E$25,0),FALSE)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E226" s="36">
        <f>HLOOKUP(REG_TRA_DEMANDS!AE$3,'BY-Demands'!$J$5:$AK$14,MATCH($E226,'BY-Demands'!$I$5:$I$14,0),FALSE)*HLOOKUP(REG_TRA_DEMANDS!$F226,DEMANDS!$G$2:$CK$25,MATCH($E226,DEMANDS!$E$2:$E$25,0),FALSE)/HLOOKUP(2018,DEMANDS!$G$2:$CK$25,MATCH($E226,DEMANDS!$E$2:$E$25,0),FALSE)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F226" s="36">
        <f>HLOOKUP(REG_TRA_DEMANDS!AF$3,'BY-Demands'!$J$5:$AK$14,MATCH($E226,'BY-Demands'!$I$5:$I$14,0),FALSE)*HLOOKUP(REG_TRA_DEMANDS!$F226,DEMANDS!$G$2:$CK$25,MATCH($E226,DEMANDS!$E$2:$E$25,0),FALSE)/HLOOKUP(2018,DEMANDS!$G$2:$CK$25,MATCH($E226,DEMANDS!$E$2:$E$25,0),FALSE)</f>
        <v>0</v>
      </c>
    </row>
    <row r="227" spans="4:32" ht="14.5">
      <c r="D227" t="s">
        <v>6</v>
      </c>
      <c r="E227" t="str">
        <f>DEMANDS!$E$25</f>
        <v>TAVIINT</v>
      </c>
      <c r="F227">
        <v>2027</v>
      </c>
      <c r="G227" s="36">
        <f>HLOOKUP(REG_TRA_DEMANDS!G$3,'BY-Demands'!$J$5:$AK$14,MATCH($E227,'BY-Demands'!$I$5:$I$14,0),FALSE)*HLOOKUP(REG_TRA_DEMANDS!$F227,DEMANDS!$G$2:$CK$25,MATCH($E227,DEMANDS!$E$2:$E$25,0),FALSE)/HLOOKUP(2018,DEMANDS!$G$2:$CK$25,MATCH($E227,DEMANDS!$E$2:$E$25,0),FALSE)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H227" s="19">
        <f>HLOOKUP(REG_TRA_DEMANDS!H$3,'BY-Demands'!$J$5:$AK$14,MATCH($E227,'BY-Demands'!$I$5:$I$14,0),FALSE)*HLOOKUP(REG_TRA_DEMANDS!$F227,DEMANDS!$G$2:$CK$25,MATCH($E227,DEMANDS!$E$2:$E$25,0),FALSE)/HLOOKUP(2018,DEMANDS!$G$2:$CK$25,MATCH($E227,DEMANDS!$E$2:$E$25,0),FALSE)</f>
        <v>45.221456417198851</v>
      </c>
      <c r="I227" s="36">
        <f>HLOOKUP(REG_TRA_DEMANDS!I$3,'BY-Demands'!$J$5:$AK$14,MATCH($E227,'BY-Demands'!$I$5:$I$14,0),FALSE)*HLOOKUP(REG_TRA_DEMANDS!$F227,DEMANDS!$G$2:$CK$25,MATCH($E227,DEMANDS!$E$2:$E$25,0),FALSE)/HLOOKUP(2018,DEMANDS!$G$2:$CK$25,MATCH($E227,DEMANDS!$E$2:$E$25,0),FALSE)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J227" s="36">
        <f>HLOOKUP(REG_TRA_DEMANDS!J$3,'BY-Demands'!$J$5:$AK$14,MATCH($E227,'BY-Demands'!$I$5:$I$14,0),FALSE)*HLOOKUP(REG_TRA_DEMANDS!$F227,DEMANDS!$G$2:$CK$25,MATCH($E227,DEMANDS!$E$2:$E$25,0),FALSE)/HLOOKUP(2018,DEMANDS!$G$2:$CK$25,MATCH($E227,DEMANDS!$E$2:$E$25,0),FALSE)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K227" s="36">
        <f>HLOOKUP(REG_TRA_DEMANDS!K$3,'BY-Demands'!$J$5:$AK$14,MATCH($E227,'BY-Demands'!$I$5:$I$14,0),FALSE)*HLOOKUP(REG_TRA_DEMANDS!$F227,DEMANDS!$G$2:$CK$25,MATCH($E227,DEMANDS!$E$2:$E$25,0),FALSE)/HLOOKUP(2018,DEMANDS!$G$2:$CK$25,MATCH($E227,DEMANDS!$E$2:$E$25,0),FALSE)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L227" s="36">
        <f>HLOOKUP(REG_TRA_DEMANDS!L$3,'BY-Demands'!$J$5:$AK$14,MATCH($E227,'BY-Demands'!$I$5:$I$14,0),FALSE)*HLOOKUP(REG_TRA_DEMANDS!$F227,DEMANDS!$G$2:$CK$25,MATCH($E227,DEMANDS!$E$2:$E$25,0),FALSE)/HLOOKUP(2018,DEMANDS!$G$2:$CK$25,MATCH($E227,DEMANDS!$E$2:$E$25,0),FALSE)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M227" s="36">
        <f>HLOOKUP(REG_TRA_DEMANDS!M$3,'BY-Demands'!$J$5:$AK$14,MATCH($E227,'BY-Demands'!$I$5:$I$14,0),FALSE)*HLOOKUP(REG_TRA_DEMANDS!$F227,DEMANDS!$G$2:$CK$25,MATCH($E227,DEMANDS!$E$2:$E$25,0),FALSE)/HLOOKUP(2018,DEMANDS!$G$2:$CK$25,MATCH($E227,DEMANDS!$E$2:$E$25,0),FALSE)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N227" s="36">
        <f>HLOOKUP(REG_TRA_DEMANDS!N$3,'BY-Demands'!$J$5:$AK$14,MATCH($E227,'BY-Demands'!$I$5:$I$14,0),FALSE)*HLOOKUP(REG_TRA_DEMANDS!$F227,DEMANDS!$G$2:$CK$25,MATCH($E227,DEMANDS!$E$2:$E$25,0),FALSE)/HLOOKUP(2018,DEMANDS!$G$2:$CK$25,MATCH($E227,DEMANDS!$E$2:$E$25,0),FALSE)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O227" s="36">
        <f>HLOOKUP(REG_TRA_DEMANDS!O$3,'BY-Demands'!$J$5:$AK$14,MATCH($E227,'BY-Demands'!$I$5:$I$14,0),FALSE)*HLOOKUP(REG_TRA_DEMANDS!$F227,DEMANDS!$G$2:$CK$25,MATCH($E227,DEMANDS!$E$2:$E$25,0),FALSE)/HLOOKUP(2018,DEMANDS!$G$2:$CK$25,MATCH($E227,DEMANDS!$E$2:$E$25,0),FALSE)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P227" s="36">
        <f>HLOOKUP(REG_TRA_DEMANDS!P$3,'BY-Demands'!$J$5:$AK$14,MATCH($E227,'BY-Demands'!$I$5:$I$14,0),FALSE)*HLOOKUP(REG_TRA_DEMANDS!$F227,DEMANDS!$G$2:$CK$25,MATCH($E227,DEMANDS!$E$2:$E$25,0),FALSE)/HLOOKUP(2018,DEMANDS!$G$2:$CK$25,MATCH($E227,DEMANDS!$E$2:$E$25,0),FALSE)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Q227" s="36">
        <f>HLOOKUP(REG_TRA_DEMANDS!Q$3,'BY-Demands'!$J$5:$AK$14,MATCH($E227,'BY-Demands'!$I$5:$I$14,0),FALSE)*HLOOKUP(REG_TRA_DEMANDS!$F227,DEMANDS!$G$2:$CK$25,MATCH($E227,DEMANDS!$E$2:$E$25,0),FALSE)/HLOOKUP(2018,DEMANDS!$G$2:$CK$25,MATCH($E227,DEMANDS!$E$2:$E$25,0),FALSE)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R227" s="36">
        <f>HLOOKUP(REG_TRA_DEMANDS!R$3,'BY-Demands'!$J$5:$AK$14,MATCH($E227,'BY-Demands'!$I$5:$I$14,0),FALSE)*HLOOKUP(REG_TRA_DEMANDS!$F227,DEMANDS!$G$2:$CK$25,MATCH($E227,DEMANDS!$E$2:$E$25,0),FALSE)/HLOOKUP(2018,DEMANDS!$G$2:$CK$25,MATCH($E227,DEMANDS!$E$2:$E$25,0),FALSE)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S227" s="19">
        <f>HLOOKUP(REG_TRA_DEMANDS!S$3,'BY-Demands'!$J$5:$AK$14,MATCH($E227,'BY-Demands'!$I$5:$I$14,0),FALSE)*HLOOKUP(REG_TRA_DEMANDS!$F227,DEMANDS!$G$2:$CK$25,MATCH($E227,DEMANDS!$E$2:$E$25,0),FALSE)/HLOOKUP(2018,DEMANDS!$G$2:$CK$25,MATCH($E227,DEMANDS!$E$2:$E$25,0),FALSE)</f>
        <v>2.6776134080592309</v>
      </c>
      <c r="T227" s="19">
        <f>HLOOKUP(REG_TRA_DEMANDS!T$3,'BY-Demands'!$J$5:$AK$14,MATCH($E227,'BY-Demands'!$I$5:$I$14,0),FALSE)*HLOOKUP(REG_TRA_DEMANDS!$F227,DEMANDS!$G$2:$CK$25,MATCH($E227,DEMANDS!$E$2:$E$25,0),FALSE)/HLOOKUP(2018,DEMANDS!$G$2:$CK$25,MATCH($E227,DEMANDS!$E$2:$E$25,0),FALSE)</f>
        <v>2.475771969960066</v>
      </c>
      <c r="U227" s="19">
        <f>HLOOKUP(REG_TRA_DEMANDS!U$3,'BY-Demands'!$J$5:$AK$14,MATCH($E227,'BY-Demands'!$I$5:$I$14,0),FALSE)*HLOOKUP(REG_TRA_DEMANDS!$F227,DEMANDS!$G$2:$CK$25,MATCH($E227,DEMANDS!$E$2:$E$25,0),FALSE)/HLOOKUP(2018,DEMANDS!$G$2:$CK$25,MATCH($E227,DEMANDS!$E$2:$E$25,0),FALSE)</f>
        <v>0.26979930445595135</v>
      </c>
      <c r="V227" s="36">
        <f>HLOOKUP(REG_TRA_DEMANDS!V$3,'BY-Demands'!$J$5:$AK$14,MATCH($E227,'BY-Demands'!$I$5:$I$14,0),FALSE)*HLOOKUP(REG_TRA_DEMANDS!$F227,DEMANDS!$G$2:$CK$25,MATCH($E227,DEMANDS!$E$2:$E$25,0),FALSE)/HLOOKUP(2018,DEMANDS!$G$2:$CK$25,MATCH($E227,DEMANDS!$E$2:$E$25,0),FALSE)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W227" s="36">
        <f>HLOOKUP(REG_TRA_DEMANDS!W$3,'BY-Demands'!$J$5:$AK$14,MATCH($E227,'BY-Demands'!$I$5:$I$14,0),FALSE)*HLOOKUP(REG_TRA_DEMANDS!$F227,DEMANDS!$G$2:$CK$25,MATCH($E227,DEMANDS!$E$2:$E$25,0),FALSE)/HLOOKUP(2018,DEMANDS!$G$2:$CK$25,MATCH($E227,DEMANDS!$E$2:$E$25,0),FALSE)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X227" s="36">
        <f>HLOOKUP(REG_TRA_DEMANDS!X$3,'BY-Demands'!$J$5:$AK$14,MATCH($E227,'BY-Demands'!$I$5:$I$14,0),FALSE)*HLOOKUP(REG_TRA_DEMANDS!$F227,DEMANDS!$G$2:$CK$25,MATCH($E227,DEMANDS!$E$2:$E$25,0),FALSE)/HLOOKUP(2018,DEMANDS!$G$2:$CK$25,MATCH($E227,DEMANDS!$E$2:$E$25,0),FALSE)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Y227" s="36">
        <f>HLOOKUP(REG_TRA_DEMANDS!Y$3,'BY-Demands'!$J$5:$AK$14,MATCH($E227,'BY-Demands'!$I$5:$I$14,0),FALSE)*HLOOKUP(REG_TRA_DEMANDS!$F227,DEMANDS!$G$2:$CK$25,MATCH($E227,DEMANDS!$E$2:$E$25,0),FALSE)/HLOOKUP(2018,DEMANDS!$G$2:$CK$25,MATCH($E227,DEMANDS!$E$2:$E$25,0),FALSE)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Z227" s="36">
        <f>HLOOKUP(REG_TRA_DEMANDS!Z$3,'BY-Demands'!$J$5:$AK$14,MATCH($E227,'BY-Demands'!$I$5:$I$14,0),FALSE)*HLOOKUP(REG_TRA_DEMANDS!$F227,DEMANDS!$G$2:$CK$25,MATCH($E227,DEMANDS!$E$2:$E$25,0),FALSE)/HLOOKUP(2018,DEMANDS!$G$2:$CK$25,MATCH($E227,DEMANDS!$E$2:$E$25,0),FALSE)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A227" s="19">
        <f>HLOOKUP(REG_TRA_DEMANDS!AA$3,'BY-Demands'!$J$5:$AK$14,MATCH($E227,'BY-Demands'!$I$5:$I$14,0),FALSE)*HLOOKUP(REG_TRA_DEMANDS!$F227,DEMANDS!$G$2:$CK$25,MATCH($E227,DEMANDS!$E$2:$E$25,0),FALSE)/HLOOKUP(2018,DEMANDS!$G$2:$CK$25,MATCH($E227,DEMANDS!$E$2:$E$25,0),FALSE)</f>
        <v>0.77025504977151926</v>
      </c>
      <c r="AB227" s="36">
        <f>HLOOKUP(REG_TRA_DEMANDS!AB$3,'BY-Demands'!$J$5:$AK$14,MATCH($E227,'BY-Demands'!$I$5:$I$14,0),FALSE)*HLOOKUP(REG_TRA_DEMANDS!$F227,DEMANDS!$G$2:$CK$25,MATCH($E227,DEMANDS!$E$2:$E$25,0),FALSE)/HLOOKUP(2018,DEMANDS!$G$2:$CK$25,MATCH($E227,DEMANDS!$E$2:$E$25,0),FALSE)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C227" s="36">
        <f>HLOOKUP(REG_TRA_DEMANDS!AC$3,'BY-Demands'!$J$5:$AK$14,MATCH($E227,'BY-Demands'!$I$5:$I$14,0),FALSE)*HLOOKUP(REG_TRA_DEMANDS!$F227,DEMANDS!$G$2:$CK$25,MATCH($E227,DEMANDS!$E$2:$E$25,0),FALSE)/HLOOKUP(2018,DEMANDS!$G$2:$CK$25,MATCH($E227,DEMANDS!$E$2:$E$25,0),FALSE)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D227" s="36">
        <f>HLOOKUP(REG_TRA_DEMANDS!AD$3,'BY-Demands'!$J$5:$AK$14,MATCH($E227,'BY-Demands'!$I$5:$I$14,0),FALSE)*HLOOKUP(REG_TRA_DEMANDS!$F227,DEMANDS!$G$2:$CK$25,MATCH($E227,DEMANDS!$E$2:$E$25,0),FALSE)/HLOOKUP(2018,DEMANDS!$G$2:$CK$25,MATCH($E227,DEMANDS!$E$2:$E$25,0),FALSE)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E227" s="36">
        <f>HLOOKUP(REG_TRA_DEMANDS!AE$3,'BY-Demands'!$J$5:$AK$14,MATCH($E227,'BY-Demands'!$I$5:$I$14,0),FALSE)*HLOOKUP(REG_TRA_DEMANDS!$F227,DEMANDS!$G$2:$CK$25,MATCH($E227,DEMANDS!$E$2:$E$25,0),FALSE)/HLOOKUP(2018,DEMANDS!$G$2:$CK$25,MATCH($E227,DEMANDS!$E$2:$E$25,0),FALSE)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F227" s="36">
        <f>HLOOKUP(REG_TRA_DEMANDS!AF$3,'BY-Demands'!$J$5:$AK$14,MATCH($E227,'BY-Demands'!$I$5:$I$14,0),FALSE)*HLOOKUP(REG_TRA_DEMANDS!$F227,DEMANDS!$G$2:$CK$25,MATCH($E227,DEMANDS!$E$2:$E$25,0),FALSE)/HLOOKUP(2018,DEMANDS!$G$2:$CK$25,MATCH($E227,DEMANDS!$E$2:$E$25,0),FALSE)</f>
        <v>0</v>
      </c>
    </row>
    <row r="228" spans="4:32" ht="14.5">
      <c r="D228" t="s">
        <v>6</v>
      </c>
      <c r="E228" t="str">
        <f>DEMANDS!$E$25</f>
        <v>TAVIINT</v>
      </c>
      <c r="F228">
        <v>2028</v>
      </c>
      <c r="G228" s="36">
        <f>HLOOKUP(REG_TRA_DEMANDS!G$3,'BY-Demands'!$J$5:$AK$14,MATCH($E228,'BY-Demands'!$I$5:$I$14,0),FALSE)*HLOOKUP(REG_TRA_DEMANDS!$F228,DEMANDS!$G$2:$CK$25,MATCH($E228,DEMANDS!$E$2:$E$25,0),FALSE)/HLOOKUP(2018,DEMANDS!$G$2:$CK$25,MATCH($E228,DEMANDS!$E$2:$E$25,0),FALSE)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H228" s="19">
        <f>HLOOKUP(REG_TRA_DEMANDS!H$3,'BY-Demands'!$J$5:$AK$14,MATCH($E228,'BY-Demands'!$I$5:$I$14,0),FALSE)*HLOOKUP(REG_TRA_DEMANDS!$F228,DEMANDS!$G$2:$CK$25,MATCH($E228,DEMANDS!$E$2:$E$25,0),FALSE)/HLOOKUP(2018,DEMANDS!$G$2:$CK$25,MATCH($E228,DEMANDS!$E$2:$E$25,0),FALSE)</f>
        <v>45.752957179702605</v>
      </c>
      <c r="I228" s="36">
        <f>HLOOKUP(REG_TRA_DEMANDS!I$3,'BY-Demands'!$J$5:$AK$14,MATCH($E228,'BY-Demands'!$I$5:$I$14,0),FALSE)*HLOOKUP(REG_TRA_DEMANDS!$F228,DEMANDS!$G$2:$CK$25,MATCH($E228,DEMANDS!$E$2:$E$25,0),FALSE)/HLOOKUP(2018,DEMANDS!$G$2:$CK$25,MATCH($E228,DEMANDS!$E$2:$E$25,0),FALSE)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J228" s="36">
        <f>HLOOKUP(REG_TRA_DEMANDS!J$3,'BY-Demands'!$J$5:$AK$14,MATCH($E228,'BY-Demands'!$I$5:$I$14,0),FALSE)*HLOOKUP(REG_TRA_DEMANDS!$F228,DEMANDS!$G$2:$CK$25,MATCH($E228,DEMANDS!$E$2:$E$25,0),FALSE)/HLOOKUP(2018,DEMANDS!$G$2:$CK$25,MATCH($E228,DEMANDS!$E$2:$E$25,0),FALSE)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K228" s="36">
        <f>HLOOKUP(REG_TRA_DEMANDS!K$3,'BY-Demands'!$J$5:$AK$14,MATCH($E228,'BY-Demands'!$I$5:$I$14,0),FALSE)*HLOOKUP(REG_TRA_DEMANDS!$F228,DEMANDS!$G$2:$CK$25,MATCH($E228,DEMANDS!$E$2:$E$25,0),FALSE)/HLOOKUP(2018,DEMANDS!$G$2:$CK$25,MATCH($E228,DEMANDS!$E$2:$E$25,0),FALSE)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L228" s="36">
        <f>HLOOKUP(REG_TRA_DEMANDS!L$3,'BY-Demands'!$J$5:$AK$14,MATCH($E228,'BY-Demands'!$I$5:$I$14,0),FALSE)*HLOOKUP(REG_TRA_DEMANDS!$F228,DEMANDS!$G$2:$CK$25,MATCH($E228,DEMANDS!$E$2:$E$25,0),FALSE)/HLOOKUP(2018,DEMANDS!$G$2:$CK$25,MATCH($E228,DEMANDS!$E$2:$E$25,0),FALSE)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M228" s="36">
        <f>HLOOKUP(REG_TRA_DEMANDS!M$3,'BY-Demands'!$J$5:$AK$14,MATCH($E228,'BY-Demands'!$I$5:$I$14,0),FALSE)*HLOOKUP(REG_TRA_DEMANDS!$F228,DEMANDS!$G$2:$CK$25,MATCH($E228,DEMANDS!$E$2:$E$25,0),FALSE)/HLOOKUP(2018,DEMANDS!$G$2:$CK$25,MATCH($E228,DEMANDS!$E$2:$E$25,0),FALSE)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N228" s="36">
        <f>HLOOKUP(REG_TRA_DEMANDS!N$3,'BY-Demands'!$J$5:$AK$14,MATCH($E228,'BY-Demands'!$I$5:$I$14,0),FALSE)*HLOOKUP(REG_TRA_DEMANDS!$F228,DEMANDS!$G$2:$CK$25,MATCH($E228,DEMANDS!$E$2:$E$25,0),FALSE)/HLOOKUP(2018,DEMANDS!$G$2:$CK$25,MATCH($E228,DEMANDS!$E$2:$E$25,0),FALSE)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O228" s="36">
        <f>HLOOKUP(REG_TRA_DEMANDS!O$3,'BY-Demands'!$J$5:$AK$14,MATCH($E228,'BY-Demands'!$I$5:$I$14,0),FALSE)*HLOOKUP(REG_TRA_DEMANDS!$F228,DEMANDS!$G$2:$CK$25,MATCH($E228,DEMANDS!$E$2:$E$25,0),FALSE)/HLOOKUP(2018,DEMANDS!$G$2:$CK$25,MATCH($E228,DEMANDS!$E$2:$E$25,0),FALSE)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P228" s="36">
        <f>HLOOKUP(REG_TRA_DEMANDS!P$3,'BY-Demands'!$J$5:$AK$14,MATCH($E228,'BY-Demands'!$I$5:$I$14,0),FALSE)*HLOOKUP(REG_TRA_DEMANDS!$F228,DEMANDS!$G$2:$CK$25,MATCH($E228,DEMANDS!$E$2:$E$25,0),FALSE)/HLOOKUP(2018,DEMANDS!$G$2:$CK$25,MATCH($E228,DEMANDS!$E$2:$E$25,0),FALSE)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Q228" s="36">
        <f>HLOOKUP(REG_TRA_DEMANDS!Q$3,'BY-Demands'!$J$5:$AK$14,MATCH($E228,'BY-Demands'!$I$5:$I$14,0),FALSE)*HLOOKUP(REG_TRA_DEMANDS!$F228,DEMANDS!$G$2:$CK$25,MATCH($E228,DEMANDS!$E$2:$E$25,0),FALSE)/HLOOKUP(2018,DEMANDS!$G$2:$CK$25,MATCH($E228,DEMANDS!$E$2:$E$25,0),FALSE)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R228" s="36">
        <f>HLOOKUP(REG_TRA_DEMANDS!R$3,'BY-Demands'!$J$5:$AK$14,MATCH($E228,'BY-Demands'!$I$5:$I$14,0),FALSE)*HLOOKUP(REG_TRA_DEMANDS!$F228,DEMANDS!$G$2:$CK$25,MATCH($E228,DEMANDS!$E$2:$E$25,0),FALSE)/HLOOKUP(2018,DEMANDS!$G$2:$CK$25,MATCH($E228,DEMANDS!$E$2:$E$25,0),FALSE)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S228" s="19">
        <f>HLOOKUP(REG_TRA_DEMANDS!S$3,'BY-Demands'!$J$5:$AK$14,MATCH($E228,'BY-Demands'!$I$5:$I$14,0),FALSE)*HLOOKUP(REG_TRA_DEMANDS!$F228,DEMANDS!$G$2:$CK$25,MATCH($E228,DEMANDS!$E$2:$E$25,0),FALSE)/HLOOKUP(2018,DEMANDS!$G$2:$CK$25,MATCH($E228,DEMANDS!$E$2:$E$25,0),FALSE)</f>
        <v>2.709084167314399</v>
      </c>
      <c r="T228" s="19">
        <f>HLOOKUP(REG_TRA_DEMANDS!T$3,'BY-Demands'!$J$5:$AK$14,MATCH($E228,'BY-Demands'!$I$5:$I$14,0),FALSE)*HLOOKUP(REG_TRA_DEMANDS!$F228,DEMANDS!$G$2:$CK$25,MATCH($E228,DEMANDS!$E$2:$E$25,0),FALSE)/HLOOKUP(2018,DEMANDS!$G$2:$CK$25,MATCH($E228,DEMANDS!$E$2:$E$25,0),FALSE)</f>
        <v>2.5048704288349715</v>
      </c>
      <c r="U228" s="19">
        <f>HLOOKUP(REG_TRA_DEMANDS!U$3,'BY-Demands'!$J$5:$AK$14,MATCH($E228,'BY-Demands'!$I$5:$I$14,0),FALSE)*HLOOKUP(REG_TRA_DEMANDS!$F228,DEMANDS!$G$2:$CK$25,MATCH($E228,DEMANDS!$E$2:$E$25,0),FALSE)/HLOOKUP(2018,DEMANDS!$G$2:$CK$25,MATCH($E228,DEMANDS!$E$2:$E$25,0),FALSE)</f>
        <v>0.27297033315344332</v>
      </c>
      <c r="V228" s="36">
        <f>HLOOKUP(REG_TRA_DEMANDS!V$3,'BY-Demands'!$J$5:$AK$14,MATCH($E228,'BY-Demands'!$I$5:$I$14,0),FALSE)*HLOOKUP(REG_TRA_DEMANDS!$F228,DEMANDS!$G$2:$CK$25,MATCH($E228,DEMANDS!$E$2:$E$25,0),FALSE)/HLOOKUP(2018,DEMANDS!$G$2:$CK$25,MATCH($E228,DEMANDS!$E$2:$E$25,0),FALSE)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W228" s="36">
        <f>HLOOKUP(REG_TRA_DEMANDS!W$3,'BY-Demands'!$J$5:$AK$14,MATCH($E228,'BY-Demands'!$I$5:$I$14,0),FALSE)*HLOOKUP(REG_TRA_DEMANDS!$F228,DEMANDS!$G$2:$CK$25,MATCH($E228,DEMANDS!$E$2:$E$25,0),FALSE)/HLOOKUP(2018,DEMANDS!$G$2:$CK$25,MATCH($E228,DEMANDS!$E$2:$E$25,0),FALSE)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X228" s="36">
        <f>HLOOKUP(REG_TRA_DEMANDS!X$3,'BY-Demands'!$J$5:$AK$14,MATCH($E228,'BY-Demands'!$I$5:$I$14,0),FALSE)*HLOOKUP(REG_TRA_DEMANDS!$F228,DEMANDS!$G$2:$CK$25,MATCH($E228,DEMANDS!$E$2:$E$25,0),FALSE)/HLOOKUP(2018,DEMANDS!$G$2:$CK$25,MATCH($E228,DEMANDS!$E$2:$E$25,0),FALSE)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Y228" s="36">
        <f>HLOOKUP(REG_TRA_DEMANDS!Y$3,'BY-Demands'!$J$5:$AK$14,MATCH($E228,'BY-Demands'!$I$5:$I$14,0),FALSE)*HLOOKUP(REG_TRA_DEMANDS!$F228,DEMANDS!$G$2:$CK$25,MATCH($E228,DEMANDS!$E$2:$E$25,0),FALSE)/HLOOKUP(2018,DEMANDS!$G$2:$CK$25,MATCH($E228,DEMANDS!$E$2:$E$25,0),FALSE)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Z228" s="36">
        <f>HLOOKUP(REG_TRA_DEMANDS!Z$3,'BY-Demands'!$J$5:$AK$14,MATCH($E228,'BY-Demands'!$I$5:$I$14,0),FALSE)*HLOOKUP(REG_TRA_DEMANDS!$F228,DEMANDS!$G$2:$CK$25,MATCH($E228,DEMANDS!$E$2:$E$25,0),FALSE)/HLOOKUP(2018,DEMANDS!$G$2:$CK$25,MATCH($E228,DEMANDS!$E$2:$E$25,0),FALSE)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A228" s="19">
        <f>HLOOKUP(REG_TRA_DEMANDS!AA$3,'BY-Demands'!$J$5:$AK$14,MATCH($E228,'BY-Demands'!$I$5:$I$14,0),FALSE)*HLOOKUP(REG_TRA_DEMANDS!$F228,DEMANDS!$G$2:$CK$25,MATCH($E228,DEMANDS!$E$2:$E$25,0),FALSE)/HLOOKUP(2018,DEMANDS!$G$2:$CK$25,MATCH($E228,DEMANDS!$E$2:$E$25,0),FALSE)</f>
        <v>0.77930807854836825</v>
      </c>
      <c r="AB228" s="36">
        <f>HLOOKUP(REG_TRA_DEMANDS!AB$3,'BY-Demands'!$J$5:$AK$14,MATCH($E228,'BY-Demands'!$I$5:$I$14,0),FALSE)*HLOOKUP(REG_TRA_DEMANDS!$F228,DEMANDS!$G$2:$CK$25,MATCH($E228,DEMANDS!$E$2:$E$25,0),FALSE)/HLOOKUP(2018,DEMANDS!$G$2:$CK$25,MATCH($E228,DEMANDS!$E$2:$E$25,0),FALSE)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C228" s="36">
        <f>HLOOKUP(REG_TRA_DEMANDS!AC$3,'BY-Demands'!$J$5:$AK$14,MATCH($E228,'BY-Demands'!$I$5:$I$14,0),FALSE)*HLOOKUP(REG_TRA_DEMANDS!$F228,DEMANDS!$G$2:$CK$25,MATCH($E228,DEMANDS!$E$2:$E$25,0),FALSE)/HLOOKUP(2018,DEMANDS!$G$2:$CK$25,MATCH($E228,DEMANDS!$E$2:$E$25,0),FALSE)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D228" s="36">
        <f>HLOOKUP(REG_TRA_DEMANDS!AD$3,'BY-Demands'!$J$5:$AK$14,MATCH($E228,'BY-Demands'!$I$5:$I$14,0),FALSE)*HLOOKUP(REG_TRA_DEMANDS!$F228,DEMANDS!$G$2:$CK$25,MATCH($E228,DEMANDS!$E$2:$E$25,0),FALSE)/HLOOKUP(2018,DEMANDS!$G$2:$CK$25,MATCH($E228,DEMANDS!$E$2:$E$25,0),FALSE)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E228" s="36">
        <f>HLOOKUP(REG_TRA_DEMANDS!AE$3,'BY-Demands'!$J$5:$AK$14,MATCH($E228,'BY-Demands'!$I$5:$I$14,0),FALSE)*HLOOKUP(REG_TRA_DEMANDS!$F228,DEMANDS!$G$2:$CK$25,MATCH($E228,DEMANDS!$E$2:$E$25,0),FALSE)/HLOOKUP(2018,DEMANDS!$G$2:$CK$25,MATCH($E228,DEMANDS!$E$2:$E$25,0),FALSE)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F228" s="36">
        <f>HLOOKUP(REG_TRA_DEMANDS!AF$3,'BY-Demands'!$J$5:$AK$14,MATCH($E228,'BY-Demands'!$I$5:$I$14,0),FALSE)*HLOOKUP(REG_TRA_DEMANDS!$F228,DEMANDS!$G$2:$CK$25,MATCH($E228,DEMANDS!$E$2:$E$25,0),FALSE)/HLOOKUP(2018,DEMANDS!$G$2:$CK$25,MATCH($E228,DEMANDS!$E$2:$E$25,0),FALSE)</f>
        <v>0</v>
      </c>
    </row>
    <row r="229" spans="4:32" ht="14.5">
      <c r="D229" t="s">
        <v>6</v>
      </c>
      <c r="E229" t="str">
        <f>DEMANDS!$E$25</f>
        <v>TAVIINT</v>
      </c>
      <c r="F229">
        <v>2029</v>
      </c>
      <c r="G229" s="36">
        <f>HLOOKUP(REG_TRA_DEMANDS!G$3,'BY-Demands'!$J$5:$AK$14,MATCH($E229,'BY-Demands'!$I$5:$I$14,0),FALSE)*HLOOKUP(REG_TRA_DEMANDS!$F229,DEMANDS!$G$2:$CK$25,MATCH($E229,DEMANDS!$E$2:$E$25,0),FALSE)/HLOOKUP(2018,DEMANDS!$G$2:$CK$25,MATCH($E229,DEMANDS!$E$2:$E$25,0),FALSE)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H229" s="19">
        <f>HLOOKUP(REG_TRA_DEMANDS!H$3,'BY-Demands'!$J$5:$AK$14,MATCH($E229,'BY-Demands'!$I$5:$I$14,0),FALSE)*HLOOKUP(REG_TRA_DEMANDS!$F229,DEMANDS!$G$2:$CK$25,MATCH($E229,DEMANDS!$E$2:$E$25,0),FALSE)/HLOOKUP(2018,DEMANDS!$G$2:$CK$25,MATCH($E229,DEMANDS!$E$2:$E$25,0),FALSE)</f>
        <v>46.273826648167663</v>
      </c>
      <c r="I229" s="36">
        <f>HLOOKUP(REG_TRA_DEMANDS!I$3,'BY-Demands'!$J$5:$AK$14,MATCH($E229,'BY-Demands'!$I$5:$I$14,0),FALSE)*HLOOKUP(REG_TRA_DEMANDS!$F229,DEMANDS!$G$2:$CK$25,MATCH($E229,DEMANDS!$E$2:$E$25,0),FALSE)/HLOOKUP(2018,DEMANDS!$G$2:$CK$25,MATCH($E229,DEMANDS!$E$2:$E$25,0),FALSE)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J229" s="36">
        <f>HLOOKUP(REG_TRA_DEMANDS!J$3,'BY-Demands'!$J$5:$AK$14,MATCH($E229,'BY-Demands'!$I$5:$I$14,0),FALSE)*HLOOKUP(REG_TRA_DEMANDS!$F229,DEMANDS!$G$2:$CK$25,MATCH($E229,DEMANDS!$E$2:$E$25,0),FALSE)/HLOOKUP(2018,DEMANDS!$G$2:$CK$25,MATCH($E229,DEMANDS!$E$2:$E$25,0),FALSE)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K229" s="36">
        <f>HLOOKUP(REG_TRA_DEMANDS!K$3,'BY-Demands'!$J$5:$AK$14,MATCH($E229,'BY-Demands'!$I$5:$I$14,0),FALSE)*HLOOKUP(REG_TRA_DEMANDS!$F229,DEMANDS!$G$2:$CK$25,MATCH($E229,DEMANDS!$E$2:$E$25,0),FALSE)/HLOOKUP(2018,DEMANDS!$G$2:$CK$25,MATCH($E229,DEMANDS!$E$2:$E$25,0),FALSE)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L229" s="36">
        <f>HLOOKUP(REG_TRA_DEMANDS!L$3,'BY-Demands'!$J$5:$AK$14,MATCH($E229,'BY-Demands'!$I$5:$I$14,0),FALSE)*HLOOKUP(REG_TRA_DEMANDS!$F229,DEMANDS!$G$2:$CK$25,MATCH($E229,DEMANDS!$E$2:$E$25,0),FALSE)/HLOOKUP(2018,DEMANDS!$G$2:$CK$25,MATCH($E229,DEMANDS!$E$2:$E$25,0),FALSE)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M229" s="36">
        <f>HLOOKUP(REG_TRA_DEMANDS!M$3,'BY-Demands'!$J$5:$AK$14,MATCH($E229,'BY-Demands'!$I$5:$I$14,0),FALSE)*HLOOKUP(REG_TRA_DEMANDS!$F229,DEMANDS!$G$2:$CK$25,MATCH($E229,DEMANDS!$E$2:$E$25,0),FALSE)/HLOOKUP(2018,DEMANDS!$G$2:$CK$25,MATCH($E229,DEMANDS!$E$2:$E$25,0),FALSE)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N229" s="36">
        <f>HLOOKUP(REG_TRA_DEMANDS!N$3,'BY-Demands'!$J$5:$AK$14,MATCH($E229,'BY-Demands'!$I$5:$I$14,0),FALSE)*HLOOKUP(REG_TRA_DEMANDS!$F229,DEMANDS!$G$2:$CK$25,MATCH($E229,DEMANDS!$E$2:$E$25,0),FALSE)/HLOOKUP(2018,DEMANDS!$G$2:$CK$25,MATCH($E229,DEMANDS!$E$2:$E$25,0),FALSE)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O229" s="36">
        <f>HLOOKUP(REG_TRA_DEMANDS!O$3,'BY-Demands'!$J$5:$AK$14,MATCH($E229,'BY-Demands'!$I$5:$I$14,0),FALSE)*HLOOKUP(REG_TRA_DEMANDS!$F229,DEMANDS!$G$2:$CK$25,MATCH($E229,DEMANDS!$E$2:$E$25,0),FALSE)/HLOOKUP(2018,DEMANDS!$G$2:$CK$25,MATCH($E229,DEMANDS!$E$2:$E$25,0),FALSE)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P229" s="36">
        <f>HLOOKUP(REG_TRA_DEMANDS!P$3,'BY-Demands'!$J$5:$AK$14,MATCH($E229,'BY-Demands'!$I$5:$I$14,0),FALSE)*HLOOKUP(REG_TRA_DEMANDS!$F229,DEMANDS!$G$2:$CK$25,MATCH($E229,DEMANDS!$E$2:$E$25,0),FALSE)/HLOOKUP(2018,DEMANDS!$G$2:$CK$25,MATCH($E229,DEMANDS!$E$2:$E$25,0),FALSE)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Q229" s="36">
        <f>HLOOKUP(REG_TRA_DEMANDS!Q$3,'BY-Demands'!$J$5:$AK$14,MATCH($E229,'BY-Demands'!$I$5:$I$14,0),FALSE)*HLOOKUP(REG_TRA_DEMANDS!$F229,DEMANDS!$G$2:$CK$25,MATCH($E229,DEMANDS!$E$2:$E$25,0),FALSE)/HLOOKUP(2018,DEMANDS!$G$2:$CK$25,MATCH($E229,DEMANDS!$E$2:$E$25,0),FALSE)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R229" s="36">
        <f>HLOOKUP(REG_TRA_DEMANDS!R$3,'BY-Demands'!$J$5:$AK$14,MATCH($E229,'BY-Demands'!$I$5:$I$14,0),FALSE)*HLOOKUP(REG_TRA_DEMANDS!$F229,DEMANDS!$G$2:$CK$25,MATCH($E229,DEMANDS!$E$2:$E$25,0),FALSE)/HLOOKUP(2018,DEMANDS!$G$2:$CK$25,MATCH($E229,DEMANDS!$E$2:$E$25,0),FALSE)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S229" s="19">
        <f>HLOOKUP(REG_TRA_DEMANDS!S$3,'BY-Demands'!$J$5:$AK$14,MATCH($E229,'BY-Demands'!$I$5:$I$14,0),FALSE)*HLOOKUP(REG_TRA_DEMANDS!$F229,DEMANDS!$G$2:$CK$25,MATCH($E229,DEMANDS!$E$2:$E$25,0),FALSE)/HLOOKUP(2018,DEMANDS!$G$2:$CK$25,MATCH($E229,DEMANDS!$E$2:$E$25,0),FALSE)</f>
        <v>2.7399254356659486</v>
      </c>
      <c r="T229" s="19">
        <f>HLOOKUP(REG_TRA_DEMANDS!T$3,'BY-Demands'!$J$5:$AK$14,MATCH($E229,'BY-Demands'!$I$5:$I$14,0),FALSE)*HLOOKUP(REG_TRA_DEMANDS!$F229,DEMANDS!$G$2:$CK$25,MATCH($E229,DEMANDS!$E$2:$E$25,0),FALSE)/HLOOKUP(2018,DEMANDS!$G$2:$CK$25,MATCH($E229,DEMANDS!$E$2:$E$25,0),FALSE)</f>
        <v>2.5333868485216078</v>
      </c>
      <c r="U229" s="19">
        <f>HLOOKUP(REG_TRA_DEMANDS!U$3,'BY-Demands'!$J$5:$AK$14,MATCH($E229,'BY-Demands'!$I$5:$I$14,0),FALSE)*HLOOKUP(REG_TRA_DEMANDS!$F229,DEMANDS!$G$2:$CK$25,MATCH($E229,DEMANDS!$E$2:$E$25,0),FALSE)/HLOOKUP(2018,DEMANDS!$G$2:$CK$25,MATCH($E229,DEMANDS!$E$2:$E$25,0),FALSE)</f>
        <v>0.27607793364750366</v>
      </c>
      <c r="V229" s="36">
        <f>HLOOKUP(REG_TRA_DEMANDS!V$3,'BY-Demands'!$J$5:$AK$14,MATCH($E229,'BY-Demands'!$I$5:$I$14,0),FALSE)*HLOOKUP(REG_TRA_DEMANDS!$F229,DEMANDS!$G$2:$CK$25,MATCH($E229,DEMANDS!$E$2:$E$25,0),FALSE)/HLOOKUP(2018,DEMANDS!$G$2:$CK$25,MATCH($E229,DEMANDS!$E$2:$E$25,0),FALSE)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W229" s="36">
        <f>HLOOKUP(REG_TRA_DEMANDS!W$3,'BY-Demands'!$J$5:$AK$14,MATCH($E229,'BY-Demands'!$I$5:$I$14,0),FALSE)*HLOOKUP(REG_TRA_DEMANDS!$F229,DEMANDS!$G$2:$CK$25,MATCH($E229,DEMANDS!$E$2:$E$25,0),FALSE)/HLOOKUP(2018,DEMANDS!$G$2:$CK$25,MATCH($E229,DEMANDS!$E$2:$E$25,0),FALSE)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X229" s="36">
        <f>HLOOKUP(REG_TRA_DEMANDS!X$3,'BY-Demands'!$J$5:$AK$14,MATCH($E229,'BY-Demands'!$I$5:$I$14,0),FALSE)*HLOOKUP(REG_TRA_DEMANDS!$F229,DEMANDS!$G$2:$CK$25,MATCH($E229,DEMANDS!$E$2:$E$25,0),FALSE)/HLOOKUP(2018,DEMANDS!$G$2:$CK$25,MATCH($E229,DEMANDS!$E$2:$E$25,0),FALSE)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Y229" s="36">
        <f>HLOOKUP(REG_TRA_DEMANDS!Y$3,'BY-Demands'!$J$5:$AK$14,MATCH($E229,'BY-Demands'!$I$5:$I$14,0),FALSE)*HLOOKUP(REG_TRA_DEMANDS!$F229,DEMANDS!$G$2:$CK$25,MATCH($E229,DEMANDS!$E$2:$E$25,0),FALSE)/HLOOKUP(2018,DEMANDS!$G$2:$CK$25,MATCH($E229,DEMANDS!$E$2:$E$25,0),FALSE)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Z229" s="36">
        <f>HLOOKUP(REG_TRA_DEMANDS!Z$3,'BY-Demands'!$J$5:$AK$14,MATCH($E229,'BY-Demands'!$I$5:$I$14,0),FALSE)*HLOOKUP(REG_TRA_DEMANDS!$F229,DEMANDS!$G$2:$CK$25,MATCH($E229,DEMANDS!$E$2:$E$25,0),FALSE)/HLOOKUP(2018,DEMANDS!$G$2:$CK$25,MATCH($E229,DEMANDS!$E$2:$E$25,0),FALSE)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A229" s="19">
        <f>HLOOKUP(REG_TRA_DEMANDS!AA$3,'BY-Demands'!$J$5:$AK$14,MATCH($E229,'BY-Demands'!$I$5:$I$14,0),FALSE)*HLOOKUP(REG_TRA_DEMANDS!$F229,DEMANDS!$G$2:$CK$25,MATCH($E229,DEMANDS!$E$2:$E$25,0),FALSE)/HLOOKUP(2018,DEMANDS!$G$2:$CK$25,MATCH($E229,DEMANDS!$E$2:$E$25,0),FALSE)</f>
        <v>0.78818002496813089</v>
      </c>
      <c r="AB229" s="36">
        <f>HLOOKUP(REG_TRA_DEMANDS!AB$3,'BY-Demands'!$J$5:$AK$14,MATCH($E229,'BY-Demands'!$I$5:$I$14,0),FALSE)*HLOOKUP(REG_TRA_DEMANDS!$F229,DEMANDS!$G$2:$CK$25,MATCH($E229,DEMANDS!$E$2:$E$25,0),FALSE)/HLOOKUP(2018,DEMANDS!$G$2:$CK$25,MATCH($E229,DEMANDS!$E$2:$E$25,0),FALSE)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C229" s="36">
        <f>HLOOKUP(REG_TRA_DEMANDS!AC$3,'BY-Demands'!$J$5:$AK$14,MATCH($E229,'BY-Demands'!$I$5:$I$14,0),FALSE)*HLOOKUP(REG_TRA_DEMANDS!$F229,DEMANDS!$G$2:$CK$25,MATCH($E229,DEMANDS!$E$2:$E$25,0),FALSE)/HLOOKUP(2018,DEMANDS!$G$2:$CK$25,MATCH($E229,DEMANDS!$E$2:$E$25,0),FALSE)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D229" s="36">
        <f>HLOOKUP(REG_TRA_DEMANDS!AD$3,'BY-Demands'!$J$5:$AK$14,MATCH($E229,'BY-Demands'!$I$5:$I$14,0),FALSE)*HLOOKUP(REG_TRA_DEMANDS!$F229,DEMANDS!$G$2:$CK$25,MATCH($E229,DEMANDS!$E$2:$E$25,0),FALSE)/HLOOKUP(2018,DEMANDS!$G$2:$CK$25,MATCH($E229,DEMANDS!$E$2:$E$25,0),FALSE)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E229" s="36">
        <f>HLOOKUP(REG_TRA_DEMANDS!AE$3,'BY-Demands'!$J$5:$AK$14,MATCH($E229,'BY-Demands'!$I$5:$I$14,0),FALSE)*HLOOKUP(REG_TRA_DEMANDS!$F229,DEMANDS!$G$2:$CK$25,MATCH($E229,DEMANDS!$E$2:$E$25,0),FALSE)/HLOOKUP(2018,DEMANDS!$G$2:$CK$25,MATCH($E229,DEMANDS!$E$2:$E$25,0),FALSE)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F229" s="36">
        <f>HLOOKUP(REG_TRA_DEMANDS!AF$3,'BY-Demands'!$J$5:$AK$14,MATCH($E229,'BY-Demands'!$I$5:$I$14,0),FALSE)*HLOOKUP(REG_TRA_DEMANDS!$F229,DEMANDS!$G$2:$CK$25,MATCH($E229,DEMANDS!$E$2:$E$25,0),FALSE)/HLOOKUP(2018,DEMANDS!$G$2:$CK$25,MATCH($E229,DEMANDS!$E$2:$E$25,0),FALSE)</f>
        <v>0</v>
      </c>
    </row>
    <row r="230" spans="4:32" ht="14.5">
      <c r="D230" t="s">
        <v>6</v>
      </c>
      <c r="E230" t="str">
        <f>DEMANDS!$E$25</f>
        <v>TAVIINT</v>
      </c>
      <c r="F230">
        <v>2030</v>
      </c>
      <c r="G230" s="36">
        <f>HLOOKUP(REG_TRA_DEMANDS!G$3,'BY-Demands'!$J$5:$AK$14,MATCH($E230,'BY-Demands'!$I$5:$I$14,0),FALSE)*HLOOKUP(REG_TRA_DEMANDS!$F230,DEMANDS!$G$2:$CK$25,MATCH($E230,DEMANDS!$E$2:$E$25,0),FALSE)/HLOOKUP(2018,DEMANDS!$G$2:$CK$25,MATCH($E230,DEMANDS!$E$2:$E$25,0),FALSE)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H230" s="19">
        <f>HLOOKUP(REG_TRA_DEMANDS!H$3,'BY-Demands'!$J$5:$AK$14,MATCH($E230,'BY-Demands'!$I$5:$I$14,0),FALSE)*HLOOKUP(REG_TRA_DEMANDS!$F230,DEMANDS!$G$2:$CK$25,MATCH($E230,DEMANDS!$E$2:$E$25,0),FALSE)/HLOOKUP(2018,DEMANDS!$G$2:$CK$25,MATCH($E230,DEMANDS!$E$2:$E$25,0),FALSE)</f>
        <v>46.784277464310094</v>
      </c>
      <c r="I230" s="36">
        <f>HLOOKUP(REG_TRA_DEMANDS!I$3,'BY-Demands'!$J$5:$AK$14,MATCH($E230,'BY-Demands'!$I$5:$I$14,0),FALSE)*HLOOKUP(REG_TRA_DEMANDS!$F230,DEMANDS!$G$2:$CK$25,MATCH($E230,DEMANDS!$E$2:$E$25,0),FALSE)/HLOOKUP(2018,DEMANDS!$G$2:$CK$25,MATCH($E230,DEMANDS!$E$2:$E$25,0),FALSE)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J230" s="36">
        <f>HLOOKUP(REG_TRA_DEMANDS!J$3,'BY-Demands'!$J$5:$AK$14,MATCH($E230,'BY-Demands'!$I$5:$I$14,0),FALSE)*HLOOKUP(REG_TRA_DEMANDS!$F230,DEMANDS!$G$2:$CK$25,MATCH($E230,DEMANDS!$E$2:$E$25,0),FALSE)/HLOOKUP(2018,DEMANDS!$G$2:$CK$25,MATCH($E230,DEMANDS!$E$2:$E$25,0),FALSE)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K230" s="36">
        <f>HLOOKUP(REG_TRA_DEMANDS!K$3,'BY-Demands'!$J$5:$AK$14,MATCH($E230,'BY-Demands'!$I$5:$I$14,0),FALSE)*HLOOKUP(REG_TRA_DEMANDS!$F230,DEMANDS!$G$2:$CK$25,MATCH($E230,DEMANDS!$E$2:$E$25,0),FALSE)/HLOOKUP(2018,DEMANDS!$G$2:$CK$25,MATCH($E230,DEMANDS!$E$2:$E$25,0),FALSE)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L230" s="36">
        <f>HLOOKUP(REG_TRA_DEMANDS!L$3,'BY-Demands'!$J$5:$AK$14,MATCH($E230,'BY-Demands'!$I$5:$I$14,0),FALSE)*HLOOKUP(REG_TRA_DEMANDS!$F230,DEMANDS!$G$2:$CK$25,MATCH($E230,DEMANDS!$E$2:$E$25,0),FALSE)/HLOOKUP(2018,DEMANDS!$G$2:$CK$25,MATCH($E230,DEMANDS!$E$2:$E$25,0),FALSE)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M230" s="36">
        <f>HLOOKUP(REG_TRA_DEMANDS!M$3,'BY-Demands'!$J$5:$AK$14,MATCH($E230,'BY-Demands'!$I$5:$I$14,0),FALSE)*HLOOKUP(REG_TRA_DEMANDS!$F230,DEMANDS!$G$2:$CK$25,MATCH($E230,DEMANDS!$E$2:$E$25,0),FALSE)/HLOOKUP(2018,DEMANDS!$G$2:$CK$25,MATCH($E230,DEMANDS!$E$2:$E$25,0),FALSE)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N230" s="36">
        <f>HLOOKUP(REG_TRA_DEMANDS!N$3,'BY-Demands'!$J$5:$AK$14,MATCH($E230,'BY-Demands'!$I$5:$I$14,0),FALSE)*HLOOKUP(REG_TRA_DEMANDS!$F230,DEMANDS!$G$2:$CK$25,MATCH($E230,DEMANDS!$E$2:$E$25,0),FALSE)/HLOOKUP(2018,DEMANDS!$G$2:$CK$25,MATCH($E230,DEMANDS!$E$2:$E$25,0),FALSE)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O230" s="36">
        <f>HLOOKUP(REG_TRA_DEMANDS!O$3,'BY-Demands'!$J$5:$AK$14,MATCH($E230,'BY-Demands'!$I$5:$I$14,0),FALSE)*HLOOKUP(REG_TRA_DEMANDS!$F230,DEMANDS!$G$2:$CK$25,MATCH($E230,DEMANDS!$E$2:$E$25,0),FALSE)/HLOOKUP(2018,DEMANDS!$G$2:$CK$25,MATCH($E230,DEMANDS!$E$2:$E$25,0),FALSE)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P230" s="36">
        <f>HLOOKUP(REG_TRA_DEMANDS!P$3,'BY-Demands'!$J$5:$AK$14,MATCH($E230,'BY-Demands'!$I$5:$I$14,0),FALSE)*HLOOKUP(REG_TRA_DEMANDS!$F230,DEMANDS!$G$2:$CK$25,MATCH($E230,DEMANDS!$E$2:$E$25,0),FALSE)/HLOOKUP(2018,DEMANDS!$G$2:$CK$25,MATCH($E230,DEMANDS!$E$2:$E$25,0),FALSE)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Q230" s="36">
        <f>HLOOKUP(REG_TRA_DEMANDS!Q$3,'BY-Demands'!$J$5:$AK$14,MATCH($E230,'BY-Demands'!$I$5:$I$14,0),FALSE)*HLOOKUP(REG_TRA_DEMANDS!$F230,DEMANDS!$G$2:$CK$25,MATCH($E230,DEMANDS!$E$2:$E$25,0),FALSE)/HLOOKUP(2018,DEMANDS!$G$2:$CK$25,MATCH($E230,DEMANDS!$E$2:$E$25,0),FALSE)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R230" s="36">
        <f>HLOOKUP(REG_TRA_DEMANDS!R$3,'BY-Demands'!$J$5:$AK$14,MATCH($E230,'BY-Demands'!$I$5:$I$14,0),FALSE)*HLOOKUP(REG_TRA_DEMANDS!$F230,DEMANDS!$G$2:$CK$25,MATCH($E230,DEMANDS!$E$2:$E$25,0),FALSE)/HLOOKUP(2018,DEMANDS!$G$2:$CK$25,MATCH($E230,DEMANDS!$E$2:$E$25,0),FALSE)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S230" s="19">
        <f>HLOOKUP(REG_TRA_DEMANDS!S$3,'BY-Demands'!$J$5:$AK$14,MATCH($E230,'BY-Demands'!$I$5:$I$14,0),FALSE)*HLOOKUP(REG_TRA_DEMANDS!$F230,DEMANDS!$G$2:$CK$25,MATCH($E230,DEMANDS!$E$2:$E$25,0),FALSE)/HLOOKUP(2018,DEMANDS!$G$2:$CK$25,MATCH($E230,DEMANDS!$E$2:$E$25,0),FALSE)</f>
        <v>2.7701498038695767</v>
      </c>
      <c r="T230" s="19">
        <f>HLOOKUP(REG_TRA_DEMANDS!T$3,'BY-Demands'!$J$5:$AK$14,MATCH($E230,'BY-Demands'!$I$5:$I$14,0),FALSE)*HLOOKUP(REG_TRA_DEMANDS!$F230,DEMANDS!$G$2:$CK$25,MATCH($E230,DEMANDS!$E$2:$E$25,0),FALSE)/HLOOKUP(2018,DEMANDS!$G$2:$CK$25,MATCH($E230,DEMANDS!$E$2:$E$25,0),FALSE)</f>
        <v>2.5613328706706873</v>
      </c>
      <c r="U230" s="19">
        <f>HLOOKUP(REG_TRA_DEMANDS!U$3,'BY-Demands'!$J$5:$AK$14,MATCH($E230,'BY-Demands'!$I$5:$I$14,0),FALSE)*HLOOKUP(REG_TRA_DEMANDS!$F230,DEMANDS!$G$2:$CK$25,MATCH($E230,DEMANDS!$E$2:$E$25,0),FALSE)/HLOOKUP(2018,DEMANDS!$G$2:$CK$25,MATCH($E230,DEMANDS!$E$2:$E$25,0),FALSE)</f>
        <v>0.27912337459667708</v>
      </c>
      <c r="V230" s="36">
        <f>HLOOKUP(REG_TRA_DEMANDS!V$3,'BY-Demands'!$J$5:$AK$14,MATCH($E230,'BY-Demands'!$I$5:$I$14,0),FALSE)*HLOOKUP(REG_TRA_DEMANDS!$F230,DEMANDS!$G$2:$CK$25,MATCH($E230,DEMANDS!$E$2:$E$25,0),FALSE)/HLOOKUP(2018,DEMANDS!$G$2:$CK$25,MATCH($E230,DEMANDS!$E$2:$E$25,0),FALSE)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W230" s="36">
        <f>HLOOKUP(REG_TRA_DEMANDS!W$3,'BY-Demands'!$J$5:$AK$14,MATCH($E230,'BY-Demands'!$I$5:$I$14,0),FALSE)*HLOOKUP(REG_TRA_DEMANDS!$F230,DEMANDS!$G$2:$CK$25,MATCH($E230,DEMANDS!$E$2:$E$25,0),FALSE)/HLOOKUP(2018,DEMANDS!$G$2:$CK$25,MATCH($E230,DEMANDS!$E$2:$E$25,0),FALSE)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X230" s="36">
        <f>HLOOKUP(REG_TRA_DEMANDS!X$3,'BY-Demands'!$J$5:$AK$14,MATCH($E230,'BY-Demands'!$I$5:$I$14,0),FALSE)*HLOOKUP(REG_TRA_DEMANDS!$F230,DEMANDS!$G$2:$CK$25,MATCH($E230,DEMANDS!$E$2:$E$25,0),FALSE)/HLOOKUP(2018,DEMANDS!$G$2:$CK$25,MATCH($E230,DEMANDS!$E$2:$E$25,0),FALSE)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Y230" s="36">
        <f>HLOOKUP(REG_TRA_DEMANDS!Y$3,'BY-Demands'!$J$5:$AK$14,MATCH($E230,'BY-Demands'!$I$5:$I$14,0),FALSE)*HLOOKUP(REG_TRA_DEMANDS!$F230,DEMANDS!$G$2:$CK$25,MATCH($E230,DEMANDS!$E$2:$E$25,0),FALSE)/HLOOKUP(2018,DEMANDS!$G$2:$CK$25,MATCH($E230,DEMANDS!$E$2:$E$25,0),FALSE)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Z230" s="36">
        <f>HLOOKUP(REG_TRA_DEMANDS!Z$3,'BY-Demands'!$J$5:$AK$14,MATCH($E230,'BY-Demands'!$I$5:$I$14,0),FALSE)*HLOOKUP(REG_TRA_DEMANDS!$F230,DEMANDS!$G$2:$CK$25,MATCH($E230,DEMANDS!$E$2:$E$25,0),FALSE)/HLOOKUP(2018,DEMANDS!$G$2:$CK$25,MATCH($E230,DEMANDS!$E$2:$E$25,0),FALSE)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A230" s="19">
        <f>HLOOKUP(REG_TRA_DEMANDS!AA$3,'BY-Demands'!$J$5:$AK$14,MATCH($E230,'BY-Demands'!$I$5:$I$14,0),FALSE)*HLOOKUP(REG_TRA_DEMANDS!$F230,DEMANDS!$G$2:$CK$25,MATCH($E230,DEMANDS!$E$2:$E$25,0),FALSE)/HLOOKUP(2018,DEMANDS!$G$2:$CK$25,MATCH($E230,DEMANDS!$E$2:$E$25,0),FALSE)</f>
        <v>0.7968745109476707</v>
      </c>
      <c r="AB230" s="36">
        <f>HLOOKUP(REG_TRA_DEMANDS!AB$3,'BY-Demands'!$J$5:$AK$14,MATCH($E230,'BY-Demands'!$I$5:$I$14,0),FALSE)*HLOOKUP(REG_TRA_DEMANDS!$F230,DEMANDS!$G$2:$CK$25,MATCH($E230,DEMANDS!$E$2:$E$25,0),FALSE)/HLOOKUP(2018,DEMANDS!$G$2:$CK$25,MATCH($E230,DEMANDS!$E$2:$E$25,0),FALSE)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C230" s="36">
        <f>HLOOKUP(REG_TRA_DEMANDS!AC$3,'BY-Demands'!$J$5:$AK$14,MATCH($E230,'BY-Demands'!$I$5:$I$14,0),FALSE)*HLOOKUP(REG_TRA_DEMANDS!$F230,DEMANDS!$G$2:$CK$25,MATCH($E230,DEMANDS!$E$2:$E$25,0),FALSE)/HLOOKUP(2018,DEMANDS!$G$2:$CK$25,MATCH($E230,DEMANDS!$E$2:$E$25,0),FALSE)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D230" s="36">
        <f>HLOOKUP(REG_TRA_DEMANDS!AD$3,'BY-Demands'!$J$5:$AK$14,MATCH($E230,'BY-Demands'!$I$5:$I$14,0),FALSE)*HLOOKUP(REG_TRA_DEMANDS!$F230,DEMANDS!$G$2:$CK$25,MATCH($E230,DEMANDS!$E$2:$E$25,0),FALSE)/HLOOKUP(2018,DEMANDS!$G$2:$CK$25,MATCH($E230,DEMANDS!$E$2:$E$25,0),FALSE)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E230" s="36">
        <f>HLOOKUP(REG_TRA_DEMANDS!AE$3,'BY-Demands'!$J$5:$AK$14,MATCH($E230,'BY-Demands'!$I$5:$I$14,0),FALSE)*HLOOKUP(REG_TRA_DEMANDS!$F230,DEMANDS!$G$2:$CK$25,MATCH($E230,DEMANDS!$E$2:$E$25,0),FALSE)/HLOOKUP(2018,DEMANDS!$G$2:$CK$25,MATCH($E230,DEMANDS!$E$2:$E$25,0),FALSE)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F230" s="36">
        <f>HLOOKUP(REG_TRA_DEMANDS!AF$3,'BY-Demands'!$J$5:$AK$14,MATCH($E230,'BY-Demands'!$I$5:$I$14,0),FALSE)*HLOOKUP(REG_TRA_DEMANDS!$F230,DEMANDS!$G$2:$CK$25,MATCH($E230,DEMANDS!$E$2:$E$25,0),FALSE)/HLOOKUP(2018,DEMANDS!$G$2:$CK$25,MATCH($E230,DEMANDS!$E$2:$E$25,0),FALSE)</f>
        <v>0</v>
      </c>
    </row>
    <row r="231" spans="4:32" ht="14.5">
      <c r="D231" t="s">
        <v>6</v>
      </c>
      <c r="E231" t="str">
        <f>DEMANDS!$E$25</f>
        <v>TAVIINT</v>
      </c>
      <c r="F231">
        <v>2031</v>
      </c>
      <c r="G231" s="36">
        <f>HLOOKUP(REG_TRA_DEMANDS!G$3,'BY-Demands'!$J$5:$AK$14,MATCH($E231,'BY-Demands'!$I$5:$I$14,0),FALSE)*HLOOKUP(REG_TRA_DEMANDS!$F231,DEMANDS!$G$2:$CK$25,MATCH($E231,DEMANDS!$E$2:$E$25,0),FALSE)/HLOOKUP(2018,DEMANDS!$G$2:$CK$25,MATCH($E231,DEMANDS!$E$2:$E$25,0),FALSE)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H231" s="19">
        <f>HLOOKUP(REG_TRA_DEMANDS!H$3,'BY-Demands'!$J$5:$AK$14,MATCH($E231,'BY-Demands'!$I$5:$I$14,0),FALSE)*HLOOKUP(REG_TRA_DEMANDS!$F231,DEMANDS!$G$2:$CK$25,MATCH($E231,DEMANDS!$E$2:$E$25,0),FALSE)/HLOOKUP(2018,DEMANDS!$G$2:$CK$25,MATCH($E231,DEMANDS!$E$2:$E$25,0),FALSE)</f>
        <v>47.284518038301336</v>
      </c>
      <c r="I231" s="36">
        <f>HLOOKUP(REG_TRA_DEMANDS!I$3,'BY-Demands'!$J$5:$AK$14,MATCH($E231,'BY-Demands'!$I$5:$I$14,0),FALSE)*HLOOKUP(REG_TRA_DEMANDS!$F231,DEMANDS!$G$2:$CK$25,MATCH($E231,DEMANDS!$E$2:$E$25,0),FALSE)/HLOOKUP(2018,DEMANDS!$G$2:$CK$25,MATCH($E231,DEMANDS!$E$2:$E$25,0),FALSE)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J231" s="36">
        <f>HLOOKUP(REG_TRA_DEMANDS!J$3,'BY-Demands'!$J$5:$AK$14,MATCH($E231,'BY-Demands'!$I$5:$I$14,0),FALSE)*HLOOKUP(REG_TRA_DEMANDS!$F231,DEMANDS!$G$2:$CK$25,MATCH($E231,DEMANDS!$E$2:$E$25,0),FALSE)/HLOOKUP(2018,DEMANDS!$G$2:$CK$25,MATCH($E231,DEMANDS!$E$2:$E$25,0),FALSE)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K231" s="36">
        <f>HLOOKUP(REG_TRA_DEMANDS!K$3,'BY-Demands'!$J$5:$AK$14,MATCH($E231,'BY-Demands'!$I$5:$I$14,0),FALSE)*HLOOKUP(REG_TRA_DEMANDS!$F231,DEMANDS!$G$2:$CK$25,MATCH($E231,DEMANDS!$E$2:$E$25,0),FALSE)/HLOOKUP(2018,DEMANDS!$G$2:$CK$25,MATCH($E231,DEMANDS!$E$2:$E$25,0),FALSE)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L231" s="36">
        <f>HLOOKUP(REG_TRA_DEMANDS!L$3,'BY-Demands'!$J$5:$AK$14,MATCH($E231,'BY-Demands'!$I$5:$I$14,0),FALSE)*HLOOKUP(REG_TRA_DEMANDS!$F231,DEMANDS!$G$2:$CK$25,MATCH($E231,DEMANDS!$E$2:$E$25,0),FALSE)/HLOOKUP(2018,DEMANDS!$G$2:$CK$25,MATCH($E231,DEMANDS!$E$2:$E$25,0),FALSE)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M231" s="36">
        <f>HLOOKUP(REG_TRA_DEMANDS!M$3,'BY-Demands'!$J$5:$AK$14,MATCH($E231,'BY-Demands'!$I$5:$I$14,0),FALSE)*HLOOKUP(REG_TRA_DEMANDS!$F231,DEMANDS!$G$2:$CK$25,MATCH($E231,DEMANDS!$E$2:$E$25,0),FALSE)/HLOOKUP(2018,DEMANDS!$G$2:$CK$25,MATCH($E231,DEMANDS!$E$2:$E$25,0),FALSE)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N231" s="36">
        <f>HLOOKUP(REG_TRA_DEMANDS!N$3,'BY-Demands'!$J$5:$AK$14,MATCH($E231,'BY-Demands'!$I$5:$I$14,0),FALSE)*HLOOKUP(REG_TRA_DEMANDS!$F231,DEMANDS!$G$2:$CK$25,MATCH($E231,DEMANDS!$E$2:$E$25,0),FALSE)/HLOOKUP(2018,DEMANDS!$G$2:$CK$25,MATCH($E231,DEMANDS!$E$2:$E$25,0),FALSE)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O231" s="36">
        <f>HLOOKUP(REG_TRA_DEMANDS!O$3,'BY-Demands'!$J$5:$AK$14,MATCH($E231,'BY-Demands'!$I$5:$I$14,0),FALSE)*HLOOKUP(REG_TRA_DEMANDS!$F231,DEMANDS!$G$2:$CK$25,MATCH($E231,DEMANDS!$E$2:$E$25,0),FALSE)/HLOOKUP(2018,DEMANDS!$G$2:$CK$25,MATCH($E231,DEMANDS!$E$2:$E$25,0),FALSE)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P231" s="36">
        <f>HLOOKUP(REG_TRA_DEMANDS!P$3,'BY-Demands'!$J$5:$AK$14,MATCH($E231,'BY-Demands'!$I$5:$I$14,0),FALSE)*HLOOKUP(REG_TRA_DEMANDS!$F231,DEMANDS!$G$2:$CK$25,MATCH($E231,DEMANDS!$E$2:$E$25,0),FALSE)/HLOOKUP(2018,DEMANDS!$G$2:$CK$25,MATCH($E231,DEMANDS!$E$2:$E$25,0),FALSE)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Q231" s="36">
        <f>HLOOKUP(REG_TRA_DEMANDS!Q$3,'BY-Demands'!$J$5:$AK$14,MATCH($E231,'BY-Demands'!$I$5:$I$14,0),FALSE)*HLOOKUP(REG_TRA_DEMANDS!$F231,DEMANDS!$G$2:$CK$25,MATCH($E231,DEMANDS!$E$2:$E$25,0),FALSE)/HLOOKUP(2018,DEMANDS!$G$2:$CK$25,MATCH($E231,DEMANDS!$E$2:$E$25,0),FALSE)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R231" s="36">
        <f>HLOOKUP(REG_TRA_DEMANDS!R$3,'BY-Demands'!$J$5:$AK$14,MATCH($E231,'BY-Demands'!$I$5:$I$14,0),FALSE)*HLOOKUP(REG_TRA_DEMANDS!$F231,DEMANDS!$G$2:$CK$25,MATCH($E231,DEMANDS!$E$2:$E$25,0),FALSE)/HLOOKUP(2018,DEMANDS!$G$2:$CK$25,MATCH($E231,DEMANDS!$E$2:$E$25,0),FALSE)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S231" s="19">
        <f>HLOOKUP(REG_TRA_DEMANDS!S$3,'BY-Demands'!$J$5:$AK$14,MATCH($E231,'BY-Demands'!$I$5:$I$14,0),FALSE)*HLOOKUP(REG_TRA_DEMANDS!$F231,DEMANDS!$G$2:$CK$25,MATCH($E231,DEMANDS!$E$2:$E$25,0),FALSE)/HLOOKUP(2018,DEMANDS!$G$2:$CK$25,MATCH($E231,DEMANDS!$E$2:$E$25,0),FALSE)</f>
        <v>2.7997696121264544</v>
      </c>
      <c r="T231" s="19">
        <f>HLOOKUP(REG_TRA_DEMANDS!T$3,'BY-Demands'!$J$5:$AK$14,MATCH($E231,'BY-Demands'!$I$5:$I$14,0),FALSE)*HLOOKUP(REG_TRA_DEMANDS!$F231,DEMANDS!$G$2:$CK$25,MATCH($E231,DEMANDS!$E$2:$E$25,0),FALSE)/HLOOKUP(2018,DEMANDS!$G$2:$CK$25,MATCH($E231,DEMANDS!$E$2:$E$25,0),FALSE)</f>
        <v>2.5887199052654695</v>
      </c>
      <c r="U231" s="19">
        <f>HLOOKUP(REG_TRA_DEMANDS!U$3,'BY-Demands'!$J$5:$AK$14,MATCH($E231,'BY-Demands'!$I$5:$I$14,0),FALSE)*HLOOKUP(REG_TRA_DEMANDS!$F231,DEMANDS!$G$2:$CK$25,MATCH($E231,DEMANDS!$E$2:$E$25,0),FALSE)/HLOOKUP(2018,DEMANDS!$G$2:$CK$25,MATCH($E231,DEMANDS!$E$2:$E$25,0),FALSE)</f>
        <v>0.28210789941335579</v>
      </c>
      <c r="V231" s="36">
        <f>HLOOKUP(REG_TRA_DEMANDS!V$3,'BY-Demands'!$J$5:$AK$14,MATCH($E231,'BY-Demands'!$I$5:$I$14,0),FALSE)*HLOOKUP(REG_TRA_DEMANDS!$F231,DEMANDS!$G$2:$CK$25,MATCH($E231,DEMANDS!$E$2:$E$25,0),FALSE)/HLOOKUP(2018,DEMANDS!$G$2:$CK$25,MATCH($E231,DEMANDS!$E$2:$E$25,0),FALSE)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W231" s="36">
        <f>HLOOKUP(REG_TRA_DEMANDS!W$3,'BY-Demands'!$J$5:$AK$14,MATCH($E231,'BY-Demands'!$I$5:$I$14,0),FALSE)*HLOOKUP(REG_TRA_DEMANDS!$F231,DEMANDS!$G$2:$CK$25,MATCH($E231,DEMANDS!$E$2:$E$25,0),FALSE)/HLOOKUP(2018,DEMANDS!$G$2:$CK$25,MATCH($E231,DEMANDS!$E$2:$E$25,0),FALSE)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X231" s="36">
        <f>HLOOKUP(REG_TRA_DEMANDS!X$3,'BY-Demands'!$J$5:$AK$14,MATCH($E231,'BY-Demands'!$I$5:$I$14,0),FALSE)*HLOOKUP(REG_TRA_DEMANDS!$F231,DEMANDS!$G$2:$CK$25,MATCH($E231,DEMANDS!$E$2:$E$25,0),FALSE)/HLOOKUP(2018,DEMANDS!$G$2:$CK$25,MATCH($E231,DEMANDS!$E$2:$E$25,0),FALSE)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Y231" s="36">
        <f>HLOOKUP(REG_TRA_DEMANDS!Y$3,'BY-Demands'!$J$5:$AK$14,MATCH($E231,'BY-Demands'!$I$5:$I$14,0),FALSE)*HLOOKUP(REG_TRA_DEMANDS!$F231,DEMANDS!$G$2:$CK$25,MATCH($E231,DEMANDS!$E$2:$E$25,0),FALSE)/HLOOKUP(2018,DEMANDS!$G$2:$CK$25,MATCH($E231,DEMANDS!$E$2:$E$25,0),FALSE)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Z231" s="36">
        <f>HLOOKUP(REG_TRA_DEMANDS!Z$3,'BY-Demands'!$J$5:$AK$14,MATCH($E231,'BY-Demands'!$I$5:$I$14,0),FALSE)*HLOOKUP(REG_TRA_DEMANDS!$F231,DEMANDS!$G$2:$CK$25,MATCH($E231,DEMANDS!$E$2:$E$25,0),FALSE)/HLOOKUP(2018,DEMANDS!$G$2:$CK$25,MATCH($E231,DEMANDS!$E$2:$E$25,0),FALSE)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A231" s="19">
        <f>HLOOKUP(REG_TRA_DEMANDS!AA$3,'BY-Demands'!$J$5:$AK$14,MATCH($E231,'BY-Demands'!$I$5:$I$14,0),FALSE)*HLOOKUP(REG_TRA_DEMANDS!$F231,DEMANDS!$G$2:$CK$25,MATCH($E231,DEMANDS!$E$2:$E$25,0),FALSE)/HLOOKUP(2018,DEMANDS!$G$2:$CK$25,MATCH($E231,DEMANDS!$E$2:$E$25,0),FALSE)</f>
        <v>0.80539508632814016</v>
      </c>
      <c r="AB231" s="36">
        <f>HLOOKUP(REG_TRA_DEMANDS!AB$3,'BY-Demands'!$J$5:$AK$14,MATCH($E231,'BY-Demands'!$I$5:$I$14,0),FALSE)*HLOOKUP(REG_TRA_DEMANDS!$F231,DEMANDS!$G$2:$CK$25,MATCH($E231,DEMANDS!$E$2:$E$25,0),FALSE)/HLOOKUP(2018,DEMANDS!$G$2:$CK$25,MATCH($E231,DEMANDS!$E$2:$E$25,0),FALSE)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C231" s="36">
        <f>HLOOKUP(REG_TRA_DEMANDS!AC$3,'BY-Demands'!$J$5:$AK$14,MATCH($E231,'BY-Demands'!$I$5:$I$14,0),FALSE)*HLOOKUP(REG_TRA_DEMANDS!$F231,DEMANDS!$G$2:$CK$25,MATCH($E231,DEMANDS!$E$2:$E$25,0),FALSE)/HLOOKUP(2018,DEMANDS!$G$2:$CK$25,MATCH($E231,DEMANDS!$E$2:$E$25,0),FALSE)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D231" s="36">
        <f>HLOOKUP(REG_TRA_DEMANDS!AD$3,'BY-Demands'!$J$5:$AK$14,MATCH($E231,'BY-Demands'!$I$5:$I$14,0),FALSE)*HLOOKUP(REG_TRA_DEMANDS!$F231,DEMANDS!$G$2:$CK$25,MATCH($E231,DEMANDS!$E$2:$E$25,0),FALSE)/HLOOKUP(2018,DEMANDS!$G$2:$CK$25,MATCH($E231,DEMANDS!$E$2:$E$25,0),FALSE)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E231" s="36">
        <f>HLOOKUP(REG_TRA_DEMANDS!AE$3,'BY-Demands'!$J$5:$AK$14,MATCH($E231,'BY-Demands'!$I$5:$I$14,0),FALSE)*HLOOKUP(REG_TRA_DEMANDS!$F231,DEMANDS!$G$2:$CK$25,MATCH($E231,DEMANDS!$E$2:$E$25,0),FALSE)/HLOOKUP(2018,DEMANDS!$G$2:$CK$25,MATCH($E231,DEMANDS!$E$2:$E$25,0),FALSE)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F231" s="36">
        <f>HLOOKUP(REG_TRA_DEMANDS!AF$3,'BY-Demands'!$J$5:$AK$14,MATCH($E231,'BY-Demands'!$I$5:$I$14,0),FALSE)*HLOOKUP(REG_TRA_DEMANDS!$F231,DEMANDS!$G$2:$CK$25,MATCH($E231,DEMANDS!$E$2:$E$25,0),FALSE)/HLOOKUP(2018,DEMANDS!$G$2:$CK$25,MATCH($E231,DEMANDS!$E$2:$E$25,0),FALSE)</f>
        <v>0</v>
      </c>
    </row>
    <row r="232" spans="4:32" ht="14.5">
      <c r="D232" t="s">
        <v>6</v>
      </c>
      <c r="E232" t="str">
        <f>DEMANDS!$E$25</f>
        <v>TAVIINT</v>
      </c>
      <c r="F232">
        <v>2032</v>
      </c>
      <c r="G232" s="36">
        <f>HLOOKUP(REG_TRA_DEMANDS!G$3,'BY-Demands'!$J$5:$AK$14,MATCH($E232,'BY-Demands'!$I$5:$I$14,0),FALSE)*HLOOKUP(REG_TRA_DEMANDS!$F232,DEMANDS!$G$2:$CK$25,MATCH($E232,DEMANDS!$E$2:$E$25,0),FALSE)/HLOOKUP(2018,DEMANDS!$G$2:$CK$25,MATCH($E232,DEMANDS!$E$2:$E$25,0),FALSE)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H232" s="19">
        <f>HLOOKUP(REG_TRA_DEMANDS!H$3,'BY-Demands'!$J$5:$AK$14,MATCH($E232,'BY-Demands'!$I$5:$I$14,0),FALSE)*HLOOKUP(REG_TRA_DEMANDS!$F232,DEMANDS!$G$2:$CK$25,MATCH($E232,DEMANDS!$E$2:$E$25,0),FALSE)/HLOOKUP(2018,DEMANDS!$G$2:$CK$25,MATCH($E232,DEMANDS!$E$2:$E$25,0),FALSE)</f>
        <v>47.774752592755142</v>
      </c>
      <c r="I232" s="36">
        <f>HLOOKUP(REG_TRA_DEMANDS!I$3,'BY-Demands'!$J$5:$AK$14,MATCH($E232,'BY-Demands'!$I$5:$I$14,0),FALSE)*HLOOKUP(REG_TRA_DEMANDS!$F232,DEMANDS!$G$2:$CK$25,MATCH($E232,DEMANDS!$E$2:$E$25,0),FALSE)/HLOOKUP(2018,DEMANDS!$G$2:$CK$25,MATCH($E232,DEMANDS!$E$2:$E$25,0),FALSE)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J232" s="36">
        <f>HLOOKUP(REG_TRA_DEMANDS!J$3,'BY-Demands'!$J$5:$AK$14,MATCH($E232,'BY-Demands'!$I$5:$I$14,0),FALSE)*HLOOKUP(REG_TRA_DEMANDS!$F232,DEMANDS!$G$2:$CK$25,MATCH($E232,DEMANDS!$E$2:$E$25,0),FALSE)/HLOOKUP(2018,DEMANDS!$G$2:$CK$25,MATCH($E232,DEMANDS!$E$2:$E$25,0),FALSE)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K232" s="36">
        <f>HLOOKUP(REG_TRA_DEMANDS!K$3,'BY-Demands'!$J$5:$AK$14,MATCH($E232,'BY-Demands'!$I$5:$I$14,0),FALSE)*HLOOKUP(REG_TRA_DEMANDS!$F232,DEMANDS!$G$2:$CK$25,MATCH($E232,DEMANDS!$E$2:$E$25,0),FALSE)/HLOOKUP(2018,DEMANDS!$G$2:$CK$25,MATCH($E232,DEMANDS!$E$2:$E$25,0),FALSE)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L232" s="36">
        <f>HLOOKUP(REG_TRA_DEMANDS!L$3,'BY-Demands'!$J$5:$AK$14,MATCH($E232,'BY-Demands'!$I$5:$I$14,0),FALSE)*HLOOKUP(REG_TRA_DEMANDS!$F232,DEMANDS!$G$2:$CK$25,MATCH($E232,DEMANDS!$E$2:$E$25,0),FALSE)/HLOOKUP(2018,DEMANDS!$G$2:$CK$25,MATCH($E232,DEMANDS!$E$2:$E$25,0),FALSE)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M232" s="36">
        <f>HLOOKUP(REG_TRA_DEMANDS!M$3,'BY-Demands'!$J$5:$AK$14,MATCH($E232,'BY-Demands'!$I$5:$I$14,0),FALSE)*HLOOKUP(REG_TRA_DEMANDS!$F232,DEMANDS!$G$2:$CK$25,MATCH($E232,DEMANDS!$E$2:$E$25,0),FALSE)/HLOOKUP(2018,DEMANDS!$G$2:$CK$25,MATCH($E232,DEMANDS!$E$2:$E$25,0),FALSE)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N232" s="36">
        <f>HLOOKUP(REG_TRA_DEMANDS!N$3,'BY-Demands'!$J$5:$AK$14,MATCH($E232,'BY-Demands'!$I$5:$I$14,0),FALSE)*HLOOKUP(REG_TRA_DEMANDS!$F232,DEMANDS!$G$2:$CK$25,MATCH($E232,DEMANDS!$E$2:$E$25,0),FALSE)/HLOOKUP(2018,DEMANDS!$G$2:$CK$25,MATCH($E232,DEMANDS!$E$2:$E$25,0),FALSE)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O232" s="36">
        <f>HLOOKUP(REG_TRA_DEMANDS!O$3,'BY-Demands'!$J$5:$AK$14,MATCH($E232,'BY-Demands'!$I$5:$I$14,0),FALSE)*HLOOKUP(REG_TRA_DEMANDS!$F232,DEMANDS!$G$2:$CK$25,MATCH($E232,DEMANDS!$E$2:$E$25,0),FALSE)/HLOOKUP(2018,DEMANDS!$G$2:$CK$25,MATCH($E232,DEMANDS!$E$2:$E$25,0),FALSE)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P232" s="36">
        <f>HLOOKUP(REG_TRA_DEMANDS!P$3,'BY-Demands'!$J$5:$AK$14,MATCH($E232,'BY-Demands'!$I$5:$I$14,0),FALSE)*HLOOKUP(REG_TRA_DEMANDS!$F232,DEMANDS!$G$2:$CK$25,MATCH($E232,DEMANDS!$E$2:$E$25,0),FALSE)/HLOOKUP(2018,DEMANDS!$G$2:$CK$25,MATCH($E232,DEMANDS!$E$2:$E$25,0),FALSE)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Q232" s="36">
        <f>HLOOKUP(REG_TRA_DEMANDS!Q$3,'BY-Demands'!$J$5:$AK$14,MATCH($E232,'BY-Demands'!$I$5:$I$14,0),FALSE)*HLOOKUP(REG_TRA_DEMANDS!$F232,DEMANDS!$G$2:$CK$25,MATCH($E232,DEMANDS!$E$2:$E$25,0),FALSE)/HLOOKUP(2018,DEMANDS!$G$2:$CK$25,MATCH($E232,DEMANDS!$E$2:$E$25,0),FALSE)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R232" s="36">
        <f>HLOOKUP(REG_TRA_DEMANDS!R$3,'BY-Demands'!$J$5:$AK$14,MATCH($E232,'BY-Demands'!$I$5:$I$14,0),FALSE)*HLOOKUP(REG_TRA_DEMANDS!$F232,DEMANDS!$G$2:$CK$25,MATCH($E232,DEMANDS!$E$2:$E$25,0),FALSE)/HLOOKUP(2018,DEMANDS!$G$2:$CK$25,MATCH($E232,DEMANDS!$E$2:$E$25,0),FALSE)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S232" s="19">
        <f>HLOOKUP(REG_TRA_DEMANDS!S$3,'BY-Demands'!$J$5:$AK$14,MATCH($E232,'BY-Demands'!$I$5:$I$14,0),FALSE)*HLOOKUP(REG_TRA_DEMANDS!$F232,DEMANDS!$G$2:$CK$25,MATCH($E232,DEMANDS!$E$2:$E$25,0),FALSE)/HLOOKUP(2018,DEMANDS!$G$2:$CK$25,MATCH($E232,DEMANDS!$E$2:$E$25,0),FALSE)</f>
        <v>2.8287969526877426</v>
      </c>
      <c r="T232" s="19">
        <f>HLOOKUP(REG_TRA_DEMANDS!T$3,'BY-Demands'!$J$5:$AK$14,MATCH($E232,'BY-Demands'!$I$5:$I$14,0),FALSE)*HLOOKUP(REG_TRA_DEMANDS!$F232,DEMANDS!$G$2:$CK$25,MATCH($E232,DEMANDS!$E$2:$E$25,0),FALSE)/HLOOKUP(2018,DEMANDS!$G$2:$CK$25,MATCH($E232,DEMANDS!$E$2:$E$25,0),FALSE)</f>
        <v>2.6155591330299477</v>
      </c>
      <c r="U232" s="19">
        <f>HLOOKUP(REG_TRA_DEMANDS!U$3,'BY-Demands'!$J$5:$AK$14,MATCH($E232,'BY-Demands'!$I$5:$I$14,0),FALSE)*HLOOKUP(REG_TRA_DEMANDS!$F232,DEMANDS!$G$2:$CK$25,MATCH($E232,DEMANDS!$E$2:$E$25,0),FALSE)/HLOOKUP(2018,DEMANDS!$G$2:$CK$25,MATCH($E232,DEMANDS!$E$2:$E$25,0),FALSE)</f>
        <v>0.28503272652621298</v>
      </c>
      <c r="V232" s="36">
        <f>HLOOKUP(REG_TRA_DEMANDS!V$3,'BY-Demands'!$J$5:$AK$14,MATCH($E232,'BY-Demands'!$I$5:$I$14,0),FALSE)*HLOOKUP(REG_TRA_DEMANDS!$F232,DEMANDS!$G$2:$CK$25,MATCH($E232,DEMANDS!$E$2:$E$25,0),FALSE)/HLOOKUP(2018,DEMANDS!$G$2:$CK$25,MATCH($E232,DEMANDS!$E$2:$E$25,0),FALSE)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W232" s="36">
        <f>HLOOKUP(REG_TRA_DEMANDS!W$3,'BY-Demands'!$J$5:$AK$14,MATCH($E232,'BY-Demands'!$I$5:$I$14,0),FALSE)*HLOOKUP(REG_TRA_DEMANDS!$F232,DEMANDS!$G$2:$CK$25,MATCH($E232,DEMANDS!$E$2:$E$25,0),FALSE)/HLOOKUP(2018,DEMANDS!$G$2:$CK$25,MATCH($E232,DEMANDS!$E$2:$E$25,0),FALSE)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X232" s="36">
        <f>HLOOKUP(REG_TRA_DEMANDS!X$3,'BY-Demands'!$J$5:$AK$14,MATCH($E232,'BY-Demands'!$I$5:$I$14,0),FALSE)*HLOOKUP(REG_TRA_DEMANDS!$F232,DEMANDS!$G$2:$CK$25,MATCH($E232,DEMANDS!$E$2:$E$25,0),FALSE)/HLOOKUP(2018,DEMANDS!$G$2:$CK$25,MATCH($E232,DEMANDS!$E$2:$E$25,0),FALSE)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Y232" s="36">
        <f>HLOOKUP(REG_TRA_DEMANDS!Y$3,'BY-Demands'!$J$5:$AK$14,MATCH($E232,'BY-Demands'!$I$5:$I$14,0),FALSE)*HLOOKUP(REG_TRA_DEMANDS!$F232,DEMANDS!$G$2:$CK$25,MATCH($E232,DEMANDS!$E$2:$E$25,0),FALSE)/HLOOKUP(2018,DEMANDS!$G$2:$CK$25,MATCH($E232,DEMANDS!$E$2:$E$25,0),FALSE)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Z232" s="36">
        <f>HLOOKUP(REG_TRA_DEMANDS!Z$3,'BY-Demands'!$J$5:$AK$14,MATCH($E232,'BY-Demands'!$I$5:$I$14,0),FALSE)*HLOOKUP(REG_TRA_DEMANDS!$F232,DEMANDS!$G$2:$CK$25,MATCH($E232,DEMANDS!$E$2:$E$25,0),FALSE)/HLOOKUP(2018,DEMANDS!$G$2:$CK$25,MATCH($E232,DEMANDS!$E$2:$E$25,0),FALSE)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A232" s="19">
        <f>HLOOKUP(REG_TRA_DEMANDS!AA$3,'BY-Demands'!$J$5:$AK$14,MATCH($E232,'BY-Demands'!$I$5:$I$14,0),FALSE)*HLOOKUP(REG_TRA_DEMANDS!$F232,DEMANDS!$G$2:$CK$25,MATCH($E232,DEMANDS!$E$2:$E$25,0),FALSE)/HLOOKUP(2018,DEMANDS!$G$2:$CK$25,MATCH($E232,DEMANDS!$E$2:$E$25,0),FALSE)</f>
        <v>0.81374522962420881</v>
      </c>
      <c r="AB232" s="36">
        <f>HLOOKUP(REG_TRA_DEMANDS!AB$3,'BY-Demands'!$J$5:$AK$14,MATCH($E232,'BY-Demands'!$I$5:$I$14,0),FALSE)*HLOOKUP(REG_TRA_DEMANDS!$F232,DEMANDS!$G$2:$CK$25,MATCH($E232,DEMANDS!$E$2:$E$25,0),FALSE)/HLOOKUP(2018,DEMANDS!$G$2:$CK$25,MATCH($E232,DEMANDS!$E$2:$E$25,0),FALSE)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C232" s="36">
        <f>HLOOKUP(REG_TRA_DEMANDS!AC$3,'BY-Demands'!$J$5:$AK$14,MATCH($E232,'BY-Demands'!$I$5:$I$14,0),FALSE)*HLOOKUP(REG_TRA_DEMANDS!$F232,DEMANDS!$G$2:$CK$25,MATCH($E232,DEMANDS!$E$2:$E$25,0),FALSE)/HLOOKUP(2018,DEMANDS!$G$2:$CK$25,MATCH($E232,DEMANDS!$E$2:$E$25,0),FALSE)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D232" s="36">
        <f>HLOOKUP(REG_TRA_DEMANDS!AD$3,'BY-Demands'!$J$5:$AK$14,MATCH($E232,'BY-Demands'!$I$5:$I$14,0),FALSE)*HLOOKUP(REG_TRA_DEMANDS!$F232,DEMANDS!$G$2:$CK$25,MATCH($E232,DEMANDS!$E$2:$E$25,0),FALSE)/HLOOKUP(2018,DEMANDS!$G$2:$CK$25,MATCH($E232,DEMANDS!$E$2:$E$25,0),FALSE)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E232" s="36">
        <f>HLOOKUP(REG_TRA_DEMANDS!AE$3,'BY-Demands'!$J$5:$AK$14,MATCH($E232,'BY-Demands'!$I$5:$I$14,0),FALSE)*HLOOKUP(REG_TRA_DEMANDS!$F232,DEMANDS!$G$2:$CK$25,MATCH($E232,DEMANDS!$E$2:$E$25,0),FALSE)/HLOOKUP(2018,DEMANDS!$G$2:$CK$25,MATCH($E232,DEMANDS!$E$2:$E$25,0),FALSE)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F232" s="36">
        <f>HLOOKUP(REG_TRA_DEMANDS!AF$3,'BY-Demands'!$J$5:$AK$14,MATCH($E232,'BY-Demands'!$I$5:$I$14,0),FALSE)*HLOOKUP(REG_TRA_DEMANDS!$F232,DEMANDS!$G$2:$CK$25,MATCH($E232,DEMANDS!$E$2:$E$25,0),FALSE)/HLOOKUP(2018,DEMANDS!$G$2:$CK$25,MATCH($E232,DEMANDS!$E$2:$E$25,0),FALSE)</f>
        <v>0</v>
      </c>
    </row>
    <row r="233" spans="4:32" ht="14.5">
      <c r="D233" t="s">
        <v>6</v>
      </c>
      <c r="E233" t="str">
        <f>DEMANDS!$E$25</f>
        <v>TAVIINT</v>
      </c>
      <c r="F233">
        <v>2033</v>
      </c>
      <c r="G233" s="36">
        <f>HLOOKUP(REG_TRA_DEMANDS!G$3,'BY-Demands'!$J$5:$AK$14,MATCH($E233,'BY-Demands'!$I$5:$I$14,0),FALSE)*HLOOKUP(REG_TRA_DEMANDS!$F233,DEMANDS!$G$2:$CK$25,MATCH($E233,DEMANDS!$E$2:$E$25,0),FALSE)/HLOOKUP(2018,DEMANDS!$G$2:$CK$25,MATCH($E233,DEMANDS!$E$2:$E$25,0),FALSE)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H233" s="19">
        <f>HLOOKUP(REG_TRA_DEMANDS!H$3,'BY-Demands'!$J$5:$AK$14,MATCH($E233,'BY-Demands'!$I$5:$I$14,0),FALSE)*HLOOKUP(REG_TRA_DEMANDS!$F233,DEMANDS!$G$2:$CK$25,MATCH($E233,DEMANDS!$E$2:$E$25,0),FALSE)/HLOOKUP(2018,DEMANDS!$G$2:$CK$25,MATCH($E233,DEMANDS!$E$2:$E$25,0),FALSE)</f>
        <v>48.255181277093662</v>
      </c>
      <c r="I233" s="36">
        <f>HLOOKUP(REG_TRA_DEMANDS!I$3,'BY-Demands'!$J$5:$AK$14,MATCH($E233,'BY-Demands'!$I$5:$I$14,0),FALSE)*HLOOKUP(REG_TRA_DEMANDS!$F233,DEMANDS!$G$2:$CK$25,MATCH($E233,DEMANDS!$E$2:$E$25,0),FALSE)/HLOOKUP(2018,DEMANDS!$G$2:$CK$25,MATCH($E233,DEMANDS!$E$2:$E$25,0),FALSE)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J233" s="36">
        <f>HLOOKUP(REG_TRA_DEMANDS!J$3,'BY-Demands'!$J$5:$AK$14,MATCH($E233,'BY-Demands'!$I$5:$I$14,0),FALSE)*HLOOKUP(REG_TRA_DEMANDS!$F233,DEMANDS!$G$2:$CK$25,MATCH($E233,DEMANDS!$E$2:$E$25,0),FALSE)/HLOOKUP(2018,DEMANDS!$G$2:$CK$25,MATCH($E233,DEMANDS!$E$2:$E$25,0),FALSE)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K233" s="36">
        <f>HLOOKUP(REG_TRA_DEMANDS!K$3,'BY-Demands'!$J$5:$AK$14,MATCH($E233,'BY-Demands'!$I$5:$I$14,0),FALSE)*HLOOKUP(REG_TRA_DEMANDS!$F233,DEMANDS!$G$2:$CK$25,MATCH($E233,DEMANDS!$E$2:$E$25,0),FALSE)/HLOOKUP(2018,DEMANDS!$G$2:$CK$25,MATCH($E233,DEMANDS!$E$2:$E$25,0),FALSE)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L233" s="36">
        <f>HLOOKUP(REG_TRA_DEMANDS!L$3,'BY-Demands'!$J$5:$AK$14,MATCH($E233,'BY-Demands'!$I$5:$I$14,0),FALSE)*HLOOKUP(REG_TRA_DEMANDS!$F233,DEMANDS!$G$2:$CK$25,MATCH($E233,DEMANDS!$E$2:$E$25,0),FALSE)/HLOOKUP(2018,DEMANDS!$G$2:$CK$25,MATCH($E233,DEMANDS!$E$2:$E$25,0),FALSE)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M233" s="36">
        <f>HLOOKUP(REG_TRA_DEMANDS!M$3,'BY-Demands'!$J$5:$AK$14,MATCH($E233,'BY-Demands'!$I$5:$I$14,0),FALSE)*HLOOKUP(REG_TRA_DEMANDS!$F233,DEMANDS!$G$2:$CK$25,MATCH($E233,DEMANDS!$E$2:$E$25,0),FALSE)/HLOOKUP(2018,DEMANDS!$G$2:$CK$25,MATCH($E233,DEMANDS!$E$2:$E$25,0),FALSE)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N233" s="36">
        <f>HLOOKUP(REG_TRA_DEMANDS!N$3,'BY-Demands'!$J$5:$AK$14,MATCH($E233,'BY-Demands'!$I$5:$I$14,0),FALSE)*HLOOKUP(REG_TRA_DEMANDS!$F233,DEMANDS!$G$2:$CK$25,MATCH($E233,DEMANDS!$E$2:$E$25,0),FALSE)/HLOOKUP(2018,DEMANDS!$G$2:$CK$25,MATCH($E233,DEMANDS!$E$2:$E$25,0),FALSE)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O233" s="36">
        <f>HLOOKUP(REG_TRA_DEMANDS!O$3,'BY-Demands'!$J$5:$AK$14,MATCH($E233,'BY-Demands'!$I$5:$I$14,0),FALSE)*HLOOKUP(REG_TRA_DEMANDS!$F233,DEMANDS!$G$2:$CK$25,MATCH($E233,DEMANDS!$E$2:$E$25,0),FALSE)/HLOOKUP(2018,DEMANDS!$G$2:$CK$25,MATCH($E233,DEMANDS!$E$2:$E$25,0),FALSE)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P233" s="36">
        <f>HLOOKUP(REG_TRA_DEMANDS!P$3,'BY-Demands'!$J$5:$AK$14,MATCH($E233,'BY-Demands'!$I$5:$I$14,0),FALSE)*HLOOKUP(REG_TRA_DEMANDS!$F233,DEMANDS!$G$2:$CK$25,MATCH($E233,DEMANDS!$E$2:$E$25,0),FALSE)/HLOOKUP(2018,DEMANDS!$G$2:$CK$25,MATCH($E233,DEMANDS!$E$2:$E$25,0),FALSE)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Q233" s="36">
        <f>HLOOKUP(REG_TRA_DEMANDS!Q$3,'BY-Demands'!$J$5:$AK$14,MATCH($E233,'BY-Demands'!$I$5:$I$14,0),FALSE)*HLOOKUP(REG_TRA_DEMANDS!$F233,DEMANDS!$G$2:$CK$25,MATCH($E233,DEMANDS!$E$2:$E$25,0),FALSE)/HLOOKUP(2018,DEMANDS!$G$2:$CK$25,MATCH($E233,DEMANDS!$E$2:$E$25,0),FALSE)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R233" s="36">
        <f>HLOOKUP(REG_TRA_DEMANDS!R$3,'BY-Demands'!$J$5:$AK$14,MATCH($E233,'BY-Demands'!$I$5:$I$14,0),FALSE)*HLOOKUP(REG_TRA_DEMANDS!$F233,DEMANDS!$G$2:$CK$25,MATCH($E233,DEMANDS!$E$2:$E$25,0),FALSE)/HLOOKUP(2018,DEMANDS!$G$2:$CK$25,MATCH($E233,DEMANDS!$E$2:$E$25,0),FALSE)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S233" s="19">
        <f>HLOOKUP(REG_TRA_DEMANDS!S$3,'BY-Demands'!$J$5:$AK$14,MATCH($E233,'BY-Demands'!$I$5:$I$14,0),FALSE)*HLOOKUP(REG_TRA_DEMANDS!$F233,DEMANDS!$G$2:$CK$25,MATCH($E233,DEMANDS!$E$2:$E$25,0),FALSE)/HLOOKUP(2018,DEMANDS!$G$2:$CK$25,MATCH($E233,DEMANDS!$E$2:$E$25,0),FALSE)</f>
        <v>2.8572436766263332</v>
      </c>
      <c r="T233" s="19">
        <f>HLOOKUP(REG_TRA_DEMANDS!T$3,'BY-Demands'!$J$5:$AK$14,MATCH($E233,'BY-Demands'!$I$5:$I$14,0),FALSE)*HLOOKUP(REG_TRA_DEMANDS!$F233,DEMANDS!$G$2:$CK$25,MATCH($E233,DEMANDS!$E$2:$E$25,0),FALSE)/HLOOKUP(2018,DEMANDS!$G$2:$CK$25,MATCH($E233,DEMANDS!$E$2:$E$25,0),FALSE)</f>
        <v>2.6418615116901294</v>
      </c>
      <c r="U233" s="19">
        <f>HLOOKUP(REG_TRA_DEMANDS!U$3,'BY-Demands'!$J$5:$AK$14,MATCH($E233,'BY-Demands'!$I$5:$I$14,0),FALSE)*HLOOKUP(REG_TRA_DEMANDS!$F233,DEMANDS!$G$2:$CK$25,MATCH($E233,DEMANDS!$E$2:$E$25,0),FALSE)/HLOOKUP(2018,DEMANDS!$G$2:$CK$25,MATCH($E233,DEMANDS!$E$2:$E$25,0),FALSE)</f>
        <v>0.28789905006253147</v>
      </c>
      <c r="V233" s="36">
        <f>HLOOKUP(REG_TRA_DEMANDS!V$3,'BY-Demands'!$J$5:$AK$14,MATCH($E233,'BY-Demands'!$I$5:$I$14,0),FALSE)*HLOOKUP(REG_TRA_DEMANDS!$F233,DEMANDS!$G$2:$CK$25,MATCH($E233,DEMANDS!$E$2:$E$25,0),FALSE)/HLOOKUP(2018,DEMANDS!$G$2:$CK$25,MATCH($E233,DEMANDS!$E$2:$E$25,0),FALSE)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W233" s="36">
        <f>HLOOKUP(REG_TRA_DEMANDS!W$3,'BY-Demands'!$J$5:$AK$14,MATCH($E233,'BY-Demands'!$I$5:$I$14,0),FALSE)*HLOOKUP(REG_TRA_DEMANDS!$F233,DEMANDS!$G$2:$CK$25,MATCH($E233,DEMANDS!$E$2:$E$25,0),FALSE)/HLOOKUP(2018,DEMANDS!$G$2:$CK$25,MATCH($E233,DEMANDS!$E$2:$E$25,0),FALSE)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X233" s="36">
        <f>HLOOKUP(REG_TRA_DEMANDS!X$3,'BY-Demands'!$J$5:$AK$14,MATCH($E233,'BY-Demands'!$I$5:$I$14,0),FALSE)*HLOOKUP(REG_TRA_DEMANDS!$F233,DEMANDS!$G$2:$CK$25,MATCH($E233,DEMANDS!$E$2:$E$25,0),FALSE)/HLOOKUP(2018,DEMANDS!$G$2:$CK$25,MATCH($E233,DEMANDS!$E$2:$E$25,0),FALSE)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Y233" s="36">
        <f>HLOOKUP(REG_TRA_DEMANDS!Y$3,'BY-Demands'!$J$5:$AK$14,MATCH($E233,'BY-Demands'!$I$5:$I$14,0),FALSE)*HLOOKUP(REG_TRA_DEMANDS!$F233,DEMANDS!$G$2:$CK$25,MATCH($E233,DEMANDS!$E$2:$E$25,0),FALSE)/HLOOKUP(2018,DEMANDS!$G$2:$CK$25,MATCH($E233,DEMANDS!$E$2:$E$25,0),FALSE)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Z233" s="36">
        <f>HLOOKUP(REG_TRA_DEMANDS!Z$3,'BY-Demands'!$J$5:$AK$14,MATCH($E233,'BY-Demands'!$I$5:$I$14,0),FALSE)*HLOOKUP(REG_TRA_DEMANDS!$F233,DEMANDS!$G$2:$CK$25,MATCH($E233,DEMANDS!$E$2:$E$25,0),FALSE)/HLOOKUP(2018,DEMANDS!$G$2:$CK$25,MATCH($E233,DEMANDS!$E$2:$E$25,0),FALSE)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A233" s="19">
        <f>HLOOKUP(REG_TRA_DEMANDS!AA$3,'BY-Demands'!$J$5:$AK$14,MATCH($E233,'BY-Demands'!$I$5:$I$14,0),FALSE)*HLOOKUP(REG_TRA_DEMANDS!$F233,DEMANDS!$G$2:$CK$25,MATCH($E233,DEMANDS!$E$2:$E$25,0),FALSE)/HLOOKUP(2018,DEMANDS!$G$2:$CK$25,MATCH($E233,DEMANDS!$E$2:$E$25,0),FALSE)</f>
        <v>0.82192834997205533</v>
      </c>
      <c r="AB233" s="36">
        <f>HLOOKUP(REG_TRA_DEMANDS!AB$3,'BY-Demands'!$J$5:$AK$14,MATCH($E233,'BY-Demands'!$I$5:$I$14,0),FALSE)*HLOOKUP(REG_TRA_DEMANDS!$F233,DEMANDS!$G$2:$CK$25,MATCH($E233,DEMANDS!$E$2:$E$25,0),FALSE)/HLOOKUP(2018,DEMANDS!$G$2:$CK$25,MATCH($E233,DEMANDS!$E$2:$E$25,0),FALSE)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C233" s="36">
        <f>HLOOKUP(REG_TRA_DEMANDS!AC$3,'BY-Demands'!$J$5:$AK$14,MATCH($E233,'BY-Demands'!$I$5:$I$14,0),FALSE)*HLOOKUP(REG_TRA_DEMANDS!$F233,DEMANDS!$G$2:$CK$25,MATCH($E233,DEMANDS!$E$2:$E$25,0),FALSE)/HLOOKUP(2018,DEMANDS!$G$2:$CK$25,MATCH($E233,DEMANDS!$E$2:$E$25,0),FALSE)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D233" s="36">
        <f>HLOOKUP(REG_TRA_DEMANDS!AD$3,'BY-Demands'!$J$5:$AK$14,MATCH($E233,'BY-Demands'!$I$5:$I$14,0),FALSE)*HLOOKUP(REG_TRA_DEMANDS!$F233,DEMANDS!$G$2:$CK$25,MATCH($E233,DEMANDS!$E$2:$E$25,0),FALSE)/HLOOKUP(2018,DEMANDS!$G$2:$CK$25,MATCH($E233,DEMANDS!$E$2:$E$25,0),FALSE)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E233" s="36">
        <f>HLOOKUP(REG_TRA_DEMANDS!AE$3,'BY-Demands'!$J$5:$AK$14,MATCH($E233,'BY-Demands'!$I$5:$I$14,0),FALSE)*HLOOKUP(REG_TRA_DEMANDS!$F233,DEMANDS!$G$2:$CK$25,MATCH($E233,DEMANDS!$E$2:$E$25,0),FALSE)/HLOOKUP(2018,DEMANDS!$G$2:$CK$25,MATCH($E233,DEMANDS!$E$2:$E$25,0),FALSE)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F233" s="36">
        <f>HLOOKUP(REG_TRA_DEMANDS!AF$3,'BY-Demands'!$J$5:$AK$14,MATCH($E233,'BY-Demands'!$I$5:$I$14,0),FALSE)*HLOOKUP(REG_TRA_DEMANDS!$F233,DEMANDS!$G$2:$CK$25,MATCH($E233,DEMANDS!$E$2:$E$25,0),FALSE)/HLOOKUP(2018,DEMANDS!$G$2:$CK$25,MATCH($E233,DEMANDS!$E$2:$E$25,0),FALSE)</f>
        <v>0</v>
      </c>
    </row>
    <row r="234" spans="4:32" ht="14.5">
      <c r="D234" t="s">
        <v>6</v>
      </c>
      <c r="E234" t="str">
        <f>DEMANDS!$E$25</f>
        <v>TAVIINT</v>
      </c>
      <c r="F234">
        <v>2034</v>
      </c>
      <c r="G234" s="36">
        <f>HLOOKUP(REG_TRA_DEMANDS!G$3,'BY-Demands'!$J$5:$AK$14,MATCH($E234,'BY-Demands'!$I$5:$I$14,0),FALSE)*HLOOKUP(REG_TRA_DEMANDS!$F234,DEMANDS!$G$2:$CK$25,MATCH($E234,DEMANDS!$E$2:$E$25,0),FALSE)/HLOOKUP(2018,DEMANDS!$G$2:$CK$25,MATCH($E234,DEMANDS!$E$2:$E$25,0),FALSE)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H234" s="19">
        <f>HLOOKUP(REG_TRA_DEMANDS!H$3,'BY-Demands'!$J$5:$AK$14,MATCH($E234,'BY-Demands'!$I$5:$I$14,0),FALSE)*HLOOKUP(REG_TRA_DEMANDS!$F234,DEMANDS!$G$2:$CK$25,MATCH($E234,DEMANDS!$E$2:$E$25,0),FALSE)/HLOOKUP(2018,DEMANDS!$G$2:$CK$25,MATCH($E234,DEMANDS!$E$2:$E$25,0),FALSE)</f>
        <v>48.726000220331741</v>
      </c>
      <c r="I234" s="36">
        <f>HLOOKUP(REG_TRA_DEMANDS!I$3,'BY-Demands'!$J$5:$AK$14,MATCH($E234,'BY-Demands'!$I$5:$I$14,0),FALSE)*HLOOKUP(REG_TRA_DEMANDS!$F234,DEMANDS!$G$2:$CK$25,MATCH($E234,DEMANDS!$E$2:$E$25,0),FALSE)/HLOOKUP(2018,DEMANDS!$G$2:$CK$25,MATCH($E234,DEMANDS!$E$2:$E$25,0),FALSE)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J234" s="36">
        <f>HLOOKUP(REG_TRA_DEMANDS!J$3,'BY-Demands'!$J$5:$AK$14,MATCH($E234,'BY-Demands'!$I$5:$I$14,0),FALSE)*HLOOKUP(REG_TRA_DEMANDS!$F234,DEMANDS!$G$2:$CK$25,MATCH($E234,DEMANDS!$E$2:$E$25,0),FALSE)/HLOOKUP(2018,DEMANDS!$G$2:$CK$25,MATCH($E234,DEMANDS!$E$2:$E$25,0),FALSE)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K234" s="36">
        <f>HLOOKUP(REG_TRA_DEMANDS!K$3,'BY-Demands'!$J$5:$AK$14,MATCH($E234,'BY-Demands'!$I$5:$I$14,0),FALSE)*HLOOKUP(REG_TRA_DEMANDS!$F234,DEMANDS!$G$2:$CK$25,MATCH($E234,DEMANDS!$E$2:$E$25,0),FALSE)/HLOOKUP(2018,DEMANDS!$G$2:$CK$25,MATCH($E234,DEMANDS!$E$2:$E$25,0),FALSE)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L234" s="36">
        <f>HLOOKUP(REG_TRA_DEMANDS!L$3,'BY-Demands'!$J$5:$AK$14,MATCH($E234,'BY-Demands'!$I$5:$I$14,0),FALSE)*HLOOKUP(REG_TRA_DEMANDS!$F234,DEMANDS!$G$2:$CK$25,MATCH($E234,DEMANDS!$E$2:$E$25,0),FALSE)/HLOOKUP(2018,DEMANDS!$G$2:$CK$25,MATCH($E234,DEMANDS!$E$2:$E$25,0),FALSE)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M234" s="36">
        <f>HLOOKUP(REG_TRA_DEMANDS!M$3,'BY-Demands'!$J$5:$AK$14,MATCH($E234,'BY-Demands'!$I$5:$I$14,0),FALSE)*HLOOKUP(REG_TRA_DEMANDS!$F234,DEMANDS!$G$2:$CK$25,MATCH($E234,DEMANDS!$E$2:$E$25,0),FALSE)/HLOOKUP(2018,DEMANDS!$G$2:$CK$25,MATCH($E234,DEMANDS!$E$2:$E$25,0),FALSE)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N234" s="36">
        <f>HLOOKUP(REG_TRA_DEMANDS!N$3,'BY-Demands'!$J$5:$AK$14,MATCH($E234,'BY-Demands'!$I$5:$I$14,0),FALSE)*HLOOKUP(REG_TRA_DEMANDS!$F234,DEMANDS!$G$2:$CK$25,MATCH($E234,DEMANDS!$E$2:$E$25,0),FALSE)/HLOOKUP(2018,DEMANDS!$G$2:$CK$25,MATCH($E234,DEMANDS!$E$2:$E$25,0),FALSE)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O234" s="36">
        <f>HLOOKUP(REG_TRA_DEMANDS!O$3,'BY-Demands'!$J$5:$AK$14,MATCH($E234,'BY-Demands'!$I$5:$I$14,0),FALSE)*HLOOKUP(REG_TRA_DEMANDS!$F234,DEMANDS!$G$2:$CK$25,MATCH($E234,DEMANDS!$E$2:$E$25,0),FALSE)/HLOOKUP(2018,DEMANDS!$G$2:$CK$25,MATCH($E234,DEMANDS!$E$2:$E$25,0),FALSE)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P234" s="36">
        <f>HLOOKUP(REG_TRA_DEMANDS!P$3,'BY-Demands'!$J$5:$AK$14,MATCH($E234,'BY-Demands'!$I$5:$I$14,0),FALSE)*HLOOKUP(REG_TRA_DEMANDS!$F234,DEMANDS!$G$2:$CK$25,MATCH($E234,DEMANDS!$E$2:$E$25,0),FALSE)/HLOOKUP(2018,DEMANDS!$G$2:$CK$25,MATCH($E234,DEMANDS!$E$2:$E$25,0),FALSE)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Q234" s="36">
        <f>HLOOKUP(REG_TRA_DEMANDS!Q$3,'BY-Demands'!$J$5:$AK$14,MATCH($E234,'BY-Demands'!$I$5:$I$14,0),FALSE)*HLOOKUP(REG_TRA_DEMANDS!$F234,DEMANDS!$G$2:$CK$25,MATCH($E234,DEMANDS!$E$2:$E$25,0),FALSE)/HLOOKUP(2018,DEMANDS!$G$2:$CK$25,MATCH($E234,DEMANDS!$E$2:$E$25,0),FALSE)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R234" s="36">
        <f>HLOOKUP(REG_TRA_DEMANDS!R$3,'BY-Demands'!$J$5:$AK$14,MATCH($E234,'BY-Demands'!$I$5:$I$14,0),FALSE)*HLOOKUP(REG_TRA_DEMANDS!$F234,DEMANDS!$G$2:$CK$25,MATCH($E234,DEMANDS!$E$2:$E$25,0),FALSE)/HLOOKUP(2018,DEMANDS!$G$2:$CK$25,MATCH($E234,DEMANDS!$E$2:$E$25,0),FALSE)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S234" s="19">
        <f>HLOOKUP(REG_TRA_DEMANDS!S$3,'BY-Demands'!$J$5:$AK$14,MATCH($E234,'BY-Demands'!$I$5:$I$14,0),FALSE)*HLOOKUP(REG_TRA_DEMANDS!$F234,DEMANDS!$G$2:$CK$25,MATCH($E234,DEMANDS!$E$2:$E$25,0),FALSE)/HLOOKUP(2018,DEMANDS!$G$2:$CK$25,MATCH($E234,DEMANDS!$E$2:$E$25,0),FALSE)</f>
        <v>2.8851213969622735</v>
      </c>
      <c r="T234" s="19">
        <f>HLOOKUP(REG_TRA_DEMANDS!T$3,'BY-Demands'!$J$5:$AK$14,MATCH($E234,'BY-Demands'!$I$5:$I$14,0),FALSE)*HLOOKUP(REG_TRA_DEMANDS!$F234,DEMANDS!$G$2:$CK$25,MATCH($E234,DEMANDS!$E$2:$E$25,0),FALSE)/HLOOKUP(2018,DEMANDS!$G$2:$CK$25,MATCH($E234,DEMANDS!$E$2:$E$25,0),FALSE)</f>
        <v>2.6676377788638628</v>
      </c>
      <c r="U234" s="19">
        <f>HLOOKUP(REG_TRA_DEMANDS!U$3,'BY-Demands'!$J$5:$AK$14,MATCH($E234,'BY-Demands'!$I$5:$I$14,0),FALSE)*HLOOKUP(REG_TRA_DEMANDS!$F234,DEMANDS!$G$2:$CK$25,MATCH($E234,DEMANDS!$E$2:$E$25,0),FALSE)/HLOOKUP(2018,DEMANDS!$G$2:$CK$25,MATCH($E234,DEMANDS!$E$2:$E$25,0),FALSE)</f>
        <v>0.29070804016312474</v>
      </c>
      <c r="V234" s="36">
        <f>HLOOKUP(REG_TRA_DEMANDS!V$3,'BY-Demands'!$J$5:$AK$14,MATCH($E234,'BY-Demands'!$I$5:$I$14,0),FALSE)*HLOOKUP(REG_TRA_DEMANDS!$F234,DEMANDS!$G$2:$CK$25,MATCH($E234,DEMANDS!$E$2:$E$25,0),FALSE)/HLOOKUP(2018,DEMANDS!$G$2:$CK$25,MATCH($E234,DEMANDS!$E$2:$E$25,0),FALSE)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W234" s="36">
        <f>HLOOKUP(REG_TRA_DEMANDS!W$3,'BY-Demands'!$J$5:$AK$14,MATCH($E234,'BY-Demands'!$I$5:$I$14,0),FALSE)*HLOOKUP(REG_TRA_DEMANDS!$F234,DEMANDS!$G$2:$CK$25,MATCH($E234,DEMANDS!$E$2:$E$25,0),FALSE)/HLOOKUP(2018,DEMANDS!$G$2:$CK$25,MATCH($E234,DEMANDS!$E$2:$E$25,0),FALSE)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X234" s="36">
        <f>HLOOKUP(REG_TRA_DEMANDS!X$3,'BY-Demands'!$J$5:$AK$14,MATCH($E234,'BY-Demands'!$I$5:$I$14,0),FALSE)*HLOOKUP(REG_TRA_DEMANDS!$F234,DEMANDS!$G$2:$CK$25,MATCH($E234,DEMANDS!$E$2:$E$25,0),FALSE)/HLOOKUP(2018,DEMANDS!$G$2:$CK$25,MATCH($E234,DEMANDS!$E$2:$E$25,0),FALSE)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Y234" s="36">
        <f>HLOOKUP(REG_TRA_DEMANDS!Y$3,'BY-Demands'!$J$5:$AK$14,MATCH($E234,'BY-Demands'!$I$5:$I$14,0),FALSE)*HLOOKUP(REG_TRA_DEMANDS!$F234,DEMANDS!$G$2:$CK$25,MATCH($E234,DEMANDS!$E$2:$E$25,0),FALSE)/HLOOKUP(2018,DEMANDS!$G$2:$CK$25,MATCH($E234,DEMANDS!$E$2:$E$25,0),FALSE)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Z234" s="36">
        <f>HLOOKUP(REG_TRA_DEMANDS!Z$3,'BY-Demands'!$J$5:$AK$14,MATCH($E234,'BY-Demands'!$I$5:$I$14,0),FALSE)*HLOOKUP(REG_TRA_DEMANDS!$F234,DEMANDS!$G$2:$CK$25,MATCH($E234,DEMANDS!$E$2:$E$25,0),FALSE)/HLOOKUP(2018,DEMANDS!$G$2:$CK$25,MATCH($E234,DEMANDS!$E$2:$E$25,0),FALSE)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A234" s="19">
        <f>HLOOKUP(REG_TRA_DEMANDS!AA$3,'BY-Demands'!$J$5:$AK$14,MATCH($E234,'BY-Demands'!$I$5:$I$14,0),FALSE)*HLOOKUP(REG_TRA_DEMANDS!$F234,DEMANDS!$G$2:$CK$25,MATCH($E234,DEMANDS!$E$2:$E$25,0),FALSE)/HLOOKUP(2018,DEMANDS!$G$2:$CK$25,MATCH($E234,DEMANDS!$E$2:$E$25,0),FALSE)</f>
        <v>0.82994778802843994</v>
      </c>
      <c r="AB234" s="36">
        <f>HLOOKUP(REG_TRA_DEMANDS!AB$3,'BY-Demands'!$J$5:$AK$14,MATCH($E234,'BY-Demands'!$I$5:$I$14,0),FALSE)*HLOOKUP(REG_TRA_DEMANDS!$F234,DEMANDS!$G$2:$CK$25,MATCH($E234,DEMANDS!$E$2:$E$25,0),FALSE)/HLOOKUP(2018,DEMANDS!$G$2:$CK$25,MATCH($E234,DEMANDS!$E$2:$E$25,0),FALSE)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C234" s="36">
        <f>HLOOKUP(REG_TRA_DEMANDS!AC$3,'BY-Demands'!$J$5:$AK$14,MATCH($E234,'BY-Demands'!$I$5:$I$14,0),FALSE)*HLOOKUP(REG_TRA_DEMANDS!$F234,DEMANDS!$G$2:$CK$25,MATCH($E234,DEMANDS!$E$2:$E$25,0),FALSE)/HLOOKUP(2018,DEMANDS!$G$2:$CK$25,MATCH($E234,DEMANDS!$E$2:$E$25,0),FALSE)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D234" s="36">
        <f>HLOOKUP(REG_TRA_DEMANDS!AD$3,'BY-Demands'!$J$5:$AK$14,MATCH($E234,'BY-Demands'!$I$5:$I$14,0),FALSE)*HLOOKUP(REG_TRA_DEMANDS!$F234,DEMANDS!$G$2:$CK$25,MATCH($E234,DEMANDS!$E$2:$E$25,0),FALSE)/HLOOKUP(2018,DEMANDS!$G$2:$CK$25,MATCH($E234,DEMANDS!$E$2:$E$25,0),FALSE)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E234" s="36">
        <f>HLOOKUP(REG_TRA_DEMANDS!AE$3,'BY-Demands'!$J$5:$AK$14,MATCH($E234,'BY-Demands'!$I$5:$I$14,0),FALSE)*HLOOKUP(REG_TRA_DEMANDS!$F234,DEMANDS!$G$2:$CK$25,MATCH($E234,DEMANDS!$E$2:$E$25,0),FALSE)/HLOOKUP(2018,DEMANDS!$G$2:$CK$25,MATCH($E234,DEMANDS!$E$2:$E$25,0),FALSE)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F234" s="36">
        <f>HLOOKUP(REG_TRA_DEMANDS!AF$3,'BY-Demands'!$J$5:$AK$14,MATCH($E234,'BY-Demands'!$I$5:$I$14,0),FALSE)*HLOOKUP(REG_TRA_DEMANDS!$F234,DEMANDS!$G$2:$CK$25,MATCH($E234,DEMANDS!$E$2:$E$25,0),FALSE)/HLOOKUP(2018,DEMANDS!$G$2:$CK$25,MATCH($E234,DEMANDS!$E$2:$E$25,0),FALSE)</f>
        <v>0</v>
      </c>
    </row>
    <row r="235" spans="4:32" ht="14.5">
      <c r="D235" t="s">
        <v>6</v>
      </c>
      <c r="E235" t="str">
        <f>DEMANDS!$E$25</f>
        <v>TAVIINT</v>
      </c>
      <c r="F235">
        <v>2035</v>
      </c>
      <c r="G235" s="36">
        <f>HLOOKUP(REG_TRA_DEMANDS!G$3,'BY-Demands'!$J$5:$AK$14,MATCH($E235,'BY-Demands'!$I$5:$I$14,0),FALSE)*HLOOKUP(REG_TRA_DEMANDS!$F235,DEMANDS!$G$2:$CK$25,MATCH($E235,DEMANDS!$E$2:$E$25,0),FALSE)/HLOOKUP(2018,DEMANDS!$G$2:$CK$25,MATCH($E235,DEMANDS!$E$2:$E$25,0),FALSE)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H235" s="19">
        <f>HLOOKUP(REG_TRA_DEMANDS!H$3,'BY-Demands'!$J$5:$AK$14,MATCH($E235,'BY-Demands'!$I$5:$I$14,0),FALSE)*HLOOKUP(REG_TRA_DEMANDS!$F235,DEMANDS!$G$2:$CK$25,MATCH($E235,DEMANDS!$E$2:$E$25,0),FALSE)/HLOOKUP(2018,DEMANDS!$G$2:$CK$25,MATCH($E235,DEMANDS!$E$2:$E$25,0),FALSE)</f>
        <v>49.187401654240432</v>
      </c>
      <c r="I235" s="36">
        <f>HLOOKUP(REG_TRA_DEMANDS!I$3,'BY-Demands'!$J$5:$AK$14,MATCH($E235,'BY-Demands'!$I$5:$I$14,0),FALSE)*HLOOKUP(REG_TRA_DEMANDS!$F235,DEMANDS!$G$2:$CK$25,MATCH($E235,DEMANDS!$E$2:$E$25,0),FALSE)/HLOOKUP(2018,DEMANDS!$G$2:$CK$25,MATCH($E235,DEMANDS!$E$2:$E$25,0),FALSE)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J235" s="36">
        <f>HLOOKUP(REG_TRA_DEMANDS!J$3,'BY-Demands'!$J$5:$AK$14,MATCH($E235,'BY-Demands'!$I$5:$I$14,0),FALSE)*HLOOKUP(REG_TRA_DEMANDS!$F235,DEMANDS!$G$2:$CK$25,MATCH($E235,DEMANDS!$E$2:$E$25,0),FALSE)/HLOOKUP(2018,DEMANDS!$G$2:$CK$25,MATCH($E235,DEMANDS!$E$2:$E$25,0),FALSE)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K235" s="36">
        <f>HLOOKUP(REG_TRA_DEMANDS!K$3,'BY-Demands'!$J$5:$AK$14,MATCH($E235,'BY-Demands'!$I$5:$I$14,0),FALSE)*HLOOKUP(REG_TRA_DEMANDS!$F235,DEMANDS!$G$2:$CK$25,MATCH($E235,DEMANDS!$E$2:$E$25,0),FALSE)/HLOOKUP(2018,DEMANDS!$G$2:$CK$25,MATCH($E235,DEMANDS!$E$2:$E$25,0),FALSE)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L235" s="36">
        <f>HLOOKUP(REG_TRA_DEMANDS!L$3,'BY-Demands'!$J$5:$AK$14,MATCH($E235,'BY-Demands'!$I$5:$I$14,0),FALSE)*HLOOKUP(REG_TRA_DEMANDS!$F235,DEMANDS!$G$2:$CK$25,MATCH($E235,DEMANDS!$E$2:$E$25,0),FALSE)/HLOOKUP(2018,DEMANDS!$G$2:$CK$25,MATCH($E235,DEMANDS!$E$2:$E$25,0),FALSE)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M235" s="36">
        <f>HLOOKUP(REG_TRA_DEMANDS!M$3,'BY-Demands'!$J$5:$AK$14,MATCH($E235,'BY-Demands'!$I$5:$I$14,0),FALSE)*HLOOKUP(REG_TRA_DEMANDS!$F235,DEMANDS!$G$2:$CK$25,MATCH($E235,DEMANDS!$E$2:$E$25,0),FALSE)/HLOOKUP(2018,DEMANDS!$G$2:$CK$25,MATCH($E235,DEMANDS!$E$2:$E$25,0),FALSE)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N235" s="36">
        <f>HLOOKUP(REG_TRA_DEMANDS!N$3,'BY-Demands'!$J$5:$AK$14,MATCH($E235,'BY-Demands'!$I$5:$I$14,0),FALSE)*HLOOKUP(REG_TRA_DEMANDS!$F235,DEMANDS!$G$2:$CK$25,MATCH($E235,DEMANDS!$E$2:$E$25,0),FALSE)/HLOOKUP(2018,DEMANDS!$G$2:$CK$25,MATCH($E235,DEMANDS!$E$2:$E$25,0),FALSE)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O235" s="36">
        <f>HLOOKUP(REG_TRA_DEMANDS!O$3,'BY-Demands'!$J$5:$AK$14,MATCH($E235,'BY-Demands'!$I$5:$I$14,0),FALSE)*HLOOKUP(REG_TRA_DEMANDS!$F235,DEMANDS!$G$2:$CK$25,MATCH($E235,DEMANDS!$E$2:$E$25,0),FALSE)/HLOOKUP(2018,DEMANDS!$G$2:$CK$25,MATCH($E235,DEMANDS!$E$2:$E$25,0),FALSE)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P235" s="36">
        <f>HLOOKUP(REG_TRA_DEMANDS!P$3,'BY-Demands'!$J$5:$AK$14,MATCH($E235,'BY-Demands'!$I$5:$I$14,0),FALSE)*HLOOKUP(REG_TRA_DEMANDS!$F235,DEMANDS!$G$2:$CK$25,MATCH($E235,DEMANDS!$E$2:$E$25,0),FALSE)/HLOOKUP(2018,DEMANDS!$G$2:$CK$25,MATCH($E235,DEMANDS!$E$2:$E$25,0),FALSE)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Q235" s="36">
        <f>HLOOKUP(REG_TRA_DEMANDS!Q$3,'BY-Demands'!$J$5:$AK$14,MATCH($E235,'BY-Demands'!$I$5:$I$14,0),FALSE)*HLOOKUP(REG_TRA_DEMANDS!$F235,DEMANDS!$G$2:$CK$25,MATCH($E235,DEMANDS!$E$2:$E$25,0),FALSE)/HLOOKUP(2018,DEMANDS!$G$2:$CK$25,MATCH($E235,DEMANDS!$E$2:$E$25,0),FALSE)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R235" s="36">
        <f>HLOOKUP(REG_TRA_DEMANDS!R$3,'BY-Demands'!$J$5:$AK$14,MATCH($E235,'BY-Demands'!$I$5:$I$14,0),FALSE)*HLOOKUP(REG_TRA_DEMANDS!$F235,DEMANDS!$G$2:$CK$25,MATCH($E235,DEMANDS!$E$2:$E$25,0),FALSE)/HLOOKUP(2018,DEMANDS!$G$2:$CK$25,MATCH($E235,DEMANDS!$E$2:$E$25,0),FALSE)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S235" s="19">
        <f>HLOOKUP(REG_TRA_DEMANDS!S$3,'BY-Demands'!$J$5:$AK$14,MATCH($E235,'BY-Demands'!$I$5:$I$14,0),FALSE)*HLOOKUP(REG_TRA_DEMANDS!$F235,DEMANDS!$G$2:$CK$25,MATCH($E235,DEMANDS!$E$2:$E$25,0),FALSE)/HLOOKUP(2018,DEMANDS!$G$2:$CK$25,MATCH($E235,DEMANDS!$E$2:$E$25,0),FALSE)</f>
        <v>2.912441495955409</v>
      </c>
      <c r="T235" s="19">
        <f>HLOOKUP(REG_TRA_DEMANDS!T$3,'BY-Demands'!$J$5:$AK$14,MATCH($E235,'BY-Demands'!$I$5:$I$14,0),FALSE)*HLOOKUP(REG_TRA_DEMANDS!$F235,DEMANDS!$G$2:$CK$25,MATCH($E235,DEMANDS!$E$2:$E$25,0),FALSE)/HLOOKUP(2018,DEMANDS!$G$2:$CK$25,MATCH($E235,DEMANDS!$E$2:$E$25,0),FALSE)</f>
        <v>2.6928984588037523</v>
      </c>
      <c r="U235" s="19">
        <f>HLOOKUP(REG_TRA_DEMANDS!U$3,'BY-Demands'!$J$5:$AK$14,MATCH($E235,'BY-Demands'!$I$5:$I$14,0),FALSE)*HLOOKUP(REG_TRA_DEMANDS!$F235,DEMANDS!$G$2:$CK$25,MATCH($E235,DEMANDS!$E$2:$E$25,0),FALSE)/HLOOKUP(2018,DEMANDS!$G$2:$CK$25,MATCH($E235,DEMANDS!$E$2:$E$25,0),FALSE)</f>
        <v>0.29346084371715175</v>
      </c>
      <c r="V235" s="36">
        <f>HLOOKUP(REG_TRA_DEMANDS!V$3,'BY-Demands'!$J$5:$AK$14,MATCH($E235,'BY-Demands'!$I$5:$I$14,0),FALSE)*HLOOKUP(REG_TRA_DEMANDS!$F235,DEMANDS!$G$2:$CK$25,MATCH($E235,DEMANDS!$E$2:$E$25,0),FALSE)/HLOOKUP(2018,DEMANDS!$G$2:$CK$25,MATCH($E235,DEMANDS!$E$2:$E$25,0),FALSE)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W235" s="36">
        <f>HLOOKUP(REG_TRA_DEMANDS!W$3,'BY-Demands'!$J$5:$AK$14,MATCH($E235,'BY-Demands'!$I$5:$I$14,0),FALSE)*HLOOKUP(REG_TRA_DEMANDS!$F235,DEMANDS!$G$2:$CK$25,MATCH($E235,DEMANDS!$E$2:$E$25,0),FALSE)/HLOOKUP(2018,DEMANDS!$G$2:$CK$25,MATCH($E235,DEMANDS!$E$2:$E$25,0),FALSE)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X235" s="36">
        <f>HLOOKUP(REG_TRA_DEMANDS!X$3,'BY-Demands'!$J$5:$AK$14,MATCH($E235,'BY-Demands'!$I$5:$I$14,0),FALSE)*HLOOKUP(REG_TRA_DEMANDS!$F235,DEMANDS!$G$2:$CK$25,MATCH($E235,DEMANDS!$E$2:$E$25,0),FALSE)/HLOOKUP(2018,DEMANDS!$G$2:$CK$25,MATCH($E235,DEMANDS!$E$2:$E$25,0),FALSE)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Y235" s="36">
        <f>HLOOKUP(REG_TRA_DEMANDS!Y$3,'BY-Demands'!$J$5:$AK$14,MATCH($E235,'BY-Demands'!$I$5:$I$14,0),FALSE)*HLOOKUP(REG_TRA_DEMANDS!$F235,DEMANDS!$G$2:$CK$25,MATCH($E235,DEMANDS!$E$2:$E$25,0),FALSE)/HLOOKUP(2018,DEMANDS!$G$2:$CK$25,MATCH($E235,DEMANDS!$E$2:$E$25,0),FALSE)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Z235" s="36">
        <f>HLOOKUP(REG_TRA_DEMANDS!Z$3,'BY-Demands'!$J$5:$AK$14,MATCH($E235,'BY-Demands'!$I$5:$I$14,0),FALSE)*HLOOKUP(REG_TRA_DEMANDS!$F235,DEMANDS!$G$2:$CK$25,MATCH($E235,DEMANDS!$E$2:$E$25,0),FALSE)/HLOOKUP(2018,DEMANDS!$G$2:$CK$25,MATCH($E235,DEMANDS!$E$2:$E$25,0),FALSE)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A235" s="19">
        <f>HLOOKUP(REG_TRA_DEMANDS!AA$3,'BY-Demands'!$J$5:$AK$14,MATCH($E235,'BY-Demands'!$I$5:$I$14,0),FALSE)*HLOOKUP(REG_TRA_DEMANDS!$F235,DEMANDS!$G$2:$CK$25,MATCH($E235,DEMANDS!$E$2:$E$25,0),FALSE)/HLOOKUP(2018,DEMANDS!$G$2:$CK$25,MATCH($E235,DEMANDS!$E$2:$E$25,0),FALSE)</f>
        <v>0.83780681806854318</v>
      </c>
      <c r="AB235" s="36">
        <f>HLOOKUP(REG_TRA_DEMANDS!AB$3,'BY-Demands'!$J$5:$AK$14,MATCH($E235,'BY-Demands'!$I$5:$I$14,0),FALSE)*HLOOKUP(REG_TRA_DEMANDS!$F235,DEMANDS!$G$2:$CK$25,MATCH($E235,DEMANDS!$E$2:$E$25,0),FALSE)/HLOOKUP(2018,DEMANDS!$G$2:$CK$25,MATCH($E235,DEMANDS!$E$2:$E$25,0),FALSE)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C235" s="36">
        <f>HLOOKUP(REG_TRA_DEMANDS!AC$3,'BY-Demands'!$J$5:$AK$14,MATCH($E235,'BY-Demands'!$I$5:$I$14,0),FALSE)*HLOOKUP(REG_TRA_DEMANDS!$F235,DEMANDS!$G$2:$CK$25,MATCH($E235,DEMANDS!$E$2:$E$25,0),FALSE)/HLOOKUP(2018,DEMANDS!$G$2:$CK$25,MATCH($E235,DEMANDS!$E$2:$E$25,0),FALSE)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D235" s="36">
        <f>HLOOKUP(REG_TRA_DEMANDS!AD$3,'BY-Demands'!$J$5:$AK$14,MATCH($E235,'BY-Demands'!$I$5:$I$14,0),FALSE)*HLOOKUP(REG_TRA_DEMANDS!$F235,DEMANDS!$G$2:$CK$25,MATCH($E235,DEMANDS!$E$2:$E$25,0),FALSE)/HLOOKUP(2018,DEMANDS!$G$2:$CK$25,MATCH($E235,DEMANDS!$E$2:$E$25,0),FALSE)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E235" s="36">
        <f>HLOOKUP(REG_TRA_DEMANDS!AE$3,'BY-Demands'!$J$5:$AK$14,MATCH($E235,'BY-Demands'!$I$5:$I$14,0),FALSE)*HLOOKUP(REG_TRA_DEMANDS!$F235,DEMANDS!$G$2:$CK$25,MATCH($E235,DEMANDS!$E$2:$E$25,0),FALSE)/HLOOKUP(2018,DEMANDS!$G$2:$CK$25,MATCH($E235,DEMANDS!$E$2:$E$25,0),FALSE)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F235" s="36">
        <f>HLOOKUP(REG_TRA_DEMANDS!AF$3,'BY-Demands'!$J$5:$AK$14,MATCH($E235,'BY-Demands'!$I$5:$I$14,0),FALSE)*HLOOKUP(REG_TRA_DEMANDS!$F235,DEMANDS!$G$2:$CK$25,MATCH($E235,DEMANDS!$E$2:$E$25,0),FALSE)/HLOOKUP(2018,DEMANDS!$G$2:$CK$25,MATCH($E235,DEMANDS!$E$2:$E$25,0),FALSE)</f>
        <v>0</v>
      </c>
    </row>
    <row r="236" spans="4:32" ht="14.5">
      <c r="D236" t="s">
        <v>6</v>
      </c>
      <c r="E236" t="str">
        <f>DEMANDS!$E$25</f>
        <v>TAVIINT</v>
      </c>
      <c r="F236">
        <v>2036</v>
      </c>
      <c r="G236" s="36">
        <f>HLOOKUP(REG_TRA_DEMANDS!G$3,'BY-Demands'!$J$5:$AK$14,MATCH($E236,'BY-Demands'!$I$5:$I$14,0),FALSE)*HLOOKUP(REG_TRA_DEMANDS!$F236,DEMANDS!$G$2:$CK$25,MATCH($E236,DEMANDS!$E$2:$E$25,0),FALSE)/HLOOKUP(2018,DEMANDS!$G$2:$CK$25,MATCH($E236,DEMANDS!$E$2:$E$25,0),FALSE)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H236" s="19">
        <f>HLOOKUP(REG_TRA_DEMANDS!H$3,'BY-Demands'!$J$5:$AK$14,MATCH($E236,'BY-Demands'!$I$5:$I$14,0),FALSE)*HLOOKUP(REG_TRA_DEMANDS!$F236,DEMANDS!$G$2:$CK$25,MATCH($E236,DEMANDS!$E$2:$E$25,0),FALSE)/HLOOKUP(2018,DEMANDS!$G$2:$CK$25,MATCH($E236,DEMANDS!$E$2:$E$25,0),FALSE)</f>
        <v>49.639573939739137</v>
      </c>
      <c r="I236" s="36">
        <f>HLOOKUP(REG_TRA_DEMANDS!I$3,'BY-Demands'!$J$5:$AK$14,MATCH($E236,'BY-Demands'!$I$5:$I$14,0),FALSE)*HLOOKUP(REG_TRA_DEMANDS!$F236,DEMANDS!$G$2:$CK$25,MATCH($E236,DEMANDS!$E$2:$E$25,0),FALSE)/HLOOKUP(2018,DEMANDS!$G$2:$CK$25,MATCH($E236,DEMANDS!$E$2:$E$25,0),FALSE)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J236" s="36">
        <f>HLOOKUP(REG_TRA_DEMANDS!J$3,'BY-Demands'!$J$5:$AK$14,MATCH($E236,'BY-Demands'!$I$5:$I$14,0),FALSE)*HLOOKUP(REG_TRA_DEMANDS!$F236,DEMANDS!$G$2:$CK$25,MATCH($E236,DEMANDS!$E$2:$E$25,0),FALSE)/HLOOKUP(2018,DEMANDS!$G$2:$CK$25,MATCH($E236,DEMANDS!$E$2:$E$25,0),FALSE)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K236" s="36">
        <f>HLOOKUP(REG_TRA_DEMANDS!K$3,'BY-Demands'!$J$5:$AK$14,MATCH($E236,'BY-Demands'!$I$5:$I$14,0),FALSE)*HLOOKUP(REG_TRA_DEMANDS!$F236,DEMANDS!$G$2:$CK$25,MATCH($E236,DEMANDS!$E$2:$E$25,0),FALSE)/HLOOKUP(2018,DEMANDS!$G$2:$CK$25,MATCH($E236,DEMANDS!$E$2:$E$25,0),FALSE)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L236" s="36">
        <f>HLOOKUP(REG_TRA_DEMANDS!L$3,'BY-Demands'!$J$5:$AK$14,MATCH($E236,'BY-Demands'!$I$5:$I$14,0),FALSE)*HLOOKUP(REG_TRA_DEMANDS!$F236,DEMANDS!$G$2:$CK$25,MATCH($E236,DEMANDS!$E$2:$E$25,0),FALSE)/HLOOKUP(2018,DEMANDS!$G$2:$CK$25,MATCH($E236,DEMANDS!$E$2:$E$25,0),FALSE)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M236" s="36">
        <f>HLOOKUP(REG_TRA_DEMANDS!M$3,'BY-Demands'!$J$5:$AK$14,MATCH($E236,'BY-Demands'!$I$5:$I$14,0),FALSE)*HLOOKUP(REG_TRA_DEMANDS!$F236,DEMANDS!$G$2:$CK$25,MATCH($E236,DEMANDS!$E$2:$E$25,0),FALSE)/HLOOKUP(2018,DEMANDS!$G$2:$CK$25,MATCH($E236,DEMANDS!$E$2:$E$25,0),FALSE)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N236" s="36">
        <f>HLOOKUP(REG_TRA_DEMANDS!N$3,'BY-Demands'!$J$5:$AK$14,MATCH($E236,'BY-Demands'!$I$5:$I$14,0),FALSE)*HLOOKUP(REG_TRA_DEMANDS!$F236,DEMANDS!$G$2:$CK$25,MATCH($E236,DEMANDS!$E$2:$E$25,0),FALSE)/HLOOKUP(2018,DEMANDS!$G$2:$CK$25,MATCH($E236,DEMANDS!$E$2:$E$25,0),FALSE)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O236" s="36">
        <f>HLOOKUP(REG_TRA_DEMANDS!O$3,'BY-Demands'!$J$5:$AK$14,MATCH($E236,'BY-Demands'!$I$5:$I$14,0),FALSE)*HLOOKUP(REG_TRA_DEMANDS!$F236,DEMANDS!$G$2:$CK$25,MATCH($E236,DEMANDS!$E$2:$E$25,0),FALSE)/HLOOKUP(2018,DEMANDS!$G$2:$CK$25,MATCH($E236,DEMANDS!$E$2:$E$25,0),FALSE)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P236" s="36">
        <f>HLOOKUP(REG_TRA_DEMANDS!P$3,'BY-Demands'!$J$5:$AK$14,MATCH($E236,'BY-Demands'!$I$5:$I$14,0),FALSE)*HLOOKUP(REG_TRA_DEMANDS!$F236,DEMANDS!$G$2:$CK$25,MATCH($E236,DEMANDS!$E$2:$E$25,0),FALSE)/HLOOKUP(2018,DEMANDS!$G$2:$CK$25,MATCH($E236,DEMANDS!$E$2:$E$25,0),FALSE)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Q236" s="36">
        <f>HLOOKUP(REG_TRA_DEMANDS!Q$3,'BY-Demands'!$J$5:$AK$14,MATCH($E236,'BY-Demands'!$I$5:$I$14,0),FALSE)*HLOOKUP(REG_TRA_DEMANDS!$F236,DEMANDS!$G$2:$CK$25,MATCH($E236,DEMANDS!$E$2:$E$25,0),FALSE)/HLOOKUP(2018,DEMANDS!$G$2:$CK$25,MATCH($E236,DEMANDS!$E$2:$E$25,0),FALSE)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R236" s="36">
        <f>HLOOKUP(REG_TRA_DEMANDS!R$3,'BY-Demands'!$J$5:$AK$14,MATCH($E236,'BY-Demands'!$I$5:$I$14,0),FALSE)*HLOOKUP(REG_TRA_DEMANDS!$F236,DEMANDS!$G$2:$CK$25,MATCH($E236,DEMANDS!$E$2:$E$25,0),FALSE)/HLOOKUP(2018,DEMANDS!$G$2:$CK$25,MATCH($E236,DEMANDS!$E$2:$E$25,0),FALSE)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S236" s="19">
        <f>HLOOKUP(REG_TRA_DEMANDS!S$3,'BY-Demands'!$J$5:$AK$14,MATCH($E236,'BY-Demands'!$I$5:$I$14,0),FALSE)*HLOOKUP(REG_TRA_DEMANDS!$F236,DEMANDS!$G$2:$CK$25,MATCH($E236,DEMANDS!$E$2:$E$25,0),FALSE)/HLOOKUP(2018,DEMANDS!$G$2:$CK$25,MATCH($E236,DEMANDS!$E$2:$E$25,0),FALSE)</f>
        <v>2.9392151266680999</v>
      </c>
      <c r="T236" s="19">
        <f>HLOOKUP(REG_TRA_DEMANDS!T$3,'BY-Demands'!$J$5:$AK$14,MATCH($E236,'BY-Demands'!$I$5:$I$14,0),FALSE)*HLOOKUP(REG_TRA_DEMANDS!$F236,DEMANDS!$G$2:$CK$25,MATCH($E236,DEMANDS!$E$2:$E$25,0),FALSE)/HLOOKUP(2018,DEMANDS!$G$2:$CK$25,MATCH($E236,DEMANDS!$E$2:$E$25,0),FALSE)</f>
        <v>2.7176538638420715</v>
      </c>
      <c r="U236" s="19">
        <f>HLOOKUP(REG_TRA_DEMANDS!U$3,'BY-Demands'!$J$5:$AK$14,MATCH($E236,'BY-Demands'!$I$5:$I$14,0),FALSE)*HLOOKUP(REG_TRA_DEMANDS!$F236,DEMANDS!$G$2:$CK$25,MATCH($E236,DEMANDS!$E$2:$E$25,0),FALSE)/HLOOKUP(2018,DEMANDS!$G$2:$CK$25,MATCH($E236,DEMANDS!$E$2:$E$25,0),FALSE)</f>
        <v>0.29615858451957777</v>
      </c>
      <c r="V236" s="36">
        <f>HLOOKUP(REG_TRA_DEMANDS!V$3,'BY-Demands'!$J$5:$AK$14,MATCH($E236,'BY-Demands'!$I$5:$I$14,0),FALSE)*HLOOKUP(REG_TRA_DEMANDS!$F236,DEMANDS!$G$2:$CK$25,MATCH($E236,DEMANDS!$E$2:$E$25,0),FALSE)/HLOOKUP(2018,DEMANDS!$G$2:$CK$25,MATCH($E236,DEMANDS!$E$2:$E$25,0),FALSE)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W236" s="36">
        <f>HLOOKUP(REG_TRA_DEMANDS!W$3,'BY-Demands'!$J$5:$AK$14,MATCH($E236,'BY-Demands'!$I$5:$I$14,0),FALSE)*HLOOKUP(REG_TRA_DEMANDS!$F236,DEMANDS!$G$2:$CK$25,MATCH($E236,DEMANDS!$E$2:$E$25,0),FALSE)/HLOOKUP(2018,DEMANDS!$G$2:$CK$25,MATCH($E236,DEMANDS!$E$2:$E$25,0),FALSE)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X236" s="36">
        <f>HLOOKUP(REG_TRA_DEMANDS!X$3,'BY-Demands'!$J$5:$AK$14,MATCH($E236,'BY-Demands'!$I$5:$I$14,0),FALSE)*HLOOKUP(REG_TRA_DEMANDS!$F236,DEMANDS!$G$2:$CK$25,MATCH($E236,DEMANDS!$E$2:$E$25,0),FALSE)/HLOOKUP(2018,DEMANDS!$G$2:$CK$25,MATCH($E236,DEMANDS!$E$2:$E$25,0),FALSE)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Y236" s="36">
        <f>HLOOKUP(REG_TRA_DEMANDS!Y$3,'BY-Demands'!$J$5:$AK$14,MATCH($E236,'BY-Demands'!$I$5:$I$14,0),FALSE)*HLOOKUP(REG_TRA_DEMANDS!$F236,DEMANDS!$G$2:$CK$25,MATCH($E236,DEMANDS!$E$2:$E$25,0),FALSE)/HLOOKUP(2018,DEMANDS!$G$2:$CK$25,MATCH($E236,DEMANDS!$E$2:$E$25,0),FALSE)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Z236" s="36">
        <f>HLOOKUP(REG_TRA_DEMANDS!Z$3,'BY-Demands'!$J$5:$AK$14,MATCH($E236,'BY-Demands'!$I$5:$I$14,0),FALSE)*HLOOKUP(REG_TRA_DEMANDS!$F236,DEMANDS!$G$2:$CK$25,MATCH($E236,DEMANDS!$E$2:$E$25,0),FALSE)/HLOOKUP(2018,DEMANDS!$G$2:$CK$25,MATCH($E236,DEMANDS!$E$2:$E$25,0),FALSE)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A236" s="19">
        <f>HLOOKUP(REG_TRA_DEMANDS!AA$3,'BY-Demands'!$J$5:$AK$14,MATCH($E236,'BY-Demands'!$I$5:$I$14,0),FALSE)*HLOOKUP(REG_TRA_DEMANDS!$F236,DEMANDS!$G$2:$CK$25,MATCH($E236,DEMANDS!$E$2:$E$25,0),FALSE)/HLOOKUP(2018,DEMANDS!$G$2:$CK$25,MATCH($E236,DEMANDS!$E$2:$E$25,0),FALSE)</f>
        <v>0.84550864843550244</v>
      </c>
      <c r="AB236" s="36">
        <f>HLOOKUP(REG_TRA_DEMANDS!AB$3,'BY-Demands'!$J$5:$AK$14,MATCH($E236,'BY-Demands'!$I$5:$I$14,0),FALSE)*HLOOKUP(REG_TRA_DEMANDS!$F236,DEMANDS!$G$2:$CK$25,MATCH($E236,DEMANDS!$E$2:$E$25,0),FALSE)/HLOOKUP(2018,DEMANDS!$G$2:$CK$25,MATCH($E236,DEMANDS!$E$2:$E$25,0),FALSE)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C236" s="36">
        <f>HLOOKUP(REG_TRA_DEMANDS!AC$3,'BY-Demands'!$J$5:$AK$14,MATCH($E236,'BY-Demands'!$I$5:$I$14,0),FALSE)*HLOOKUP(REG_TRA_DEMANDS!$F236,DEMANDS!$G$2:$CK$25,MATCH($E236,DEMANDS!$E$2:$E$25,0),FALSE)/HLOOKUP(2018,DEMANDS!$G$2:$CK$25,MATCH($E236,DEMANDS!$E$2:$E$25,0),FALSE)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D236" s="36">
        <f>HLOOKUP(REG_TRA_DEMANDS!AD$3,'BY-Demands'!$J$5:$AK$14,MATCH($E236,'BY-Demands'!$I$5:$I$14,0),FALSE)*HLOOKUP(REG_TRA_DEMANDS!$F236,DEMANDS!$G$2:$CK$25,MATCH($E236,DEMANDS!$E$2:$E$25,0),FALSE)/HLOOKUP(2018,DEMANDS!$G$2:$CK$25,MATCH($E236,DEMANDS!$E$2:$E$25,0),FALSE)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E236" s="36">
        <f>HLOOKUP(REG_TRA_DEMANDS!AE$3,'BY-Demands'!$J$5:$AK$14,MATCH($E236,'BY-Demands'!$I$5:$I$14,0),FALSE)*HLOOKUP(REG_TRA_DEMANDS!$F236,DEMANDS!$G$2:$CK$25,MATCH($E236,DEMANDS!$E$2:$E$25,0),FALSE)/HLOOKUP(2018,DEMANDS!$G$2:$CK$25,MATCH($E236,DEMANDS!$E$2:$E$25,0),FALSE)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F236" s="36">
        <f>HLOOKUP(REG_TRA_DEMANDS!AF$3,'BY-Demands'!$J$5:$AK$14,MATCH($E236,'BY-Demands'!$I$5:$I$14,0),FALSE)*HLOOKUP(REG_TRA_DEMANDS!$F236,DEMANDS!$G$2:$CK$25,MATCH($E236,DEMANDS!$E$2:$E$25,0),FALSE)/HLOOKUP(2018,DEMANDS!$G$2:$CK$25,MATCH($E236,DEMANDS!$E$2:$E$25,0),FALSE)</f>
        <v>0</v>
      </c>
    </row>
    <row r="237" spans="4:32" ht="14.5">
      <c r="D237" t="s">
        <v>6</v>
      </c>
      <c r="E237" t="str">
        <f>DEMANDS!$E$25</f>
        <v>TAVIINT</v>
      </c>
      <c r="F237">
        <v>2037</v>
      </c>
      <c r="G237" s="36">
        <f>HLOOKUP(REG_TRA_DEMANDS!G$3,'BY-Demands'!$J$5:$AK$14,MATCH($E237,'BY-Demands'!$I$5:$I$14,0),FALSE)*HLOOKUP(REG_TRA_DEMANDS!$F237,DEMANDS!$G$2:$CK$25,MATCH($E237,DEMANDS!$E$2:$E$25,0),FALSE)/HLOOKUP(2018,DEMANDS!$G$2:$CK$25,MATCH($E237,DEMANDS!$E$2:$E$25,0),FALSE)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H237" s="19">
        <f>HLOOKUP(REG_TRA_DEMANDS!H$3,'BY-Demands'!$J$5:$AK$14,MATCH($E237,'BY-Demands'!$I$5:$I$14,0),FALSE)*HLOOKUP(REG_TRA_DEMANDS!$F237,DEMANDS!$G$2:$CK$25,MATCH($E237,DEMANDS!$E$2:$E$25,0),FALSE)/HLOOKUP(2018,DEMANDS!$G$2:$CK$25,MATCH($E237,DEMANDS!$E$2:$E$25,0),FALSE)</f>
        <v>50.082701690059089</v>
      </c>
      <c r="I237" s="36">
        <f>HLOOKUP(REG_TRA_DEMANDS!I$3,'BY-Demands'!$J$5:$AK$14,MATCH($E237,'BY-Demands'!$I$5:$I$14,0),FALSE)*HLOOKUP(REG_TRA_DEMANDS!$F237,DEMANDS!$G$2:$CK$25,MATCH($E237,DEMANDS!$E$2:$E$25,0),FALSE)/HLOOKUP(2018,DEMANDS!$G$2:$CK$25,MATCH($E237,DEMANDS!$E$2:$E$25,0),FALSE)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J237" s="36">
        <f>HLOOKUP(REG_TRA_DEMANDS!J$3,'BY-Demands'!$J$5:$AK$14,MATCH($E237,'BY-Demands'!$I$5:$I$14,0),FALSE)*HLOOKUP(REG_TRA_DEMANDS!$F237,DEMANDS!$G$2:$CK$25,MATCH($E237,DEMANDS!$E$2:$E$25,0),FALSE)/HLOOKUP(2018,DEMANDS!$G$2:$CK$25,MATCH($E237,DEMANDS!$E$2:$E$25,0),FALSE)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K237" s="36">
        <f>HLOOKUP(REG_TRA_DEMANDS!K$3,'BY-Demands'!$J$5:$AK$14,MATCH($E237,'BY-Demands'!$I$5:$I$14,0),FALSE)*HLOOKUP(REG_TRA_DEMANDS!$F237,DEMANDS!$G$2:$CK$25,MATCH($E237,DEMANDS!$E$2:$E$25,0),FALSE)/HLOOKUP(2018,DEMANDS!$G$2:$CK$25,MATCH($E237,DEMANDS!$E$2:$E$25,0),FALSE)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L237" s="36">
        <f>HLOOKUP(REG_TRA_DEMANDS!L$3,'BY-Demands'!$J$5:$AK$14,MATCH($E237,'BY-Demands'!$I$5:$I$14,0),FALSE)*HLOOKUP(REG_TRA_DEMANDS!$F237,DEMANDS!$G$2:$CK$25,MATCH($E237,DEMANDS!$E$2:$E$25,0),FALSE)/HLOOKUP(2018,DEMANDS!$G$2:$CK$25,MATCH($E237,DEMANDS!$E$2:$E$25,0),FALSE)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M237" s="36">
        <f>HLOOKUP(REG_TRA_DEMANDS!M$3,'BY-Demands'!$J$5:$AK$14,MATCH($E237,'BY-Demands'!$I$5:$I$14,0),FALSE)*HLOOKUP(REG_TRA_DEMANDS!$F237,DEMANDS!$G$2:$CK$25,MATCH($E237,DEMANDS!$E$2:$E$25,0),FALSE)/HLOOKUP(2018,DEMANDS!$G$2:$CK$25,MATCH($E237,DEMANDS!$E$2:$E$25,0),FALSE)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N237" s="36">
        <f>HLOOKUP(REG_TRA_DEMANDS!N$3,'BY-Demands'!$J$5:$AK$14,MATCH($E237,'BY-Demands'!$I$5:$I$14,0),FALSE)*HLOOKUP(REG_TRA_DEMANDS!$F237,DEMANDS!$G$2:$CK$25,MATCH($E237,DEMANDS!$E$2:$E$25,0),FALSE)/HLOOKUP(2018,DEMANDS!$G$2:$CK$25,MATCH($E237,DEMANDS!$E$2:$E$25,0),FALSE)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O237" s="36">
        <f>HLOOKUP(REG_TRA_DEMANDS!O$3,'BY-Demands'!$J$5:$AK$14,MATCH($E237,'BY-Demands'!$I$5:$I$14,0),FALSE)*HLOOKUP(REG_TRA_DEMANDS!$F237,DEMANDS!$G$2:$CK$25,MATCH($E237,DEMANDS!$E$2:$E$25,0),FALSE)/HLOOKUP(2018,DEMANDS!$G$2:$CK$25,MATCH($E237,DEMANDS!$E$2:$E$25,0),FALSE)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P237" s="36">
        <f>HLOOKUP(REG_TRA_DEMANDS!P$3,'BY-Demands'!$J$5:$AK$14,MATCH($E237,'BY-Demands'!$I$5:$I$14,0),FALSE)*HLOOKUP(REG_TRA_DEMANDS!$F237,DEMANDS!$G$2:$CK$25,MATCH($E237,DEMANDS!$E$2:$E$25,0),FALSE)/HLOOKUP(2018,DEMANDS!$G$2:$CK$25,MATCH($E237,DEMANDS!$E$2:$E$25,0),FALSE)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Q237" s="36">
        <f>HLOOKUP(REG_TRA_DEMANDS!Q$3,'BY-Demands'!$J$5:$AK$14,MATCH($E237,'BY-Demands'!$I$5:$I$14,0),FALSE)*HLOOKUP(REG_TRA_DEMANDS!$F237,DEMANDS!$G$2:$CK$25,MATCH($E237,DEMANDS!$E$2:$E$25,0),FALSE)/HLOOKUP(2018,DEMANDS!$G$2:$CK$25,MATCH($E237,DEMANDS!$E$2:$E$25,0),FALSE)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R237" s="36">
        <f>HLOOKUP(REG_TRA_DEMANDS!R$3,'BY-Demands'!$J$5:$AK$14,MATCH($E237,'BY-Demands'!$I$5:$I$14,0),FALSE)*HLOOKUP(REG_TRA_DEMANDS!$F237,DEMANDS!$G$2:$CK$25,MATCH($E237,DEMANDS!$E$2:$E$25,0),FALSE)/HLOOKUP(2018,DEMANDS!$G$2:$CK$25,MATCH($E237,DEMANDS!$E$2:$E$25,0),FALSE)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S237" s="19">
        <f>HLOOKUP(REG_TRA_DEMANDS!S$3,'BY-Demands'!$J$5:$AK$14,MATCH($E237,'BY-Demands'!$I$5:$I$14,0),FALSE)*HLOOKUP(REG_TRA_DEMANDS!$F237,DEMANDS!$G$2:$CK$25,MATCH($E237,DEMANDS!$E$2:$E$25,0),FALSE)/HLOOKUP(2018,DEMANDS!$G$2:$CK$25,MATCH($E237,DEMANDS!$E$2:$E$25,0),FALSE)</f>
        <v>2.9654532202578618</v>
      </c>
      <c r="T237" s="19">
        <f>HLOOKUP(REG_TRA_DEMANDS!T$3,'BY-Demands'!$J$5:$AK$14,MATCH($E237,'BY-Demands'!$I$5:$I$14,0),FALSE)*HLOOKUP(REG_TRA_DEMANDS!$F237,DEMANDS!$G$2:$CK$25,MATCH($E237,DEMANDS!$E$2:$E$25,0),FALSE)/HLOOKUP(2018,DEMANDS!$G$2:$CK$25,MATCH($E237,DEMANDS!$E$2:$E$25,0),FALSE)</f>
        <v>2.7419141011336849</v>
      </c>
      <c r="U237" s="19">
        <f>HLOOKUP(REG_TRA_DEMANDS!U$3,'BY-Demands'!$J$5:$AK$14,MATCH($E237,'BY-Demands'!$I$5:$I$14,0),FALSE)*HLOOKUP(REG_TRA_DEMANDS!$F237,DEMANDS!$G$2:$CK$25,MATCH($E237,DEMANDS!$E$2:$E$25,0),FALSE)/HLOOKUP(2018,DEMANDS!$G$2:$CK$25,MATCH($E237,DEMANDS!$E$2:$E$25,0),FALSE)</f>
        <v>0.29880236400598947</v>
      </c>
      <c r="V237" s="36">
        <f>HLOOKUP(REG_TRA_DEMANDS!V$3,'BY-Demands'!$J$5:$AK$14,MATCH($E237,'BY-Demands'!$I$5:$I$14,0),FALSE)*HLOOKUP(REG_TRA_DEMANDS!$F237,DEMANDS!$G$2:$CK$25,MATCH($E237,DEMANDS!$E$2:$E$25,0),FALSE)/HLOOKUP(2018,DEMANDS!$G$2:$CK$25,MATCH($E237,DEMANDS!$E$2:$E$25,0),FALSE)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W237" s="36">
        <f>HLOOKUP(REG_TRA_DEMANDS!W$3,'BY-Demands'!$J$5:$AK$14,MATCH($E237,'BY-Demands'!$I$5:$I$14,0),FALSE)*HLOOKUP(REG_TRA_DEMANDS!$F237,DEMANDS!$G$2:$CK$25,MATCH($E237,DEMANDS!$E$2:$E$25,0),FALSE)/HLOOKUP(2018,DEMANDS!$G$2:$CK$25,MATCH($E237,DEMANDS!$E$2:$E$25,0),FALSE)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X237" s="36">
        <f>HLOOKUP(REG_TRA_DEMANDS!X$3,'BY-Demands'!$J$5:$AK$14,MATCH($E237,'BY-Demands'!$I$5:$I$14,0),FALSE)*HLOOKUP(REG_TRA_DEMANDS!$F237,DEMANDS!$G$2:$CK$25,MATCH($E237,DEMANDS!$E$2:$E$25,0),FALSE)/HLOOKUP(2018,DEMANDS!$G$2:$CK$25,MATCH($E237,DEMANDS!$E$2:$E$25,0),FALSE)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Y237" s="36">
        <f>HLOOKUP(REG_TRA_DEMANDS!Y$3,'BY-Demands'!$J$5:$AK$14,MATCH($E237,'BY-Demands'!$I$5:$I$14,0),FALSE)*HLOOKUP(REG_TRA_DEMANDS!$F237,DEMANDS!$G$2:$CK$25,MATCH($E237,DEMANDS!$E$2:$E$25,0),FALSE)/HLOOKUP(2018,DEMANDS!$G$2:$CK$25,MATCH($E237,DEMANDS!$E$2:$E$25,0),FALSE)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Z237" s="36">
        <f>HLOOKUP(REG_TRA_DEMANDS!Z$3,'BY-Demands'!$J$5:$AK$14,MATCH($E237,'BY-Demands'!$I$5:$I$14,0),FALSE)*HLOOKUP(REG_TRA_DEMANDS!$F237,DEMANDS!$G$2:$CK$25,MATCH($E237,DEMANDS!$E$2:$E$25,0),FALSE)/HLOOKUP(2018,DEMANDS!$G$2:$CK$25,MATCH($E237,DEMANDS!$E$2:$E$25,0),FALSE)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A237" s="19">
        <f>HLOOKUP(REG_TRA_DEMANDS!AA$3,'BY-Demands'!$J$5:$AK$14,MATCH($E237,'BY-Demands'!$I$5:$I$14,0),FALSE)*HLOOKUP(REG_TRA_DEMANDS!$F237,DEMANDS!$G$2:$CK$25,MATCH($E237,DEMANDS!$E$2:$E$25,0),FALSE)/HLOOKUP(2018,DEMANDS!$G$2:$CK$25,MATCH($E237,DEMANDS!$E$2:$E$25,0),FALSE)</f>
        <v>0.85305642363824929</v>
      </c>
      <c r="AB237" s="36">
        <f>HLOOKUP(REG_TRA_DEMANDS!AB$3,'BY-Demands'!$J$5:$AK$14,MATCH($E237,'BY-Demands'!$I$5:$I$14,0),FALSE)*HLOOKUP(REG_TRA_DEMANDS!$F237,DEMANDS!$G$2:$CK$25,MATCH($E237,DEMANDS!$E$2:$E$25,0),FALSE)/HLOOKUP(2018,DEMANDS!$G$2:$CK$25,MATCH($E237,DEMANDS!$E$2:$E$25,0),FALSE)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C237" s="36">
        <f>HLOOKUP(REG_TRA_DEMANDS!AC$3,'BY-Demands'!$J$5:$AK$14,MATCH($E237,'BY-Demands'!$I$5:$I$14,0),FALSE)*HLOOKUP(REG_TRA_DEMANDS!$F237,DEMANDS!$G$2:$CK$25,MATCH($E237,DEMANDS!$E$2:$E$25,0),FALSE)/HLOOKUP(2018,DEMANDS!$G$2:$CK$25,MATCH($E237,DEMANDS!$E$2:$E$25,0),FALSE)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D237" s="36">
        <f>HLOOKUP(REG_TRA_DEMANDS!AD$3,'BY-Demands'!$J$5:$AK$14,MATCH($E237,'BY-Demands'!$I$5:$I$14,0),FALSE)*HLOOKUP(REG_TRA_DEMANDS!$F237,DEMANDS!$G$2:$CK$25,MATCH($E237,DEMANDS!$E$2:$E$25,0),FALSE)/HLOOKUP(2018,DEMANDS!$G$2:$CK$25,MATCH($E237,DEMANDS!$E$2:$E$25,0),FALSE)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E237" s="36">
        <f>HLOOKUP(REG_TRA_DEMANDS!AE$3,'BY-Demands'!$J$5:$AK$14,MATCH($E237,'BY-Demands'!$I$5:$I$14,0),FALSE)*HLOOKUP(REG_TRA_DEMANDS!$F237,DEMANDS!$G$2:$CK$25,MATCH($E237,DEMANDS!$E$2:$E$25,0),FALSE)/HLOOKUP(2018,DEMANDS!$G$2:$CK$25,MATCH($E237,DEMANDS!$E$2:$E$25,0),FALSE)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F237" s="36">
        <f>HLOOKUP(REG_TRA_DEMANDS!AF$3,'BY-Demands'!$J$5:$AK$14,MATCH($E237,'BY-Demands'!$I$5:$I$14,0),FALSE)*HLOOKUP(REG_TRA_DEMANDS!$F237,DEMANDS!$G$2:$CK$25,MATCH($E237,DEMANDS!$E$2:$E$25,0),FALSE)/HLOOKUP(2018,DEMANDS!$G$2:$CK$25,MATCH($E237,DEMANDS!$E$2:$E$25,0),FALSE)</f>
        <v>0</v>
      </c>
    </row>
    <row r="238" spans="4:32" ht="14.5">
      <c r="D238" t="s">
        <v>6</v>
      </c>
      <c r="E238" t="str">
        <f>DEMANDS!$E$25</f>
        <v>TAVIINT</v>
      </c>
      <c r="F238">
        <v>2038</v>
      </c>
      <c r="G238" s="36">
        <f>HLOOKUP(REG_TRA_DEMANDS!G$3,'BY-Demands'!$J$5:$AK$14,MATCH($E238,'BY-Demands'!$I$5:$I$14,0),FALSE)*HLOOKUP(REG_TRA_DEMANDS!$F238,DEMANDS!$G$2:$CK$25,MATCH($E238,DEMANDS!$E$2:$E$25,0),FALSE)/HLOOKUP(2018,DEMANDS!$G$2:$CK$25,MATCH($E238,DEMANDS!$E$2:$E$25,0),FALSE)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H238" s="19">
        <f>HLOOKUP(REG_TRA_DEMANDS!H$3,'BY-Demands'!$J$5:$AK$14,MATCH($E238,'BY-Demands'!$I$5:$I$14,0),FALSE)*HLOOKUP(REG_TRA_DEMANDS!$F238,DEMANDS!$G$2:$CK$25,MATCH($E238,DEMANDS!$E$2:$E$25,0),FALSE)/HLOOKUP(2018,DEMANDS!$G$2:$CK$25,MATCH($E238,DEMANDS!$E$2:$E$25,0),FALSE)</f>
        <v>50.516965823527634</v>
      </c>
      <c r="I238" s="36">
        <f>HLOOKUP(REG_TRA_DEMANDS!I$3,'BY-Demands'!$J$5:$AK$14,MATCH($E238,'BY-Demands'!$I$5:$I$14,0),FALSE)*HLOOKUP(REG_TRA_DEMANDS!$F238,DEMANDS!$G$2:$CK$25,MATCH($E238,DEMANDS!$E$2:$E$25,0),FALSE)/HLOOKUP(2018,DEMANDS!$G$2:$CK$25,MATCH($E238,DEMANDS!$E$2:$E$25,0),FALSE)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J238" s="36">
        <f>HLOOKUP(REG_TRA_DEMANDS!J$3,'BY-Demands'!$J$5:$AK$14,MATCH($E238,'BY-Demands'!$I$5:$I$14,0),FALSE)*HLOOKUP(REG_TRA_DEMANDS!$F238,DEMANDS!$G$2:$CK$25,MATCH($E238,DEMANDS!$E$2:$E$25,0),FALSE)/HLOOKUP(2018,DEMANDS!$G$2:$CK$25,MATCH($E238,DEMANDS!$E$2:$E$25,0),FALSE)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K238" s="36">
        <f>HLOOKUP(REG_TRA_DEMANDS!K$3,'BY-Demands'!$J$5:$AK$14,MATCH($E238,'BY-Demands'!$I$5:$I$14,0),FALSE)*HLOOKUP(REG_TRA_DEMANDS!$F238,DEMANDS!$G$2:$CK$25,MATCH($E238,DEMANDS!$E$2:$E$25,0),FALSE)/HLOOKUP(2018,DEMANDS!$G$2:$CK$25,MATCH($E238,DEMANDS!$E$2:$E$25,0),FALSE)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L238" s="36">
        <f>HLOOKUP(REG_TRA_DEMANDS!L$3,'BY-Demands'!$J$5:$AK$14,MATCH($E238,'BY-Demands'!$I$5:$I$14,0),FALSE)*HLOOKUP(REG_TRA_DEMANDS!$F238,DEMANDS!$G$2:$CK$25,MATCH($E238,DEMANDS!$E$2:$E$25,0),FALSE)/HLOOKUP(2018,DEMANDS!$G$2:$CK$25,MATCH($E238,DEMANDS!$E$2:$E$25,0),FALSE)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M238" s="36">
        <f>HLOOKUP(REG_TRA_DEMANDS!M$3,'BY-Demands'!$J$5:$AK$14,MATCH($E238,'BY-Demands'!$I$5:$I$14,0),FALSE)*HLOOKUP(REG_TRA_DEMANDS!$F238,DEMANDS!$G$2:$CK$25,MATCH($E238,DEMANDS!$E$2:$E$25,0),FALSE)/HLOOKUP(2018,DEMANDS!$G$2:$CK$25,MATCH($E238,DEMANDS!$E$2:$E$25,0),FALSE)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N238" s="36">
        <f>HLOOKUP(REG_TRA_DEMANDS!N$3,'BY-Demands'!$J$5:$AK$14,MATCH($E238,'BY-Demands'!$I$5:$I$14,0),FALSE)*HLOOKUP(REG_TRA_DEMANDS!$F238,DEMANDS!$G$2:$CK$25,MATCH($E238,DEMANDS!$E$2:$E$25,0),FALSE)/HLOOKUP(2018,DEMANDS!$G$2:$CK$25,MATCH($E238,DEMANDS!$E$2:$E$25,0),FALSE)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O238" s="36">
        <f>HLOOKUP(REG_TRA_DEMANDS!O$3,'BY-Demands'!$J$5:$AK$14,MATCH($E238,'BY-Demands'!$I$5:$I$14,0),FALSE)*HLOOKUP(REG_TRA_DEMANDS!$F238,DEMANDS!$G$2:$CK$25,MATCH($E238,DEMANDS!$E$2:$E$25,0),FALSE)/HLOOKUP(2018,DEMANDS!$G$2:$CK$25,MATCH($E238,DEMANDS!$E$2:$E$25,0),FALSE)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P238" s="36">
        <f>HLOOKUP(REG_TRA_DEMANDS!P$3,'BY-Demands'!$J$5:$AK$14,MATCH($E238,'BY-Demands'!$I$5:$I$14,0),FALSE)*HLOOKUP(REG_TRA_DEMANDS!$F238,DEMANDS!$G$2:$CK$25,MATCH($E238,DEMANDS!$E$2:$E$25,0),FALSE)/HLOOKUP(2018,DEMANDS!$G$2:$CK$25,MATCH($E238,DEMANDS!$E$2:$E$25,0),FALSE)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Q238" s="36">
        <f>HLOOKUP(REG_TRA_DEMANDS!Q$3,'BY-Demands'!$J$5:$AK$14,MATCH($E238,'BY-Demands'!$I$5:$I$14,0),FALSE)*HLOOKUP(REG_TRA_DEMANDS!$F238,DEMANDS!$G$2:$CK$25,MATCH($E238,DEMANDS!$E$2:$E$25,0),FALSE)/HLOOKUP(2018,DEMANDS!$G$2:$CK$25,MATCH($E238,DEMANDS!$E$2:$E$25,0),FALSE)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R238" s="36">
        <f>HLOOKUP(REG_TRA_DEMANDS!R$3,'BY-Demands'!$J$5:$AK$14,MATCH($E238,'BY-Demands'!$I$5:$I$14,0),FALSE)*HLOOKUP(REG_TRA_DEMANDS!$F238,DEMANDS!$G$2:$CK$25,MATCH($E238,DEMANDS!$E$2:$E$25,0),FALSE)/HLOOKUP(2018,DEMANDS!$G$2:$CK$25,MATCH($E238,DEMANDS!$E$2:$E$25,0),FALSE)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S238" s="19">
        <f>HLOOKUP(REG_TRA_DEMANDS!S$3,'BY-Demands'!$J$5:$AK$14,MATCH($E238,'BY-Demands'!$I$5:$I$14,0),FALSE)*HLOOKUP(REG_TRA_DEMANDS!$F238,DEMANDS!$G$2:$CK$25,MATCH($E238,DEMANDS!$E$2:$E$25,0),FALSE)/HLOOKUP(2018,DEMANDS!$G$2:$CK$25,MATCH($E238,DEMANDS!$E$2:$E$25,0),FALSE)</f>
        <v>2.9911664891027896</v>
      </c>
      <c r="T238" s="19">
        <f>HLOOKUP(REG_TRA_DEMANDS!T$3,'BY-Demands'!$J$5:$AK$14,MATCH($E238,'BY-Demands'!$I$5:$I$14,0),FALSE)*HLOOKUP(REG_TRA_DEMANDS!$F238,DEMANDS!$G$2:$CK$25,MATCH($E238,DEMANDS!$E$2:$E$25,0),FALSE)/HLOOKUP(2018,DEMANDS!$G$2:$CK$25,MATCH($E238,DEMANDS!$E$2:$E$25,0),FALSE)</f>
        <v>2.7656890755458656</v>
      </c>
      <c r="U238" s="19">
        <f>HLOOKUP(REG_TRA_DEMANDS!U$3,'BY-Demands'!$J$5:$AK$14,MATCH($E238,'BY-Demands'!$I$5:$I$14,0),FALSE)*HLOOKUP(REG_TRA_DEMANDS!$F238,DEMANDS!$G$2:$CK$25,MATCH($E238,DEMANDS!$E$2:$E$25,0),FALSE)/HLOOKUP(2018,DEMANDS!$G$2:$CK$25,MATCH($E238,DEMANDS!$E$2:$E$25,0),FALSE)</f>
        <v>0.30139326156751567</v>
      </c>
      <c r="V238" s="36">
        <f>HLOOKUP(REG_TRA_DEMANDS!V$3,'BY-Demands'!$J$5:$AK$14,MATCH($E238,'BY-Demands'!$I$5:$I$14,0),FALSE)*HLOOKUP(REG_TRA_DEMANDS!$F238,DEMANDS!$G$2:$CK$25,MATCH($E238,DEMANDS!$E$2:$E$25,0),FALSE)/HLOOKUP(2018,DEMANDS!$G$2:$CK$25,MATCH($E238,DEMANDS!$E$2:$E$25,0),FALSE)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W238" s="36">
        <f>HLOOKUP(REG_TRA_DEMANDS!W$3,'BY-Demands'!$J$5:$AK$14,MATCH($E238,'BY-Demands'!$I$5:$I$14,0),FALSE)*HLOOKUP(REG_TRA_DEMANDS!$F238,DEMANDS!$G$2:$CK$25,MATCH($E238,DEMANDS!$E$2:$E$25,0),FALSE)/HLOOKUP(2018,DEMANDS!$G$2:$CK$25,MATCH($E238,DEMANDS!$E$2:$E$25,0),FALSE)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X238" s="36">
        <f>HLOOKUP(REG_TRA_DEMANDS!X$3,'BY-Demands'!$J$5:$AK$14,MATCH($E238,'BY-Demands'!$I$5:$I$14,0),FALSE)*HLOOKUP(REG_TRA_DEMANDS!$F238,DEMANDS!$G$2:$CK$25,MATCH($E238,DEMANDS!$E$2:$E$25,0),FALSE)/HLOOKUP(2018,DEMANDS!$G$2:$CK$25,MATCH($E238,DEMANDS!$E$2:$E$25,0),FALSE)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Y238" s="36">
        <f>HLOOKUP(REG_TRA_DEMANDS!Y$3,'BY-Demands'!$J$5:$AK$14,MATCH($E238,'BY-Demands'!$I$5:$I$14,0),FALSE)*HLOOKUP(REG_TRA_DEMANDS!$F238,DEMANDS!$G$2:$CK$25,MATCH($E238,DEMANDS!$E$2:$E$25,0),FALSE)/HLOOKUP(2018,DEMANDS!$G$2:$CK$25,MATCH($E238,DEMANDS!$E$2:$E$25,0),FALSE)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Z238" s="36">
        <f>HLOOKUP(REG_TRA_DEMANDS!Z$3,'BY-Demands'!$J$5:$AK$14,MATCH($E238,'BY-Demands'!$I$5:$I$14,0),FALSE)*HLOOKUP(REG_TRA_DEMANDS!$F238,DEMANDS!$G$2:$CK$25,MATCH($E238,DEMANDS!$E$2:$E$25,0),FALSE)/HLOOKUP(2018,DEMANDS!$G$2:$CK$25,MATCH($E238,DEMANDS!$E$2:$E$25,0),FALSE)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A238" s="19">
        <f>HLOOKUP(REG_TRA_DEMANDS!AA$3,'BY-Demands'!$J$5:$AK$14,MATCH($E238,'BY-Demands'!$I$5:$I$14,0),FALSE)*HLOOKUP(REG_TRA_DEMANDS!$F238,DEMANDS!$G$2:$CK$25,MATCH($E238,DEMANDS!$E$2:$E$25,0),FALSE)/HLOOKUP(2018,DEMANDS!$G$2:$CK$25,MATCH($E238,DEMANDS!$E$2:$E$25,0),FALSE)</f>
        <v>0.86045322525058276</v>
      </c>
      <c r="AB238" s="36">
        <f>HLOOKUP(REG_TRA_DEMANDS!AB$3,'BY-Demands'!$J$5:$AK$14,MATCH($E238,'BY-Demands'!$I$5:$I$14,0),FALSE)*HLOOKUP(REG_TRA_DEMANDS!$F238,DEMANDS!$G$2:$CK$25,MATCH($E238,DEMANDS!$E$2:$E$25,0),FALSE)/HLOOKUP(2018,DEMANDS!$G$2:$CK$25,MATCH($E238,DEMANDS!$E$2:$E$25,0),FALSE)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C238" s="36">
        <f>HLOOKUP(REG_TRA_DEMANDS!AC$3,'BY-Demands'!$J$5:$AK$14,MATCH($E238,'BY-Demands'!$I$5:$I$14,0),FALSE)*HLOOKUP(REG_TRA_DEMANDS!$F238,DEMANDS!$G$2:$CK$25,MATCH($E238,DEMANDS!$E$2:$E$25,0),FALSE)/HLOOKUP(2018,DEMANDS!$G$2:$CK$25,MATCH($E238,DEMANDS!$E$2:$E$25,0),FALSE)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D238" s="36">
        <f>HLOOKUP(REG_TRA_DEMANDS!AD$3,'BY-Demands'!$J$5:$AK$14,MATCH($E238,'BY-Demands'!$I$5:$I$14,0),FALSE)*HLOOKUP(REG_TRA_DEMANDS!$F238,DEMANDS!$G$2:$CK$25,MATCH($E238,DEMANDS!$E$2:$E$25,0),FALSE)/HLOOKUP(2018,DEMANDS!$G$2:$CK$25,MATCH($E238,DEMANDS!$E$2:$E$25,0),FALSE)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E238" s="36">
        <f>HLOOKUP(REG_TRA_DEMANDS!AE$3,'BY-Demands'!$J$5:$AK$14,MATCH($E238,'BY-Demands'!$I$5:$I$14,0),FALSE)*HLOOKUP(REG_TRA_DEMANDS!$F238,DEMANDS!$G$2:$CK$25,MATCH($E238,DEMANDS!$E$2:$E$25,0),FALSE)/HLOOKUP(2018,DEMANDS!$G$2:$CK$25,MATCH($E238,DEMANDS!$E$2:$E$25,0),FALSE)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F238" s="36">
        <f>HLOOKUP(REG_TRA_DEMANDS!AF$3,'BY-Demands'!$J$5:$AK$14,MATCH($E238,'BY-Demands'!$I$5:$I$14,0),FALSE)*HLOOKUP(REG_TRA_DEMANDS!$F238,DEMANDS!$G$2:$CK$25,MATCH($E238,DEMANDS!$E$2:$E$25,0),FALSE)/HLOOKUP(2018,DEMANDS!$G$2:$CK$25,MATCH($E238,DEMANDS!$E$2:$E$25,0),FALSE)</f>
        <v>0</v>
      </c>
    </row>
    <row r="239" spans="4:32" ht="14.5">
      <c r="D239" t="s">
        <v>6</v>
      </c>
      <c r="E239" t="str">
        <f>DEMANDS!$E$25</f>
        <v>TAVIINT</v>
      </c>
      <c r="F239">
        <v>2039</v>
      </c>
      <c r="G239" s="36">
        <f>HLOOKUP(REG_TRA_DEMANDS!G$3,'BY-Demands'!$J$5:$AK$14,MATCH($E239,'BY-Demands'!$I$5:$I$14,0),FALSE)*HLOOKUP(REG_TRA_DEMANDS!$F239,DEMANDS!$G$2:$CK$25,MATCH($E239,DEMANDS!$E$2:$E$25,0),FALSE)/HLOOKUP(2018,DEMANDS!$G$2:$CK$25,MATCH($E239,DEMANDS!$E$2:$E$25,0),FALSE)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H239" s="19">
        <f>HLOOKUP(REG_TRA_DEMANDS!H$3,'BY-Demands'!$J$5:$AK$14,MATCH($E239,'BY-Demands'!$I$5:$I$14,0),FALSE)*HLOOKUP(REG_TRA_DEMANDS!$F239,DEMANDS!$G$2:$CK$25,MATCH($E239,DEMANDS!$E$2:$E$25,0),FALSE)/HLOOKUP(2018,DEMANDS!$G$2:$CK$25,MATCH($E239,DEMANDS!$E$2:$E$25,0),FALSE)</f>
        <v>50.94254361635268</v>
      </c>
      <c r="I239" s="36">
        <f>HLOOKUP(REG_TRA_DEMANDS!I$3,'BY-Demands'!$J$5:$AK$14,MATCH($E239,'BY-Demands'!$I$5:$I$14,0),FALSE)*HLOOKUP(REG_TRA_DEMANDS!$F239,DEMANDS!$G$2:$CK$25,MATCH($E239,DEMANDS!$E$2:$E$25,0),FALSE)/HLOOKUP(2018,DEMANDS!$G$2:$CK$25,MATCH($E239,DEMANDS!$E$2:$E$25,0),FALSE)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J239" s="36">
        <f>HLOOKUP(REG_TRA_DEMANDS!J$3,'BY-Demands'!$J$5:$AK$14,MATCH($E239,'BY-Demands'!$I$5:$I$14,0),FALSE)*HLOOKUP(REG_TRA_DEMANDS!$F239,DEMANDS!$G$2:$CK$25,MATCH($E239,DEMANDS!$E$2:$E$25,0),FALSE)/HLOOKUP(2018,DEMANDS!$G$2:$CK$25,MATCH($E239,DEMANDS!$E$2:$E$25,0),FALSE)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K239" s="36">
        <f>HLOOKUP(REG_TRA_DEMANDS!K$3,'BY-Demands'!$J$5:$AK$14,MATCH($E239,'BY-Demands'!$I$5:$I$14,0),FALSE)*HLOOKUP(REG_TRA_DEMANDS!$F239,DEMANDS!$G$2:$CK$25,MATCH($E239,DEMANDS!$E$2:$E$25,0),FALSE)/HLOOKUP(2018,DEMANDS!$G$2:$CK$25,MATCH($E239,DEMANDS!$E$2:$E$25,0),FALSE)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L239" s="36">
        <f>HLOOKUP(REG_TRA_DEMANDS!L$3,'BY-Demands'!$J$5:$AK$14,MATCH($E239,'BY-Demands'!$I$5:$I$14,0),FALSE)*HLOOKUP(REG_TRA_DEMANDS!$F239,DEMANDS!$G$2:$CK$25,MATCH($E239,DEMANDS!$E$2:$E$25,0),FALSE)/HLOOKUP(2018,DEMANDS!$G$2:$CK$25,MATCH($E239,DEMANDS!$E$2:$E$25,0),FALSE)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M239" s="36">
        <f>HLOOKUP(REG_TRA_DEMANDS!M$3,'BY-Demands'!$J$5:$AK$14,MATCH($E239,'BY-Demands'!$I$5:$I$14,0),FALSE)*HLOOKUP(REG_TRA_DEMANDS!$F239,DEMANDS!$G$2:$CK$25,MATCH($E239,DEMANDS!$E$2:$E$25,0),FALSE)/HLOOKUP(2018,DEMANDS!$G$2:$CK$25,MATCH($E239,DEMANDS!$E$2:$E$25,0),FALSE)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N239" s="36">
        <f>HLOOKUP(REG_TRA_DEMANDS!N$3,'BY-Demands'!$J$5:$AK$14,MATCH($E239,'BY-Demands'!$I$5:$I$14,0),FALSE)*HLOOKUP(REG_TRA_DEMANDS!$F239,DEMANDS!$G$2:$CK$25,MATCH($E239,DEMANDS!$E$2:$E$25,0),FALSE)/HLOOKUP(2018,DEMANDS!$G$2:$CK$25,MATCH($E239,DEMANDS!$E$2:$E$25,0),FALSE)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O239" s="36">
        <f>HLOOKUP(REG_TRA_DEMANDS!O$3,'BY-Demands'!$J$5:$AK$14,MATCH($E239,'BY-Demands'!$I$5:$I$14,0),FALSE)*HLOOKUP(REG_TRA_DEMANDS!$F239,DEMANDS!$G$2:$CK$25,MATCH($E239,DEMANDS!$E$2:$E$25,0),FALSE)/HLOOKUP(2018,DEMANDS!$G$2:$CK$25,MATCH($E239,DEMANDS!$E$2:$E$25,0),FALSE)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P239" s="36">
        <f>HLOOKUP(REG_TRA_DEMANDS!P$3,'BY-Demands'!$J$5:$AK$14,MATCH($E239,'BY-Demands'!$I$5:$I$14,0),FALSE)*HLOOKUP(REG_TRA_DEMANDS!$F239,DEMANDS!$G$2:$CK$25,MATCH($E239,DEMANDS!$E$2:$E$25,0),FALSE)/HLOOKUP(2018,DEMANDS!$G$2:$CK$25,MATCH($E239,DEMANDS!$E$2:$E$25,0),FALSE)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Q239" s="36">
        <f>HLOOKUP(REG_TRA_DEMANDS!Q$3,'BY-Demands'!$J$5:$AK$14,MATCH($E239,'BY-Demands'!$I$5:$I$14,0),FALSE)*HLOOKUP(REG_TRA_DEMANDS!$F239,DEMANDS!$G$2:$CK$25,MATCH($E239,DEMANDS!$E$2:$E$25,0),FALSE)/HLOOKUP(2018,DEMANDS!$G$2:$CK$25,MATCH($E239,DEMANDS!$E$2:$E$25,0),FALSE)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R239" s="36">
        <f>HLOOKUP(REG_TRA_DEMANDS!R$3,'BY-Demands'!$J$5:$AK$14,MATCH($E239,'BY-Demands'!$I$5:$I$14,0),FALSE)*HLOOKUP(REG_TRA_DEMANDS!$F239,DEMANDS!$G$2:$CK$25,MATCH($E239,DEMANDS!$E$2:$E$25,0),FALSE)/HLOOKUP(2018,DEMANDS!$G$2:$CK$25,MATCH($E239,DEMANDS!$E$2:$E$25,0),FALSE)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S239" s="19">
        <f>HLOOKUP(REG_TRA_DEMANDS!S$3,'BY-Demands'!$J$5:$AK$14,MATCH($E239,'BY-Demands'!$I$5:$I$14,0),FALSE)*HLOOKUP(REG_TRA_DEMANDS!$F239,DEMANDS!$G$2:$CK$25,MATCH($E239,DEMANDS!$E$2:$E$25,0),FALSE)/HLOOKUP(2018,DEMANDS!$G$2:$CK$25,MATCH($E239,DEMANDS!$E$2:$E$25,0),FALSE)</f>
        <v>3.016365429926978</v>
      </c>
      <c r="T239" s="19">
        <f>HLOOKUP(REG_TRA_DEMANDS!T$3,'BY-Demands'!$J$5:$AK$14,MATCH($E239,'BY-Demands'!$I$5:$I$14,0),FALSE)*HLOOKUP(REG_TRA_DEMANDS!$F239,DEMANDS!$G$2:$CK$25,MATCH($E239,DEMANDS!$E$2:$E$25,0),FALSE)/HLOOKUP(2018,DEMANDS!$G$2:$CK$25,MATCH($E239,DEMANDS!$E$2:$E$25,0),FALSE)</f>
        <v>2.7889884925481225</v>
      </c>
      <c r="U239" s="19">
        <f>HLOOKUP(REG_TRA_DEMANDS!U$3,'BY-Demands'!$J$5:$AK$14,MATCH($E239,'BY-Demands'!$I$5:$I$14,0),FALSE)*HLOOKUP(REG_TRA_DEMANDS!$F239,DEMANDS!$G$2:$CK$25,MATCH($E239,DEMANDS!$E$2:$E$25,0),FALSE)/HLOOKUP(2018,DEMANDS!$G$2:$CK$25,MATCH($E239,DEMANDS!$E$2:$E$25,0),FALSE)</f>
        <v>0.30393233486574822</v>
      </c>
      <c r="V239" s="36">
        <f>HLOOKUP(REG_TRA_DEMANDS!V$3,'BY-Demands'!$J$5:$AK$14,MATCH($E239,'BY-Demands'!$I$5:$I$14,0),FALSE)*HLOOKUP(REG_TRA_DEMANDS!$F239,DEMANDS!$G$2:$CK$25,MATCH($E239,DEMANDS!$E$2:$E$25,0),FALSE)/HLOOKUP(2018,DEMANDS!$G$2:$CK$25,MATCH($E239,DEMANDS!$E$2:$E$25,0),FALSE)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W239" s="36">
        <f>HLOOKUP(REG_TRA_DEMANDS!W$3,'BY-Demands'!$J$5:$AK$14,MATCH($E239,'BY-Demands'!$I$5:$I$14,0),FALSE)*HLOOKUP(REG_TRA_DEMANDS!$F239,DEMANDS!$G$2:$CK$25,MATCH($E239,DEMANDS!$E$2:$E$25,0),FALSE)/HLOOKUP(2018,DEMANDS!$G$2:$CK$25,MATCH($E239,DEMANDS!$E$2:$E$25,0),FALSE)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X239" s="36">
        <f>HLOOKUP(REG_TRA_DEMANDS!X$3,'BY-Demands'!$J$5:$AK$14,MATCH($E239,'BY-Demands'!$I$5:$I$14,0),FALSE)*HLOOKUP(REG_TRA_DEMANDS!$F239,DEMANDS!$G$2:$CK$25,MATCH($E239,DEMANDS!$E$2:$E$25,0),FALSE)/HLOOKUP(2018,DEMANDS!$G$2:$CK$25,MATCH($E239,DEMANDS!$E$2:$E$25,0),FALSE)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Y239" s="36">
        <f>HLOOKUP(REG_TRA_DEMANDS!Y$3,'BY-Demands'!$J$5:$AK$14,MATCH($E239,'BY-Demands'!$I$5:$I$14,0),FALSE)*HLOOKUP(REG_TRA_DEMANDS!$F239,DEMANDS!$G$2:$CK$25,MATCH($E239,DEMANDS!$E$2:$E$25,0),FALSE)/HLOOKUP(2018,DEMANDS!$G$2:$CK$25,MATCH($E239,DEMANDS!$E$2:$E$25,0),FALSE)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Z239" s="36">
        <f>HLOOKUP(REG_TRA_DEMANDS!Z$3,'BY-Demands'!$J$5:$AK$14,MATCH($E239,'BY-Demands'!$I$5:$I$14,0),FALSE)*HLOOKUP(REG_TRA_DEMANDS!$F239,DEMANDS!$G$2:$CK$25,MATCH($E239,DEMANDS!$E$2:$E$25,0),FALSE)/HLOOKUP(2018,DEMANDS!$G$2:$CK$25,MATCH($E239,DEMANDS!$E$2:$E$25,0),FALSE)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A239" s="19">
        <f>HLOOKUP(REG_TRA_DEMANDS!AA$3,'BY-Demands'!$J$5:$AK$14,MATCH($E239,'BY-Demands'!$I$5:$I$14,0),FALSE)*HLOOKUP(REG_TRA_DEMANDS!$F239,DEMANDS!$G$2:$CK$25,MATCH($E239,DEMANDS!$E$2:$E$25,0),FALSE)/HLOOKUP(2018,DEMANDS!$G$2:$CK$25,MATCH($E239,DEMANDS!$E$2:$E$25,0),FALSE)</f>
        <v>0.86770207281024336</v>
      </c>
      <c r="AB239" s="36">
        <f>HLOOKUP(REG_TRA_DEMANDS!AB$3,'BY-Demands'!$J$5:$AK$14,MATCH($E239,'BY-Demands'!$I$5:$I$14,0),FALSE)*HLOOKUP(REG_TRA_DEMANDS!$F239,DEMANDS!$G$2:$CK$25,MATCH($E239,DEMANDS!$E$2:$E$25,0),FALSE)/HLOOKUP(2018,DEMANDS!$G$2:$CK$25,MATCH($E239,DEMANDS!$E$2:$E$25,0),FALSE)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C239" s="36">
        <f>HLOOKUP(REG_TRA_DEMANDS!AC$3,'BY-Demands'!$J$5:$AK$14,MATCH($E239,'BY-Demands'!$I$5:$I$14,0),FALSE)*HLOOKUP(REG_TRA_DEMANDS!$F239,DEMANDS!$G$2:$CK$25,MATCH($E239,DEMANDS!$E$2:$E$25,0),FALSE)/HLOOKUP(2018,DEMANDS!$G$2:$CK$25,MATCH($E239,DEMANDS!$E$2:$E$25,0),FALSE)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D239" s="36">
        <f>HLOOKUP(REG_TRA_DEMANDS!AD$3,'BY-Demands'!$J$5:$AK$14,MATCH($E239,'BY-Demands'!$I$5:$I$14,0),FALSE)*HLOOKUP(REG_TRA_DEMANDS!$F239,DEMANDS!$G$2:$CK$25,MATCH($E239,DEMANDS!$E$2:$E$25,0),FALSE)/HLOOKUP(2018,DEMANDS!$G$2:$CK$25,MATCH($E239,DEMANDS!$E$2:$E$25,0),FALSE)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E239" s="36">
        <f>HLOOKUP(REG_TRA_DEMANDS!AE$3,'BY-Demands'!$J$5:$AK$14,MATCH($E239,'BY-Demands'!$I$5:$I$14,0),FALSE)*HLOOKUP(REG_TRA_DEMANDS!$F239,DEMANDS!$G$2:$CK$25,MATCH($E239,DEMANDS!$E$2:$E$25,0),FALSE)/HLOOKUP(2018,DEMANDS!$G$2:$CK$25,MATCH($E239,DEMANDS!$E$2:$E$25,0),FALSE)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F239" s="36">
        <f>HLOOKUP(REG_TRA_DEMANDS!AF$3,'BY-Demands'!$J$5:$AK$14,MATCH($E239,'BY-Demands'!$I$5:$I$14,0),FALSE)*HLOOKUP(REG_TRA_DEMANDS!$F239,DEMANDS!$G$2:$CK$25,MATCH($E239,DEMANDS!$E$2:$E$25,0),FALSE)/HLOOKUP(2018,DEMANDS!$G$2:$CK$25,MATCH($E239,DEMANDS!$E$2:$E$25,0),FALSE)</f>
        <v>0</v>
      </c>
    </row>
    <row r="240" spans="4:32" ht="14.5">
      <c r="D240" t="s">
        <v>6</v>
      </c>
      <c r="E240" t="str">
        <f>DEMANDS!$E$25</f>
        <v>TAVIINT</v>
      </c>
      <c r="F240">
        <v>2040</v>
      </c>
      <c r="G240">
        <f>HLOOKUP(REG_TRA_DEMANDS!G$3,'BY-Demands'!$J$5:$AK$14,MATCH($E240,'BY-Demands'!$I$5:$I$14,0),FALSE)*HLOOKUP(REG_TRA_DEMANDS!$F240,DEMANDS!$G$2:$CK$25,MATCH($E240,DEMANDS!$E$2:$E$25,0),FALSE)/HLOOKUP(2018,DEMANDS!$G$2:$CK$25,MATCH($E240,DEMANDS!$E$2:$E$25,0),FALSE)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H240" s="19">
        <f>HLOOKUP(REG_TRA_DEMANDS!H$3,'BY-Demands'!$J$5:$AK$14,MATCH($E240,'BY-Demands'!$I$5:$I$14,0),FALSE)*HLOOKUP(REG_TRA_DEMANDS!$F240,DEMANDS!$G$2:$CK$25,MATCH($E240,DEMANDS!$E$2:$E$25,0),FALSE)/HLOOKUP(2018,DEMANDS!$G$2:$CK$25,MATCH($E240,DEMANDS!$E$2:$E$25,0),FALSE)</f>
        <v>51.359608834583469</v>
      </c>
      <c r="I240" s="36">
        <f>HLOOKUP(REG_TRA_DEMANDS!I$3,'BY-Demands'!$J$5:$AK$14,MATCH($E240,'BY-Demands'!$I$5:$I$14,0),FALSE)*HLOOKUP(REG_TRA_DEMANDS!$F240,DEMANDS!$G$2:$CK$25,MATCH($E240,DEMANDS!$E$2:$E$25,0),FALSE)/HLOOKUP(2018,DEMANDS!$G$2:$CK$25,MATCH($E240,DEMANDS!$E$2:$E$25,0),FALSE)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J240" s="36">
        <f>HLOOKUP(REG_TRA_DEMANDS!J$3,'BY-Demands'!$J$5:$AK$14,MATCH($E240,'BY-Demands'!$I$5:$I$14,0),FALSE)*HLOOKUP(REG_TRA_DEMANDS!$F240,DEMANDS!$G$2:$CK$25,MATCH($E240,DEMANDS!$E$2:$E$25,0),FALSE)/HLOOKUP(2018,DEMANDS!$G$2:$CK$25,MATCH($E240,DEMANDS!$E$2:$E$25,0),FALSE)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K240" s="36">
        <f>HLOOKUP(REG_TRA_DEMANDS!K$3,'BY-Demands'!$J$5:$AK$14,MATCH($E240,'BY-Demands'!$I$5:$I$14,0),FALSE)*HLOOKUP(REG_TRA_DEMANDS!$F240,DEMANDS!$G$2:$CK$25,MATCH($E240,DEMANDS!$E$2:$E$25,0),FALSE)/HLOOKUP(2018,DEMANDS!$G$2:$CK$25,MATCH($E240,DEMANDS!$E$2:$E$25,0),FALSE)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L240" s="36">
        <f>HLOOKUP(REG_TRA_DEMANDS!L$3,'BY-Demands'!$J$5:$AK$14,MATCH($E240,'BY-Demands'!$I$5:$I$14,0),FALSE)*HLOOKUP(REG_TRA_DEMANDS!$F240,DEMANDS!$G$2:$CK$25,MATCH($E240,DEMANDS!$E$2:$E$25,0),FALSE)/HLOOKUP(2018,DEMANDS!$G$2:$CK$25,MATCH($E240,DEMANDS!$E$2:$E$25,0),FALSE)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M240" s="36">
        <f>HLOOKUP(REG_TRA_DEMANDS!M$3,'BY-Demands'!$J$5:$AK$14,MATCH($E240,'BY-Demands'!$I$5:$I$14,0),FALSE)*HLOOKUP(REG_TRA_DEMANDS!$F240,DEMANDS!$G$2:$CK$25,MATCH($E240,DEMANDS!$E$2:$E$25,0),FALSE)/HLOOKUP(2018,DEMANDS!$G$2:$CK$25,MATCH($E240,DEMANDS!$E$2:$E$25,0),FALSE)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N240" s="36">
        <f>HLOOKUP(REG_TRA_DEMANDS!N$3,'BY-Demands'!$J$5:$AK$14,MATCH($E240,'BY-Demands'!$I$5:$I$14,0),FALSE)*HLOOKUP(REG_TRA_DEMANDS!$F240,DEMANDS!$G$2:$CK$25,MATCH($E240,DEMANDS!$E$2:$E$25,0),FALSE)/HLOOKUP(2018,DEMANDS!$G$2:$CK$25,MATCH($E240,DEMANDS!$E$2:$E$25,0),FALSE)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O240" s="36">
        <f>HLOOKUP(REG_TRA_DEMANDS!O$3,'BY-Demands'!$J$5:$AK$14,MATCH($E240,'BY-Demands'!$I$5:$I$14,0),FALSE)*HLOOKUP(REG_TRA_DEMANDS!$F240,DEMANDS!$G$2:$CK$25,MATCH($E240,DEMANDS!$E$2:$E$25,0),FALSE)/HLOOKUP(2018,DEMANDS!$G$2:$CK$25,MATCH($E240,DEMANDS!$E$2:$E$25,0),FALSE)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P240" s="36">
        <f>HLOOKUP(REG_TRA_DEMANDS!P$3,'BY-Demands'!$J$5:$AK$14,MATCH($E240,'BY-Demands'!$I$5:$I$14,0),FALSE)*HLOOKUP(REG_TRA_DEMANDS!$F240,DEMANDS!$G$2:$CK$25,MATCH($E240,DEMANDS!$E$2:$E$25,0),FALSE)/HLOOKUP(2018,DEMANDS!$G$2:$CK$25,MATCH($E240,DEMANDS!$E$2:$E$25,0),FALSE)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Q240" s="36">
        <f>HLOOKUP(REG_TRA_DEMANDS!Q$3,'BY-Demands'!$J$5:$AK$14,MATCH($E240,'BY-Demands'!$I$5:$I$14,0),FALSE)*HLOOKUP(REG_TRA_DEMANDS!$F240,DEMANDS!$G$2:$CK$25,MATCH($E240,DEMANDS!$E$2:$E$25,0),FALSE)/HLOOKUP(2018,DEMANDS!$G$2:$CK$25,MATCH($E240,DEMANDS!$E$2:$E$25,0),FALSE)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R240" s="36">
        <f>HLOOKUP(REG_TRA_DEMANDS!R$3,'BY-Demands'!$J$5:$AK$14,MATCH($E240,'BY-Demands'!$I$5:$I$14,0),FALSE)*HLOOKUP(REG_TRA_DEMANDS!$F240,DEMANDS!$G$2:$CK$25,MATCH($E240,DEMANDS!$E$2:$E$25,0),FALSE)/HLOOKUP(2018,DEMANDS!$G$2:$CK$25,MATCH($E240,DEMANDS!$E$2:$E$25,0),FALSE)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S240" s="19">
        <f>HLOOKUP(REG_TRA_DEMANDS!S$3,'BY-Demands'!$J$5:$AK$14,MATCH($E240,'BY-Demands'!$I$5:$I$14,0),FALSE)*HLOOKUP(REG_TRA_DEMANDS!$F240,DEMANDS!$G$2:$CK$25,MATCH($E240,DEMANDS!$E$2:$E$25,0),FALSE)/HLOOKUP(2018,DEMANDS!$G$2:$CK$25,MATCH($E240,DEMANDS!$E$2:$E$25,0),FALSE)</f>
        <v>3.0410603316140712</v>
      </c>
      <c r="T240" s="19">
        <f>HLOOKUP(REG_TRA_DEMANDS!T$3,'BY-Demands'!$J$5:$AK$14,MATCH($E240,'BY-Demands'!$I$5:$I$14,0),FALSE)*HLOOKUP(REG_TRA_DEMANDS!$F240,DEMANDS!$G$2:$CK$25,MATCH($E240,DEMANDS!$E$2:$E$25,0),FALSE)/HLOOKUP(2018,DEMANDS!$G$2:$CK$25,MATCH($E240,DEMANDS!$E$2:$E$25,0),FALSE)</f>
        <v>2.8118218654367579</v>
      </c>
      <c r="U240" s="19">
        <f>HLOOKUP(REG_TRA_DEMANDS!U$3,'BY-Demands'!$J$5:$AK$14,MATCH($E240,'BY-Demands'!$I$5:$I$14,0),FALSE)*HLOOKUP(REG_TRA_DEMANDS!$F240,DEMANDS!$G$2:$CK$25,MATCH($E240,DEMANDS!$E$2:$E$25,0),FALSE)/HLOOKUP(2018,DEMANDS!$G$2:$CK$25,MATCH($E240,DEMANDS!$E$2:$E$25,0),FALSE)</f>
        <v>0.30642062062004427</v>
      </c>
      <c r="V240">
        <f>HLOOKUP(REG_TRA_DEMANDS!V$3,'BY-Demands'!$J$5:$AK$14,MATCH($E240,'BY-Demands'!$I$5:$I$14,0),FALSE)*HLOOKUP(REG_TRA_DEMANDS!$F240,DEMANDS!$G$2:$CK$25,MATCH($E240,DEMANDS!$E$2:$E$25,0),FALSE)/HLOOKUP(2018,DEMANDS!$G$2:$CK$25,MATCH($E240,DEMANDS!$E$2:$E$25,0),FALSE)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W240">
        <f>HLOOKUP(REG_TRA_DEMANDS!W$3,'BY-Demands'!$J$5:$AK$14,MATCH($E240,'BY-Demands'!$I$5:$I$14,0),FALSE)*HLOOKUP(REG_TRA_DEMANDS!$F240,DEMANDS!$G$2:$CK$25,MATCH($E240,DEMANDS!$E$2:$E$25,0),FALSE)/HLOOKUP(2018,DEMANDS!$G$2:$CK$25,MATCH($E240,DEMANDS!$E$2:$E$25,0),FALSE)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X240">
        <f>HLOOKUP(REG_TRA_DEMANDS!X$3,'BY-Demands'!$J$5:$AK$14,MATCH($E240,'BY-Demands'!$I$5:$I$14,0),FALSE)*HLOOKUP(REG_TRA_DEMANDS!$F240,DEMANDS!$G$2:$CK$25,MATCH($E240,DEMANDS!$E$2:$E$25,0),FALSE)/HLOOKUP(2018,DEMANDS!$G$2:$CK$25,MATCH($E240,DEMANDS!$E$2:$E$25,0),FALSE)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Y240">
        <f>HLOOKUP(REG_TRA_DEMANDS!Y$3,'BY-Demands'!$J$5:$AK$14,MATCH($E240,'BY-Demands'!$I$5:$I$14,0),FALSE)*HLOOKUP(REG_TRA_DEMANDS!$F240,DEMANDS!$G$2:$CK$25,MATCH($E240,DEMANDS!$E$2:$E$25,0),FALSE)/HLOOKUP(2018,DEMANDS!$G$2:$CK$25,MATCH($E240,DEMANDS!$E$2:$E$25,0),FALSE)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Z240">
        <f>HLOOKUP(REG_TRA_DEMANDS!Z$3,'BY-Demands'!$J$5:$AK$14,MATCH($E240,'BY-Demands'!$I$5:$I$14,0),FALSE)*HLOOKUP(REG_TRA_DEMANDS!$F240,DEMANDS!$G$2:$CK$25,MATCH($E240,DEMANDS!$E$2:$E$25,0),FALSE)/HLOOKUP(2018,DEMANDS!$G$2:$CK$25,MATCH($E240,DEMANDS!$E$2:$E$25,0),FALSE)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A240" s="19">
        <f>HLOOKUP(REG_TRA_DEMANDS!AA$3,'BY-Demands'!$J$5:$AK$14,MATCH($E240,'BY-Demands'!$I$5:$I$14,0),FALSE)*HLOOKUP(REG_TRA_DEMANDS!$F240,DEMANDS!$G$2:$CK$25,MATCH($E240,DEMANDS!$E$2:$E$25,0),FALSE)/HLOOKUP(2018,DEMANDS!$G$2:$CK$25,MATCH($E240,DEMANDS!$E$2:$E$25,0),FALSE)</f>
        <v>0.87480592606659602</v>
      </c>
      <c r="AB240">
        <f>HLOOKUP(REG_TRA_DEMANDS!AB$3,'BY-Demands'!$J$5:$AK$14,MATCH($E240,'BY-Demands'!$I$5:$I$14,0),FALSE)*HLOOKUP(REG_TRA_DEMANDS!$F240,DEMANDS!$G$2:$CK$25,MATCH($E240,DEMANDS!$E$2:$E$25,0),FALSE)/HLOOKUP(2018,DEMANDS!$G$2:$CK$25,MATCH($E240,DEMANDS!$E$2:$E$25,0),FALSE)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C240">
        <f>HLOOKUP(REG_TRA_DEMANDS!AC$3,'BY-Demands'!$J$5:$AK$14,MATCH($E240,'BY-Demands'!$I$5:$I$14,0),FALSE)*HLOOKUP(REG_TRA_DEMANDS!$F240,DEMANDS!$G$2:$CK$25,MATCH($E240,DEMANDS!$E$2:$E$25,0),FALSE)/HLOOKUP(2018,DEMANDS!$G$2:$CK$25,MATCH($E240,DEMANDS!$E$2:$E$25,0),FALSE)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D240">
        <f>HLOOKUP(REG_TRA_DEMANDS!AD$3,'BY-Demands'!$J$5:$AK$14,MATCH($E240,'BY-Demands'!$I$5:$I$14,0),FALSE)*HLOOKUP(REG_TRA_DEMANDS!$F240,DEMANDS!$G$2:$CK$25,MATCH($E240,DEMANDS!$E$2:$E$25,0),FALSE)/HLOOKUP(2018,DEMANDS!$G$2:$CK$25,MATCH($E240,DEMANDS!$E$2:$E$25,0),FALSE)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E240">
        <f>HLOOKUP(REG_TRA_DEMANDS!AE$3,'BY-Demands'!$J$5:$AK$14,MATCH($E240,'BY-Demands'!$I$5:$I$14,0),FALSE)*HLOOKUP(REG_TRA_DEMANDS!$F240,DEMANDS!$G$2:$CK$25,MATCH($E240,DEMANDS!$E$2:$E$25,0),FALSE)/HLOOKUP(2018,DEMANDS!$G$2:$CK$25,MATCH($E240,DEMANDS!$E$2:$E$25,0),FALSE)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F240">
        <f>HLOOKUP(REG_TRA_DEMANDS!AF$3,'BY-Demands'!$J$5:$AK$14,MATCH($E240,'BY-Demands'!$I$5:$I$14,0),FALSE)*HLOOKUP(REG_TRA_DEMANDS!$F240,DEMANDS!$G$2:$CK$25,MATCH($E240,DEMANDS!$E$2:$E$25,0),FALSE)/HLOOKUP(2018,DEMANDS!$G$2:$CK$25,MATCH($E240,DEMANDS!$E$2:$E$25,0),FALSE)</f>
        <v>0</v>
      </c>
    </row>
    <row r="241" spans="4:32" ht="14.5">
      <c r="D241" t="s">
        <v>6</v>
      </c>
      <c r="E241" t="str">
        <f>DEMANDS!$E$25</f>
        <v>TAVIINT</v>
      </c>
      <c r="F241">
        <v>2045</v>
      </c>
      <c r="G241">
        <f>HLOOKUP(REG_TRA_DEMANDS!G$3,'BY-Demands'!$J$5:$AK$14,MATCH($E241,'BY-Demands'!$I$5:$I$14,0),FALSE)*HLOOKUP(REG_TRA_DEMANDS!$F241,DEMANDS!$G$2:$CK$25,MATCH($E241,DEMANDS!$E$2:$E$25,0),FALSE)/HLOOKUP(2018,DEMANDS!$G$2:$CK$25,MATCH($E241,DEMANDS!$E$2:$E$25,0),FALSE)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H241" s="19">
        <f>HLOOKUP(REG_TRA_DEMANDS!H$3,'BY-Demands'!$J$5:$AK$14,MATCH($E241,'BY-Demands'!$I$5:$I$14,0),FALSE)*HLOOKUP(REG_TRA_DEMANDS!$F241,DEMANDS!$G$2:$CK$25,MATCH($E241,DEMANDS!$E$2:$E$25,0),FALSE)/HLOOKUP(2018,DEMANDS!$G$2:$CK$25,MATCH($E241,DEMANDS!$E$2:$E$25,0),FALSE)</f>
        <v>53.323087905809636</v>
      </c>
      <c r="I241" s="36">
        <f>HLOOKUP(REG_TRA_DEMANDS!I$3,'BY-Demands'!$J$5:$AK$14,MATCH($E241,'BY-Demands'!$I$5:$I$14,0),FALSE)*HLOOKUP(REG_TRA_DEMANDS!$F241,DEMANDS!$G$2:$CK$25,MATCH($E241,DEMANDS!$E$2:$E$25,0),FALSE)/HLOOKUP(2018,DEMANDS!$G$2:$CK$25,MATCH($E241,DEMANDS!$E$2:$E$25,0),FALSE)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J241" s="36">
        <f>HLOOKUP(REG_TRA_DEMANDS!J$3,'BY-Demands'!$J$5:$AK$14,MATCH($E241,'BY-Demands'!$I$5:$I$14,0),FALSE)*HLOOKUP(REG_TRA_DEMANDS!$F241,DEMANDS!$G$2:$CK$25,MATCH($E241,DEMANDS!$E$2:$E$25,0),FALSE)/HLOOKUP(2018,DEMANDS!$G$2:$CK$25,MATCH($E241,DEMANDS!$E$2:$E$25,0),FALSE)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K241" s="36">
        <f>HLOOKUP(REG_TRA_DEMANDS!K$3,'BY-Demands'!$J$5:$AK$14,MATCH($E241,'BY-Demands'!$I$5:$I$14,0),FALSE)*HLOOKUP(REG_TRA_DEMANDS!$F241,DEMANDS!$G$2:$CK$25,MATCH($E241,DEMANDS!$E$2:$E$25,0),FALSE)/HLOOKUP(2018,DEMANDS!$G$2:$CK$25,MATCH($E241,DEMANDS!$E$2:$E$25,0),FALSE)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L241" s="36">
        <f>HLOOKUP(REG_TRA_DEMANDS!L$3,'BY-Demands'!$J$5:$AK$14,MATCH($E241,'BY-Demands'!$I$5:$I$14,0),FALSE)*HLOOKUP(REG_TRA_DEMANDS!$F241,DEMANDS!$G$2:$CK$25,MATCH($E241,DEMANDS!$E$2:$E$25,0),FALSE)/HLOOKUP(2018,DEMANDS!$G$2:$CK$25,MATCH($E241,DEMANDS!$E$2:$E$25,0),FALSE)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M241" s="36">
        <f>HLOOKUP(REG_TRA_DEMANDS!M$3,'BY-Demands'!$J$5:$AK$14,MATCH($E241,'BY-Demands'!$I$5:$I$14,0),FALSE)*HLOOKUP(REG_TRA_DEMANDS!$F241,DEMANDS!$G$2:$CK$25,MATCH($E241,DEMANDS!$E$2:$E$25,0),FALSE)/HLOOKUP(2018,DEMANDS!$G$2:$CK$25,MATCH($E241,DEMANDS!$E$2:$E$25,0),FALSE)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N241" s="36">
        <f>HLOOKUP(REG_TRA_DEMANDS!N$3,'BY-Demands'!$J$5:$AK$14,MATCH($E241,'BY-Demands'!$I$5:$I$14,0),FALSE)*HLOOKUP(REG_TRA_DEMANDS!$F241,DEMANDS!$G$2:$CK$25,MATCH($E241,DEMANDS!$E$2:$E$25,0),FALSE)/HLOOKUP(2018,DEMANDS!$G$2:$CK$25,MATCH($E241,DEMANDS!$E$2:$E$25,0),FALSE)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O241" s="36">
        <f>HLOOKUP(REG_TRA_DEMANDS!O$3,'BY-Demands'!$J$5:$AK$14,MATCH($E241,'BY-Demands'!$I$5:$I$14,0),FALSE)*HLOOKUP(REG_TRA_DEMANDS!$F241,DEMANDS!$G$2:$CK$25,MATCH($E241,DEMANDS!$E$2:$E$25,0),FALSE)/HLOOKUP(2018,DEMANDS!$G$2:$CK$25,MATCH($E241,DEMANDS!$E$2:$E$25,0),FALSE)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P241" s="36">
        <f>HLOOKUP(REG_TRA_DEMANDS!P$3,'BY-Demands'!$J$5:$AK$14,MATCH($E241,'BY-Demands'!$I$5:$I$14,0),FALSE)*HLOOKUP(REG_TRA_DEMANDS!$F241,DEMANDS!$G$2:$CK$25,MATCH($E241,DEMANDS!$E$2:$E$25,0),FALSE)/HLOOKUP(2018,DEMANDS!$G$2:$CK$25,MATCH($E241,DEMANDS!$E$2:$E$25,0),FALSE)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Q241" s="36">
        <f>HLOOKUP(REG_TRA_DEMANDS!Q$3,'BY-Demands'!$J$5:$AK$14,MATCH($E241,'BY-Demands'!$I$5:$I$14,0),FALSE)*HLOOKUP(REG_TRA_DEMANDS!$F241,DEMANDS!$G$2:$CK$25,MATCH($E241,DEMANDS!$E$2:$E$25,0),FALSE)/HLOOKUP(2018,DEMANDS!$G$2:$CK$25,MATCH($E241,DEMANDS!$E$2:$E$25,0),FALSE)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R241" s="36">
        <f>HLOOKUP(REG_TRA_DEMANDS!R$3,'BY-Demands'!$J$5:$AK$14,MATCH($E241,'BY-Demands'!$I$5:$I$14,0),FALSE)*HLOOKUP(REG_TRA_DEMANDS!$F241,DEMANDS!$G$2:$CK$25,MATCH($E241,DEMANDS!$E$2:$E$25,0),FALSE)/HLOOKUP(2018,DEMANDS!$G$2:$CK$25,MATCH($E241,DEMANDS!$E$2:$E$25,0),FALSE)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S241" s="19">
        <f>HLOOKUP(REG_TRA_DEMANDS!S$3,'BY-Demands'!$J$5:$AK$14,MATCH($E241,'BY-Demands'!$I$5:$I$14,0),FALSE)*HLOOKUP(REG_TRA_DEMANDS!$F241,DEMANDS!$G$2:$CK$25,MATCH($E241,DEMANDS!$E$2:$E$25,0),FALSE)/HLOOKUP(2018,DEMANDS!$G$2:$CK$25,MATCH($E241,DEMANDS!$E$2:$E$25,0),FALSE)</f>
        <v>3.1573201406537321</v>
      </c>
      <c r="T241" s="19">
        <f>HLOOKUP(REG_TRA_DEMANDS!T$3,'BY-Demands'!$J$5:$AK$14,MATCH($E241,'BY-Demands'!$I$5:$I$14,0),FALSE)*HLOOKUP(REG_TRA_DEMANDS!$F241,DEMANDS!$G$2:$CK$25,MATCH($E241,DEMANDS!$E$2:$E$25,0),FALSE)/HLOOKUP(2018,DEMANDS!$G$2:$CK$25,MATCH($E241,DEMANDS!$E$2:$E$25,0),FALSE)</f>
        <v>2.9193178824446524</v>
      </c>
      <c r="U241" s="19">
        <f>HLOOKUP(REG_TRA_DEMANDS!U$3,'BY-Demands'!$J$5:$AK$14,MATCH($E241,'BY-Demands'!$I$5:$I$14,0),FALSE)*HLOOKUP(REG_TRA_DEMANDS!$F241,DEMANDS!$G$2:$CK$25,MATCH($E241,DEMANDS!$E$2:$E$25,0),FALSE)/HLOOKUP(2018,DEMANDS!$G$2:$CK$25,MATCH($E241,DEMANDS!$E$2:$E$25,0),FALSE)</f>
        <v>0.31813508825778186</v>
      </c>
      <c r="V241">
        <f>HLOOKUP(REG_TRA_DEMANDS!V$3,'BY-Demands'!$J$5:$AK$14,MATCH($E241,'BY-Demands'!$I$5:$I$14,0),FALSE)*HLOOKUP(REG_TRA_DEMANDS!$F241,DEMANDS!$G$2:$CK$25,MATCH($E241,DEMANDS!$E$2:$E$25,0),FALSE)/HLOOKUP(2018,DEMANDS!$G$2:$CK$25,MATCH($E241,DEMANDS!$E$2:$E$25,0),FALSE)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W241">
        <f>HLOOKUP(REG_TRA_DEMANDS!W$3,'BY-Demands'!$J$5:$AK$14,MATCH($E241,'BY-Demands'!$I$5:$I$14,0),FALSE)*HLOOKUP(REG_TRA_DEMANDS!$F241,DEMANDS!$G$2:$CK$25,MATCH($E241,DEMANDS!$E$2:$E$25,0),FALSE)/HLOOKUP(2018,DEMANDS!$G$2:$CK$25,MATCH($E241,DEMANDS!$E$2:$E$25,0),FALSE)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X241">
        <f>HLOOKUP(REG_TRA_DEMANDS!X$3,'BY-Demands'!$J$5:$AK$14,MATCH($E241,'BY-Demands'!$I$5:$I$14,0),FALSE)*HLOOKUP(REG_TRA_DEMANDS!$F241,DEMANDS!$G$2:$CK$25,MATCH($E241,DEMANDS!$E$2:$E$25,0),FALSE)/HLOOKUP(2018,DEMANDS!$G$2:$CK$25,MATCH($E241,DEMANDS!$E$2:$E$25,0),FALSE)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Y241">
        <f>HLOOKUP(REG_TRA_DEMANDS!Y$3,'BY-Demands'!$J$5:$AK$14,MATCH($E241,'BY-Demands'!$I$5:$I$14,0),FALSE)*HLOOKUP(REG_TRA_DEMANDS!$F241,DEMANDS!$G$2:$CK$25,MATCH($E241,DEMANDS!$E$2:$E$25,0),FALSE)/HLOOKUP(2018,DEMANDS!$G$2:$CK$25,MATCH($E241,DEMANDS!$E$2:$E$25,0),FALSE)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Z241">
        <f>HLOOKUP(REG_TRA_DEMANDS!Z$3,'BY-Demands'!$J$5:$AK$14,MATCH($E241,'BY-Demands'!$I$5:$I$14,0),FALSE)*HLOOKUP(REG_TRA_DEMANDS!$F241,DEMANDS!$G$2:$CK$25,MATCH($E241,DEMANDS!$E$2:$E$25,0),FALSE)/HLOOKUP(2018,DEMANDS!$G$2:$CK$25,MATCH($E241,DEMANDS!$E$2:$E$25,0),FALSE)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A241" s="19">
        <f>HLOOKUP(REG_TRA_DEMANDS!AA$3,'BY-Demands'!$J$5:$AK$14,MATCH($E241,'BY-Demands'!$I$5:$I$14,0),FALSE)*HLOOKUP(REG_TRA_DEMANDS!$F241,DEMANDS!$G$2:$CK$25,MATCH($E241,DEMANDS!$E$2:$E$25,0),FALSE)/HLOOKUP(2018,DEMANDS!$G$2:$CK$25,MATCH($E241,DEMANDS!$E$2:$E$25,0),FALSE)</f>
        <v>0.90824977749366886</v>
      </c>
      <c r="AB241">
        <f>HLOOKUP(REG_TRA_DEMANDS!AB$3,'BY-Demands'!$J$5:$AK$14,MATCH($E241,'BY-Demands'!$I$5:$I$14,0),FALSE)*HLOOKUP(REG_TRA_DEMANDS!$F241,DEMANDS!$G$2:$CK$25,MATCH($E241,DEMANDS!$E$2:$E$25,0),FALSE)/HLOOKUP(2018,DEMANDS!$G$2:$CK$25,MATCH($E241,DEMANDS!$E$2:$E$25,0),FALSE)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C241">
        <f>HLOOKUP(REG_TRA_DEMANDS!AC$3,'BY-Demands'!$J$5:$AK$14,MATCH($E241,'BY-Demands'!$I$5:$I$14,0),FALSE)*HLOOKUP(REG_TRA_DEMANDS!$F241,DEMANDS!$G$2:$CK$25,MATCH($E241,DEMANDS!$E$2:$E$25,0),FALSE)/HLOOKUP(2018,DEMANDS!$G$2:$CK$25,MATCH($E241,DEMANDS!$E$2:$E$25,0),FALSE)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D241">
        <f>HLOOKUP(REG_TRA_DEMANDS!AD$3,'BY-Demands'!$J$5:$AK$14,MATCH($E241,'BY-Demands'!$I$5:$I$14,0),FALSE)*HLOOKUP(REG_TRA_DEMANDS!$F241,DEMANDS!$G$2:$CK$25,MATCH($E241,DEMANDS!$E$2:$E$25,0),FALSE)/HLOOKUP(2018,DEMANDS!$G$2:$CK$25,MATCH($E241,DEMANDS!$E$2:$E$25,0),FALSE)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E241">
        <f>HLOOKUP(REG_TRA_DEMANDS!AE$3,'BY-Demands'!$J$5:$AK$14,MATCH($E241,'BY-Demands'!$I$5:$I$14,0),FALSE)*HLOOKUP(REG_TRA_DEMANDS!$F241,DEMANDS!$G$2:$CK$25,MATCH($E241,DEMANDS!$E$2:$E$25,0),FALSE)/HLOOKUP(2018,DEMANDS!$G$2:$CK$25,MATCH($E241,DEMANDS!$E$2:$E$25,0),FALSE)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F241">
        <f>HLOOKUP(REG_TRA_DEMANDS!AF$3,'BY-Demands'!$J$5:$AK$14,MATCH($E241,'BY-Demands'!$I$5:$I$14,0),FALSE)*HLOOKUP(REG_TRA_DEMANDS!$F241,DEMANDS!$G$2:$CK$25,MATCH($E241,DEMANDS!$E$2:$E$25,0),FALSE)/HLOOKUP(2018,DEMANDS!$G$2:$CK$25,MATCH($E241,DEMANDS!$E$2:$E$25,0),FALSE)</f>
        <v>0</v>
      </c>
    </row>
    <row r="242" spans="4:32" ht="14.5">
      <c r="D242" t="s">
        <v>6</v>
      </c>
      <c r="E242" t="str">
        <f>DEMANDS!$E$25</f>
        <v>TAVIINT</v>
      </c>
      <c r="F242">
        <v>2050</v>
      </c>
      <c r="G242">
        <f>HLOOKUP(REG_TRA_DEMANDS!G$3,'BY-Demands'!$J$5:$AK$14,MATCH($E242,'BY-Demands'!$I$5:$I$14,0),FALSE)*HLOOKUP(REG_TRA_DEMANDS!$F242,DEMANDS!$G$2:$CK$25,MATCH($E242,DEMANDS!$E$2:$E$25,0),FALSE)/HLOOKUP(2018,DEMANDS!$G$2:$CK$25,MATCH($E242,DEMANDS!$E$2:$E$25,0),FALSE)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H242" s="19">
        <f>HLOOKUP(REG_TRA_DEMANDS!H$3,'BY-Demands'!$J$5:$AK$14,MATCH($E242,'BY-Demands'!$I$5:$I$14,0),FALSE)*HLOOKUP(REG_TRA_DEMANDS!$F242,DEMANDS!$G$2:$CK$25,MATCH($E242,DEMANDS!$E$2:$E$25,0),FALSE)/HLOOKUP(2018,DEMANDS!$G$2:$CK$25,MATCH($E242,DEMANDS!$E$2:$E$25,0),FALSE)</f>
        <v>55.097895624127688</v>
      </c>
      <c r="I242" s="36">
        <f>HLOOKUP(REG_TRA_DEMANDS!I$3,'BY-Demands'!$J$5:$AK$14,MATCH($E242,'BY-Demands'!$I$5:$I$14,0),FALSE)*HLOOKUP(REG_TRA_DEMANDS!$F242,DEMANDS!$G$2:$CK$25,MATCH($E242,DEMANDS!$E$2:$E$25,0),FALSE)/HLOOKUP(2018,DEMANDS!$G$2:$CK$25,MATCH($E242,DEMANDS!$E$2:$E$25,0),FALSE)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J242" s="36">
        <f>HLOOKUP(REG_TRA_DEMANDS!J$3,'BY-Demands'!$J$5:$AK$14,MATCH($E242,'BY-Demands'!$I$5:$I$14,0),FALSE)*HLOOKUP(REG_TRA_DEMANDS!$F242,DEMANDS!$G$2:$CK$25,MATCH($E242,DEMANDS!$E$2:$E$25,0),FALSE)/HLOOKUP(2018,DEMANDS!$G$2:$CK$25,MATCH($E242,DEMANDS!$E$2:$E$25,0),FALSE)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K242" s="36">
        <f>HLOOKUP(REG_TRA_DEMANDS!K$3,'BY-Demands'!$J$5:$AK$14,MATCH($E242,'BY-Demands'!$I$5:$I$14,0),FALSE)*HLOOKUP(REG_TRA_DEMANDS!$F242,DEMANDS!$G$2:$CK$25,MATCH($E242,DEMANDS!$E$2:$E$25,0),FALSE)/HLOOKUP(2018,DEMANDS!$G$2:$CK$25,MATCH($E242,DEMANDS!$E$2:$E$25,0),FALSE)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L242" s="36">
        <f>HLOOKUP(REG_TRA_DEMANDS!L$3,'BY-Demands'!$J$5:$AK$14,MATCH($E242,'BY-Demands'!$I$5:$I$14,0),FALSE)*HLOOKUP(REG_TRA_DEMANDS!$F242,DEMANDS!$G$2:$CK$25,MATCH($E242,DEMANDS!$E$2:$E$25,0),FALSE)/HLOOKUP(2018,DEMANDS!$G$2:$CK$25,MATCH($E242,DEMANDS!$E$2:$E$25,0),FALSE)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M242" s="36">
        <f>HLOOKUP(REG_TRA_DEMANDS!M$3,'BY-Demands'!$J$5:$AK$14,MATCH($E242,'BY-Demands'!$I$5:$I$14,0),FALSE)*HLOOKUP(REG_TRA_DEMANDS!$F242,DEMANDS!$G$2:$CK$25,MATCH($E242,DEMANDS!$E$2:$E$25,0),FALSE)/HLOOKUP(2018,DEMANDS!$G$2:$CK$25,MATCH($E242,DEMANDS!$E$2:$E$25,0),FALSE)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N242" s="36">
        <f>HLOOKUP(REG_TRA_DEMANDS!N$3,'BY-Demands'!$J$5:$AK$14,MATCH($E242,'BY-Demands'!$I$5:$I$14,0),FALSE)*HLOOKUP(REG_TRA_DEMANDS!$F242,DEMANDS!$G$2:$CK$25,MATCH($E242,DEMANDS!$E$2:$E$25,0),FALSE)/HLOOKUP(2018,DEMANDS!$G$2:$CK$25,MATCH($E242,DEMANDS!$E$2:$E$25,0),FALSE)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O242" s="36">
        <f>HLOOKUP(REG_TRA_DEMANDS!O$3,'BY-Demands'!$J$5:$AK$14,MATCH($E242,'BY-Demands'!$I$5:$I$14,0),FALSE)*HLOOKUP(REG_TRA_DEMANDS!$F242,DEMANDS!$G$2:$CK$25,MATCH($E242,DEMANDS!$E$2:$E$25,0),FALSE)/HLOOKUP(2018,DEMANDS!$G$2:$CK$25,MATCH($E242,DEMANDS!$E$2:$E$25,0),FALSE)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P242" s="36">
        <f>HLOOKUP(REG_TRA_DEMANDS!P$3,'BY-Demands'!$J$5:$AK$14,MATCH($E242,'BY-Demands'!$I$5:$I$14,0),FALSE)*HLOOKUP(REG_TRA_DEMANDS!$F242,DEMANDS!$G$2:$CK$25,MATCH($E242,DEMANDS!$E$2:$E$25,0),FALSE)/HLOOKUP(2018,DEMANDS!$G$2:$CK$25,MATCH($E242,DEMANDS!$E$2:$E$25,0),FALSE)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Q242" s="36">
        <f>HLOOKUP(REG_TRA_DEMANDS!Q$3,'BY-Demands'!$J$5:$AK$14,MATCH($E242,'BY-Demands'!$I$5:$I$14,0),FALSE)*HLOOKUP(REG_TRA_DEMANDS!$F242,DEMANDS!$G$2:$CK$25,MATCH($E242,DEMANDS!$E$2:$E$25,0),FALSE)/HLOOKUP(2018,DEMANDS!$G$2:$CK$25,MATCH($E242,DEMANDS!$E$2:$E$25,0),FALSE)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R242" s="36">
        <f>HLOOKUP(REG_TRA_DEMANDS!R$3,'BY-Demands'!$J$5:$AK$14,MATCH($E242,'BY-Demands'!$I$5:$I$14,0),FALSE)*HLOOKUP(REG_TRA_DEMANDS!$F242,DEMANDS!$G$2:$CK$25,MATCH($E242,DEMANDS!$E$2:$E$25,0),FALSE)/HLOOKUP(2018,DEMANDS!$G$2:$CK$25,MATCH($E242,DEMANDS!$E$2:$E$25,0),FALSE)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S242" s="19">
        <f>HLOOKUP(REG_TRA_DEMANDS!S$3,'BY-Demands'!$J$5:$AK$14,MATCH($E242,'BY-Demands'!$I$5:$I$14,0),FALSE)*HLOOKUP(REG_TRA_DEMANDS!$F242,DEMANDS!$G$2:$CK$25,MATCH($E242,DEMANDS!$E$2:$E$25,0),FALSE)/HLOOKUP(2018,DEMANDS!$G$2:$CK$25,MATCH($E242,DEMANDS!$E$2:$E$25,0),FALSE)</f>
        <v>3.2624085062174739</v>
      </c>
      <c r="T242" s="19">
        <f>HLOOKUP(REG_TRA_DEMANDS!T$3,'BY-Demands'!$J$5:$AK$14,MATCH($E242,'BY-Demands'!$I$5:$I$14,0),FALSE)*HLOOKUP(REG_TRA_DEMANDS!$F242,DEMANDS!$G$2:$CK$25,MATCH($E242,DEMANDS!$E$2:$E$25,0),FALSE)/HLOOKUP(2018,DEMANDS!$G$2:$CK$25,MATCH($E242,DEMANDS!$E$2:$E$25,0),FALSE)</f>
        <v>3.0164845716495021</v>
      </c>
      <c r="U242" s="19">
        <f>HLOOKUP(REG_TRA_DEMANDS!U$3,'BY-Demands'!$J$5:$AK$14,MATCH($E242,'BY-Demands'!$I$5:$I$14,0),FALSE)*HLOOKUP(REG_TRA_DEMANDS!$F242,DEMANDS!$G$2:$CK$25,MATCH($E242,DEMANDS!$E$2:$E$25,0),FALSE)/HLOOKUP(2018,DEMANDS!$G$2:$CK$25,MATCH($E242,DEMANDS!$E$2:$E$25,0),FALSE)</f>
        <v>0.32872390882843355</v>
      </c>
      <c r="V242">
        <f>HLOOKUP(REG_TRA_DEMANDS!V$3,'BY-Demands'!$J$5:$AK$14,MATCH($E242,'BY-Demands'!$I$5:$I$14,0),FALSE)*HLOOKUP(REG_TRA_DEMANDS!$F242,DEMANDS!$G$2:$CK$25,MATCH($E242,DEMANDS!$E$2:$E$25,0),FALSE)/HLOOKUP(2018,DEMANDS!$G$2:$CK$25,MATCH($E242,DEMANDS!$E$2:$E$25,0),FALSE)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W242">
        <f>HLOOKUP(REG_TRA_DEMANDS!W$3,'BY-Demands'!$J$5:$AK$14,MATCH($E242,'BY-Demands'!$I$5:$I$14,0),FALSE)*HLOOKUP(REG_TRA_DEMANDS!$F242,DEMANDS!$G$2:$CK$25,MATCH($E242,DEMANDS!$E$2:$E$25,0),FALSE)/HLOOKUP(2018,DEMANDS!$G$2:$CK$25,MATCH($E242,DEMANDS!$E$2:$E$25,0),FALSE)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X242">
        <f>HLOOKUP(REG_TRA_DEMANDS!X$3,'BY-Demands'!$J$5:$AK$14,MATCH($E242,'BY-Demands'!$I$5:$I$14,0),FALSE)*HLOOKUP(REG_TRA_DEMANDS!$F242,DEMANDS!$G$2:$CK$25,MATCH($E242,DEMANDS!$E$2:$E$25,0),FALSE)/HLOOKUP(2018,DEMANDS!$G$2:$CK$25,MATCH($E242,DEMANDS!$E$2:$E$25,0),FALSE)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Y242">
        <f>HLOOKUP(REG_TRA_DEMANDS!Y$3,'BY-Demands'!$J$5:$AK$14,MATCH($E242,'BY-Demands'!$I$5:$I$14,0),FALSE)*HLOOKUP(REG_TRA_DEMANDS!$F242,DEMANDS!$G$2:$CK$25,MATCH($E242,DEMANDS!$E$2:$E$25,0),FALSE)/HLOOKUP(2018,DEMANDS!$G$2:$CK$25,MATCH($E242,DEMANDS!$E$2:$E$25,0),FALSE)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Z242">
        <f>HLOOKUP(REG_TRA_DEMANDS!Z$3,'BY-Demands'!$J$5:$AK$14,MATCH($E242,'BY-Demands'!$I$5:$I$14,0),FALSE)*HLOOKUP(REG_TRA_DEMANDS!$F242,DEMANDS!$G$2:$CK$25,MATCH($E242,DEMANDS!$E$2:$E$25,0),FALSE)/HLOOKUP(2018,DEMANDS!$G$2:$CK$25,MATCH($E242,DEMANDS!$E$2:$E$25,0),FALSE)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A242" s="19">
        <f>HLOOKUP(REG_TRA_DEMANDS!AA$3,'BY-Demands'!$J$5:$AK$14,MATCH($E242,'BY-Demands'!$I$5:$I$14,0),FALSE)*HLOOKUP(REG_TRA_DEMANDS!$F242,DEMANDS!$G$2:$CK$25,MATCH($E242,DEMANDS!$E$2:$E$25,0),FALSE)/HLOOKUP(2018,DEMANDS!$G$2:$CK$25,MATCH($E242,DEMANDS!$E$2:$E$25,0),FALSE)</f>
        <v>0.93847999818350969</v>
      </c>
      <c r="AB242">
        <f>HLOOKUP(REG_TRA_DEMANDS!AB$3,'BY-Demands'!$J$5:$AK$14,MATCH($E242,'BY-Demands'!$I$5:$I$14,0),FALSE)*HLOOKUP(REG_TRA_DEMANDS!$F242,DEMANDS!$G$2:$CK$25,MATCH($E242,DEMANDS!$E$2:$E$25,0),FALSE)/HLOOKUP(2018,DEMANDS!$G$2:$CK$25,MATCH($E242,DEMANDS!$E$2:$E$25,0),FALSE)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C242">
        <f>HLOOKUP(REG_TRA_DEMANDS!AC$3,'BY-Demands'!$J$5:$AK$14,MATCH($E242,'BY-Demands'!$I$5:$I$14,0),FALSE)*HLOOKUP(REG_TRA_DEMANDS!$F242,DEMANDS!$G$2:$CK$25,MATCH($E242,DEMANDS!$E$2:$E$25,0),FALSE)/HLOOKUP(2018,DEMANDS!$G$2:$CK$25,MATCH($E242,DEMANDS!$E$2:$E$25,0),FALSE)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D242">
        <f>HLOOKUP(REG_TRA_DEMANDS!AD$3,'BY-Demands'!$J$5:$AK$14,MATCH($E242,'BY-Demands'!$I$5:$I$14,0),FALSE)*HLOOKUP(REG_TRA_DEMANDS!$F242,DEMANDS!$G$2:$CK$25,MATCH($E242,DEMANDS!$E$2:$E$25,0),FALSE)/HLOOKUP(2018,DEMANDS!$G$2:$CK$25,MATCH($E242,DEMANDS!$E$2:$E$25,0),FALSE)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E242">
        <f>HLOOKUP(REG_TRA_DEMANDS!AE$3,'BY-Demands'!$J$5:$AK$14,MATCH($E242,'BY-Demands'!$I$5:$I$14,0),FALSE)*HLOOKUP(REG_TRA_DEMANDS!$F242,DEMANDS!$G$2:$CK$25,MATCH($E242,DEMANDS!$E$2:$E$25,0),FALSE)/HLOOKUP(2018,DEMANDS!$G$2:$CK$25,MATCH($E242,DEMANDS!$E$2:$E$25,0),FALSE)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F242">
        <f>HLOOKUP(REG_TRA_DEMANDS!AF$3,'BY-Demands'!$J$5:$AK$14,MATCH($E242,'BY-Demands'!$I$5:$I$14,0),FALSE)*HLOOKUP(REG_TRA_DEMANDS!$F242,DEMANDS!$G$2:$CK$25,MATCH($E242,DEMANDS!$E$2:$E$25,0),FALSE)/HLOOKUP(2018,DEMANDS!$G$2:$CK$25,MATCH($E242,DEMANDS!$E$2:$E$25,0),FALSE)</f>
        <v>0</v>
      </c>
    </row>
    <row r="243" spans="4:32" ht="14.5">
      <c r="D243" t="s">
        <v>6</v>
      </c>
      <c r="E243" t="str">
        <f>DEMANDS!$E$25</f>
        <v>TAVIINT</v>
      </c>
      <c r="F243">
        <v>2055</v>
      </c>
      <c r="G243">
        <f>HLOOKUP(REG_TRA_DEMANDS!G$3,'BY-Demands'!$J$5:$AK$14,MATCH($E243,'BY-Demands'!$I$5:$I$14,0),FALSE)*HLOOKUP(REG_TRA_DEMANDS!$F243,DEMANDS!$G$2:$CK$25,MATCH($E243,DEMANDS!$E$2:$E$25,0),FALSE)/HLOOKUP(2018,DEMANDS!$G$2:$CK$25,MATCH($E243,DEMANDS!$E$2:$E$25,0),FALSE)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H243" s="19">
        <f>HLOOKUP(REG_TRA_DEMANDS!H$3,'BY-Demands'!$J$5:$AK$14,MATCH($E243,'BY-Demands'!$I$5:$I$14,0),FALSE)*HLOOKUP(REG_TRA_DEMANDS!$F243,DEMANDS!$G$2:$CK$25,MATCH($E243,DEMANDS!$E$2:$E$25,0),FALSE)/HLOOKUP(2018,DEMANDS!$G$2:$CK$25,MATCH($E243,DEMANDS!$E$2:$E$25,0),FALSE)</f>
        <v>56.702161475105278</v>
      </c>
      <c r="I243" s="36">
        <f>HLOOKUP(REG_TRA_DEMANDS!I$3,'BY-Demands'!$J$5:$AK$14,MATCH($E243,'BY-Demands'!$I$5:$I$14,0),FALSE)*HLOOKUP(REG_TRA_DEMANDS!$F243,DEMANDS!$G$2:$CK$25,MATCH($E243,DEMANDS!$E$2:$E$25,0),FALSE)/HLOOKUP(2018,DEMANDS!$G$2:$CK$25,MATCH($E243,DEMANDS!$E$2:$E$25,0),FALSE)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J243" s="36">
        <f>HLOOKUP(REG_TRA_DEMANDS!J$3,'BY-Demands'!$J$5:$AK$14,MATCH($E243,'BY-Demands'!$I$5:$I$14,0),FALSE)*HLOOKUP(REG_TRA_DEMANDS!$F243,DEMANDS!$G$2:$CK$25,MATCH($E243,DEMANDS!$E$2:$E$25,0),FALSE)/HLOOKUP(2018,DEMANDS!$G$2:$CK$25,MATCH($E243,DEMANDS!$E$2:$E$25,0),FALSE)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K243" s="36">
        <f>HLOOKUP(REG_TRA_DEMANDS!K$3,'BY-Demands'!$J$5:$AK$14,MATCH($E243,'BY-Demands'!$I$5:$I$14,0),FALSE)*HLOOKUP(REG_TRA_DEMANDS!$F243,DEMANDS!$G$2:$CK$25,MATCH($E243,DEMANDS!$E$2:$E$25,0),FALSE)/HLOOKUP(2018,DEMANDS!$G$2:$CK$25,MATCH($E243,DEMANDS!$E$2:$E$25,0),FALSE)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L243" s="36">
        <f>HLOOKUP(REG_TRA_DEMANDS!L$3,'BY-Demands'!$J$5:$AK$14,MATCH($E243,'BY-Demands'!$I$5:$I$14,0),FALSE)*HLOOKUP(REG_TRA_DEMANDS!$F243,DEMANDS!$G$2:$CK$25,MATCH($E243,DEMANDS!$E$2:$E$25,0),FALSE)/HLOOKUP(2018,DEMANDS!$G$2:$CK$25,MATCH($E243,DEMANDS!$E$2:$E$25,0),FALSE)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M243" s="36">
        <f>HLOOKUP(REG_TRA_DEMANDS!M$3,'BY-Demands'!$J$5:$AK$14,MATCH($E243,'BY-Demands'!$I$5:$I$14,0),FALSE)*HLOOKUP(REG_TRA_DEMANDS!$F243,DEMANDS!$G$2:$CK$25,MATCH($E243,DEMANDS!$E$2:$E$25,0),FALSE)/HLOOKUP(2018,DEMANDS!$G$2:$CK$25,MATCH($E243,DEMANDS!$E$2:$E$25,0),FALSE)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N243" s="36">
        <f>HLOOKUP(REG_TRA_DEMANDS!N$3,'BY-Demands'!$J$5:$AK$14,MATCH($E243,'BY-Demands'!$I$5:$I$14,0),FALSE)*HLOOKUP(REG_TRA_DEMANDS!$F243,DEMANDS!$G$2:$CK$25,MATCH($E243,DEMANDS!$E$2:$E$25,0),FALSE)/HLOOKUP(2018,DEMANDS!$G$2:$CK$25,MATCH($E243,DEMANDS!$E$2:$E$25,0),FALSE)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O243" s="36">
        <f>HLOOKUP(REG_TRA_DEMANDS!O$3,'BY-Demands'!$J$5:$AK$14,MATCH($E243,'BY-Demands'!$I$5:$I$14,0),FALSE)*HLOOKUP(REG_TRA_DEMANDS!$F243,DEMANDS!$G$2:$CK$25,MATCH($E243,DEMANDS!$E$2:$E$25,0),FALSE)/HLOOKUP(2018,DEMANDS!$G$2:$CK$25,MATCH($E243,DEMANDS!$E$2:$E$25,0),FALSE)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P243" s="36">
        <f>HLOOKUP(REG_TRA_DEMANDS!P$3,'BY-Demands'!$J$5:$AK$14,MATCH($E243,'BY-Demands'!$I$5:$I$14,0),FALSE)*HLOOKUP(REG_TRA_DEMANDS!$F243,DEMANDS!$G$2:$CK$25,MATCH($E243,DEMANDS!$E$2:$E$25,0),FALSE)/HLOOKUP(2018,DEMANDS!$G$2:$CK$25,MATCH($E243,DEMANDS!$E$2:$E$25,0),FALSE)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Q243" s="36">
        <f>HLOOKUP(REG_TRA_DEMANDS!Q$3,'BY-Demands'!$J$5:$AK$14,MATCH($E243,'BY-Demands'!$I$5:$I$14,0),FALSE)*HLOOKUP(REG_TRA_DEMANDS!$F243,DEMANDS!$G$2:$CK$25,MATCH($E243,DEMANDS!$E$2:$E$25,0),FALSE)/HLOOKUP(2018,DEMANDS!$G$2:$CK$25,MATCH($E243,DEMANDS!$E$2:$E$25,0),FALSE)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R243" s="36">
        <f>HLOOKUP(REG_TRA_DEMANDS!R$3,'BY-Demands'!$J$5:$AK$14,MATCH($E243,'BY-Demands'!$I$5:$I$14,0),FALSE)*HLOOKUP(REG_TRA_DEMANDS!$F243,DEMANDS!$G$2:$CK$25,MATCH($E243,DEMANDS!$E$2:$E$25,0),FALSE)/HLOOKUP(2018,DEMANDS!$G$2:$CK$25,MATCH($E243,DEMANDS!$E$2:$E$25,0),FALSE)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S243" s="19">
        <f>HLOOKUP(REG_TRA_DEMANDS!S$3,'BY-Demands'!$J$5:$AK$14,MATCH($E243,'BY-Demands'!$I$5:$I$14,0),FALSE)*HLOOKUP(REG_TRA_DEMANDS!$F243,DEMANDS!$G$2:$CK$25,MATCH($E243,DEMANDS!$E$2:$E$25,0),FALSE)/HLOOKUP(2018,DEMANDS!$G$2:$CK$25,MATCH($E243,DEMANDS!$E$2:$E$25,0),FALSE)</f>
        <v>3.3573988955813023</v>
      </c>
      <c r="T243" s="19">
        <f>HLOOKUP(REG_TRA_DEMANDS!T$3,'BY-Demands'!$J$5:$AK$14,MATCH($E243,'BY-Demands'!$I$5:$I$14,0),FALSE)*HLOOKUP(REG_TRA_DEMANDS!$F243,DEMANDS!$G$2:$CK$25,MATCH($E243,DEMANDS!$E$2:$E$25,0),FALSE)/HLOOKUP(2018,DEMANDS!$G$2:$CK$25,MATCH($E243,DEMANDS!$E$2:$E$25,0),FALSE)</f>
        <v>3.1043144811856278</v>
      </c>
      <c r="U243" s="19">
        <f>HLOOKUP(REG_TRA_DEMANDS!U$3,'BY-Demands'!$J$5:$AK$14,MATCH($E243,'BY-Demands'!$I$5:$I$14,0),FALSE)*HLOOKUP(REG_TRA_DEMANDS!$F243,DEMANDS!$G$2:$CK$25,MATCH($E243,DEMANDS!$E$2:$E$25,0),FALSE)/HLOOKUP(2018,DEMANDS!$G$2:$CK$25,MATCH($E243,DEMANDS!$E$2:$E$25,0),FALSE)</f>
        <v>0.33829524608840672</v>
      </c>
      <c r="V243">
        <f>HLOOKUP(REG_TRA_DEMANDS!V$3,'BY-Demands'!$J$5:$AK$14,MATCH($E243,'BY-Demands'!$I$5:$I$14,0),FALSE)*HLOOKUP(REG_TRA_DEMANDS!$F243,DEMANDS!$G$2:$CK$25,MATCH($E243,DEMANDS!$E$2:$E$25,0),FALSE)/HLOOKUP(2018,DEMANDS!$G$2:$CK$25,MATCH($E243,DEMANDS!$E$2:$E$25,0),FALSE)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W243">
        <f>HLOOKUP(REG_TRA_DEMANDS!W$3,'BY-Demands'!$J$5:$AK$14,MATCH($E243,'BY-Demands'!$I$5:$I$14,0),FALSE)*HLOOKUP(REG_TRA_DEMANDS!$F243,DEMANDS!$G$2:$CK$25,MATCH($E243,DEMANDS!$E$2:$E$25,0),FALSE)/HLOOKUP(2018,DEMANDS!$G$2:$CK$25,MATCH($E243,DEMANDS!$E$2:$E$25,0),FALSE)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X243">
        <f>HLOOKUP(REG_TRA_DEMANDS!X$3,'BY-Demands'!$J$5:$AK$14,MATCH($E243,'BY-Demands'!$I$5:$I$14,0),FALSE)*HLOOKUP(REG_TRA_DEMANDS!$F243,DEMANDS!$G$2:$CK$25,MATCH($E243,DEMANDS!$E$2:$E$25,0),FALSE)/HLOOKUP(2018,DEMANDS!$G$2:$CK$25,MATCH($E243,DEMANDS!$E$2:$E$25,0),FALSE)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Y243">
        <f>HLOOKUP(REG_TRA_DEMANDS!Y$3,'BY-Demands'!$J$5:$AK$14,MATCH($E243,'BY-Demands'!$I$5:$I$14,0),FALSE)*HLOOKUP(REG_TRA_DEMANDS!$F243,DEMANDS!$G$2:$CK$25,MATCH($E243,DEMANDS!$E$2:$E$25,0),FALSE)/HLOOKUP(2018,DEMANDS!$G$2:$CK$25,MATCH($E243,DEMANDS!$E$2:$E$25,0),FALSE)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Z243">
        <f>HLOOKUP(REG_TRA_DEMANDS!Z$3,'BY-Demands'!$J$5:$AK$14,MATCH($E243,'BY-Demands'!$I$5:$I$14,0),FALSE)*HLOOKUP(REG_TRA_DEMANDS!$F243,DEMANDS!$G$2:$CK$25,MATCH($E243,DEMANDS!$E$2:$E$25,0),FALSE)/HLOOKUP(2018,DEMANDS!$G$2:$CK$25,MATCH($E243,DEMANDS!$E$2:$E$25,0),FALSE)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A243" s="19">
        <f>HLOOKUP(REG_TRA_DEMANDS!AA$3,'BY-Demands'!$J$5:$AK$14,MATCH($E243,'BY-Demands'!$I$5:$I$14,0),FALSE)*HLOOKUP(REG_TRA_DEMANDS!$F243,DEMANDS!$G$2:$CK$25,MATCH($E243,DEMANDS!$E$2:$E$25,0),FALSE)/HLOOKUP(2018,DEMANDS!$G$2:$CK$25,MATCH($E243,DEMANDS!$E$2:$E$25,0),FALSE)</f>
        <v>0.96580538685501494</v>
      </c>
      <c r="AB243">
        <f>HLOOKUP(REG_TRA_DEMANDS!AB$3,'BY-Demands'!$J$5:$AK$14,MATCH($E243,'BY-Demands'!$I$5:$I$14,0),FALSE)*HLOOKUP(REG_TRA_DEMANDS!$F243,DEMANDS!$G$2:$CK$25,MATCH($E243,DEMANDS!$E$2:$E$25,0),FALSE)/HLOOKUP(2018,DEMANDS!$G$2:$CK$25,MATCH($E243,DEMANDS!$E$2:$E$25,0),FALSE)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C243">
        <f>HLOOKUP(REG_TRA_DEMANDS!AC$3,'BY-Demands'!$J$5:$AK$14,MATCH($E243,'BY-Demands'!$I$5:$I$14,0),FALSE)*HLOOKUP(REG_TRA_DEMANDS!$F243,DEMANDS!$G$2:$CK$25,MATCH($E243,DEMANDS!$E$2:$E$25,0),FALSE)/HLOOKUP(2018,DEMANDS!$G$2:$CK$25,MATCH($E243,DEMANDS!$E$2:$E$25,0),FALSE)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D243">
        <f>HLOOKUP(REG_TRA_DEMANDS!AD$3,'BY-Demands'!$J$5:$AK$14,MATCH($E243,'BY-Demands'!$I$5:$I$14,0),FALSE)*HLOOKUP(REG_TRA_DEMANDS!$F243,DEMANDS!$G$2:$CK$25,MATCH($E243,DEMANDS!$E$2:$E$25,0),FALSE)/HLOOKUP(2018,DEMANDS!$G$2:$CK$25,MATCH($E243,DEMANDS!$E$2:$E$25,0),FALSE)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E243">
        <f>HLOOKUP(REG_TRA_DEMANDS!AE$3,'BY-Demands'!$J$5:$AK$14,MATCH($E243,'BY-Demands'!$I$5:$I$14,0),FALSE)*HLOOKUP(REG_TRA_DEMANDS!$F243,DEMANDS!$G$2:$CK$25,MATCH($E243,DEMANDS!$E$2:$E$25,0),FALSE)/HLOOKUP(2018,DEMANDS!$G$2:$CK$25,MATCH($E243,DEMANDS!$E$2:$E$25,0),FALSE)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F243">
        <f>HLOOKUP(REG_TRA_DEMANDS!AF$3,'BY-Demands'!$J$5:$AK$14,MATCH($E243,'BY-Demands'!$I$5:$I$14,0),FALSE)*HLOOKUP(REG_TRA_DEMANDS!$F243,DEMANDS!$G$2:$CK$25,MATCH($E243,DEMANDS!$E$2:$E$25,0),FALSE)/HLOOKUP(2018,DEMANDS!$G$2:$CK$25,MATCH($E243,DEMANDS!$E$2:$E$25,0),FALSE)</f>
        <v>0</v>
      </c>
    </row>
    <row r="244" spans="4:32" ht="14.5">
      <c r="D244" t="s">
        <v>6</v>
      </c>
      <c r="E244" t="str">
        <f>DEMANDS!$E$25</f>
        <v>TAVIINT</v>
      </c>
      <c r="F244">
        <v>2060</v>
      </c>
      <c r="G244">
        <f>HLOOKUP(REG_TRA_DEMANDS!G$3,'BY-Demands'!$J$5:$AK$14,MATCH($E244,'BY-Demands'!$I$5:$I$14,0),FALSE)*HLOOKUP(REG_TRA_DEMANDS!$F244,DEMANDS!$G$2:$CK$25,MATCH($E244,DEMANDS!$E$2:$E$25,0),FALSE)/HLOOKUP(2018,DEMANDS!$G$2:$CK$25,MATCH($E244,DEMANDS!$E$2:$E$25,0),FALSE)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H244" s="19">
        <f>HLOOKUP(REG_TRA_DEMANDS!H$3,'BY-Demands'!$J$5:$AK$14,MATCH($E244,'BY-Demands'!$I$5:$I$14,0),FALSE)*HLOOKUP(REG_TRA_DEMANDS!$F244,DEMANDS!$G$2:$CK$25,MATCH($E244,DEMANDS!$E$2:$E$25,0),FALSE)/HLOOKUP(2018,DEMANDS!$G$2:$CK$25,MATCH($E244,DEMANDS!$E$2:$E$25,0),FALSE)</f>
        <v>58.152272893920049</v>
      </c>
      <c r="I244" s="36">
        <f>HLOOKUP(REG_TRA_DEMANDS!I$3,'BY-Demands'!$J$5:$AK$14,MATCH($E244,'BY-Demands'!$I$5:$I$14,0),FALSE)*HLOOKUP(REG_TRA_DEMANDS!$F244,DEMANDS!$G$2:$CK$25,MATCH($E244,DEMANDS!$E$2:$E$25,0),FALSE)/HLOOKUP(2018,DEMANDS!$G$2:$CK$25,MATCH($E244,DEMANDS!$E$2:$E$25,0),FALSE)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J244" s="36">
        <f>HLOOKUP(REG_TRA_DEMANDS!J$3,'BY-Demands'!$J$5:$AK$14,MATCH($E244,'BY-Demands'!$I$5:$I$14,0),FALSE)*HLOOKUP(REG_TRA_DEMANDS!$F244,DEMANDS!$G$2:$CK$25,MATCH($E244,DEMANDS!$E$2:$E$25,0),FALSE)/HLOOKUP(2018,DEMANDS!$G$2:$CK$25,MATCH($E244,DEMANDS!$E$2:$E$25,0),FALSE)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K244" s="36">
        <f>HLOOKUP(REG_TRA_DEMANDS!K$3,'BY-Demands'!$J$5:$AK$14,MATCH($E244,'BY-Demands'!$I$5:$I$14,0),FALSE)*HLOOKUP(REG_TRA_DEMANDS!$F244,DEMANDS!$G$2:$CK$25,MATCH($E244,DEMANDS!$E$2:$E$25,0),FALSE)/HLOOKUP(2018,DEMANDS!$G$2:$CK$25,MATCH($E244,DEMANDS!$E$2:$E$25,0),FALSE)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L244" s="36">
        <f>HLOOKUP(REG_TRA_DEMANDS!L$3,'BY-Demands'!$J$5:$AK$14,MATCH($E244,'BY-Demands'!$I$5:$I$14,0),FALSE)*HLOOKUP(REG_TRA_DEMANDS!$F244,DEMANDS!$G$2:$CK$25,MATCH($E244,DEMANDS!$E$2:$E$25,0),FALSE)/HLOOKUP(2018,DEMANDS!$G$2:$CK$25,MATCH($E244,DEMANDS!$E$2:$E$25,0),FALSE)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M244" s="36">
        <f>HLOOKUP(REG_TRA_DEMANDS!M$3,'BY-Demands'!$J$5:$AK$14,MATCH($E244,'BY-Demands'!$I$5:$I$14,0),FALSE)*HLOOKUP(REG_TRA_DEMANDS!$F244,DEMANDS!$G$2:$CK$25,MATCH($E244,DEMANDS!$E$2:$E$25,0),FALSE)/HLOOKUP(2018,DEMANDS!$G$2:$CK$25,MATCH($E244,DEMANDS!$E$2:$E$25,0),FALSE)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N244" s="36">
        <f>HLOOKUP(REG_TRA_DEMANDS!N$3,'BY-Demands'!$J$5:$AK$14,MATCH($E244,'BY-Demands'!$I$5:$I$14,0),FALSE)*HLOOKUP(REG_TRA_DEMANDS!$F244,DEMANDS!$G$2:$CK$25,MATCH($E244,DEMANDS!$E$2:$E$25,0),FALSE)/HLOOKUP(2018,DEMANDS!$G$2:$CK$25,MATCH($E244,DEMANDS!$E$2:$E$25,0),FALSE)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O244" s="36">
        <f>HLOOKUP(REG_TRA_DEMANDS!O$3,'BY-Demands'!$J$5:$AK$14,MATCH($E244,'BY-Demands'!$I$5:$I$14,0),FALSE)*HLOOKUP(REG_TRA_DEMANDS!$F244,DEMANDS!$G$2:$CK$25,MATCH($E244,DEMANDS!$E$2:$E$25,0),FALSE)/HLOOKUP(2018,DEMANDS!$G$2:$CK$25,MATCH($E244,DEMANDS!$E$2:$E$25,0),FALSE)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P244" s="36">
        <f>HLOOKUP(REG_TRA_DEMANDS!P$3,'BY-Demands'!$J$5:$AK$14,MATCH($E244,'BY-Demands'!$I$5:$I$14,0),FALSE)*HLOOKUP(REG_TRA_DEMANDS!$F244,DEMANDS!$G$2:$CK$25,MATCH($E244,DEMANDS!$E$2:$E$25,0),FALSE)/HLOOKUP(2018,DEMANDS!$G$2:$CK$25,MATCH($E244,DEMANDS!$E$2:$E$25,0),FALSE)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Q244" s="36">
        <f>HLOOKUP(REG_TRA_DEMANDS!Q$3,'BY-Demands'!$J$5:$AK$14,MATCH($E244,'BY-Demands'!$I$5:$I$14,0),FALSE)*HLOOKUP(REG_TRA_DEMANDS!$F244,DEMANDS!$G$2:$CK$25,MATCH($E244,DEMANDS!$E$2:$E$25,0),FALSE)/HLOOKUP(2018,DEMANDS!$G$2:$CK$25,MATCH($E244,DEMANDS!$E$2:$E$25,0),FALSE)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R244" s="36">
        <f>HLOOKUP(REG_TRA_DEMANDS!R$3,'BY-Demands'!$J$5:$AK$14,MATCH($E244,'BY-Demands'!$I$5:$I$14,0),FALSE)*HLOOKUP(REG_TRA_DEMANDS!$F244,DEMANDS!$G$2:$CK$25,MATCH($E244,DEMANDS!$E$2:$E$25,0),FALSE)/HLOOKUP(2018,DEMANDS!$G$2:$CK$25,MATCH($E244,DEMANDS!$E$2:$E$25,0),FALSE)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S244" s="19">
        <f>HLOOKUP(REG_TRA_DEMANDS!S$3,'BY-Demands'!$J$5:$AK$14,MATCH($E244,'BY-Demands'!$I$5:$I$14,0),FALSE)*HLOOKUP(REG_TRA_DEMANDS!$F244,DEMANDS!$G$2:$CK$25,MATCH($E244,DEMANDS!$E$2:$E$25,0),FALSE)/HLOOKUP(2018,DEMANDS!$G$2:$CK$25,MATCH($E244,DEMANDS!$E$2:$E$25,0),FALSE)</f>
        <v>3.4432616272539942</v>
      </c>
      <c r="T244" s="19">
        <f>HLOOKUP(REG_TRA_DEMANDS!T$3,'BY-Demands'!$J$5:$AK$14,MATCH($E244,'BY-Demands'!$I$5:$I$14,0),FALSE)*HLOOKUP(REG_TRA_DEMANDS!$F244,DEMANDS!$G$2:$CK$25,MATCH($E244,DEMANDS!$E$2:$E$25,0),FALSE)/HLOOKUP(2018,DEMANDS!$G$2:$CK$25,MATCH($E244,DEMANDS!$E$2:$E$25,0),FALSE)</f>
        <v>3.1837047858874294</v>
      </c>
      <c r="U244" s="19">
        <f>HLOOKUP(REG_TRA_DEMANDS!U$3,'BY-Demands'!$J$5:$AK$14,MATCH($E244,'BY-Demands'!$I$5:$I$14,0),FALSE)*HLOOKUP(REG_TRA_DEMANDS!$F244,DEMANDS!$G$2:$CK$25,MATCH($E244,DEMANDS!$E$2:$E$25,0),FALSE)/HLOOKUP(2018,DEMANDS!$G$2:$CK$25,MATCH($E244,DEMANDS!$E$2:$E$25,0),FALSE)</f>
        <v>0.34694687040962302</v>
      </c>
      <c r="V244">
        <f>HLOOKUP(REG_TRA_DEMANDS!V$3,'BY-Demands'!$J$5:$AK$14,MATCH($E244,'BY-Demands'!$I$5:$I$14,0),FALSE)*HLOOKUP(REG_TRA_DEMANDS!$F244,DEMANDS!$G$2:$CK$25,MATCH($E244,DEMANDS!$E$2:$E$25,0),FALSE)/HLOOKUP(2018,DEMANDS!$G$2:$CK$25,MATCH($E244,DEMANDS!$E$2:$E$25,0),FALSE)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W244">
        <f>HLOOKUP(REG_TRA_DEMANDS!W$3,'BY-Demands'!$J$5:$AK$14,MATCH($E244,'BY-Demands'!$I$5:$I$14,0),FALSE)*HLOOKUP(REG_TRA_DEMANDS!$F244,DEMANDS!$G$2:$CK$25,MATCH($E244,DEMANDS!$E$2:$E$25,0),FALSE)/HLOOKUP(2018,DEMANDS!$G$2:$CK$25,MATCH($E244,DEMANDS!$E$2:$E$25,0),FALSE)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X244">
        <f>HLOOKUP(REG_TRA_DEMANDS!X$3,'BY-Demands'!$J$5:$AK$14,MATCH($E244,'BY-Demands'!$I$5:$I$14,0),FALSE)*HLOOKUP(REG_TRA_DEMANDS!$F244,DEMANDS!$G$2:$CK$25,MATCH($E244,DEMANDS!$E$2:$E$25,0),FALSE)/HLOOKUP(2018,DEMANDS!$G$2:$CK$25,MATCH($E244,DEMANDS!$E$2:$E$25,0),FALSE)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Y244">
        <f>HLOOKUP(REG_TRA_DEMANDS!Y$3,'BY-Demands'!$J$5:$AK$14,MATCH($E244,'BY-Demands'!$I$5:$I$14,0),FALSE)*HLOOKUP(REG_TRA_DEMANDS!$F244,DEMANDS!$G$2:$CK$25,MATCH($E244,DEMANDS!$E$2:$E$25,0),FALSE)/HLOOKUP(2018,DEMANDS!$G$2:$CK$25,MATCH($E244,DEMANDS!$E$2:$E$25,0),FALSE)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Z244">
        <f>HLOOKUP(REG_TRA_DEMANDS!Z$3,'BY-Demands'!$J$5:$AK$14,MATCH($E244,'BY-Demands'!$I$5:$I$14,0),FALSE)*HLOOKUP(REG_TRA_DEMANDS!$F244,DEMANDS!$G$2:$CK$25,MATCH($E244,DEMANDS!$E$2:$E$25,0),FALSE)/HLOOKUP(2018,DEMANDS!$G$2:$CK$25,MATCH($E244,DEMANDS!$E$2:$E$25,0),FALSE)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A244" s="19">
        <f>HLOOKUP(REG_TRA_DEMANDS!AA$3,'BY-Demands'!$J$5:$AK$14,MATCH($E244,'BY-Demands'!$I$5:$I$14,0),FALSE)*HLOOKUP(REG_TRA_DEMANDS!$F244,DEMANDS!$G$2:$CK$25,MATCH($E244,DEMANDS!$E$2:$E$25,0),FALSE)/HLOOKUP(2018,DEMANDS!$G$2:$CK$25,MATCH($E244,DEMANDS!$E$2:$E$25,0),FALSE)</f>
        <v>0.99050506996050247</v>
      </c>
      <c r="AB244">
        <f>HLOOKUP(REG_TRA_DEMANDS!AB$3,'BY-Demands'!$J$5:$AK$14,MATCH($E244,'BY-Demands'!$I$5:$I$14,0),FALSE)*HLOOKUP(REG_TRA_DEMANDS!$F244,DEMANDS!$G$2:$CK$25,MATCH($E244,DEMANDS!$E$2:$E$25,0),FALSE)/HLOOKUP(2018,DEMANDS!$G$2:$CK$25,MATCH($E244,DEMANDS!$E$2:$E$25,0),FALSE)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C244">
        <f>HLOOKUP(REG_TRA_DEMANDS!AC$3,'BY-Demands'!$J$5:$AK$14,MATCH($E244,'BY-Demands'!$I$5:$I$14,0),FALSE)*HLOOKUP(REG_TRA_DEMANDS!$F244,DEMANDS!$G$2:$CK$25,MATCH($E244,DEMANDS!$E$2:$E$25,0),FALSE)/HLOOKUP(2018,DEMANDS!$G$2:$CK$25,MATCH($E244,DEMANDS!$E$2:$E$25,0),FALSE)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D244">
        <f>HLOOKUP(REG_TRA_DEMANDS!AD$3,'BY-Demands'!$J$5:$AK$14,MATCH($E244,'BY-Demands'!$I$5:$I$14,0),FALSE)*HLOOKUP(REG_TRA_DEMANDS!$F244,DEMANDS!$G$2:$CK$25,MATCH($E244,DEMANDS!$E$2:$E$25,0),FALSE)/HLOOKUP(2018,DEMANDS!$G$2:$CK$25,MATCH($E244,DEMANDS!$E$2:$E$25,0),FALSE)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E244">
        <f>HLOOKUP(REG_TRA_DEMANDS!AE$3,'BY-Demands'!$J$5:$AK$14,MATCH($E244,'BY-Demands'!$I$5:$I$14,0),FALSE)*HLOOKUP(REG_TRA_DEMANDS!$F244,DEMANDS!$G$2:$CK$25,MATCH($E244,DEMANDS!$E$2:$E$25,0),FALSE)/HLOOKUP(2018,DEMANDS!$G$2:$CK$25,MATCH($E244,DEMANDS!$E$2:$E$25,0),FALSE)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F244">
        <f>HLOOKUP(REG_TRA_DEMANDS!AF$3,'BY-Demands'!$J$5:$AK$14,MATCH($E244,'BY-Demands'!$I$5:$I$14,0),FALSE)*HLOOKUP(REG_TRA_DEMANDS!$F244,DEMANDS!$G$2:$CK$25,MATCH($E244,DEMANDS!$E$2:$E$25,0),FALSE)/HLOOKUP(2018,DEMANDS!$G$2:$CK$25,MATCH($E244,DEMANDS!$E$2:$E$25,0),FALSE)</f>
        <v>0</v>
      </c>
    </row>
    <row r="245" spans="4:32" ht="14.5">
      <c r="D245" t="s">
        <v>6</v>
      </c>
      <c r="E245" t="str">
        <f>DEMANDS!$E$25</f>
        <v>TAVIINT</v>
      </c>
      <c r="F245">
        <v>2065</v>
      </c>
      <c r="G245">
        <f>HLOOKUP(REG_TRA_DEMANDS!G$3,'BY-Demands'!$J$5:$AK$14,MATCH($E245,'BY-Demands'!$I$5:$I$14,0),FALSE)*HLOOKUP(REG_TRA_DEMANDS!$F245,DEMANDS!$G$2:$CK$25,MATCH($E245,DEMANDS!$E$2:$E$25,0),FALSE)/HLOOKUP(2018,DEMANDS!$G$2:$CK$25,MATCH($E245,DEMANDS!$E$2:$E$25,0),FALSE)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H245" s="19">
        <f>HLOOKUP(REG_TRA_DEMANDS!H$3,'BY-Demands'!$J$5:$AK$14,MATCH($E245,'BY-Demands'!$I$5:$I$14,0),FALSE)*HLOOKUP(REG_TRA_DEMANDS!$F245,DEMANDS!$G$2:$CK$25,MATCH($E245,DEMANDS!$E$2:$E$25,0),FALSE)/HLOOKUP(2018,DEMANDS!$G$2:$CK$25,MATCH($E245,DEMANDS!$E$2:$E$25,0),FALSE)</f>
        <v>59.463042626909008</v>
      </c>
      <c r="I245" s="36">
        <f>HLOOKUP(REG_TRA_DEMANDS!I$3,'BY-Demands'!$J$5:$AK$14,MATCH($E245,'BY-Demands'!$I$5:$I$14,0),FALSE)*HLOOKUP(REG_TRA_DEMANDS!$F245,DEMANDS!$G$2:$CK$25,MATCH($E245,DEMANDS!$E$2:$E$25,0),FALSE)/HLOOKUP(2018,DEMANDS!$G$2:$CK$25,MATCH($E245,DEMANDS!$E$2:$E$25,0),FALSE)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J245" s="36">
        <f>HLOOKUP(REG_TRA_DEMANDS!J$3,'BY-Demands'!$J$5:$AK$14,MATCH($E245,'BY-Demands'!$I$5:$I$14,0),FALSE)*HLOOKUP(REG_TRA_DEMANDS!$F245,DEMANDS!$G$2:$CK$25,MATCH($E245,DEMANDS!$E$2:$E$25,0),FALSE)/HLOOKUP(2018,DEMANDS!$G$2:$CK$25,MATCH($E245,DEMANDS!$E$2:$E$25,0),FALSE)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K245" s="36">
        <f>HLOOKUP(REG_TRA_DEMANDS!K$3,'BY-Demands'!$J$5:$AK$14,MATCH($E245,'BY-Demands'!$I$5:$I$14,0),FALSE)*HLOOKUP(REG_TRA_DEMANDS!$F245,DEMANDS!$G$2:$CK$25,MATCH($E245,DEMANDS!$E$2:$E$25,0),FALSE)/HLOOKUP(2018,DEMANDS!$G$2:$CK$25,MATCH($E245,DEMANDS!$E$2:$E$25,0),FALSE)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L245" s="36">
        <f>HLOOKUP(REG_TRA_DEMANDS!L$3,'BY-Demands'!$J$5:$AK$14,MATCH($E245,'BY-Demands'!$I$5:$I$14,0),FALSE)*HLOOKUP(REG_TRA_DEMANDS!$F245,DEMANDS!$G$2:$CK$25,MATCH($E245,DEMANDS!$E$2:$E$25,0),FALSE)/HLOOKUP(2018,DEMANDS!$G$2:$CK$25,MATCH($E245,DEMANDS!$E$2:$E$25,0),FALSE)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M245" s="36">
        <f>HLOOKUP(REG_TRA_DEMANDS!M$3,'BY-Demands'!$J$5:$AK$14,MATCH($E245,'BY-Demands'!$I$5:$I$14,0),FALSE)*HLOOKUP(REG_TRA_DEMANDS!$F245,DEMANDS!$G$2:$CK$25,MATCH($E245,DEMANDS!$E$2:$E$25,0),FALSE)/HLOOKUP(2018,DEMANDS!$G$2:$CK$25,MATCH($E245,DEMANDS!$E$2:$E$25,0),FALSE)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N245" s="36">
        <f>HLOOKUP(REG_TRA_DEMANDS!N$3,'BY-Demands'!$J$5:$AK$14,MATCH($E245,'BY-Demands'!$I$5:$I$14,0),FALSE)*HLOOKUP(REG_TRA_DEMANDS!$F245,DEMANDS!$G$2:$CK$25,MATCH($E245,DEMANDS!$E$2:$E$25,0),FALSE)/HLOOKUP(2018,DEMANDS!$G$2:$CK$25,MATCH($E245,DEMANDS!$E$2:$E$25,0),FALSE)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O245" s="36">
        <f>HLOOKUP(REG_TRA_DEMANDS!O$3,'BY-Demands'!$J$5:$AK$14,MATCH($E245,'BY-Demands'!$I$5:$I$14,0),FALSE)*HLOOKUP(REG_TRA_DEMANDS!$F245,DEMANDS!$G$2:$CK$25,MATCH($E245,DEMANDS!$E$2:$E$25,0),FALSE)/HLOOKUP(2018,DEMANDS!$G$2:$CK$25,MATCH($E245,DEMANDS!$E$2:$E$25,0),FALSE)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P245" s="36">
        <f>HLOOKUP(REG_TRA_DEMANDS!P$3,'BY-Demands'!$J$5:$AK$14,MATCH($E245,'BY-Demands'!$I$5:$I$14,0),FALSE)*HLOOKUP(REG_TRA_DEMANDS!$F245,DEMANDS!$G$2:$CK$25,MATCH($E245,DEMANDS!$E$2:$E$25,0),FALSE)/HLOOKUP(2018,DEMANDS!$G$2:$CK$25,MATCH($E245,DEMANDS!$E$2:$E$25,0),FALSE)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Q245" s="36">
        <f>HLOOKUP(REG_TRA_DEMANDS!Q$3,'BY-Demands'!$J$5:$AK$14,MATCH($E245,'BY-Demands'!$I$5:$I$14,0),FALSE)*HLOOKUP(REG_TRA_DEMANDS!$F245,DEMANDS!$G$2:$CK$25,MATCH($E245,DEMANDS!$E$2:$E$25,0),FALSE)/HLOOKUP(2018,DEMANDS!$G$2:$CK$25,MATCH($E245,DEMANDS!$E$2:$E$25,0),FALSE)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R245" s="36">
        <f>HLOOKUP(REG_TRA_DEMANDS!R$3,'BY-Demands'!$J$5:$AK$14,MATCH($E245,'BY-Demands'!$I$5:$I$14,0),FALSE)*HLOOKUP(REG_TRA_DEMANDS!$F245,DEMANDS!$G$2:$CK$25,MATCH($E245,DEMANDS!$E$2:$E$25,0),FALSE)/HLOOKUP(2018,DEMANDS!$G$2:$CK$25,MATCH($E245,DEMANDS!$E$2:$E$25,0),FALSE)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S245" s="19">
        <f>HLOOKUP(REG_TRA_DEMANDS!S$3,'BY-Demands'!$J$5:$AK$14,MATCH($E245,'BY-Demands'!$I$5:$I$14,0),FALSE)*HLOOKUP(REG_TRA_DEMANDS!$F245,DEMANDS!$G$2:$CK$25,MATCH($E245,DEMANDS!$E$2:$E$25,0),FALSE)/HLOOKUP(2018,DEMANDS!$G$2:$CK$25,MATCH($E245,DEMANDS!$E$2:$E$25,0),FALSE)</f>
        <v>3.5208737806430785</v>
      </c>
      <c r="T245" s="19">
        <f>HLOOKUP(REG_TRA_DEMANDS!T$3,'BY-Demands'!$J$5:$AK$14,MATCH($E245,'BY-Demands'!$I$5:$I$14,0),FALSE)*HLOOKUP(REG_TRA_DEMANDS!$F245,DEMANDS!$G$2:$CK$25,MATCH($E245,DEMANDS!$E$2:$E$25,0),FALSE)/HLOOKUP(2018,DEMANDS!$G$2:$CK$25,MATCH($E245,DEMANDS!$E$2:$E$25,0),FALSE)</f>
        <v>3.2554664499538672</v>
      </c>
      <c r="U245" s="19">
        <f>HLOOKUP(REG_TRA_DEMANDS!U$3,'BY-Demands'!$J$5:$AK$14,MATCH($E245,'BY-Demands'!$I$5:$I$14,0),FALSE)*HLOOKUP(REG_TRA_DEMANDS!$F245,DEMANDS!$G$2:$CK$25,MATCH($E245,DEMANDS!$E$2:$E$25,0),FALSE)/HLOOKUP(2018,DEMANDS!$G$2:$CK$25,MATCH($E245,DEMANDS!$E$2:$E$25,0),FALSE)</f>
        <v>0.35476715728848235</v>
      </c>
      <c r="V245">
        <f>HLOOKUP(REG_TRA_DEMANDS!V$3,'BY-Demands'!$J$5:$AK$14,MATCH($E245,'BY-Demands'!$I$5:$I$14,0),FALSE)*HLOOKUP(REG_TRA_DEMANDS!$F245,DEMANDS!$G$2:$CK$25,MATCH($E245,DEMANDS!$E$2:$E$25,0),FALSE)/HLOOKUP(2018,DEMANDS!$G$2:$CK$25,MATCH($E245,DEMANDS!$E$2:$E$25,0),FALSE)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W245">
        <f>HLOOKUP(REG_TRA_DEMANDS!W$3,'BY-Demands'!$J$5:$AK$14,MATCH($E245,'BY-Demands'!$I$5:$I$14,0),FALSE)*HLOOKUP(REG_TRA_DEMANDS!$F245,DEMANDS!$G$2:$CK$25,MATCH($E245,DEMANDS!$E$2:$E$25,0),FALSE)/HLOOKUP(2018,DEMANDS!$G$2:$CK$25,MATCH($E245,DEMANDS!$E$2:$E$25,0),FALSE)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X245">
        <f>HLOOKUP(REG_TRA_DEMANDS!X$3,'BY-Demands'!$J$5:$AK$14,MATCH($E245,'BY-Demands'!$I$5:$I$14,0),FALSE)*HLOOKUP(REG_TRA_DEMANDS!$F245,DEMANDS!$G$2:$CK$25,MATCH($E245,DEMANDS!$E$2:$E$25,0),FALSE)/HLOOKUP(2018,DEMANDS!$G$2:$CK$25,MATCH($E245,DEMANDS!$E$2:$E$25,0),FALSE)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Y245">
        <f>HLOOKUP(REG_TRA_DEMANDS!Y$3,'BY-Demands'!$J$5:$AK$14,MATCH($E245,'BY-Demands'!$I$5:$I$14,0),FALSE)*HLOOKUP(REG_TRA_DEMANDS!$F245,DEMANDS!$G$2:$CK$25,MATCH($E245,DEMANDS!$E$2:$E$25,0),FALSE)/HLOOKUP(2018,DEMANDS!$G$2:$CK$25,MATCH($E245,DEMANDS!$E$2:$E$25,0),FALSE)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Z245">
        <f>HLOOKUP(REG_TRA_DEMANDS!Z$3,'BY-Demands'!$J$5:$AK$14,MATCH($E245,'BY-Demands'!$I$5:$I$14,0),FALSE)*HLOOKUP(REG_TRA_DEMANDS!$F245,DEMANDS!$G$2:$CK$25,MATCH($E245,DEMANDS!$E$2:$E$25,0),FALSE)/HLOOKUP(2018,DEMANDS!$G$2:$CK$25,MATCH($E245,DEMANDS!$E$2:$E$25,0),FALSE)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A245" s="19">
        <f>HLOOKUP(REG_TRA_DEMANDS!AA$3,'BY-Demands'!$J$5:$AK$14,MATCH($E245,'BY-Demands'!$I$5:$I$14,0),FALSE)*HLOOKUP(REG_TRA_DEMANDS!$F245,DEMANDS!$G$2:$CK$25,MATCH($E245,DEMANDS!$E$2:$E$25,0),FALSE)/HLOOKUP(2018,DEMANDS!$G$2:$CK$25,MATCH($E245,DEMANDS!$E$2:$E$25,0),FALSE)</f>
        <v>1.0128313523475159</v>
      </c>
      <c r="AB245">
        <f>HLOOKUP(REG_TRA_DEMANDS!AB$3,'BY-Demands'!$J$5:$AK$14,MATCH($E245,'BY-Demands'!$I$5:$I$14,0),FALSE)*HLOOKUP(REG_TRA_DEMANDS!$F245,DEMANDS!$G$2:$CK$25,MATCH($E245,DEMANDS!$E$2:$E$25,0),FALSE)/HLOOKUP(2018,DEMANDS!$G$2:$CK$25,MATCH($E245,DEMANDS!$E$2:$E$25,0),FALSE)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C245">
        <f>HLOOKUP(REG_TRA_DEMANDS!AC$3,'BY-Demands'!$J$5:$AK$14,MATCH($E245,'BY-Demands'!$I$5:$I$14,0),FALSE)*HLOOKUP(REG_TRA_DEMANDS!$F245,DEMANDS!$G$2:$CK$25,MATCH($E245,DEMANDS!$E$2:$E$25,0),FALSE)/HLOOKUP(2018,DEMANDS!$G$2:$CK$25,MATCH($E245,DEMANDS!$E$2:$E$25,0),FALSE)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D245">
        <f>HLOOKUP(REG_TRA_DEMANDS!AD$3,'BY-Demands'!$J$5:$AK$14,MATCH($E245,'BY-Demands'!$I$5:$I$14,0),FALSE)*HLOOKUP(REG_TRA_DEMANDS!$F245,DEMANDS!$G$2:$CK$25,MATCH($E245,DEMANDS!$E$2:$E$25,0),FALSE)/HLOOKUP(2018,DEMANDS!$G$2:$CK$25,MATCH($E245,DEMANDS!$E$2:$E$25,0),FALSE)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E245">
        <f>HLOOKUP(REG_TRA_DEMANDS!AE$3,'BY-Demands'!$J$5:$AK$14,MATCH($E245,'BY-Demands'!$I$5:$I$14,0),FALSE)*HLOOKUP(REG_TRA_DEMANDS!$F245,DEMANDS!$G$2:$CK$25,MATCH($E245,DEMANDS!$E$2:$E$25,0),FALSE)/HLOOKUP(2018,DEMANDS!$G$2:$CK$25,MATCH($E245,DEMANDS!$E$2:$E$25,0),FALSE)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F245">
        <f>HLOOKUP(REG_TRA_DEMANDS!AF$3,'BY-Demands'!$J$5:$AK$14,MATCH($E245,'BY-Demands'!$I$5:$I$14,0),FALSE)*HLOOKUP(REG_TRA_DEMANDS!$F245,DEMANDS!$G$2:$CK$25,MATCH($E245,DEMANDS!$E$2:$E$25,0),FALSE)/HLOOKUP(2018,DEMANDS!$G$2:$CK$25,MATCH($E245,DEMANDS!$E$2:$E$25,0),FALSE)</f>
        <v>0</v>
      </c>
    </row>
    <row r="246" spans="4:32" ht="14.5">
      <c r="D246" s="17" t="s">
        <v>6</v>
      </c>
      <c r="E246" s="17" t="str">
        <f>DEMANDS!$E$25</f>
        <v>TAVIINT</v>
      </c>
      <c r="F246" s="17">
        <v>2070</v>
      </c>
      <c r="G246" s="17">
        <f>HLOOKUP(REG_TRA_DEMANDS!G$3,'BY-Demands'!$J$5:$AK$14,MATCH($E246,'BY-Demands'!$I$5:$I$14,0),FALSE)*HLOOKUP(REG_TRA_DEMANDS!$F246,DEMANDS!$G$2:$CK$25,MATCH($E246,DEMANDS!$E$2:$E$25,0),FALSE)/HLOOKUP(2018,DEMANDS!$G$2:$CK$25,MATCH($E246,DEMANDS!$E$2:$E$25,0),FALSE)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H246" s="18">
        <f>HLOOKUP(REG_TRA_DEMANDS!H$3,'BY-Demands'!$J$5:$AK$14,MATCH($E246,'BY-Demands'!$I$5:$I$14,0),FALSE)*HLOOKUP(REG_TRA_DEMANDS!$F246,DEMANDS!$G$2:$CK$25,MATCH($E246,DEMANDS!$E$2:$E$25,0),FALSE)/HLOOKUP(2018,DEMANDS!$G$2:$CK$25,MATCH($E246,DEMANDS!$E$2:$E$25,0),FALSE)</f>
        <v>60.647860055475441</v>
      </c>
      <c r="I246" s="37">
        <f>HLOOKUP(REG_TRA_DEMANDS!I$3,'BY-Demands'!$J$5:$AK$14,MATCH($E246,'BY-Demands'!$I$5:$I$14,0),FALSE)*HLOOKUP(REG_TRA_DEMANDS!$F246,DEMANDS!$G$2:$CK$25,MATCH($E246,DEMANDS!$E$2:$E$25,0),FALSE)/HLOOKUP(2018,DEMANDS!$G$2:$CK$25,MATCH($E246,DEMANDS!$E$2:$E$25,0),FALSE)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J246" s="37">
        <f>HLOOKUP(REG_TRA_DEMANDS!J$3,'BY-Demands'!$J$5:$AK$14,MATCH($E246,'BY-Demands'!$I$5:$I$14,0),FALSE)*HLOOKUP(REG_TRA_DEMANDS!$F246,DEMANDS!$G$2:$CK$25,MATCH($E246,DEMANDS!$E$2:$E$25,0),FALSE)/HLOOKUP(2018,DEMANDS!$G$2:$CK$25,MATCH($E246,DEMANDS!$E$2:$E$25,0),FALSE)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K246" s="37">
        <f>HLOOKUP(REG_TRA_DEMANDS!K$3,'BY-Demands'!$J$5:$AK$14,MATCH($E246,'BY-Demands'!$I$5:$I$14,0),FALSE)*HLOOKUP(REG_TRA_DEMANDS!$F246,DEMANDS!$G$2:$CK$25,MATCH($E246,DEMANDS!$E$2:$E$25,0),FALSE)/HLOOKUP(2018,DEMANDS!$G$2:$CK$25,MATCH($E246,DEMANDS!$E$2:$E$25,0),FALSE)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L246" s="37">
        <f>HLOOKUP(REG_TRA_DEMANDS!L$3,'BY-Demands'!$J$5:$AK$14,MATCH($E246,'BY-Demands'!$I$5:$I$14,0),FALSE)*HLOOKUP(REG_TRA_DEMANDS!$F246,DEMANDS!$G$2:$CK$25,MATCH($E246,DEMANDS!$E$2:$E$25,0),FALSE)/HLOOKUP(2018,DEMANDS!$G$2:$CK$25,MATCH($E246,DEMANDS!$E$2:$E$25,0),FALSE)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M246" s="37">
        <f>HLOOKUP(REG_TRA_DEMANDS!M$3,'BY-Demands'!$J$5:$AK$14,MATCH($E246,'BY-Demands'!$I$5:$I$14,0),FALSE)*HLOOKUP(REG_TRA_DEMANDS!$F246,DEMANDS!$G$2:$CK$25,MATCH($E246,DEMANDS!$E$2:$E$25,0),FALSE)/HLOOKUP(2018,DEMANDS!$G$2:$CK$25,MATCH($E246,DEMANDS!$E$2:$E$25,0),FALSE)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N246" s="37">
        <f>HLOOKUP(REG_TRA_DEMANDS!N$3,'BY-Demands'!$J$5:$AK$14,MATCH($E246,'BY-Demands'!$I$5:$I$14,0),FALSE)*HLOOKUP(REG_TRA_DEMANDS!$F246,DEMANDS!$G$2:$CK$25,MATCH($E246,DEMANDS!$E$2:$E$25,0),FALSE)/HLOOKUP(2018,DEMANDS!$G$2:$CK$25,MATCH($E246,DEMANDS!$E$2:$E$25,0),FALSE)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O246" s="37">
        <f>HLOOKUP(REG_TRA_DEMANDS!O$3,'BY-Demands'!$J$5:$AK$14,MATCH($E246,'BY-Demands'!$I$5:$I$14,0),FALSE)*HLOOKUP(REG_TRA_DEMANDS!$F246,DEMANDS!$G$2:$CK$25,MATCH($E246,DEMANDS!$E$2:$E$25,0),FALSE)/HLOOKUP(2018,DEMANDS!$G$2:$CK$25,MATCH($E246,DEMANDS!$E$2:$E$25,0),FALSE)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P246" s="37">
        <f>HLOOKUP(REG_TRA_DEMANDS!P$3,'BY-Demands'!$J$5:$AK$14,MATCH($E246,'BY-Demands'!$I$5:$I$14,0),FALSE)*HLOOKUP(REG_TRA_DEMANDS!$F246,DEMANDS!$G$2:$CK$25,MATCH($E246,DEMANDS!$E$2:$E$25,0),FALSE)/HLOOKUP(2018,DEMANDS!$G$2:$CK$25,MATCH($E246,DEMANDS!$E$2:$E$25,0),FALSE)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Q246" s="37">
        <f>HLOOKUP(REG_TRA_DEMANDS!Q$3,'BY-Demands'!$J$5:$AK$14,MATCH($E246,'BY-Demands'!$I$5:$I$14,0),FALSE)*HLOOKUP(REG_TRA_DEMANDS!$F246,DEMANDS!$G$2:$CK$25,MATCH($E246,DEMANDS!$E$2:$E$25,0),FALSE)/HLOOKUP(2018,DEMANDS!$G$2:$CK$25,MATCH($E246,DEMANDS!$E$2:$E$25,0),FALSE)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R246" s="37">
        <f>HLOOKUP(REG_TRA_DEMANDS!R$3,'BY-Demands'!$J$5:$AK$14,MATCH($E246,'BY-Demands'!$I$5:$I$14,0),FALSE)*HLOOKUP(REG_TRA_DEMANDS!$F246,DEMANDS!$G$2:$CK$25,MATCH($E246,DEMANDS!$E$2:$E$25,0),FALSE)/HLOOKUP(2018,DEMANDS!$G$2:$CK$25,MATCH($E246,DEMANDS!$E$2:$E$25,0),FALSE)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S246" s="18">
        <f>HLOOKUP(REG_TRA_DEMANDS!S$3,'BY-Demands'!$J$5:$AK$14,MATCH($E246,'BY-Demands'!$I$5:$I$14,0),FALSE)*HLOOKUP(REG_TRA_DEMANDS!$F246,DEMANDS!$G$2:$CK$25,MATCH($E246,DEMANDS!$E$2:$E$25,0),FALSE)/HLOOKUP(2018,DEMANDS!$G$2:$CK$25,MATCH($E246,DEMANDS!$E$2:$E$25,0),FALSE)</f>
        <v>3.591028156113949</v>
      </c>
      <c r="T246" s="18">
        <f>HLOOKUP(REG_TRA_DEMANDS!T$3,'BY-Demands'!$J$5:$AK$14,MATCH($E246,'BY-Demands'!$I$5:$I$14,0),FALSE)*HLOOKUP(REG_TRA_DEMANDS!$F246,DEMANDS!$G$2:$CK$25,MATCH($E246,DEMANDS!$E$2:$E$25,0),FALSE)/HLOOKUP(2018,DEMANDS!$G$2:$CK$25,MATCH($E246,DEMANDS!$E$2:$E$25,0),FALSE)</f>
        <v>3.3203325115884796</v>
      </c>
      <c r="U246" s="18">
        <f>HLOOKUP(REG_TRA_DEMANDS!U$3,'BY-Demands'!$J$5:$AK$14,MATCH($E246,'BY-Demands'!$I$5:$I$14,0),FALSE)*HLOOKUP(REG_TRA_DEMANDS!$F246,DEMANDS!$G$2:$CK$25,MATCH($E246,DEMANDS!$E$2:$E$25,0),FALSE)/HLOOKUP(2018,DEMANDS!$G$2:$CK$25,MATCH($E246,DEMANDS!$E$2:$E$25,0),FALSE)</f>
        <v>0.36183599017138218</v>
      </c>
      <c r="V246" s="17">
        <f>HLOOKUP(REG_TRA_DEMANDS!V$3,'BY-Demands'!$J$5:$AK$14,MATCH($E246,'BY-Demands'!$I$5:$I$14,0),FALSE)*HLOOKUP(REG_TRA_DEMANDS!$F246,DEMANDS!$G$2:$CK$25,MATCH($E246,DEMANDS!$E$2:$E$25,0),FALSE)/HLOOKUP(2018,DEMANDS!$G$2:$CK$25,MATCH($E246,DEMANDS!$E$2:$E$25,0),FALSE)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W246" s="17">
        <f>HLOOKUP(REG_TRA_DEMANDS!W$3,'BY-Demands'!$J$5:$AK$14,MATCH($E246,'BY-Demands'!$I$5:$I$14,0),FALSE)*HLOOKUP(REG_TRA_DEMANDS!$F246,DEMANDS!$G$2:$CK$25,MATCH($E246,DEMANDS!$E$2:$E$25,0),FALSE)/HLOOKUP(2018,DEMANDS!$G$2:$CK$25,MATCH($E246,DEMANDS!$E$2:$E$25,0),FALSE)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X246" s="17">
        <f>HLOOKUP(REG_TRA_DEMANDS!X$3,'BY-Demands'!$J$5:$AK$14,MATCH($E246,'BY-Demands'!$I$5:$I$14,0),FALSE)*HLOOKUP(REG_TRA_DEMANDS!$F246,DEMANDS!$G$2:$CK$25,MATCH($E246,DEMANDS!$E$2:$E$25,0),FALSE)/HLOOKUP(2018,DEMANDS!$G$2:$CK$25,MATCH($E246,DEMANDS!$E$2:$E$25,0),FALSE)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Y246" s="17">
        <f>HLOOKUP(REG_TRA_DEMANDS!Y$3,'BY-Demands'!$J$5:$AK$14,MATCH($E246,'BY-Demands'!$I$5:$I$14,0),FALSE)*HLOOKUP(REG_TRA_DEMANDS!$F246,DEMANDS!$G$2:$CK$25,MATCH($E246,DEMANDS!$E$2:$E$25,0),FALSE)/HLOOKUP(2018,DEMANDS!$G$2:$CK$25,MATCH($E246,DEMANDS!$E$2:$E$25,0),FALSE)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Z246" s="17">
        <f>HLOOKUP(REG_TRA_DEMANDS!Z$3,'BY-Demands'!$J$5:$AK$14,MATCH($E246,'BY-Demands'!$I$5:$I$14,0),FALSE)*HLOOKUP(REG_TRA_DEMANDS!$F246,DEMANDS!$G$2:$CK$25,MATCH($E246,DEMANDS!$E$2:$E$25,0),FALSE)/HLOOKUP(2018,DEMANDS!$G$2:$CK$25,MATCH($E246,DEMANDS!$E$2:$E$25,0),FALSE)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A246" s="18">
        <f>HLOOKUP(REG_TRA_DEMANDS!AA$3,'BY-Demands'!$J$5:$AK$14,MATCH($E246,'BY-Demands'!$I$5:$I$14,0),FALSE)*HLOOKUP(REG_TRA_DEMANDS!$F246,DEMANDS!$G$2:$CK$25,MATCH($E246,DEMANDS!$E$2:$E$25,0),FALSE)/HLOOKUP(2018,DEMANDS!$G$2:$CK$25,MATCH($E246,DEMANDS!$E$2:$E$25,0),FALSE)</f>
        <v>1.033012294752182</v>
      </c>
      <c r="AB246" s="17">
        <f>HLOOKUP(REG_TRA_DEMANDS!AB$3,'BY-Demands'!$J$5:$AK$14,MATCH($E246,'BY-Demands'!$I$5:$I$14,0),FALSE)*HLOOKUP(REG_TRA_DEMANDS!$F246,DEMANDS!$G$2:$CK$25,MATCH($E246,DEMANDS!$E$2:$E$25,0),FALSE)/HLOOKUP(2018,DEMANDS!$G$2:$CK$25,MATCH($E246,DEMANDS!$E$2:$E$25,0),FALSE)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C246" s="17">
        <f>HLOOKUP(REG_TRA_DEMANDS!AC$3,'BY-Demands'!$J$5:$AK$14,MATCH($E246,'BY-Demands'!$I$5:$I$14,0),FALSE)*HLOOKUP(REG_TRA_DEMANDS!$F246,DEMANDS!$G$2:$CK$25,MATCH($E246,DEMANDS!$E$2:$E$25,0),FALSE)/HLOOKUP(2018,DEMANDS!$G$2:$CK$25,MATCH($E246,DEMANDS!$E$2:$E$25,0),FALSE)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D246" s="17">
        <f>HLOOKUP(REG_TRA_DEMANDS!AD$3,'BY-Demands'!$J$5:$AK$14,MATCH($E246,'BY-Demands'!$I$5:$I$14,0),FALSE)*HLOOKUP(REG_TRA_DEMANDS!$F246,DEMANDS!$G$2:$CK$25,MATCH($E246,DEMANDS!$E$2:$E$25,0),FALSE)/HLOOKUP(2018,DEMANDS!$G$2:$CK$25,MATCH($E246,DEMANDS!$E$2:$E$25,0),FALSE)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E246" s="17">
        <f>HLOOKUP(REG_TRA_DEMANDS!AE$3,'BY-Demands'!$J$5:$AK$14,MATCH($E246,'BY-Demands'!$I$5:$I$14,0),FALSE)*HLOOKUP(REG_TRA_DEMANDS!$F246,DEMANDS!$G$2:$CK$25,MATCH($E246,DEMANDS!$E$2:$E$25,0),FALSE)/HLOOKUP(2018,DEMANDS!$G$2:$CK$25,MATCH($E246,DEMANDS!$E$2:$E$25,0),FALSE)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F246" s="17">
        <f>HLOOKUP(REG_TRA_DEMANDS!AF$3,'BY-Demands'!$J$5:$AK$14,MATCH($E246,'BY-Demands'!$I$5:$I$14,0),FALSE)*HLOOKUP(REG_TRA_DEMANDS!$F246,DEMANDS!$G$2:$CK$25,MATCH($E246,DEMANDS!$E$2:$E$25,0),FALSE)/HLOOKUP(2018,DEMANDS!$G$2:$CK$25,MATCH($E246,DEMANDS!$E$2:$E$25,0),FALSE)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1:CK136"/>
  <sheetViews>
    <sheetView zoomScale="85" zoomScaleNormal="85" workbookViewId="0" topLeftCell="A1">
      <selection pane="topLeft" activeCell="B1" sqref="B1"/>
    </sheetView>
  </sheetViews>
  <sheetFormatPr defaultRowHeight="14.5"/>
  <cols>
    <col min="2" max="2" width="12" bestFit="1" customWidth="1"/>
    <col min="3" max="4" width="10.7142857142857" bestFit="1" customWidth="1"/>
    <col min="5" max="5" width="11.4285714285714" bestFit="1" customWidth="1"/>
    <col min="6" max="6" width="48.5714285714286" bestFit="1" customWidth="1"/>
    <col min="7" max="89" width="8.71428571428571" customWidth="1"/>
  </cols>
  <sheetData>
    <row r="1" spans="2:10" ht="14.5">
      <c r="B1" t="s">
        <v>0</v>
      </c>
      <c r="C1" t="s">
        <v>1</v>
      </c>
      <c r="G1" s="33"/>
      <c r="H1" s="33"/>
      <c r="I1" s="33"/>
      <c r="J1" s="33"/>
    </row>
    <row r="2" spans="2:89" ht="15" thickBot="1">
      <c r="B2" s="54" t="s">
        <v>2</v>
      </c>
      <c r="C2" s="54" t="s">
        <v>3</v>
      </c>
      <c r="D2" s="54" t="s">
        <v>4</v>
      </c>
      <c r="E2" s="54" t="s">
        <v>5</v>
      </c>
      <c r="F2" s="54" t="s">
        <v>59</v>
      </c>
      <c r="G2" s="54">
        <v>2018</v>
      </c>
      <c r="H2" s="54">
        <v>2019</v>
      </c>
      <c r="I2" s="54">
        <v>2020</v>
      </c>
      <c r="J2" s="54">
        <v>2021</v>
      </c>
      <c r="K2" s="54">
        <v>2022</v>
      </c>
      <c r="L2" s="54">
        <v>2023</v>
      </c>
      <c r="M2" s="54">
        <v>2024</v>
      </c>
      <c r="N2" s="54">
        <v>2025</v>
      </c>
      <c r="O2" s="54">
        <v>2026</v>
      </c>
      <c r="P2" s="54">
        <v>2027</v>
      </c>
      <c r="Q2" s="54">
        <v>2028</v>
      </c>
      <c r="R2" s="54">
        <v>2029</v>
      </c>
      <c r="S2" s="54">
        <v>2030</v>
      </c>
      <c r="T2" s="54">
        <v>2031</v>
      </c>
      <c r="U2" s="54">
        <v>2032</v>
      </c>
      <c r="V2" s="54">
        <v>2033</v>
      </c>
      <c r="W2" s="54">
        <v>2034</v>
      </c>
      <c r="X2" s="54">
        <v>2035</v>
      </c>
      <c r="Y2" s="54">
        <v>2036</v>
      </c>
      <c r="Z2" s="54">
        <v>2037</v>
      </c>
      <c r="AA2" s="54">
        <v>2038</v>
      </c>
      <c r="AB2" s="54">
        <v>2039</v>
      </c>
      <c r="AC2" s="54">
        <v>2040</v>
      </c>
      <c r="AD2" s="54">
        <v>2041</v>
      </c>
      <c r="AE2" s="54">
        <v>2042</v>
      </c>
      <c r="AF2" s="54">
        <v>2043</v>
      </c>
      <c r="AG2" s="54">
        <v>2044</v>
      </c>
      <c r="AH2" s="54">
        <v>2045</v>
      </c>
      <c r="AI2" s="54">
        <v>2046</v>
      </c>
      <c r="AJ2" s="54">
        <v>2047</v>
      </c>
      <c r="AK2" s="54">
        <v>2048</v>
      </c>
      <c r="AL2" s="54">
        <v>2049</v>
      </c>
      <c r="AM2" s="54">
        <v>2050</v>
      </c>
      <c r="AN2" s="54">
        <v>2051</v>
      </c>
      <c r="AO2" s="54">
        <v>2052</v>
      </c>
      <c r="AP2" s="54">
        <v>2053</v>
      </c>
      <c r="AQ2" s="54">
        <v>2054</v>
      </c>
      <c r="AR2" s="54">
        <v>2055</v>
      </c>
      <c r="AS2" s="54">
        <v>2056</v>
      </c>
      <c r="AT2" s="54">
        <v>2057</v>
      </c>
      <c r="AU2" s="54">
        <v>2058</v>
      </c>
      <c r="AV2" s="54">
        <v>2059</v>
      </c>
      <c r="AW2" s="54">
        <v>2060</v>
      </c>
      <c r="AX2" s="54">
        <v>2061</v>
      </c>
      <c r="AY2" s="54">
        <v>2062</v>
      </c>
      <c r="AZ2" s="54">
        <v>2063</v>
      </c>
      <c r="BA2" s="54">
        <v>2064</v>
      </c>
      <c r="BB2" s="54">
        <v>2065</v>
      </c>
      <c r="BC2" s="54">
        <v>2066</v>
      </c>
      <c r="BD2" s="54">
        <v>2067</v>
      </c>
      <c r="BE2" s="54">
        <v>2068</v>
      </c>
      <c r="BF2" s="54">
        <v>2069</v>
      </c>
      <c r="BG2" s="54">
        <v>2070</v>
      </c>
      <c r="BH2" s="54">
        <v>2071</v>
      </c>
      <c r="BI2" s="54">
        <v>2072</v>
      </c>
      <c r="BJ2" s="54">
        <v>2073</v>
      </c>
      <c r="BK2" s="54">
        <v>2074</v>
      </c>
      <c r="BL2" s="54">
        <v>2075</v>
      </c>
      <c r="BM2" s="54">
        <v>2076</v>
      </c>
      <c r="BN2" s="54">
        <v>2077</v>
      </c>
      <c r="BO2" s="54">
        <v>2078</v>
      </c>
      <c r="BP2" s="54">
        <v>2079</v>
      </c>
      <c r="BQ2" s="54">
        <v>2080</v>
      </c>
      <c r="BR2" s="54">
        <v>2081</v>
      </c>
      <c r="BS2" s="54">
        <v>2082</v>
      </c>
      <c r="BT2" s="54">
        <v>2083</v>
      </c>
      <c r="BU2" s="54">
        <v>2084</v>
      </c>
      <c r="BV2" s="54">
        <v>2085</v>
      </c>
      <c r="BW2" s="54">
        <v>2086</v>
      </c>
      <c r="BX2" s="54">
        <v>2087</v>
      </c>
      <c r="BY2" s="54">
        <v>2088</v>
      </c>
      <c r="BZ2" s="54">
        <v>2089</v>
      </c>
      <c r="CA2" s="54">
        <v>2090</v>
      </c>
      <c r="CB2" s="54">
        <v>2091</v>
      </c>
      <c r="CC2" s="54">
        <v>2092</v>
      </c>
      <c r="CD2" s="54">
        <v>2093</v>
      </c>
      <c r="CE2" s="54">
        <v>2094</v>
      </c>
      <c r="CF2" s="54">
        <v>2095</v>
      </c>
      <c r="CG2" s="54">
        <v>2096</v>
      </c>
      <c r="CH2" s="54">
        <v>2097</v>
      </c>
      <c r="CI2" s="54">
        <v>2098</v>
      </c>
      <c r="CJ2" s="54">
        <v>2099</v>
      </c>
      <c r="CK2" s="54">
        <v>2100</v>
      </c>
    </row>
    <row r="3" spans="3:89" ht="14.5">
      <c r="C3" t="s">
        <v>6</v>
      </c>
      <c r="D3" t="str">
        <f>_xlfn.TEXTJOIN(",",TRUE,Regions!$C$3,Regions!$D$3)</f>
        <v>IE,National</v>
      </c>
      <c r="E3" t="s">
        <v>211</v>
      </c>
      <c r="F3" s="35"/>
      <c r="G3" s="52">
        <f>+K55</f>
        <v>10.4</v>
      </c>
      <c r="H3" s="53">
        <f t="shared" si="0" ref="H3:H16">+G3</f>
        <v>10.4</v>
      </c>
      <c r="I3" s="53">
        <f t="shared" si="1" ref="I3:BT3">+H3</f>
        <v>10.4</v>
      </c>
      <c r="J3" s="53">
        <f t="shared" si="1"/>
        <v>10.4</v>
      </c>
      <c r="K3" s="53">
        <f>+J3*1.03</f>
        <v>10.712000000000002</v>
      </c>
      <c r="L3" s="53">
        <f>+$G3*S$75/$N75</f>
        <v>10.40620961334899</v>
      </c>
      <c r="M3" s="53">
        <f t="shared" si="2" ref="M3:AM3">+$G3*T$75/$N75</f>
        <v>10.817833634423922</v>
      </c>
      <c r="N3" s="53">
        <f>+$G3*U$75/$N75</f>
        <v>11.245739696801246</v>
      </c>
      <c r="O3" s="53">
        <f t="shared" si="2"/>
        <v>11.690571846638132</v>
      </c>
      <c r="P3" s="53">
        <f t="shared" si="2"/>
        <v>11.692322286773708</v>
      </c>
      <c r="Q3" s="53">
        <f t="shared" si="2"/>
        <v>11.694072989004301</v>
      </c>
      <c r="R3" s="53">
        <f t="shared" si="2"/>
        <v>11.69582395336916</v>
      </c>
      <c r="S3" s="53">
        <f t="shared" si="2"/>
        <v>11.697575179907535</v>
      </c>
      <c r="T3" s="53">
        <f t="shared" si="2"/>
        <v>11.699326668658676</v>
      </c>
      <c r="U3" s="53">
        <f t="shared" si="2"/>
        <v>11.802889918367837</v>
      </c>
      <c r="V3" s="53">
        <f t="shared" si="2"/>
        <v>11.907369917133938</v>
      </c>
      <c r="W3" s="53">
        <f t="shared" si="2"/>
        <v>12.012774780083102</v>
      </c>
      <c r="X3" s="53">
        <f t="shared" si="2"/>
        <v>12.119112694177117</v>
      </c>
      <c r="Y3" s="53">
        <f t="shared" si="2"/>
        <v>12.226391918849322</v>
      </c>
      <c r="Z3" s="53">
        <f t="shared" si="2"/>
        <v>12.308401113746877</v>
      </c>
      <c r="AA3" s="53">
        <f t="shared" si="2"/>
        <v>12.390960389820659</v>
      </c>
      <c r="AB3" s="53">
        <f t="shared" si="2"/>
        <v>12.474073436770356</v>
      </c>
      <c r="AC3" s="53">
        <f t="shared" si="2"/>
        <v>12.557743969044507</v>
      </c>
      <c r="AD3" s="53">
        <f t="shared" si="2"/>
        <v>12.641975726006534</v>
      </c>
      <c r="AE3" s="53">
        <f t="shared" si="2"/>
        <v>12.708121792971733</v>
      </c>
      <c r="AF3" s="53">
        <f t="shared" si="2"/>
        <v>12.774613953163959</v>
      </c>
      <c r="AG3" s="53">
        <f t="shared" si="2"/>
        <v>12.841454017431943</v>
      </c>
      <c r="AH3" s="53">
        <f t="shared" si="2"/>
        <v>12.908643806099251</v>
      </c>
      <c r="AI3" s="53">
        <f t="shared" si="2"/>
        <v>12.976185149013844</v>
      </c>
      <c r="AJ3" s="53">
        <f t="shared" si="2"/>
        <v>13.044284181769072</v>
      </c>
      <c r="AK3" s="53">
        <f t="shared" si="2"/>
        <v>13.112740598316913</v>
      </c>
      <c r="AL3" s="53">
        <f t="shared" si="2"/>
        <v>13.181556274207868</v>
      </c>
      <c r="AM3" s="53">
        <f t="shared" si="2"/>
        <v>13.250733094835338</v>
      </c>
      <c r="AN3" s="53">
        <f t="shared" si="1"/>
        <v>13.250733094835338</v>
      </c>
      <c r="AO3" s="53">
        <f t="shared" si="1"/>
        <v>13.250733094835338</v>
      </c>
      <c r="AP3" s="53">
        <f t="shared" si="1"/>
        <v>13.250733094835338</v>
      </c>
      <c r="AQ3" s="53">
        <f t="shared" si="1"/>
        <v>13.250733094835338</v>
      </c>
      <c r="AR3" s="53">
        <f t="shared" si="1"/>
        <v>13.250733094835338</v>
      </c>
      <c r="AS3" s="53">
        <f t="shared" si="1"/>
        <v>13.250733094835338</v>
      </c>
      <c r="AT3" s="53">
        <f t="shared" si="1"/>
        <v>13.250733094835338</v>
      </c>
      <c r="AU3" s="53">
        <f t="shared" si="1"/>
        <v>13.250733094835338</v>
      </c>
      <c r="AV3" s="53">
        <f t="shared" si="1"/>
        <v>13.250733094835338</v>
      </c>
      <c r="AW3" s="53">
        <f t="shared" si="1"/>
        <v>13.250733094835338</v>
      </c>
      <c r="AX3" s="53">
        <f t="shared" si="1"/>
        <v>13.250733094835338</v>
      </c>
      <c r="AY3" s="53">
        <f t="shared" si="1"/>
        <v>13.250733094835338</v>
      </c>
      <c r="AZ3" s="53">
        <f t="shared" si="1"/>
        <v>13.250733094835338</v>
      </c>
      <c r="BA3" s="53">
        <f t="shared" si="1"/>
        <v>13.250733094835338</v>
      </c>
      <c r="BB3" s="53">
        <f t="shared" si="1"/>
        <v>13.250733094835338</v>
      </c>
      <c r="BC3" s="53">
        <f t="shared" si="1"/>
        <v>13.250733094835338</v>
      </c>
      <c r="BD3" s="53">
        <f t="shared" si="1"/>
        <v>13.250733094835338</v>
      </c>
      <c r="BE3" s="53">
        <f t="shared" si="1"/>
        <v>13.250733094835338</v>
      </c>
      <c r="BF3" s="53">
        <f t="shared" si="1"/>
        <v>13.250733094835338</v>
      </c>
      <c r="BG3" s="53">
        <f t="shared" si="1"/>
        <v>13.250733094835338</v>
      </c>
      <c r="BH3" s="53">
        <f t="shared" si="1"/>
        <v>13.250733094835338</v>
      </c>
      <c r="BI3" s="53">
        <f t="shared" si="1"/>
        <v>13.250733094835338</v>
      </c>
      <c r="BJ3" s="53">
        <f t="shared" si="1"/>
        <v>13.250733094835338</v>
      </c>
      <c r="BK3" s="53">
        <f t="shared" si="1"/>
        <v>13.250733094835338</v>
      </c>
      <c r="BL3" s="53">
        <f t="shared" si="1"/>
        <v>13.250733094835338</v>
      </c>
      <c r="BM3" s="53">
        <f t="shared" si="1"/>
        <v>13.250733094835338</v>
      </c>
      <c r="BN3" s="53">
        <f t="shared" si="1"/>
        <v>13.250733094835338</v>
      </c>
      <c r="BO3" s="53">
        <f t="shared" si="1"/>
        <v>13.250733094835338</v>
      </c>
      <c r="BP3" s="53">
        <f t="shared" si="1"/>
        <v>13.250733094835338</v>
      </c>
      <c r="BQ3" s="53">
        <f t="shared" si="1"/>
        <v>13.250733094835338</v>
      </c>
      <c r="BR3" s="53">
        <f t="shared" si="1"/>
        <v>13.250733094835338</v>
      </c>
      <c r="BS3" s="53">
        <f t="shared" si="1"/>
        <v>13.250733094835338</v>
      </c>
      <c r="BT3" s="53">
        <f t="shared" si="1"/>
        <v>13.250733094835338</v>
      </c>
      <c r="BU3" s="53">
        <f t="shared" si="3" ref="BU3:CK3">+BT3</f>
        <v>13.250733094835338</v>
      </c>
      <c r="BV3" s="53">
        <f t="shared" si="3"/>
        <v>13.250733094835338</v>
      </c>
      <c r="BW3" s="53">
        <f t="shared" si="3"/>
        <v>13.250733094835338</v>
      </c>
      <c r="BX3" s="53">
        <f t="shared" si="3"/>
        <v>13.250733094835338</v>
      </c>
      <c r="BY3" s="53">
        <f t="shared" si="3"/>
        <v>13.250733094835338</v>
      </c>
      <c r="BZ3" s="53">
        <f t="shared" si="3"/>
        <v>13.250733094835338</v>
      </c>
      <c r="CA3" s="53">
        <f t="shared" si="3"/>
        <v>13.250733094835338</v>
      </c>
      <c r="CB3" s="53">
        <f t="shared" si="3"/>
        <v>13.250733094835338</v>
      </c>
      <c r="CC3" s="53">
        <f t="shared" si="3"/>
        <v>13.250733094835338</v>
      </c>
      <c r="CD3" s="53">
        <f t="shared" si="3"/>
        <v>13.250733094835338</v>
      </c>
      <c r="CE3" s="53">
        <f t="shared" si="3"/>
        <v>13.250733094835338</v>
      </c>
      <c r="CF3" s="53">
        <f t="shared" si="3"/>
        <v>13.250733094835338</v>
      </c>
      <c r="CG3" s="53">
        <f t="shared" si="3"/>
        <v>13.250733094835338</v>
      </c>
      <c r="CH3" s="53">
        <f t="shared" si="3"/>
        <v>13.250733094835338</v>
      </c>
      <c r="CI3" s="53">
        <f t="shared" si="3"/>
        <v>13.250733094835338</v>
      </c>
      <c r="CJ3" s="53">
        <f t="shared" si="3"/>
        <v>13.250733094835338</v>
      </c>
      <c r="CK3" s="53">
        <f t="shared" si="3"/>
        <v>13.250733094835338</v>
      </c>
    </row>
    <row r="4" spans="3:89" ht="14.5">
      <c r="C4" t="s">
        <v>6</v>
      </c>
      <c r="D4" t="str">
        <f>_xlfn.TEXTJOIN(",",TRUE,Regions!$C$3,Regions!$D$3)</f>
        <v>IE,National</v>
      </c>
      <c r="E4" t="s">
        <v>17</v>
      </c>
      <c r="F4" s="35"/>
      <c r="G4" s="52">
        <f t="shared" si="4" ref="G4:G12">+K56</f>
        <v>5.7000000000000002</v>
      </c>
      <c r="H4" s="53">
        <f t="shared" si="0"/>
        <v>5.7000000000000002</v>
      </c>
      <c r="I4" s="53">
        <f t="shared" si="5" ref="I4:BT4">+H4</f>
        <v>5.7000000000000002</v>
      </c>
      <c r="J4" s="53">
        <f t="shared" si="5"/>
        <v>5.7000000000000002</v>
      </c>
      <c r="K4" s="53">
        <f t="shared" si="6" ref="K4:K12">+J4*1.03</f>
        <v>5.8710000000000004</v>
      </c>
      <c r="L4" s="53">
        <f>+$G4*S$73/$N73</f>
        <v>6.3936770363908364</v>
      </c>
      <c r="M4" s="53">
        <f t="shared" si="7" ref="M4:AM4">+$G4*T$73/$N73</f>
        <v>6.4323970473592711</v>
      </c>
      <c r="N4" s="53">
        <f>+$G4*U$73/$N73</f>
        <v>6.4720732436360979</v>
      </c>
      <c r="O4" s="53">
        <f t="shared" si="7"/>
        <v>6.5127292515744379</v>
      </c>
      <c r="P4" s="53">
        <f t="shared" si="7"/>
        <v>6.5543892802450445</v>
      </c>
      <c r="Q4" s="53">
        <f t="shared" si="7"/>
        <v>6.5970781349621905</v>
      </c>
      <c r="R4" s="53">
        <f t="shared" si="7"/>
        <v>6.6408212331282721</v>
      </c>
      <c r="S4" s="53">
        <f t="shared" si="7"/>
        <v>6.6856446205101383</v>
      </c>
      <c r="T4" s="53">
        <f t="shared" si="7"/>
        <v>6.7315553927410718</v>
      </c>
      <c r="U4" s="53">
        <f t="shared" si="7"/>
        <v>6.7786028760099821</v>
      </c>
      <c r="V4" s="53">
        <f t="shared" si="7"/>
        <v>6.8268153740694038</v>
      </c>
      <c r="W4" s="53">
        <f t="shared" si="7"/>
        <v>6.8762219074585138</v>
      </c>
      <c r="X4" s="53">
        <f t="shared" si="7"/>
        <v>6.9268522297274915</v>
      </c>
      <c r="Y4" s="53">
        <f t="shared" si="7"/>
        <v>6.9787368503318046</v>
      </c>
      <c r="Z4" s="53">
        <f t="shared" si="7"/>
        <v>7.0319070549356111</v>
      </c>
      <c r="AA4" s="53">
        <f t="shared" si="7"/>
        <v>7.086394926707591</v>
      </c>
      <c r="AB4" s="53">
        <f t="shared" si="7"/>
        <v>7.1422333676447209</v>
      </c>
      <c r="AC4" s="53">
        <f t="shared" si="7"/>
        <v>7.1994561234297123</v>
      </c>
      <c r="AD4" s="53">
        <f t="shared" si="7"/>
        <v>7.2580978070794231</v>
      </c>
      <c r="AE4" s="53">
        <f t="shared" si="7"/>
        <v>7.3181939217597893</v>
      </c>
      <c r="AF4" s="53">
        <f t="shared" si="7"/>
        <v>7.3797808895858914</v>
      </c>
      <c r="AG4" s="53">
        <f t="shared" si="7"/>
        <v>7.4428960762258862</v>
      </c>
      <c r="AH4" s="53">
        <f t="shared" si="7"/>
        <v>7.5075778193169356</v>
      </c>
      <c r="AI4" s="53">
        <f t="shared" si="7"/>
        <v>7.5738654578562672</v>
      </c>
      <c r="AJ4" s="53">
        <f t="shared" si="7"/>
        <v>7.6417993599582958</v>
      </c>
      <c r="AK4" s="53">
        <f t="shared" si="7"/>
        <v>7.7114209578082695</v>
      </c>
      <c r="AL4" s="53">
        <f t="shared" si="7"/>
        <v>7.7827727770258717</v>
      </c>
      <c r="AM4" s="53">
        <f t="shared" si="7"/>
        <v>7.8558984718299651</v>
      </c>
      <c r="AN4" s="53">
        <f t="shared" si="5"/>
        <v>7.8558984718299651</v>
      </c>
      <c r="AO4" s="53">
        <f t="shared" si="5"/>
        <v>7.8558984718299651</v>
      </c>
      <c r="AP4" s="53">
        <f t="shared" si="5"/>
        <v>7.8558984718299651</v>
      </c>
      <c r="AQ4" s="53">
        <f t="shared" si="5"/>
        <v>7.8558984718299651</v>
      </c>
      <c r="AR4" s="53">
        <f t="shared" si="5"/>
        <v>7.8558984718299651</v>
      </c>
      <c r="AS4" s="53">
        <f t="shared" si="5"/>
        <v>7.8558984718299651</v>
      </c>
      <c r="AT4" s="53">
        <f t="shared" si="5"/>
        <v>7.8558984718299651</v>
      </c>
      <c r="AU4" s="53">
        <f t="shared" si="5"/>
        <v>7.8558984718299651</v>
      </c>
      <c r="AV4" s="53">
        <f t="shared" si="5"/>
        <v>7.8558984718299651</v>
      </c>
      <c r="AW4" s="53">
        <f t="shared" si="5"/>
        <v>7.8558984718299651</v>
      </c>
      <c r="AX4" s="53">
        <f t="shared" si="5"/>
        <v>7.8558984718299651</v>
      </c>
      <c r="AY4" s="53">
        <f t="shared" si="5"/>
        <v>7.8558984718299651</v>
      </c>
      <c r="AZ4" s="53">
        <f t="shared" si="5"/>
        <v>7.8558984718299651</v>
      </c>
      <c r="BA4" s="53">
        <f t="shared" si="5"/>
        <v>7.8558984718299651</v>
      </c>
      <c r="BB4" s="53">
        <f t="shared" si="5"/>
        <v>7.8558984718299651</v>
      </c>
      <c r="BC4" s="53">
        <f t="shared" si="5"/>
        <v>7.8558984718299651</v>
      </c>
      <c r="BD4" s="53">
        <f t="shared" si="5"/>
        <v>7.8558984718299651</v>
      </c>
      <c r="BE4" s="53">
        <f t="shared" si="5"/>
        <v>7.8558984718299651</v>
      </c>
      <c r="BF4" s="53">
        <f t="shared" si="5"/>
        <v>7.8558984718299651</v>
      </c>
      <c r="BG4" s="53">
        <f t="shared" si="5"/>
        <v>7.8558984718299651</v>
      </c>
      <c r="BH4" s="53">
        <f t="shared" si="5"/>
        <v>7.8558984718299651</v>
      </c>
      <c r="BI4" s="53">
        <f t="shared" si="5"/>
        <v>7.8558984718299651</v>
      </c>
      <c r="BJ4" s="53">
        <f t="shared" si="5"/>
        <v>7.8558984718299651</v>
      </c>
      <c r="BK4" s="53">
        <f t="shared" si="5"/>
        <v>7.8558984718299651</v>
      </c>
      <c r="BL4" s="53">
        <f t="shared" si="5"/>
        <v>7.8558984718299651</v>
      </c>
      <c r="BM4" s="53">
        <f t="shared" si="5"/>
        <v>7.8558984718299651</v>
      </c>
      <c r="BN4" s="53">
        <f t="shared" si="5"/>
        <v>7.8558984718299651</v>
      </c>
      <c r="BO4" s="53">
        <f t="shared" si="5"/>
        <v>7.8558984718299651</v>
      </c>
      <c r="BP4" s="53">
        <f t="shared" si="5"/>
        <v>7.8558984718299651</v>
      </c>
      <c r="BQ4" s="53">
        <f t="shared" si="5"/>
        <v>7.8558984718299651</v>
      </c>
      <c r="BR4" s="53">
        <f t="shared" si="5"/>
        <v>7.8558984718299651</v>
      </c>
      <c r="BS4" s="53">
        <f t="shared" si="5"/>
        <v>7.8558984718299651</v>
      </c>
      <c r="BT4" s="53">
        <f t="shared" si="5"/>
        <v>7.8558984718299651</v>
      </c>
      <c r="BU4" s="53">
        <f t="shared" si="8" ref="BU4:CK4">+BT4</f>
        <v>7.8558984718299651</v>
      </c>
      <c r="BV4" s="53">
        <f t="shared" si="8"/>
        <v>7.8558984718299651</v>
      </c>
      <c r="BW4" s="53">
        <f t="shared" si="8"/>
        <v>7.8558984718299651</v>
      </c>
      <c r="BX4" s="53">
        <f t="shared" si="8"/>
        <v>7.8558984718299651</v>
      </c>
      <c r="BY4" s="53">
        <f t="shared" si="8"/>
        <v>7.8558984718299651</v>
      </c>
      <c r="BZ4" s="53">
        <f t="shared" si="8"/>
        <v>7.8558984718299651</v>
      </c>
      <c r="CA4" s="53">
        <f t="shared" si="8"/>
        <v>7.8558984718299651</v>
      </c>
      <c r="CB4" s="53">
        <f t="shared" si="8"/>
        <v>7.8558984718299651</v>
      </c>
      <c r="CC4" s="53">
        <f t="shared" si="8"/>
        <v>7.8558984718299651</v>
      </c>
      <c r="CD4" s="53">
        <f t="shared" si="8"/>
        <v>7.8558984718299651</v>
      </c>
      <c r="CE4" s="53">
        <f t="shared" si="8"/>
        <v>7.8558984718299651</v>
      </c>
      <c r="CF4" s="53">
        <f t="shared" si="8"/>
        <v>7.8558984718299651</v>
      </c>
      <c r="CG4" s="53">
        <f t="shared" si="8"/>
        <v>7.8558984718299651</v>
      </c>
      <c r="CH4" s="53">
        <f t="shared" si="8"/>
        <v>7.8558984718299651</v>
      </c>
      <c r="CI4" s="53">
        <f t="shared" si="8"/>
        <v>7.8558984718299651</v>
      </c>
      <c r="CJ4" s="53">
        <f t="shared" si="8"/>
        <v>7.8558984718299651</v>
      </c>
      <c r="CK4" s="53">
        <f t="shared" si="8"/>
        <v>7.8558984718299651</v>
      </c>
    </row>
    <row r="5" spans="3:89" ht="14.5">
      <c r="C5" t="s">
        <v>6</v>
      </c>
      <c r="D5" t="str">
        <f>_xlfn.TEXTJOIN(",",TRUE,Regions!$C$3,Regions!$D$3)</f>
        <v>IE,National</v>
      </c>
      <c r="E5" t="s">
        <v>212</v>
      </c>
      <c r="F5" s="35"/>
      <c r="G5" s="52">
        <f t="shared" si="4"/>
        <v>13.4</v>
      </c>
      <c r="H5" s="53">
        <f t="shared" si="0"/>
        <v>13.4</v>
      </c>
      <c r="I5" s="53">
        <f t="shared" si="9" ref="I5:BT5">+H5</f>
        <v>13.4</v>
      </c>
      <c r="J5" s="53">
        <f t="shared" si="9"/>
        <v>13.4</v>
      </c>
      <c r="K5" s="53">
        <f t="shared" si="6"/>
        <v>13.802000000000001</v>
      </c>
      <c r="L5" s="53">
        <f>+$G5*S$69/$N69</f>
        <v>16.154874753824778</v>
      </c>
      <c r="M5" s="53">
        <f t="shared" si="10" ref="M5:AM5">+$G5*T$69/$N69</f>
        <v>16.4813505940878</v>
      </c>
      <c r="N5" s="53">
        <f t="shared" si="10"/>
        <v>16.795957256056894</v>
      </c>
      <c r="O5" s="53">
        <f t="shared" si="10"/>
        <v>17.10007113722984</v>
      </c>
      <c r="P5" s="53">
        <f t="shared" si="10"/>
        <v>17.394169521659336</v>
      </c>
      <c r="Q5" s="53">
        <f t="shared" si="10"/>
        <v>17.680273366578032</v>
      </c>
      <c r="R5" s="53">
        <f t="shared" si="10"/>
        <v>17.960412730849921</v>
      </c>
      <c r="S5" s="53">
        <f t="shared" si="10"/>
        <v>18.23449348095798</v>
      </c>
      <c r="T5" s="53">
        <f t="shared" si="10"/>
        <v>18.50362428672377</v>
      </c>
      <c r="U5" s="53">
        <f t="shared" si="10"/>
        <v>18.767668935942069</v>
      </c>
      <c r="V5" s="53">
        <f t="shared" si="10"/>
        <v>19.027385105557503</v>
      </c>
      <c r="W5" s="53">
        <f t="shared" si="10"/>
        <v>19.283206366935573</v>
      </c>
      <c r="X5" s="53">
        <f t="shared" si="10"/>
        <v>19.534669393872687</v>
      </c>
      <c r="Y5" s="53">
        <f t="shared" si="10"/>
        <v>19.781640978293307</v>
      </c>
      <c r="Z5" s="53">
        <f t="shared" si="10"/>
        <v>20.023960957238565</v>
      </c>
      <c r="AA5" s="53">
        <f t="shared" si="10"/>
        <v>20.261596403126173</v>
      </c>
      <c r="AB5" s="53">
        <f t="shared" si="10"/>
        <v>20.494086301282032</v>
      </c>
      <c r="AC5" s="53">
        <f t="shared" si="10"/>
        <v>20.721258588924979</v>
      </c>
      <c r="AD5" s="53">
        <f t="shared" si="10"/>
        <v>20.943135688242716</v>
      </c>
      <c r="AE5" s="53">
        <f t="shared" si="10"/>
        <v>21.159475244922891</v>
      </c>
      <c r="AF5" s="53">
        <f t="shared" si="10"/>
        <v>21.369924914959828</v>
      </c>
      <c r="AG5" s="53">
        <f t="shared" si="10"/>
        <v>21.573602166173426</v>
      </c>
      <c r="AH5" s="53">
        <f t="shared" si="10"/>
        <v>21.770438064342553</v>
      </c>
      <c r="AI5" s="53">
        <f t="shared" si="10"/>
        <v>21.960512133440826</v>
      </c>
      <c r="AJ5" s="53">
        <f t="shared" si="10"/>
        <v>22.14358845178867</v>
      </c>
      <c r="AK5" s="53">
        <f t="shared" si="10"/>
        <v>22.3195970124975</v>
      </c>
      <c r="AL5" s="53">
        <f t="shared" si="10"/>
        <v>22.487997816960728</v>
      </c>
      <c r="AM5" s="53">
        <f t="shared" si="10"/>
        <v>22.648977695245776</v>
      </c>
      <c r="AN5" s="53">
        <f t="shared" si="9"/>
        <v>22.648977695245776</v>
      </c>
      <c r="AO5" s="53">
        <f t="shared" si="9"/>
        <v>22.648977695245776</v>
      </c>
      <c r="AP5" s="53">
        <f t="shared" si="9"/>
        <v>22.648977695245776</v>
      </c>
      <c r="AQ5" s="53">
        <f t="shared" si="9"/>
        <v>22.648977695245776</v>
      </c>
      <c r="AR5" s="53">
        <f t="shared" si="9"/>
        <v>22.648977695245776</v>
      </c>
      <c r="AS5" s="53">
        <f t="shared" si="9"/>
        <v>22.648977695245776</v>
      </c>
      <c r="AT5" s="53">
        <f t="shared" si="9"/>
        <v>22.648977695245776</v>
      </c>
      <c r="AU5" s="53">
        <f t="shared" si="9"/>
        <v>22.648977695245776</v>
      </c>
      <c r="AV5" s="53">
        <f t="shared" si="9"/>
        <v>22.648977695245776</v>
      </c>
      <c r="AW5" s="53">
        <f t="shared" si="9"/>
        <v>22.648977695245776</v>
      </c>
      <c r="AX5" s="53">
        <f t="shared" si="9"/>
        <v>22.648977695245776</v>
      </c>
      <c r="AY5" s="53">
        <f t="shared" si="9"/>
        <v>22.648977695245776</v>
      </c>
      <c r="AZ5" s="53">
        <f t="shared" si="9"/>
        <v>22.648977695245776</v>
      </c>
      <c r="BA5" s="53">
        <f t="shared" si="9"/>
        <v>22.648977695245776</v>
      </c>
      <c r="BB5" s="53">
        <f t="shared" si="9"/>
        <v>22.648977695245776</v>
      </c>
      <c r="BC5" s="53">
        <f t="shared" si="9"/>
        <v>22.648977695245776</v>
      </c>
      <c r="BD5" s="53">
        <f t="shared" si="9"/>
        <v>22.648977695245776</v>
      </c>
      <c r="BE5" s="53">
        <f t="shared" si="9"/>
        <v>22.648977695245776</v>
      </c>
      <c r="BF5" s="53">
        <f t="shared" si="9"/>
        <v>22.648977695245776</v>
      </c>
      <c r="BG5" s="53">
        <f t="shared" si="9"/>
        <v>22.648977695245776</v>
      </c>
      <c r="BH5" s="53">
        <f t="shared" si="9"/>
        <v>22.648977695245776</v>
      </c>
      <c r="BI5" s="53">
        <f t="shared" si="9"/>
        <v>22.648977695245776</v>
      </c>
      <c r="BJ5" s="53">
        <f t="shared" si="9"/>
        <v>22.648977695245776</v>
      </c>
      <c r="BK5" s="53">
        <f t="shared" si="9"/>
        <v>22.648977695245776</v>
      </c>
      <c r="BL5" s="53">
        <f t="shared" si="9"/>
        <v>22.648977695245776</v>
      </c>
      <c r="BM5" s="53">
        <f t="shared" si="9"/>
        <v>22.648977695245776</v>
      </c>
      <c r="BN5" s="53">
        <f t="shared" si="9"/>
        <v>22.648977695245776</v>
      </c>
      <c r="BO5" s="53">
        <f t="shared" si="9"/>
        <v>22.648977695245776</v>
      </c>
      <c r="BP5" s="53">
        <f t="shared" si="9"/>
        <v>22.648977695245776</v>
      </c>
      <c r="BQ5" s="53">
        <f t="shared" si="9"/>
        <v>22.648977695245776</v>
      </c>
      <c r="BR5" s="53">
        <f t="shared" si="9"/>
        <v>22.648977695245776</v>
      </c>
      <c r="BS5" s="53">
        <f t="shared" si="9"/>
        <v>22.648977695245776</v>
      </c>
      <c r="BT5" s="53">
        <f t="shared" si="9"/>
        <v>22.648977695245776</v>
      </c>
      <c r="BU5" s="53">
        <f t="shared" si="11" ref="BU5:CK5">+BT5</f>
        <v>22.648977695245776</v>
      </c>
      <c r="BV5" s="53">
        <f t="shared" si="11"/>
        <v>22.648977695245776</v>
      </c>
      <c r="BW5" s="53">
        <f t="shared" si="11"/>
        <v>22.648977695245776</v>
      </c>
      <c r="BX5" s="53">
        <f t="shared" si="11"/>
        <v>22.648977695245776</v>
      </c>
      <c r="BY5" s="53">
        <f t="shared" si="11"/>
        <v>22.648977695245776</v>
      </c>
      <c r="BZ5" s="53">
        <f t="shared" si="11"/>
        <v>22.648977695245776</v>
      </c>
      <c r="CA5" s="53">
        <f t="shared" si="11"/>
        <v>22.648977695245776</v>
      </c>
      <c r="CB5" s="53">
        <f t="shared" si="11"/>
        <v>22.648977695245776</v>
      </c>
      <c r="CC5" s="53">
        <f t="shared" si="11"/>
        <v>22.648977695245776</v>
      </c>
      <c r="CD5" s="53">
        <f t="shared" si="11"/>
        <v>22.648977695245776</v>
      </c>
      <c r="CE5" s="53">
        <f t="shared" si="11"/>
        <v>22.648977695245776</v>
      </c>
      <c r="CF5" s="53">
        <f t="shared" si="11"/>
        <v>22.648977695245776</v>
      </c>
      <c r="CG5" s="53">
        <f t="shared" si="11"/>
        <v>22.648977695245776</v>
      </c>
      <c r="CH5" s="53">
        <f t="shared" si="11"/>
        <v>22.648977695245776</v>
      </c>
      <c r="CI5" s="53">
        <f t="shared" si="11"/>
        <v>22.648977695245776</v>
      </c>
      <c r="CJ5" s="53">
        <f t="shared" si="11"/>
        <v>22.648977695245776</v>
      </c>
      <c r="CK5" s="53">
        <f t="shared" si="11"/>
        <v>22.648977695245776</v>
      </c>
    </row>
    <row r="6" spans="3:89" ht="14.5">
      <c r="C6" t="s">
        <v>6</v>
      </c>
      <c r="D6" t="str">
        <f>_xlfn.TEXTJOIN(",",TRUE,Regions!$C$3,Regions!$D$3)</f>
        <v>IE,National</v>
      </c>
      <c r="E6" t="s">
        <v>213</v>
      </c>
      <c r="F6" s="35"/>
      <c r="G6" s="52">
        <f t="shared" si="4"/>
        <v>1.3</v>
      </c>
      <c r="H6" s="53">
        <f t="shared" si="0"/>
        <v>1.3</v>
      </c>
      <c r="I6" s="53">
        <f t="shared" si="12" ref="I6:BT6">+H6</f>
        <v>1.3</v>
      </c>
      <c r="J6" s="53">
        <f t="shared" si="12"/>
        <v>1.3</v>
      </c>
      <c r="K6" s="53">
        <f t="shared" si="6"/>
        <v>1.3390000000000002</v>
      </c>
      <c r="L6" s="53">
        <f>+$G6*S$75/$N75</f>
        <v>1.3007762016686237</v>
      </c>
      <c r="M6" s="53">
        <f t="shared" si="13" ref="M6:AM6">+$G6*T$75/$N75</f>
        <v>1.3522292043029902</v>
      </c>
      <c r="N6" s="53">
        <f t="shared" si="13"/>
        <v>1.4057174621001558</v>
      </c>
      <c r="O6" s="53">
        <f t="shared" si="13"/>
        <v>1.4613214808297665</v>
      </c>
      <c r="P6" s="53">
        <f t="shared" si="13"/>
        <v>1.4615402858467135</v>
      </c>
      <c r="Q6" s="53">
        <f t="shared" si="13"/>
        <v>1.4617591236255376</v>
      </c>
      <c r="R6" s="53">
        <f t="shared" si="13"/>
        <v>1.461977994171145</v>
      </c>
      <c r="S6" s="53">
        <f t="shared" si="13"/>
        <v>1.4621968974884418</v>
      </c>
      <c r="T6" s="53">
        <f t="shared" si="13"/>
        <v>1.4624158335823345</v>
      </c>
      <c r="U6" s="53">
        <f t="shared" si="13"/>
        <v>1.4753612397959797</v>
      </c>
      <c r="V6" s="53">
        <f t="shared" si="13"/>
        <v>1.4884212396417422</v>
      </c>
      <c r="W6" s="53">
        <f t="shared" si="13"/>
        <v>1.5015968475103878</v>
      </c>
      <c r="X6" s="53">
        <f t="shared" si="13"/>
        <v>1.5148890867721396</v>
      </c>
      <c r="Y6" s="53">
        <f t="shared" si="13"/>
        <v>1.5282989898561652</v>
      </c>
      <c r="Z6" s="53">
        <f t="shared" si="13"/>
        <v>1.5385501392183596</v>
      </c>
      <c r="AA6" s="53">
        <f t="shared" si="13"/>
        <v>1.5488700487275824</v>
      </c>
      <c r="AB6" s="53">
        <f t="shared" si="13"/>
        <v>1.5592591795962945</v>
      </c>
      <c r="AC6" s="53">
        <f t="shared" si="13"/>
        <v>1.5697179961305634</v>
      </c>
      <c r="AD6" s="53">
        <f t="shared" si="13"/>
        <v>1.5802469657508167</v>
      </c>
      <c r="AE6" s="53">
        <f t="shared" si="13"/>
        <v>1.5885152241214666</v>
      </c>
      <c r="AF6" s="53">
        <f t="shared" si="13"/>
        <v>1.5968267441454949</v>
      </c>
      <c r="AG6" s="53">
        <f t="shared" si="13"/>
        <v>1.6051817521789928</v>
      </c>
      <c r="AH6" s="53">
        <f t="shared" si="13"/>
        <v>1.6135804757624064</v>
      </c>
      <c r="AI6" s="53">
        <f t="shared" si="13"/>
        <v>1.6220231436267305</v>
      </c>
      <c r="AJ6" s="53">
        <f t="shared" si="13"/>
        <v>1.630535522721134</v>
      </c>
      <c r="AK6" s="53">
        <f t="shared" si="13"/>
        <v>1.6390925747896141</v>
      </c>
      <c r="AL6" s="53">
        <f t="shared" si="13"/>
        <v>1.6476945342759834</v>
      </c>
      <c r="AM6" s="53">
        <f t="shared" si="13"/>
        <v>1.6563416368544173</v>
      </c>
      <c r="AN6" s="53">
        <f t="shared" si="12"/>
        <v>1.6563416368544173</v>
      </c>
      <c r="AO6" s="53">
        <f t="shared" si="12"/>
        <v>1.6563416368544173</v>
      </c>
      <c r="AP6" s="53">
        <f t="shared" si="12"/>
        <v>1.6563416368544173</v>
      </c>
      <c r="AQ6" s="53">
        <f t="shared" si="12"/>
        <v>1.6563416368544173</v>
      </c>
      <c r="AR6" s="53">
        <f t="shared" si="12"/>
        <v>1.6563416368544173</v>
      </c>
      <c r="AS6" s="53">
        <f t="shared" si="12"/>
        <v>1.6563416368544173</v>
      </c>
      <c r="AT6" s="53">
        <f t="shared" si="12"/>
        <v>1.6563416368544173</v>
      </c>
      <c r="AU6" s="53">
        <f t="shared" si="12"/>
        <v>1.6563416368544173</v>
      </c>
      <c r="AV6" s="53">
        <f t="shared" si="12"/>
        <v>1.6563416368544173</v>
      </c>
      <c r="AW6" s="53">
        <f t="shared" si="12"/>
        <v>1.6563416368544173</v>
      </c>
      <c r="AX6" s="53">
        <f t="shared" si="12"/>
        <v>1.6563416368544173</v>
      </c>
      <c r="AY6" s="53">
        <f t="shared" si="12"/>
        <v>1.6563416368544173</v>
      </c>
      <c r="AZ6" s="53">
        <f t="shared" si="12"/>
        <v>1.6563416368544173</v>
      </c>
      <c r="BA6" s="53">
        <f t="shared" si="12"/>
        <v>1.6563416368544173</v>
      </c>
      <c r="BB6" s="53">
        <f t="shared" si="12"/>
        <v>1.6563416368544173</v>
      </c>
      <c r="BC6" s="53">
        <f t="shared" si="12"/>
        <v>1.6563416368544173</v>
      </c>
      <c r="BD6" s="53">
        <f t="shared" si="12"/>
        <v>1.6563416368544173</v>
      </c>
      <c r="BE6" s="53">
        <f t="shared" si="12"/>
        <v>1.6563416368544173</v>
      </c>
      <c r="BF6" s="53">
        <f t="shared" si="12"/>
        <v>1.6563416368544173</v>
      </c>
      <c r="BG6" s="53">
        <f t="shared" si="12"/>
        <v>1.6563416368544173</v>
      </c>
      <c r="BH6" s="53">
        <f t="shared" si="12"/>
        <v>1.6563416368544173</v>
      </c>
      <c r="BI6" s="53">
        <f t="shared" si="12"/>
        <v>1.6563416368544173</v>
      </c>
      <c r="BJ6" s="53">
        <f t="shared" si="12"/>
        <v>1.6563416368544173</v>
      </c>
      <c r="BK6" s="53">
        <f t="shared" si="12"/>
        <v>1.6563416368544173</v>
      </c>
      <c r="BL6" s="53">
        <f t="shared" si="12"/>
        <v>1.6563416368544173</v>
      </c>
      <c r="BM6" s="53">
        <f t="shared" si="12"/>
        <v>1.6563416368544173</v>
      </c>
      <c r="BN6" s="53">
        <f t="shared" si="12"/>
        <v>1.6563416368544173</v>
      </c>
      <c r="BO6" s="53">
        <f t="shared" si="12"/>
        <v>1.6563416368544173</v>
      </c>
      <c r="BP6" s="53">
        <f t="shared" si="12"/>
        <v>1.6563416368544173</v>
      </c>
      <c r="BQ6" s="53">
        <f t="shared" si="12"/>
        <v>1.6563416368544173</v>
      </c>
      <c r="BR6" s="53">
        <f t="shared" si="12"/>
        <v>1.6563416368544173</v>
      </c>
      <c r="BS6" s="53">
        <f t="shared" si="12"/>
        <v>1.6563416368544173</v>
      </c>
      <c r="BT6" s="53">
        <f t="shared" si="12"/>
        <v>1.6563416368544173</v>
      </c>
      <c r="BU6" s="53">
        <f t="shared" si="14" ref="BU6:CK6">+BT6</f>
        <v>1.6563416368544173</v>
      </c>
      <c r="BV6" s="53">
        <f t="shared" si="14"/>
        <v>1.6563416368544173</v>
      </c>
      <c r="BW6" s="53">
        <f t="shared" si="14"/>
        <v>1.6563416368544173</v>
      </c>
      <c r="BX6" s="53">
        <f t="shared" si="14"/>
        <v>1.6563416368544173</v>
      </c>
      <c r="BY6" s="53">
        <f t="shared" si="14"/>
        <v>1.6563416368544173</v>
      </c>
      <c r="BZ6" s="53">
        <f t="shared" si="14"/>
        <v>1.6563416368544173</v>
      </c>
      <c r="CA6" s="53">
        <f t="shared" si="14"/>
        <v>1.6563416368544173</v>
      </c>
      <c r="CB6" s="53">
        <f t="shared" si="14"/>
        <v>1.6563416368544173</v>
      </c>
      <c r="CC6" s="53">
        <f t="shared" si="14"/>
        <v>1.6563416368544173</v>
      </c>
      <c r="CD6" s="53">
        <f t="shared" si="14"/>
        <v>1.6563416368544173</v>
      </c>
      <c r="CE6" s="53">
        <f t="shared" si="14"/>
        <v>1.6563416368544173</v>
      </c>
      <c r="CF6" s="53">
        <f t="shared" si="14"/>
        <v>1.6563416368544173</v>
      </c>
      <c r="CG6" s="53">
        <f t="shared" si="14"/>
        <v>1.6563416368544173</v>
      </c>
      <c r="CH6" s="53">
        <f t="shared" si="14"/>
        <v>1.6563416368544173</v>
      </c>
      <c r="CI6" s="53">
        <f t="shared" si="14"/>
        <v>1.6563416368544173</v>
      </c>
      <c r="CJ6" s="53">
        <f t="shared" si="14"/>
        <v>1.6563416368544173</v>
      </c>
      <c r="CK6" s="53">
        <f t="shared" si="14"/>
        <v>1.6563416368544173</v>
      </c>
    </row>
    <row r="7" spans="3:89" ht="14.5">
      <c r="C7" t="s">
        <v>6</v>
      </c>
      <c r="D7" t="str">
        <f>_xlfn.TEXTJOIN(",",TRUE,Regions!$C$3,Regions!$D$3)</f>
        <v>IE,National</v>
      </c>
      <c r="E7" t="s">
        <v>23</v>
      </c>
      <c r="F7" s="35"/>
      <c r="G7" s="52">
        <f t="shared" si="4"/>
        <v>16.5</v>
      </c>
      <c r="H7" s="53">
        <f t="shared" si="0"/>
        <v>16.5</v>
      </c>
      <c r="I7" s="53">
        <f t="shared" si="15" ref="I7:BT7">+H7</f>
        <v>16.5</v>
      </c>
      <c r="J7" s="53">
        <f t="shared" si="15"/>
        <v>16.5</v>
      </c>
      <c r="K7" s="53">
        <f t="shared" si="6"/>
        <v>16.995000000000001</v>
      </c>
      <c r="L7" s="53">
        <f>+$G7*S$76/$N76</f>
        <v>14.770551619589172</v>
      </c>
      <c r="M7" s="53">
        <f t="shared" si="16" ref="M7:AM7">+$G7*T$76/$N76</f>
        <v>14.845813862178977</v>
      </c>
      <c r="N7" s="53">
        <f t="shared" si="16"/>
        <v>14.922975102461015</v>
      </c>
      <c r="O7" s="53">
        <f t="shared" si="16"/>
        <v>15.002084847728039</v>
      </c>
      <c r="P7" s="53">
        <f t="shared" si="16"/>
        <v>15.083193999847706</v>
      </c>
      <c r="Q7" s="53">
        <f t="shared" si="16"/>
        <v>15.166354893122131</v>
      </c>
      <c r="R7" s="53">
        <f t="shared" si="16"/>
        <v>15.251621372340695</v>
      </c>
      <c r="S7" s="53">
        <f t="shared" si="16"/>
        <v>15.33904885486659</v>
      </c>
      <c r="T7" s="53">
        <f t="shared" si="16"/>
        <v>15.42956524826554</v>
      </c>
      <c r="U7" s="53">
        <f t="shared" si="16"/>
        <v>15.522330748672248</v>
      </c>
      <c r="V7" s="53">
        <f t="shared" si="16"/>
        <v>15.61740339686316</v>
      </c>
      <c r="W7" s="53">
        <f t="shared" si="16"/>
        <v>15.714842924780468</v>
      </c>
      <c r="X7" s="53">
        <f t="shared" si="16"/>
        <v>15.81471081856823</v>
      </c>
      <c r="Y7" s="53">
        <f t="shared" si="16"/>
        <v>15.917070390942561</v>
      </c>
      <c r="Z7" s="53">
        <f t="shared" si="16"/>
        <v>16.021986874379483</v>
      </c>
      <c r="AA7" s="53">
        <f t="shared" si="16"/>
        <v>16.129527490525067</v>
      </c>
      <c r="AB7" s="53">
        <f t="shared" si="16"/>
        <v>16.239761556648215</v>
      </c>
      <c r="AC7" s="53">
        <f t="shared" si="16"/>
        <v>16.352760567750522</v>
      </c>
      <c r="AD7" s="53">
        <f t="shared" si="16"/>
        <v>16.468598321268065</v>
      </c>
      <c r="AE7" s="53">
        <f t="shared" si="16"/>
        <v>16.587351030576169</v>
      </c>
      <c r="AF7" s="53">
        <f t="shared" si="16"/>
        <v>16.709097436953339</v>
      </c>
      <c r="AG7" s="53">
        <f t="shared" si="16"/>
        <v>16.83391896804671</v>
      </c>
      <c r="AH7" s="53">
        <f t="shared" si="16"/>
        <v>16.961899876349431</v>
      </c>
      <c r="AI7" s="53">
        <f t="shared" si="16"/>
        <v>17.093127396904059</v>
      </c>
      <c r="AJ7" s="53">
        <f t="shared" si="16"/>
        <v>17.22769194307368</v>
      </c>
      <c r="AK7" s="53">
        <f t="shared" si="16"/>
        <v>17.365687286901764</v>
      </c>
      <c r="AL7" s="53">
        <f t="shared" si="16"/>
        <v>17.507210781890123</v>
      </c>
      <c r="AM7" s="53">
        <f t="shared" si="16"/>
        <v>17.652363592735284</v>
      </c>
      <c r="AN7" s="53">
        <f t="shared" si="15"/>
        <v>17.652363592735284</v>
      </c>
      <c r="AO7" s="53">
        <f t="shared" si="15"/>
        <v>17.652363592735284</v>
      </c>
      <c r="AP7" s="53">
        <f t="shared" si="15"/>
        <v>17.652363592735284</v>
      </c>
      <c r="AQ7" s="53">
        <f t="shared" si="15"/>
        <v>17.652363592735284</v>
      </c>
      <c r="AR7" s="53">
        <f t="shared" si="15"/>
        <v>17.652363592735284</v>
      </c>
      <c r="AS7" s="53">
        <f t="shared" si="15"/>
        <v>17.652363592735284</v>
      </c>
      <c r="AT7" s="53">
        <f t="shared" si="15"/>
        <v>17.652363592735284</v>
      </c>
      <c r="AU7" s="53">
        <f t="shared" si="15"/>
        <v>17.652363592735284</v>
      </c>
      <c r="AV7" s="53">
        <f t="shared" si="15"/>
        <v>17.652363592735284</v>
      </c>
      <c r="AW7" s="53">
        <f t="shared" si="15"/>
        <v>17.652363592735284</v>
      </c>
      <c r="AX7" s="53">
        <f t="shared" si="15"/>
        <v>17.652363592735284</v>
      </c>
      <c r="AY7" s="53">
        <f t="shared" si="15"/>
        <v>17.652363592735284</v>
      </c>
      <c r="AZ7" s="53">
        <f t="shared" si="15"/>
        <v>17.652363592735284</v>
      </c>
      <c r="BA7" s="53">
        <f t="shared" si="15"/>
        <v>17.652363592735284</v>
      </c>
      <c r="BB7" s="53">
        <f t="shared" si="15"/>
        <v>17.652363592735284</v>
      </c>
      <c r="BC7" s="53">
        <f t="shared" si="15"/>
        <v>17.652363592735284</v>
      </c>
      <c r="BD7" s="53">
        <f t="shared" si="15"/>
        <v>17.652363592735284</v>
      </c>
      <c r="BE7" s="53">
        <f t="shared" si="15"/>
        <v>17.652363592735284</v>
      </c>
      <c r="BF7" s="53">
        <f t="shared" si="15"/>
        <v>17.652363592735284</v>
      </c>
      <c r="BG7" s="53">
        <f t="shared" si="15"/>
        <v>17.652363592735284</v>
      </c>
      <c r="BH7" s="53">
        <f t="shared" si="15"/>
        <v>17.652363592735284</v>
      </c>
      <c r="BI7" s="53">
        <f t="shared" si="15"/>
        <v>17.652363592735284</v>
      </c>
      <c r="BJ7" s="53">
        <f t="shared" si="15"/>
        <v>17.652363592735284</v>
      </c>
      <c r="BK7" s="53">
        <f t="shared" si="15"/>
        <v>17.652363592735284</v>
      </c>
      <c r="BL7" s="53">
        <f t="shared" si="15"/>
        <v>17.652363592735284</v>
      </c>
      <c r="BM7" s="53">
        <f t="shared" si="15"/>
        <v>17.652363592735284</v>
      </c>
      <c r="BN7" s="53">
        <f t="shared" si="15"/>
        <v>17.652363592735284</v>
      </c>
      <c r="BO7" s="53">
        <f t="shared" si="15"/>
        <v>17.652363592735284</v>
      </c>
      <c r="BP7" s="53">
        <f t="shared" si="15"/>
        <v>17.652363592735284</v>
      </c>
      <c r="BQ7" s="53">
        <f t="shared" si="15"/>
        <v>17.652363592735284</v>
      </c>
      <c r="BR7" s="53">
        <f t="shared" si="15"/>
        <v>17.652363592735284</v>
      </c>
      <c r="BS7" s="53">
        <f t="shared" si="15"/>
        <v>17.652363592735284</v>
      </c>
      <c r="BT7" s="53">
        <f t="shared" si="15"/>
        <v>17.652363592735284</v>
      </c>
      <c r="BU7" s="53">
        <f t="shared" si="17" ref="BU7:CK7">+BT7</f>
        <v>17.652363592735284</v>
      </c>
      <c r="BV7" s="53">
        <f t="shared" si="17"/>
        <v>17.652363592735284</v>
      </c>
      <c r="BW7" s="53">
        <f t="shared" si="17"/>
        <v>17.652363592735284</v>
      </c>
      <c r="BX7" s="53">
        <f t="shared" si="17"/>
        <v>17.652363592735284</v>
      </c>
      <c r="BY7" s="53">
        <f t="shared" si="17"/>
        <v>17.652363592735284</v>
      </c>
      <c r="BZ7" s="53">
        <f t="shared" si="17"/>
        <v>17.652363592735284</v>
      </c>
      <c r="CA7" s="53">
        <f t="shared" si="17"/>
        <v>17.652363592735284</v>
      </c>
      <c r="CB7" s="53">
        <f t="shared" si="17"/>
        <v>17.652363592735284</v>
      </c>
      <c r="CC7" s="53">
        <f t="shared" si="17"/>
        <v>17.652363592735284</v>
      </c>
      <c r="CD7" s="53">
        <f t="shared" si="17"/>
        <v>17.652363592735284</v>
      </c>
      <c r="CE7" s="53">
        <f t="shared" si="17"/>
        <v>17.652363592735284</v>
      </c>
      <c r="CF7" s="53">
        <f t="shared" si="17"/>
        <v>17.652363592735284</v>
      </c>
      <c r="CG7" s="53">
        <f t="shared" si="17"/>
        <v>17.652363592735284</v>
      </c>
      <c r="CH7" s="53">
        <f t="shared" si="17"/>
        <v>17.652363592735284</v>
      </c>
      <c r="CI7" s="53">
        <f t="shared" si="17"/>
        <v>17.652363592735284</v>
      </c>
      <c r="CJ7" s="53">
        <f t="shared" si="17"/>
        <v>17.652363592735284</v>
      </c>
      <c r="CK7" s="53">
        <f t="shared" si="17"/>
        <v>17.652363592735284</v>
      </c>
    </row>
    <row r="8" spans="3:89" ht="14.5">
      <c r="C8" t="s">
        <v>6</v>
      </c>
      <c r="D8" t="str">
        <f>_xlfn.TEXTJOIN(",",TRUE,Regions!$C$3,Regions!$D$3)</f>
        <v>IE,National</v>
      </c>
      <c r="E8" t="s">
        <v>31</v>
      </c>
      <c r="F8" s="35"/>
      <c r="G8" s="52">
        <f t="shared" si="4"/>
        <v>3.7999999999999998</v>
      </c>
      <c r="H8" s="53">
        <f t="shared" si="0"/>
        <v>3.7999999999999998</v>
      </c>
      <c r="I8" s="53">
        <f t="shared" si="18" ref="I8:BT8">+H8</f>
        <v>3.7999999999999998</v>
      </c>
      <c r="J8" s="53">
        <f t="shared" si="18"/>
        <v>3.7999999999999998</v>
      </c>
      <c r="K8" s="53">
        <f t="shared" si="6"/>
        <v>3.9139999999999997</v>
      </c>
      <c r="L8" s="53">
        <f>+$G8*S$80/$N80</f>
        <v>3.8741569495470718</v>
      </c>
      <c r="M8" s="53">
        <f t="shared" si="19" ref="M8:AM8">+$G8*T$80/$N80</f>
        <v>3.949215299576593</v>
      </c>
      <c r="N8" s="53">
        <f t="shared" si="19"/>
        <v>4.0205717099064788</v>
      </c>
      <c r="O8" s="53">
        <f t="shared" si="19"/>
        <v>4.088561921611074</v>
      </c>
      <c r="P8" s="53">
        <f t="shared" si="19"/>
        <v>4.1531699075569453</v>
      </c>
      <c r="Q8" s="53">
        <f t="shared" si="19"/>
        <v>4.2150763355428671</v>
      </c>
      <c r="R8" s="53">
        <f t="shared" si="19"/>
        <v>4.2750254654769293</v>
      </c>
      <c r="S8" s="53">
        <f t="shared" si="19"/>
        <v>4.3328486515349294</v>
      </c>
      <c r="T8" s="53">
        <f t="shared" si="19"/>
        <v>4.3889178342427302</v>
      </c>
      <c r="U8" s="53">
        <f t="shared" si="19"/>
        <v>4.443074551265946</v>
      </c>
      <c r="V8" s="53">
        <f t="shared" si="19"/>
        <v>4.495570527168864</v>
      </c>
      <c r="W8" s="53">
        <f t="shared" si="19"/>
        <v>4.5465197561778847</v>
      </c>
      <c r="X8" s="53">
        <f t="shared" si="19"/>
        <v>4.5956010132042788</v>
      </c>
      <c r="Y8" s="53">
        <f t="shared" si="19"/>
        <v>4.6426417132385618</v>
      </c>
      <c r="Z8" s="53">
        <f t="shared" si="19"/>
        <v>4.6874482904284083</v>
      </c>
      <c r="AA8" s="53">
        <f t="shared" si="19"/>
        <v>4.7298854677501652</v>
      </c>
      <c r="AB8" s="53">
        <f t="shared" si="19"/>
        <v>4.7695872732224327</v>
      </c>
      <c r="AC8" s="53">
        <f t="shared" si="19"/>
        <v>4.8063246590653304</v>
      </c>
      <c r="AD8" s="53">
        <f t="shared" si="19"/>
        <v>4.839966929134766</v>
      </c>
      <c r="AE8" s="53">
        <f t="shared" si="19"/>
        <v>4.8702346391627147</v>
      </c>
      <c r="AF8" s="53">
        <f t="shared" si="19"/>
        <v>4.8967735789296691</v>
      </c>
      <c r="AG8" s="53">
        <f t="shared" si="19"/>
        <v>4.9189137615434291</v>
      </c>
      <c r="AH8" s="53">
        <f t="shared" si="19"/>
        <v>4.9364305151111871</v>
      </c>
      <c r="AI8" s="53">
        <f t="shared" si="19"/>
        <v>4.9491768372290306</v>
      </c>
      <c r="AJ8" s="53">
        <f t="shared" si="19"/>
        <v>4.9568240492187803</v>
      </c>
      <c r="AK8" s="53">
        <f t="shared" si="19"/>
        <v>4.9591266462623196</v>
      </c>
      <c r="AL8" s="53">
        <f t="shared" si="19"/>
        <v>4.9555621669056169</v>
      </c>
      <c r="AM8" s="53">
        <f t="shared" si="19"/>
        <v>4.9460325602273718</v>
      </c>
      <c r="AN8" s="53">
        <f t="shared" si="18"/>
        <v>4.9460325602273718</v>
      </c>
      <c r="AO8" s="53">
        <f t="shared" si="18"/>
        <v>4.9460325602273718</v>
      </c>
      <c r="AP8" s="53">
        <f t="shared" si="18"/>
        <v>4.9460325602273718</v>
      </c>
      <c r="AQ8" s="53">
        <f t="shared" si="18"/>
        <v>4.9460325602273718</v>
      </c>
      <c r="AR8" s="53">
        <f t="shared" si="18"/>
        <v>4.9460325602273718</v>
      </c>
      <c r="AS8" s="53">
        <f t="shared" si="18"/>
        <v>4.9460325602273718</v>
      </c>
      <c r="AT8" s="53">
        <f t="shared" si="18"/>
        <v>4.9460325602273718</v>
      </c>
      <c r="AU8" s="53">
        <f t="shared" si="18"/>
        <v>4.9460325602273718</v>
      </c>
      <c r="AV8" s="53">
        <f t="shared" si="18"/>
        <v>4.9460325602273718</v>
      </c>
      <c r="AW8" s="53">
        <f t="shared" si="18"/>
        <v>4.9460325602273718</v>
      </c>
      <c r="AX8" s="53">
        <f t="shared" si="18"/>
        <v>4.9460325602273718</v>
      </c>
      <c r="AY8" s="53">
        <f t="shared" si="18"/>
        <v>4.9460325602273718</v>
      </c>
      <c r="AZ8" s="53">
        <f t="shared" si="18"/>
        <v>4.9460325602273718</v>
      </c>
      <c r="BA8" s="53">
        <f t="shared" si="18"/>
        <v>4.9460325602273718</v>
      </c>
      <c r="BB8" s="53">
        <f t="shared" si="18"/>
        <v>4.9460325602273718</v>
      </c>
      <c r="BC8" s="53">
        <f t="shared" si="18"/>
        <v>4.9460325602273718</v>
      </c>
      <c r="BD8" s="53">
        <f t="shared" si="18"/>
        <v>4.9460325602273718</v>
      </c>
      <c r="BE8" s="53">
        <f t="shared" si="18"/>
        <v>4.9460325602273718</v>
      </c>
      <c r="BF8" s="53">
        <f t="shared" si="18"/>
        <v>4.9460325602273718</v>
      </c>
      <c r="BG8" s="53">
        <f t="shared" si="18"/>
        <v>4.9460325602273718</v>
      </c>
      <c r="BH8" s="53">
        <f t="shared" si="18"/>
        <v>4.9460325602273718</v>
      </c>
      <c r="BI8" s="53">
        <f t="shared" si="18"/>
        <v>4.9460325602273718</v>
      </c>
      <c r="BJ8" s="53">
        <f t="shared" si="18"/>
        <v>4.9460325602273718</v>
      </c>
      <c r="BK8" s="53">
        <f t="shared" si="18"/>
        <v>4.9460325602273718</v>
      </c>
      <c r="BL8" s="53">
        <f t="shared" si="18"/>
        <v>4.9460325602273718</v>
      </c>
      <c r="BM8" s="53">
        <f t="shared" si="18"/>
        <v>4.9460325602273718</v>
      </c>
      <c r="BN8" s="53">
        <f t="shared" si="18"/>
        <v>4.9460325602273718</v>
      </c>
      <c r="BO8" s="53">
        <f t="shared" si="18"/>
        <v>4.9460325602273718</v>
      </c>
      <c r="BP8" s="53">
        <f t="shared" si="18"/>
        <v>4.9460325602273718</v>
      </c>
      <c r="BQ8" s="53">
        <f t="shared" si="18"/>
        <v>4.9460325602273718</v>
      </c>
      <c r="BR8" s="53">
        <f t="shared" si="18"/>
        <v>4.9460325602273718</v>
      </c>
      <c r="BS8" s="53">
        <f t="shared" si="18"/>
        <v>4.9460325602273718</v>
      </c>
      <c r="BT8" s="53">
        <f t="shared" si="18"/>
        <v>4.9460325602273718</v>
      </c>
      <c r="BU8" s="53">
        <f t="shared" si="20" ref="BU8:CK8">+BT8</f>
        <v>4.9460325602273718</v>
      </c>
      <c r="BV8" s="53">
        <f t="shared" si="20"/>
        <v>4.9460325602273718</v>
      </c>
      <c r="BW8" s="53">
        <f t="shared" si="20"/>
        <v>4.9460325602273718</v>
      </c>
      <c r="BX8" s="53">
        <f t="shared" si="20"/>
        <v>4.9460325602273718</v>
      </c>
      <c r="BY8" s="53">
        <f t="shared" si="20"/>
        <v>4.9460325602273718</v>
      </c>
      <c r="BZ8" s="53">
        <f t="shared" si="20"/>
        <v>4.9460325602273718</v>
      </c>
      <c r="CA8" s="53">
        <f t="shared" si="20"/>
        <v>4.9460325602273718</v>
      </c>
      <c r="CB8" s="53">
        <f t="shared" si="20"/>
        <v>4.9460325602273718</v>
      </c>
      <c r="CC8" s="53">
        <f t="shared" si="20"/>
        <v>4.9460325602273718</v>
      </c>
      <c r="CD8" s="53">
        <f t="shared" si="20"/>
        <v>4.9460325602273718</v>
      </c>
      <c r="CE8" s="53">
        <f t="shared" si="20"/>
        <v>4.9460325602273718</v>
      </c>
      <c r="CF8" s="53">
        <f t="shared" si="20"/>
        <v>4.9460325602273718</v>
      </c>
      <c r="CG8" s="53">
        <f t="shared" si="20"/>
        <v>4.9460325602273718</v>
      </c>
      <c r="CH8" s="53">
        <f t="shared" si="20"/>
        <v>4.9460325602273718</v>
      </c>
      <c r="CI8" s="53">
        <f t="shared" si="20"/>
        <v>4.9460325602273718</v>
      </c>
      <c r="CJ8" s="53">
        <f t="shared" si="20"/>
        <v>4.9460325602273718</v>
      </c>
      <c r="CK8" s="53">
        <f t="shared" si="20"/>
        <v>4.9460325602273718</v>
      </c>
    </row>
    <row r="9" spans="3:89" ht="14.5">
      <c r="C9" t="s">
        <v>6</v>
      </c>
      <c r="D9" t="str">
        <f>_xlfn.TEXTJOIN(",",TRUE,Regions!$C$3,Regions!$D$3)</f>
        <v>IE,National</v>
      </c>
      <c r="E9" t="s">
        <v>21</v>
      </c>
      <c r="F9" s="35"/>
      <c r="G9" s="52">
        <f t="shared" si="4"/>
        <v>2.3999999999999999</v>
      </c>
      <c r="H9" s="53">
        <f t="shared" si="0"/>
        <v>2.3999999999999999</v>
      </c>
      <c r="I9" s="53">
        <f t="shared" si="21" ref="I9:BT9">+H9</f>
        <v>2.3999999999999999</v>
      </c>
      <c r="J9" s="53">
        <f t="shared" si="21"/>
        <v>2.3999999999999999</v>
      </c>
      <c r="K9" s="53">
        <f t="shared" si="6"/>
        <v>2.472</v>
      </c>
      <c r="L9" s="53">
        <f>+$G9*S$75/$N75</f>
        <v>2.4014329876959208</v>
      </c>
      <c r="M9" s="53">
        <f t="shared" si="22" ref="M9:AM9">+$G9*T$75/$N75</f>
        <v>2.4964231464055207</v>
      </c>
      <c r="N9" s="53">
        <f t="shared" si="22"/>
        <v>2.5951706992618258</v>
      </c>
      <c r="O9" s="53">
        <f t="shared" si="22"/>
        <v>2.6978242723011072</v>
      </c>
      <c r="P9" s="53">
        <f t="shared" si="22"/>
        <v>2.6982282200247019</v>
      </c>
      <c r="Q9" s="53">
        <f t="shared" si="22"/>
        <v>2.6986322282317614</v>
      </c>
      <c r="R9" s="53">
        <f t="shared" si="22"/>
        <v>2.6990362969313448</v>
      </c>
      <c r="S9" s="53">
        <f t="shared" si="22"/>
        <v>2.6994404261325076</v>
      </c>
      <c r="T9" s="53">
        <f t="shared" si="22"/>
        <v>2.6998446158443095</v>
      </c>
      <c r="U9" s="53">
        <f t="shared" si="22"/>
        <v>2.7237438273156545</v>
      </c>
      <c r="V9" s="53">
        <f t="shared" si="22"/>
        <v>2.7478545962616776</v>
      </c>
      <c r="W9" s="53">
        <f t="shared" si="22"/>
        <v>2.7721787954037924</v>
      </c>
      <c r="X9" s="53">
        <f t="shared" si="22"/>
        <v>2.7967183140408731</v>
      </c>
      <c r="Y9" s="53">
        <f t="shared" si="22"/>
        <v>2.8214750581959969</v>
      </c>
      <c r="Z9" s="53">
        <f t="shared" si="22"/>
        <v>2.8404002570185094</v>
      </c>
      <c r="AA9" s="53">
        <f t="shared" si="22"/>
        <v>2.8594523976509212</v>
      </c>
      <c r="AB9" s="53">
        <f t="shared" si="22"/>
        <v>2.8786323315623896</v>
      </c>
      <c r="AC9" s="53">
        <f t="shared" si="22"/>
        <v>2.8979409159333476</v>
      </c>
      <c r="AD9" s="53">
        <f t="shared" si="22"/>
        <v>2.9173790136938149</v>
      </c>
      <c r="AE9" s="53">
        <f t="shared" si="22"/>
        <v>2.9326434906857846</v>
      </c>
      <c r="AF9" s="53">
        <f t="shared" si="22"/>
        <v>2.9479878353455287</v>
      </c>
      <c r="AG9" s="53">
        <f t="shared" si="22"/>
        <v>2.9634124655612175</v>
      </c>
      <c r="AH9" s="53">
        <f t="shared" si="22"/>
        <v>2.9789178014075191</v>
      </c>
      <c r="AI9" s="53">
        <f t="shared" si="22"/>
        <v>2.9945042651570408</v>
      </c>
      <c r="AJ9" s="53">
        <f t="shared" si="22"/>
        <v>3.010219426562093</v>
      </c>
      <c r="AK9" s="53">
        <f t="shared" si="22"/>
        <v>3.0260170611500565</v>
      </c>
      <c r="AL9" s="53">
        <f t="shared" si="22"/>
        <v>3.0418976017402768</v>
      </c>
      <c r="AM9" s="53">
        <f t="shared" si="22"/>
        <v>3.0578614834235394</v>
      </c>
      <c r="AN9" s="53">
        <f t="shared" si="21"/>
        <v>3.0578614834235394</v>
      </c>
      <c r="AO9" s="53">
        <f t="shared" si="21"/>
        <v>3.0578614834235394</v>
      </c>
      <c r="AP9" s="53">
        <f t="shared" si="21"/>
        <v>3.0578614834235394</v>
      </c>
      <c r="AQ9" s="53">
        <f t="shared" si="21"/>
        <v>3.0578614834235394</v>
      </c>
      <c r="AR9" s="53">
        <f t="shared" si="21"/>
        <v>3.0578614834235394</v>
      </c>
      <c r="AS9" s="53">
        <f t="shared" si="21"/>
        <v>3.0578614834235394</v>
      </c>
      <c r="AT9" s="53">
        <f t="shared" si="21"/>
        <v>3.0578614834235394</v>
      </c>
      <c r="AU9" s="53">
        <f t="shared" si="21"/>
        <v>3.0578614834235394</v>
      </c>
      <c r="AV9" s="53">
        <f t="shared" si="21"/>
        <v>3.0578614834235394</v>
      </c>
      <c r="AW9" s="53">
        <f t="shared" si="21"/>
        <v>3.0578614834235394</v>
      </c>
      <c r="AX9" s="53">
        <f t="shared" si="21"/>
        <v>3.0578614834235394</v>
      </c>
      <c r="AY9" s="53">
        <f t="shared" si="21"/>
        <v>3.0578614834235394</v>
      </c>
      <c r="AZ9" s="53">
        <f t="shared" si="21"/>
        <v>3.0578614834235394</v>
      </c>
      <c r="BA9" s="53">
        <f t="shared" si="21"/>
        <v>3.0578614834235394</v>
      </c>
      <c r="BB9" s="53">
        <f t="shared" si="21"/>
        <v>3.0578614834235394</v>
      </c>
      <c r="BC9" s="53">
        <f t="shared" si="21"/>
        <v>3.0578614834235394</v>
      </c>
      <c r="BD9" s="53">
        <f t="shared" si="21"/>
        <v>3.0578614834235394</v>
      </c>
      <c r="BE9" s="53">
        <f t="shared" si="21"/>
        <v>3.0578614834235394</v>
      </c>
      <c r="BF9" s="53">
        <f t="shared" si="21"/>
        <v>3.0578614834235394</v>
      </c>
      <c r="BG9" s="53">
        <f t="shared" si="21"/>
        <v>3.0578614834235394</v>
      </c>
      <c r="BH9" s="53">
        <f t="shared" si="21"/>
        <v>3.0578614834235394</v>
      </c>
      <c r="BI9" s="53">
        <f t="shared" si="21"/>
        <v>3.0578614834235394</v>
      </c>
      <c r="BJ9" s="53">
        <f t="shared" si="21"/>
        <v>3.0578614834235394</v>
      </c>
      <c r="BK9" s="53">
        <f t="shared" si="21"/>
        <v>3.0578614834235394</v>
      </c>
      <c r="BL9" s="53">
        <f t="shared" si="21"/>
        <v>3.0578614834235394</v>
      </c>
      <c r="BM9" s="53">
        <f t="shared" si="21"/>
        <v>3.0578614834235394</v>
      </c>
      <c r="BN9" s="53">
        <f t="shared" si="21"/>
        <v>3.0578614834235394</v>
      </c>
      <c r="BO9" s="53">
        <f t="shared" si="21"/>
        <v>3.0578614834235394</v>
      </c>
      <c r="BP9" s="53">
        <f t="shared" si="21"/>
        <v>3.0578614834235394</v>
      </c>
      <c r="BQ9" s="53">
        <f t="shared" si="21"/>
        <v>3.0578614834235394</v>
      </c>
      <c r="BR9" s="53">
        <f t="shared" si="21"/>
        <v>3.0578614834235394</v>
      </c>
      <c r="BS9" s="53">
        <f t="shared" si="21"/>
        <v>3.0578614834235394</v>
      </c>
      <c r="BT9" s="53">
        <f t="shared" si="21"/>
        <v>3.0578614834235394</v>
      </c>
      <c r="BU9" s="53">
        <f t="shared" si="23" ref="BU9:CK9">+BT9</f>
        <v>3.0578614834235394</v>
      </c>
      <c r="BV9" s="53">
        <f t="shared" si="23"/>
        <v>3.0578614834235394</v>
      </c>
      <c r="BW9" s="53">
        <f t="shared" si="23"/>
        <v>3.0578614834235394</v>
      </c>
      <c r="BX9" s="53">
        <f t="shared" si="23"/>
        <v>3.0578614834235394</v>
      </c>
      <c r="BY9" s="53">
        <f t="shared" si="23"/>
        <v>3.0578614834235394</v>
      </c>
      <c r="BZ9" s="53">
        <f t="shared" si="23"/>
        <v>3.0578614834235394</v>
      </c>
      <c r="CA9" s="53">
        <f t="shared" si="23"/>
        <v>3.0578614834235394</v>
      </c>
      <c r="CB9" s="53">
        <f t="shared" si="23"/>
        <v>3.0578614834235394</v>
      </c>
      <c r="CC9" s="53">
        <f t="shared" si="23"/>
        <v>3.0578614834235394</v>
      </c>
      <c r="CD9" s="53">
        <f t="shared" si="23"/>
        <v>3.0578614834235394</v>
      </c>
      <c r="CE9" s="53">
        <f t="shared" si="23"/>
        <v>3.0578614834235394</v>
      </c>
      <c r="CF9" s="53">
        <f t="shared" si="23"/>
        <v>3.0578614834235394</v>
      </c>
      <c r="CG9" s="53">
        <f t="shared" si="23"/>
        <v>3.0578614834235394</v>
      </c>
      <c r="CH9" s="53">
        <f t="shared" si="23"/>
        <v>3.0578614834235394</v>
      </c>
      <c r="CI9" s="53">
        <f t="shared" si="23"/>
        <v>3.0578614834235394</v>
      </c>
      <c r="CJ9" s="53">
        <f t="shared" si="23"/>
        <v>3.0578614834235394</v>
      </c>
      <c r="CK9" s="53">
        <f t="shared" si="23"/>
        <v>3.0578614834235394</v>
      </c>
    </row>
    <row r="10" spans="3:89" ht="14.5">
      <c r="C10" t="s">
        <v>6</v>
      </c>
      <c r="D10" t="str">
        <f>_xlfn.TEXTJOIN(",",TRUE,Regions!$C$3,Regions!$D$3)</f>
        <v>IE,National</v>
      </c>
      <c r="E10" t="s">
        <v>13</v>
      </c>
      <c r="F10" s="35"/>
      <c r="G10" s="52">
        <f t="shared" si="4"/>
        <v>5</v>
      </c>
      <c r="H10" s="53">
        <f t="shared" si="0"/>
        <v>5</v>
      </c>
      <c r="I10" s="53">
        <f t="shared" si="24" ref="I10:BT10">+H10</f>
        <v>5</v>
      </c>
      <c r="J10" s="53">
        <f t="shared" si="24"/>
        <v>5</v>
      </c>
      <c r="K10" s="53">
        <f t="shared" si="6"/>
        <v>5.1500000000000004</v>
      </c>
      <c r="L10" s="53">
        <f>+$G10*S$71/$N71</f>
        <v>4.2303722533509482</v>
      </c>
      <c r="M10" s="53">
        <f t="shared" si="25" ref="M10:AM10">+$G10*T$71/$N71</f>
        <v>4.2645731618322751</v>
      </c>
      <c r="N10" s="53">
        <f t="shared" si="25"/>
        <v>4.2996166941216352</v>
      </c>
      <c r="O10" s="53">
        <f t="shared" si="25"/>
        <v>4.3355244485310855</v>
      </c>
      <c r="P10" s="53">
        <f t="shared" si="25"/>
        <v>4.3723180459540592</v>
      </c>
      <c r="Q10" s="53">
        <f t="shared" si="25"/>
        <v>4.4100202022366268</v>
      </c>
      <c r="R10" s="53">
        <f t="shared" si="25"/>
        <v>4.4486519581967618</v>
      </c>
      <c r="S10" s="53">
        <f t="shared" si="25"/>
        <v>4.4882380993210029</v>
      </c>
      <c r="T10" s="53">
        <f t="shared" si="25"/>
        <v>4.5288011255055558</v>
      </c>
      <c r="U10" s="53">
        <f t="shared" si="25"/>
        <v>4.5703660797006149</v>
      </c>
      <c r="V10" s="53">
        <f t="shared" si="25"/>
        <v>4.6129583289118976</v>
      </c>
      <c r="W10" s="53">
        <f t="shared" si="25"/>
        <v>4.6566040502661403</v>
      </c>
      <c r="X10" s="53">
        <f t="shared" si="25"/>
        <v>4.7013286281576416</v>
      </c>
      <c r="Y10" s="53">
        <f t="shared" si="25"/>
        <v>4.7471592241550091</v>
      </c>
      <c r="Z10" s="53">
        <f t="shared" si="25"/>
        <v>4.7941241761988289</v>
      </c>
      <c r="AA10" s="53">
        <f t="shared" si="25"/>
        <v>4.8422514162202042</v>
      </c>
      <c r="AB10" s="53">
        <f t="shared" si="25"/>
        <v>4.8915699622044899</v>
      </c>
      <c r="AC10" s="53">
        <f t="shared" si="25"/>
        <v>4.9421098508620753</v>
      </c>
      <c r="AD10" s="53">
        <f t="shared" si="25"/>
        <v>4.9939015799381545</v>
      </c>
      <c r="AE10" s="53">
        <f t="shared" si="25"/>
        <v>5.0469765523058294</v>
      </c>
      <c r="AF10" s="53">
        <f t="shared" si="25"/>
        <v>5.1013670136918599</v>
      </c>
      <c r="AG10" s="53">
        <f t="shared" si="25"/>
        <v>5.1571059921252713</v>
      </c>
      <c r="AH10" s="53">
        <f t="shared" si="25"/>
        <v>5.21422676232919</v>
      </c>
      <c r="AI10" s="53">
        <f t="shared" si="25"/>
        <v>5.2727646992774773</v>
      </c>
      <c r="AJ10" s="53">
        <f t="shared" si="25"/>
        <v>5.3327548199634851</v>
      </c>
      <c r="AK10" s="53">
        <f t="shared" si="25"/>
        <v>5.3942345601436008</v>
      </c>
      <c r="AL10" s="53">
        <f t="shared" si="25"/>
        <v>5.4572404154800118</v>
      </c>
      <c r="AM10" s="53">
        <f t="shared" si="25"/>
        <v>5.5218116117684151</v>
      </c>
      <c r="AN10" s="53">
        <f t="shared" si="24"/>
        <v>5.5218116117684151</v>
      </c>
      <c r="AO10" s="53">
        <f t="shared" si="24"/>
        <v>5.5218116117684151</v>
      </c>
      <c r="AP10" s="53">
        <f t="shared" si="24"/>
        <v>5.5218116117684151</v>
      </c>
      <c r="AQ10" s="53">
        <f t="shared" si="24"/>
        <v>5.5218116117684151</v>
      </c>
      <c r="AR10" s="53">
        <f t="shared" si="24"/>
        <v>5.5218116117684151</v>
      </c>
      <c r="AS10" s="53">
        <f t="shared" si="24"/>
        <v>5.5218116117684151</v>
      </c>
      <c r="AT10" s="53">
        <f t="shared" si="24"/>
        <v>5.5218116117684151</v>
      </c>
      <c r="AU10" s="53">
        <f t="shared" si="24"/>
        <v>5.5218116117684151</v>
      </c>
      <c r="AV10" s="53">
        <f t="shared" si="24"/>
        <v>5.5218116117684151</v>
      </c>
      <c r="AW10" s="53">
        <f t="shared" si="24"/>
        <v>5.5218116117684151</v>
      </c>
      <c r="AX10" s="53">
        <f t="shared" si="24"/>
        <v>5.5218116117684151</v>
      </c>
      <c r="AY10" s="53">
        <f t="shared" si="24"/>
        <v>5.5218116117684151</v>
      </c>
      <c r="AZ10" s="53">
        <f t="shared" si="24"/>
        <v>5.5218116117684151</v>
      </c>
      <c r="BA10" s="53">
        <f t="shared" si="24"/>
        <v>5.5218116117684151</v>
      </c>
      <c r="BB10" s="53">
        <f t="shared" si="24"/>
        <v>5.5218116117684151</v>
      </c>
      <c r="BC10" s="53">
        <f t="shared" si="24"/>
        <v>5.5218116117684151</v>
      </c>
      <c r="BD10" s="53">
        <f t="shared" si="24"/>
        <v>5.5218116117684151</v>
      </c>
      <c r="BE10" s="53">
        <f t="shared" si="24"/>
        <v>5.5218116117684151</v>
      </c>
      <c r="BF10" s="53">
        <f t="shared" si="24"/>
        <v>5.5218116117684151</v>
      </c>
      <c r="BG10" s="53">
        <f t="shared" si="24"/>
        <v>5.5218116117684151</v>
      </c>
      <c r="BH10" s="53">
        <f t="shared" si="24"/>
        <v>5.5218116117684151</v>
      </c>
      <c r="BI10" s="53">
        <f t="shared" si="24"/>
        <v>5.5218116117684151</v>
      </c>
      <c r="BJ10" s="53">
        <f t="shared" si="24"/>
        <v>5.5218116117684151</v>
      </c>
      <c r="BK10" s="53">
        <f t="shared" si="24"/>
        <v>5.5218116117684151</v>
      </c>
      <c r="BL10" s="53">
        <f t="shared" si="24"/>
        <v>5.5218116117684151</v>
      </c>
      <c r="BM10" s="53">
        <f t="shared" si="24"/>
        <v>5.5218116117684151</v>
      </c>
      <c r="BN10" s="53">
        <f t="shared" si="24"/>
        <v>5.5218116117684151</v>
      </c>
      <c r="BO10" s="53">
        <f t="shared" si="24"/>
        <v>5.5218116117684151</v>
      </c>
      <c r="BP10" s="53">
        <f t="shared" si="24"/>
        <v>5.5218116117684151</v>
      </c>
      <c r="BQ10" s="53">
        <f t="shared" si="24"/>
        <v>5.5218116117684151</v>
      </c>
      <c r="BR10" s="53">
        <f t="shared" si="24"/>
        <v>5.5218116117684151</v>
      </c>
      <c r="BS10" s="53">
        <f t="shared" si="24"/>
        <v>5.5218116117684151</v>
      </c>
      <c r="BT10" s="53">
        <f t="shared" si="24"/>
        <v>5.5218116117684151</v>
      </c>
      <c r="BU10" s="53">
        <f t="shared" si="26" ref="BU10:CK10">+BT10</f>
        <v>5.5218116117684151</v>
      </c>
      <c r="BV10" s="53">
        <f t="shared" si="26"/>
        <v>5.5218116117684151</v>
      </c>
      <c r="BW10" s="53">
        <f t="shared" si="26"/>
        <v>5.5218116117684151</v>
      </c>
      <c r="BX10" s="53">
        <f t="shared" si="26"/>
        <v>5.5218116117684151</v>
      </c>
      <c r="BY10" s="53">
        <f t="shared" si="26"/>
        <v>5.5218116117684151</v>
      </c>
      <c r="BZ10" s="53">
        <f t="shared" si="26"/>
        <v>5.5218116117684151</v>
      </c>
      <c r="CA10" s="53">
        <f t="shared" si="26"/>
        <v>5.5218116117684151</v>
      </c>
      <c r="CB10" s="53">
        <f t="shared" si="26"/>
        <v>5.5218116117684151</v>
      </c>
      <c r="CC10" s="53">
        <f t="shared" si="26"/>
        <v>5.5218116117684151</v>
      </c>
      <c r="CD10" s="53">
        <f t="shared" si="26"/>
        <v>5.5218116117684151</v>
      </c>
      <c r="CE10" s="53">
        <f t="shared" si="26"/>
        <v>5.5218116117684151</v>
      </c>
      <c r="CF10" s="53">
        <f t="shared" si="26"/>
        <v>5.5218116117684151</v>
      </c>
      <c r="CG10" s="53">
        <f t="shared" si="26"/>
        <v>5.5218116117684151</v>
      </c>
      <c r="CH10" s="53">
        <f t="shared" si="26"/>
        <v>5.5218116117684151</v>
      </c>
      <c r="CI10" s="53">
        <f t="shared" si="26"/>
        <v>5.5218116117684151</v>
      </c>
      <c r="CJ10" s="53">
        <f t="shared" si="26"/>
        <v>5.5218116117684151</v>
      </c>
      <c r="CK10" s="53">
        <f t="shared" si="26"/>
        <v>5.5218116117684151</v>
      </c>
    </row>
    <row r="11" spans="3:89" ht="14.5">
      <c r="C11" t="s">
        <v>6</v>
      </c>
      <c r="D11" t="str">
        <f>_xlfn.TEXTJOIN(",",TRUE,Regions!$C$3,Regions!$D$3)</f>
        <v>IE,National</v>
      </c>
      <c r="E11" s="90" t="s">
        <v>209</v>
      </c>
      <c r="F11" s="35"/>
      <c r="G11" s="52">
        <f t="shared" si="4"/>
        <v>23.439361110035826</v>
      </c>
      <c r="H11" s="53">
        <f t="shared" si="0"/>
        <v>23.439361110035826</v>
      </c>
      <c r="I11" s="53">
        <f t="shared" si="27" ref="I11:BT11">+H11</f>
        <v>23.439361110035826</v>
      </c>
      <c r="J11" s="53">
        <f t="shared" si="27"/>
        <v>23.439361110035826</v>
      </c>
      <c r="K11" s="53">
        <f t="shared" si="6"/>
        <v>24.142541943336902</v>
      </c>
      <c r="L11" s="53">
        <f>+$G11*S$80/$N80</f>
        <v>23.89677993089175</v>
      </c>
      <c r="M11" s="53">
        <f t="shared" si="28" ref="M11:AM11">+$G11*T$80/$N80</f>
        <v>24.359758817908968</v>
      </c>
      <c r="N11" s="53">
        <f t="shared" si="28"/>
        <v>24.799903204550571</v>
      </c>
      <c r="O11" s="53">
        <f t="shared" si="28"/>
        <v>25.21928402667999</v>
      </c>
      <c r="P11" s="53">
        <f t="shared" si="28"/>
        <v>25.617802424884566</v>
      </c>
      <c r="Q11" s="53">
        <f t="shared" si="28"/>
        <v>25.999656930304155</v>
      </c>
      <c r="R11" s="53">
        <f t="shared" si="28"/>
        <v>26.369438326292826</v>
      </c>
      <c r="S11" s="53">
        <f t="shared" si="28"/>
        <v>26.726106362752368</v>
      </c>
      <c r="T11" s="53">
        <f t="shared" si="28"/>
        <v>27.07195526291887</v>
      </c>
      <c r="U11" s="53">
        <f t="shared" si="28"/>
        <v>27.406007591034971</v>
      </c>
      <c r="V11" s="53">
        <f t="shared" si="28"/>
        <v>27.729816047880295</v>
      </c>
      <c r="W11" s="53">
        <f t="shared" si="28"/>
        <v>28.044083778675123</v>
      </c>
      <c r="X11" s="53">
        <f t="shared" si="28"/>
        <v>28.346829385826744</v>
      </c>
      <c r="Y11" s="53">
        <f t="shared" si="28"/>
        <v>28.636988321345804</v>
      </c>
      <c r="Z11" s="53">
        <f t="shared" si="28"/>
        <v>28.913366622097783</v>
      </c>
      <c r="AA11" s="53">
        <f t="shared" si="28"/>
        <v>29.175129865186012</v>
      </c>
      <c r="AB11" s="53">
        <f t="shared" si="28"/>
        <v>29.420020642866241</v>
      </c>
      <c r="AC11" s="53">
        <f t="shared" si="28"/>
        <v>29.646626130500554</v>
      </c>
      <c r="AD11" s="53">
        <f t="shared" si="28"/>
        <v>29.854140161216041</v>
      </c>
      <c r="AE11" s="53">
        <f t="shared" si="28"/>
        <v>30.040839052089453</v>
      </c>
      <c r="AF11" s="53">
        <f t="shared" si="28"/>
        <v>30.204537944898696</v>
      </c>
      <c r="AG11" s="53">
        <f t="shared" si="28"/>
        <v>30.341104191037129</v>
      </c>
      <c r="AH11" s="53">
        <f t="shared" si="28"/>
        <v>30.449151957445075</v>
      </c>
      <c r="AI11" s="53">
        <f t="shared" si="28"/>
        <v>30.527774496114802</v>
      </c>
      <c r="AJ11" s="53">
        <f t="shared" si="28"/>
        <v>30.57494443382868</v>
      </c>
      <c r="AK11" s="53">
        <f t="shared" si="28"/>
        <v>30.589147434774585</v>
      </c>
      <c r="AL11" s="53">
        <f t="shared" si="28"/>
        <v>30.567160824561149</v>
      </c>
      <c r="AM11" s="53">
        <f t="shared" si="28"/>
        <v>30.508379800306422</v>
      </c>
      <c r="AN11" s="53">
        <f t="shared" si="27"/>
        <v>30.508379800306422</v>
      </c>
      <c r="AO11" s="53">
        <f t="shared" si="27"/>
        <v>30.508379800306422</v>
      </c>
      <c r="AP11" s="53">
        <f t="shared" si="27"/>
        <v>30.508379800306422</v>
      </c>
      <c r="AQ11" s="53">
        <f t="shared" si="27"/>
        <v>30.508379800306422</v>
      </c>
      <c r="AR11" s="53">
        <f t="shared" si="27"/>
        <v>30.508379800306422</v>
      </c>
      <c r="AS11" s="53">
        <f t="shared" si="27"/>
        <v>30.508379800306422</v>
      </c>
      <c r="AT11" s="53">
        <f t="shared" si="27"/>
        <v>30.508379800306422</v>
      </c>
      <c r="AU11" s="53">
        <f t="shared" si="27"/>
        <v>30.508379800306422</v>
      </c>
      <c r="AV11" s="53">
        <f t="shared" si="27"/>
        <v>30.508379800306422</v>
      </c>
      <c r="AW11" s="53">
        <f t="shared" si="27"/>
        <v>30.508379800306422</v>
      </c>
      <c r="AX11" s="53">
        <f t="shared" si="27"/>
        <v>30.508379800306422</v>
      </c>
      <c r="AY11" s="53">
        <f t="shared" si="27"/>
        <v>30.508379800306422</v>
      </c>
      <c r="AZ11" s="53">
        <f t="shared" si="27"/>
        <v>30.508379800306422</v>
      </c>
      <c r="BA11" s="53">
        <f t="shared" si="27"/>
        <v>30.508379800306422</v>
      </c>
      <c r="BB11" s="53">
        <f t="shared" si="27"/>
        <v>30.508379800306422</v>
      </c>
      <c r="BC11" s="53">
        <f t="shared" si="27"/>
        <v>30.508379800306422</v>
      </c>
      <c r="BD11" s="53">
        <f t="shared" si="27"/>
        <v>30.508379800306422</v>
      </c>
      <c r="BE11" s="53">
        <f t="shared" si="27"/>
        <v>30.508379800306422</v>
      </c>
      <c r="BF11" s="53">
        <f t="shared" si="27"/>
        <v>30.508379800306422</v>
      </c>
      <c r="BG11" s="53">
        <f t="shared" si="27"/>
        <v>30.508379800306422</v>
      </c>
      <c r="BH11" s="53">
        <f t="shared" si="27"/>
        <v>30.508379800306422</v>
      </c>
      <c r="BI11" s="53">
        <f t="shared" si="27"/>
        <v>30.508379800306422</v>
      </c>
      <c r="BJ11" s="53">
        <f t="shared" si="27"/>
        <v>30.508379800306422</v>
      </c>
      <c r="BK11" s="53">
        <f t="shared" si="27"/>
        <v>30.508379800306422</v>
      </c>
      <c r="BL11" s="53">
        <f t="shared" si="27"/>
        <v>30.508379800306422</v>
      </c>
      <c r="BM11" s="53">
        <f t="shared" si="27"/>
        <v>30.508379800306422</v>
      </c>
      <c r="BN11" s="53">
        <f t="shared" si="27"/>
        <v>30.508379800306422</v>
      </c>
      <c r="BO11" s="53">
        <f t="shared" si="27"/>
        <v>30.508379800306422</v>
      </c>
      <c r="BP11" s="53">
        <f t="shared" si="27"/>
        <v>30.508379800306422</v>
      </c>
      <c r="BQ11" s="53">
        <f t="shared" si="27"/>
        <v>30.508379800306422</v>
      </c>
      <c r="BR11" s="53">
        <f t="shared" si="27"/>
        <v>30.508379800306422</v>
      </c>
      <c r="BS11" s="53">
        <f t="shared" si="27"/>
        <v>30.508379800306422</v>
      </c>
      <c r="BT11" s="53">
        <f t="shared" si="27"/>
        <v>30.508379800306422</v>
      </c>
      <c r="BU11" s="53">
        <f t="shared" si="29" ref="BU11:CK11">+BT11</f>
        <v>30.508379800306422</v>
      </c>
      <c r="BV11" s="53">
        <f t="shared" si="29"/>
        <v>30.508379800306422</v>
      </c>
      <c r="BW11" s="53">
        <f t="shared" si="29"/>
        <v>30.508379800306422</v>
      </c>
      <c r="BX11" s="53">
        <f t="shared" si="29"/>
        <v>30.508379800306422</v>
      </c>
      <c r="BY11" s="53">
        <f t="shared" si="29"/>
        <v>30.508379800306422</v>
      </c>
      <c r="BZ11" s="53">
        <f t="shared" si="29"/>
        <v>30.508379800306422</v>
      </c>
      <c r="CA11" s="53">
        <f t="shared" si="29"/>
        <v>30.508379800306422</v>
      </c>
      <c r="CB11" s="53">
        <f t="shared" si="29"/>
        <v>30.508379800306422</v>
      </c>
      <c r="CC11" s="53">
        <f t="shared" si="29"/>
        <v>30.508379800306422</v>
      </c>
      <c r="CD11" s="53">
        <f t="shared" si="29"/>
        <v>30.508379800306422</v>
      </c>
      <c r="CE11" s="53">
        <f t="shared" si="29"/>
        <v>30.508379800306422</v>
      </c>
      <c r="CF11" s="53">
        <f t="shared" si="29"/>
        <v>30.508379800306422</v>
      </c>
      <c r="CG11" s="53">
        <f t="shared" si="29"/>
        <v>30.508379800306422</v>
      </c>
      <c r="CH11" s="53">
        <f t="shared" si="29"/>
        <v>30.508379800306422</v>
      </c>
      <c r="CI11" s="53">
        <f t="shared" si="29"/>
        <v>30.508379800306422</v>
      </c>
      <c r="CJ11" s="53">
        <f t="shared" si="29"/>
        <v>30.508379800306422</v>
      </c>
      <c r="CK11" s="53">
        <f t="shared" si="29"/>
        <v>30.508379800306422</v>
      </c>
    </row>
    <row r="12" spans="3:89" ht="14.5">
      <c r="C12" t="s">
        <v>6</v>
      </c>
      <c r="D12" t="str">
        <f>_xlfn.TEXTJOIN(",",TRUE,Regions!$C$3,Regions!$D$3)</f>
        <v>IE,National</v>
      </c>
      <c r="E12" s="90" t="s">
        <v>210</v>
      </c>
      <c r="F12" s="35"/>
      <c r="G12" s="52">
        <f t="shared" si="4"/>
        <v>0</v>
      </c>
      <c r="H12" s="53">
        <f t="shared" si="0"/>
        <v>0</v>
      </c>
      <c r="I12" s="53">
        <f t="shared" si="30" ref="I12:BT12">+H12</f>
        <v>0</v>
      </c>
      <c r="J12" s="53">
        <f t="shared" si="30"/>
        <v>0</v>
      </c>
      <c r="K12" s="53">
        <f t="shared" si="6"/>
        <v>0</v>
      </c>
      <c r="L12" s="53">
        <f>+$G12*S$84/$N75</f>
        <v>0</v>
      </c>
      <c r="M12" s="53">
        <f t="shared" si="31" ref="M12:AM12">+$G12*T$84/$N75</f>
        <v>0</v>
      </c>
      <c r="N12" s="53">
        <f t="shared" si="31"/>
        <v>0</v>
      </c>
      <c r="O12" s="53">
        <f t="shared" si="31"/>
        <v>0</v>
      </c>
      <c r="P12" s="53">
        <f t="shared" si="31"/>
        <v>0</v>
      </c>
      <c r="Q12" s="53">
        <f t="shared" si="31"/>
        <v>0</v>
      </c>
      <c r="R12" s="53">
        <f t="shared" si="31"/>
        <v>0</v>
      </c>
      <c r="S12" s="53">
        <f t="shared" si="31"/>
        <v>0</v>
      </c>
      <c r="T12" s="53">
        <f t="shared" si="31"/>
        <v>0</v>
      </c>
      <c r="U12" s="53">
        <f t="shared" si="31"/>
        <v>0</v>
      </c>
      <c r="V12" s="53">
        <f t="shared" si="31"/>
        <v>0</v>
      </c>
      <c r="W12" s="53">
        <f t="shared" si="31"/>
        <v>0</v>
      </c>
      <c r="X12" s="53">
        <f t="shared" si="31"/>
        <v>0</v>
      </c>
      <c r="Y12" s="53">
        <f t="shared" si="31"/>
        <v>0</v>
      </c>
      <c r="Z12" s="53">
        <f t="shared" si="31"/>
        <v>0</v>
      </c>
      <c r="AA12" s="53">
        <f t="shared" si="31"/>
        <v>0</v>
      </c>
      <c r="AB12" s="53">
        <f t="shared" si="31"/>
        <v>0</v>
      </c>
      <c r="AC12" s="53">
        <f t="shared" si="31"/>
        <v>0</v>
      </c>
      <c r="AD12" s="53">
        <f t="shared" si="31"/>
        <v>0</v>
      </c>
      <c r="AE12" s="53">
        <f t="shared" si="31"/>
        <v>0</v>
      </c>
      <c r="AF12" s="53">
        <f t="shared" si="31"/>
        <v>0</v>
      </c>
      <c r="AG12" s="53">
        <f t="shared" si="31"/>
        <v>0</v>
      </c>
      <c r="AH12" s="53">
        <f t="shared" si="31"/>
        <v>0</v>
      </c>
      <c r="AI12" s="53">
        <f t="shared" si="31"/>
        <v>0</v>
      </c>
      <c r="AJ12" s="53">
        <f t="shared" si="31"/>
        <v>0</v>
      </c>
      <c r="AK12" s="53">
        <f t="shared" si="31"/>
        <v>0</v>
      </c>
      <c r="AL12" s="53">
        <f t="shared" si="31"/>
        <v>0</v>
      </c>
      <c r="AM12" s="53">
        <f t="shared" si="31"/>
        <v>0</v>
      </c>
      <c r="AN12" s="53">
        <f t="shared" si="30"/>
        <v>0</v>
      </c>
      <c r="AO12" s="53">
        <f t="shared" si="30"/>
        <v>0</v>
      </c>
      <c r="AP12" s="53">
        <f t="shared" si="30"/>
        <v>0</v>
      </c>
      <c r="AQ12" s="53">
        <f t="shared" si="30"/>
        <v>0</v>
      </c>
      <c r="AR12" s="53">
        <f t="shared" si="30"/>
        <v>0</v>
      </c>
      <c r="AS12" s="53">
        <f t="shared" si="30"/>
        <v>0</v>
      </c>
      <c r="AT12" s="53">
        <f t="shared" si="30"/>
        <v>0</v>
      </c>
      <c r="AU12" s="53">
        <f t="shared" si="30"/>
        <v>0</v>
      </c>
      <c r="AV12" s="53">
        <f t="shared" si="30"/>
        <v>0</v>
      </c>
      <c r="AW12" s="53">
        <f t="shared" si="30"/>
        <v>0</v>
      </c>
      <c r="AX12" s="53">
        <f t="shared" si="30"/>
        <v>0</v>
      </c>
      <c r="AY12" s="53">
        <f t="shared" si="30"/>
        <v>0</v>
      </c>
      <c r="AZ12" s="53">
        <f t="shared" si="30"/>
        <v>0</v>
      </c>
      <c r="BA12" s="53">
        <f t="shared" si="30"/>
        <v>0</v>
      </c>
      <c r="BB12" s="53">
        <f t="shared" si="30"/>
        <v>0</v>
      </c>
      <c r="BC12" s="53">
        <f t="shared" si="30"/>
        <v>0</v>
      </c>
      <c r="BD12" s="53">
        <f t="shared" si="30"/>
        <v>0</v>
      </c>
      <c r="BE12" s="53">
        <f t="shared" si="30"/>
        <v>0</v>
      </c>
      <c r="BF12" s="53">
        <f t="shared" si="30"/>
        <v>0</v>
      </c>
      <c r="BG12" s="53">
        <f t="shared" si="30"/>
        <v>0</v>
      </c>
      <c r="BH12" s="53">
        <f t="shared" si="30"/>
        <v>0</v>
      </c>
      <c r="BI12" s="53">
        <f t="shared" si="30"/>
        <v>0</v>
      </c>
      <c r="BJ12" s="53">
        <f t="shared" si="30"/>
        <v>0</v>
      </c>
      <c r="BK12" s="53">
        <f t="shared" si="30"/>
        <v>0</v>
      </c>
      <c r="BL12" s="53">
        <f t="shared" si="30"/>
        <v>0</v>
      </c>
      <c r="BM12" s="53">
        <f t="shared" si="30"/>
        <v>0</v>
      </c>
      <c r="BN12" s="53">
        <f t="shared" si="30"/>
        <v>0</v>
      </c>
      <c r="BO12" s="53">
        <f t="shared" si="30"/>
        <v>0</v>
      </c>
      <c r="BP12" s="53">
        <f t="shared" si="30"/>
        <v>0</v>
      </c>
      <c r="BQ12" s="53">
        <f t="shared" si="30"/>
        <v>0</v>
      </c>
      <c r="BR12" s="53">
        <f t="shared" si="30"/>
        <v>0</v>
      </c>
      <c r="BS12" s="53">
        <f t="shared" si="30"/>
        <v>0</v>
      </c>
      <c r="BT12" s="53">
        <f t="shared" si="30"/>
        <v>0</v>
      </c>
      <c r="BU12" s="53">
        <f t="shared" si="32" ref="BU12:CK12">+BT12</f>
        <v>0</v>
      </c>
      <c r="BV12" s="53">
        <f t="shared" si="32"/>
        <v>0</v>
      </c>
      <c r="BW12" s="53">
        <f t="shared" si="32"/>
        <v>0</v>
      </c>
      <c r="BX12" s="53">
        <f t="shared" si="32"/>
        <v>0</v>
      </c>
      <c r="BY12" s="53">
        <f t="shared" si="32"/>
        <v>0</v>
      </c>
      <c r="BZ12" s="53">
        <f t="shared" si="32"/>
        <v>0</v>
      </c>
      <c r="CA12" s="53">
        <f t="shared" si="32"/>
        <v>0</v>
      </c>
      <c r="CB12" s="53">
        <f t="shared" si="32"/>
        <v>0</v>
      </c>
      <c r="CC12" s="53">
        <f t="shared" si="32"/>
        <v>0</v>
      </c>
      <c r="CD12" s="53">
        <f t="shared" si="32"/>
        <v>0</v>
      </c>
      <c r="CE12" s="53">
        <f t="shared" si="32"/>
        <v>0</v>
      </c>
      <c r="CF12" s="53">
        <f t="shared" si="32"/>
        <v>0</v>
      </c>
      <c r="CG12" s="53">
        <f t="shared" si="32"/>
        <v>0</v>
      </c>
      <c r="CH12" s="53">
        <f t="shared" si="32"/>
        <v>0</v>
      </c>
      <c r="CI12" s="53">
        <f t="shared" si="32"/>
        <v>0</v>
      </c>
      <c r="CJ12" s="53">
        <f t="shared" si="32"/>
        <v>0</v>
      </c>
      <c r="CK12" s="53">
        <f t="shared" si="32"/>
        <v>0</v>
      </c>
    </row>
    <row r="13" spans="3:89" ht="14.5">
      <c r="C13" t="s">
        <v>6</v>
      </c>
      <c r="D13" t="str">
        <f>_xlfn.TEXTJOIN(",",TRUE,Regions!$C$3,Regions!$D$3)</f>
        <v>IE,National</v>
      </c>
      <c r="E13" t="s">
        <v>27</v>
      </c>
      <c r="F13" s="35" t="s">
        <v>28</v>
      </c>
      <c r="G13" s="52">
        <f>VLOOKUP(E13,'BY-Demands'!$I$6:$J$42,2,FALSE)</f>
        <v>0</v>
      </c>
      <c r="H13" s="53">
        <f t="shared" si="0"/>
        <v>0</v>
      </c>
      <c r="I13" s="53">
        <f t="shared" si="33" ref="I13:BT13">+H13</f>
        <v>0</v>
      </c>
      <c r="J13" s="53">
        <f t="shared" si="33"/>
        <v>0</v>
      </c>
      <c r="K13" s="53">
        <f t="shared" si="33"/>
        <v>0</v>
      </c>
      <c r="L13" s="53">
        <f t="shared" si="33"/>
        <v>0</v>
      </c>
      <c r="M13" s="53">
        <f t="shared" si="33"/>
        <v>0</v>
      </c>
      <c r="N13" s="53">
        <f t="shared" si="33"/>
        <v>0</v>
      </c>
      <c r="O13" s="53">
        <f t="shared" si="33"/>
        <v>0</v>
      </c>
      <c r="P13" s="53">
        <f t="shared" si="33"/>
        <v>0</v>
      </c>
      <c r="Q13" s="53">
        <f t="shared" si="33"/>
        <v>0</v>
      </c>
      <c r="R13" s="53">
        <f t="shared" si="33"/>
        <v>0</v>
      </c>
      <c r="S13" s="53">
        <f t="shared" si="33"/>
        <v>0</v>
      </c>
      <c r="T13" s="53">
        <f t="shared" si="33"/>
        <v>0</v>
      </c>
      <c r="U13" s="53">
        <f t="shared" si="33"/>
        <v>0</v>
      </c>
      <c r="V13" s="53">
        <f t="shared" si="33"/>
        <v>0</v>
      </c>
      <c r="W13" s="53">
        <f t="shared" si="33"/>
        <v>0</v>
      </c>
      <c r="X13" s="53">
        <f t="shared" si="33"/>
        <v>0</v>
      </c>
      <c r="Y13" s="53">
        <f t="shared" si="33"/>
        <v>0</v>
      </c>
      <c r="Z13" s="53">
        <f t="shared" si="33"/>
        <v>0</v>
      </c>
      <c r="AA13" s="53">
        <f t="shared" si="33"/>
        <v>0</v>
      </c>
      <c r="AB13" s="53">
        <f t="shared" si="33"/>
        <v>0</v>
      </c>
      <c r="AC13" s="53">
        <f t="shared" si="33"/>
        <v>0</v>
      </c>
      <c r="AD13" s="53">
        <f t="shared" si="33"/>
        <v>0</v>
      </c>
      <c r="AE13" s="53">
        <f t="shared" si="33"/>
        <v>0</v>
      </c>
      <c r="AF13" s="53">
        <f t="shared" si="33"/>
        <v>0</v>
      </c>
      <c r="AG13" s="53">
        <f t="shared" si="33"/>
        <v>0</v>
      </c>
      <c r="AH13" s="53">
        <f t="shared" si="33"/>
        <v>0</v>
      </c>
      <c r="AI13" s="53">
        <f t="shared" si="33"/>
        <v>0</v>
      </c>
      <c r="AJ13" s="53">
        <f t="shared" si="33"/>
        <v>0</v>
      </c>
      <c r="AK13" s="53">
        <f t="shared" si="33"/>
        <v>0</v>
      </c>
      <c r="AL13" s="53">
        <f t="shared" si="33"/>
        <v>0</v>
      </c>
      <c r="AM13" s="53">
        <f t="shared" si="33"/>
        <v>0</v>
      </c>
      <c r="AN13" s="53">
        <f t="shared" si="33"/>
        <v>0</v>
      </c>
      <c r="AO13" s="53">
        <f t="shared" si="33"/>
        <v>0</v>
      </c>
      <c r="AP13" s="53">
        <f t="shared" si="33"/>
        <v>0</v>
      </c>
      <c r="AQ13" s="53">
        <f t="shared" si="33"/>
        <v>0</v>
      </c>
      <c r="AR13" s="53">
        <f t="shared" si="33"/>
        <v>0</v>
      </c>
      <c r="AS13" s="53">
        <f t="shared" si="33"/>
        <v>0</v>
      </c>
      <c r="AT13" s="53">
        <f t="shared" si="33"/>
        <v>0</v>
      </c>
      <c r="AU13" s="53">
        <f t="shared" si="33"/>
        <v>0</v>
      </c>
      <c r="AV13" s="53">
        <f t="shared" si="33"/>
        <v>0</v>
      </c>
      <c r="AW13" s="53">
        <f t="shared" si="33"/>
        <v>0</v>
      </c>
      <c r="AX13" s="53">
        <f t="shared" si="33"/>
        <v>0</v>
      </c>
      <c r="AY13" s="53">
        <f t="shared" si="33"/>
        <v>0</v>
      </c>
      <c r="AZ13" s="53">
        <f t="shared" si="33"/>
        <v>0</v>
      </c>
      <c r="BA13" s="53">
        <f t="shared" si="33"/>
        <v>0</v>
      </c>
      <c r="BB13" s="53">
        <f t="shared" si="33"/>
        <v>0</v>
      </c>
      <c r="BC13" s="53">
        <f t="shared" si="33"/>
        <v>0</v>
      </c>
      <c r="BD13" s="53">
        <f t="shared" si="33"/>
        <v>0</v>
      </c>
      <c r="BE13" s="53">
        <f t="shared" si="33"/>
        <v>0</v>
      </c>
      <c r="BF13" s="53">
        <f t="shared" si="33"/>
        <v>0</v>
      </c>
      <c r="BG13" s="53">
        <f t="shared" si="33"/>
        <v>0</v>
      </c>
      <c r="BH13" s="53">
        <f t="shared" si="33"/>
        <v>0</v>
      </c>
      <c r="BI13" s="53">
        <f t="shared" si="33"/>
        <v>0</v>
      </c>
      <c r="BJ13" s="53">
        <f t="shared" si="33"/>
        <v>0</v>
      </c>
      <c r="BK13" s="53">
        <f t="shared" si="33"/>
        <v>0</v>
      </c>
      <c r="BL13" s="53">
        <f t="shared" si="33"/>
        <v>0</v>
      </c>
      <c r="BM13" s="53">
        <f t="shared" si="33"/>
        <v>0</v>
      </c>
      <c r="BN13" s="53">
        <f t="shared" si="33"/>
        <v>0</v>
      </c>
      <c r="BO13" s="53">
        <f t="shared" si="33"/>
        <v>0</v>
      </c>
      <c r="BP13" s="53">
        <f t="shared" si="33"/>
        <v>0</v>
      </c>
      <c r="BQ13" s="53">
        <f t="shared" si="33"/>
        <v>0</v>
      </c>
      <c r="BR13" s="53">
        <f t="shared" si="33"/>
        <v>0</v>
      </c>
      <c r="BS13" s="53">
        <f t="shared" si="33"/>
        <v>0</v>
      </c>
      <c r="BT13" s="53">
        <f t="shared" si="33"/>
        <v>0</v>
      </c>
      <c r="BU13" s="53">
        <f t="shared" si="34" ref="BU13:CK13">+BT13</f>
        <v>0</v>
      </c>
      <c r="BV13" s="53">
        <f t="shared" si="34"/>
        <v>0</v>
      </c>
      <c r="BW13" s="53">
        <f t="shared" si="34"/>
        <v>0</v>
      </c>
      <c r="BX13" s="53">
        <f t="shared" si="34"/>
        <v>0</v>
      </c>
      <c r="BY13" s="53">
        <f t="shared" si="34"/>
        <v>0</v>
      </c>
      <c r="BZ13" s="53">
        <f t="shared" si="34"/>
        <v>0</v>
      </c>
      <c r="CA13" s="53">
        <f t="shared" si="34"/>
        <v>0</v>
      </c>
      <c r="CB13" s="53">
        <f t="shared" si="34"/>
        <v>0</v>
      </c>
      <c r="CC13" s="53">
        <f t="shared" si="34"/>
        <v>0</v>
      </c>
      <c r="CD13" s="53">
        <f t="shared" si="34"/>
        <v>0</v>
      </c>
      <c r="CE13" s="53">
        <f t="shared" si="34"/>
        <v>0</v>
      </c>
      <c r="CF13" s="53">
        <f t="shared" si="34"/>
        <v>0</v>
      </c>
      <c r="CG13" s="53">
        <f t="shared" si="34"/>
        <v>0</v>
      </c>
      <c r="CH13" s="53">
        <f t="shared" si="34"/>
        <v>0</v>
      </c>
      <c r="CI13" s="53">
        <f t="shared" si="34"/>
        <v>0</v>
      </c>
      <c r="CJ13" s="53">
        <f t="shared" si="34"/>
        <v>0</v>
      </c>
      <c r="CK13" s="53">
        <f t="shared" si="34"/>
        <v>0</v>
      </c>
    </row>
    <row r="14" spans="3:89" ht="14.5">
      <c r="C14" t="s">
        <v>6</v>
      </c>
      <c r="D14" t="str">
        <f>_xlfn.TEXTJOIN(",",TRUE,Regions!$C$3,Regions!$D$3)</f>
        <v>IE,National</v>
      </c>
      <c r="E14" t="s">
        <v>29</v>
      </c>
      <c r="F14" s="35" t="s">
        <v>30</v>
      </c>
      <c r="G14" s="52">
        <f>VLOOKUP(E14,'BY-Demands'!$I$6:$J$42,2,FALSE)</f>
        <v>0</v>
      </c>
      <c r="H14" s="53">
        <f t="shared" si="0"/>
        <v>0</v>
      </c>
      <c r="I14" s="53">
        <f t="shared" si="35" ref="I14:BT14">+H14</f>
        <v>0</v>
      </c>
      <c r="J14" s="53">
        <f t="shared" si="35"/>
        <v>0</v>
      </c>
      <c r="K14" s="53">
        <f t="shared" si="35"/>
        <v>0</v>
      </c>
      <c r="L14" s="53">
        <f t="shared" si="35"/>
        <v>0</v>
      </c>
      <c r="M14" s="53">
        <f t="shared" si="35"/>
        <v>0</v>
      </c>
      <c r="N14" s="53">
        <f t="shared" si="35"/>
        <v>0</v>
      </c>
      <c r="O14" s="53">
        <f t="shared" si="35"/>
        <v>0</v>
      </c>
      <c r="P14" s="53">
        <f t="shared" si="35"/>
        <v>0</v>
      </c>
      <c r="Q14" s="53">
        <f t="shared" si="35"/>
        <v>0</v>
      </c>
      <c r="R14" s="53">
        <f t="shared" si="35"/>
        <v>0</v>
      </c>
      <c r="S14" s="53">
        <f t="shared" si="35"/>
        <v>0</v>
      </c>
      <c r="T14" s="53">
        <f t="shared" si="35"/>
        <v>0</v>
      </c>
      <c r="U14" s="53">
        <f t="shared" si="35"/>
        <v>0</v>
      </c>
      <c r="V14" s="53">
        <f t="shared" si="35"/>
        <v>0</v>
      </c>
      <c r="W14" s="53">
        <f t="shared" si="35"/>
        <v>0</v>
      </c>
      <c r="X14" s="53">
        <f t="shared" si="35"/>
        <v>0</v>
      </c>
      <c r="Y14" s="53">
        <f t="shared" si="35"/>
        <v>0</v>
      </c>
      <c r="Z14" s="53">
        <f t="shared" si="35"/>
        <v>0</v>
      </c>
      <c r="AA14" s="53">
        <f t="shared" si="35"/>
        <v>0</v>
      </c>
      <c r="AB14" s="53">
        <f t="shared" si="35"/>
        <v>0</v>
      </c>
      <c r="AC14" s="53">
        <f t="shared" si="35"/>
        <v>0</v>
      </c>
      <c r="AD14" s="53">
        <f t="shared" si="35"/>
        <v>0</v>
      </c>
      <c r="AE14" s="53">
        <f t="shared" si="35"/>
        <v>0</v>
      </c>
      <c r="AF14" s="53">
        <f t="shared" si="35"/>
        <v>0</v>
      </c>
      <c r="AG14" s="53">
        <f t="shared" si="35"/>
        <v>0</v>
      </c>
      <c r="AH14" s="53">
        <f t="shared" si="35"/>
        <v>0</v>
      </c>
      <c r="AI14" s="53">
        <f t="shared" si="35"/>
        <v>0</v>
      </c>
      <c r="AJ14" s="53">
        <f t="shared" si="35"/>
        <v>0</v>
      </c>
      <c r="AK14" s="53">
        <f t="shared" si="35"/>
        <v>0</v>
      </c>
      <c r="AL14" s="53">
        <f t="shared" si="35"/>
        <v>0</v>
      </c>
      <c r="AM14" s="53">
        <f t="shared" si="35"/>
        <v>0</v>
      </c>
      <c r="AN14" s="53">
        <f t="shared" si="35"/>
        <v>0</v>
      </c>
      <c r="AO14" s="53">
        <f t="shared" si="35"/>
        <v>0</v>
      </c>
      <c r="AP14" s="53">
        <f t="shared" si="35"/>
        <v>0</v>
      </c>
      <c r="AQ14" s="53">
        <f t="shared" si="35"/>
        <v>0</v>
      </c>
      <c r="AR14" s="53">
        <f t="shared" si="35"/>
        <v>0</v>
      </c>
      <c r="AS14" s="53">
        <f t="shared" si="35"/>
        <v>0</v>
      </c>
      <c r="AT14" s="53">
        <f t="shared" si="35"/>
        <v>0</v>
      </c>
      <c r="AU14" s="53">
        <f t="shared" si="35"/>
        <v>0</v>
      </c>
      <c r="AV14" s="53">
        <f t="shared" si="35"/>
        <v>0</v>
      </c>
      <c r="AW14" s="53">
        <f t="shared" si="35"/>
        <v>0</v>
      </c>
      <c r="AX14" s="53">
        <f t="shared" si="35"/>
        <v>0</v>
      </c>
      <c r="AY14" s="53">
        <f t="shared" si="35"/>
        <v>0</v>
      </c>
      <c r="AZ14" s="53">
        <f t="shared" si="35"/>
        <v>0</v>
      </c>
      <c r="BA14" s="53">
        <f t="shared" si="35"/>
        <v>0</v>
      </c>
      <c r="BB14" s="53">
        <f t="shared" si="35"/>
        <v>0</v>
      </c>
      <c r="BC14" s="53">
        <f t="shared" si="35"/>
        <v>0</v>
      </c>
      <c r="BD14" s="53">
        <f t="shared" si="35"/>
        <v>0</v>
      </c>
      <c r="BE14" s="53">
        <f t="shared" si="35"/>
        <v>0</v>
      </c>
      <c r="BF14" s="53">
        <f t="shared" si="35"/>
        <v>0</v>
      </c>
      <c r="BG14" s="53">
        <f t="shared" si="35"/>
        <v>0</v>
      </c>
      <c r="BH14" s="53">
        <f t="shared" si="35"/>
        <v>0</v>
      </c>
      <c r="BI14" s="53">
        <f t="shared" si="35"/>
        <v>0</v>
      </c>
      <c r="BJ14" s="53">
        <f t="shared" si="35"/>
        <v>0</v>
      </c>
      <c r="BK14" s="53">
        <f t="shared" si="35"/>
        <v>0</v>
      </c>
      <c r="BL14" s="53">
        <f t="shared" si="35"/>
        <v>0</v>
      </c>
      <c r="BM14" s="53">
        <f t="shared" si="35"/>
        <v>0</v>
      </c>
      <c r="BN14" s="53">
        <f t="shared" si="35"/>
        <v>0</v>
      </c>
      <c r="BO14" s="53">
        <f t="shared" si="35"/>
        <v>0</v>
      </c>
      <c r="BP14" s="53">
        <f t="shared" si="35"/>
        <v>0</v>
      </c>
      <c r="BQ14" s="53">
        <f t="shared" si="35"/>
        <v>0</v>
      </c>
      <c r="BR14" s="53">
        <f t="shared" si="35"/>
        <v>0</v>
      </c>
      <c r="BS14" s="53">
        <f t="shared" si="35"/>
        <v>0</v>
      </c>
      <c r="BT14" s="53">
        <f t="shared" si="35"/>
        <v>0</v>
      </c>
      <c r="BU14" s="53">
        <f t="shared" si="36" ref="BU14:CK14">+BT14</f>
        <v>0</v>
      </c>
      <c r="BV14" s="53">
        <f t="shared" si="36"/>
        <v>0</v>
      </c>
      <c r="BW14" s="53">
        <f t="shared" si="36"/>
        <v>0</v>
      </c>
      <c r="BX14" s="53">
        <f t="shared" si="36"/>
        <v>0</v>
      </c>
      <c r="BY14" s="53">
        <f t="shared" si="36"/>
        <v>0</v>
      </c>
      <c r="BZ14" s="53">
        <f t="shared" si="36"/>
        <v>0</v>
      </c>
      <c r="CA14" s="53">
        <f t="shared" si="36"/>
        <v>0</v>
      </c>
      <c r="CB14" s="53">
        <f t="shared" si="36"/>
        <v>0</v>
      </c>
      <c r="CC14" s="53">
        <f t="shared" si="36"/>
        <v>0</v>
      </c>
      <c r="CD14" s="53">
        <f t="shared" si="36"/>
        <v>0</v>
      </c>
      <c r="CE14" s="53">
        <f t="shared" si="36"/>
        <v>0</v>
      </c>
      <c r="CF14" s="53">
        <f t="shared" si="36"/>
        <v>0</v>
      </c>
      <c r="CG14" s="53">
        <f t="shared" si="36"/>
        <v>0</v>
      </c>
      <c r="CH14" s="53">
        <f t="shared" si="36"/>
        <v>0</v>
      </c>
      <c r="CI14" s="53">
        <f t="shared" si="36"/>
        <v>0</v>
      </c>
      <c r="CJ14" s="53">
        <f t="shared" si="36"/>
        <v>0</v>
      </c>
      <c r="CK14" s="53">
        <f t="shared" si="36"/>
        <v>0</v>
      </c>
    </row>
    <row r="15" spans="3:89" ht="14.5">
      <c r="C15" t="s">
        <v>6</v>
      </c>
      <c r="D15" t="str">
        <f>_xlfn.TEXTJOIN(",",TRUE,Regions!$C$3,Regions!$D$3)</f>
        <v>IE,National</v>
      </c>
      <c r="E15" t="s">
        <v>31</v>
      </c>
      <c r="F15" s="35" t="s">
        <v>32</v>
      </c>
      <c r="G15" s="52">
        <f>VLOOKUP(E15,'BY-Demands'!$I$6:$J$42,2,FALSE)</f>
        <v>3.7999999999999998</v>
      </c>
      <c r="H15" s="53">
        <f t="shared" si="0"/>
        <v>3.7999999999999998</v>
      </c>
      <c r="I15" s="53">
        <f t="shared" si="37" ref="I15:BT15">+H15</f>
        <v>3.7999999999999998</v>
      </c>
      <c r="J15" s="53">
        <f t="shared" si="37"/>
        <v>3.7999999999999998</v>
      </c>
      <c r="K15" s="53">
        <f t="shared" si="37"/>
        <v>3.7999999999999998</v>
      </c>
      <c r="L15" s="53">
        <f t="shared" si="37"/>
        <v>3.7999999999999998</v>
      </c>
      <c r="M15" s="53">
        <f t="shared" si="37"/>
        <v>3.7999999999999998</v>
      </c>
      <c r="N15" s="53">
        <f t="shared" si="37"/>
        <v>3.7999999999999998</v>
      </c>
      <c r="O15" s="53">
        <f t="shared" si="37"/>
        <v>3.7999999999999998</v>
      </c>
      <c r="P15" s="53">
        <f t="shared" si="37"/>
        <v>3.7999999999999998</v>
      </c>
      <c r="Q15" s="53">
        <f t="shared" si="37"/>
        <v>3.7999999999999998</v>
      </c>
      <c r="R15" s="53">
        <f t="shared" si="37"/>
        <v>3.7999999999999998</v>
      </c>
      <c r="S15" s="53">
        <f t="shared" si="37"/>
        <v>3.7999999999999998</v>
      </c>
      <c r="T15" s="53">
        <f t="shared" si="37"/>
        <v>3.7999999999999998</v>
      </c>
      <c r="U15" s="53">
        <f t="shared" si="37"/>
        <v>3.7999999999999998</v>
      </c>
      <c r="V15" s="53">
        <f t="shared" si="37"/>
        <v>3.7999999999999998</v>
      </c>
      <c r="W15" s="53">
        <f t="shared" si="37"/>
        <v>3.7999999999999998</v>
      </c>
      <c r="X15" s="53">
        <f t="shared" si="37"/>
        <v>3.7999999999999998</v>
      </c>
      <c r="Y15" s="53">
        <f t="shared" si="37"/>
        <v>3.7999999999999998</v>
      </c>
      <c r="Z15" s="53">
        <f t="shared" si="37"/>
        <v>3.7999999999999998</v>
      </c>
      <c r="AA15" s="53">
        <f t="shared" si="37"/>
        <v>3.7999999999999998</v>
      </c>
      <c r="AB15" s="53">
        <f t="shared" si="37"/>
        <v>3.7999999999999998</v>
      </c>
      <c r="AC15" s="53">
        <f t="shared" si="37"/>
        <v>3.7999999999999998</v>
      </c>
      <c r="AD15" s="53">
        <f t="shared" si="37"/>
        <v>3.7999999999999998</v>
      </c>
      <c r="AE15" s="53">
        <f t="shared" si="37"/>
        <v>3.7999999999999998</v>
      </c>
      <c r="AF15" s="53">
        <f t="shared" si="37"/>
        <v>3.7999999999999998</v>
      </c>
      <c r="AG15" s="53">
        <f t="shared" si="37"/>
        <v>3.7999999999999998</v>
      </c>
      <c r="AH15" s="53">
        <f t="shared" si="37"/>
        <v>3.7999999999999998</v>
      </c>
      <c r="AI15" s="53">
        <f t="shared" si="37"/>
        <v>3.7999999999999998</v>
      </c>
      <c r="AJ15" s="53">
        <f t="shared" si="37"/>
        <v>3.7999999999999998</v>
      </c>
      <c r="AK15" s="53">
        <f t="shared" si="37"/>
        <v>3.7999999999999998</v>
      </c>
      <c r="AL15" s="53">
        <f t="shared" si="37"/>
        <v>3.7999999999999998</v>
      </c>
      <c r="AM15" s="53">
        <f t="shared" si="37"/>
        <v>3.7999999999999998</v>
      </c>
      <c r="AN15" s="53">
        <f t="shared" si="37"/>
        <v>3.7999999999999998</v>
      </c>
      <c r="AO15" s="53">
        <f t="shared" si="37"/>
        <v>3.7999999999999998</v>
      </c>
      <c r="AP15" s="53">
        <f t="shared" si="37"/>
        <v>3.7999999999999998</v>
      </c>
      <c r="AQ15" s="53">
        <f t="shared" si="37"/>
        <v>3.7999999999999998</v>
      </c>
      <c r="AR15" s="53">
        <f t="shared" si="37"/>
        <v>3.7999999999999998</v>
      </c>
      <c r="AS15" s="53">
        <f t="shared" si="37"/>
        <v>3.7999999999999998</v>
      </c>
      <c r="AT15" s="53">
        <f t="shared" si="37"/>
        <v>3.7999999999999998</v>
      </c>
      <c r="AU15" s="53">
        <f t="shared" si="37"/>
        <v>3.7999999999999998</v>
      </c>
      <c r="AV15" s="53">
        <f t="shared" si="37"/>
        <v>3.7999999999999998</v>
      </c>
      <c r="AW15" s="53">
        <f t="shared" si="37"/>
        <v>3.7999999999999998</v>
      </c>
      <c r="AX15" s="53">
        <f t="shared" si="37"/>
        <v>3.7999999999999998</v>
      </c>
      <c r="AY15" s="53">
        <f t="shared" si="37"/>
        <v>3.7999999999999998</v>
      </c>
      <c r="AZ15" s="53">
        <f t="shared" si="37"/>
        <v>3.7999999999999998</v>
      </c>
      <c r="BA15" s="53">
        <f t="shared" si="37"/>
        <v>3.7999999999999998</v>
      </c>
      <c r="BB15" s="53">
        <f t="shared" si="37"/>
        <v>3.7999999999999998</v>
      </c>
      <c r="BC15" s="53">
        <f t="shared" si="37"/>
        <v>3.7999999999999998</v>
      </c>
      <c r="BD15" s="53">
        <f t="shared" si="37"/>
        <v>3.7999999999999998</v>
      </c>
      <c r="BE15" s="53">
        <f t="shared" si="37"/>
        <v>3.7999999999999998</v>
      </c>
      <c r="BF15" s="53">
        <f t="shared" si="37"/>
        <v>3.7999999999999998</v>
      </c>
      <c r="BG15" s="53">
        <f t="shared" si="37"/>
        <v>3.7999999999999998</v>
      </c>
      <c r="BH15" s="53">
        <f t="shared" si="37"/>
        <v>3.7999999999999998</v>
      </c>
      <c r="BI15" s="53">
        <f t="shared" si="37"/>
        <v>3.7999999999999998</v>
      </c>
      <c r="BJ15" s="53">
        <f t="shared" si="37"/>
        <v>3.7999999999999998</v>
      </c>
      <c r="BK15" s="53">
        <f t="shared" si="37"/>
        <v>3.7999999999999998</v>
      </c>
      <c r="BL15" s="53">
        <f t="shared" si="37"/>
        <v>3.7999999999999998</v>
      </c>
      <c r="BM15" s="53">
        <f t="shared" si="37"/>
        <v>3.7999999999999998</v>
      </c>
      <c r="BN15" s="53">
        <f t="shared" si="37"/>
        <v>3.7999999999999998</v>
      </c>
      <c r="BO15" s="53">
        <f t="shared" si="37"/>
        <v>3.7999999999999998</v>
      </c>
      <c r="BP15" s="53">
        <f t="shared" si="37"/>
        <v>3.7999999999999998</v>
      </c>
      <c r="BQ15" s="53">
        <f t="shared" si="37"/>
        <v>3.7999999999999998</v>
      </c>
      <c r="BR15" s="53">
        <f t="shared" si="37"/>
        <v>3.7999999999999998</v>
      </c>
      <c r="BS15" s="53">
        <f t="shared" si="37"/>
        <v>3.7999999999999998</v>
      </c>
      <c r="BT15" s="53">
        <f t="shared" si="37"/>
        <v>3.7999999999999998</v>
      </c>
      <c r="BU15" s="53">
        <f t="shared" si="38" ref="BU15:CK15">+BT15</f>
        <v>3.7999999999999998</v>
      </c>
      <c r="BV15" s="53">
        <f t="shared" si="38"/>
        <v>3.7999999999999998</v>
      </c>
      <c r="BW15" s="53">
        <f t="shared" si="38"/>
        <v>3.7999999999999998</v>
      </c>
      <c r="BX15" s="53">
        <f t="shared" si="38"/>
        <v>3.7999999999999998</v>
      </c>
      <c r="BY15" s="53">
        <f t="shared" si="38"/>
        <v>3.7999999999999998</v>
      </c>
      <c r="BZ15" s="53">
        <f t="shared" si="38"/>
        <v>3.7999999999999998</v>
      </c>
      <c r="CA15" s="53">
        <f t="shared" si="38"/>
        <v>3.7999999999999998</v>
      </c>
      <c r="CB15" s="53">
        <f t="shared" si="38"/>
        <v>3.7999999999999998</v>
      </c>
      <c r="CC15" s="53">
        <f t="shared" si="38"/>
        <v>3.7999999999999998</v>
      </c>
      <c r="CD15" s="53">
        <f t="shared" si="38"/>
        <v>3.7999999999999998</v>
      </c>
      <c r="CE15" s="53">
        <f t="shared" si="38"/>
        <v>3.7999999999999998</v>
      </c>
      <c r="CF15" s="53">
        <f t="shared" si="38"/>
        <v>3.7999999999999998</v>
      </c>
      <c r="CG15" s="53">
        <f t="shared" si="38"/>
        <v>3.7999999999999998</v>
      </c>
      <c r="CH15" s="53">
        <f t="shared" si="38"/>
        <v>3.7999999999999998</v>
      </c>
      <c r="CI15" s="53">
        <f t="shared" si="38"/>
        <v>3.7999999999999998</v>
      </c>
      <c r="CJ15" s="53">
        <f t="shared" si="38"/>
        <v>3.7999999999999998</v>
      </c>
      <c r="CK15" s="53">
        <f t="shared" si="38"/>
        <v>3.7999999999999998</v>
      </c>
    </row>
    <row r="16" spans="3:89" ht="14.5">
      <c r="C16" t="s">
        <v>6</v>
      </c>
      <c r="D16" t="str">
        <f>_xlfn.TEXTJOIN(",",TRUE,Regions!$C$3,Regions!$D$3)</f>
        <v>IE,National</v>
      </c>
      <c r="E16" t="s">
        <v>33</v>
      </c>
      <c r="F16" s="35" t="s">
        <v>34</v>
      </c>
      <c r="G16" s="52">
        <f>VLOOKUP(E16,'BY-Demands'!$I$6:$J$42,2,FALSE)</f>
        <v>0</v>
      </c>
      <c r="H16" s="53">
        <f t="shared" si="0"/>
        <v>0</v>
      </c>
      <c r="I16" s="53">
        <f t="shared" si="39" ref="I16:BT16">+H16</f>
        <v>0</v>
      </c>
      <c r="J16" s="53">
        <f t="shared" si="39"/>
        <v>0</v>
      </c>
      <c r="K16" s="53">
        <f t="shared" si="39"/>
        <v>0</v>
      </c>
      <c r="L16" s="53">
        <f t="shared" si="39"/>
        <v>0</v>
      </c>
      <c r="M16" s="53">
        <f t="shared" si="39"/>
        <v>0</v>
      </c>
      <c r="N16" s="53">
        <f t="shared" si="39"/>
        <v>0</v>
      </c>
      <c r="O16" s="53">
        <f t="shared" si="39"/>
        <v>0</v>
      </c>
      <c r="P16" s="53">
        <f t="shared" si="39"/>
        <v>0</v>
      </c>
      <c r="Q16" s="53">
        <f t="shared" si="39"/>
        <v>0</v>
      </c>
      <c r="R16" s="53">
        <f t="shared" si="39"/>
        <v>0</v>
      </c>
      <c r="S16" s="53">
        <f t="shared" si="39"/>
        <v>0</v>
      </c>
      <c r="T16" s="53">
        <f t="shared" si="39"/>
        <v>0</v>
      </c>
      <c r="U16" s="53">
        <f t="shared" si="39"/>
        <v>0</v>
      </c>
      <c r="V16" s="53">
        <f t="shared" si="39"/>
        <v>0</v>
      </c>
      <c r="W16" s="53">
        <f t="shared" si="39"/>
        <v>0</v>
      </c>
      <c r="X16" s="53">
        <f t="shared" si="39"/>
        <v>0</v>
      </c>
      <c r="Y16" s="53">
        <f t="shared" si="39"/>
        <v>0</v>
      </c>
      <c r="Z16" s="53">
        <f t="shared" si="39"/>
        <v>0</v>
      </c>
      <c r="AA16" s="53">
        <f t="shared" si="39"/>
        <v>0</v>
      </c>
      <c r="AB16" s="53">
        <f t="shared" si="39"/>
        <v>0</v>
      </c>
      <c r="AC16" s="53">
        <f t="shared" si="39"/>
        <v>0</v>
      </c>
      <c r="AD16" s="53">
        <f t="shared" si="39"/>
        <v>0</v>
      </c>
      <c r="AE16" s="53">
        <f t="shared" si="39"/>
        <v>0</v>
      </c>
      <c r="AF16" s="53">
        <f t="shared" si="39"/>
        <v>0</v>
      </c>
      <c r="AG16" s="53">
        <f t="shared" si="39"/>
        <v>0</v>
      </c>
      <c r="AH16" s="53">
        <f t="shared" si="39"/>
        <v>0</v>
      </c>
      <c r="AI16" s="53">
        <f t="shared" si="39"/>
        <v>0</v>
      </c>
      <c r="AJ16" s="53">
        <f t="shared" si="39"/>
        <v>0</v>
      </c>
      <c r="AK16" s="53">
        <f t="shared" si="39"/>
        <v>0</v>
      </c>
      <c r="AL16" s="53">
        <f t="shared" si="39"/>
        <v>0</v>
      </c>
      <c r="AM16" s="53">
        <f t="shared" si="39"/>
        <v>0</v>
      </c>
      <c r="AN16" s="53">
        <f t="shared" si="39"/>
        <v>0</v>
      </c>
      <c r="AO16" s="53">
        <f t="shared" si="39"/>
        <v>0</v>
      </c>
      <c r="AP16" s="53">
        <f t="shared" si="39"/>
        <v>0</v>
      </c>
      <c r="AQ16" s="53">
        <f t="shared" si="39"/>
        <v>0</v>
      </c>
      <c r="AR16" s="53">
        <f t="shared" si="39"/>
        <v>0</v>
      </c>
      <c r="AS16" s="53">
        <f t="shared" si="39"/>
        <v>0</v>
      </c>
      <c r="AT16" s="53">
        <f t="shared" si="39"/>
        <v>0</v>
      </c>
      <c r="AU16" s="53">
        <f t="shared" si="39"/>
        <v>0</v>
      </c>
      <c r="AV16" s="53">
        <f t="shared" si="39"/>
        <v>0</v>
      </c>
      <c r="AW16" s="53">
        <f t="shared" si="39"/>
        <v>0</v>
      </c>
      <c r="AX16" s="53">
        <f t="shared" si="39"/>
        <v>0</v>
      </c>
      <c r="AY16" s="53">
        <f t="shared" si="39"/>
        <v>0</v>
      </c>
      <c r="AZ16" s="53">
        <f t="shared" si="39"/>
        <v>0</v>
      </c>
      <c r="BA16" s="53">
        <f t="shared" si="39"/>
        <v>0</v>
      </c>
      <c r="BB16" s="53">
        <f t="shared" si="39"/>
        <v>0</v>
      </c>
      <c r="BC16" s="53">
        <f t="shared" si="39"/>
        <v>0</v>
      </c>
      <c r="BD16" s="53">
        <f t="shared" si="39"/>
        <v>0</v>
      </c>
      <c r="BE16" s="53">
        <f t="shared" si="39"/>
        <v>0</v>
      </c>
      <c r="BF16" s="53">
        <f t="shared" si="39"/>
        <v>0</v>
      </c>
      <c r="BG16" s="53">
        <f t="shared" si="39"/>
        <v>0</v>
      </c>
      <c r="BH16" s="53">
        <f t="shared" si="39"/>
        <v>0</v>
      </c>
      <c r="BI16" s="53">
        <f t="shared" si="39"/>
        <v>0</v>
      </c>
      <c r="BJ16" s="53">
        <f t="shared" si="39"/>
        <v>0</v>
      </c>
      <c r="BK16" s="53">
        <f t="shared" si="39"/>
        <v>0</v>
      </c>
      <c r="BL16" s="53">
        <f t="shared" si="39"/>
        <v>0</v>
      </c>
      <c r="BM16" s="53">
        <f t="shared" si="39"/>
        <v>0</v>
      </c>
      <c r="BN16" s="53">
        <f t="shared" si="39"/>
        <v>0</v>
      </c>
      <c r="BO16" s="53">
        <f t="shared" si="39"/>
        <v>0</v>
      </c>
      <c r="BP16" s="53">
        <f t="shared" si="39"/>
        <v>0</v>
      </c>
      <c r="BQ16" s="53">
        <f t="shared" si="39"/>
        <v>0</v>
      </c>
      <c r="BR16" s="53">
        <f t="shared" si="39"/>
        <v>0</v>
      </c>
      <c r="BS16" s="53">
        <f t="shared" si="39"/>
        <v>0</v>
      </c>
      <c r="BT16" s="53">
        <f t="shared" si="39"/>
        <v>0</v>
      </c>
      <c r="BU16" s="53">
        <f t="shared" si="40" ref="BU16:CK16">+BT16</f>
        <v>0</v>
      </c>
      <c r="BV16" s="53">
        <f t="shared" si="40"/>
        <v>0</v>
      </c>
      <c r="BW16" s="53">
        <f t="shared" si="40"/>
        <v>0</v>
      </c>
      <c r="BX16" s="53">
        <f t="shared" si="40"/>
        <v>0</v>
      </c>
      <c r="BY16" s="53">
        <f t="shared" si="40"/>
        <v>0</v>
      </c>
      <c r="BZ16" s="53">
        <f t="shared" si="40"/>
        <v>0</v>
      </c>
      <c r="CA16" s="53">
        <f t="shared" si="40"/>
        <v>0</v>
      </c>
      <c r="CB16" s="53">
        <f t="shared" si="40"/>
        <v>0</v>
      </c>
      <c r="CC16" s="53">
        <f t="shared" si="40"/>
        <v>0</v>
      </c>
      <c r="CD16" s="53">
        <f t="shared" si="40"/>
        <v>0</v>
      </c>
      <c r="CE16" s="53">
        <f t="shared" si="40"/>
        <v>0</v>
      </c>
      <c r="CF16" s="53">
        <f t="shared" si="40"/>
        <v>0</v>
      </c>
      <c r="CG16" s="53">
        <f t="shared" si="40"/>
        <v>0</v>
      </c>
      <c r="CH16" s="53">
        <f t="shared" si="40"/>
        <v>0</v>
      </c>
      <c r="CI16" s="53">
        <f t="shared" si="40"/>
        <v>0</v>
      </c>
      <c r="CJ16" s="53">
        <f t="shared" si="40"/>
        <v>0</v>
      </c>
      <c r="CK16" s="53">
        <f t="shared" si="40"/>
        <v>0</v>
      </c>
    </row>
    <row r="17" spans="3:89" ht="14.5">
      <c r="C17" t="s">
        <v>6</v>
      </c>
      <c r="D17" t="str">
        <f>_xlfn.TEXTJOIN(",",TRUE,Regions!$C$3)</f>
        <v>IE</v>
      </c>
      <c r="E17" t="s">
        <v>35</v>
      </c>
      <c r="F17" s="35" t="s">
        <v>36</v>
      </c>
      <c r="G17" s="52">
        <f>VLOOKUP(E17,'BY-Demands'!$I$6:$J$42,2,FALSE)</f>
        <v>14.5565610923972</v>
      </c>
      <c r="H17" s="53">
        <v>14.87639834</v>
      </c>
      <c r="I17" s="53">
        <v>10.76129175</v>
      </c>
      <c r="J17" s="52">
        <f>G17*'TRA-2021'!$C$13</f>
        <v>13.57251588540027</v>
      </c>
      <c r="K17" s="52">
        <f>G17*'TRA-2021'!$C$15</f>
        <v>14.05673907080137</v>
      </c>
      <c r="L17" s="52">
        <f>K17*'TRA-2021'!$C$8/'TRA-2021'!$C$7</f>
        <v>14.107943011361705</v>
      </c>
      <c r="M17" s="52">
        <f>L17*1.0125</f>
        <v>14.284292299003726</v>
      </c>
      <c r="N17" s="52">
        <f t="shared" si="41" ref="N17:X17">M17*1.0125</f>
        <v>14.462845952741272</v>
      </c>
      <c r="O17" s="52">
        <f t="shared" si="41"/>
        <v>14.643631527150538</v>
      </c>
      <c r="P17" s="52">
        <f t="shared" si="41"/>
        <v>14.826676921239919</v>
      </c>
      <c r="Q17" s="52">
        <f t="shared" si="41"/>
        <v>15.012010382755417</v>
      </c>
      <c r="R17" s="52">
        <f t="shared" si="41"/>
        <v>15.199660512539859</v>
      </c>
      <c r="S17" s="52">
        <f t="shared" si="41"/>
        <v>15.389656268946606</v>
      </c>
      <c r="T17" s="52">
        <f t="shared" si="41"/>
        <v>15.582026972308437</v>
      </c>
      <c r="U17" s="52">
        <f t="shared" si="41"/>
        <v>15.776802309462292</v>
      </c>
      <c r="V17" s="52">
        <f t="shared" si="41"/>
        <v>15.974012338330571</v>
      </c>
      <c r="W17" s="52">
        <f t="shared" si="41"/>
        <v>16.173687492559701</v>
      </c>
      <c r="X17" s="52">
        <f t="shared" si="41"/>
        <v>16.375858586216697</v>
      </c>
      <c r="Y17" s="52">
        <f t="shared" si="42" ref="Y17:AM17">X17*1.0125</f>
        <v>16.580556818544405</v>
      </c>
      <c r="Z17" s="52">
        <f t="shared" si="42"/>
        <v>16.787813778776208</v>
      </c>
      <c r="AA17" s="52">
        <f t="shared" si="42"/>
        <v>16.997661451010909</v>
      </c>
      <c r="AB17" s="52">
        <f t="shared" si="42"/>
        <v>17.210132219148544</v>
      </c>
      <c r="AC17" s="52">
        <f t="shared" si="42"/>
        <v>17.425258871887902</v>
      </c>
      <c r="AD17" s="52">
        <f t="shared" si="42"/>
        <v>17.643074607786499</v>
      </c>
      <c r="AE17" s="52">
        <f t="shared" si="42"/>
        <v>17.863613040383829</v>
      </c>
      <c r="AF17" s="52">
        <f t="shared" si="42"/>
        <v>18.086908203388624</v>
      </c>
      <c r="AG17" s="52">
        <f t="shared" si="42"/>
        <v>18.312994555930981</v>
      </c>
      <c r="AH17" s="52">
        <f t="shared" si="42"/>
        <v>18.541906987880118</v>
      </c>
      <c r="AI17" s="52">
        <f t="shared" si="42"/>
        <v>18.77368082522862</v>
      </c>
      <c r="AJ17" s="52">
        <f t="shared" si="42"/>
        <v>19.008351835543976</v>
      </c>
      <c r="AK17" s="52">
        <f t="shared" si="42"/>
        <v>19.245956233488275</v>
      </c>
      <c r="AL17" s="52">
        <f t="shared" si="42"/>
        <v>19.486530686406876</v>
      </c>
      <c r="AM17" s="52">
        <f t="shared" si="42"/>
        <v>19.730112319986961</v>
      </c>
      <c r="AN17" s="53"/>
      <c r="AO17" s="53"/>
      <c r="AP17" s="53"/>
      <c r="AQ17" s="53"/>
      <c r="AR17" s="53">
        <v>21.708902826056999</v>
      </c>
      <c r="AS17" s="53"/>
      <c r="AT17" s="53"/>
      <c r="AU17" s="53"/>
      <c r="AV17" s="53"/>
      <c r="AW17" s="53">
        <v>22.294296983465198</v>
      </c>
      <c r="AX17" s="53"/>
      <c r="AY17" s="53"/>
      <c r="AZ17" s="53"/>
      <c r="BA17" s="53"/>
      <c r="BB17" s="53">
        <v>22.633963522387901</v>
      </c>
      <c r="BC17" s="53"/>
      <c r="BD17" s="53"/>
      <c r="BE17" s="53"/>
      <c r="BF17" s="53"/>
      <c r="BG17" s="53">
        <v>22.998525615910701</v>
      </c>
      <c r="BH17" s="53"/>
      <c r="BI17" s="53"/>
      <c r="BJ17" s="53"/>
      <c r="BK17" s="53"/>
      <c r="BL17" s="53">
        <v>23.420163469983802</v>
      </c>
      <c r="BM17" s="53"/>
      <c r="BN17" s="53"/>
      <c r="BO17" s="53"/>
      <c r="BP17" s="53"/>
      <c r="BQ17" s="53">
        <v>23.915804444215802</v>
      </c>
      <c r="BR17" s="53"/>
      <c r="BS17" s="53"/>
      <c r="BT17" s="53"/>
      <c r="BU17" s="53"/>
      <c r="BV17" s="53">
        <v>24.479480525906901</v>
      </c>
      <c r="BW17" s="53"/>
      <c r="BX17" s="53"/>
      <c r="BY17" s="53"/>
      <c r="BZ17" s="53"/>
      <c r="CA17" s="53">
        <v>25.0796251155347</v>
      </c>
      <c r="CB17" s="53"/>
      <c r="CC17" s="53"/>
      <c r="CD17" s="53"/>
      <c r="CE17" s="53"/>
      <c r="CF17" s="53">
        <v>25.6801225927071</v>
      </c>
      <c r="CG17" s="53"/>
      <c r="CH17" s="53"/>
      <c r="CI17" s="53"/>
      <c r="CJ17" s="53"/>
      <c r="CK17" s="53">
        <v>26.281462653597</v>
      </c>
    </row>
    <row r="18" spans="3:89" ht="14.5">
      <c r="C18" t="s">
        <v>6</v>
      </c>
      <c r="D18" t="str">
        <f>_xlfn.TEXTJOIN(",",TRUE,Regions!$C$3)</f>
        <v>IE</v>
      </c>
      <c r="E18" t="s">
        <v>37</v>
      </c>
      <c r="F18" s="35" t="s">
        <v>38</v>
      </c>
      <c r="G18" s="52">
        <f>VLOOKUP(E18,'BY-Demands'!$I$6:$J$42,2,FALSE)</f>
        <v>31.276118540281001</v>
      </c>
      <c r="H18" s="53">
        <f>31.98425643</f>
        <v>31.984256429999999</v>
      </c>
      <c r="I18" s="53">
        <f>23.13677727</f>
        <v>23.13677727</v>
      </c>
      <c r="J18" s="52">
        <f>0.95*G18*'TRA-2021'!$C$13</f>
        <v>27.703716034013713</v>
      </c>
      <c r="K18" s="52">
        <f>G18*'TRA-2021'!$C$15</f>
        <v>30.202204674413409</v>
      </c>
      <c r="L18" s="52">
        <f>K18*'TRA-2021'!$C$8/'TRA-2021'!$C$7</f>
        <v>30.312221079011263</v>
      </c>
      <c r="M18" s="52">
        <f>L18*1.015</f>
        <v>30.766904395196427</v>
      </c>
      <c r="N18" s="52">
        <f t="shared" si="43" ref="N18:X18">M18*1.015</f>
        <v>31.228407961124372</v>
      </c>
      <c r="O18" s="52">
        <f t="shared" si="43"/>
        <v>31.696834080541233</v>
      </c>
      <c r="P18" s="52">
        <f t="shared" si="43"/>
        <v>32.172286591749348</v>
      </c>
      <c r="Q18" s="52">
        <f t="shared" si="43"/>
        <v>32.654870890625588</v>
      </c>
      <c r="R18" s="52">
        <f t="shared" si="43"/>
        <v>33.144693953984969</v>
      </c>
      <c r="S18" s="52">
        <f t="shared" si="43"/>
        <v>33.641864363294744</v>
      </c>
      <c r="T18" s="52">
        <f t="shared" si="43"/>
        <v>34.146492328744159</v>
      </c>
      <c r="U18" s="52">
        <f t="shared" si="43"/>
        <v>34.658689713675315</v>
      </c>
      <c r="V18" s="52">
        <f t="shared" si="43"/>
        <v>35.178570059380441</v>
      </c>
      <c r="W18" s="52">
        <f t="shared" si="43"/>
        <v>35.706248610271146</v>
      </c>
      <c r="X18" s="52">
        <f t="shared" si="43"/>
        <v>36.241842339425212</v>
      </c>
      <c r="Y18" s="52">
        <f t="shared" si="44" ref="Y18:AM18">X18*1.015</f>
        <v>36.785469974516587</v>
      </c>
      <c r="Z18" s="52">
        <f t="shared" si="44"/>
        <v>37.33725202413433</v>
      </c>
      <c r="AA18" s="52">
        <f t="shared" si="44"/>
        <v>37.897310804496342</v>
      </c>
      <c r="AB18" s="52">
        <f t="shared" si="44"/>
        <v>38.465770466563782</v>
      </c>
      <c r="AC18" s="52">
        <f t="shared" si="44"/>
        <v>39.042757023562238</v>
      </c>
      <c r="AD18" s="52">
        <f t="shared" si="44"/>
        <v>39.628398378915669</v>
      </c>
      <c r="AE18" s="52">
        <f t="shared" si="44"/>
        <v>40.222824354599403</v>
      </c>
      <c r="AF18" s="52">
        <f t="shared" si="44"/>
        <v>40.82616671991839</v>
      </c>
      <c r="AG18" s="52">
        <f t="shared" si="44"/>
        <v>41.43855922071716</v>
      </c>
      <c r="AH18" s="52">
        <f t="shared" si="44"/>
        <v>42.060137609027912</v>
      </c>
      <c r="AI18" s="52">
        <f t="shared" si="44"/>
        <v>42.691039673163324</v>
      </c>
      <c r="AJ18" s="52">
        <f t="shared" si="44"/>
        <v>43.331405268260767</v>
      </c>
      <c r="AK18" s="52">
        <f t="shared" si="44"/>
        <v>43.981376347284673</v>
      </c>
      <c r="AL18" s="52">
        <f t="shared" si="44"/>
        <v>44.641096992493942</v>
      </c>
      <c r="AM18" s="52">
        <f t="shared" si="44"/>
        <v>45.310713447381346</v>
      </c>
      <c r="AN18" s="53"/>
      <c r="AO18" s="53"/>
      <c r="AP18" s="53"/>
      <c r="AQ18" s="53"/>
      <c r="AR18" s="53">
        <v>46.674141076022501</v>
      </c>
      <c r="AS18" s="53"/>
      <c r="AT18" s="53"/>
      <c r="AU18" s="53"/>
      <c r="AV18" s="53"/>
      <c r="AW18" s="53">
        <v>47.932738514450101</v>
      </c>
      <c r="AX18" s="53"/>
      <c r="AY18" s="53"/>
      <c r="AZ18" s="53"/>
      <c r="BA18" s="53"/>
      <c r="BB18" s="53">
        <v>48.663021573133904</v>
      </c>
      <c r="BC18" s="53"/>
      <c r="BD18" s="53"/>
      <c r="BE18" s="53"/>
      <c r="BF18" s="53"/>
      <c r="BG18" s="53">
        <v>49.446830074208002</v>
      </c>
      <c r="BH18" s="53"/>
      <c r="BI18" s="53"/>
      <c r="BJ18" s="53"/>
      <c r="BK18" s="53"/>
      <c r="BL18" s="53">
        <v>50.353351460465198</v>
      </c>
      <c r="BM18" s="53"/>
      <c r="BN18" s="53"/>
      <c r="BO18" s="53"/>
      <c r="BP18" s="53"/>
      <c r="BQ18" s="53">
        <v>51.418979555063999</v>
      </c>
      <c r="BR18" s="53"/>
      <c r="BS18" s="53"/>
      <c r="BT18" s="53"/>
      <c r="BU18" s="53"/>
      <c r="BV18" s="53">
        <v>52.6308831306999</v>
      </c>
      <c r="BW18" s="53"/>
      <c r="BX18" s="53"/>
      <c r="BY18" s="53"/>
      <c r="BZ18" s="53"/>
      <c r="CA18" s="53">
        <v>53.921193998399701</v>
      </c>
      <c r="CB18" s="53"/>
      <c r="CC18" s="53"/>
      <c r="CD18" s="53"/>
      <c r="CE18" s="53"/>
      <c r="CF18" s="53">
        <v>55.212263574320303</v>
      </c>
      <c r="CG18" s="53"/>
      <c r="CH18" s="53"/>
      <c r="CI18" s="53"/>
      <c r="CJ18" s="53"/>
      <c r="CK18" s="53">
        <v>56.505144705233697</v>
      </c>
    </row>
    <row r="19" spans="3:89" ht="14.5">
      <c r="C19" t="s">
        <v>6</v>
      </c>
      <c r="D19" t="str">
        <f>_xlfn.TEXTJOIN(",",TRUE,Regions!$C$3)</f>
        <v>IE</v>
      </c>
      <c r="E19" t="s">
        <v>39</v>
      </c>
      <c r="F19" s="35" t="s">
        <v>40</v>
      </c>
      <c r="G19" s="52">
        <f>VLOOKUP(E19,'BY-Demands'!$I$6:$J$42,2,FALSE)</f>
        <v>27.131577542973599</v>
      </c>
      <c r="H19" s="52">
        <f>0.9*27.52133693</f>
        <v>24.769203236999999</v>
      </c>
      <c r="I19" s="52">
        <f>0.9*19.90838974</f>
        <v>17.917550766000002</v>
      </c>
      <c r="J19" s="52">
        <f>I19*'TRA-2021'!$C$14</f>
        <v>18.200537756613475</v>
      </c>
      <c r="K19" s="52">
        <f>J19*'TRA-2021'!$C$17</f>
        <v>18.849873697196202</v>
      </c>
      <c r="L19" s="52">
        <f>K19*'TRA-2021'!$C$8/'TRA-2021'!$C$7</f>
        <v>18.918537404155515</v>
      </c>
      <c r="M19" s="52">
        <f>L19*1.025</f>
        <v>19.3915008392594</v>
      </c>
      <c r="N19" s="52">
        <f t="shared" si="45" ref="N19:X19">M19*1.025</f>
        <v>19.876288360240885</v>
      </c>
      <c r="O19" s="52">
        <f t="shared" si="45"/>
        <v>20.373195569246906</v>
      </c>
      <c r="P19" s="52">
        <f t="shared" si="45"/>
        <v>20.882525458478078</v>
      </c>
      <c r="Q19" s="52">
        <f t="shared" si="45"/>
        <v>21.404588594940027</v>
      </c>
      <c r="R19" s="52">
        <f t="shared" si="45"/>
        <v>21.939703309813524</v>
      </c>
      <c r="S19" s="52">
        <f t="shared" si="45"/>
        <v>22.48819589255886</v>
      </c>
      <c r="T19" s="52">
        <f t="shared" si="45"/>
        <v>23.050400789872828</v>
      </c>
      <c r="U19" s="52">
        <f t="shared" si="45"/>
        <v>23.626660809619647</v>
      </c>
      <c r="V19" s="52">
        <f t="shared" si="45"/>
        <v>24.217327329860137</v>
      </c>
      <c r="W19" s="52">
        <f t="shared" si="45"/>
        <v>24.822760513106637</v>
      </c>
      <c r="X19" s="52">
        <f t="shared" si="45"/>
        <v>25.443329525934299</v>
      </c>
      <c r="Y19" s="52">
        <f t="shared" si="46" ref="Y19:AM19">X19*1.025</f>
        <v>26.079412764082655</v>
      </c>
      <c r="Z19" s="52">
        <f t="shared" si="46"/>
        <v>26.731398083184718</v>
      </c>
      <c r="AA19" s="52">
        <f t="shared" si="46"/>
        <v>27.399683035264335</v>
      </c>
      <c r="AB19" s="52">
        <f t="shared" si="46"/>
        <v>28.084675111145941</v>
      </c>
      <c r="AC19" s="52">
        <f t="shared" si="46"/>
        <v>28.786791988924588</v>
      </c>
      <c r="AD19" s="52">
        <f t="shared" si="46"/>
        <v>29.506461788647698</v>
      </c>
      <c r="AE19" s="52">
        <f t="shared" si="46"/>
        <v>30.244123333363888</v>
      </c>
      <c r="AF19" s="52">
        <f t="shared" si="46"/>
        <v>31.000226416697981</v>
      </c>
      <c r="AG19" s="52">
        <f t="shared" si="46"/>
        <v>31.775232077115426</v>
      </c>
      <c r="AH19" s="52">
        <f t="shared" si="46"/>
        <v>32.569612879043312</v>
      </c>
      <c r="AI19" s="52">
        <f t="shared" si="46"/>
        <v>33.383853201019392</v>
      </c>
      <c r="AJ19" s="52">
        <f t="shared" si="46"/>
        <v>34.218449531044875</v>
      </c>
      <c r="AK19" s="52">
        <f t="shared" si="46"/>
        <v>35.073910769320996</v>
      </c>
      <c r="AL19" s="52">
        <f t="shared" si="46"/>
        <v>35.95075853855402</v>
      </c>
      <c r="AM19" s="52">
        <f t="shared" si="46"/>
        <v>36.849527502017864</v>
      </c>
      <c r="AN19" s="53"/>
      <c r="AO19" s="53"/>
      <c r="AP19" s="53"/>
      <c r="AQ19" s="53"/>
      <c r="AR19" s="53">
        <v>40.161470228205403</v>
      </c>
      <c r="AS19" s="53"/>
      <c r="AT19" s="53"/>
      <c r="AU19" s="53"/>
      <c r="AV19" s="53"/>
      <c r="AW19" s="53">
        <v>41.2444494194106</v>
      </c>
      <c r="AX19" s="53"/>
      <c r="AY19" s="53"/>
      <c r="AZ19" s="53"/>
      <c r="BA19" s="53"/>
      <c r="BB19" s="53">
        <v>41.872832516417603</v>
      </c>
      <c r="BC19" s="53"/>
      <c r="BD19" s="53"/>
      <c r="BE19" s="53"/>
      <c r="BF19" s="53"/>
      <c r="BG19" s="53">
        <v>42.547272389434802</v>
      </c>
      <c r="BH19" s="53"/>
      <c r="BI19" s="53"/>
      <c r="BJ19" s="53"/>
      <c r="BK19" s="53"/>
      <c r="BL19" s="53">
        <v>43.327302419470001</v>
      </c>
      <c r="BM19" s="53"/>
      <c r="BN19" s="53"/>
      <c r="BO19" s="53"/>
      <c r="BP19" s="53"/>
      <c r="BQ19" s="53">
        <v>44.244238221799201</v>
      </c>
      <c r="BR19" s="53"/>
      <c r="BS19" s="53"/>
      <c r="BT19" s="53"/>
      <c r="BU19" s="53"/>
      <c r="BV19" s="53">
        <v>45.287038972927803</v>
      </c>
      <c r="BW19" s="53"/>
      <c r="BX19" s="53"/>
      <c r="BY19" s="53"/>
      <c r="BZ19" s="53"/>
      <c r="CA19" s="53">
        <v>46.397306463739199</v>
      </c>
      <c r="CB19" s="53"/>
      <c r="CC19" s="53"/>
      <c r="CD19" s="53"/>
      <c r="CE19" s="53"/>
      <c r="CF19" s="53">
        <v>47.508226796508197</v>
      </c>
      <c r="CG19" s="53"/>
      <c r="CH19" s="53"/>
      <c r="CI19" s="53"/>
      <c r="CJ19" s="53"/>
      <c r="CK19" s="53">
        <v>48.620705909154502</v>
      </c>
    </row>
    <row r="20" spans="3:89" ht="14.5">
      <c r="C20" t="s">
        <v>6</v>
      </c>
      <c r="D20" t="str">
        <f>_xlfn.TEXTJOIN(",",TRUE,Regions!$C$3)</f>
        <v>IE</v>
      </c>
      <c r="E20" t="s">
        <v>41</v>
      </c>
      <c r="F20" s="35" t="s">
        <v>42</v>
      </c>
      <c r="G20" s="52">
        <f>VLOOKUP(E20,'BY-Demands'!$I$6:$J$42,2,FALSE)</f>
        <v>10.702591</v>
      </c>
      <c r="H20" s="52">
        <f>0.85*(12444+72)/1000</f>
        <v>10.6386</v>
      </c>
      <c r="I20" s="52">
        <f>0.9*(11424+74)/1000</f>
        <v>10.3482</v>
      </c>
      <c r="J20" s="52">
        <f>0.85*(12493+70)/1000</f>
        <v>10.67855</v>
      </c>
      <c r="K20" s="52">
        <f>J20*'TRA-2021'!C16</f>
        <v>10.878188502532995</v>
      </c>
      <c r="L20" s="52">
        <f>0.9*13.592606346773</f>
        <v>12.2333457120957</v>
      </c>
      <c r="M20" s="52">
        <v>14.013977143522958</v>
      </c>
      <c r="N20" s="52">
        <v>14.448410434972168</v>
      </c>
      <c r="O20" s="52">
        <v>14.737378643671612</v>
      </c>
      <c r="P20" s="52">
        <v>15.032126216545043</v>
      </c>
      <c r="Q20" s="52">
        <v>15.332768740875943</v>
      </c>
      <c r="R20" s="52">
        <v>15.639424115693462</v>
      </c>
      <c r="S20" s="52">
        <v>15.952212598007332</v>
      </c>
      <c r="T20" s="52">
        <v>16.319113487761502</v>
      </c>
      <c r="U20" s="52">
        <v>16.694453097980016</v>
      </c>
      <c r="V20" s="52">
        <v>17.078425519233555</v>
      </c>
      <c r="W20" s="52">
        <v>17.471229306175925</v>
      </c>
      <c r="X20" s="52">
        <v>17.87306758021797</v>
      </c>
      <c r="Y20" s="52">
        <v>18.284148134562983</v>
      </c>
      <c r="Z20" s="52">
        <v>18.704683541657932</v>
      </c>
      <c r="AA20" s="52">
        <v>19.13489126311606</v>
      </c>
      <c r="AB20" s="52">
        <v>19.574993762167729</v>
      </c>
      <c r="AC20" s="52">
        <v>20.025218618697583</v>
      </c>
      <c r="AD20" s="52">
        <v>20.485798646927627</v>
      </c>
      <c r="AE20" s="52">
        <v>20.956972015806958</v>
      </c>
      <c r="AF20" s="52">
        <v>21.438982372170514</v>
      </c>
      <c r="AG20" s="52">
        <v>21.932078966730433</v>
      </c>
      <c r="AH20" s="52">
        <v>22.436516782965231</v>
      </c>
      <c r="AI20" s="52">
        <v>22.952556668973429</v>
      </c>
      <c r="AJ20" s="52">
        <v>23.480465472359818</v>
      </c>
      <c r="AK20" s="52">
        <v>24.020516178224089</v>
      </c>
      <c r="AL20" s="52">
        <v>24.572988050323243</v>
      </c>
      <c r="AM20" s="52">
        <v>25.138166775480673</v>
      </c>
      <c r="AN20" s="53">
        <v>25.716344611316728</v>
      </c>
      <c r="AO20" s="53">
        <v>26.307820537377012</v>
      </c>
      <c r="AP20" s="53">
        <v>26.912900409736679</v>
      </c>
      <c r="AQ20" s="53">
        <v>27.531897119160618</v>
      </c>
      <c r="AR20" s="53">
        <v>28.165130752901309</v>
      </c>
      <c r="AS20" s="53">
        <v>28.812928760218039</v>
      </c>
      <c r="AT20" s="53">
        <v>29.475626121703051</v>
      </c>
      <c r="AU20" s="53">
        <v>30.15356552250222</v>
      </c>
      <c r="AV20" s="53">
        <v>30.847097529519768</v>
      </c>
      <c r="AW20" s="53">
        <v>31.55658077269872</v>
      </c>
      <c r="AX20" s="53">
        <v>32.282382130470786</v>
      </c>
      <c r="AY20" s="53">
        <v>33.024876919471609</v>
      </c>
      <c r="AZ20" s="53">
        <v>33.784449088619454</v>
      </c>
      <c r="BA20" s="53">
        <v>34.561491417657699</v>
      </c>
      <c r="BB20" s="53">
        <v>35.356405720263822</v>
      </c>
      <c r="BC20" s="53">
        <v>36.169603051829888</v>
      </c>
      <c r="BD20" s="53">
        <v>37.001503922021968</v>
      </c>
      <c r="BE20" s="53">
        <v>37.85253851222847</v>
      </c>
      <c r="BF20" s="53">
        <v>38.723146898009716</v>
      </c>
      <c r="BG20" s="53">
        <v>39.613779276663941</v>
      </c>
      <c r="BH20" s="53">
        <v>40.524896200027207</v>
      </c>
      <c r="BI20" s="53">
        <v>41.456968812627828</v>
      </c>
      <c r="BJ20" s="53">
        <v>42.410479095318259</v>
      </c>
      <c r="BK20" s="53">
        <v>43.385920114510576</v>
      </c>
      <c r="BL20" s="53">
        <v>44.383796277144313</v>
      </c>
      <c r="BM20" s="53">
        <v>45.404623591518629</v>
      </c>
      <c r="BN20" s="53">
        <v>46.448929934123555</v>
      </c>
      <c r="BO20" s="53">
        <v>47.517255322608392</v>
      </c>
      <c r="BP20" s="53">
        <v>48.610152195028377</v>
      </c>
      <c r="BQ20" s="53">
        <v>49.728185695514021</v>
      </c>
      <c r="BR20" s="53">
        <v>50.871933966510845</v>
      </c>
      <c r="BS20" s="53">
        <v>52.041988447740586</v>
      </c>
      <c r="BT20" s="53">
        <v>53.238954182038611</v>
      </c>
      <c r="BU20" s="53">
        <v>54.463450128225503</v>
      </c>
      <c r="BV20" s="53">
        <v>55.716109481174684</v>
      </c>
      <c r="BW20" s="53">
        <v>56.997579999241694</v>
      </c>
      <c r="BX20" s="53">
        <v>58.308524339224249</v>
      </c>
      <c r="BY20" s="53">
        <v>59.649620399026404</v>
      </c>
      <c r="BZ20" s="53">
        <v>61.021561668204008</v>
      </c>
      <c r="CA20" s="53">
        <v>62.425057586572692</v>
      </c>
      <c r="CB20" s="53">
        <v>63.860833911063864</v>
      </c>
      <c r="CC20" s="53">
        <v>65.329633091018323</v>
      </c>
      <c r="CD20" s="53">
        <v>66.832214652111745</v>
      </c>
      <c r="CE20" s="53">
        <v>68.369355589110299</v>
      </c>
      <c r="CF20" s="53">
        <v>69.941850767659844</v>
      </c>
      <c r="CG20" s="53">
        <v>71.550513335316012</v>
      </c>
      <c r="CH20" s="53">
        <v>73.196175142028267</v>
      </c>
      <c r="CI20" s="53">
        <v>74.879687170294915</v>
      </c>
      <c r="CJ20" s="53">
        <v>76.601919975211686</v>
      </c>
      <c r="CK20" s="53">
        <v>78.363764134641542</v>
      </c>
    </row>
    <row r="21" spans="3:89" ht="14.5">
      <c r="C21" t="s">
        <v>6</v>
      </c>
      <c r="D21" t="str">
        <f>_xlfn.TEXTJOIN(",",TRUE,Regions!$C$3)</f>
        <v>IE</v>
      </c>
      <c r="E21" t="s">
        <v>43</v>
      </c>
      <c r="F21" t="s">
        <v>44</v>
      </c>
      <c r="G21" s="52">
        <f>VLOOKUP(E21,'BY-Demands'!$I$6:$J$42,2,FALSE)</f>
        <v>7.7105748259750104</v>
      </c>
      <c r="H21" s="53">
        <v>10.277153740875089</v>
      </c>
      <c r="I21" s="53">
        <v>3.3705919303064187</v>
      </c>
      <c r="J21" s="53">
        <v>8.6157094085103783</v>
      </c>
      <c r="K21" s="53">
        <v>7.6814227047944605</v>
      </c>
      <c r="L21" s="53">
        <f t="shared" si="47" ref="L21:R21">K21-($H$21/11)</f>
        <v>6.7471360010785428</v>
      </c>
      <c r="M21" s="53">
        <f t="shared" si="47"/>
        <v>5.8128492973626251</v>
      </c>
      <c r="N21" s="53">
        <f t="shared" si="47"/>
        <v>4.8785625936467074</v>
      </c>
      <c r="O21" s="53">
        <f t="shared" si="47"/>
        <v>3.9442758899307901</v>
      </c>
      <c r="P21" s="53">
        <f t="shared" si="47"/>
        <v>3.0099891862148729</v>
      </c>
      <c r="Q21" s="53">
        <f t="shared" si="47"/>
        <v>2.0757024824989556</v>
      </c>
      <c r="R21" s="53">
        <f t="shared" si="47"/>
        <v>1.1414157787830383</v>
      </c>
      <c r="S21" s="53">
        <v>0</v>
      </c>
      <c r="T21" s="53"/>
      <c r="U21" s="53"/>
      <c r="V21" s="53"/>
      <c r="W21" s="53"/>
      <c r="X21" s="53">
        <v>0</v>
      </c>
      <c r="Y21" s="53"/>
      <c r="Z21" s="53"/>
      <c r="AA21" s="53"/>
      <c r="AB21" s="53"/>
      <c r="AC21" s="53">
        <v>0</v>
      </c>
      <c r="AD21" s="53"/>
      <c r="AE21" s="53"/>
      <c r="AF21" s="53"/>
      <c r="AG21" s="53"/>
      <c r="AH21" s="53">
        <v>0</v>
      </c>
      <c r="AI21" s="53"/>
      <c r="AJ21" s="53"/>
      <c r="AK21" s="53"/>
      <c r="AL21" s="53"/>
      <c r="AM21" s="53">
        <v>0</v>
      </c>
      <c r="AN21" s="53"/>
      <c r="AO21" s="53"/>
      <c r="AP21" s="53"/>
      <c r="AQ21" s="53"/>
      <c r="AR21" s="53">
        <v>0</v>
      </c>
      <c r="AS21" s="53"/>
      <c r="AT21" s="53"/>
      <c r="AU21" s="53"/>
      <c r="AV21" s="53"/>
      <c r="AW21" s="53">
        <v>0</v>
      </c>
      <c r="AX21" s="53"/>
      <c r="AY21" s="53"/>
      <c r="AZ21" s="53"/>
      <c r="BA21" s="53"/>
      <c r="BB21" s="53">
        <v>0</v>
      </c>
      <c r="BC21" s="53"/>
      <c r="BD21" s="53"/>
      <c r="BE21" s="53"/>
      <c r="BF21" s="53"/>
      <c r="BG21" s="53">
        <v>0</v>
      </c>
      <c r="BH21" s="53"/>
      <c r="BI21" s="53"/>
      <c r="BJ21" s="53"/>
      <c r="BK21" s="53"/>
      <c r="BL21" s="53">
        <v>0</v>
      </c>
      <c r="BM21" s="53"/>
      <c r="BN21" s="53"/>
      <c r="BO21" s="53"/>
      <c r="BP21" s="53"/>
      <c r="BQ21" s="53">
        <v>0</v>
      </c>
      <c r="BR21" s="53"/>
      <c r="BS21" s="53"/>
      <c r="BT21" s="53"/>
      <c r="BU21" s="53"/>
      <c r="BV21" s="53">
        <v>0</v>
      </c>
      <c r="BW21" s="53"/>
      <c r="BX21" s="53"/>
      <c r="BY21" s="53"/>
      <c r="BZ21" s="53"/>
      <c r="CA21" s="53">
        <v>0</v>
      </c>
      <c r="CB21" s="53"/>
      <c r="CC21" s="53"/>
      <c r="CD21" s="53"/>
      <c r="CE21" s="53"/>
      <c r="CF21" s="53">
        <v>0</v>
      </c>
      <c r="CG21" s="53"/>
      <c r="CH21" s="53"/>
      <c r="CI21" s="53"/>
      <c r="CJ21" s="53"/>
      <c r="CK21" s="53">
        <v>0</v>
      </c>
    </row>
    <row r="22" spans="3:89" ht="14.5">
      <c r="C22" t="s">
        <v>6</v>
      </c>
      <c r="D22" t="str">
        <f>_xlfn.TEXTJOIN(",",TRUE,Regions!$C$3)</f>
        <v>IE</v>
      </c>
      <c r="E22" t="s">
        <v>45</v>
      </c>
      <c r="F22" t="s">
        <v>46</v>
      </c>
      <c r="G22" s="52">
        <f>VLOOKUP(E22,'BY-Demands'!$I$6:$J$42,2,FALSE)</f>
        <v>3.5132998087277101</v>
      </c>
      <c r="H22" s="53">
        <v>3.7418117054559139</v>
      </c>
      <c r="I22" s="53">
        <v>4.5759806863218264</v>
      </c>
      <c r="J22" s="53">
        <v>5.0500849492972852</v>
      </c>
      <c r="K22" s="53">
        <v>4.6611834502685596</v>
      </c>
      <c r="L22" s="53">
        <v>4.8042664418927696</v>
      </c>
      <c r="M22" s="53">
        <v>4.9555896582088499</v>
      </c>
      <c r="N22" s="53">
        <v>5.1129502074838999</v>
      </c>
      <c r="O22" s="53">
        <v>5.2752039056523996</v>
      </c>
      <c r="P22" s="53">
        <v>5.4414060135777298</v>
      </c>
      <c r="Q22" s="53">
        <v>5.6117259844700902</v>
      </c>
      <c r="R22" s="53">
        <v>5.7862882839617802</v>
      </c>
      <c r="S22" s="53">
        <v>5.9645530611175701</v>
      </c>
      <c r="T22" s="53">
        <v>6.1457480291828999</v>
      </c>
      <c r="U22" s="53">
        <v>6.3299271732513001</v>
      </c>
      <c r="V22" s="53">
        <v>6.5164111808959202</v>
      </c>
      <c r="W22" s="53">
        <v>6.7046092152599002</v>
      </c>
      <c r="X22" s="53">
        <v>6.8941328835870399</v>
      </c>
      <c r="Y22" s="53">
        <v>7.0848817136199704</v>
      </c>
      <c r="Z22" s="53">
        <v>7.2761374036976303</v>
      </c>
      <c r="AA22" s="53">
        <v>7.4682763498887699</v>
      </c>
      <c r="AB22" s="53">
        <v>7.6618204080974204</v>
      </c>
      <c r="AC22" s="53">
        <v>7.8573484184930402</v>
      </c>
      <c r="AD22" s="53">
        <v>8.0554527175184294</v>
      </c>
      <c r="AE22" s="53">
        <v>8.2566896515540797</v>
      </c>
      <c r="AF22" s="53">
        <v>8.4615630814728604</v>
      </c>
      <c r="AG22" s="53">
        <v>8.6705693702179794</v>
      </c>
      <c r="AH22" s="53">
        <v>8.8842603654121408</v>
      </c>
      <c r="AI22" s="53">
        <v>9.1033168790680801</v>
      </c>
      <c r="AJ22" s="53">
        <v>9.3273565167733494</v>
      </c>
      <c r="AK22" s="53">
        <v>9.5573045230475095</v>
      </c>
      <c r="AL22" s="53">
        <v>9.7942615939640305</v>
      </c>
      <c r="AM22" s="53">
        <v>10.039412402408599</v>
      </c>
      <c r="AN22" s="53">
        <v>10.293860643626401</v>
      </c>
      <c r="AO22" s="53">
        <v>10.5584100956768</v>
      </c>
      <c r="AP22" s="53">
        <v>10.833663592103999</v>
      </c>
      <c r="AQ22" s="53">
        <v>11.1201369904683</v>
      </c>
      <c r="AR22" s="53">
        <v>11.4183281532989</v>
      </c>
      <c r="AS22" s="53">
        <v>11.7286584642425</v>
      </c>
      <c r="AT22" s="53">
        <v>12.051195404665901</v>
      </c>
      <c r="AU22" s="53">
        <v>12.3857005404062</v>
      </c>
      <c r="AV22" s="53">
        <v>12.7317569865743</v>
      </c>
      <c r="AW22" s="53">
        <v>13.088970352070501</v>
      </c>
      <c r="AX22" s="53">
        <v>12.461582160250099</v>
      </c>
      <c r="AY22" s="53">
        <v>12.666563648039499</v>
      </c>
      <c r="AZ22" s="53">
        <v>12.871545135828899</v>
      </c>
      <c r="BA22" s="53">
        <v>13.0765266236182</v>
      </c>
      <c r="BB22" s="53">
        <v>13.281508111407501</v>
      </c>
      <c r="BC22" s="53">
        <v>13.486489599196901</v>
      </c>
      <c r="BD22" s="53">
        <v>13.6914710869862</v>
      </c>
      <c r="BE22" s="53">
        <v>13.8964525747756</v>
      </c>
      <c r="BF22" s="53">
        <v>14.101434062565</v>
      </c>
      <c r="BG22" s="53">
        <v>14.3064155503543</v>
      </c>
      <c r="BH22" s="53">
        <v>14.511397038143601</v>
      </c>
      <c r="BI22" s="53">
        <v>14.716378525933001</v>
      </c>
      <c r="BJ22" s="53">
        <v>14.921360013722399</v>
      </c>
      <c r="BK22" s="53">
        <v>15.1263415015117</v>
      </c>
      <c r="BL22" s="53">
        <v>15.3313229893011</v>
      </c>
      <c r="BM22" s="53">
        <v>15.5363044770905</v>
      </c>
      <c r="BN22" s="53">
        <v>15.7412859648798</v>
      </c>
      <c r="BO22" s="53">
        <v>15.946267452669099</v>
      </c>
      <c r="BP22" s="53">
        <v>16.151248940458501</v>
      </c>
      <c r="BQ22" s="53">
        <v>16.356230428247802</v>
      </c>
      <c r="BR22" s="53">
        <v>16.561211916037202</v>
      </c>
      <c r="BS22" s="53">
        <v>16.766193403826598</v>
      </c>
      <c r="BT22" s="53">
        <v>16.971174891615899</v>
      </c>
      <c r="BU22" s="53">
        <v>17.176156379405199</v>
      </c>
      <c r="BV22" s="53">
        <v>17.3811378671946</v>
      </c>
      <c r="BW22" s="53">
        <v>17.586119354984</v>
      </c>
      <c r="BX22" s="53">
        <v>17.7911008427733</v>
      </c>
      <c r="BY22" s="53">
        <v>17.9960823305627</v>
      </c>
      <c r="BZ22" s="53">
        <v>18.201063818352001</v>
      </c>
      <c r="CA22" s="53">
        <v>18.406045306141401</v>
      </c>
      <c r="CB22" s="53">
        <v>18.611026793930701</v>
      </c>
      <c r="CC22" s="53">
        <v>18.816008281720102</v>
      </c>
      <c r="CD22" s="53">
        <v>19.020989769509399</v>
      </c>
      <c r="CE22" s="53">
        <v>19.225971257298799</v>
      </c>
      <c r="CF22" s="53">
        <v>19.430952745088199</v>
      </c>
      <c r="CG22" s="53">
        <v>19.635934232877499</v>
      </c>
      <c r="CH22" s="53">
        <v>19.8409157206668</v>
      </c>
      <c r="CI22" s="53">
        <v>20.0458972084562</v>
      </c>
      <c r="CJ22" s="53">
        <v>20.2508786962456</v>
      </c>
      <c r="CK22" s="53">
        <v>20.455860184034901</v>
      </c>
    </row>
    <row r="23" spans="3:89" ht="14.5">
      <c r="C23" t="s">
        <v>6</v>
      </c>
      <c r="D23" t="str">
        <f>_xlfn.TEXTJOIN(",",TRUE,Regions!$C$3)</f>
        <v>IE</v>
      </c>
      <c r="E23" t="s">
        <v>47</v>
      </c>
      <c r="F23" t="s">
        <v>48</v>
      </c>
      <c r="G23" s="52">
        <f>VLOOKUP(E23,'BY-Demands'!$I$6:$J$42,2,FALSE)</f>
        <v>20.831454920682301</v>
      </c>
      <c r="H23" s="53">
        <v>16.657128777768676</v>
      </c>
      <c r="I23" s="53">
        <v>22.750457116443403</v>
      </c>
      <c r="J23" s="53">
        <v>15.130660002348661</v>
      </c>
      <c r="K23" s="53">
        <v>13.161374650000001</v>
      </c>
      <c r="L23" s="53">
        <v>12.48596777</v>
      </c>
      <c r="M23" s="53">
        <v>11.082962500000001</v>
      </c>
      <c r="N23" s="53">
        <v>8.6768985000000001</v>
      </c>
      <c r="O23" s="53">
        <v>5.6468117209999997</v>
      </c>
      <c r="P23" s="53">
        <v>3.024291002</v>
      </c>
      <c r="Q23" s="53">
        <v>1.39538575</v>
      </c>
      <c r="R23" s="53">
        <v>0.58209679999999997</v>
      </c>
      <c r="S23" s="53">
        <v>0</v>
      </c>
      <c r="T23" s="53"/>
      <c r="U23" s="53"/>
      <c r="V23" s="53"/>
      <c r="W23" s="53"/>
      <c r="X23" s="53">
        <v>0</v>
      </c>
      <c r="Y23" s="53"/>
      <c r="Z23" s="53"/>
      <c r="AA23" s="53"/>
      <c r="AB23" s="53"/>
      <c r="AC23" s="53">
        <v>0</v>
      </c>
      <c r="AD23" s="53"/>
      <c r="AE23" s="53"/>
      <c r="AF23" s="53"/>
      <c r="AG23" s="53"/>
      <c r="AH23" s="53">
        <v>0</v>
      </c>
      <c r="AI23" s="53"/>
      <c r="AJ23" s="53"/>
      <c r="AK23" s="53"/>
      <c r="AL23" s="53"/>
      <c r="AM23" s="53">
        <v>0</v>
      </c>
      <c r="AN23" s="53"/>
      <c r="AO23" s="53"/>
      <c r="AP23" s="53"/>
      <c r="AQ23" s="53"/>
      <c r="AR23" s="53">
        <v>0</v>
      </c>
      <c r="AS23" s="53"/>
      <c r="AT23" s="53"/>
      <c r="AU23" s="53"/>
      <c r="AV23" s="53"/>
      <c r="AW23" s="53">
        <v>0</v>
      </c>
      <c r="AX23" s="53"/>
      <c r="AY23" s="53"/>
      <c r="AZ23" s="53"/>
      <c r="BA23" s="53"/>
      <c r="BB23" s="53">
        <v>0</v>
      </c>
      <c r="BC23" s="53"/>
      <c r="BD23" s="53"/>
      <c r="BE23" s="53"/>
      <c r="BF23" s="53"/>
      <c r="BG23" s="53">
        <v>0</v>
      </c>
      <c r="BH23" s="53"/>
      <c r="BI23" s="53"/>
      <c r="BJ23" s="53"/>
      <c r="BK23" s="53"/>
      <c r="BL23" s="53">
        <v>0</v>
      </c>
      <c r="BM23" s="53"/>
      <c r="BN23" s="53"/>
      <c r="BO23" s="53"/>
      <c r="BP23" s="53"/>
      <c r="BQ23" s="53">
        <v>0</v>
      </c>
      <c r="BR23" s="53"/>
      <c r="BS23" s="53"/>
      <c r="BT23" s="53"/>
      <c r="BU23" s="53"/>
      <c r="BV23" s="53">
        <v>0</v>
      </c>
      <c r="BW23" s="53"/>
      <c r="BX23" s="53"/>
      <c r="BY23" s="53"/>
      <c r="BZ23" s="53"/>
      <c r="CA23" s="53">
        <v>0</v>
      </c>
      <c r="CB23" s="53"/>
      <c r="CC23" s="53"/>
      <c r="CD23" s="53"/>
      <c r="CE23" s="53"/>
      <c r="CF23" s="53">
        <v>0</v>
      </c>
      <c r="CG23" s="53"/>
      <c r="CH23" s="53"/>
      <c r="CI23" s="53"/>
      <c r="CJ23" s="53"/>
      <c r="CK23" s="53">
        <v>0</v>
      </c>
    </row>
    <row r="24" spans="3:89" ht="14.5">
      <c r="C24" t="s">
        <v>6</v>
      </c>
      <c r="D24" t="str">
        <f>_xlfn.TEXTJOIN(",",TRUE,Regions!$C$3)</f>
        <v>IE</v>
      </c>
      <c r="E24" t="s">
        <v>49</v>
      </c>
      <c r="F24" t="s">
        <v>50</v>
      </c>
      <c r="G24" s="52">
        <f>VLOOKUP(E24,'BY-Demands'!$I$6:$J$42,2,FALSE)</f>
        <v>0.23349320028657899</v>
      </c>
      <c r="H24" s="53">
        <v>0.25090920347352241</v>
      </c>
      <c r="I24" s="53">
        <v>0.11004689080374389</v>
      </c>
      <c r="J24" s="53">
        <v>0.12006442123265494</v>
      </c>
      <c r="K24" s="53">
        <v>0.23</v>
      </c>
      <c r="L24" s="53">
        <v>0.23</v>
      </c>
      <c r="M24" s="53">
        <v>0.23</v>
      </c>
      <c r="N24" s="53">
        <v>0.23</v>
      </c>
      <c r="O24" s="53">
        <v>0.23</v>
      </c>
      <c r="P24" s="53">
        <v>0.23</v>
      </c>
      <c r="Q24" s="53">
        <v>0.23</v>
      </c>
      <c r="R24" s="53">
        <v>0.23</v>
      </c>
      <c r="S24" s="53">
        <v>0.23</v>
      </c>
      <c r="T24" s="53">
        <v>0.23</v>
      </c>
      <c r="U24" s="53">
        <v>0.23</v>
      </c>
      <c r="V24" s="53">
        <v>0.23</v>
      </c>
      <c r="W24" s="53">
        <v>0.23</v>
      </c>
      <c r="X24" s="53">
        <v>0.23</v>
      </c>
      <c r="Y24" s="53">
        <v>0.23</v>
      </c>
      <c r="Z24" s="53">
        <v>0.23</v>
      </c>
      <c r="AA24" s="53">
        <v>0.23</v>
      </c>
      <c r="AB24" s="53">
        <v>0.23</v>
      </c>
      <c r="AC24" s="53">
        <v>0.23</v>
      </c>
      <c r="AD24" s="53">
        <v>0.23</v>
      </c>
      <c r="AE24" s="53">
        <v>0.23</v>
      </c>
      <c r="AF24" s="53">
        <v>0.23</v>
      </c>
      <c r="AG24" s="53">
        <v>0.23</v>
      </c>
      <c r="AH24" s="53">
        <v>0.23</v>
      </c>
      <c r="AI24" s="53">
        <v>0.23</v>
      </c>
      <c r="AJ24" s="53">
        <v>0.23</v>
      </c>
      <c r="AK24" s="53">
        <v>0.23</v>
      </c>
      <c r="AL24" s="53">
        <v>0.23</v>
      </c>
      <c r="AM24" s="53">
        <v>0.23</v>
      </c>
      <c r="AN24" s="53">
        <v>0.23</v>
      </c>
      <c r="AO24" s="53">
        <v>0.23</v>
      </c>
      <c r="AP24" s="53">
        <v>0.23</v>
      </c>
      <c r="AQ24" s="53">
        <v>0.23</v>
      </c>
      <c r="AR24" s="53">
        <v>0.23</v>
      </c>
      <c r="AS24" s="53">
        <v>0.23</v>
      </c>
      <c r="AT24" s="53">
        <v>0.23</v>
      </c>
      <c r="AU24" s="53">
        <v>0.23</v>
      </c>
      <c r="AV24" s="53">
        <v>0.23</v>
      </c>
      <c r="AW24" s="53">
        <v>0.23</v>
      </c>
      <c r="AX24" s="53">
        <v>0.23</v>
      </c>
      <c r="AY24" s="53">
        <v>0.23</v>
      </c>
      <c r="AZ24" s="53">
        <v>0.23</v>
      </c>
      <c r="BA24" s="53">
        <v>0.23</v>
      </c>
      <c r="BB24" s="53">
        <v>0.23</v>
      </c>
      <c r="BC24" s="53">
        <v>0.23</v>
      </c>
      <c r="BD24" s="53">
        <v>0.23</v>
      </c>
      <c r="BE24" s="53">
        <v>0.23</v>
      </c>
      <c r="BF24" s="53">
        <v>0.23</v>
      </c>
      <c r="BG24" s="53">
        <v>0.23</v>
      </c>
      <c r="BH24" s="53">
        <v>0.23</v>
      </c>
      <c r="BI24" s="53">
        <v>0.23</v>
      </c>
      <c r="BJ24" s="53">
        <v>0.23</v>
      </c>
      <c r="BK24" s="53">
        <v>0.23</v>
      </c>
      <c r="BL24" s="53">
        <v>0.23</v>
      </c>
      <c r="BM24" s="53">
        <v>0.23</v>
      </c>
      <c r="BN24" s="53">
        <v>0.23</v>
      </c>
      <c r="BO24" s="53">
        <v>0.23</v>
      </c>
      <c r="BP24" s="53">
        <v>0.23</v>
      </c>
      <c r="BQ24" s="53">
        <v>0.23</v>
      </c>
      <c r="BR24" s="53">
        <v>0.23</v>
      </c>
      <c r="BS24" s="53">
        <v>0.23</v>
      </c>
      <c r="BT24" s="53">
        <v>0.23</v>
      </c>
      <c r="BU24" s="53">
        <v>0.23</v>
      </c>
      <c r="BV24" s="53">
        <v>0.23</v>
      </c>
      <c r="BW24" s="53">
        <v>0.23</v>
      </c>
      <c r="BX24" s="53">
        <v>0.23</v>
      </c>
      <c r="BY24" s="53">
        <v>0.23</v>
      </c>
      <c r="BZ24" s="53">
        <v>0.23</v>
      </c>
      <c r="CA24" s="53">
        <v>0.23</v>
      </c>
      <c r="CB24" s="53">
        <v>0.23</v>
      </c>
      <c r="CC24" s="53">
        <v>0.23</v>
      </c>
      <c r="CD24" s="53">
        <v>0.23</v>
      </c>
      <c r="CE24" s="53">
        <v>0.23</v>
      </c>
      <c r="CF24" s="53">
        <v>0.23</v>
      </c>
      <c r="CG24" s="53">
        <v>0.23</v>
      </c>
      <c r="CH24" s="53">
        <v>0.23</v>
      </c>
      <c r="CI24" s="53">
        <v>0.23</v>
      </c>
      <c r="CJ24" s="53">
        <v>0.23</v>
      </c>
      <c r="CK24" s="53">
        <v>0.23</v>
      </c>
    </row>
    <row r="25" spans="3:89" ht="14.5">
      <c r="C25" t="s">
        <v>6</v>
      </c>
      <c r="D25" t="str">
        <f>_xlfn.TEXTJOIN(",",TRUE,Regions!$C$3)</f>
        <v>IE</v>
      </c>
      <c r="E25" t="s">
        <v>51</v>
      </c>
      <c r="F25" t="s">
        <v>52</v>
      </c>
      <c r="G25" s="52">
        <f>VLOOKUP(E25,'BY-Demands'!$I$6:$J$42,2,FALSE)</f>
        <v>45.9683637522608</v>
      </c>
      <c r="H25" s="53">
        <v>46.490627829341264</v>
      </c>
      <c r="I25" s="53">
        <v>16.580491392971403</v>
      </c>
      <c r="J25" s="53">
        <v>18.575720244415919</v>
      </c>
      <c r="K25" s="53">
        <v>48.192396850000002</v>
      </c>
      <c r="L25" s="53">
        <v>48.860779260000001</v>
      </c>
      <c r="M25" s="53">
        <v>49.515792400000002</v>
      </c>
      <c r="N25" s="53">
        <v>50.15770371</v>
      </c>
      <c r="O25" s="53">
        <v>50.786775239999997</v>
      </c>
      <c r="P25" s="53">
        <v>51.403263819999999</v>
      </c>
      <c r="Q25" s="53">
        <v>52.007421139999998</v>
      </c>
      <c r="R25" s="53">
        <v>52.599493860000003</v>
      </c>
      <c r="S25" s="53">
        <v>53.179723690000003</v>
      </c>
      <c r="T25" s="53">
        <v>53.748347529999997</v>
      </c>
      <c r="U25" s="53">
        <v>54.305597519999999</v>
      </c>
      <c r="V25" s="53">
        <v>54.851701169999998</v>
      </c>
      <c r="W25" s="53">
        <v>55.386881420000002</v>
      </c>
      <c r="X25" s="53">
        <v>55.911356779999998</v>
      </c>
      <c r="Y25" s="53">
        <v>56.425341359999997</v>
      </c>
      <c r="Z25" s="53">
        <v>56.929045010000003</v>
      </c>
      <c r="AA25" s="53">
        <v>57.422673379999999</v>
      </c>
      <c r="AB25" s="53">
        <v>57.906427979999997</v>
      </c>
      <c r="AC25" s="53">
        <v>58.380506330000003</v>
      </c>
      <c r="AD25" s="53">
        <v>58.845101960000001</v>
      </c>
      <c r="AE25" s="53">
        <v>59.300404559999997</v>
      </c>
      <c r="AF25" s="53">
        <v>59.746600020000002</v>
      </c>
      <c r="AG25" s="53">
        <v>60.183870480000003</v>
      </c>
      <c r="AH25" s="53">
        <v>60.612394479999999</v>
      </c>
      <c r="AI25" s="53">
        <v>61.032346969999999</v>
      </c>
      <c r="AJ25" s="53">
        <v>61.443899389999999</v>
      </c>
      <c r="AK25" s="53">
        <v>61.847219770000002</v>
      </c>
      <c r="AL25" s="53">
        <v>62.242472769999999</v>
      </c>
      <c r="AM25" s="53">
        <v>62.629819759999997</v>
      </c>
      <c r="AN25" s="53">
        <v>63.009418869999998</v>
      </c>
      <c r="AO25" s="53">
        <v>63.38142509</v>
      </c>
      <c r="AP25" s="53">
        <v>63.745990280000001</v>
      </c>
      <c r="AQ25" s="53">
        <v>64.103263290000001</v>
      </c>
      <c r="AR25" s="53">
        <v>64.453389970000003</v>
      </c>
      <c r="AS25" s="53">
        <v>64.796513279999999</v>
      </c>
      <c r="AT25" s="53">
        <v>65.132773299999997</v>
      </c>
      <c r="AU25" s="53">
        <v>65.462307300000006</v>
      </c>
      <c r="AV25" s="53">
        <v>65.785249820000004</v>
      </c>
      <c r="AW25" s="53">
        <v>66.101732720000001</v>
      </c>
      <c r="AX25" s="53">
        <v>66.4118852</v>
      </c>
      <c r="AY25" s="53">
        <v>66.715833869999997</v>
      </c>
      <c r="AZ25" s="53">
        <v>67.013702850000001</v>
      </c>
      <c r="BA25" s="53">
        <v>67.305613719999997</v>
      </c>
      <c r="BB25" s="53">
        <v>67.591685670000004</v>
      </c>
      <c r="BC25" s="53">
        <v>67.872035490000002</v>
      </c>
      <c r="BD25" s="53">
        <v>68.146777639999996</v>
      </c>
      <c r="BE25" s="53">
        <v>68.416024280000002</v>
      </c>
      <c r="BF25" s="53">
        <v>68.679885339999998</v>
      </c>
      <c r="BG25" s="53">
        <v>68.938468540000002</v>
      </c>
      <c r="BH25" s="53">
        <v>69.191879450000002</v>
      </c>
      <c r="BI25" s="53">
        <v>69.440221539999996</v>
      </c>
      <c r="BJ25" s="53">
        <v>69.683596179999995</v>
      </c>
      <c r="BK25" s="53">
        <v>69.92210274</v>
      </c>
      <c r="BL25" s="53">
        <v>70.155838599999996</v>
      </c>
      <c r="BM25" s="53">
        <v>70.384899169999997</v>
      </c>
      <c r="BN25" s="53">
        <v>70.609377989999999</v>
      </c>
      <c r="BO25" s="53">
        <v>70.829366680000007</v>
      </c>
      <c r="BP25" s="53">
        <v>71.04495507</v>
      </c>
      <c r="BQ25" s="53">
        <v>71.256231170000007</v>
      </c>
      <c r="BR25" s="53">
        <v>71.463281230000007</v>
      </c>
      <c r="BS25" s="53">
        <v>71.666189799999998</v>
      </c>
      <c r="BT25" s="53">
        <v>71.865039710000005</v>
      </c>
      <c r="BU25" s="53">
        <v>72.059912139999994</v>
      </c>
      <c r="BV25" s="53">
        <v>72.250886649999998</v>
      </c>
      <c r="BW25" s="53">
        <v>72.438041200000001</v>
      </c>
      <c r="BX25" s="53">
        <v>72.621452219999995</v>
      </c>
      <c r="BY25" s="53">
        <v>72.801194570000007</v>
      </c>
      <c r="BZ25" s="53">
        <v>72.977341640000006</v>
      </c>
      <c r="CA25" s="53">
        <v>73.149965350000002</v>
      </c>
      <c r="CB25" s="53">
        <v>73.319136159999999</v>
      </c>
      <c r="CC25" s="53">
        <v>73.48492315</v>
      </c>
      <c r="CD25" s="53">
        <v>73.647394009999999</v>
      </c>
      <c r="CE25" s="53">
        <v>73.806615050000005</v>
      </c>
      <c r="CF25" s="53">
        <v>73.962651280000003</v>
      </c>
      <c r="CG25" s="53">
        <v>74.115566419999993</v>
      </c>
      <c r="CH25" s="53">
        <v>74.265422880000003</v>
      </c>
      <c r="CI25" s="53">
        <v>74.412281849999999</v>
      </c>
      <c r="CJ25" s="53">
        <v>74.556203289999999</v>
      </c>
      <c r="CK25" s="53">
        <v>74.697245960000004</v>
      </c>
    </row>
    <row r="26" spans="3:89" ht="14.5">
      <c r="C26" t="s">
        <v>6</v>
      </c>
      <c r="D26" t="str">
        <f>_xlfn.TEXTJOIN(",",TRUE,Regions!$C$3,Regions!$D$3)</f>
        <v>IE,National</v>
      </c>
      <c r="E26" t="s">
        <v>53</v>
      </c>
      <c r="F26" s="35" t="s">
        <v>54</v>
      </c>
      <c r="G26" s="52">
        <f>VLOOKUP(E26,'BY-Demands'!$I$6:$J$42,2,FALSE)</f>
        <v>211.819885</v>
      </c>
      <c r="H26" s="53">
        <v>227.33367966704699</v>
      </c>
      <c r="I26" s="53">
        <v>234.01489904006499</v>
      </c>
      <c r="J26" s="53">
        <v>250.52243040236399</v>
      </c>
      <c r="K26" s="53">
        <v>265.47273899323898</v>
      </c>
      <c r="L26" s="53">
        <v>279.23643876610601</v>
      </c>
      <c r="M26" s="53">
        <v>291.97758934464099</v>
      </c>
      <c r="N26" s="53">
        <v>303.745747309416</v>
      </c>
      <c r="O26" s="53">
        <v>314.88867210903697</v>
      </c>
      <c r="P26" s="53">
        <v>325.448418136599</v>
      </c>
      <c r="Q26" s="53">
        <v>335.72138230120601</v>
      </c>
      <c r="R26" s="53">
        <v>345.60194314472</v>
      </c>
      <c r="S26" s="53">
        <v>355.09166996739799</v>
      </c>
      <c r="T26" s="53">
        <v>372.33998569365798</v>
      </c>
      <c r="U26" s="53">
        <v>385.16674421872602</v>
      </c>
      <c r="V26" s="53">
        <v>398.22461473825501</v>
      </c>
      <c r="W26" s="53">
        <v>411.45770972769901</v>
      </c>
      <c r="X26" s="53">
        <v>424.76161479887702</v>
      </c>
      <c r="Y26" s="53">
        <v>438.12862011422999</v>
      </c>
      <c r="Z26" s="53">
        <v>451.68804802308699</v>
      </c>
      <c r="AA26" s="53">
        <v>465.40875684082903</v>
      </c>
      <c r="AB26" s="53">
        <v>479.13103817121703</v>
      </c>
      <c r="AC26" s="53">
        <v>492.828423833106</v>
      </c>
      <c r="AD26" s="53">
        <v>496.36472594874499</v>
      </c>
      <c r="AE26" s="53">
        <v>514.52001380752995</v>
      </c>
      <c r="AF26" s="53">
        <v>530.17405404626902</v>
      </c>
      <c r="AG26" s="53">
        <v>544.19495314722303</v>
      </c>
      <c r="AH26" s="53">
        <v>558.26962802562196</v>
      </c>
      <c r="AI26" s="53">
        <v>572.38852326507094</v>
      </c>
      <c r="AJ26" s="53">
        <v>586.53294139438299</v>
      </c>
      <c r="AK26" s="53">
        <v>600.68795864299398</v>
      </c>
      <c r="AL26" s="53">
        <v>614.82387830734103</v>
      </c>
      <c r="AM26" s="53">
        <v>628.93152164032301</v>
      </c>
      <c r="AN26" s="53">
        <v>643.00410262211005</v>
      </c>
      <c r="AO26" s="53">
        <v>657.18423969818502</v>
      </c>
      <c r="AP26" s="53">
        <v>671.35750183642006</v>
      </c>
      <c r="AQ26" s="53">
        <v>685.53131059817395</v>
      </c>
      <c r="AR26" s="53">
        <v>699.71894911636105</v>
      </c>
      <c r="AS26" s="53">
        <v>713.92554497696096</v>
      </c>
      <c r="AT26" s="53">
        <v>728.15328995631603</v>
      </c>
      <c r="AU26" s="53">
        <v>742.41918629131999</v>
      </c>
      <c r="AV26" s="53">
        <v>756.73941793789504</v>
      </c>
      <c r="AW26" s="53">
        <v>771.13301065931898</v>
      </c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</row>
    <row r="27" spans="3:89" ht="14.5">
      <c r="C27" t="s">
        <v>6</v>
      </c>
      <c r="D27" t="str">
        <f>_xlfn.TEXTJOIN(",",TRUE,Regions!$C$3,Regions!$D$3)</f>
        <v>IE,National</v>
      </c>
      <c r="E27" t="s">
        <v>55</v>
      </c>
      <c r="F27" s="35" t="s">
        <v>56</v>
      </c>
      <c r="G27" s="52">
        <f>VLOOKUP(E27,'BY-Demands'!$I$6:$J$42,2,FALSE)</f>
        <v>788.06472099999996</v>
      </c>
      <c r="H27" s="53">
        <v>805.70916346620595</v>
      </c>
      <c r="I27" s="53">
        <v>818.79213614191099</v>
      </c>
      <c r="J27" s="53">
        <v>828.23348265178799</v>
      </c>
      <c r="K27" s="53">
        <v>837.71211748108306</v>
      </c>
      <c r="L27" s="53">
        <v>847.44596259241098</v>
      </c>
      <c r="M27" s="53">
        <v>857.22660991181897</v>
      </c>
      <c r="N27" s="53">
        <v>866.69288183161598</v>
      </c>
      <c r="O27" s="53">
        <v>876.45317782380505</v>
      </c>
      <c r="P27" s="53">
        <v>886.30184769788696</v>
      </c>
      <c r="Q27" s="53">
        <v>896.78868422421601</v>
      </c>
      <c r="R27" s="53">
        <v>907.41397234982298</v>
      </c>
      <c r="S27" s="53">
        <v>918.02415110284801</v>
      </c>
      <c r="T27" s="53">
        <v>926.06233489012698</v>
      </c>
      <c r="U27" s="53">
        <v>935.42249419952896</v>
      </c>
      <c r="V27" s="53">
        <v>944.78624082315798</v>
      </c>
      <c r="W27" s="53">
        <v>954.01952778809903</v>
      </c>
      <c r="X27" s="53">
        <v>962.89022086688499</v>
      </c>
      <c r="Y27" s="53">
        <v>971.40101477560995</v>
      </c>
      <c r="Z27" s="53">
        <v>979.85184308314797</v>
      </c>
      <c r="AA27" s="53">
        <v>988.17666058914301</v>
      </c>
      <c r="AB27" s="53">
        <v>996.04767237168198</v>
      </c>
      <c r="AC27" s="53">
        <v>1003.43540212397</v>
      </c>
      <c r="AD27" s="53">
        <f>+AC27/2+AE27/2</f>
        <v>1006.3092483082901</v>
      </c>
      <c r="AE27" s="53">
        <v>1009.1830944926101</v>
      </c>
      <c r="AF27" s="53">
        <v>1016.05596064786</v>
      </c>
      <c r="AG27" s="53">
        <v>1022.6819321704</v>
      </c>
      <c r="AH27" s="53">
        <v>1029.0480878439801</v>
      </c>
      <c r="AI27" s="53">
        <v>1035.14898193112</v>
      </c>
      <c r="AJ27" s="53">
        <v>1040.9634765099099</v>
      </c>
      <c r="AK27" s="53">
        <v>1046.47869262623</v>
      </c>
      <c r="AL27" s="53">
        <v>1051.6575592105</v>
      </c>
      <c r="AM27" s="53">
        <v>1056.50027926231</v>
      </c>
      <c r="AN27" s="53">
        <v>1061.0111593090801</v>
      </c>
      <c r="AO27" s="53">
        <v>1065.4365901041699</v>
      </c>
      <c r="AP27" s="53">
        <v>1069.59656124649</v>
      </c>
      <c r="AQ27" s="53">
        <v>1073.5142082482701</v>
      </c>
      <c r="AR27" s="53">
        <v>1077.2202537226899</v>
      </c>
      <c r="AS27" s="53">
        <v>1080.73113493408</v>
      </c>
      <c r="AT27" s="53">
        <v>1084.05792806455</v>
      </c>
      <c r="AU27" s="53">
        <v>1087.23276101281</v>
      </c>
      <c r="AV27" s="53">
        <v>1090.2845851591101</v>
      </c>
      <c r="AW27" s="53">
        <v>1093.2445905786401</v>
      </c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</row>
    <row r="28" spans="3:89" ht="14.5">
      <c r="C28" t="s">
        <v>6</v>
      </c>
      <c r="D28" t="str">
        <f>_xlfn.TEXTJOIN(",",TRUE,Regions!$C$3,Regions!$D$3)</f>
        <v>IE,National</v>
      </c>
      <c r="E28" t="s">
        <v>57</v>
      </c>
      <c r="F28" s="35" t="s">
        <v>58</v>
      </c>
      <c r="G28" s="52">
        <f>VLOOKUP(E28,'BY-Demands'!$I$6:$J$42,2,FALSE)</f>
        <v>735.40672900000004</v>
      </c>
      <c r="H28" s="53">
        <v>756.93265686674704</v>
      </c>
      <c r="I28" s="53">
        <v>768.29446481802404</v>
      </c>
      <c r="J28" s="53">
        <v>772.86208694584798</v>
      </c>
      <c r="K28" s="53">
        <v>777.95194352567796</v>
      </c>
      <c r="L28" s="53">
        <v>783.67269864148204</v>
      </c>
      <c r="M28" s="53">
        <v>789.75930268250397</v>
      </c>
      <c r="N28" s="53">
        <v>795.82537085896797</v>
      </c>
      <c r="O28" s="53">
        <v>802.38775006715798</v>
      </c>
      <c r="P28" s="53">
        <v>809.22213416551403</v>
      </c>
      <c r="Q28" s="53">
        <v>816.80113347457802</v>
      </c>
      <c r="R28" s="53">
        <v>824.64428658311704</v>
      </c>
      <c r="S28" s="53">
        <v>832.59337892975498</v>
      </c>
      <c r="T28" s="53">
        <v>835.494721776652</v>
      </c>
      <c r="U28" s="53">
        <v>841.12386901591697</v>
      </c>
      <c r="V28" s="53">
        <v>846.68490394820003</v>
      </c>
      <c r="W28" s="53">
        <v>852.05750789504805</v>
      </c>
      <c r="X28" s="53">
        <v>857.03569133233998</v>
      </c>
      <c r="Y28" s="53">
        <v>861.62461714738197</v>
      </c>
      <c r="Z28" s="53">
        <v>866.09217418652202</v>
      </c>
      <c r="AA28" s="53">
        <v>870.38020137632998</v>
      </c>
      <c r="AB28" s="53">
        <v>874.20163295403097</v>
      </c>
      <c r="AC28" s="53">
        <v>877.53441615506995</v>
      </c>
      <c r="AD28" s="53">
        <v>877.71565965240802</v>
      </c>
      <c r="AE28" s="53">
        <v>877.87112006521807</v>
      </c>
      <c r="AF28" s="53">
        <v>878.89535131181003</v>
      </c>
      <c r="AG28" s="53">
        <v>881.34522505719599</v>
      </c>
      <c r="AH28" s="53">
        <v>883.51153419697505</v>
      </c>
      <c r="AI28" s="53">
        <v>885.39165384489604</v>
      </c>
      <c r="AJ28" s="53">
        <v>886.96968161539996</v>
      </c>
      <c r="AK28" s="53">
        <v>888.23702563617996</v>
      </c>
      <c r="AL28" s="53">
        <v>889.16483547498206</v>
      </c>
      <c r="AM28" s="53">
        <v>889.75617108824804</v>
      </c>
      <c r="AN28" s="53">
        <v>890.01756387450996</v>
      </c>
      <c r="AO28" s="53">
        <v>890.15777792928498</v>
      </c>
      <c r="AP28" s="53">
        <v>890.027472236378</v>
      </c>
      <c r="AQ28" s="53">
        <v>889.64810387578098</v>
      </c>
      <c r="AR28" s="53">
        <v>889.04710174709999</v>
      </c>
      <c r="AS28" s="53">
        <v>888.23975575464704</v>
      </c>
      <c r="AT28" s="53">
        <v>887.23676143058299</v>
      </c>
      <c r="AU28" s="53">
        <v>886.06583568271606</v>
      </c>
      <c r="AV28" s="53">
        <v>884.75168699987705</v>
      </c>
      <c r="AW28" s="53">
        <v>883.32044041935796</v>
      </c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</row>
    <row r="29" spans="3:89" ht="14.5">
      <c r="C29" t="s">
        <v>6</v>
      </c>
      <c r="D29" t="str">
        <f>_xlfn.TEXTJOIN(",",TRUE,Regions!$C$3,Regions!$D$3)</f>
        <v>IE,National</v>
      </c>
      <c r="E29" t="s">
        <v>135</v>
      </c>
      <c r="F29" s="35" t="s">
        <v>136</v>
      </c>
      <c r="G29" s="52">
        <f>VLOOKUP(E29,'BY-Demands'!$I$6:$J$42,2,FALSE)</f>
        <v>28.901664567933999</v>
      </c>
      <c r="H29" s="53">
        <v>29.285472960899106</v>
      </c>
      <c r="I29" s="53">
        <v>29.618106901468909</v>
      </c>
      <c r="J29" s="53">
        <v>30.592051000616877</v>
      </c>
      <c r="K29" s="53">
        <v>31.598021694557701</v>
      </c>
      <c r="L29" s="53">
        <v>32.637072126664755</v>
      </c>
      <c r="M29" s="53">
        <v>33.710290071247677</v>
      </c>
      <c r="N29" s="53">
        <v>34.818799072335445</v>
      </c>
      <c r="O29" s="53">
        <v>35.963759619906362</v>
      </c>
      <c r="P29" s="53">
        <v>36.712499803959538</v>
      </c>
      <c r="Q29" s="53">
        <v>37.47682823209901</v>
      </c>
      <c r="R29" s="53">
        <v>38.25706944060434</v>
      </c>
      <c r="S29" s="53">
        <v>39.053554722372212</v>
      </c>
      <c r="T29" s="53">
        <v>39.866622267584432</v>
      </c>
      <c r="U29" s="53">
        <v>40.357314057686089</v>
      </c>
      <c r="V29" s="53">
        <v>40.854045447311805</v>
      </c>
      <c r="W29" s="53">
        <v>41.356890773883045</v>
      </c>
      <c r="X29" s="53">
        <v>41.865925289791257</v>
      </c>
      <c r="Y29" s="53">
        <v>42.381225173659615</v>
      </c>
      <c r="Z29" s="53">
        <v>42.776493751275368</v>
      </c>
      <c r="AA29" s="53">
        <v>43.175448802036009</v>
      </c>
      <c r="AB29" s="53">
        <v>43.578124707840381</v>
      </c>
      <c r="AC29" s="53">
        <v>43.984556171250162</v>
      </c>
      <c r="AD29" s="53">
        <v>44.394778218480539</v>
      </c>
      <c r="AE29" s="53">
        <v>44.717758131431516</v>
      </c>
      <c r="AF29" s="53">
        <v>45.043087780733387</v>
      </c>
      <c r="AG29" s="53">
        <v>45.370784261136308</v>
      </c>
      <c r="AH29" s="53">
        <v>45.700864791757795</v>
      </c>
      <c r="AI29" s="53">
        <v>46.033346716987502</v>
      </c>
      <c r="AJ29" s="53">
        <v>46.369255228359584</v>
      </c>
      <c r="AK29" s="53">
        <v>46.707614887346587</v>
      </c>
      <c r="AL29" s="53">
        <v>47.048443580142006</v>
      </c>
      <c r="AM29" s="53">
        <v>47.391759323456121</v>
      </c>
      <c r="AN29" s="53">
        <v>47.737580265468395</v>
      </c>
      <c r="AO29" s="53">
        <v>48.167218487857603</v>
      </c>
      <c r="AP29" s="53">
        <v>48.600723454248318</v>
      </c>
      <c r="AQ29" s="53">
        <v>49.038129965336545</v>
      </c>
      <c r="AR29" s="53">
        <v>49.47947313502457</v>
      </c>
      <c r="AS29" s="53">
        <v>49.924788393239787</v>
      </c>
      <c r="AT29" s="53">
        <v>50.374111488778937</v>
      </c>
      <c r="AU29" s="53">
        <v>50.827478492177939</v>
      </c>
      <c r="AV29" s="53">
        <v>51.284925798607532</v>
      </c>
      <c r="AW29" s="53">
        <v>51.746490130794996</v>
      </c>
      <c r="AX29" s="53">
        <v>52.212208541972146</v>
      </c>
      <c r="AY29" s="53">
        <v>52.682118418849889</v>
      </c>
      <c r="AZ29" s="53">
        <v>53.15625748461953</v>
      </c>
      <c r="BA29" s="53">
        <v>53.634663801981098</v>
      </c>
      <c r="BB29" s="53">
        <v>54.117375776198919</v>
      </c>
      <c r="BC29" s="53">
        <v>54.604432158184707</v>
      </c>
      <c r="BD29" s="53">
        <v>55.095872047608367</v>
      </c>
      <c r="BE29" s="53">
        <v>55.59173489603684</v>
      </c>
      <c r="BF29" s="53">
        <v>56.092060510101163</v>
      </c>
      <c r="BG29" s="53">
        <v>56.59688905469207</v>
      </c>
      <c r="BH29" s="53">
        <v>57.106261056184294</v>
      </c>
      <c r="BI29" s="53">
        <v>57.620217405689949</v>
      </c>
      <c r="BJ29" s="53">
        <v>58.138799362341153</v>
      </c>
      <c r="BK29" s="53">
        <v>58.662048556602215</v>
      </c>
      <c r="BL29" s="53">
        <v>59.190006993611632</v>
      </c>
      <c r="BM29" s="53">
        <v>59.722717056554131</v>
      </c>
      <c r="BN29" s="53">
        <v>60.260221510063111</v>
      </c>
      <c r="BO29" s="53">
        <v>60.802563503653673</v>
      </c>
      <c r="BP29" s="53">
        <v>61.349786575186549</v>
      </c>
      <c r="BQ29" s="53">
        <v>61.901934654363224</v>
      </c>
      <c r="BR29" s="53">
        <v>62.45905206625249</v>
      </c>
      <c r="BS29" s="53">
        <v>63.021183534848753</v>
      </c>
      <c r="BT29" s="53">
        <v>63.588374186662385</v>
      </c>
      <c r="BU29" s="53">
        <v>64.160669554342334</v>
      </c>
      <c r="BV29" s="53">
        <v>64.73811558033141</v>
      </c>
      <c r="BW29" s="53">
        <v>65.320758620554386</v>
      </c>
      <c r="BX29" s="53">
        <v>65.908645448139367</v>
      </c>
      <c r="BY29" s="53">
        <v>66.501823257172617</v>
      </c>
      <c r="BZ29" s="53">
        <v>67.100339666487159</v>
      </c>
      <c r="CA29" s="53">
        <v>67.704242723485535</v>
      </c>
      <c r="CB29" s="53">
        <v>68.313580907996894</v>
      </c>
      <c r="CC29" s="53">
        <v>68.928403136168853</v>
      </c>
      <c r="CD29" s="53">
        <v>69.548758764394364</v>
      </c>
      <c r="CE29" s="53">
        <v>70.174697593273905</v>
      </c>
      <c r="CF29" s="53">
        <v>70.806269871613367</v>
      </c>
      <c r="CG29" s="53">
        <v>71.443526300457876</v>
      </c>
      <c r="CH29" s="53">
        <v>72.086518037161994</v>
      </c>
      <c r="CI29" s="53">
        <v>72.735296699496445</v>
      </c>
      <c r="CJ29" s="53">
        <v>73.38991436979191</v>
      </c>
      <c r="CK29" s="53">
        <v>74.050423599120023</v>
      </c>
    </row>
    <row r="30" spans="3:89" ht="14.5">
      <c r="C30" t="s">
        <v>6</v>
      </c>
      <c r="D30" t="str">
        <f>_xlfn.TEXTJOIN(",",TRUE,Regions!$C$3,Regions!$D$3)</f>
        <v>IE,National</v>
      </c>
      <c r="E30" t="s">
        <v>137</v>
      </c>
      <c r="F30" s="35" t="s">
        <v>138</v>
      </c>
      <c r="G30" s="52">
        <f>VLOOKUP(E30,'BY-Demands'!$I$6:$J$42,2,FALSE)</f>
        <v>58.151541961987597</v>
      </c>
      <c r="H30" s="53">
        <v>58.923782945423504</v>
      </c>
      <c r="I30" s="53">
        <v>59.593058464401295</v>
      </c>
      <c r="J30" s="53">
        <v>61.552680928952022</v>
      </c>
      <c r="K30" s="53">
        <v>63.576742445676302</v>
      </c>
      <c r="L30" s="53">
        <v>65.667361989795339</v>
      </c>
      <c r="M30" s="53">
        <v>67.826728215642902</v>
      </c>
      <c r="N30" s="53">
        <v>70.057101747952018</v>
      </c>
      <c r="O30" s="53">
        <v>72.360817548486267</v>
      </c>
      <c r="P30" s="53">
        <v>73.867318882665543</v>
      </c>
      <c r="Q30" s="53">
        <v>75.405184515187131</v>
      </c>
      <c r="R30" s="53">
        <v>76.975067428685819</v>
      </c>
      <c r="S30" s="53">
        <v>78.577634200435639</v>
      </c>
      <c r="T30" s="53">
        <v>80.21356528538071</v>
      </c>
      <c r="U30" s="53">
        <v>81.200860814862352</v>
      </c>
      <c r="V30" s="53">
        <v>82.200308309651447</v>
      </c>
      <c r="W30" s="53">
        <v>83.212057340222501</v>
      </c>
      <c r="X30" s="53">
        <v>84.236259318013722</v>
      </c>
      <c r="Y30" s="53">
        <v>85.273067518086194</v>
      </c>
      <c r="Z30" s="53">
        <v>86.068366945337161</v>
      </c>
      <c r="AA30" s="53">
        <v>86.871083734217009</v>
      </c>
      <c r="AB30" s="53">
        <v>87.681287062763161</v>
      </c>
      <c r="AC30" s="53">
        <v>88.499046754202112</v>
      </c>
      <c r="AD30" s="53">
        <v>89.324433282966837</v>
      </c>
      <c r="AE30" s="53">
        <v>89.974284433121213</v>
      </c>
      <c r="AF30" s="53">
        <v>90.628863366053892</v>
      </c>
      <c r="AG30" s="53">
        <v>91.288204477226031</v>
      </c>
      <c r="AH30" s="53">
        <v>91.952342412331916</v>
      </c>
      <c r="AI30" s="53">
        <v>92.621312069119398</v>
      </c>
      <c r="AJ30" s="53">
        <v>93.297176182362023</v>
      </c>
      <c r="AK30" s="53">
        <v>93.977972122733462</v>
      </c>
      <c r="AL30" s="53">
        <v>94.663735878117009</v>
      </c>
      <c r="AM30" s="53">
        <v>95.354503699002038</v>
      </c>
      <c r="AN30" s="53">
        <v>96.05031210040022</v>
      </c>
      <c r="AO30" s="53">
        <v>96.914764909303813</v>
      </c>
      <c r="AP30" s="53">
        <v>97.786997793487544</v>
      </c>
      <c r="AQ30" s="53">
        <v>98.667080773628925</v>
      </c>
      <c r="AR30" s="53">
        <v>99.555084500591576</v>
      </c>
      <c r="AS30" s="53">
        <v>100.45108026109689</v>
      </c>
      <c r="AT30" s="53">
        <v>101.35513998344675</v>
      </c>
      <c r="AU30" s="53">
        <v>102.26733624329776</v>
      </c>
      <c r="AV30" s="53">
        <v>103.18774226948743</v>
      </c>
      <c r="AW30" s="53">
        <v>104.11643194991281</v>
      </c>
      <c r="AX30" s="53">
        <v>105.05347983746201</v>
      </c>
      <c r="AY30" s="53">
        <v>105.99896115599915</v>
      </c>
      <c r="AZ30" s="53">
        <v>106.95295180640314</v>
      </c>
      <c r="BA30" s="53">
        <v>107.91552837266076</v>
      </c>
      <c r="BB30" s="53">
        <v>108.88676812801469</v>
      </c>
      <c r="BC30" s="53">
        <v>109.86674904116681</v>
      </c>
      <c r="BD30" s="53">
        <v>110.85554978253731</v>
      </c>
      <c r="BE30" s="53">
        <v>111.85324973058013</v>
      </c>
      <c r="BF30" s="53">
        <v>112.85992897815534</v>
      </c>
      <c r="BG30" s="53">
        <v>113.87566833895872</v>
      </c>
      <c r="BH30" s="53">
        <v>114.90054935400933</v>
      </c>
      <c r="BI30" s="53">
        <v>115.9346542981954</v>
      </c>
      <c r="BJ30" s="53">
        <v>116.97806618687915</v>
      </c>
      <c r="BK30" s="53">
        <v>118.03086878256104</v>
      </c>
      <c r="BL30" s="53">
        <v>119.09314660160408</v>
      </c>
      <c r="BM30" s="53">
        <v>120.1649849210185</v>
      </c>
      <c r="BN30" s="53">
        <v>121.24646978530765</v>
      </c>
      <c r="BO30" s="53">
        <v>122.33768801337541</v>
      </c>
      <c r="BP30" s="53">
        <v>123.43872720549578</v>
      </c>
      <c r="BQ30" s="53">
        <v>124.54967575034523</v>
      </c>
      <c r="BR30" s="53">
        <v>125.67062283209833</v>
      </c>
      <c r="BS30" s="53">
        <v>126.80165843758721</v>
      </c>
      <c r="BT30" s="53">
        <v>127.94287336352548</v>
      </c>
      <c r="BU30" s="53">
        <v>129.0943592237972</v>
      </c>
      <c r="BV30" s="53">
        <v>130.25620845681135</v>
      </c>
      <c r="BW30" s="53">
        <v>131.42851433292265</v>
      </c>
      <c r="BX30" s="53">
        <v>132.61137096191894</v>
      </c>
      <c r="BY30" s="53">
        <v>133.80487330057619</v>
      </c>
      <c r="BZ30" s="53">
        <v>135.00911716028136</v>
      </c>
      <c r="CA30" s="53">
        <v>136.22419921472388</v>
      </c>
      <c r="CB30" s="53">
        <v>137.45021700765639</v>
      </c>
      <c r="CC30" s="53">
        <v>138.68726896072528</v>
      </c>
      <c r="CD30" s="53">
        <v>139.93545438137178</v>
      </c>
      <c r="CE30" s="53">
        <v>141.19487347080411</v>
      </c>
      <c r="CF30" s="53">
        <v>142.46562733204132</v>
      </c>
      <c r="CG30" s="53">
        <v>143.74781797802967</v>
      </c>
      <c r="CH30" s="53">
        <v>145.04154833983193</v>
      </c>
      <c r="CI30" s="53">
        <v>146.3469222748904</v>
      </c>
      <c r="CJ30" s="53">
        <v>147.66404457536441</v>
      </c>
      <c r="CK30" s="53">
        <v>148.99302097654268</v>
      </c>
    </row>
    <row r="31" spans="3:89" ht="14.5">
      <c r="C31" t="s">
        <v>6</v>
      </c>
      <c r="D31" t="str">
        <f>_xlfn.TEXTJOIN(",",TRUE,Regions!$C$3,Regions!$D$3)</f>
        <v>IE,National</v>
      </c>
      <c r="E31" t="s">
        <v>139</v>
      </c>
      <c r="F31" s="35" t="s">
        <v>140</v>
      </c>
      <c r="G31" s="52">
        <f>VLOOKUP(E31,'BY-Demands'!$I$6:$J$42,2,FALSE)</f>
        <v>5.6291760000000002</v>
      </c>
      <c r="H31" s="53"/>
      <c r="I31" s="53">
        <f>3.019*3.6</f>
        <v>10.868400000000001</v>
      </c>
      <c r="J31" s="53">
        <f>3.993*3.6</f>
        <v>14.3748</v>
      </c>
      <c r="K31" s="52">
        <f>'BY-Demands'!E68</f>
        <v>18.9072</v>
      </c>
      <c r="L31" s="53"/>
      <c r="M31" s="53"/>
      <c r="N31" s="53"/>
      <c r="O31" s="53"/>
      <c r="P31" s="53"/>
      <c r="Q31" s="53"/>
      <c r="R31" s="53"/>
      <c r="S31" s="52">
        <f>(T31-K31)/(T2-K2)*(S2-K2)+K31</f>
        <v>43.896512000000001</v>
      </c>
      <c r="T31" s="52">
        <f>1491*8760/10^6*3.6</f>
        <v>47.020175999999999</v>
      </c>
      <c r="U31" s="53"/>
      <c r="V31" s="53"/>
      <c r="W31" s="53"/>
      <c r="X31" s="53"/>
      <c r="Y31" s="53"/>
      <c r="Z31" s="53"/>
      <c r="AA31" s="53"/>
      <c r="AB31" s="53"/>
      <c r="AC31" s="53">
        <f>T31</f>
        <v>47.020175999999999</v>
      </c>
      <c r="AD31" s="53"/>
      <c r="AE31" s="53"/>
      <c r="AF31" s="53"/>
      <c r="AG31" s="53"/>
      <c r="AH31" s="53"/>
      <c r="AI31" s="53"/>
      <c r="AJ31" s="53"/>
      <c r="AK31" s="53"/>
      <c r="AL31" s="53"/>
      <c r="AM31" s="53">
        <f>AC31</f>
        <v>47.020175999999999</v>
      </c>
      <c r="AN31" s="53"/>
      <c r="AO31" s="53"/>
      <c r="AP31" s="53"/>
      <c r="AQ31" s="53"/>
      <c r="AR31" s="53"/>
      <c r="AS31" s="53"/>
      <c r="AT31" s="53"/>
      <c r="AU31" s="53"/>
      <c r="AV31" s="53"/>
      <c r="AW31" s="53">
        <f>AM31</f>
        <v>47.020175999999999</v>
      </c>
      <c r="AX31" s="53"/>
      <c r="AY31" s="53"/>
      <c r="AZ31" s="53"/>
      <c r="BA31" s="53"/>
      <c r="BB31" s="53"/>
      <c r="BC31" s="53"/>
      <c r="BD31" s="53"/>
      <c r="BE31" s="53"/>
      <c r="BF31" s="53"/>
      <c r="BG31" s="53">
        <f>AW31</f>
        <v>47.020175999999999</v>
      </c>
      <c r="BH31" s="53"/>
      <c r="BI31" s="53"/>
      <c r="BJ31" s="53"/>
      <c r="BK31" s="53"/>
      <c r="BL31" s="53"/>
      <c r="BM31" s="53"/>
      <c r="BN31" s="53"/>
      <c r="BO31" s="53"/>
      <c r="BP31" s="53"/>
      <c r="BQ31" s="53">
        <f>BG31</f>
        <v>47.020175999999999</v>
      </c>
      <c r="BR31" s="53"/>
      <c r="BS31" s="53"/>
      <c r="BT31" s="53"/>
      <c r="BU31" s="53"/>
      <c r="BV31" s="53"/>
      <c r="BW31" s="53"/>
      <c r="BX31" s="53"/>
      <c r="BY31" s="53"/>
      <c r="BZ31" s="53"/>
      <c r="CA31" s="53">
        <f>BQ31</f>
        <v>47.020175999999999</v>
      </c>
      <c r="CB31" s="53"/>
      <c r="CC31" s="53"/>
      <c r="CD31" s="53"/>
      <c r="CE31" s="53"/>
      <c r="CF31" s="53"/>
      <c r="CG31" s="53"/>
      <c r="CH31" s="53"/>
      <c r="CI31" s="53"/>
      <c r="CJ31" s="53"/>
      <c r="CK31" s="53">
        <f>CA31</f>
        <v>47.020175999999999</v>
      </c>
    </row>
    <row r="32" spans="3:89" ht="14.5">
      <c r="C32" t="s">
        <v>6</v>
      </c>
      <c r="D32" t="str">
        <f>_xlfn.TEXTJOIN(",",TRUE,Regions!$C$3,Regions!$D$3)</f>
        <v>IE,National</v>
      </c>
      <c r="E32" t="s">
        <v>141</v>
      </c>
      <c r="F32" s="35" t="s">
        <v>142</v>
      </c>
      <c r="G32" s="52">
        <f>VLOOKUP(E32,'BY-Demands'!$I$6:$J$42,2,FALSE)</f>
        <v>0.47999999999999998</v>
      </c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>
        <v>0.50</v>
      </c>
      <c r="T32" s="53"/>
      <c r="U32" s="53"/>
      <c r="V32" s="53"/>
      <c r="W32" s="53"/>
      <c r="X32" s="53"/>
      <c r="Y32" s="53"/>
      <c r="Z32" s="53"/>
      <c r="AA32" s="53"/>
      <c r="AB32" s="53"/>
      <c r="AC32" s="53">
        <v>0.54</v>
      </c>
      <c r="AD32" s="53"/>
      <c r="AE32" s="53"/>
      <c r="AF32" s="53"/>
      <c r="AG32" s="53"/>
      <c r="AH32" s="53"/>
      <c r="AI32" s="53"/>
      <c r="AJ32" s="53"/>
      <c r="AK32" s="53"/>
      <c r="AL32" s="53"/>
      <c r="AM32" s="53">
        <v>0.57499999999999996</v>
      </c>
      <c r="AN32" s="53">
        <v>0.57499999999999996</v>
      </c>
      <c r="AO32" s="53">
        <v>0.57499999999999996</v>
      </c>
      <c r="AP32" s="53">
        <v>0.57499999999999996</v>
      </c>
      <c r="AQ32" s="53">
        <v>0.57499999999999996</v>
      </c>
      <c r="AR32" s="53">
        <v>0.57499999999999996</v>
      </c>
      <c r="AS32" s="53">
        <v>0.57499999999999996</v>
      </c>
      <c r="AT32" s="53">
        <v>0.57499999999999996</v>
      </c>
      <c r="AU32" s="53">
        <v>0.57499999999999996</v>
      </c>
      <c r="AV32" s="53">
        <v>0.57499999999999996</v>
      </c>
      <c r="AW32" s="53">
        <v>0.57499999999999996</v>
      </c>
      <c r="AX32" s="53">
        <v>0.57499999999999996</v>
      </c>
      <c r="AY32" s="53">
        <v>0.57499999999999996</v>
      </c>
      <c r="AZ32" s="53">
        <v>0.57499999999999996</v>
      </c>
      <c r="BA32" s="53">
        <v>0.57499999999999996</v>
      </c>
      <c r="BB32" s="53">
        <v>0.57499999999999996</v>
      </c>
      <c r="BC32" s="53">
        <v>0.57499999999999996</v>
      </c>
      <c r="BD32" s="53">
        <v>0.57499999999999996</v>
      </c>
      <c r="BE32" s="53">
        <v>0.57499999999999996</v>
      </c>
      <c r="BF32" s="53">
        <v>0.57499999999999996</v>
      </c>
      <c r="BG32" s="53">
        <v>0.57499999999999996</v>
      </c>
      <c r="BH32" s="53">
        <v>0.57499999999999996</v>
      </c>
      <c r="BI32" s="53">
        <v>0.57499999999999996</v>
      </c>
      <c r="BJ32" s="53">
        <v>0.57499999999999996</v>
      </c>
      <c r="BK32" s="53">
        <v>0.57499999999999996</v>
      </c>
      <c r="BL32" s="53">
        <v>0.57499999999999996</v>
      </c>
      <c r="BM32" s="53">
        <v>0.57499999999999996</v>
      </c>
      <c r="BN32" s="53">
        <v>0.57499999999999996</v>
      </c>
      <c r="BO32" s="53">
        <v>0.57499999999999996</v>
      </c>
      <c r="BP32" s="53">
        <v>0.57499999999999996</v>
      </c>
      <c r="BQ32" s="53">
        <v>0.57499999999999996</v>
      </c>
      <c r="BR32" s="53">
        <v>0.57499999999999996</v>
      </c>
      <c r="BS32" s="53">
        <v>0.57499999999999996</v>
      </c>
      <c r="BT32" s="53">
        <v>0.57499999999999996</v>
      </c>
      <c r="BU32" s="53">
        <v>0.57499999999999996</v>
      </c>
      <c r="BV32" s="53">
        <v>0.57499999999999996</v>
      </c>
      <c r="BW32" s="53">
        <v>0.57499999999999996</v>
      </c>
      <c r="BX32" s="53">
        <v>0.57499999999999996</v>
      </c>
      <c r="BY32" s="53">
        <v>0.57499999999999996</v>
      </c>
      <c r="BZ32" s="53">
        <v>0.57499999999999996</v>
      </c>
      <c r="CA32" s="53">
        <v>0.57499999999999996</v>
      </c>
      <c r="CB32" s="53">
        <v>0.57499999999999996</v>
      </c>
      <c r="CC32" s="53">
        <v>0.57499999999999996</v>
      </c>
      <c r="CD32" s="53">
        <v>0.57499999999999996</v>
      </c>
      <c r="CE32" s="53">
        <v>0.57499999999999996</v>
      </c>
      <c r="CF32" s="53">
        <v>0.57499999999999996</v>
      </c>
      <c r="CG32" s="53">
        <v>0.57499999999999996</v>
      </c>
      <c r="CH32" s="53">
        <v>0.57499999999999996</v>
      </c>
      <c r="CI32" s="53">
        <v>0.57499999999999996</v>
      </c>
      <c r="CJ32" s="53">
        <v>0.57499999999999996</v>
      </c>
      <c r="CK32" s="53">
        <v>0.57499999999999996</v>
      </c>
    </row>
    <row r="33" spans="3:89" ht="14.5">
      <c r="C33" t="s">
        <v>6</v>
      </c>
      <c r="D33" t="s">
        <v>161</v>
      </c>
      <c r="E33" t="s">
        <v>128</v>
      </c>
      <c r="F33" t="s">
        <v>162</v>
      </c>
      <c r="G33" s="52">
        <f>VLOOKUP(E33,'BY-Demands'!$I$6:$J$42,2,FALSE)</f>
        <v>1.1544546193487999</v>
      </c>
      <c r="H33" s="53">
        <f t="shared" si="48" ref="H33:H39">$G33*SUM(H$26:H$28)/SUM($G$26:$G$28)</f>
        <v>1.1908349006400001</v>
      </c>
      <c r="I33" s="53">
        <f t="shared" si="49" ref="I33:BT34">$G33*SUM(I$26:I$28)/SUM($G$26:$G$28)</f>
        <v>1.2115424059200002</v>
      </c>
      <c r="J33" s="53">
        <f t="shared" si="49"/>
        <v>1.2318444230400001</v>
      </c>
      <c r="K33" s="53">
        <f t="shared" si="49"/>
        <v>1.2514826903039997</v>
      </c>
      <c r="L33" s="53">
        <f t="shared" si="49"/>
        <v>1.2709210409279992</v>
      </c>
      <c r="M33" s="53">
        <f t="shared" si="49"/>
        <v>1.2899536385699539</v>
      </c>
      <c r="N33" s="53">
        <f t="shared" si="49"/>
        <v>1.3081161139199997</v>
      </c>
      <c r="O33" s="53">
        <f t="shared" si="49"/>
        <v>1.3263884282880001</v>
      </c>
      <c r="P33" s="53">
        <f t="shared" si="49"/>
        <v>1.3445125182720001</v>
      </c>
      <c r="Q33" s="53">
        <f t="shared" si="49"/>
        <v>1.3633657551360001</v>
      </c>
      <c r="R33" s="53">
        <f t="shared" si="49"/>
        <v>1.3822257792382255</v>
      </c>
      <c r="S33" s="53">
        <f t="shared" si="49"/>
        <v>1.4008862165760005</v>
      </c>
      <c r="T33" s="53">
        <f t="shared" si="49"/>
        <v>1.4196390243415515</v>
      </c>
      <c r="U33" s="53">
        <f t="shared" si="49"/>
        <v>1.4381444961138057</v>
      </c>
      <c r="V33" s="53">
        <f t="shared" si="49"/>
        <v>1.4567607948865551</v>
      </c>
      <c r="W33" s="53">
        <f t="shared" si="49"/>
        <v>1.4752815154269274</v>
      </c>
      <c r="X33" s="53">
        <f t="shared" si="49"/>
        <v>1.4933457179612972</v>
      </c>
      <c r="Y33" s="53">
        <f t="shared" si="49"/>
        <v>1.5109535007953232</v>
      </c>
      <c r="Z33" s="53">
        <f t="shared" si="49"/>
        <v>1.5285686603979654</v>
      </c>
      <c r="AA33" s="53">
        <f t="shared" si="49"/>
        <v>1.5460878468794566</v>
      </c>
      <c r="AB33" s="53">
        <f t="shared" si="49"/>
        <v>1.5629957549216376</v>
      </c>
      <c r="AC33" s="53">
        <f t="shared" si="49"/>
        <v>1.5792404945123684</v>
      </c>
      <c r="AD33" s="53">
        <f t="shared" si="49"/>
        <v>1.5836256156472743</v>
      </c>
      <c r="AE33" s="53">
        <f t="shared" si="49"/>
        <v>1.5977193026469054</v>
      </c>
      <c r="AF33" s="53">
        <f t="shared" si="49"/>
        <v>1.6133874034964311</v>
      </c>
      <c r="AG33" s="53">
        <f t="shared" si="49"/>
        <v>1.6287532055901592</v>
      </c>
      <c r="AH33" s="53">
        <f t="shared" si="49"/>
        <v>1.6437932834842923</v>
      </c>
      <c r="AI33" s="53">
        <f t="shared" si="49"/>
        <v>1.6584959109268544</v>
      </c>
      <c r="AJ33" s="53">
        <f t="shared" si="49"/>
        <v>1.672824006688461</v>
      </c>
      <c r="AK33" s="53">
        <f t="shared" si="49"/>
        <v>1.6867533581716272</v>
      </c>
      <c r="AL33" s="53">
        <f t="shared" si="49"/>
        <v>1.7002203524966655</v>
      </c>
      <c r="AM33" s="53">
        <f t="shared" si="49"/>
        <v>1.7132210540060933</v>
      </c>
      <c r="AN33" s="53">
        <f t="shared" si="49"/>
        <v>1.7257581583520163</v>
      </c>
      <c r="AO33" s="53">
        <f t="shared" si="49"/>
        <v>1.7382293521517052</v>
      </c>
      <c r="AP33" s="53">
        <f t="shared" si="49"/>
        <v>1.750339395817216</v>
      </c>
      <c r="AQ33" s="53">
        <f t="shared" si="49"/>
        <v>1.7621228933246418</v>
      </c>
      <c r="AR33" s="53">
        <f t="shared" si="49"/>
        <v>1.7736273687150745</v>
      </c>
      <c r="AS33" s="53">
        <f t="shared" si="49"/>
        <v>1.7848773407196687</v>
      </c>
      <c r="AT33" s="53">
        <f t="shared" si="49"/>
        <v>1.7958887517694602</v>
      </c>
      <c r="AU33" s="53">
        <f t="shared" si="49"/>
        <v>1.8067127266654888</v>
      </c>
      <c r="AV33" s="53">
        <f t="shared" si="49"/>
        <v>1.8173957311076536</v>
      </c>
      <c r="AW33" s="53">
        <f t="shared" si="49"/>
        <v>1.8279885531537796</v>
      </c>
      <c r="AX33" s="53">
        <f t="shared" si="49"/>
        <v>0</v>
      </c>
      <c r="AY33" s="53">
        <f t="shared" si="49"/>
        <v>0</v>
      </c>
      <c r="AZ33" s="53">
        <f t="shared" si="49"/>
        <v>0</v>
      </c>
      <c r="BA33" s="53">
        <f t="shared" si="49"/>
        <v>0</v>
      </c>
      <c r="BB33" s="53">
        <f t="shared" si="49"/>
        <v>0</v>
      </c>
      <c r="BC33" s="53">
        <f t="shared" si="49"/>
        <v>0</v>
      </c>
      <c r="BD33" s="53">
        <f t="shared" si="49"/>
        <v>0</v>
      </c>
      <c r="BE33" s="53">
        <f t="shared" si="49"/>
        <v>0</v>
      </c>
      <c r="BF33" s="53">
        <f t="shared" si="49"/>
        <v>0</v>
      </c>
      <c r="BG33" s="53">
        <f t="shared" si="49"/>
        <v>0</v>
      </c>
      <c r="BH33" s="53">
        <f t="shared" si="49"/>
        <v>0</v>
      </c>
      <c r="BI33" s="53">
        <f t="shared" si="49"/>
        <v>0</v>
      </c>
      <c r="BJ33" s="53">
        <f t="shared" si="49"/>
        <v>0</v>
      </c>
      <c r="BK33" s="53">
        <f t="shared" si="49"/>
        <v>0</v>
      </c>
      <c r="BL33" s="53">
        <f t="shared" si="49"/>
        <v>0</v>
      </c>
      <c r="BM33" s="53">
        <f t="shared" si="49"/>
        <v>0</v>
      </c>
      <c r="BN33" s="53">
        <f t="shared" si="49"/>
        <v>0</v>
      </c>
      <c r="BO33" s="53">
        <f t="shared" si="49"/>
        <v>0</v>
      </c>
      <c r="BP33" s="53">
        <f t="shared" si="49"/>
        <v>0</v>
      </c>
      <c r="BQ33" s="53">
        <f t="shared" si="49"/>
        <v>0</v>
      </c>
      <c r="BR33" s="53">
        <f t="shared" si="49"/>
        <v>0</v>
      </c>
      <c r="BS33" s="53">
        <f t="shared" si="49"/>
        <v>0</v>
      </c>
      <c r="BT33" s="53">
        <f t="shared" si="49"/>
        <v>0</v>
      </c>
      <c r="BU33" s="53">
        <f t="shared" si="50" ref="BU33:CK37">$G33*SUM(BU$26:BU$28)/SUM($G$26:$G$28)</f>
        <v>0</v>
      </c>
      <c r="BV33" s="53">
        <f t="shared" si="50"/>
        <v>0</v>
      </c>
      <c r="BW33" s="53">
        <f t="shared" si="50"/>
        <v>0</v>
      </c>
      <c r="BX33" s="53">
        <f t="shared" si="50"/>
        <v>0</v>
      </c>
      <c r="BY33" s="53">
        <f t="shared" si="50"/>
        <v>0</v>
      </c>
      <c r="BZ33" s="53">
        <f t="shared" si="50"/>
        <v>0</v>
      </c>
      <c r="CA33" s="53">
        <f t="shared" si="50"/>
        <v>0</v>
      </c>
      <c r="CB33" s="53">
        <f t="shared" si="50"/>
        <v>0</v>
      </c>
      <c r="CC33" s="53">
        <f t="shared" si="50"/>
        <v>0</v>
      </c>
      <c r="CD33" s="53">
        <f t="shared" si="50"/>
        <v>0</v>
      </c>
      <c r="CE33" s="53">
        <f t="shared" si="50"/>
        <v>0</v>
      </c>
      <c r="CF33" s="53">
        <f t="shared" si="50"/>
        <v>0</v>
      </c>
      <c r="CG33" s="53">
        <f t="shared" si="50"/>
        <v>0</v>
      </c>
      <c r="CH33" s="53">
        <f t="shared" si="50"/>
        <v>0</v>
      </c>
      <c r="CI33" s="53">
        <f t="shared" si="50"/>
        <v>0</v>
      </c>
      <c r="CJ33" s="53">
        <f t="shared" si="50"/>
        <v>0</v>
      </c>
      <c r="CK33" s="53">
        <f t="shared" si="50"/>
        <v>0</v>
      </c>
    </row>
    <row r="34" spans="3:89" ht="14.5">
      <c r="C34" t="s">
        <v>6</v>
      </c>
      <c r="D34" t="s">
        <v>161</v>
      </c>
      <c r="E34" t="s">
        <v>129</v>
      </c>
      <c r="F34" t="s">
        <v>163</v>
      </c>
      <c r="G34" s="52">
        <f>VLOOKUP(E34,'BY-Demands'!$I$6:$J$42,2,FALSE)</f>
        <v>2.0006897535500099</v>
      </c>
      <c r="H34" s="53">
        <f t="shared" si="48"/>
        <v>2.0637374080794082</v>
      </c>
      <c r="I34" s="53">
        <f t="shared" si="51" ref="I34:W34">$G34*SUM(I$26:I$28)/SUM($G$26:$G$28)</f>
        <v>2.099623871644904</v>
      </c>
      <c r="J34" s="53">
        <f t="shared" si="51"/>
        <v>2.1348076172401118</v>
      </c>
      <c r="K34" s="87">
        <f>$G34*SUM(K$26:K$28)/SUM($G$26:$G$28)</f>
        <v>2.1688410728944572</v>
      </c>
      <c r="L34" s="53">
        <f t="shared" si="51"/>
        <v>2.2025280695659109</v>
      </c>
      <c r="M34" s="53">
        <f t="shared" si="51"/>
        <v>2.2355118893259096</v>
      </c>
      <c r="N34" s="53">
        <f t="shared" si="51"/>
        <v>2.2669877721565737</v>
      </c>
      <c r="O34" s="53">
        <f t="shared" si="51"/>
        <v>2.2986540078985414</v>
      </c>
      <c r="P34" s="53">
        <f t="shared" si="51"/>
        <v>2.3300633682282363</v>
      </c>
      <c r="Q34" s="53">
        <f t="shared" si="51"/>
        <v>2.3627363526685712</v>
      </c>
      <c r="R34" s="53">
        <f t="shared" si="51"/>
        <v>2.3954210995097363</v>
      </c>
      <c r="S34" s="53">
        <f t="shared" si="51"/>
        <v>2.4277599590480241</v>
      </c>
      <c r="T34" s="53">
        <f t="shared" si="51"/>
        <v>2.4602588981297471</v>
      </c>
      <c r="U34" s="53">
        <f t="shared" si="51"/>
        <v>2.4923291996719961</v>
      </c>
      <c r="V34" s="53">
        <f t="shared" si="51"/>
        <v>2.5245915663163205</v>
      </c>
      <c r="W34" s="53">
        <f t="shared" si="51"/>
        <v>2.5566882942365465</v>
      </c>
      <c r="X34" s="53">
        <f t="shared" si="49"/>
        <v>2.5879938685838102</v>
      </c>
      <c r="Y34" s="53">
        <f t="shared" si="49"/>
        <v>2.6185084597235124</v>
      </c>
      <c r="Z34" s="53">
        <f t="shared" si="49"/>
        <v>2.6490358349303733</v>
      </c>
      <c r="AA34" s="53">
        <f t="shared" si="49"/>
        <v>2.6793968870640827</v>
      </c>
      <c r="AB34" s="53">
        <f t="shared" si="49"/>
        <v>2.708698583126453</v>
      </c>
      <c r="AC34" s="53">
        <f t="shared" si="49"/>
        <v>2.7368509968320662</v>
      </c>
      <c r="AD34" s="53">
        <f t="shared" si="49"/>
        <v>2.744450487340953</v>
      </c>
      <c r="AE34" s="53">
        <f t="shared" si="49"/>
        <v>2.768875089830575</v>
      </c>
      <c r="AF34" s="53">
        <f t="shared" si="49"/>
        <v>2.7960281786587151</v>
      </c>
      <c r="AG34" s="53">
        <f t="shared" si="49"/>
        <v>2.8226573785326261</v>
      </c>
      <c r="AH34" s="53">
        <f t="shared" si="49"/>
        <v>2.8487220927544459</v>
      </c>
      <c r="AI34" s="53">
        <f t="shared" si="49"/>
        <v>2.8742019995273855</v>
      </c>
      <c r="AJ34" s="53">
        <f t="shared" si="49"/>
        <v>2.8990328364417892</v>
      </c>
      <c r="AK34" s="53">
        <f t="shared" si="49"/>
        <v>2.9231726426488853</v>
      </c>
      <c r="AL34" s="53">
        <f t="shared" si="49"/>
        <v>2.9465111759317431</v>
      </c>
      <c r="AM34" s="53">
        <f t="shared" si="49"/>
        <v>2.9690416157281088</v>
      </c>
      <c r="AN34" s="53">
        <f t="shared" si="49"/>
        <v>2.9907686336495432</v>
      </c>
      <c r="AO34" s="53">
        <f t="shared" si="49"/>
        <v>3.0123814274583194</v>
      </c>
      <c r="AP34" s="53">
        <f t="shared" si="49"/>
        <v>3.0333683418597679</v>
      </c>
      <c r="AQ34" s="53">
        <f t="shared" si="49"/>
        <v>3.0537893461408956</v>
      </c>
      <c r="AR34" s="53">
        <f t="shared" si="49"/>
        <v>3.0737268002840392</v>
      </c>
      <c r="AS34" s="53">
        <f t="shared" si="49"/>
        <v>3.0932231956728953</v>
      </c>
      <c r="AT34" s="53">
        <f t="shared" si="49"/>
        <v>3.1123061608152343</v>
      </c>
      <c r="AU34" s="53">
        <f t="shared" si="49"/>
        <v>3.1310642958724464</v>
      </c>
      <c r="AV34" s="53">
        <f t="shared" si="49"/>
        <v>3.1495781267033407</v>
      </c>
      <c r="AW34" s="53">
        <f t="shared" si="49"/>
        <v>3.1679356698875134</v>
      </c>
      <c r="AX34" s="53">
        <f t="shared" si="49"/>
        <v>0</v>
      </c>
      <c r="AY34" s="53">
        <f t="shared" si="49"/>
        <v>0</v>
      </c>
      <c r="AZ34" s="53">
        <f t="shared" si="49"/>
        <v>0</v>
      </c>
      <c r="BA34" s="53">
        <f t="shared" si="49"/>
        <v>0</v>
      </c>
      <c r="BB34" s="53">
        <f t="shared" si="49"/>
        <v>0</v>
      </c>
      <c r="BC34" s="53">
        <f t="shared" si="49"/>
        <v>0</v>
      </c>
      <c r="BD34" s="53">
        <f t="shared" si="49"/>
        <v>0</v>
      </c>
      <c r="BE34" s="53">
        <f t="shared" si="49"/>
        <v>0</v>
      </c>
      <c r="BF34" s="53">
        <f t="shared" si="49"/>
        <v>0</v>
      </c>
      <c r="BG34" s="53">
        <f t="shared" si="49"/>
        <v>0</v>
      </c>
      <c r="BH34" s="53">
        <f t="shared" si="49"/>
        <v>0</v>
      </c>
      <c r="BI34" s="53">
        <f t="shared" si="49"/>
        <v>0</v>
      </c>
      <c r="BJ34" s="53">
        <f t="shared" si="49"/>
        <v>0</v>
      </c>
      <c r="BK34" s="53">
        <f t="shared" si="49"/>
        <v>0</v>
      </c>
      <c r="BL34" s="53">
        <f t="shared" si="49"/>
        <v>0</v>
      </c>
      <c r="BM34" s="53">
        <f t="shared" si="49"/>
        <v>0</v>
      </c>
      <c r="BN34" s="53">
        <f t="shared" si="49"/>
        <v>0</v>
      </c>
      <c r="BO34" s="53">
        <f t="shared" si="49"/>
        <v>0</v>
      </c>
      <c r="BP34" s="53">
        <f t="shared" si="49"/>
        <v>0</v>
      </c>
      <c r="BQ34" s="53">
        <f t="shared" si="49"/>
        <v>0</v>
      </c>
      <c r="BR34" s="53">
        <f t="shared" si="49"/>
        <v>0</v>
      </c>
      <c r="BS34" s="53">
        <f t="shared" si="49"/>
        <v>0</v>
      </c>
      <c r="BT34" s="53">
        <f t="shared" si="49"/>
        <v>0</v>
      </c>
      <c r="BU34" s="53">
        <f t="shared" si="50"/>
        <v>0</v>
      </c>
      <c r="BV34" s="53">
        <f t="shared" si="50"/>
        <v>0</v>
      </c>
      <c r="BW34" s="53">
        <f t="shared" si="50"/>
        <v>0</v>
      </c>
      <c r="BX34" s="53">
        <f t="shared" si="50"/>
        <v>0</v>
      </c>
      <c r="BY34" s="53">
        <f t="shared" si="50"/>
        <v>0</v>
      </c>
      <c r="BZ34" s="53">
        <f t="shared" si="50"/>
        <v>0</v>
      </c>
      <c r="CA34" s="53">
        <f t="shared" si="50"/>
        <v>0</v>
      </c>
      <c r="CB34" s="53">
        <f t="shared" si="50"/>
        <v>0</v>
      </c>
      <c r="CC34" s="53">
        <f t="shared" si="50"/>
        <v>0</v>
      </c>
      <c r="CD34" s="53">
        <f t="shared" si="50"/>
        <v>0</v>
      </c>
      <c r="CE34" s="53">
        <f t="shared" si="50"/>
        <v>0</v>
      </c>
      <c r="CF34" s="53">
        <f t="shared" si="50"/>
        <v>0</v>
      </c>
      <c r="CG34" s="53">
        <f t="shared" si="50"/>
        <v>0</v>
      </c>
      <c r="CH34" s="53">
        <f t="shared" si="50"/>
        <v>0</v>
      </c>
      <c r="CI34" s="53">
        <f t="shared" si="50"/>
        <v>0</v>
      </c>
      <c r="CJ34" s="53">
        <f t="shared" si="50"/>
        <v>0</v>
      </c>
      <c r="CK34" s="53">
        <f t="shared" si="50"/>
        <v>0</v>
      </c>
    </row>
    <row r="35" spans="3:89" ht="14.5">
      <c r="C35" t="s">
        <v>6</v>
      </c>
      <c r="D35" t="s">
        <v>161</v>
      </c>
      <c r="E35" t="s">
        <v>130</v>
      </c>
      <c r="F35" t="s">
        <v>164</v>
      </c>
      <c r="G35" s="52">
        <f>VLOOKUP(E35,'BY-Demands'!$I$6:$J$42,2,FALSE)</f>
        <v>0.78876799986757495</v>
      </c>
      <c r="H35" s="53">
        <f t="shared" si="48"/>
        <v>0.81362441364750004</v>
      </c>
      <c r="I35" s="53">
        <f t="shared" si="52" ref="I35:BT38">$G35*SUM(I$26:I$28)/SUM($G$26:$G$28)</f>
        <v>0.82777258131750009</v>
      </c>
      <c r="J35" s="53">
        <f t="shared" si="52"/>
        <v>0.84164370380999998</v>
      </c>
      <c r="K35" s="53">
        <f t="shared" si="52"/>
        <v>0.855061326756</v>
      </c>
      <c r="L35" s="53">
        <f t="shared" si="52"/>
        <v>0.86834235892949951</v>
      </c>
      <c r="M35" s="53">
        <f t="shared" si="52"/>
        <v>0.88134616498884644</v>
      </c>
      <c r="N35" s="53">
        <f t="shared" si="52"/>
        <v>0.89375546987999988</v>
      </c>
      <c r="O35" s="53">
        <f t="shared" si="52"/>
        <v>0.90623982103200007</v>
      </c>
      <c r="P35" s="53">
        <f t="shared" si="52"/>
        <v>0.91862289955800014</v>
      </c>
      <c r="Q35" s="53">
        <f t="shared" si="52"/>
        <v>0.93150415940400011</v>
      </c>
      <c r="R35" s="53">
        <f t="shared" si="52"/>
        <v>0.94439005655338992</v>
      </c>
      <c r="S35" s="53">
        <f t="shared" si="52"/>
        <v>0.95713958831400048</v>
      </c>
      <c r="T35" s="53">
        <f t="shared" si="52"/>
        <v>0.96995223111972484</v>
      </c>
      <c r="U35" s="53">
        <f t="shared" si="52"/>
        <v>0.98259588441866563</v>
      </c>
      <c r="V35" s="53">
        <f t="shared" si="52"/>
        <v>0.99531525900629703</v>
      </c>
      <c r="W35" s="53">
        <f t="shared" si="52"/>
        <v>1.0079693308527731</v>
      </c>
      <c r="X35" s="53">
        <f t="shared" si="52"/>
        <v>1.0203114919593521</v>
      </c>
      <c r="Y35" s="53">
        <f t="shared" si="52"/>
        <v>1.0323418094922592</v>
      </c>
      <c r="Z35" s="53">
        <f t="shared" si="52"/>
        <v>1.0443771671184963</v>
      </c>
      <c r="AA35" s="53">
        <f t="shared" si="52"/>
        <v>1.0563469522003104</v>
      </c>
      <c r="AB35" s="53">
        <f t="shared" si="52"/>
        <v>1.0678990882348121</v>
      </c>
      <c r="AC35" s="53">
        <f t="shared" si="52"/>
        <v>1.0789981219608653</v>
      </c>
      <c r="AD35" s="53">
        <f t="shared" si="52"/>
        <v>1.0819942061453678</v>
      </c>
      <c r="AE35" s="53">
        <f t="shared" si="52"/>
        <v>1.0916235576323317</v>
      </c>
      <c r="AF35" s="53">
        <f t="shared" si="52"/>
        <v>1.1023286094911695</v>
      </c>
      <c r="AG35" s="53">
        <f t="shared" si="52"/>
        <v>1.1128271191603221</v>
      </c>
      <c r="AH35" s="53">
        <f t="shared" si="52"/>
        <v>1.1231030814715124</v>
      </c>
      <c r="AI35" s="53">
        <f t="shared" si="52"/>
        <v>1.1331484845963309</v>
      </c>
      <c r="AJ35" s="53">
        <f t="shared" si="52"/>
        <v>1.1429379932061787</v>
      </c>
      <c r="AK35" s="53">
        <f t="shared" si="52"/>
        <v>1.1524550643189668</v>
      </c>
      <c r="AL35" s="53">
        <f t="shared" si="52"/>
        <v>1.161656235157523</v>
      </c>
      <c r="AM35" s="53">
        <f t="shared" si="52"/>
        <v>1.1705388167285951</v>
      </c>
      <c r="AN35" s="53">
        <f t="shared" si="52"/>
        <v>1.179104650805852</v>
      </c>
      <c r="AO35" s="53">
        <f t="shared" si="52"/>
        <v>1.1876254522513783</v>
      </c>
      <c r="AP35" s="53">
        <f t="shared" si="52"/>
        <v>1.1958995019717058</v>
      </c>
      <c r="AQ35" s="53">
        <f t="shared" si="52"/>
        <v>1.2039504427402739</v>
      </c>
      <c r="AR35" s="53">
        <f t="shared" si="52"/>
        <v>1.2118107448181121</v>
      </c>
      <c r="AS35" s="53">
        <f t="shared" si="52"/>
        <v>1.21949716034966</v>
      </c>
      <c r="AT35" s="53">
        <f t="shared" si="52"/>
        <v>1.227020581819759</v>
      </c>
      <c r="AU35" s="53">
        <f t="shared" si="52"/>
        <v>1.2344159396677559</v>
      </c>
      <c r="AV35" s="53">
        <f t="shared" si="52"/>
        <v>1.2417149810550872</v>
      </c>
      <c r="AW35" s="53">
        <f t="shared" si="52"/>
        <v>1.2489524063451252</v>
      </c>
      <c r="AX35" s="53">
        <f t="shared" si="52"/>
        <v>0</v>
      </c>
      <c r="AY35" s="53">
        <f t="shared" si="52"/>
        <v>0</v>
      </c>
      <c r="AZ35" s="53">
        <f t="shared" si="52"/>
        <v>0</v>
      </c>
      <c r="BA35" s="53">
        <f t="shared" si="52"/>
        <v>0</v>
      </c>
      <c r="BB35" s="53">
        <f t="shared" si="52"/>
        <v>0</v>
      </c>
      <c r="BC35" s="53">
        <f t="shared" si="52"/>
        <v>0</v>
      </c>
      <c r="BD35" s="53">
        <f t="shared" si="52"/>
        <v>0</v>
      </c>
      <c r="BE35" s="53">
        <f t="shared" si="52"/>
        <v>0</v>
      </c>
      <c r="BF35" s="53">
        <f t="shared" si="52"/>
        <v>0</v>
      </c>
      <c r="BG35" s="53">
        <f t="shared" si="52"/>
        <v>0</v>
      </c>
      <c r="BH35" s="53">
        <f t="shared" si="52"/>
        <v>0</v>
      </c>
      <c r="BI35" s="53">
        <f t="shared" si="52"/>
        <v>0</v>
      </c>
      <c r="BJ35" s="53">
        <f t="shared" si="52"/>
        <v>0</v>
      </c>
      <c r="BK35" s="53">
        <f t="shared" si="52"/>
        <v>0</v>
      </c>
      <c r="BL35" s="53">
        <f t="shared" si="52"/>
        <v>0</v>
      </c>
      <c r="BM35" s="53">
        <f t="shared" si="52"/>
        <v>0</v>
      </c>
      <c r="BN35" s="53">
        <f t="shared" si="52"/>
        <v>0</v>
      </c>
      <c r="BO35" s="53">
        <f t="shared" si="52"/>
        <v>0</v>
      </c>
      <c r="BP35" s="53">
        <f t="shared" si="52"/>
        <v>0</v>
      </c>
      <c r="BQ35" s="53">
        <f t="shared" si="52"/>
        <v>0</v>
      </c>
      <c r="BR35" s="53">
        <f t="shared" si="52"/>
        <v>0</v>
      </c>
      <c r="BS35" s="53">
        <f t="shared" si="52"/>
        <v>0</v>
      </c>
      <c r="BT35" s="53">
        <f t="shared" si="52"/>
        <v>0</v>
      </c>
      <c r="BU35" s="53">
        <f t="shared" si="50"/>
        <v>0</v>
      </c>
      <c r="BV35" s="53">
        <f t="shared" si="50"/>
        <v>0</v>
      </c>
      <c r="BW35" s="53">
        <f t="shared" si="50"/>
        <v>0</v>
      </c>
      <c r="BX35" s="53">
        <f t="shared" si="50"/>
        <v>0</v>
      </c>
      <c r="BY35" s="53">
        <f t="shared" si="50"/>
        <v>0</v>
      </c>
      <c r="BZ35" s="53">
        <f t="shared" si="50"/>
        <v>0</v>
      </c>
      <c r="CA35" s="53">
        <f t="shared" si="50"/>
        <v>0</v>
      </c>
      <c r="CB35" s="53">
        <f t="shared" si="50"/>
        <v>0</v>
      </c>
      <c r="CC35" s="53">
        <f t="shared" si="50"/>
        <v>0</v>
      </c>
      <c r="CD35" s="53">
        <f t="shared" si="50"/>
        <v>0</v>
      </c>
      <c r="CE35" s="53">
        <f t="shared" si="50"/>
        <v>0</v>
      </c>
      <c r="CF35" s="53">
        <f t="shared" si="50"/>
        <v>0</v>
      </c>
      <c r="CG35" s="53">
        <f t="shared" si="50"/>
        <v>0</v>
      </c>
      <c r="CH35" s="53">
        <f t="shared" si="50"/>
        <v>0</v>
      </c>
      <c r="CI35" s="53">
        <f t="shared" si="50"/>
        <v>0</v>
      </c>
      <c r="CJ35" s="53">
        <f t="shared" si="50"/>
        <v>0</v>
      </c>
      <c r="CK35" s="53">
        <f t="shared" si="50"/>
        <v>0</v>
      </c>
    </row>
    <row r="36" spans="3:89" ht="14.5">
      <c r="C36" t="s">
        <v>6</v>
      </c>
      <c r="D36" t="s">
        <v>161</v>
      </c>
      <c r="E36" t="s">
        <v>131</v>
      </c>
      <c r="F36" t="s">
        <v>165</v>
      </c>
      <c r="G36" s="52">
        <f>VLOOKUP(E36,'BY-Demands'!$I$6:$J$42,2,FALSE)</f>
        <v>1.05169316530962</v>
      </c>
      <c r="H36" s="53">
        <f t="shared" si="48"/>
        <v>1.0848351290947176</v>
      </c>
      <c r="I36" s="53">
        <f t="shared" si="52"/>
        <v>1.1036993974761575</v>
      </c>
      <c r="J36" s="53">
        <f t="shared" si="52"/>
        <v>1.1221942714099173</v>
      </c>
      <c r="K36" s="53">
        <f t="shared" si="52"/>
        <v>1.1400844778449895</v>
      </c>
      <c r="L36" s="53">
        <f t="shared" si="52"/>
        <v>1.1577925628173409</v>
      </c>
      <c r="M36" s="53">
        <f t="shared" si="52"/>
        <v>1.1751310120925686</v>
      </c>
      <c r="N36" s="53">
        <f t="shared" si="52"/>
        <v>1.1916767912601571</v>
      </c>
      <c r="O36" s="53">
        <f t="shared" si="52"/>
        <v>1.2083226323466214</v>
      </c>
      <c r="P36" s="53">
        <f t="shared" si="52"/>
        <v>1.2248334429442533</v>
      </c>
      <c r="Q36" s="53">
        <f t="shared" si="52"/>
        <v>1.2420084968801255</v>
      </c>
      <c r="R36" s="53">
        <f t="shared" si="52"/>
        <v>1.2591897339018747</v>
      </c>
      <c r="S36" s="53">
        <f t="shared" si="52"/>
        <v>1.2761891499732458</v>
      </c>
      <c r="T36" s="53">
        <f t="shared" si="52"/>
        <v>1.2932727143047045</v>
      </c>
      <c r="U36" s="53">
        <f t="shared" si="52"/>
        <v>1.310130958758426</v>
      </c>
      <c r="V36" s="53">
        <f t="shared" si="52"/>
        <v>1.3270901651702867</v>
      </c>
      <c r="W36" s="53">
        <f t="shared" si="52"/>
        <v>1.3439623010537276</v>
      </c>
      <c r="X36" s="53">
        <f t="shared" si="52"/>
        <v>1.3604185549625056</v>
      </c>
      <c r="Y36" s="53">
        <f t="shared" si="52"/>
        <v>1.3764590164517989</v>
      </c>
      <c r="Z36" s="53">
        <f t="shared" si="52"/>
        <v>1.3925061980814994</v>
      </c>
      <c r="AA36" s="53">
        <f t="shared" si="52"/>
        <v>1.4084659494442351</v>
      </c>
      <c r="AB36" s="53">
        <f t="shared" si="52"/>
        <v>1.4238688340874408</v>
      </c>
      <c r="AC36" s="53">
        <f t="shared" si="52"/>
        <v>1.4386675808839529</v>
      </c>
      <c r="AD36" s="53">
        <f t="shared" si="52"/>
        <v>1.4426623692882268</v>
      </c>
      <c r="AE36" s="53">
        <f t="shared" si="52"/>
        <v>1.4555015351099945</v>
      </c>
      <c r="AF36" s="53">
        <f t="shared" si="52"/>
        <v>1.4697749715020831</v>
      </c>
      <c r="AG36" s="53">
        <f t="shared" si="52"/>
        <v>1.4837730176535984</v>
      </c>
      <c r="AH36" s="53">
        <f t="shared" si="52"/>
        <v>1.4974743332894664</v>
      </c>
      <c r="AI36" s="53">
        <f t="shared" si="52"/>
        <v>1.5108682359464269</v>
      </c>
      <c r="AJ36" s="53">
        <f t="shared" si="52"/>
        <v>1.5239209451060849</v>
      </c>
      <c r="AK36" s="53">
        <f t="shared" si="52"/>
        <v>1.5366104034065804</v>
      </c>
      <c r="AL36" s="53">
        <f t="shared" si="52"/>
        <v>1.5488786603406601</v>
      </c>
      <c r="AM36" s="53">
        <f t="shared" si="52"/>
        <v>1.5607221305754697</v>
      </c>
      <c r="AN36" s="53">
        <f t="shared" si="52"/>
        <v>1.5721432698150684</v>
      </c>
      <c r="AO36" s="53">
        <f t="shared" si="52"/>
        <v>1.5835043654030292</v>
      </c>
      <c r="AP36" s="53">
        <f t="shared" si="52"/>
        <v>1.5945364579090151</v>
      </c>
      <c r="AQ36" s="53">
        <f t="shared" si="52"/>
        <v>1.6052710711058449</v>
      </c>
      <c r="AR36" s="53">
        <f t="shared" si="52"/>
        <v>1.6157514987777579</v>
      </c>
      <c r="AS36" s="53">
        <f t="shared" si="52"/>
        <v>1.6260000771704106</v>
      </c>
      <c r="AT36" s="53">
        <f t="shared" si="52"/>
        <v>1.6360313296314319</v>
      </c>
      <c r="AU36" s="53">
        <f t="shared" si="52"/>
        <v>1.6458918301906118</v>
      </c>
      <c r="AV36" s="53">
        <f t="shared" si="52"/>
        <v>1.6556239084971063</v>
      </c>
      <c r="AW36" s="53">
        <f t="shared" si="52"/>
        <v>1.6652738318120097</v>
      </c>
      <c r="AX36" s="53">
        <f t="shared" si="52"/>
        <v>0</v>
      </c>
      <c r="AY36" s="53">
        <f t="shared" si="52"/>
        <v>0</v>
      </c>
      <c r="AZ36" s="53">
        <f t="shared" si="52"/>
        <v>0</v>
      </c>
      <c r="BA36" s="53">
        <f t="shared" si="52"/>
        <v>0</v>
      </c>
      <c r="BB36" s="53">
        <f t="shared" si="52"/>
        <v>0</v>
      </c>
      <c r="BC36" s="53">
        <f t="shared" si="52"/>
        <v>0</v>
      </c>
      <c r="BD36" s="53">
        <f t="shared" si="52"/>
        <v>0</v>
      </c>
      <c r="BE36" s="53">
        <f t="shared" si="52"/>
        <v>0</v>
      </c>
      <c r="BF36" s="53">
        <f t="shared" si="52"/>
        <v>0</v>
      </c>
      <c r="BG36" s="53">
        <f t="shared" si="52"/>
        <v>0</v>
      </c>
      <c r="BH36" s="53">
        <f t="shared" si="52"/>
        <v>0</v>
      </c>
      <c r="BI36" s="53">
        <f t="shared" si="52"/>
        <v>0</v>
      </c>
      <c r="BJ36" s="53">
        <f t="shared" si="52"/>
        <v>0</v>
      </c>
      <c r="BK36" s="53">
        <f t="shared" si="52"/>
        <v>0</v>
      </c>
      <c r="BL36" s="53">
        <f t="shared" si="52"/>
        <v>0</v>
      </c>
      <c r="BM36" s="53">
        <f t="shared" si="52"/>
        <v>0</v>
      </c>
      <c r="BN36" s="53">
        <f t="shared" si="52"/>
        <v>0</v>
      </c>
      <c r="BO36" s="53">
        <f t="shared" si="52"/>
        <v>0</v>
      </c>
      <c r="BP36" s="53">
        <f t="shared" si="52"/>
        <v>0</v>
      </c>
      <c r="BQ36" s="53">
        <f t="shared" si="52"/>
        <v>0</v>
      </c>
      <c r="BR36" s="53">
        <f t="shared" si="52"/>
        <v>0</v>
      </c>
      <c r="BS36" s="53">
        <f t="shared" si="52"/>
        <v>0</v>
      </c>
      <c r="BT36" s="53">
        <f t="shared" si="52"/>
        <v>0</v>
      </c>
      <c r="BU36" s="53">
        <f t="shared" si="50"/>
        <v>0</v>
      </c>
      <c r="BV36" s="53">
        <f t="shared" si="50"/>
        <v>0</v>
      </c>
      <c r="BW36" s="53">
        <f t="shared" si="50"/>
        <v>0</v>
      </c>
      <c r="BX36" s="53">
        <f t="shared" si="50"/>
        <v>0</v>
      </c>
      <c r="BY36" s="53">
        <f t="shared" si="50"/>
        <v>0</v>
      </c>
      <c r="BZ36" s="53">
        <f t="shared" si="50"/>
        <v>0</v>
      </c>
      <c r="CA36" s="53">
        <f t="shared" si="50"/>
        <v>0</v>
      </c>
      <c r="CB36" s="53">
        <f t="shared" si="50"/>
        <v>0</v>
      </c>
      <c r="CC36" s="53">
        <f t="shared" si="50"/>
        <v>0</v>
      </c>
      <c r="CD36" s="53">
        <f t="shared" si="50"/>
        <v>0</v>
      </c>
      <c r="CE36" s="53">
        <f t="shared" si="50"/>
        <v>0</v>
      </c>
      <c r="CF36" s="53">
        <f t="shared" si="50"/>
        <v>0</v>
      </c>
      <c r="CG36" s="53">
        <f t="shared" si="50"/>
        <v>0</v>
      </c>
      <c r="CH36" s="53">
        <f t="shared" si="50"/>
        <v>0</v>
      </c>
      <c r="CI36" s="53">
        <f t="shared" si="50"/>
        <v>0</v>
      </c>
      <c r="CJ36" s="53">
        <f t="shared" si="50"/>
        <v>0</v>
      </c>
      <c r="CK36" s="53">
        <f t="shared" si="50"/>
        <v>0</v>
      </c>
    </row>
    <row r="37" spans="3:89" ht="14.5">
      <c r="C37" t="s">
        <v>6</v>
      </c>
      <c r="D37" t="s">
        <v>161</v>
      </c>
      <c r="E37" t="s">
        <v>132</v>
      </c>
      <c r="F37" t="s">
        <v>166</v>
      </c>
      <c r="G37" s="52">
        <f>VLOOKUP(E37,'BY-Demands'!$I$6:$J$42,2,FALSE)</f>
        <v>0.84878652127122001</v>
      </c>
      <c r="H37" s="53">
        <f t="shared" si="48"/>
        <v>0.8755342962660001</v>
      </c>
      <c r="I37" s="53">
        <f t="shared" si="52"/>
        <v>0.89075901889800024</v>
      </c>
      <c r="J37" s="53">
        <f t="shared" si="52"/>
        <v>0.90568561557600002</v>
      </c>
      <c r="K37" s="53">
        <f t="shared" si="52"/>
        <v>0.92012420525760008</v>
      </c>
      <c r="L37" s="53">
        <f t="shared" si="52"/>
        <v>0.93441581077319957</v>
      </c>
      <c r="M37" s="53">
        <f t="shared" si="52"/>
        <v>0.94840909563040932</v>
      </c>
      <c r="N37" s="53">
        <f t="shared" si="52"/>
        <v>0.96176264284799995</v>
      </c>
      <c r="O37" s="53">
        <f t="shared" si="52"/>
        <v>0.97519694670720014</v>
      </c>
      <c r="P37" s="53">
        <f t="shared" si="52"/>
        <v>0.9885222719568002</v>
      </c>
      <c r="Q37" s="53">
        <f t="shared" si="52"/>
        <v>1.0023836858784001</v>
      </c>
      <c r="R37" s="53">
        <f t="shared" si="52"/>
        <v>1.0162500899626501</v>
      </c>
      <c r="S37" s="53">
        <f t="shared" si="52"/>
        <v>1.0299697524144007</v>
      </c>
      <c r="T37" s="53">
        <f t="shared" si="52"/>
        <v>1.0437573281238453</v>
      </c>
      <c r="U37" s="53">
        <f t="shared" si="52"/>
        <v>1.0573630556654914</v>
      </c>
      <c r="V37" s="53">
        <f t="shared" si="52"/>
        <v>1.071050266240456</v>
      </c>
      <c r="W37" s="53">
        <f t="shared" si="52"/>
        <v>1.0846672050922981</v>
      </c>
      <c r="X37" s="53">
        <f t="shared" si="52"/>
        <v>1.0979484994556357</v>
      </c>
      <c r="Y37" s="53">
        <f t="shared" si="52"/>
        <v>1.1108942216074706</v>
      </c>
      <c r="Z37" s="53">
        <f t="shared" si="52"/>
        <v>1.1238453673607769</v>
      </c>
      <c r="AA37" s="53">
        <f t="shared" si="52"/>
        <v>1.1367259510579641</v>
      </c>
      <c r="AB37" s="53">
        <f t="shared" si="52"/>
        <v>1.1491571061753405</v>
      </c>
      <c r="AC37" s="53">
        <f t="shared" si="52"/>
        <v>1.1611006817607983</v>
      </c>
      <c r="AD37" s="53">
        <f t="shared" si="52"/>
        <v>1.1643247424133938</v>
      </c>
      <c r="AE37" s="53">
        <f t="shared" si="52"/>
        <v>1.1746868054688044</v>
      </c>
      <c r="AF37" s="53">
        <f t="shared" si="52"/>
        <v>1.1862064205252172</v>
      </c>
      <c r="AG37" s="53">
        <f t="shared" si="52"/>
        <v>1.197503777291856</v>
      </c>
      <c r="AH37" s="53">
        <f t="shared" si="52"/>
        <v>1.208561652743565</v>
      </c>
      <c r="AI37" s="53">
        <f t="shared" si="52"/>
        <v>1.2193714254200851</v>
      </c>
      <c r="AJ37" s="53">
        <f t="shared" si="52"/>
        <v>1.2299058321902663</v>
      </c>
      <c r="AK37" s="53">
        <f t="shared" si="52"/>
        <v>1.2401470712920941</v>
      </c>
      <c r="AL37" s="53">
        <f t="shared" si="52"/>
        <v>1.2500483728015257</v>
      </c>
      <c r="AM37" s="53">
        <f t="shared" si="52"/>
        <v>1.2596068431158438</v>
      </c>
      <c r="AN37" s="53">
        <f t="shared" si="52"/>
        <v>1.2688244641519939</v>
      </c>
      <c r="AO37" s="53">
        <f t="shared" si="52"/>
        <v>1.2779936259569924</v>
      </c>
      <c r="AP37" s="53">
        <f t="shared" si="52"/>
        <v>1.286897260333794</v>
      </c>
      <c r="AQ37" s="53">
        <f t="shared" si="52"/>
        <v>1.2955608090693673</v>
      </c>
      <c r="AR37" s="53">
        <f t="shared" si="52"/>
        <v>1.3040192131348334</v>
      </c>
      <c r="AS37" s="53">
        <f t="shared" si="52"/>
        <v>1.3122904993700293</v>
      </c>
      <c r="AT37" s="53">
        <f t="shared" si="52"/>
        <v>1.3203863890850462</v>
      </c>
      <c r="AU37" s="53">
        <f t="shared" si="52"/>
        <v>1.3283444706279219</v>
      </c>
      <c r="AV37" s="53">
        <f t="shared" si="52"/>
        <v>1.3361989068484683</v>
      </c>
      <c r="AW37" s="53">
        <f t="shared" si="52"/>
        <v>1.3439870385119268</v>
      </c>
      <c r="AX37" s="53">
        <f t="shared" si="52"/>
        <v>0</v>
      </c>
      <c r="AY37" s="53">
        <f t="shared" si="52"/>
        <v>0</v>
      </c>
      <c r="AZ37" s="53">
        <f t="shared" si="52"/>
        <v>0</v>
      </c>
      <c r="BA37" s="53">
        <f t="shared" si="52"/>
        <v>0</v>
      </c>
      <c r="BB37" s="53">
        <f t="shared" si="52"/>
        <v>0</v>
      </c>
      <c r="BC37" s="53">
        <f t="shared" si="52"/>
        <v>0</v>
      </c>
      <c r="BD37" s="53">
        <f t="shared" si="52"/>
        <v>0</v>
      </c>
      <c r="BE37" s="53">
        <f t="shared" si="52"/>
        <v>0</v>
      </c>
      <c r="BF37" s="53">
        <f t="shared" si="52"/>
        <v>0</v>
      </c>
      <c r="BG37" s="53">
        <f t="shared" si="52"/>
        <v>0</v>
      </c>
      <c r="BH37" s="53">
        <f t="shared" si="52"/>
        <v>0</v>
      </c>
      <c r="BI37" s="53">
        <f t="shared" si="52"/>
        <v>0</v>
      </c>
      <c r="BJ37" s="53">
        <f t="shared" si="52"/>
        <v>0</v>
      </c>
      <c r="BK37" s="53">
        <f t="shared" si="52"/>
        <v>0</v>
      </c>
      <c r="BL37" s="53">
        <f t="shared" si="52"/>
        <v>0</v>
      </c>
      <c r="BM37" s="53">
        <f t="shared" si="52"/>
        <v>0</v>
      </c>
      <c r="BN37" s="53">
        <f t="shared" si="52"/>
        <v>0</v>
      </c>
      <c r="BO37" s="53">
        <f t="shared" si="52"/>
        <v>0</v>
      </c>
      <c r="BP37" s="53">
        <f t="shared" si="52"/>
        <v>0</v>
      </c>
      <c r="BQ37" s="53">
        <f t="shared" si="52"/>
        <v>0</v>
      </c>
      <c r="BR37" s="53">
        <f t="shared" si="52"/>
        <v>0</v>
      </c>
      <c r="BS37" s="53">
        <f t="shared" si="52"/>
        <v>0</v>
      </c>
      <c r="BT37" s="53">
        <f t="shared" si="52"/>
        <v>0</v>
      </c>
      <c r="BU37" s="53">
        <f t="shared" si="50"/>
        <v>0</v>
      </c>
      <c r="BV37" s="53">
        <f t="shared" si="50"/>
        <v>0</v>
      </c>
      <c r="BW37" s="53">
        <f t="shared" si="50"/>
        <v>0</v>
      </c>
      <c r="BX37" s="53">
        <f t="shared" si="50"/>
        <v>0</v>
      </c>
      <c r="BY37" s="53">
        <f t="shared" si="50"/>
        <v>0</v>
      </c>
      <c r="BZ37" s="53">
        <f t="shared" si="50"/>
        <v>0</v>
      </c>
      <c r="CA37" s="53">
        <f t="shared" si="50"/>
        <v>0</v>
      </c>
      <c r="CB37" s="53">
        <f t="shared" si="50"/>
        <v>0</v>
      </c>
      <c r="CC37" s="53">
        <f t="shared" si="50"/>
        <v>0</v>
      </c>
      <c r="CD37" s="53">
        <f t="shared" si="50"/>
        <v>0</v>
      </c>
      <c r="CE37" s="53">
        <f t="shared" si="50"/>
        <v>0</v>
      </c>
      <c r="CF37" s="53">
        <f t="shared" si="50"/>
        <v>0</v>
      </c>
      <c r="CG37" s="53">
        <f t="shared" si="50"/>
        <v>0</v>
      </c>
      <c r="CH37" s="53">
        <f t="shared" si="50"/>
        <v>0</v>
      </c>
      <c r="CI37" s="53">
        <f t="shared" si="50"/>
        <v>0</v>
      </c>
      <c r="CJ37" s="53">
        <f t="shared" si="50"/>
        <v>0</v>
      </c>
      <c r="CK37" s="53">
        <f t="shared" si="50"/>
        <v>0</v>
      </c>
    </row>
    <row r="38" spans="3:89" ht="14.5">
      <c r="C38" t="s">
        <v>6</v>
      </c>
      <c r="D38" t="s">
        <v>161</v>
      </c>
      <c r="E38" t="s">
        <v>133</v>
      </c>
      <c r="F38" t="s">
        <v>167</v>
      </c>
      <c r="G38" s="52">
        <f>VLOOKUP(E38,'BY-Demands'!$I$6:$J$42,2,FALSE)</f>
        <v>9.2169270601308995</v>
      </c>
      <c r="H38" s="53">
        <f t="shared" si="48"/>
        <v>9.5073797063138894</v>
      </c>
      <c r="I38" s="53">
        <f t="shared" si="52"/>
        <v>9.6727041483181129</v>
      </c>
      <c r="J38" s="53">
        <f t="shared" si="52"/>
        <v>9.8347912566655307</v>
      </c>
      <c r="K38" s="53">
        <f t="shared" si="52"/>
        <v>9.9915791233568569</v>
      </c>
      <c r="L38" s="53">
        <f t="shared" si="52"/>
        <v>10.146770896916316</v>
      </c>
      <c r="M38" s="53">
        <f t="shared" si="52"/>
        <v>10.298723222534509</v>
      </c>
      <c r="N38" s="53">
        <f t="shared" si="52"/>
        <v>10.443728671624598</v>
      </c>
      <c r="O38" s="53">
        <f t="shared" si="52"/>
        <v>10.589611052730783</v>
      </c>
      <c r="P38" s="53">
        <f t="shared" si="52"/>
        <v>10.734310040992449</v>
      </c>
      <c r="Q38" s="53">
        <f t="shared" si="52"/>
        <v>10.884830387232544</v>
      </c>
      <c r="R38" s="53">
        <f t="shared" si="52"/>
        <v>11.03540492137974</v>
      </c>
      <c r="S38" s="53">
        <f t="shared" si="52"/>
        <v>11.18438599605328</v>
      </c>
      <c r="T38" s="53">
        <f t="shared" si="52"/>
        <v>11.334104537129614</v>
      </c>
      <c r="U38" s="53">
        <f t="shared" si="52"/>
        <v>11.481848398758745</v>
      </c>
      <c r="V38" s="53">
        <f t="shared" si="52"/>
        <v>11.630477080252367</v>
      </c>
      <c r="W38" s="53">
        <f t="shared" si="52"/>
        <v>11.7783426848943</v>
      </c>
      <c r="X38" s="53">
        <f t="shared" si="52"/>
        <v>11.922563544136592</v>
      </c>
      <c r="Y38" s="53">
        <f t="shared" si="52"/>
        <v>12.063140442831305</v>
      </c>
      <c r="Z38" s="53">
        <f t="shared" si="52"/>
        <v>12.203776236121907</v>
      </c>
      <c r="AA38" s="53">
        <f t="shared" si="52"/>
        <v>12.343645799850465</v>
      </c>
      <c r="AB38" s="53">
        <f t="shared" si="52"/>
        <v>12.478635042868166</v>
      </c>
      <c r="AC38" s="53">
        <f t="shared" si="52"/>
        <v>12.608329686043525</v>
      </c>
      <c r="AD38" s="53">
        <f t="shared" si="52"/>
        <v>12.643339586799144</v>
      </c>
      <c r="AE38" s="53">
        <f t="shared" si="52"/>
        <v>12.755860670700379</v>
      </c>
      <c r="AF38" s="53">
        <f t="shared" si="52"/>
        <v>12.880951549354677</v>
      </c>
      <c r="AG38" s="53">
        <f t="shared" si="52"/>
        <v>13.003628937226525</v>
      </c>
      <c r="AH38" s="53">
        <f t="shared" si="52"/>
        <v>13.123705810414579</v>
      </c>
      <c r="AI38" s="53">
        <f t="shared" si="52"/>
        <v>13.241088548946834</v>
      </c>
      <c r="AJ38" s="53">
        <f t="shared" si="52"/>
        <v>13.35548110395241</v>
      </c>
      <c r="AK38" s="53">
        <f t="shared" si="52"/>
        <v>13.466690167057626</v>
      </c>
      <c r="AL38" s="53">
        <f t="shared" si="52"/>
        <v>13.574207866179563</v>
      </c>
      <c r="AM38" s="53">
        <f t="shared" si="52"/>
        <v>13.678002779842364</v>
      </c>
      <c r="AN38" s="53">
        <f t="shared" si="52"/>
        <v>13.778096429575259</v>
      </c>
      <c r="AO38" s="53">
        <f t="shared" si="52"/>
        <v>13.877663863130445</v>
      </c>
      <c r="AP38" s="53">
        <f t="shared" si="52"/>
        <v>13.974347948662516</v>
      </c>
      <c r="AQ38" s="53">
        <f t="shared" si="52"/>
        <v>14.068424957164106</v>
      </c>
      <c r="AR38" s="53">
        <f t="shared" si="52"/>
        <v>14.160274310756282</v>
      </c>
      <c r="AS38" s="53">
        <f t="shared" si="52"/>
        <v>14.250091761920668</v>
      </c>
      <c r="AT38" s="53">
        <f t="shared" si="52"/>
        <v>14.338004591731417</v>
      </c>
      <c r="AU38" s="53">
        <f t="shared" si="52"/>
        <v>14.424420970032767</v>
      </c>
      <c r="AV38" s="53">
        <f t="shared" si="52"/>
        <v>14.509711869368445</v>
      </c>
      <c r="AW38" s="53">
        <f t="shared" si="52"/>
        <v>14.594282771094459</v>
      </c>
      <c r="AX38" s="53">
        <f t="shared" si="52"/>
        <v>0</v>
      </c>
      <c r="AY38" s="53">
        <f t="shared" si="52"/>
        <v>0</v>
      </c>
      <c r="AZ38" s="53">
        <f t="shared" si="52"/>
        <v>0</v>
      </c>
      <c r="BA38" s="53">
        <f t="shared" si="52"/>
        <v>0</v>
      </c>
      <c r="BB38" s="53">
        <f t="shared" si="52"/>
        <v>0</v>
      </c>
      <c r="BC38" s="53">
        <f t="shared" si="52"/>
        <v>0</v>
      </c>
      <c r="BD38" s="53">
        <f t="shared" si="52"/>
        <v>0</v>
      </c>
      <c r="BE38" s="53">
        <f t="shared" si="52"/>
        <v>0</v>
      </c>
      <c r="BF38" s="53">
        <f t="shared" si="52"/>
        <v>0</v>
      </c>
      <c r="BG38" s="53">
        <f t="shared" si="52"/>
        <v>0</v>
      </c>
      <c r="BH38" s="53">
        <f t="shared" si="52"/>
        <v>0</v>
      </c>
      <c r="BI38" s="53">
        <f t="shared" si="52"/>
        <v>0</v>
      </c>
      <c r="BJ38" s="53">
        <f t="shared" si="52"/>
        <v>0</v>
      </c>
      <c r="BK38" s="53">
        <f t="shared" si="52"/>
        <v>0</v>
      </c>
      <c r="BL38" s="53">
        <f t="shared" si="52"/>
        <v>0</v>
      </c>
      <c r="BM38" s="53">
        <f t="shared" si="52"/>
        <v>0</v>
      </c>
      <c r="BN38" s="53">
        <f t="shared" si="52"/>
        <v>0</v>
      </c>
      <c r="BO38" s="53">
        <f t="shared" si="52"/>
        <v>0</v>
      </c>
      <c r="BP38" s="53">
        <f t="shared" si="52"/>
        <v>0</v>
      </c>
      <c r="BQ38" s="53">
        <f t="shared" si="52"/>
        <v>0</v>
      </c>
      <c r="BR38" s="53">
        <f t="shared" si="52"/>
        <v>0</v>
      </c>
      <c r="BS38" s="53">
        <f t="shared" si="52"/>
        <v>0</v>
      </c>
      <c r="BT38" s="53">
        <f t="shared" si="53" ref="BT38:CK39">$G38*SUM(BT$26:BT$28)/SUM($G$26:$G$28)</f>
        <v>0</v>
      </c>
      <c r="BU38" s="53">
        <f t="shared" si="53"/>
        <v>0</v>
      </c>
      <c r="BV38" s="53">
        <f t="shared" si="53"/>
        <v>0</v>
      </c>
      <c r="BW38" s="53">
        <f t="shared" si="53"/>
        <v>0</v>
      </c>
      <c r="BX38" s="53">
        <f t="shared" si="53"/>
        <v>0</v>
      </c>
      <c r="BY38" s="53">
        <f t="shared" si="53"/>
        <v>0</v>
      </c>
      <c r="BZ38" s="53">
        <f t="shared" si="53"/>
        <v>0</v>
      </c>
      <c r="CA38" s="53">
        <f t="shared" si="53"/>
        <v>0</v>
      </c>
      <c r="CB38" s="53">
        <f t="shared" si="53"/>
        <v>0</v>
      </c>
      <c r="CC38" s="53">
        <f t="shared" si="53"/>
        <v>0</v>
      </c>
      <c r="CD38" s="53">
        <f t="shared" si="53"/>
        <v>0</v>
      </c>
      <c r="CE38" s="53">
        <f t="shared" si="53"/>
        <v>0</v>
      </c>
      <c r="CF38" s="53">
        <f t="shared" si="53"/>
        <v>0</v>
      </c>
      <c r="CG38" s="53">
        <f t="shared" si="53"/>
        <v>0</v>
      </c>
      <c r="CH38" s="53">
        <f t="shared" si="53"/>
        <v>0</v>
      </c>
      <c r="CI38" s="53">
        <f t="shared" si="53"/>
        <v>0</v>
      </c>
      <c r="CJ38" s="53">
        <f t="shared" si="53"/>
        <v>0</v>
      </c>
      <c r="CK38" s="53">
        <f t="shared" si="53"/>
        <v>0</v>
      </c>
    </row>
    <row r="39" spans="3:89" ht="14.5">
      <c r="C39" t="s">
        <v>6</v>
      </c>
      <c r="D39" t="s">
        <v>161</v>
      </c>
      <c r="E39" t="s">
        <v>134</v>
      </c>
      <c r="F39" t="s">
        <v>168</v>
      </c>
      <c r="G39" s="33">
        <f>VLOOKUP(E39,'BY-Demands'!$I$6:$J$42,2,FALSE)</f>
        <v>0</v>
      </c>
      <c r="H39">
        <f t="shared" si="48"/>
        <v>0</v>
      </c>
      <c r="I39">
        <f t="shared" si="54" ref="I39:BT39">$G39*SUM(I$26:I$28)/SUM($G$26:$G$28)</f>
        <v>0</v>
      </c>
      <c r="J39">
        <f t="shared" si="54"/>
        <v>0</v>
      </c>
      <c r="K39">
        <f t="shared" si="54"/>
        <v>0</v>
      </c>
      <c r="L39">
        <f t="shared" si="54"/>
        <v>0</v>
      </c>
      <c r="M39">
        <f t="shared" si="54"/>
        <v>0</v>
      </c>
      <c r="N39">
        <f t="shared" si="54"/>
        <v>0</v>
      </c>
      <c r="O39">
        <f t="shared" si="54"/>
        <v>0</v>
      </c>
      <c r="P39">
        <f t="shared" si="54"/>
        <v>0</v>
      </c>
      <c r="Q39">
        <f t="shared" si="54"/>
        <v>0</v>
      </c>
      <c r="R39">
        <f t="shared" si="54"/>
        <v>0</v>
      </c>
      <c r="S39">
        <f t="shared" si="54"/>
        <v>0</v>
      </c>
      <c r="T39">
        <f t="shared" si="54"/>
        <v>0</v>
      </c>
      <c r="U39">
        <f t="shared" si="54"/>
        <v>0</v>
      </c>
      <c r="V39">
        <f t="shared" si="54"/>
        <v>0</v>
      </c>
      <c r="W39">
        <f t="shared" si="54"/>
        <v>0</v>
      </c>
      <c r="X39">
        <f t="shared" si="54"/>
        <v>0</v>
      </c>
      <c r="Y39">
        <f t="shared" si="54"/>
        <v>0</v>
      </c>
      <c r="Z39">
        <f t="shared" si="54"/>
        <v>0</v>
      </c>
      <c r="AA39">
        <f t="shared" si="54"/>
        <v>0</v>
      </c>
      <c r="AB39">
        <f t="shared" si="54"/>
        <v>0</v>
      </c>
      <c r="AC39">
        <f t="shared" si="54"/>
        <v>0</v>
      </c>
      <c r="AD39">
        <f t="shared" si="54"/>
        <v>0</v>
      </c>
      <c r="AE39">
        <f t="shared" si="54"/>
        <v>0</v>
      </c>
      <c r="AF39">
        <f t="shared" si="54"/>
        <v>0</v>
      </c>
      <c r="AG39">
        <f t="shared" si="54"/>
        <v>0</v>
      </c>
      <c r="AH39">
        <f t="shared" si="54"/>
        <v>0</v>
      </c>
      <c r="AI39">
        <f t="shared" si="54"/>
        <v>0</v>
      </c>
      <c r="AJ39">
        <f t="shared" si="54"/>
        <v>0</v>
      </c>
      <c r="AK39">
        <f t="shared" si="54"/>
        <v>0</v>
      </c>
      <c r="AL39">
        <f t="shared" si="54"/>
        <v>0</v>
      </c>
      <c r="AM39">
        <f t="shared" si="54"/>
        <v>0</v>
      </c>
      <c r="AN39">
        <f t="shared" si="54"/>
        <v>0</v>
      </c>
      <c r="AO39">
        <f t="shared" si="54"/>
        <v>0</v>
      </c>
      <c r="AP39">
        <f t="shared" si="54"/>
        <v>0</v>
      </c>
      <c r="AQ39">
        <f t="shared" si="54"/>
        <v>0</v>
      </c>
      <c r="AR39">
        <f t="shared" si="54"/>
        <v>0</v>
      </c>
      <c r="AS39">
        <f t="shared" si="54"/>
        <v>0</v>
      </c>
      <c r="AT39">
        <f t="shared" si="54"/>
        <v>0</v>
      </c>
      <c r="AU39">
        <f t="shared" si="54"/>
        <v>0</v>
      </c>
      <c r="AV39">
        <f t="shared" si="54"/>
        <v>0</v>
      </c>
      <c r="AW39">
        <f t="shared" si="54"/>
        <v>0</v>
      </c>
      <c r="AX39">
        <f t="shared" si="54"/>
        <v>0</v>
      </c>
      <c r="AY39">
        <f t="shared" si="54"/>
        <v>0</v>
      </c>
      <c r="AZ39">
        <f t="shared" si="54"/>
        <v>0</v>
      </c>
      <c r="BA39">
        <f t="shared" si="54"/>
        <v>0</v>
      </c>
      <c r="BB39">
        <f t="shared" si="54"/>
        <v>0</v>
      </c>
      <c r="BC39">
        <f t="shared" si="54"/>
        <v>0</v>
      </c>
      <c r="BD39">
        <f t="shared" si="54"/>
        <v>0</v>
      </c>
      <c r="BE39">
        <f t="shared" si="54"/>
        <v>0</v>
      </c>
      <c r="BF39">
        <f t="shared" si="54"/>
        <v>0</v>
      </c>
      <c r="BG39">
        <f t="shared" si="54"/>
        <v>0</v>
      </c>
      <c r="BH39">
        <f t="shared" si="54"/>
        <v>0</v>
      </c>
      <c r="BI39">
        <f t="shared" si="54"/>
        <v>0</v>
      </c>
      <c r="BJ39">
        <f t="shared" si="54"/>
        <v>0</v>
      </c>
      <c r="BK39">
        <f t="shared" si="54"/>
        <v>0</v>
      </c>
      <c r="BL39">
        <f t="shared" si="54"/>
        <v>0</v>
      </c>
      <c r="BM39">
        <f t="shared" si="54"/>
        <v>0</v>
      </c>
      <c r="BN39">
        <f t="shared" si="54"/>
        <v>0</v>
      </c>
      <c r="BO39">
        <f t="shared" si="54"/>
        <v>0</v>
      </c>
      <c r="BP39">
        <f t="shared" si="54"/>
        <v>0</v>
      </c>
      <c r="BQ39">
        <f t="shared" si="54"/>
        <v>0</v>
      </c>
      <c r="BR39">
        <f t="shared" si="54"/>
        <v>0</v>
      </c>
      <c r="BS39">
        <f t="shared" si="54"/>
        <v>0</v>
      </c>
      <c r="BT39">
        <f t="shared" si="54"/>
        <v>0</v>
      </c>
      <c r="BU39">
        <f t="shared" si="53"/>
        <v>0</v>
      </c>
      <c r="BV39">
        <f t="shared" si="53"/>
        <v>0</v>
      </c>
      <c r="BW39">
        <f t="shared" si="53"/>
        <v>0</v>
      </c>
      <c r="BX39">
        <f t="shared" si="53"/>
        <v>0</v>
      </c>
      <c r="BY39">
        <f t="shared" si="53"/>
        <v>0</v>
      </c>
      <c r="BZ39">
        <f t="shared" si="53"/>
        <v>0</v>
      </c>
      <c r="CA39">
        <f t="shared" si="53"/>
        <v>0</v>
      </c>
      <c r="CB39">
        <f t="shared" si="53"/>
        <v>0</v>
      </c>
      <c r="CC39">
        <f t="shared" si="53"/>
        <v>0</v>
      </c>
      <c r="CD39">
        <f t="shared" si="53"/>
        <v>0</v>
      </c>
      <c r="CE39">
        <f t="shared" si="53"/>
        <v>0</v>
      </c>
      <c r="CF39">
        <f t="shared" si="53"/>
        <v>0</v>
      </c>
      <c r="CG39">
        <f t="shared" si="53"/>
        <v>0</v>
      </c>
      <c r="CH39">
        <f t="shared" si="53"/>
        <v>0</v>
      </c>
      <c r="CI39">
        <f t="shared" si="53"/>
        <v>0</v>
      </c>
      <c r="CJ39">
        <f t="shared" si="53"/>
        <v>0</v>
      </c>
      <c r="CK39">
        <f t="shared" si="53"/>
        <v>0</v>
      </c>
    </row>
    <row r="43" spans="6:20" ht="14.5">
      <c r="F43" t="s">
        <v>201</v>
      </c>
      <c r="G43" s="61">
        <v>44562</v>
      </c>
      <c r="H43" s="61">
        <v>44593</v>
      </c>
      <c r="I43" s="61">
        <v>44621</v>
      </c>
      <c r="J43" s="61">
        <v>44652</v>
      </c>
      <c r="K43" s="61">
        <v>44682</v>
      </c>
      <c r="L43" s="61">
        <v>44713</v>
      </c>
      <c r="M43" s="61">
        <v>44743</v>
      </c>
      <c r="N43" s="61">
        <v>44774</v>
      </c>
      <c r="O43" s="61">
        <v>44805</v>
      </c>
      <c r="P43" s="61">
        <v>44835</v>
      </c>
      <c r="Q43" s="61">
        <v>44866</v>
      </c>
      <c r="R43" s="61">
        <v>44896</v>
      </c>
      <c r="S43" t="s">
        <v>202</v>
      </c>
      <c r="T43" s="73" t="s">
        <v>198</v>
      </c>
    </row>
    <row r="44" spans="6:20" ht="14.5">
      <c r="F44" t="s">
        <v>199</v>
      </c>
      <c r="G44" s="74">
        <v>2980</v>
      </c>
      <c r="H44" s="74">
        <v>2761</v>
      </c>
      <c r="I44" s="74">
        <v>2739</v>
      </c>
      <c r="J44" s="74">
        <v>2493</v>
      </c>
      <c r="K44" s="74">
        <v>2501</v>
      </c>
      <c r="L44" s="74">
        <v>2404</v>
      </c>
      <c r="M44" s="74">
        <v>2484</v>
      </c>
      <c r="N44" s="74">
        <v>2556</v>
      </c>
      <c r="O44" s="74">
        <v>2472</v>
      </c>
      <c r="P44" s="74">
        <v>2676</v>
      </c>
      <c r="Q44" s="74">
        <v>2847</v>
      </c>
      <c r="R44" s="74">
        <v>2964</v>
      </c>
      <c r="S44">
        <f>SUM(G44:R44)</f>
        <v>31877</v>
      </c>
      <c r="T44" s="60">
        <f>S44*3.6/1000</f>
        <v>114.7572</v>
      </c>
    </row>
    <row r="45" spans="6:20" ht="14.5">
      <c r="F45" t="s">
        <v>200</v>
      </c>
      <c r="G45">
        <v>-42</v>
      </c>
      <c r="H45">
        <v>-59</v>
      </c>
      <c r="I45">
        <v>112</v>
      </c>
      <c r="J45">
        <v>120</v>
      </c>
      <c r="K45">
        <v>65</v>
      </c>
      <c r="L45">
        <v>47</v>
      </c>
      <c r="M45">
        <v>34</v>
      </c>
      <c r="N45">
        <v>-19</v>
      </c>
      <c r="O45">
        <v>13</v>
      </c>
      <c r="P45">
        <v>-2</v>
      </c>
      <c r="Q45">
        <v>-58</v>
      </c>
      <c r="R45">
        <v>41</v>
      </c>
      <c r="S45">
        <f>SUM(G45:R45)</f>
        <v>252</v>
      </c>
      <c r="T45" s="60">
        <f>S45*3.6/1000</f>
        <v>0.90720000000000001</v>
      </c>
    </row>
    <row r="46" spans="6:6" ht="14.5">
      <c r="F46" t="s">
        <v>205</v>
      </c>
    </row>
    <row r="47" spans="6:7" ht="14.5">
      <c r="F47" t="s">
        <v>203</v>
      </c>
      <c r="G47">
        <v>129.69999999999999</v>
      </c>
    </row>
    <row r="48" spans="6:7" ht="14.5">
      <c r="F48" t="s">
        <v>204</v>
      </c>
      <c r="G48" s="83">
        <f>1-(G47/T44)</f>
        <v>-0.13021230911873061</v>
      </c>
    </row>
    <row r="53" spans="7:7" ht="14.5">
      <c r="G53" t="s">
        <v>206</v>
      </c>
    </row>
    <row r="54" spans="6:11" ht="15" thickBot="1">
      <c r="F54" s="54" t="s">
        <v>59</v>
      </c>
      <c r="G54" s="54">
        <v>2022</v>
      </c>
      <c r="J54" s="89" t="s">
        <v>208</v>
      </c>
      <c r="K54" s="89" t="s">
        <v>61</v>
      </c>
    </row>
    <row r="55" spans="6:12" ht="14.5">
      <c r="F55" s="35" t="s">
        <v>8</v>
      </c>
      <c r="G55" s="53">
        <v>1.7028384806625201</v>
      </c>
      <c r="J55" t="s">
        <v>211</v>
      </c>
      <c r="K55" s="53">
        <v>10.40</v>
      </c>
      <c r="L55" s="83">
        <f>+(AM3/G3-1)/(2050-2018)</f>
        <v>0.0085659047320773354</v>
      </c>
    </row>
    <row r="56" spans="6:12" ht="14.5">
      <c r="F56" s="35" t="s">
        <v>10</v>
      </c>
      <c r="G56" s="53">
        <v>23.738094411807602</v>
      </c>
      <c r="J56" t="s">
        <v>17</v>
      </c>
      <c r="K56" s="53">
        <v>5.70</v>
      </c>
      <c r="L56" s="83">
        <f t="shared" si="55" ref="L56:L63">+(AM4/G4-1)/(2050-2018)</f>
        <v>0.011819618814857262</v>
      </c>
    </row>
    <row r="57" spans="6:12" ht="14.5">
      <c r="F57" s="35" t="s">
        <v>12</v>
      </c>
      <c r="G57" s="53">
        <v>1.5478463345837199</v>
      </c>
      <c r="J57" t="s">
        <v>212</v>
      </c>
      <c r="K57" s="53">
        <v>13.40</v>
      </c>
      <c r="L57" s="83">
        <f t="shared" si="55"/>
        <v>0.021569444251972422</v>
      </c>
    </row>
    <row r="58" spans="6:12" ht="14.5">
      <c r="F58" s="35" t="s">
        <v>14</v>
      </c>
      <c r="G58" s="53">
        <v>5.8166390635502099</v>
      </c>
      <c r="J58" t="s">
        <v>213</v>
      </c>
      <c r="K58" s="53">
        <v>1.30</v>
      </c>
      <c r="L58" s="83">
        <f t="shared" si="55"/>
        <v>0.0085659047320773354</v>
      </c>
    </row>
    <row r="59" spans="6:12" ht="14.5">
      <c r="F59" s="35" t="s">
        <v>16</v>
      </c>
      <c r="G59" s="53">
        <v>1.19927927754182</v>
      </c>
      <c r="J59" t="s">
        <v>23</v>
      </c>
      <c r="K59" s="53">
        <v>16.50</v>
      </c>
      <c r="L59" s="83">
        <f t="shared" si="55"/>
        <v>0.0021825068044228901</v>
      </c>
    </row>
    <row r="60" spans="6:12" ht="14.5">
      <c r="F60" s="35" t="s">
        <v>18</v>
      </c>
      <c r="G60" s="53">
        <v>10.6043548094603</v>
      </c>
      <c r="J60" t="s">
        <v>31</v>
      </c>
      <c r="K60" s="53">
        <v>3.80</v>
      </c>
      <c r="L60" s="83">
        <f t="shared" si="55"/>
        <v>0.0094246098702908884</v>
      </c>
    </row>
    <row r="61" spans="6:12" ht="14.5">
      <c r="F61" s="35" t="s">
        <v>20</v>
      </c>
      <c r="G61" s="53">
        <v>1.0410295169864401</v>
      </c>
      <c r="J61" t="s">
        <v>21</v>
      </c>
      <c r="K61" s="53">
        <v>2.40</v>
      </c>
      <c r="L61" s="83">
        <f t="shared" si="55"/>
        <v>0.0085659047320773354</v>
      </c>
    </row>
    <row r="62" spans="6:12" ht="14.5">
      <c r="F62" s="35" t="s">
        <v>22</v>
      </c>
      <c r="G62" s="53">
        <v>18.752348682008719</v>
      </c>
      <c r="J62" t="s">
        <v>13</v>
      </c>
      <c r="K62" s="53">
        <v>5</v>
      </c>
      <c r="L62" s="83">
        <f t="shared" si="55"/>
        <v>0.0032613225735525914</v>
      </c>
    </row>
    <row r="63" spans="6:12" ht="14.5">
      <c r="F63" s="35" t="s">
        <v>24</v>
      </c>
      <c r="G63" s="53">
        <v>18.095637208589601</v>
      </c>
      <c r="J63" s="90" t="s">
        <v>209</v>
      </c>
      <c r="K63" s="53">
        <v>23.439361110035826</v>
      </c>
      <c r="L63" s="83">
        <f t="shared" si="55"/>
        <v>0.0094246098702908954</v>
      </c>
    </row>
    <row r="64" spans="6:12" ht="14.5">
      <c r="F64" s="35" t="s">
        <v>26</v>
      </c>
      <c r="G64" s="53">
        <v>2.2584342466232901</v>
      </c>
      <c r="J64" s="90" t="s">
        <v>210</v>
      </c>
      <c r="K64" s="53">
        <v>0</v>
      </c>
      <c r="L64" s="83"/>
    </row>
    <row r="65" spans="6:7" ht="14.5">
      <c r="F65" s="35" t="s">
        <v>28</v>
      </c>
      <c r="G65" s="53">
        <v>6.2862087424890802</v>
      </c>
    </row>
    <row r="66" spans="6:7" ht="14.5">
      <c r="F66" s="35" t="s">
        <v>30</v>
      </c>
      <c r="G66" s="53">
        <v>0.187409320968947</v>
      </c>
    </row>
    <row r="67" spans="6:46" ht="15" thickBot="1">
      <c r="F67" s="35" t="s">
        <v>32</v>
      </c>
      <c r="G67" s="53">
        <v>4.6924479738735299</v>
      </c>
      <c r="J67" s="54" t="s">
        <v>3</v>
      </c>
      <c r="K67" s="54" t="s">
        <v>4</v>
      </c>
      <c r="L67" s="54" t="s">
        <v>5</v>
      </c>
      <c r="M67" s="54" t="s">
        <v>59</v>
      </c>
      <c r="N67" s="54">
        <v>2018</v>
      </c>
      <c r="O67" s="54">
        <v>2019</v>
      </c>
      <c r="P67" s="54">
        <v>2020</v>
      </c>
      <c r="Q67" s="54">
        <v>2021</v>
      </c>
      <c r="R67" s="54">
        <v>2022</v>
      </c>
      <c r="S67" s="54">
        <v>2023</v>
      </c>
      <c r="T67" s="54">
        <v>2024</v>
      </c>
      <c r="U67" s="54">
        <v>2025</v>
      </c>
      <c r="V67" s="54">
        <v>2026</v>
      </c>
      <c r="W67" s="54">
        <v>2027</v>
      </c>
      <c r="X67" s="54">
        <v>2028</v>
      </c>
      <c r="Y67" s="54">
        <v>2029</v>
      </c>
      <c r="Z67" s="54">
        <v>2030</v>
      </c>
      <c r="AA67" s="54">
        <v>2031</v>
      </c>
      <c r="AB67" s="54">
        <v>2032</v>
      </c>
      <c r="AC67" s="54">
        <v>2033</v>
      </c>
      <c r="AD67" s="54">
        <v>2034</v>
      </c>
      <c r="AE67" s="54">
        <v>2035</v>
      </c>
      <c r="AF67" s="54">
        <v>2036</v>
      </c>
      <c r="AG67" s="54">
        <v>2037</v>
      </c>
      <c r="AH67" s="54">
        <v>2038</v>
      </c>
      <c r="AI67" s="54">
        <v>2039</v>
      </c>
      <c r="AJ67" s="54">
        <v>2040</v>
      </c>
      <c r="AK67" s="54">
        <v>2041</v>
      </c>
      <c r="AL67" s="54">
        <v>2042</v>
      </c>
      <c r="AM67" s="54">
        <v>2043</v>
      </c>
      <c r="AN67" s="54">
        <v>2044</v>
      </c>
      <c r="AO67" s="54">
        <v>2045</v>
      </c>
      <c r="AP67" s="54">
        <v>2046</v>
      </c>
      <c r="AQ67" s="54">
        <v>2047</v>
      </c>
      <c r="AR67" s="54">
        <v>2048</v>
      </c>
      <c r="AS67" s="54">
        <v>2049</v>
      </c>
      <c r="AT67" s="54">
        <v>2050</v>
      </c>
    </row>
    <row r="68" spans="6:46" ht="14.5">
      <c r="F68" s="35" t="s">
        <v>34</v>
      </c>
      <c r="G68" s="53">
        <v>3.6347440465271599</v>
      </c>
      <c r="J68" t="s">
        <v>6</v>
      </c>
      <c r="K68" t="s">
        <v>161</v>
      </c>
      <c r="L68" t="s">
        <v>7</v>
      </c>
      <c r="M68" s="35" t="s">
        <v>8</v>
      </c>
      <c r="N68" s="52">
        <v>1.8983540603270901</v>
      </c>
      <c r="O68" s="53">
        <v>2.9169885814082672</v>
      </c>
      <c r="P68" s="53">
        <v>2.9233084199020065</v>
      </c>
      <c r="Q68" s="53">
        <v>2.9160581250770159</v>
      </c>
      <c r="R68" s="53">
        <v>1.7028384806625201</v>
      </c>
      <c r="S68" s="53">
        <v>1.6135753111997699</v>
      </c>
      <c r="T68" s="53">
        <v>1.5288879865599401</v>
      </c>
      <c r="U68" s="53">
        <v>1.4483402829919301</v>
      </c>
      <c r="V68" s="53">
        <v>1.37144186569114</v>
      </c>
      <c r="W68" s="53">
        <v>1.2980237760162101</v>
      </c>
      <c r="X68" s="53">
        <v>1.2273645374545299</v>
      </c>
      <c r="Y68" s="53">
        <v>1.1587398333279899</v>
      </c>
      <c r="Z68" s="53">
        <v>1.0921851641664599</v>
      </c>
      <c r="AA68" s="53">
        <v>1.0275875212951799</v>
      </c>
      <c r="AB68" s="53">
        <v>0.96469052754222095</v>
      </c>
      <c r="AC68" s="53">
        <v>0.90322534608371097</v>
      </c>
      <c r="AD68" s="53">
        <v>0.843039934608244</v>
      </c>
      <c r="AE68" s="53">
        <v>0.78430044562909396</v>
      </c>
      <c r="AF68" s="53">
        <v>0.72705781851404505</v>
      </c>
      <c r="AG68" s="53">
        <v>0.67137201355071097</v>
      </c>
      <c r="AH68" s="53">
        <v>0.617255006862235</v>
      </c>
      <c r="AI68" s="53">
        <v>0.56487434871240405</v>
      </c>
      <c r="AJ68" s="53">
        <v>0.51429446227126696</v>
      </c>
      <c r="AK68" s="53">
        <v>0.46550862914181301</v>
      </c>
      <c r="AL68" s="53">
        <v>0.41860592138873198</v>
      </c>
      <c r="AM68" s="53">
        <v>0.37371559292088302</v>
      </c>
      <c r="AN68" s="53">
        <v>0.33115411651416998</v>
      </c>
      <c r="AO68" s="53">
        <v>0.29094856023906202</v>
      </c>
      <c r="AP68" s="53">
        <v>0.253074162053473</v>
      </c>
      <c r="AQ68" s="53">
        <v>0.21761723332759</v>
      </c>
      <c r="AR68" s="53">
        <v>0.18460518744999099</v>
      </c>
      <c r="AS68" s="53">
        <v>0.15423321177072899</v>
      </c>
      <c r="AT68" s="53">
        <v>0.126438626203419</v>
      </c>
    </row>
    <row r="69" spans="6:46" ht="14.5">
      <c r="F69" s="35" t="s">
        <v>36</v>
      </c>
      <c r="G69" s="52">
        <v>14.05673907080137</v>
      </c>
      <c r="J69" t="s">
        <v>6</v>
      </c>
      <c r="K69" t="s">
        <v>161</v>
      </c>
      <c r="L69" t="s">
        <v>9</v>
      </c>
      <c r="M69" s="35" t="s">
        <v>10</v>
      </c>
      <c r="N69" s="52">
        <v>20.1128233846323</v>
      </c>
      <c r="O69" s="53">
        <v>20.829707214475608</v>
      </c>
      <c r="P69" s="53">
        <v>21.483394248547164</v>
      </c>
      <c r="Q69" s="53">
        <v>20.570384916097975</v>
      </c>
      <c r="R69" s="52">
        <v>22.551189691217221</v>
      </c>
      <c r="S69" s="53">
        <v>24.2477718451144</v>
      </c>
      <c r="T69" s="53">
        <v>24.737798032768101</v>
      </c>
      <c r="U69" s="53">
        <v>25.2100090945452</v>
      </c>
      <c r="V69" s="53">
        <v>25.666470943862102</v>
      </c>
      <c r="W69" s="53">
        <v>26.1078999635439</v>
      </c>
      <c r="X69" s="53">
        <v>26.537329523433002</v>
      </c>
      <c r="Y69" s="53">
        <v>26.957806654528799</v>
      </c>
      <c r="Z69" s="53">
        <v>27.3691900664729</v>
      </c>
      <c r="AA69" s="53">
        <v>27.7731438249603</v>
      </c>
      <c r="AB69" s="53">
        <v>28.169463481332301</v>
      </c>
      <c r="AC69" s="53">
        <v>28.559286276079199</v>
      </c>
      <c r="AD69" s="53">
        <v>28.943262981163599</v>
      </c>
      <c r="AE69" s="53">
        <v>29.320698163891301</v>
      </c>
      <c r="AF69" s="53">
        <v>29.691391884672999</v>
      </c>
      <c r="AG69" s="53">
        <v>30.0551037457994</v>
      </c>
      <c r="AH69" s="53">
        <v>30.411784324386399</v>
      </c>
      <c r="AI69" s="53">
        <v>30.760741657246101</v>
      </c>
      <c r="AJ69" s="53">
        <v>31.101717485548001</v>
      </c>
      <c r="AK69" s="53">
        <v>31.434745464031</v>
      </c>
      <c r="AL69" s="53">
        <v>31.759461829300999</v>
      </c>
      <c r="AM69" s="53">
        <v>32.075337728167199</v>
      </c>
      <c r="AN69" s="53">
        <v>32.381048517803499</v>
      </c>
      <c r="AO69" s="53">
        <v>32.676490730910302</v>
      </c>
      <c r="AP69" s="53">
        <v>32.96178372955</v>
      </c>
      <c r="AQ69" s="53">
        <v>33.236573405433496</v>
      </c>
      <c r="AR69" s="53">
        <v>33.500754681233502</v>
      </c>
      <c r="AS69" s="53">
        <v>33.753517042278197</v>
      </c>
      <c r="AT69" s="53">
        <v>33.995140912459298</v>
      </c>
    </row>
    <row r="70" spans="6:46" ht="14.5">
      <c r="F70" s="35" t="s">
        <v>38</v>
      </c>
      <c r="G70" s="52">
        <v>30.202204674413409</v>
      </c>
      <c r="J70" t="s">
        <v>6</v>
      </c>
      <c r="K70" t="s">
        <v>161</v>
      </c>
      <c r="L70" t="s">
        <v>11</v>
      </c>
      <c r="M70" s="35" t="s">
        <v>12</v>
      </c>
      <c r="N70" s="52">
        <v>0.42769784899188301</v>
      </c>
      <c r="O70" s="53">
        <v>0.74181807651109255</v>
      </c>
      <c r="P70" s="53">
        <v>0.7440570217426532</v>
      </c>
      <c r="Q70" s="53">
        <v>0.73064036372909791</v>
      </c>
      <c r="R70" s="53">
        <v>1.5478463345837199</v>
      </c>
      <c r="S70" s="53">
        <v>1.6648203937614301</v>
      </c>
      <c r="T70" s="53">
        <v>1.7809335626957301</v>
      </c>
      <c r="U70" s="53">
        <v>1.89639959071686</v>
      </c>
      <c r="V70" s="53">
        <v>2.0114820383474701</v>
      </c>
      <c r="W70" s="53">
        <v>2.1262543506531602</v>
      </c>
      <c r="X70" s="53">
        <v>2.2411440385340899</v>
      </c>
      <c r="Y70" s="53">
        <v>2.35659966296154</v>
      </c>
      <c r="Z70" s="53">
        <v>2.4726017482570901</v>
      </c>
      <c r="AA70" s="53">
        <v>2.5893767113569299</v>
      </c>
      <c r="AB70" s="53">
        <v>2.70693447698793</v>
      </c>
      <c r="AC70" s="53">
        <v>2.8254641527981499</v>
      </c>
      <c r="AD70" s="53">
        <v>2.9450841852782901</v>
      </c>
      <c r="AE70" s="53">
        <v>3.0657026736779498</v>
      </c>
      <c r="AF70" s="53">
        <v>3.1873040401010502</v>
      </c>
      <c r="AG70" s="53">
        <v>3.3098663768416698</v>
      </c>
      <c r="AH70" s="53">
        <v>3.4333973105618001</v>
      </c>
      <c r="AI70" s="53">
        <v>3.5578003130612501</v>
      </c>
      <c r="AJ70" s="53">
        <v>3.6830492322219301</v>
      </c>
      <c r="AK70" s="53">
        <v>3.8091633839816499</v>
      </c>
      <c r="AL70" s="53">
        <v>3.9361003581391798</v>
      </c>
      <c r="AM70" s="53">
        <v>4.0637848223187998</v>
      </c>
      <c r="AN70" s="53">
        <v>4.1920058269306999</v>
      </c>
      <c r="AO70" s="53">
        <v>4.3207594675386503</v>
      </c>
      <c r="AP70" s="53">
        <v>4.4500790205684</v>
      </c>
      <c r="AQ70" s="53">
        <v>4.5799183003671899</v>
      </c>
      <c r="AR70" s="53">
        <v>4.7102769387463397</v>
      </c>
      <c r="AS70" s="53">
        <v>4.8410287526926199</v>
      </c>
      <c r="AT70" s="53">
        <v>4.9722422779080198</v>
      </c>
    </row>
    <row r="71" spans="6:46" ht="14.5">
      <c r="F71" s="35" t="s">
        <v>40</v>
      </c>
      <c r="G71" s="52">
        <v>26.199972897443971</v>
      </c>
      <c r="J71" t="s">
        <v>6</v>
      </c>
      <c r="K71" t="s">
        <v>161</v>
      </c>
      <c r="L71" t="s">
        <v>13</v>
      </c>
      <c r="M71" s="35" t="s">
        <v>14</v>
      </c>
      <c r="N71" s="52">
        <v>6.9295287156334302</v>
      </c>
      <c r="O71" s="53">
        <v>6.5639975672352229</v>
      </c>
      <c r="P71" s="53">
        <v>5.780638065059601</v>
      </c>
      <c r="Q71" s="53">
        <v>6.5949264310858817</v>
      </c>
      <c r="R71" s="53">
        <v>5.8166390635502099</v>
      </c>
      <c r="S71" s="53">
        <v>5.86289720148286</v>
      </c>
      <c r="T71" s="53">
        <v>5.9102964369672799</v>
      </c>
      <c r="U71" s="53">
        <v>5.9588634696265501</v>
      </c>
      <c r="V71" s="53">
        <v>6.0086282326853899</v>
      </c>
      <c r="W71" s="53">
        <v>6.0596206906641799</v>
      </c>
      <c r="X71" s="53">
        <v>6.11187232558445</v>
      </c>
      <c r="Y71" s="53">
        <v>6.1654122980366699</v>
      </c>
      <c r="Z71" s="53">
        <v>6.2202749583689796</v>
      </c>
      <c r="AA71" s="53">
        <v>6.2764914893167498</v>
      </c>
      <c r="AB71" s="53">
        <v>6.3340965980484798</v>
      </c>
      <c r="AC71" s="53">
        <v>6.3931254408430798</v>
      </c>
      <c r="AD71" s="53">
        <v>6.4536142967308301</v>
      </c>
      <c r="AE71" s="53">
        <v>6.5155983460895799</v>
      </c>
      <c r="AF71" s="53">
        <v>6.5791152322932502</v>
      </c>
      <c r="AG71" s="53">
        <v>6.6442042290564496</v>
      </c>
      <c r="AH71" s="53">
        <v>6.7109040474029102</v>
      </c>
      <c r="AI71" s="53">
        <v>6.7792549035251897</v>
      </c>
      <c r="AJ71" s="53">
        <v>6.8492984254727203</v>
      </c>
      <c r="AK71" s="53">
        <v>6.9210768802457201</v>
      </c>
      <c r="AL71" s="53">
        <v>6.9946337892663699</v>
      </c>
      <c r="AM71" s="53">
        <v>7.07001384207258</v>
      </c>
      <c r="AN71" s="53">
        <v>7.1472628123994602</v>
      </c>
      <c r="AO71" s="53">
        <v>7.2264268158768896</v>
      </c>
      <c r="AP71" s="53">
        <v>7.3075548788843099</v>
      </c>
      <c r="AQ71" s="53">
        <v>7.3906955316739102</v>
      </c>
      <c r="AR71" s="53">
        <v>7.4759006566754698</v>
      </c>
      <c r="AS71" s="53">
        <v>7.5632208334368096</v>
      </c>
      <c r="AT71" s="53">
        <v>7.6527104252134697</v>
      </c>
    </row>
    <row r="72" spans="6:46" ht="14.5">
      <c r="F72" s="35" t="s">
        <v>42</v>
      </c>
      <c r="G72" s="52">
        <v>12.797868826509406</v>
      </c>
      <c r="J72" t="s">
        <v>6</v>
      </c>
      <c r="K72" t="s">
        <v>161</v>
      </c>
      <c r="L72" t="s">
        <v>15</v>
      </c>
      <c r="M72" s="35" t="s">
        <v>16</v>
      </c>
      <c r="N72" s="52">
        <v>1.09140526535876</v>
      </c>
      <c r="O72" s="53">
        <v>0.5707726774555677</v>
      </c>
      <c r="P72" s="53">
        <v>0.56119057639608538</v>
      </c>
      <c r="Q72" s="53">
        <v>0.55161044480654198</v>
      </c>
      <c r="R72" s="53">
        <v>1.19927927754182</v>
      </c>
      <c r="S72" s="53">
        <v>1.22725991510956</v>
      </c>
      <c r="T72" s="53">
        <v>1.2559337577197001</v>
      </c>
      <c r="U72" s="53">
        <v>1.2853176351257101</v>
      </c>
      <c r="V72" s="53">
        <v>1.3154284460035299</v>
      </c>
      <c r="W72" s="53">
        <v>1.34628589537239</v>
      </c>
      <c r="X72" s="53">
        <v>1.3779069025349999</v>
      </c>
      <c r="Y72" s="53">
        <v>1.41031202122664</v>
      </c>
      <c r="Z72" s="53">
        <v>1.44351990088433</v>
      </c>
      <c r="AA72" s="53">
        <v>1.4775615762333201</v>
      </c>
      <c r="AB72" s="53">
        <v>1.5124455456633801</v>
      </c>
      <c r="AC72" s="53">
        <v>1.54819453277112</v>
      </c>
      <c r="AD72" s="53">
        <v>1.5848284110095301</v>
      </c>
      <c r="AE72" s="53">
        <v>1.62237119004269</v>
      </c>
      <c r="AF72" s="53">
        <v>1.6608431415137901</v>
      </c>
      <c r="AG72" s="53">
        <v>1.70026940648485</v>
      </c>
      <c r="AH72" s="53">
        <v>1.74067305443197</v>
      </c>
      <c r="AI72" s="53">
        <v>1.7820793168514899</v>
      </c>
      <c r="AJ72" s="53">
        <v>1.8245113417944701</v>
      </c>
      <c r="AK72" s="53">
        <v>1.8679968256578099</v>
      </c>
      <c r="AL72" s="53">
        <v>1.9125604788494299</v>
      </c>
      <c r="AM72" s="53">
        <v>1.9582305876750901</v>
      </c>
      <c r="AN72" s="53">
        <v>2.0050340390722701</v>
      </c>
      <c r="AO72" s="53">
        <v>2.0530003298918298</v>
      </c>
      <c r="AP72" s="53">
        <v>2.1021574936170699</v>
      </c>
      <c r="AQ72" s="53">
        <v>2.1525360482102101</v>
      </c>
      <c r="AR72" s="53">
        <v>2.2041657659317799</v>
      </c>
      <c r="AS72" s="53">
        <v>2.25707952983301</v>
      </c>
      <c r="AT72" s="53">
        <v>2.3113093619058902</v>
      </c>
    </row>
    <row r="73" spans="6:46" ht="14.5">
      <c r="F73" t="s">
        <v>44</v>
      </c>
      <c r="G73" s="53">
        <v>7.6814227047944605</v>
      </c>
      <c r="J73" t="s">
        <v>6</v>
      </c>
      <c r="K73" t="s">
        <v>161</v>
      </c>
      <c r="L73" t="s">
        <v>17</v>
      </c>
      <c r="M73" s="35" t="s">
        <v>18</v>
      </c>
      <c r="N73" s="52">
        <v>9.5100483128062994</v>
      </c>
      <c r="O73" s="53">
        <v>9.7037603897089575</v>
      </c>
      <c r="P73" s="53">
        <v>9.435975307949354</v>
      </c>
      <c r="Q73" s="53">
        <v>9.2516395819175106</v>
      </c>
      <c r="R73" s="53">
        <v>10.6043548094603</v>
      </c>
      <c r="S73" s="53">
        <v>10.6673995636065</v>
      </c>
      <c r="T73" s="53">
        <v>10.732001173252501</v>
      </c>
      <c r="U73" s="53">
        <v>10.798198110701801</v>
      </c>
      <c r="V73" s="53">
        <v>10.8660297948596</v>
      </c>
      <c r="W73" s="53">
        <v>10.935536616854399</v>
      </c>
      <c r="X73" s="53">
        <v>11.006759962605001</v>
      </c>
      <c r="Y73" s="53">
        <v>11.079742239256101</v>
      </c>
      <c r="Z73" s="53">
        <v>11.154526902334201</v>
      </c>
      <c r="AA73" s="53">
        <v>11.2311257904034</v>
      </c>
      <c r="AB73" s="53">
        <v>11.309621200733799</v>
      </c>
      <c r="AC73" s="53">
        <v>11.3900603561419</v>
      </c>
      <c r="AD73" s="53">
        <v>11.472491675352201</v>
      </c>
      <c r="AE73" s="53">
        <v>11.5569648000664</v>
      </c>
      <c r="AF73" s="53">
        <v>11.6435306331609</v>
      </c>
      <c r="AG73" s="53">
        <v>11.732241372561599</v>
      </c>
      <c r="AH73" s="53">
        <v>11.8231505467745</v>
      </c>
      <c r="AI73" s="53">
        <v>11.9163130504629</v>
      </c>
      <c r="AJ73" s="53">
        <v>12.011785185920299</v>
      </c>
      <c r="AK73" s="53">
        <v>12.1096247025261</v>
      </c>
      <c r="AL73" s="53">
        <v>12.2098908348107</v>
      </c>
      <c r="AM73" s="53">
        <v>12.3126443505064</v>
      </c>
      <c r="AN73" s="53">
        <v>12.417947591597301</v>
      </c>
      <c r="AO73" s="53">
        <v>12.5258645217293</v>
      </c>
      <c r="AP73" s="53">
        <v>12.636460775247</v>
      </c>
      <c r="AQ73" s="53">
        <v>12.749803703504501</v>
      </c>
      <c r="AR73" s="53">
        <v>12.8659624331831</v>
      </c>
      <c r="AS73" s="53">
        <v>12.985007915282401</v>
      </c>
      <c r="AT73" s="53">
        <v>13.107012983790201</v>
      </c>
    </row>
    <row r="74" spans="6:46" ht="14.5">
      <c r="F74" t="s">
        <v>46</v>
      </c>
      <c r="G74" s="53">
        <v>4.6611834502685596</v>
      </c>
      <c r="J74" t="s">
        <v>6</v>
      </c>
      <c r="K74" t="s">
        <v>161</v>
      </c>
      <c r="L74" t="s">
        <v>19</v>
      </c>
      <c r="M74" s="35" t="s">
        <v>20</v>
      </c>
      <c r="N74" s="52">
        <v>1.9556249526505201</v>
      </c>
      <c r="O74" s="53">
        <v>1.5498072549825794</v>
      </c>
      <c r="P74" s="53">
        <v>1.5053268122598555</v>
      </c>
      <c r="Q74" s="53">
        <v>1.4894503267095116</v>
      </c>
      <c r="R74" s="53">
        <v>1.0410295169864401</v>
      </c>
      <c r="S74" s="53">
        <v>1.0268975005260801</v>
      </c>
      <c r="T74" s="53">
        <v>1.0136280587395301</v>
      </c>
      <c r="U74" s="53">
        <v>1.0011741174269699</v>
      </c>
      <c r="V74" s="53">
        <v>0.98946802719486804</v>
      </c>
      <c r="W74" s="53">
        <v>0.97851389260134602</v>
      </c>
      <c r="X74" s="53">
        <v>0.96817292950682998</v>
      </c>
      <c r="Y74" s="53">
        <v>0.95829301017512603</v>
      </c>
      <c r="Z74" s="53">
        <v>0.94891013502188304</v>
      </c>
      <c r="AA74" s="53">
        <v>0.93995901525115499</v>
      </c>
      <c r="AB74" s="53">
        <v>0.93146307008219298</v>
      </c>
      <c r="AC74" s="53">
        <v>0.92337177940257198</v>
      </c>
      <c r="AD74" s="53">
        <v>0.91566292726805898</v>
      </c>
      <c r="AE74" s="53">
        <v>0.90840413726139602</v>
      </c>
      <c r="AF74" s="53">
        <v>0.90163209297057001</v>
      </c>
      <c r="AG74" s="53">
        <v>0.89538795586229403</v>
      </c>
      <c r="AH74" s="53">
        <v>0.88970072339962902</v>
      </c>
      <c r="AI74" s="53">
        <v>0.88464782396222197</v>
      </c>
      <c r="AJ74" s="53">
        <v>0.88027755628668003</v>
      </c>
      <c r="AK74" s="53">
        <v>0.87661714743544505</v>
      </c>
      <c r="AL74" s="53">
        <v>0.87372587651921196</v>
      </c>
      <c r="AM74" s="53">
        <v>0.871678474453906</v>
      </c>
      <c r="AN74" s="53">
        <v>0.87061329234646201</v>
      </c>
      <c r="AO74" s="53">
        <v>0.87057814456459504</v>
      </c>
      <c r="AP74" s="53">
        <v>0.87160473874632205</v>
      </c>
      <c r="AQ74" s="53">
        <v>0.87376144176959103</v>
      </c>
      <c r="AR74" s="53">
        <v>0.87709870967996795</v>
      </c>
      <c r="AS74" s="53">
        <v>0.88172610377615801</v>
      </c>
      <c r="AT74" s="53">
        <v>0.88766424801056598</v>
      </c>
    </row>
    <row r="75" spans="6:46" ht="14.5">
      <c r="F75" t="s">
        <v>48</v>
      </c>
      <c r="G75" s="53">
        <v>13.161374650000001</v>
      </c>
      <c r="J75" t="s">
        <v>6</v>
      </c>
      <c r="K75" t="s">
        <v>161</v>
      </c>
      <c r="L75" t="s">
        <v>21</v>
      </c>
      <c r="M75" s="35" t="s">
        <v>22</v>
      </c>
      <c r="N75" s="52">
        <v>19.482476804508799</v>
      </c>
      <c r="O75" s="53">
        <v>17.613308735917627</v>
      </c>
      <c r="P75" s="53">
        <v>17.067480468046199</v>
      </c>
      <c r="Q75" s="53">
        <v>18.473544022536192</v>
      </c>
      <c r="R75" s="52">
        <v>17.814731247908266</v>
      </c>
      <c r="S75" s="53">
        <v>19.494109366820016</v>
      </c>
      <c r="T75" s="53">
        <v>20.265210851701845</v>
      </c>
      <c r="U75" s="53">
        <v>21.066813730045585</v>
      </c>
      <c r="V75" s="53">
        <v>21.900124503227982</v>
      </c>
      <c r="W75" s="53">
        <v>21.903403629125965</v>
      </c>
      <c r="X75" s="53">
        <v>21.906683246010498</v>
      </c>
      <c r="Y75" s="53">
        <v>21.909963353955103</v>
      </c>
      <c r="Z75" s="53">
        <v>21.913243953033305</v>
      </c>
      <c r="AA75" s="53">
        <v>21.916525043318639</v>
      </c>
      <c r="AB75" s="53">
        <v>22.110531640458859</v>
      </c>
      <c r="AC75" s="53">
        <v>22.306255597429594</v>
      </c>
      <c r="AD75" s="53">
        <v>22.503712116418974</v>
      </c>
      <c r="AE75" s="53">
        <v>22.702916534185945</v>
      </c>
      <c r="AF75" s="53">
        <v>22.903884323251511</v>
      </c>
      <c r="AG75" s="53">
        <v>23.057513384534978</v>
      </c>
      <c r="AH75" s="53">
        <v>23.212172921179643</v>
      </c>
      <c r="AI75" s="53">
        <v>23.367869845155557</v>
      </c>
      <c r="AJ75" s="53">
        <v>23.524611114795182</v>
      </c>
      <c r="AK75" s="53">
        <v>23.68240373510438</v>
      </c>
      <c r="AL75" s="53">
        <v>23.806316159658131</v>
      </c>
      <c r="AM75" s="53">
        <v>23.930876925872237</v>
      </c>
      <c r="AN75" s="53">
        <v>24.056089426036937</v>
      </c>
      <c r="AO75" s="53">
        <v>24.18195707019181</v>
      </c>
      <c r="AP75" s="53">
        <v>24.308483286218632</v>
      </c>
      <c r="AQ75" s="53">
        <v>24.436054231032401</v>
      </c>
      <c r="AR75" s="53">
        <v>24.564294668293275</v>
      </c>
      <c r="AS75" s="53">
        <v>24.69320811149829</v>
      </c>
      <c r="AT75" s="53">
        <v>24.822798092583323</v>
      </c>
    </row>
    <row r="76" spans="6:46" ht="14.5">
      <c r="F76" t="s">
        <v>50</v>
      </c>
      <c r="G76" s="53">
        <v>0.23</v>
      </c>
      <c r="J76" t="s">
        <v>6</v>
      </c>
      <c r="K76" t="s">
        <v>161</v>
      </c>
      <c r="L76" t="s">
        <v>23</v>
      </c>
      <c r="M76" s="35" t="s">
        <v>24</v>
      </c>
      <c r="N76" s="52">
        <v>20.3153817696899</v>
      </c>
      <c r="O76" s="53">
        <v>20.746846228178715</v>
      </c>
      <c r="P76" s="53">
        <v>18.66727780331064</v>
      </c>
      <c r="Q76" s="53">
        <v>19.411458005544933</v>
      </c>
      <c r="R76" s="52">
        <v>17.19085534816012</v>
      </c>
      <c r="S76" s="53">
        <v>18.186023945506999</v>
      </c>
      <c r="T76" s="53">
        <v>18.278689472237598</v>
      </c>
      <c r="U76" s="53">
        <v>18.373693111883199</v>
      </c>
      <c r="V76" s="53">
        <v>18.471095819568198</v>
      </c>
      <c r="W76" s="53">
        <v>18.570960267466798</v>
      </c>
      <c r="X76" s="53">
        <v>18.673350891417002</v>
      </c>
      <c r="Y76" s="53">
        <v>18.778333987021998</v>
      </c>
      <c r="Z76" s="53">
        <v>18.885977786093299</v>
      </c>
      <c r="AA76" s="53">
        <v>18.9974247611427</v>
      </c>
      <c r="AB76" s="53">
        <v>19.111640916040798</v>
      </c>
      <c r="AC76" s="53">
        <v>19.228697712637999</v>
      </c>
      <c r="AD76" s="53">
        <v>19.3486686950076</v>
      </c>
      <c r="AE76" s="53">
        <v>19.471629567058098</v>
      </c>
      <c r="AF76" s="53">
        <v>19.597658281637901</v>
      </c>
      <c r="AG76" s="53">
        <v>19.726835155271502</v>
      </c>
      <c r="AH76" s="53">
        <v>19.859242953619699</v>
      </c>
      <c r="AI76" s="53">
        <v>19.994967022548</v>
      </c>
      <c r="AJ76" s="53">
        <v>20.134095389223202</v>
      </c>
      <c r="AK76" s="53">
        <v>20.276718915650601</v>
      </c>
      <c r="AL76" s="53">
        <v>20.422931438425099</v>
      </c>
      <c r="AM76" s="53">
        <v>20.572829906585099</v>
      </c>
      <c r="AN76" s="53">
        <v>20.726514576720799</v>
      </c>
      <c r="AO76" s="53">
        <v>20.884089183472401</v>
      </c>
      <c r="AP76" s="53">
        <v>21.045661133700101</v>
      </c>
      <c r="AQ76" s="53">
        <v>21.211341747524401</v>
      </c>
      <c r="AR76" s="53">
        <v>21.3812464803915</v>
      </c>
      <c r="AS76" s="53">
        <v>21.555495197365399</v>
      </c>
      <c r="AT76" s="53">
        <v>21.7342124559874</v>
      </c>
    </row>
    <row r="77" spans="6:46" ht="14.5">
      <c r="F77" t="s">
        <v>52</v>
      </c>
      <c r="G77" s="53">
        <v>48.192396850000002</v>
      </c>
      <c r="J77" t="s">
        <v>6</v>
      </c>
      <c r="K77" t="s">
        <v>161</v>
      </c>
      <c r="L77" t="s">
        <v>25</v>
      </c>
      <c r="M77" s="35" t="s">
        <v>26</v>
      </c>
      <c r="N77" s="52">
        <v>1.4729468330623701</v>
      </c>
      <c r="O77" s="53">
        <v>1.4943226387301358</v>
      </c>
      <c r="P77" s="53">
        <v>1.4634791461847667</v>
      </c>
      <c r="Q77" s="53">
        <v>1.4446377495642824</v>
      </c>
      <c r="R77" s="53">
        <v>2.2584342466232901</v>
      </c>
      <c r="S77" s="53">
        <v>2.2440383485186102</v>
      </c>
      <c r="T77" s="53">
        <v>2.2292869402784299</v>
      </c>
      <c r="U77" s="53">
        <v>2.2141712863233001</v>
      </c>
      <c r="V77" s="53">
        <v>2.1986822220428399</v>
      </c>
      <c r="W77" s="53">
        <v>2.18281056279984</v>
      </c>
      <c r="X77" s="53">
        <v>2.1665466359489498</v>
      </c>
      <c r="Y77" s="53">
        <v>2.1498806864914299</v>
      </c>
      <c r="Z77" s="53">
        <v>2.1328027010175301</v>
      </c>
      <c r="AA77" s="53">
        <v>2.1153100593115699</v>
      </c>
      <c r="AB77" s="53">
        <v>2.0973839785641601</v>
      </c>
      <c r="AC77" s="53">
        <v>2.0790137032465301</v>
      </c>
      <c r="AD77" s="53">
        <v>2.0601879302496702</v>
      </c>
      <c r="AE77" s="53">
        <v>2.0408952907455502</v>
      </c>
      <c r="AF77" s="53">
        <v>2.0211240941678401</v>
      </c>
      <c r="AG77" s="53">
        <v>2.0008621733278402</v>
      </c>
      <c r="AH77" s="53">
        <v>1.98009726556077</v>
      </c>
      <c r="AI77" s="53">
        <v>1.9588167649709201</v>
      </c>
      <c r="AJ77" s="53">
        <v>1.9370068802203699</v>
      </c>
      <c r="AK77" s="53">
        <v>1.9146550132369899</v>
      </c>
      <c r="AL77" s="53">
        <v>1.8917470801090901</v>
      </c>
      <c r="AM77" s="53">
        <v>1.86826969597866</v>
      </c>
      <c r="AN77" s="53">
        <v>1.84420680235752</v>
      </c>
      <c r="AO77" s="53">
        <v>1.81954394783379</v>
      </c>
      <c r="AP77" s="53">
        <v>1.7942674117666799</v>
      </c>
      <c r="AQ77" s="53">
        <v>1.7683592712790901</v>
      </c>
      <c r="AR77" s="53">
        <v>1.74180408351433</v>
      </c>
      <c r="AS77" s="53">
        <v>1.71458476976422</v>
      </c>
      <c r="AT77" s="53">
        <v>1.6866850940022</v>
      </c>
    </row>
    <row r="78" spans="6:46" ht="14.5">
      <c r="F78" s="35" t="s">
        <v>54</v>
      </c>
      <c r="G78" s="53">
        <v>265.47273899323898</v>
      </c>
      <c r="J78" t="s">
        <v>6</v>
      </c>
      <c r="K78" t="s">
        <v>161</v>
      </c>
      <c r="L78" t="s">
        <v>27</v>
      </c>
      <c r="M78" s="35" t="s">
        <v>28</v>
      </c>
      <c r="N78" s="52">
        <v>4.65085642477431</v>
      </c>
      <c r="O78" s="53">
        <v>5.007589393109674</v>
      </c>
      <c r="P78" s="53">
        <v>4.7554316434518897</v>
      </c>
      <c r="Q78" s="53">
        <v>4.7269471440454405</v>
      </c>
      <c r="R78" s="53">
        <v>6.2862087424890802</v>
      </c>
      <c r="S78" s="53">
        <v>6.5400995969117703</v>
      </c>
      <c r="T78" s="53">
        <v>6.80026034650888</v>
      </c>
      <c r="U78" s="53">
        <v>7.06684505486934</v>
      </c>
      <c r="V78" s="53">
        <v>7.3400153521151399</v>
      </c>
      <c r="W78" s="53">
        <v>7.6199332215672202</v>
      </c>
      <c r="X78" s="53">
        <v>7.9067692532211096</v>
      </c>
      <c r="Y78" s="53">
        <v>8.20069548948406</v>
      </c>
      <c r="Z78" s="53">
        <v>8.5018885301861395</v>
      </c>
      <c r="AA78" s="53">
        <v>8.8103945863239996</v>
      </c>
      <c r="AB78" s="53">
        <v>9.1265449177806008</v>
      </c>
      <c r="AC78" s="53">
        <v>9.4505292126441294</v>
      </c>
      <c r="AD78" s="53">
        <v>9.7825468163104592</v>
      </c>
      <c r="AE78" s="53">
        <v>10.122798233217701</v>
      </c>
      <c r="AF78" s="53">
        <v>10.4714896420878</v>
      </c>
      <c r="AG78" s="53">
        <v>10.8288356275142</v>
      </c>
      <c r="AH78" s="53">
        <v>11.1950524579371</v>
      </c>
      <c r="AI78" s="53">
        <v>11.5703624551331</v>
      </c>
      <c r="AJ78" s="53">
        <v>11.9550088477313</v>
      </c>
      <c r="AK78" s="53">
        <v>12.349213819528501</v>
      </c>
      <c r="AL78" s="53">
        <v>12.753225759083101</v>
      </c>
      <c r="AM78" s="53">
        <v>13.1672807262091</v>
      </c>
      <c r="AN78" s="53">
        <v>13.5916619337538</v>
      </c>
      <c r="AO78" s="53">
        <v>14.0266242516308</v>
      </c>
      <c r="AP78" s="53">
        <v>14.4724096616316</v>
      </c>
      <c r="AQ78" s="53">
        <v>14.9293342575869</v>
      </c>
      <c r="AR78" s="53">
        <v>15.397670394861899</v>
      </c>
      <c r="AS78" s="53">
        <v>15.8777192792428</v>
      </c>
      <c r="AT78" s="53">
        <v>16.369767254702801</v>
      </c>
    </row>
    <row r="79" spans="6:46" ht="14.5">
      <c r="F79" s="35" t="s">
        <v>56</v>
      </c>
      <c r="G79" s="53">
        <v>837.71211748108306</v>
      </c>
      <c r="J79" t="s">
        <v>6</v>
      </c>
      <c r="K79" t="s">
        <v>161</v>
      </c>
      <c r="L79" t="s">
        <v>29</v>
      </c>
      <c r="M79" s="35" t="s">
        <v>30</v>
      </c>
      <c r="N79" s="52">
        <v>0.1947788154134</v>
      </c>
      <c r="O79" s="53">
        <v>0.26558264395501924</v>
      </c>
      <c r="P79" s="53">
        <v>0.2542796677646712</v>
      </c>
      <c r="Q79" s="53">
        <v>0.25565928356184919</v>
      </c>
      <c r="R79" s="53">
        <v>0.187409320968947</v>
      </c>
      <c r="S79" s="53">
        <v>0.183760340162684</v>
      </c>
      <c r="T79" s="53">
        <v>0.180020695810443</v>
      </c>
      <c r="U79" s="53">
        <v>0.176188162290734</v>
      </c>
      <c r="V79" s="53">
        <v>0.172260396740049</v>
      </c>
      <c r="W79" s="53">
        <v>0.16823499128140601</v>
      </c>
      <c r="X79" s="53">
        <v>0.16410947762331099</v>
      </c>
      <c r="Y79" s="53">
        <v>0.159881376453122</v>
      </c>
      <c r="Z79" s="53">
        <v>0.155548066302856</v>
      </c>
      <c r="AA79" s="53">
        <v>0.151102458553911</v>
      </c>
      <c r="AB79" s="53">
        <v>0.14654642303453499</v>
      </c>
      <c r="AC79" s="53">
        <v>0.141877166116048</v>
      </c>
      <c r="AD79" s="53">
        <v>0.137091861523011</v>
      </c>
      <c r="AE79" s="53">
        <v>0.132187568383999</v>
      </c>
      <c r="AF79" s="53">
        <v>0.12716128070673</v>
      </c>
      <c r="AG79" s="53">
        <v>0.122009932493332</v>
      </c>
      <c r="AH79" s="53">
        <v>0.116730402710794</v>
      </c>
      <c r="AI79" s="53">
        <v>0.111319395674383</v>
      </c>
      <c r="AJ79" s="53">
        <v>0.10577357413291499</v>
      </c>
      <c r="AK79" s="53">
        <v>0.10008956374365301</v>
      </c>
      <c r="AL79" s="53">
        <v>0.094263835909375995</v>
      </c>
      <c r="AM79" s="53">
        <v>0.088292756993632301</v>
      </c>
      <c r="AN79" s="53">
        <v>0.082172675242513593</v>
      </c>
      <c r="AO79" s="53">
        <v>0.075899726894954</v>
      </c>
      <c r="AP79" s="53">
        <v>0.069470043902089093</v>
      </c>
      <c r="AQ79" s="53">
        <v>0.062879562802237499</v>
      </c>
      <c r="AR79" s="53">
        <v>0.056124190249462698</v>
      </c>
      <c r="AS79" s="53">
        <v>0.049199654456357898</v>
      </c>
      <c r="AT79" s="53">
        <v>0.042101591794206403</v>
      </c>
    </row>
    <row r="80" spans="6:46" ht="14.5">
      <c r="F80" s="35" t="s">
        <v>58</v>
      </c>
      <c r="G80" s="53">
        <v>777.95194352567796</v>
      </c>
      <c r="J80" t="s">
        <v>6</v>
      </c>
      <c r="K80" t="s">
        <v>161</v>
      </c>
      <c r="L80" t="s">
        <v>31</v>
      </c>
      <c r="M80" s="35" t="s">
        <v>32</v>
      </c>
      <c r="N80" s="52">
        <v>4.6984287524850101</v>
      </c>
      <c r="O80" s="53">
        <v>4.3090308460490396</v>
      </c>
      <c r="P80" s="53">
        <v>4.2602225832464828</v>
      </c>
      <c r="Q80" s="53">
        <v>4.1432118323518896</v>
      </c>
      <c r="R80" s="53">
        <v>4.6924479738735299</v>
      </c>
      <c r="S80" s="53">
        <v>4.7901185272083104</v>
      </c>
      <c r="T80" s="53">
        <v>4.8829228192853602</v>
      </c>
      <c r="U80" s="53">
        <v>4.9711499271716901</v>
      </c>
      <c r="V80" s="53">
        <v>5.0552149707402201</v>
      </c>
      <c r="W80" s="53">
        <v>5.1350981335844903</v>
      </c>
      <c r="X80" s="53">
        <v>5.2116410128509898</v>
      </c>
      <c r="Y80" s="53">
        <v>5.28576383279011</v>
      </c>
      <c r="Z80" s="53">
        <v>5.3572580748783203</v>
      </c>
      <c r="AA80" s="53">
        <v>5.4265836170263899</v>
      </c>
      <c r="AB80" s="53">
        <v>5.4935445318690403</v>
      </c>
      <c r="AC80" s="53">
        <v>5.5584520588616799</v>
      </c>
      <c r="AD80" s="53">
        <v>5.6214471437282398</v>
      </c>
      <c r="AE80" s="53">
        <v>5.6821326145758499</v>
      </c>
      <c r="AF80" s="53">
        <v>5.7402950823595598</v>
      </c>
      <c r="AG80" s="53">
        <v>5.7956952167198796</v>
      </c>
      <c r="AH80" s="53">
        <v>5.8481657572732599</v>
      </c>
      <c r="AI80" s="53">
        <v>5.8972542057881201</v>
      </c>
      <c r="AJ80" s="53">
        <v>5.9426773610342796</v>
      </c>
      <c r="AK80" s="53">
        <v>5.9842736265587799</v>
      </c>
      <c r="AL80" s="53">
        <v>6.0216974894712001</v>
      </c>
      <c r="AM80" s="53">
        <v>6.0545109941189699</v>
      </c>
      <c r="AN80" s="53">
        <v>6.0818857495341696</v>
      </c>
      <c r="AO80" s="53">
        <v>6.1035439649586296</v>
      </c>
      <c r="AP80" s="53">
        <v>6.1193038824130799</v>
      </c>
      <c r="AQ80" s="53">
        <v>6.1287591141733397</v>
      </c>
      <c r="AR80" s="53">
        <v>6.1316061110561701</v>
      </c>
      <c r="AS80" s="53">
        <v>6.1271988867674398</v>
      </c>
      <c r="AT80" s="53">
        <v>6.1154162083419301</v>
      </c>
    </row>
    <row r="81" spans="6:46" ht="14.5">
      <c r="F81" s="35" t="s">
        <v>136</v>
      </c>
      <c r="G81" s="53">
        <v>31.598021694557708</v>
      </c>
      <c r="J81" t="s">
        <v>6</v>
      </c>
      <c r="K81" t="s">
        <v>161</v>
      </c>
      <c r="L81" t="s">
        <v>33</v>
      </c>
      <c r="M81" s="35" t="s">
        <v>34</v>
      </c>
      <c r="N81" s="52">
        <v>1.9571195447376</v>
      </c>
      <c r="O81" s="53">
        <v>2.1699504611733866</v>
      </c>
      <c r="P81" s="53">
        <v>1.9706387130131231</v>
      </c>
      <c r="Q81" s="53">
        <v>1.9076981609625141</v>
      </c>
      <c r="R81" s="53">
        <v>3.6347440465271599</v>
      </c>
      <c r="S81" s="53">
        <v>3.6916038137219598</v>
      </c>
      <c r="T81" s="53">
        <v>3.7498762646317298</v>
      </c>
      <c r="U81" s="53">
        <v>3.8095966725724399</v>
      </c>
      <c r="V81" s="53">
        <v>3.87080120517194</v>
      </c>
      <c r="W81" s="53">
        <v>3.9335269498690502</v>
      </c>
      <c r="X81" s="53">
        <v>3.99781193956562</v>
      </c>
      <c r="Y81" s="53">
        <v>4.0636951786608897</v>
      </c>
      <c r="Z81" s="53">
        <v>4.1312166725908099</v>
      </c>
      <c r="AA81" s="53">
        <v>4.2004619284425901</v>
      </c>
      <c r="AB81" s="53">
        <v>4.2714281477145999</v>
      </c>
      <c r="AC81" s="53">
        <v>4.34415864415723</v>
      </c>
      <c r="AD81" s="53">
        <v>4.4186978527861198</v>
      </c>
      <c r="AE81" s="53">
        <v>4.4950913648886699</v>
      </c>
      <c r="AF81" s="53">
        <v>4.5733859614187704</v>
      </c>
      <c r="AG81" s="53">
        <v>4.6536296502986696</v>
      </c>
      <c r="AH81" s="53">
        <v>4.7358717002425896</v>
      </c>
      <c r="AI81" s="53">
        <v>4.8201626793407</v>
      </c>
      <c r="AJ81" s="53">
        <v>4.9065544953786002</v>
      </c>
      <c r="AK81" s="53">
        <v>4.9951004377148998</v>
      </c>
      <c r="AL81" s="53">
        <v>5.0858552152583103</v>
      </c>
      <c r="AM81" s="53">
        <v>5.1788750090331401</v>
      </c>
      <c r="AN81" s="53">
        <v>5.2742175124200301</v>
      </c>
      <c r="AO81" s="53">
        <v>5.3719419803036397</v>
      </c>
      <c r="AP81" s="53">
        <v>5.47210928142293</v>
      </c>
      <c r="AQ81" s="53">
        <v>5.5747819561854302</v>
      </c>
      <c r="AR81" s="53">
        <v>5.68002426189347</v>
      </c>
      <c r="AS81" s="53">
        <v>5.7879022434721996</v>
      </c>
      <c r="AT81" s="53">
        <v>5.8984837835342203</v>
      </c>
    </row>
    <row r="82" spans="6:7" ht="14.5">
      <c r="F82" s="35" t="s">
        <v>138</v>
      </c>
      <c r="G82" s="53">
        <v>63.576742445676345</v>
      </c>
    </row>
    <row r="83" spans="6:7" ht="14.5">
      <c r="F83" s="35" t="s">
        <v>140</v>
      </c>
      <c r="G83" s="52">
        <v>18.9072</v>
      </c>
    </row>
    <row r="84" spans="6:7" ht="14.5">
      <c r="F84" s="35" t="s">
        <v>142</v>
      </c>
      <c r="G84" s="53"/>
    </row>
    <row r="85" spans="6:7" ht="14.5">
      <c r="F85" t="s">
        <v>162</v>
      </c>
      <c r="G85" s="53">
        <v>1.2514826903039997</v>
      </c>
    </row>
    <row r="86" spans="6:7" ht="14.5">
      <c r="F86" t="s">
        <v>163</v>
      </c>
      <c r="G86" s="53">
        <v>2.1688410728944572</v>
      </c>
    </row>
    <row r="87" spans="6:7" ht="14.5">
      <c r="F87" t="s">
        <v>164</v>
      </c>
      <c r="G87" s="53">
        <v>0.855061326756</v>
      </c>
    </row>
    <row r="88" spans="6:7" ht="14.5">
      <c r="F88" t="s">
        <v>165</v>
      </c>
      <c r="G88" s="53">
        <v>1.1400844778449895</v>
      </c>
    </row>
    <row r="89" spans="6:7" ht="14.5">
      <c r="F89" t="s">
        <v>166</v>
      </c>
      <c r="G89" s="53">
        <v>0.92012420525760008</v>
      </c>
    </row>
    <row r="90" spans="6:7" ht="14.5">
      <c r="F90" t="s">
        <v>167</v>
      </c>
      <c r="G90" s="53">
        <v>9.9915791233568569</v>
      </c>
    </row>
    <row r="91" spans="6:7" ht="14.5">
      <c r="F91" t="s">
        <v>168</v>
      </c>
      <c r="G91">
        <v>0</v>
      </c>
    </row>
    <row r="99" spans="7:89" ht="15" thickBot="1">
      <c r="G99" s="54">
        <v>2018</v>
      </c>
      <c r="H99" s="54">
        <v>2019</v>
      </c>
      <c r="I99" s="54">
        <v>2020</v>
      </c>
      <c r="J99" s="54">
        <v>2021</v>
      </c>
      <c r="K99" s="54">
        <v>2022</v>
      </c>
      <c r="L99" s="54">
        <v>2023</v>
      </c>
      <c r="M99" s="54">
        <v>2024</v>
      </c>
      <c r="N99" s="54">
        <v>2025</v>
      </c>
      <c r="O99" s="54">
        <v>2026</v>
      </c>
      <c r="P99" s="54">
        <v>2027</v>
      </c>
      <c r="Q99" s="54">
        <v>2028</v>
      </c>
      <c r="R99" s="54">
        <v>2029</v>
      </c>
      <c r="S99" s="54">
        <v>2030</v>
      </c>
      <c r="T99" s="54">
        <v>2031</v>
      </c>
      <c r="U99" s="54">
        <v>2032</v>
      </c>
      <c r="V99" s="54">
        <v>2033</v>
      </c>
      <c r="W99" s="54">
        <v>2034</v>
      </c>
      <c r="X99" s="54">
        <v>2035</v>
      </c>
      <c r="Y99" s="54">
        <v>2036</v>
      </c>
      <c r="Z99" s="54">
        <v>2037</v>
      </c>
      <c r="AA99" s="54">
        <v>2038</v>
      </c>
      <c r="AB99" s="54">
        <v>2039</v>
      </c>
      <c r="AC99" s="54">
        <v>2040</v>
      </c>
      <c r="AD99" s="54">
        <v>2041</v>
      </c>
      <c r="AE99" s="54">
        <v>2042</v>
      </c>
      <c r="AF99" s="54">
        <v>2043</v>
      </c>
      <c r="AG99" s="54">
        <v>2044</v>
      </c>
      <c r="AH99" s="54">
        <v>2045</v>
      </c>
      <c r="AI99" s="54">
        <v>2046</v>
      </c>
      <c r="AJ99" s="54">
        <v>2047</v>
      </c>
      <c r="AK99" s="54">
        <v>2048</v>
      </c>
      <c r="AL99" s="54">
        <v>2049</v>
      </c>
      <c r="AM99" s="54">
        <v>2050</v>
      </c>
      <c r="AN99" s="54">
        <v>2051</v>
      </c>
      <c r="AO99" s="54">
        <v>2052</v>
      </c>
      <c r="AP99" s="54">
        <v>2053</v>
      </c>
      <c r="AQ99" s="54">
        <v>2054</v>
      </c>
      <c r="AR99" s="54">
        <v>2055</v>
      </c>
      <c r="AS99" s="54">
        <v>2056</v>
      </c>
      <c r="AT99" s="54">
        <v>2057</v>
      </c>
      <c r="AU99" s="54">
        <v>2058</v>
      </c>
      <c r="AV99" s="54">
        <v>2059</v>
      </c>
      <c r="AW99" s="54">
        <v>2060</v>
      </c>
      <c r="AX99" s="54">
        <v>2061</v>
      </c>
      <c r="AY99" s="54">
        <v>2062</v>
      </c>
      <c r="AZ99" s="54">
        <v>2063</v>
      </c>
      <c r="BA99" s="54">
        <v>2064</v>
      </c>
      <c r="BB99" s="54">
        <v>2065</v>
      </c>
      <c r="BC99" s="54">
        <v>2066</v>
      </c>
      <c r="BD99" s="54">
        <v>2067</v>
      </c>
      <c r="BE99" s="54">
        <v>2068</v>
      </c>
      <c r="BF99" s="54">
        <v>2069</v>
      </c>
      <c r="BG99" s="54">
        <v>2070</v>
      </c>
      <c r="BH99" s="54">
        <v>2071</v>
      </c>
      <c r="BI99" s="54">
        <v>2072</v>
      </c>
      <c r="BJ99" s="54">
        <v>2073</v>
      </c>
      <c r="BK99" s="54">
        <v>2074</v>
      </c>
      <c r="BL99" s="54">
        <v>2075</v>
      </c>
      <c r="BM99" s="54">
        <v>2076</v>
      </c>
      <c r="BN99" s="54">
        <v>2077</v>
      </c>
      <c r="BO99" s="54">
        <v>2078</v>
      </c>
      <c r="BP99" s="54">
        <v>2079</v>
      </c>
      <c r="BQ99" s="54">
        <v>2080</v>
      </c>
      <c r="BR99" s="54">
        <v>2081</v>
      </c>
      <c r="BS99" s="54">
        <v>2082</v>
      </c>
      <c r="BT99" s="54">
        <v>2083</v>
      </c>
      <c r="BU99" s="54">
        <v>2084</v>
      </c>
      <c r="BV99" s="54">
        <v>2085</v>
      </c>
      <c r="BW99" s="54">
        <v>2086</v>
      </c>
      <c r="BX99" s="54">
        <v>2087</v>
      </c>
      <c r="BY99" s="54">
        <v>2088</v>
      </c>
      <c r="BZ99" s="54">
        <v>2089</v>
      </c>
      <c r="CA99" s="54">
        <v>2090</v>
      </c>
      <c r="CB99" s="54">
        <v>2091</v>
      </c>
      <c r="CC99" s="54">
        <v>2092</v>
      </c>
      <c r="CD99" s="54">
        <v>2093</v>
      </c>
      <c r="CE99" s="54">
        <v>2094</v>
      </c>
      <c r="CF99" s="54">
        <v>2095</v>
      </c>
      <c r="CG99" s="54">
        <v>2096</v>
      </c>
      <c r="CH99" s="54">
        <v>2097</v>
      </c>
      <c r="CI99" s="54">
        <v>2098</v>
      </c>
      <c r="CJ99" s="54">
        <v>2099</v>
      </c>
      <c r="CK99" s="54">
        <v>2100</v>
      </c>
    </row>
    <row r="100" spans="6:89" ht="14.5">
      <c r="F100" t="s">
        <v>211</v>
      </c>
      <c r="G100" s="52">
        <f>IF(G3="","",G3/$G3)</f>
        <v>1</v>
      </c>
      <c r="H100" s="52">
        <f t="shared" si="56" ref="H100:BS100">IF(H3="","",H3/$G3)</f>
        <v>1</v>
      </c>
      <c r="I100" s="52">
        <f t="shared" si="56"/>
        <v>1</v>
      </c>
      <c r="J100" s="52">
        <f t="shared" si="56"/>
        <v>1</v>
      </c>
      <c r="K100" s="52">
        <f t="shared" si="56"/>
        <v>1.03</v>
      </c>
      <c r="L100" s="52">
        <f t="shared" si="56"/>
        <v>1.0005970782066336</v>
      </c>
      <c r="M100" s="52">
        <f t="shared" si="56"/>
        <v>1.0401763110023001</v>
      </c>
      <c r="N100" s="52">
        <f t="shared" si="56"/>
        <v>1.0813211246924275</v>
      </c>
      <c r="O100" s="52">
        <f t="shared" si="56"/>
        <v>1.124093446792128</v>
      </c>
      <c r="P100" s="52">
        <f t="shared" si="56"/>
        <v>1.1242617583436256</v>
      </c>
      <c r="Q100" s="52">
        <f t="shared" si="56"/>
        <v>1.1244300950965673</v>
      </c>
      <c r="R100" s="52">
        <f t="shared" si="56"/>
        <v>1.1245984570547269</v>
      </c>
      <c r="S100" s="52">
        <f t="shared" si="56"/>
        <v>1.1247668442218783</v>
      </c>
      <c r="T100" s="52">
        <f t="shared" si="56"/>
        <v>1.1249352566017958</v>
      </c>
      <c r="U100" s="52">
        <f t="shared" si="56"/>
        <v>1.1348932613815228</v>
      </c>
      <c r="V100" s="52">
        <f t="shared" si="56"/>
        <v>1.1449394151090324</v>
      </c>
      <c r="W100" s="52">
        <f t="shared" si="56"/>
        <v>1.1550744980849137</v>
      </c>
      <c r="X100" s="52">
        <f t="shared" si="56"/>
        <v>1.1652992975170304</v>
      </c>
      <c r="Y100" s="52">
        <f t="shared" si="56"/>
        <v>1.1756146075816656</v>
      </c>
      <c r="Z100" s="52">
        <f t="shared" si="56"/>
        <v>1.1835001070910458</v>
      </c>
      <c r="AA100" s="52">
        <f t="shared" si="56"/>
        <v>1.1914384990212172</v>
      </c>
      <c r="AB100" s="52">
        <f t="shared" si="56"/>
        <v>1.1994301381509958</v>
      </c>
      <c r="AC100" s="52">
        <f t="shared" si="56"/>
        <v>1.2074753816388948</v>
      </c>
      <c r="AD100" s="52">
        <f t="shared" si="56"/>
        <v>1.2155745890390897</v>
      </c>
      <c r="AE100" s="52">
        <f t="shared" si="56"/>
        <v>1.2219347877857436</v>
      </c>
      <c r="AF100" s="52">
        <f t="shared" si="56"/>
        <v>1.2283282647273037</v>
      </c>
      <c r="AG100" s="52">
        <f t="shared" si="56"/>
        <v>1.2347551939838406</v>
      </c>
      <c r="AH100" s="52">
        <f t="shared" si="56"/>
        <v>1.2412157505864665</v>
      </c>
      <c r="AI100" s="52">
        <f t="shared" si="56"/>
        <v>1.2477101104821005</v>
      </c>
      <c r="AJ100" s="52">
        <f t="shared" si="56"/>
        <v>1.2542580944008723</v>
      </c>
      <c r="AK100" s="52">
        <f t="shared" si="56"/>
        <v>1.260840442145857</v>
      </c>
      <c r="AL100" s="52">
        <f t="shared" si="56"/>
        <v>1.2674573340584487</v>
      </c>
      <c r="AM100" s="52">
        <f t="shared" si="56"/>
        <v>1.2741089514264747</v>
      </c>
      <c r="AN100" s="52">
        <f t="shared" si="56"/>
        <v>1.2741089514264747</v>
      </c>
      <c r="AO100" s="52">
        <f t="shared" si="56"/>
        <v>1.2741089514264747</v>
      </c>
      <c r="AP100" s="52">
        <f t="shared" si="56"/>
        <v>1.2741089514264747</v>
      </c>
      <c r="AQ100" s="52">
        <f t="shared" si="56"/>
        <v>1.2741089514264747</v>
      </c>
      <c r="AR100" s="52">
        <f t="shared" si="56"/>
        <v>1.2741089514264747</v>
      </c>
      <c r="AS100" s="52">
        <f t="shared" si="56"/>
        <v>1.2741089514264747</v>
      </c>
      <c r="AT100" s="52">
        <f t="shared" si="56"/>
        <v>1.2741089514264747</v>
      </c>
      <c r="AU100" s="52">
        <f t="shared" si="56"/>
        <v>1.2741089514264747</v>
      </c>
      <c r="AV100" s="52">
        <f t="shared" si="56"/>
        <v>1.2741089514264747</v>
      </c>
      <c r="AW100" s="52">
        <f t="shared" si="56"/>
        <v>1.2741089514264747</v>
      </c>
      <c r="AX100" s="52">
        <f t="shared" si="56"/>
        <v>1.2741089514264747</v>
      </c>
      <c r="AY100" s="52">
        <f t="shared" si="56"/>
        <v>1.2741089514264747</v>
      </c>
      <c r="AZ100" s="52">
        <f t="shared" si="56"/>
        <v>1.2741089514264747</v>
      </c>
      <c r="BA100" s="52">
        <f t="shared" si="56"/>
        <v>1.2741089514264747</v>
      </c>
      <c r="BB100" s="52">
        <f t="shared" si="56"/>
        <v>1.2741089514264747</v>
      </c>
      <c r="BC100" s="52">
        <f t="shared" si="56"/>
        <v>1.2741089514264747</v>
      </c>
      <c r="BD100" s="52">
        <f t="shared" si="56"/>
        <v>1.2741089514264747</v>
      </c>
      <c r="BE100" s="52">
        <f t="shared" si="56"/>
        <v>1.2741089514264747</v>
      </c>
      <c r="BF100" s="52">
        <f t="shared" si="56"/>
        <v>1.2741089514264747</v>
      </c>
      <c r="BG100" s="52">
        <f t="shared" si="56"/>
        <v>1.2741089514264747</v>
      </c>
      <c r="BH100" s="52">
        <f t="shared" si="56"/>
        <v>1.2741089514264747</v>
      </c>
      <c r="BI100" s="52">
        <f t="shared" si="56"/>
        <v>1.2741089514264747</v>
      </c>
      <c r="BJ100" s="52">
        <f t="shared" si="56"/>
        <v>1.2741089514264747</v>
      </c>
      <c r="BK100" s="52">
        <f t="shared" si="56"/>
        <v>1.2741089514264747</v>
      </c>
      <c r="BL100" s="52">
        <f t="shared" si="56"/>
        <v>1.2741089514264747</v>
      </c>
      <c r="BM100" s="52">
        <f t="shared" si="56"/>
        <v>1.2741089514264747</v>
      </c>
      <c r="BN100" s="52">
        <f t="shared" si="56"/>
        <v>1.2741089514264747</v>
      </c>
      <c r="BO100" s="52">
        <f t="shared" si="56"/>
        <v>1.2741089514264747</v>
      </c>
      <c r="BP100" s="52">
        <f t="shared" si="56"/>
        <v>1.2741089514264747</v>
      </c>
      <c r="BQ100" s="52">
        <f t="shared" si="56"/>
        <v>1.2741089514264747</v>
      </c>
      <c r="BR100" s="52">
        <f t="shared" si="56"/>
        <v>1.2741089514264747</v>
      </c>
      <c r="BS100" s="52">
        <f t="shared" si="56"/>
        <v>1.2741089514264747</v>
      </c>
      <c r="BT100" s="52">
        <f t="shared" si="57" ref="BT100:CK100">IF(BT3="","",BT3/$G3)</f>
        <v>1.2741089514264747</v>
      </c>
      <c r="BU100" s="52">
        <f t="shared" si="57"/>
        <v>1.2741089514264747</v>
      </c>
      <c r="BV100" s="52">
        <f t="shared" si="57"/>
        <v>1.2741089514264747</v>
      </c>
      <c r="BW100" s="52">
        <f t="shared" si="57"/>
        <v>1.2741089514264747</v>
      </c>
      <c r="BX100" s="52">
        <f t="shared" si="57"/>
        <v>1.2741089514264747</v>
      </c>
      <c r="BY100" s="52">
        <f t="shared" si="57"/>
        <v>1.2741089514264747</v>
      </c>
      <c r="BZ100" s="52">
        <f t="shared" si="57"/>
        <v>1.2741089514264747</v>
      </c>
      <c r="CA100" s="52">
        <f t="shared" si="57"/>
        <v>1.2741089514264747</v>
      </c>
      <c r="CB100" s="52">
        <f t="shared" si="57"/>
        <v>1.2741089514264747</v>
      </c>
      <c r="CC100" s="52">
        <f t="shared" si="57"/>
        <v>1.2741089514264747</v>
      </c>
      <c r="CD100" s="52">
        <f t="shared" si="57"/>
        <v>1.2741089514264747</v>
      </c>
      <c r="CE100" s="52">
        <f t="shared" si="57"/>
        <v>1.2741089514264747</v>
      </c>
      <c r="CF100" s="52">
        <f t="shared" si="57"/>
        <v>1.2741089514264747</v>
      </c>
      <c r="CG100" s="52">
        <f t="shared" si="57"/>
        <v>1.2741089514264747</v>
      </c>
      <c r="CH100" s="52">
        <f t="shared" si="57"/>
        <v>1.2741089514264747</v>
      </c>
      <c r="CI100" s="52">
        <f t="shared" si="57"/>
        <v>1.2741089514264747</v>
      </c>
      <c r="CJ100" s="52">
        <f t="shared" si="57"/>
        <v>1.2741089514264747</v>
      </c>
      <c r="CK100" s="52">
        <f t="shared" si="57"/>
        <v>1.2741089514264747</v>
      </c>
    </row>
    <row r="101" spans="6:89" ht="14.5">
      <c r="F101" t="s">
        <v>17</v>
      </c>
      <c r="G101" s="52">
        <f t="shared" si="58" ref="G101:BR101">IF(G4="","",G4/$G4)</f>
        <v>1</v>
      </c>
      <c r="H101" s="52">
        <f t="shared" si="58"/>
        <v>1</v>
      </c>
      <c r="I101" s="52">
        <f t="shared" si="58"/>
        <v>1</v>
      </c>
      <c r="J101" s="52">
        <f t="shared" si="58"/>
        <v>1</v>
      </c>
      <c r="K101" s="52">
        <f t="shared" si="58"/>
        <v>1.03</v>
      </c>
      <c r="L101" s="52">
        <f t="shared" si="58"/>
        <v>1.1216977256826028</v>
      </c>
      <c r="M101" s="52">
        <f t="shared" si="58"/>
        <v>1.1284907100630299</v>
      </c>
      <c r="N101" s="52">
        <f t="shared" si="58"/>
        <v>1.1354514462519469</v>
      </c>
      <c r="O101" s="52">
        <f t="shared" si="58"/>
        <v>1.1425840792235855</v>
      </c>
      <c r="P101" s="52">
        <f t="shared" si="58"/>
        <v>1.149892856183341</v>
      </c>
      <c r="Q101" s="52">
        <f t="shared" si="58"/>
        <v>1.1573821289407351</v>
      </c>
      <c r="R101" s="52">
        <f t="shared" si="58"/>
        <v>1.1650563566891705</v>
      </c>
      <c r="S101" s="52">
        <f t="shared" si="58"/>
        <v>1.1729201088614278</v>
      </c>
      <c r="T101" s="52">
        <f t="shared" si="58"/>
        <v>1.1809746303054511</v>
      </c>
      <c r="U101" s="52">
        <f t="shared" si="58"/>
        <v>1.1892285747385933</v>
      </c>
      <c r="V101" s="52">
        <f t="shared" si="58"/>
        <v>1.1976869077314742</v>
      </c>
      <c r="W101" s="52">
        <f t="shared" si="58"/>
        <v>1.2063547206067569</v>
      </c>
      <c r="X101" s="52">
        <f t="shared" si="58"/>
        <v>1.2152372332855248</v>
      </c>
      <c r="Y101" s="52">
        <f t="shared" si="58"/>
        <v>1.2243397983038253</v>
      </c>
      <c r="Z101" s="52">
        <f t="shared" si="58"/>
        <v>1.2336679043746686</v>
      </c>
      <c r="AA101" s="52">
        <f t="shared" si="58"/>
        <v>1.2432271801241388</v>
      </c>
      <c r="AB101" s="52">
        <f t="shared" si="58"/>
        <v>1.2530233978324072</v>
      </c>
      <c r="AC101" s="52">
        <f t="shared" si="58"/>
        <v>1.2630624777946864</v>
      </c>
      <c r="AD101" s="52">
        <f t="shared" si="58"/>
        <v>1.2733504924700743</v>
      </c>
      <c r="AE101" s="52">
        <f t="shared" si="58"/>
        <v>1.2838936704841735</v>
      </c>
      <c r="AF101" s="52">
        <f t="shared" si="58"/>
        <v>1.2946984016817353</v>
      </c>
      <c r="AG101" s="52">
        <f t="shared" si="58"/>
        <v>1.3057712414431379</v>
      </c>
      <c r="AH101" s="52">
        <f t="shared" si="58"/>
        <v>1.3171189156696377</v>
      </c>
      <c r="AI101" s="52">
        <f t="shared" si="58"/>
        <v>1.3287483259396959</v>
      </c>
      <c r="AJ101" s="52">
        <f t="shared" si="58"/>
        <v>1.3406665543786485</v>
      </c>
      <c r="AK101" s="52">
        <f t="shared" si="58"/>
        <v>1.3528808697909245</v>
      </c>
      <c r="AL101" s="52">
        <f t="shared" si="58"/>
        <v>1.3653987328115564</v>
      </c>
      <c r="AM101" s="52">
        <f t="shared" si="58"/>
        <v>1.3782278020754324</v>
      </c>
      <c r="AN101" s="52">
        <f t="shared" si="58"/>
        <v>1.3782278020754324</v>
      </c>
      <c r="AO101" s="52">
        <f t="shared" si="58"/>
        <v>1.3782278020754324</v>
      </c>
      <c r="AP101" s="52">
        <f t="shared" si="58"/>
        <v>1.3782278020754324</v>
      </c>
      <c r="AQ101" s="52">
        <f t="shared" si="58"/>
        <v>1.3782278020754324</v>
      </c>
      <c r="AR101" s="52">
        <f t="shared" si="58"/>
        <v>1.3782278020754324</v>
      </c>
      <c r="AS101" s="52">
        <f t="shared" si="58"/>
        <v>1.3782278020754324</v>
      </c>
      <c r="AT101" s="52">
        <f t="shared" si="58"/>
        <v>1.3782278020754324</v>
      </c>
      <c r="AU101" s="52">
        <f t="shared" si="58"/>
        <v>1.3782278020754324</v>
      </c>
      <c r="AV101" s="52">
        <f t="shared" si="58"/>
        <v>1.3782278020754324</v>
      </c>
      <c r="AW101" s="52">
        <f t="shared" si="58"/>
        <v>1.3782278020754324</v>
      </c>
      <c r="AX101" s="52">
        <f t="shared" si="58"/>
        <v>1.3782278020754324</v>
      </c>
      <c r="AY101" s="52">
        <f t="shared" si="58"/>
        <v>1.3782278020754324</v>
      </c>
      <c r="AZ101" s="52">
        <f t="shared" si="58"/>
        <v>1.3782278020754324</v>
      </c>
      <c r="BA101" s="52">
        <f t="shared" si="58"/>
        <v>1.3782278020754324</v>
      </c>
      <c r="BB101" s="52">
        <f t="shared" si="58"/>
        <v>1.3782278020754324</v>
      </c>
      <c r="BC101" s="52">
        <f t="shared" si="58"/>
        <v>1.3782278020754324</v>
      </c>
      <c r="BD101" s="52">
        <f t="shared" si="58"/>
        <v>1.3782278020754324</v>
      </c>
      <c r="BE101" s="52">
        <f t="shared" si="58"/>
        <v>1.3782278020754324</v>
      </c>
      <c r="BF101" s="52">
        <f t="shared" si="58"/>
        <v>1.3782278020754324</v>
      </c>
      <c r="BG101" s="52">
        <f t="shared" si="58"/>
        <v>1.3782278020754324</v>
      </c>
      <c r="BH101" s="52">
        <f t="shared" si="58"/>
        <v>1.3782278020754324</v>
      </c>
      <c r="BI101" s="52">
        <f t="shared" si="58"/>
        <v>1.3782278020754324</v>
      </c>
      <c r="BJ101" s="52">
        <f t="shared" si="58"/>
        <v>1.3782278020754324</v>
      </c>
      <c r="BK101" s="52">
        <f t="shared" si="58"/>
        <v>1.3782278020754324</v>
      </c>
      <c r="BL101" s="52">
        <f t="shared" si="58"/>
        <v>1.3782278020754324</v>
      </c>
      <c r="BM101" s="52">
        <f t="shared" si="58"/>
        <v>1.3782278020754324</v>
      </c>
      <c r="BN101" s="52">
        <f t="shared" si="58"/>
        <v>1.3782278020754324</v>
      </c>
      <c r="BO101" s="52">
        <f t="shared" si="58"/>
        <v>1.3782278020754324</v>
      </c>
      <c r="BP101" s="52">
        <f t="shared" si="58"/>
        <v>1.3782278020754324</v>
      </c>
      <c r="BQ101" s="52">
        <f t="shared" si="58"/>
        <v>1.3782278020754324</v>
      </c>
      <c r="BR101" s="52">
        <f t="shared" si="58"/>
        <v>1.3782278020754324</v>
      </c>
      <c r="BS101" s="52">
        <f t="shared" si="59" ref="BS101:CK101">IF(BS4="","",BS4/$G4)</f>
        <v>1.3782278020754324</v>
      </c>
      <c r="BT101" s="52">
        <f t="shared" si="59"/>
        <v>1.3782278020754324</v>
      </c>
      <c r="BU101" s="52">
        <f t="shared" si="59"/>
        <v>1.3782278020754324</v>
      </c>
      <c r="BV101" s="52">
        <f t="shared" si="59"/>
        <v>1.3782278020754324</v>
      </c>
      <c r="BW101" s="52">
        <f t="shared" si="59"/>
        <v>1.3782278020754324</v>
      </c>
      <c r="BX101" s="52">
        <f t="shared" si="59"/>
        <v>1.3782278020754324</v>
      </c>
      <c r="BY101" s="52">
        <f t="shared" si="59"/>
        <v>1.3782278020754324</v>
      </c>
      <c r="BZ101" s="52">
        <f t="shared" si="59"/>
        <v>1.3782278020754324</v>
      </c>
      <c r="CA101" s="52">
        <f t="shared" si="59"/>
        <v>1.3782278020754324</v>
      </c>
      <c r="CB101" s="52">
        <f t="shared" si="59"/>
        <v>1.3782278020754324</v>
      </c>
      <c r="CC101" s="52">
        <f t="shared" si="59"/>
        <v>1.3782278020754324</v>
      </c>
      <c r="CD101" s="52">
        <f t="shared" si="59"/>
        <v>1.3782278020754324</v>
      </c>
      <c r="CE101" s="52">
        <f t="shared" si="59"/>
        <v>1.3782278020754324</v>
      </c>
      <c r="CF101" s="52">
        <f t="shared" si="59"/>
        <v>1.3782278020754324</v>
      </c>
      <c r="CG101" s="52">
        <f t="shared" si="59"/>
        <v>1.3782278020754324</v>
      </c>
      <c r="CH101" s="52">
        <f t="shared" si="59"/>
        <v>1.3782278020754324</v>
      </c>
      <c r="CI101" s="52">
        <f t="shared" si="59"/>
        <v>1.3782278020754324</v>
      </c>
      <c r="CJ101" s="52">
        <f t="shared" si="59"/>
        <v>1.3782278020754324</v>
      </c>
      <c r="CK101" s="52">
        <f t="shared" si="59"/>
        <v>1.3782278020754324</v>
      </c>
    </row>
    <row r="102" spans="6:89" ht="14.5">
      <c r="F102" t="s">
        <v>212</v>
      </c>
      <c r="G102" s="52">
        <f t="shared" si="60" ref="G102:BR102">IF(G5="","",G5/$G5)</f>
        <v>1</v>
      </c>
      <c r="H102" s="52">
        <f t="shared" si="60"/>
        <v>1</v>
      </c>
      <c r="I102" s="52">
        <f t="shared" si="60"/>
        <v>1</v>
      </c>
      <c r="J102" s="52">
        <f t="shared" si="60"/>
        <v>1</v>
      </c>
      <c r="K102" s="52">
        <f t="shared" si="60"/>
        <v>1.03</v>
      </c>
      <c r="L102" s="52">
        <f t="shared" si="60"/>
        <v>1.205587668195879</v>
      </c>
      <c r="M102" s="52">
        <f t="shared" si="60"/>
        <v>1.2299515368722238</v>
      </c>
      <c r="N102" s="52">
        <f t="shared" si="60"/>
        <v>1.253429645974395</v>
      </c>
      <c r="O102" s="52">
        <f t="shared" si="60"/>
        <v>1.2761247117335701</v>
      </c>
      <c r="P102" s="52">
        <f t="shared" si="60"/>
        <v>1.298072352362637</v>
      </c>
      <c r="Q102" s="52">
        <f t="shared" si="60"/>
        <v>1.3194233855655246</v>
      </c>
      <c r="R102" s="52">
        <f t="shared" si="60"/>
        <v>1.3403293082723822</v>
      </c>
      <c r="S102" s="52">
        <f t="shared" si="60"/>
        <v>1.3607830955938791</v>
      </c>
      <c r="T102" s="52">
        <f t="shared" si="60"/>
        <v>1.3808674840838635</v>
      </c>
      <c r="U102" s="52">
        <f t="shared" si="60"/>
        <v>1.4005723086523931</v>
      </c>
      <c r="V102" s="52">
        <f t="shared" si="60"/>
        <v>1.4199541123550374</v>
      </c>
      <c r="W102" s="52">
        <f t="shared" si="60"/>
        <v>1.4390452512638487</v>
      </c>
      <c r="X102" s="52">
        <f t="shared" si="60"/>
        <v>1.4578111487964691</v>
      </c>
      <c r="Y102" s="52">
        <f t="shared" si="60"/>
        <v>1.4762418640517394</v>
      </c>
      <c r="Z102" s="52">
        <f t="shared" si="60"/>
        <v>1.494325444570042</v>
      </c>
      <c r="AA102" s="52">
        <f t="shared" si="60"/>
        <v>1.5120594330691173</v>
      </c>
      <c r="AB102" s="52">
        <f t="shared" si="60"/>
        <v>1.5294094254688082</v>
      </c>
      <c r="AC102" s="52">
        <f t="shared" si="60"/>
        <v>1.5463625812630581</v>
      </c>
      <c r="AD102" s="52">
        <f t="shared" si="60"/>
        <v>1.5629205737494565</v>
      </c>
      <c r="AE102" s="52">
        <f t="shared" si="60"/>
        <v>1.5790653167852904</v>
      </c>
      <c r="AF102" s="52">
        <f t="shared" si="60"/>
        <v>1.5947705160417782</v>
      </c>
      <c r="AG102" s="52">
        <f t="shared" si="60"/>
        <v>1.6099703109084647</v>
      </c>
      <c r="AH102" s="52">
        <f t="shared" si="60"/>
        <v>1.6246595570404889</v>
      </c>
      <c r="AI102" s="52">
        <f t="shared" si="60"/>
        <v>1.6388441890627481</v>
      </c>
      <c r="AJ102" s="52">
        <f t="shared" si="60"/>
        <v>1.6525066008797515</v>
      </c>
      <c r="AK102" s="52">
        <f t="shared" si="60"/>
        <v>1.6656415680968284</v>
      </c>
      <c r="AL102" s="52">
        <f t="shared" si="60"/>
        <v>1.678208792310502</v>
      </c>
      <c r="AM102" s="52">
        <f t="shared" si="60"/>
        <v>1.6902222160631175</v>
      </c>
      <c r="AN102" s="52">
        <f t="shared" si="60"/>
        <v>1.6902222160631175</v>
      </c>
      <c r="AO102" s="52">
        <f t="shared" si="60"/>
        <v>1.6902222160631175</v>
      </c>
      <c r="AP102" s="52">
        <f t="shared" si="60"/>
        <v>1.6902222160631175</v>
      </c>
      <c r="AQ102" s="52">
        <f t="shared" si="60"/>
        <v>1.6902222160631175</v>
      </c>
      <c r="AR102" s="52">
        <f t="shared" si="60"/>
        <v>1.6902222160631175</v>
      </c>
      <c r="AS102" s="52">
        <f t="shared" si="60"/>
        <v>1.6902222160631175</v>
      </c>
      <c r="AT102" s="52">
        <f t="shared" si="60"/>
        <v>1.6902222160631175</v>
      </c>
      <c r="AU102" s="52">
        <f t="shared" si="60"/>
        <v>1.6902222160631175</v>
      </c>
      <c r="AV102" s="52">
        <f t="shared" si="60"/>
        <v>1.6902222160631175</v>
      </c>
      <c r="AW102" s="52">
        <f t="shared" si="60"/>
        <v>1.6902222160631175</v>
      </c>
      <c r="AX102" s="52">
        <f t="shared" si="60"/>
        <v>1.6902222160631175</v>
      </c>
      <c r="AY102" s="52">
        <f t="shared" si="60"/>
        <v>1.6902222160631175</v>
      </c>
      <c r="AZ102" s="52">
        <f t="shared" si="60"/>
        <v>1.6902222160631175</v>
      </c>
      <c r="BA102" s="52">
        <f t="shared" si="60"/>
        <v>1.6902222160631175</v>
      </c>
      <c r="BB102" s="52">
        <f t="shared" si="60"/>
        <v>1.6902222160631175</v>
      </c>
      <c r="BC102" s="52">
        <f t="shared" si="60"/>
        <v>1.6902222160631175</v>
      </c>
      <c r="BD102" s="52">
        <f t="shared" si="60"/>
        <v>1.6902222160631175</v>
      </c>
      <c r="BE102" s="52">
        <f t="shared" si="60"/>
        <v>1.6902222160631175</v>
      </c>
      <c r="BF102" s="52">
        <f t="shared" si="60"/>
        <v>1.6902222160631175</v>
      </c>
      <c r="BG102" s="52">
        <f t="shared" si="60"/>
        <v>1.6902222160631175</v>
      </c>
      <c r="BH102" s="52">
        <f t="shared" si="60"/>
        <v>1.6902222160631175</v>
      </c>
      <c r="BI102" s="52">
        <f t="shared" si="60"/>
        <v>1.6902222160631175</v>
      </c>
      <c r="BJ102" s="52">
        <f t="shared" si="60"/>
        <v>1.6902222160631175</v>
      </c>
      <c r="BK102" s="52">
        <f t="shared" si="60"/>
        <v>1.6902222160631175</v>
      </c>
      <c r="BL102" s="52">
        <f t="shared" si="60"/>
        <v>1.6902222160631175</v>
      </c>
      <c r="BM102" s="52">
        <f t="shared" si="60"/>
        <v>1.6902222160631175</v>
      </c>
      <c r="BN102" s="52">
        <f t="shared" si="60"/>
        <v>1.6902222160631175</v>
      </c>
      <c r="BO102" s="52">
        <f t="shared" si="60"/>
        <v>1.6902222160631175</v>
      </c>
      <c r="BP102" s="52">
        <f t="shared" si="60"/>
        <v>1.6902222160631175</v>
      </c>
      <c r="BQ102" s="52">
        <f t="shared" si="60"/>
        <v>1.6902222160631175</v>
      </c>
      <c r="BR102" s="52">
        <f t="shared" si="60"/>
        <v>1.6902222160631175</v>
      </c>
      <c r="BS102" s="52">
        <f t="shared" si="61" ref="BS102:CK102">IF(BS5="","",BS5/$G5)</f>
        <v>1.6902222160631175</v>
      </c>
      <c r="BT102" s="52">
        <f t="shared" si="61"/>
        <v>1.6902222160631175</v>
      </c>
      <c r="BU102" s="52">
        <f t="shared" si="61"/>
        <v>1.6902222160631175</v>
      </c>
      <c r="BV102" s="52">
        <f t="shared" si="61"/>
        <v>1.6902222160631175</v>
      </c>
      <c r="BW102" s="52">
        <f t="shared" si="61"/>
        <v>1.6902222160631175</v>
      </c>
      <c r="BX102" s="52">
        <f t="shared" si="61"/>
        <v>1.6902222160631175</v>
      </c>
      <c r="BY102" s="52">
        <f t="shared" si="61"/>
        <v>1.6902222160631175</v>
      </c>
      <c r="BZ102" s="52">
        <f t="shared" si="61"/>
        <v>1.6902222160631175</v>
      </c>
      <c r="CA102" s="52">
        <f t="shared" si="61"/>
        <v>1.6902222160631175</v>
      </c>
      <c r="CB102" s="52">
        <f t="shared" si="61"/>
        <v>1.6902222160631175</v>
      </c>
      <c r="CC102" s="52">
        <f t="shared" si="61"/>
        <v>1.6902222160631175</v>
      </c>
      <c r="CD102" s="52">
        <f t="shared" si="61"/>
        <v>1.6902222160631175</v>
      </c>
      <c r="CE102" s="52">
        <f t="shared" si="61"/>
        <v>1.6902222160631175</v>
      </c>
      <c r="CF102" s="52">
        <f t="shared" si="61"/>
        <v>1.6902222160631175</v>
      </c>
      <c r="CG102" s="52">
        <f t="shared" si="61"/>
        <v>1.6902222160631175</v>
      </c>
      <c r="CH102" s="52">
        <f t="shared" si="61"/>
        <v>1.6902222160631175</v>
      </c>
      <c r="CI102" s="52">
        <f t="shared" si="61"/>
        <v>1.6902222160631175</v>
      </c>
      <c r="CJ102" s="52">
        <f t="shared" si="61"/>
        <v>1.6902222160631175</v>
      </c>
      <c r="CK102" s="52">
        <f t="shared" si="61"/>
        <v>1.6902222160631175</v>
      </c>
    </row>
    <row r="103" spans="6:89" ht="14.5">
      <c r="F103" t="s">
        <v>213</v>
      </c>
      <c r="G103" s="52">
        <f t="shared" si="62" ref="G103:BR103">IF(G6="","",G6/$G6)</f>
        <v>1</v>
      </c>
      <c r="H103" s="52">
        <f t="shared" si="62"/>
        <v>1</v>
      </c>
      <c r="I103" s="52">
        <f t="shared" si="62"/>
        <v>1</v>
      </c>
      <c r="J103" s="52">
        <f t="shared" si="62"/>
        <v>1</v>
      </c>
      <c r="K103" s="52">
        <f t="shared" si="62"/>
        <v>1.03</v>
      </c>
      <c r="L103" s="52">
        <f t="shared" si="62"/>
        <v>1.0005970782066336</v>
      </c>
      <c r="M103" s="52">
        <f t="shared" si="62"/>
        <v>1.0401763110023001</v>
      </c>
      <c r="N103" s="52">
        <f t="shared" si="62"/>
        <v>1.0813211246924275</v>
      </c>
      <c r="O103" s="52">
        <f t="shared" si="62"/>
        <v>1.124093446792128</v>
      </c>
      <c r="P103" s="52">
        <f t="shared" si="62"/>
        <v>1.1242617583436256</v>
      </c>
      <c r="Q103" s="52">
        <f t="shared" si="62"/>
        <v>1.1244300950965673</v>
      </c>
      <c r="R103" s="52">
        <f t="shared" si="62"/>
        <v>1.1245984570547269</v>
      </c>
      <c r="S103" s="52">
        <f t="shared" si="62"/>
        <v>1.1247668442218783</v>
      </c>
      <c r="T103" s="52">
        <f t="shared" si="62"/>
        <v>1.1249352566017958</v>
      </c>
      <c r="U103" s="52">
        <f t="shared" si="62"/>
        <v>1.1348932613815228</v>
      </c>
      <c r="V103" s="52">
        <f t="shared" si="62"/>
        <v>1.1449394151090324</v>
      </c>
      <c r="W103" s="52">
        <f t="shared" si="62"/>
        <v>1.1550744980849137</v>
      </c>
      <c r="X103" s="52">
        <f t="shared" si="62"/>
        <v>1.1652992975170304</v>
      </c>
      <c r="Y103" s="52">
        <f t="shared" si="62"/>
        <v>1.1756146075816656</v>
      </c>
      <c r="Z103" s="52">
        <f t="shared" si="62"/>
        <v>1.1835001070910458</v>
      </c>
      <c r="AA103" s="52">
        <f t="shared" si="62"/>
        <v>1.1914384990212172</v>
      </c>
      <c r="AB103" s="52">
        <f t="shared" si="62"/>
        <v>1.1994301381509958</v>
      </c>
      <c r="AC103" s="52">
        <f t="shared" si="62"/>
        <v>1.2074753816388948</v>
      </c>
      <c r="AD103" s="52">
        <f t="shared" si="62"/>
        <v>1.2155745890390897</v>
      </c>
      <c r="AE103" s="52">
        <f t="shared" si="62"/>
        <v>1.2219347877857436</v>
      </c>
      <c r="AF103" s="52">
        <f t="shared" si="62"/>
        <v>1.2283282647273037</v>
      </c>
      <c r="AG103" s="52">
        <f t="shared" si="62"/>
        <v>1.2347551939838406</v>
      </c>
      <c r="AH103" s="52">
        <f t="shared" si="62"/>
        <v>1.2412157505864665</v>
      </c>
      <c r="AI103" s="52">
        <f t="shared" si="62"/>
        <v>1.2477101104821005</v>
      </c>
      <c r="AJ103" s="52">
        <f t="shared" si="62"/>
        <v>1.2542580944008723</v>
      </c>
      <c r="AK103" s="52">
        <f t="shared" si="62"/>
        <v>1.260840442145857</v>
      </c>
      <c r="AL103" s="52">
        <f t="shared" si="62"/>
        <v>1.2674573340584487</v>
      </c>
      <c r="AM103" s="52">
        <f t="shared" si="62"/>
        <v>1.2741089514264747</v>
      </c>
      <c r="AN103" s="52">
        <f t="shared" si="62"/>
        <v>1.2741089514264747</v>
      </c>
      <c r="AO103" s="52">
        <f t="shared" si="62"/>
        <v>1.2741089514264747</v>
      </c>
      <c r="AP103" s="52">
        <f t="shared" si="62"/>
        <v>1.2741089514264747</v>
      </c>
      <c r="AQ103" s="52">
        <f t="shared" si="62"/>
        <v>1.2741089514264747</v>
      </c>
      <c r="AR103" s="52">
        <f t="shared" si="62"/>
        <v>1.2741089514264747</v>
      </c>
      <c r="AS103" s="52">
        <f t="shared" si="62"/>
        <v>1.2741089514264747</v>
      </c>
      <c r="AT103" s="52">
        <f t="shared" si="62"/>
        <v>1.2741089514264747</v>
      </c>
      <c r="AU103" s="52">
        <f t="shared" si="62"/>
        <v>1.2741089514264747</v>
      </c>
      <c r="AV103" s="52">
        <f t="shared" si="62"/>
        <v>1.2741089514264747</v>
      </c>
      <c r="AW103" s="52">
        <f t="shared" si="62"/>
        <v>1.2741089514264747</v>
      </c>
      <c r="AX103" s="52">
        <f t="shared" si="62"/>
        <v>1.2741089514264747</v>
      </c>
      <c r="AY103" s="52">
        <f t="shared" si="62"/>
        <v>1.2741089514264747</v>
      </c>
      <c r="AZ103" s="52">
        <f t="shared" si="62"/>
        <v>1.2741089514264747</v>
      </c>
      <c r="BA103" s="52">
        <f t="shared" si="62"/>
        <v>1.2741089514264747</v>
      </c>
      <c r="BB103" s="52">
        <f t="shared" si="62"/>
        <v>1.2741089514264747</v>
      </c>
      <c r="BC103" s="52">
        <f t="shared" si="62"/>
        <v>1.2741089514264747</v>
      </c>
      <c r="BD103" s="52">
        <f t="shared" si="62"/>
        <v>1.2741089514264747</v>
      </c>
      <c r="BE103" s="52">
        <f t="shared" si="62"/>
        <v>1.2741089514264747</v>
      </c>
      <c r="BF103" s="52">
        <f t="shared" si="62"/>
        <v>1.2741089514264747</v>
      </c>
      <c r="BG103" s="52">
        <f t="shared" si="62"/>
        <v>1.2741089514264747</v>
      </c>
      <c r="BH103" s="52">
        <f t="shared" si="62"/>
        <v>1.2741089514264747</v>
      </c>
      <c r="BI103" s="52">
        <f t="shared" si="62"/>
        <v>1.2741089514264747</v>
      </c>
      <c r="BJ103" s="52">
        <f t="shared" si="62"/>
        <v>1.2741089514264747</v>
      </c>
      <c r="BK103" s="52">
        <f t="shared" si="62"/>
        <v>1.2741089514264747</v>
      </c>
      <c r="BL103" s="52">
        <f t="shared" si="62"/>
        <v>1.2741089514264747</v>
      </c>
      <c r="BM103" s="52">
        <f t="shared" si="62"/>
        <v>1.2741089514264747</v>
      </c>
      <c r="BN103" s="52">
        <f t="shared" si="62"/>
        <v>1.2741089514264747</v>
      </c>
      <c r="BO103" s="52">
        <f t="shared" si="62"/>
        <v>1.2741089514264747</v>
      </c>
      <c r="BP103" s="52">
        <f t="shared" si="62"/>
        <v>1.2741089514264747</v>
      </c>
      <c r="BQ103" s="52">
        <f t="shared" si="62"/>
        <v>1.2741089514264747</v>
      </c>
      <c r="BR103" s="52">
        <f t="shared" si="62"/>
        <v>1.2741089514264747</v>
      </c>
      <c r="BS103" s="52">
        <f t="shared" si="63" ref="BS103:CK103">IF(BS6="","",BS6/$G6)</f>
        <v>1.2741089514264747</v>
      </c>
      <c r="BT103" s="52">
        <f t="shared" si="63"/>
        <v>1.2741089514264747</v>
      </c>
      <c r="BU103" s="52">
        <f t="shared" si="63"/>
        <v>1.2741089514264747</v>
      </c>
      <c r="BV103" s="52">
        <f t="shared" si="63"/>
        <v>1.2741089514264747</v>
      </c>
      <c r="BW103" s="52">
        <f t="shared" si="63"/>
        <v>1.2741089514264747</v>
      </c>
      <c r="BX103" s="52">
        <f t="shared" si="63"/>
        <v>1.2741089514264747</v>
      </c>
      <c r="BY103" s="52">
        <f t="shared" si="63"/>
        <v>1.2741089514264747</v>
      </c>
      <c r="BZ103" s="52">
        <f t="shared" si="63"/>
        <v>1.2741089514264747</v>
      </c>
      <c r="CA103" s="52">
        <f t="shared" si="63"/>
        <v>1.2741089514264747</v>
      </c>
      <c r="CB103" s="52">
        <f t="shared" si="63"/>
        <v>1.2741089514264747</v>
      </c>
      <c r="CC103" s="52">
        <f t="shared" si="63"/>
        <v>1.2741089514264747</v>
      </c>
      <c r="CD103" s="52">
        <f t="shared" si="63"/>
        <v>1.2741089514264747</v>
      </c>
      <c r="CE103" s="52">
        <f t="shared" si="63"/>
        <v>1.2741089514264747</v>
      </c>
      <c r="CF103" s="52">
        <f t="shared" si="63"/>
        <v>1.2741089514264747</v>
      </c>
      <c r="CG103" s="52">
        <f t="shared" si="63"/>
        <v>1.2741089514264747</v>
      </c>
      <c r="CH103" s="52">
        <f t="shared" si="63"/>
        <v>1.2741089514264747</v>
      </c>
      <c r="CI103" s="52">
        <f t="shared" si="63"/>
        <v>1.2741089514264747</v>
      </c>
      <c r="CJ103" s="52">
        <f t="shared" si="63"/>
        <v>1.2741089514264747</v>
      </c>
      <c r="CK103" s="52">
        <f t="shared" si="63"/>
        <v>1.2741089514264747</v>
      </c>
    </row>
    <row r="104" spans="6:89" ht="14.5">
      <c r="F104" t="s">
        <v>23</v>
      </c>
      <c r="G104" s="52">
        <f t="shared" si="64" ref="G104:BR104">IF(G7="","",G7/$G7)</f>
        <v>1</v>
      </c>
      <c r="H104" s="52">
        <f t="shared" si="64"/>
        <v>1</v>
      </c>
      <c r="I104" s="52">
        <f t="shared" si="64"/>
        <v>1</v>
      </c>
      <c r="J104" s="52">
        <f t="shared" si="64"/>
        <v>1</v>
      </c>
      <c r="K104" s="52">
        <f t="shared" si="64"/>
        <v>1.03</v>
      </c>
      <c r="L104" s="52">
        <f t="shared" si="64"/>
        <v>0.89518494664176806</v>
      </c>
      <c r="M104" s="52">
        <f t="shared" si="64"/>
        <v>0.89974629467751377</v>
      </c>
      <c r="N104" s="52">
        <f t="shared" si="64"/>
        <v>0.9044227334824857</v>
      </c>
      <c r="O104" s="52">
        <f t="shared" si="64"/>
        <v>0.90921726349866905</v>
      </c>
      <c r="P104" s="52">
        <f t="shared" si="64"/>
        <v>0.91413296968773983</v>
      </c>
      <c r="Q104" s="52">
        <f t="shared" si="64"/>
        <v>0.91917302382558375</v>
      </c>
      <c r="R104" s="52">
        <f t="shared" si="64"/>
        <v>0.92434068923276946</v>
      </c>
      <c r="S104" s="52">
        <f t="shared" si="64"/>
        <v>0.92963932453736908</v>
      </c>
      <c r="T104" s="52">
        <f t="shared" si="64"/>
        <v>0.93512516656154787</v>
      </c>
      <c r="U104" s="52">
        <f t="shared" si="64"/>
        <v>0.94074731810134837</v>
      </c>
      <c r="V104" s="52">
        <f t="shared" si="64"/>
        <v>0.94650929677958551</v>
      </c>
      <c r="W104" s="52">
        <f t="shared" si="64"/>
        <v>0.95241472271396777</v>
      </c>
      <c r="X104" s="52">
        <f t="shared" si="64"/>
        <v>0.95846732233746845</v>
      </c>
      <c r="Y104" s="52">
        <f t="shared" si="64"/>
        <v>0.96467093278439764</v>
      </c>
      <c r="Z104" s="52">
        <f t="shared" si="64"/>
        <v>0.97102950753815043</v>
      </c>
      <c r="AA104" s="52">
        <f t="shared" si="64"/>
        <v>0.97754712063788285</v>
      </c>
      <c r="AB104" s="52">
        <f t="shared" si="64"/>
        <v>0.98422797313019483</v>
      </c>
      <c r="AC104" s="52">
        <f t="shared" si="64"/>
        <v>0.9910763980454862</v>
      </c>
      <c r="AD104" s="52">
        <f t="shared" si="64"/>
        <v>0.99809686795564023</v>
      </c>
      <c r="AE104" s="52">
        <f t="shared" si="64"/>
        <v>1.0052940018531011</v>
      </c>
      <c r="AF104" s="52">
        <f t="shared" si="64"/>
        <v>1.0126725719365659</v>
      </c>
      <c r="AG104" s="52">
        <f t="shared" si="64"/>
        <v>1.0202375132149522</v>
      </c>
      <c r="AH104" s="52">
        <f t="shared" si="64"/>
        <v>1.0279939318999656</v>
      </c>
      <c r="AI104" s="52">
        <f t="shared" si="64"/>
        <v>1.0359471149638824</v>
      </c>
      <c r="AJ104" s="52">
        <f t="shared" si="64"/>
        <v>1.0441025420044654</v>
      </c>
      <c r="AK104" s="52">
        <f t="shared" si="64"/>
        <v>1.0524658961758644</v>
      </c>
      <c r="AL104" s="52">
        <f t="shared" si="64"/>
        <v>1.0610430776903106</v>
      </c>
      <c r="AM104" s="52">
        <f t="shared" si="64"/>
        <v>1.0698402177415325</v>
      </c>
      <c r="AN104" s="52">
        <f t="shared" si="64"/>
        <v>1.0698402177415325</v>
      </c>
      <c r="AO104" s="52">
        <f t="shared" si="64"/>
        <v>1.0698402177415325</v>
      </c>
      <c r="AP104" s="52">
        <f t="shared" si="64"/>
        <v>1.0698402177415325</v>
      </c>
      <c r="AQ104" s="52">
        <f t="shared" si="64"/>
        <v>1.0698402177415325</v>
      </c>
      <c r="AR104" s="52">
        <f t="shared" si="64"/>
        <v>1.0698402177415325</v>
      </c>
      <c r="AS104" s="52">
        <f t="shared" si="64"/>
        <v>1.0698402177415325</v>
      </c>
      <c r="AT104" s="52">
        <f t="shared" si="64"/>
        <v>1.0698402177415325</v>
      </c>
      <c r="AU104" s="52">
        <f t="shared" si="64"/>
        <v>1.0698402177415325</v>
      </c>
      <c r="AV104" s="52">
        <f t="shared" si="64"/>
        <v>1.0698402177415325</v>
      </c>
      <c r="AW104" s="52">
        <f t="shared" si="64"/>
        <v>1.0698402177415325</v>
      </c>
      <c r="AX104" s="52">
        <f t="shared" si="64"/>
        <v>1.0698402177415325</v>
      </c>
      <c r="AY104" s="52">
        <f t="shared" si="64"/>
        <v>1.0698402177415325</v>
      </c>
      <c r="AZ104" s="52">
        <f t="shared" si="64"/>
        <v>1.0698402177415325</v>
      </c>
      <c r="BA104" s="52">
        <f t="shared" si="64"/>
        <v>1.0698402177415325</v>
      </c>
      <c r="BB104" s="52">
        <f t="shared" si="64"/>
        <v>1.0698402177415325</v>
      </c>
      <c r="BC104" s="52">
        <f t="shared" si="64"/>
        <v>1.0698402177415325</v>
      </c>
      <c r="BD104" s="52">
        <f t="shared" si="64"/>
        <v>1.0698402177415325</v>
      </c>
      <c r="BE104" s="52">
        <f t="shared" si="64"/>
        <v>1.0698402177415325</v>
      </c>
      <c r="BF104" s="52">
        <f t="shared" si="64"/>
        <v>1.0698402177415325</v>
      </c>
      <c r="BG104" s="52">
        <f t="shared" si="64"/>
        <v>1.0698402177415325</v>
      </c>
      <c r="BH104" s="52">
        <f t="shared" si="64"/>
        <v>1.0698402177415325</v>
      </c>
      <c r="BI104" s="52">
        <f t="shared" si="64"/>
        <v>1.0698402177415325</v>
      </c>
      <c r="BJ104" s="52">
        <f t="shared" si="64"/>
        <v>1.0698402177415325</v>
      </c>
      <c r="BK104" s="52">
        <f t="shared" si="64"/>
        <v>1.0698402177415325</v>
      </c>
      <c r="BL104" s="52">
        <f t="shared" si="64"/>
        <v>1.0698402177415325</v>
      </c>
      <c r="BM104" s="52">
        <f t="shared" si="64"/>
        <v>1.0698402177415325</v>
      </c>
      <c r="BN104" s="52">
        <f t="shared" si="64"/>
        <v>1.0698402177415325</v>
      </c>
      <c r="BO104" s="52">
        <f t="shared" si="64"/>
        <v>1.0698402177415325</v>
      </c>
      <c r="BP104" s="52">
        <f t="shared" si="64"/>
        <v>1.0698402177415325</v>
      </c>
      <c r="BQ104" s="52">
        <f t="shared" si="64"/>
        <v>1.0698402177415325</v>
      </c>
      <c r="BR104" s="52">
        <f t="shared" si="64"/>
        <v>1.0698402177415325</v>
      </c>
      <c r="BS104" s="52">
        <f t="shared" si="65" ref="BS104:CK104">IF(BS7="","",BS7/$G7)</f>
        <v>1.0698402177415325</v>
      </c>
      <c r="BT104" s="52">
        <f t="shared" si="65"/>
        <v>1.0698402177415325</v>
      </c>
      <c r="BU104" s="52">
        <f t="shared" si="65"/>
        <v>1.0698402177415325</v>
      </c>
      <c r="BV104" s="52">
        <f t="shared" si="65"/>
        <v>1.0698402177415325</v>
      </c>
      <c r="BW104" s="52">
        <f t="shared" si="65"/>
        <v>1.0698402177415325</v>
      </c>
      <c r="BX104" s="52">
        <f t="shared" si="65"/>
        <v>1.0698402177415325</v>
      </c>
      <c r="BY104" s="52">
        <f t="shared" si="65"/>
        <v>1.0698402177415325</v>
      </c>
      <c r="BZ104" s="52">
        <f t="shared" si="65"/>
        <v>1.0698402177415325</v>
      </c>
      <c r="CA104" s="52">
        <f t="shared" si="65"/>
        <v>1.0698402177415325</v>
      </c>
      <c r="CB104" s="52">
        <f t="shared" si="65"/>
        <v>1.0698402177415325</v>
      </c>
      <c r="CC104" s="52">
        <f t="shared" si="65"/>
        <v>1.0698402177415325</v>
      </c>
      <c r="CD104" s="52">
        <f t="shared" si="65"/>
        <v>1.0698402177415325</v>
      </c>
      <c r="CE104" s="52">
        <f t="shared" si="65"/>
        <v>1.0698402177415325</v>
      </c>
      <c r="CF104" s="52">
        <f t="shared" si="65"/>
        <v>1.0698402177415325</v>
      </c>
      <c r="CG104" s="52">
        <f t="shared" si="65"/>
        <v>1.0698402177415325</v>
      </c>
      <c r="CH104" s="52">
        <f t="shared" si="65"/>
        <v>1.0698402177415325</v>
      </c>
      <c r="CI104" s="52">
        <f t="shared" si="65"/>
        <v>1.0698402177415325</v>
      </c>
      <c r="CJ104" s="52">
        <f t="shared" si="65"/>
        <v>1.0698402177415325</v>
      </c>
      <c r="CK104" s="52">
        <f t="shared" si="65"/>
        <v>1.0698402177415325</v>
      </c>
    </row>
    <row r="105" spans="6:89" ht="14.5">
      <c r="F105" t="s">
        <v>31</v>
      </c>
      <c r="G105" s="52">
        <f t="shared" si="66" ref="G105:BR105">IF(G8="","",G8/$G8)</f>
        <v>1</v>
      </c>
      <c r="H105" s="52">
        <f t="shared" si="66"/>
        <v>1</v>
      </c>
      <c r="I105" s="52">
        <f t="shared" si="66"/>
        <v>1</v>
      </c>
      <c r="J105" s="52">
        <f t="shared" si="66"/>
        <v>1</v>
      </c>
      <c r="K105" s="52">
        <f t="shared" si="66"/>
        <v>1.03</v>
      </c>
      <c r="L105" s="52">
        <f t="shared" si="66"/>
        <v>1.0195149867229136</v>
      </c>
      <c r="M105" s="52">
        <f t="shared" si="66"/>
        <v>1.0392671840991035</v>
      </c>
      <c r="N105" s="52">
        <f t="shared" si="66"/>
        <v>1.0580451868174945</v>
      </c>
      <c r="O105" s="52">
        <f t="shared" si="66"/>
        <v>1.0759373477923879</v>
      </c>
      <c r="P105" s="52">
        <f t="shared" si="66"/>
        <v>1.092939449357091</v>
      </c>
      <c r="Q105" s="52">
        <f t="shared" si="66"/>
        <v>1.109230614616544</v>
      </c>
      <c r="R105" s="52">
        <f t="shared" si="66"/>
        <v>1.1250067014412972</v>
      </c>
      <c r="S105" s="52">
        <f t="shared" si="66"/>
        <v>1.1402233293512973</v>
      </c>
      <c r="T105" s="52">
        <f t="shared" si="66"/>
        <v>1.1549783774322975</v>
      </c>
      <c r="U105" s="52">
        <f t="shared" si="66"/>
        <v>1.1692301450699858</v>
      </c>
      <c r="V105" s="52">
        <f t="shared" si="66"/>
        <v>1.1830448755707537</v>
      </c>
      <c r="W105" s="52">
        <f t="shared" si="66"/>
        <v>1.1964525674152329</v>
      </c>
      <c r="X105" s="52">
        <f t="shared" si="66"/>
        <v>1.2093686876853367</v>
      </c>
      <c r="Y105" s="52">
        <f t="shared" si="66"/>
        <v>1.2217478192733058</v>
      </c>
      <c r="Z105" s="52">
        <f t="shared" si="66"/>
        <v>1.2335390237969497</v>
      </c>
      <c r="AA105" s="52">
        <f t="shared" si="66"/>
        <v>1.2447067020395173</v>
      </c>
      <c r="AB105" s="52">
        <f t="shared" si="66"/>
        <v>1.2551545455848507</v>
      </c>
      <c r="AC105" s="52">
        <f t="shared" si="66"/>
        <v>1.2648222787014027</v>
      </c>
      <c r="AD105" s="52">
        <f t="shared" si="66"/>
        <v>1.2736755076670438</v>
      </c>
      <c r="AE105" s="52">
        <f t="shared" si="66"/>
        <v>1.281640694516504</v>
      </c>
      <c r="AF105" s="52">
        <f t="shared" si="66"/>
        <v>1.2886246260341234</v>
      </c>
      <c r="AG105" s="52">
        <f t="shared" si="66"/>
        <v>1.2944509898798497</v>
      </c>
      <c r="AH105" s="52">
        <f t="shared" si="66"/>
        <v>1.2990606618713652</v>
      </c>
      <c r="AI105" s="52">
        <f t="shared" si="66"/>
        <v>1.3024149571655343</v>
      </c>
      <c r="AJ105" s="52">
        <f t="shared" si="66"/>
        <v>1.3044273813733633</v>
      </c>
      <c r="AK105" s="52">
        <f t="shared" si="66"/>
        <v>1.3050333279637685</v>
      </c>
      <c r="AL105" s="52">
        <f t="shared" si="66"/>
        <v>1.3040953070804255</v>
      </c>
      <c r="AM105" s="52">
        <f t="shared" si="66"/>
        <v>1.3015875158493084</v>
      </c>
      <c r="AN105" s="52">
        <f t="shared" si="66"/>
        <v>1.3015875158493084</v>
      </c>
      <c r="AO105" s="52">
        <f t="shared" si="66"/>
        <v>1.3015875158493084</v>
      </c>
      <c r="AP105" s="52">
        <f t="shared" si="66"/>
        <v>1.3015875158493084</v>
      </c>
      <c r="AQ105" s="52">
        <f t="shared" si="66"/>
        <v>1.3015875158493084</v>
      </c>
      <c r="AR105" s="52">
        <f t="shared" si="66"/>
        <v>1.3015875158493084</v>
      </c>
      <c r="AS105" s="52">
        <f t="shared" si="66"/>
        <v>1.3015875158493084</v>
      </c>
      <c r="AT105" s="52">
        <f t="shared" si="66"/>
        <v>1.3015875158493084</v>
      </c>
      <c r="AU105" s="52">
        <f t="shared" si="66"/>
        <v>1.3015875158493084</v>
      </c>
      <c r="AV105" s="52">
        <f t="shared" si="66"/>
        <v>1.3015875158493084</v>
      </c>
      <c r="AW105" s="52">
        <f t="shared" si="66"/>
        <v>1.3015875158493084</v>
      </c>
      <c r="AX105" s="52">
        <f t="shared" si="66"/>
        <v>1.3015875158493084</v>
      </c>
      <c r="AY105" s="52">
        <f t="shared" si="66"/>
        <v>1.3015875158493084</v>
      </c>
      <c r="AZ105" s="52">
        <f t="shared" si="66"/>
        <v>1.3015875158493084</v>
      </c>
      <c r="BA105" s="52">
        <f t="shared" si="66"/>
        <v>1.3015875158493084</v>
      </c>
      <c r="BB105" s="52">
        <f t="shared" si="66"/>
        <v>1.3015875158493084</v>
      </c>
      <c r="BC105" s="52">
        <f t="shared" si="66"/>
        <v>1.3015875158493084</v>
      </c>
      <c r="BD105" s="52">
        <f t="shared" si="66"/>
        <v>1.3015875158493084</v>
      </c>
      <c r="BE105" s="52">
        <f t="shared" si="66"/>
        <v>1.3015875158493084</v>
      </c>
      <c r="BF105" s="52">
        <f t="shared" si="66"/>
        <v>1.3015875158493084</v>
      </c>
      <c r="BG105" s="52">
        <f t="shared" si="66"/>
        <v>1.3015875158493084</v>
      </c>
      <c r="BH105" s="52">
        <f t="shared" si="66"/>
        <v>1.3015875158493084</v>
      </c>
      <c r="BI105" s="52">
        <f t="shared" si="66"/>
        <v>1.3015875158493084</v>
      </c>
      <c r="BJ105" s="52">
        <f t="shared" si="66"/>
        <v>1.3015875158493084</v>
      </c>
      <c r="BK105" s="52">
        <f t="shared" si="66"/>
        <v>1.3015875158493084</v>
      </c>
      <c r="BL105" s="52">
        <f t="shared" si="66"/>
        <v>1.3015875158493084</v>
      </c>
      <c r="BM105" s="52">
        <f t="shared" si="66"/>
        <v>1.3015875158493084</v>
      </c>
      <c r="BN105" s="52">
        <f t="shared" si="66"/>
        <v>1.3015875158493084</v>
      </c>
      <c r="BO105" s="52">
        <f t="shared" si="66"/>
        <v>1.3015875158493084</v>
      </c>
      <c r="BP105" s="52">
        <f t="shared" si="66"/>
        <v>1.3015875158493084</v>
      </c>
      <c r="BQ105" s="52">
        <f t="shared" si="66"/>
        <v>1.3015875158493084</v>
      </c>
      <c r="BR105" s="52">
        <f t="shared" si="66"/>
        <v>1.3015875158493084</v>
      </c>
      <c r="BS105" s="52">
        <f t="shared" si="67" ref="BS105:CK105">IF(BS8="","",BS8/$G8)</f>
        <v>1.3015875158493084</v>
      </c>
      <c r="BT105" s="52">
        <f t="shared" si="67"/>
        <v>1.3015875158493084</v>
      </c>
      <c r="BU105" s="52">
        <f t="shared" si="67"/>
        <v>1.3015875158493084</v>
      </c>
      <c r="BV105" s="52">
        <f t="shared" si="67"/>
        <v>1.3015875158493084</v>
      </c>
      <c r="BW105" s="52">
        <f t="shared" si="67"/>
        <v>1.3015875158493084</v>
      </c>
      <c r="BX105" s="52">
        <f t="shared" si="67"/>
        <v>1.3015875158493084</v>
      </c>
      <c r="BY105" s="52">
        <f t="shared" si="67"/>
        <v>1.3015875158493084</v>
      </c>
      <c r="BZ105" s="52">
        <f t="shared" si="67"/>
        <v>1.3015875158493084</v>
      </c>
      <c r="CA105" s="52">
        <f t="shared" si="67"/>
        <v>1.3015875158493084</v>
      </c>
      <c r="CB105" s="52">
        <f t="shared" si="67"/>
        <v>1.3015875158493084</v>
      </c>
      <c r="CC105" s="52">
        <f t="shared" si="67"/>
        <v>1.3015875158493084</v>
      </c>
      <c r="CD105" s="52">
        <f t="shared" si="67"/>
        <v>1.3015875158493084</v>
      </c>
      <c r="CE105" s="52">
        <f t="shared" si="67"/>
        <v>1.3015875158493084</v>
      </c>
      <c r="CF105" s="52">
        <f t="shared" si="67"/>
        <v>1.3015875158493084</v>
      </c>
      <c r="CG105" s="52">
        <f t="shared" si="67"/>
        <v>1.3015875158493084</v>
      </c>
      <c r="CH105" s="52">
        <f t="shared" si="67"/>
        <v>1.3015875158493084</v>
      </c>
      <c r="CI105" s="52">
        <f t="shared" si="67"/>
        <v>1.3015875158493084</v>
      </c>
      <c r="CJ105" s="52">
        <f t="shared" si="67"/>
        <v>1.3015875158493084</v>
      </c>
      <c r="CK105" s="52">
        <f t="shared" si="67"/>
        <v>1.3015875158493084</v>
      </c>
    </row>
    <row r="106" spans="6:89" ht="14.5">
      <c r="F106" t="s">
        <v>21</v>
      </c>
      <c r="G106" s="52">
        <f t="shared" si="68" ref="G106:BR106">IF(G9="","",G9/$G9)</f>
        <v>1</v>
      </c>
      <c r="H106" s="52">
        <f t="shared" si="68"/>
        <v>1</v>
      </c>
      <c r="I106" s="52">
        <f t="shared" si="68"/>
        <v>1</v>
      </c>
      <c r="J106" s="52">
        <f t="shared" si="68"/>
        <v>1</v>
      </c>
      <c r="K106" s="52">
        <f t="shared" si="68"/>
        <v>1.03</v>
      </c>
      <c r="L106" s="52">
        <f t="shared" si="68"/>
        <v>1.0005970782066338</v>
      </c>
      <c r="M106" s="52">
        <f t="shared" si="68"/>
        <v>1.0401763110023003</v>
      </c>
      <c r="N106" s="52">
        <f t="shared" si="68"/>
        <v>1.0813211246924275</v>
      </c>
      <c r="O106" s="52">
        <f t="shared" si="68"/>
        <v>1.124093446792128</v>
      </c>
      <c r="P106" s="52">
        <f t="shared" si="68"/>
        <v>1.1242617583436258</v>
      </c>
      <c r="Q106" s="52">
        <f t="shared" si="68"/>
        <v>1.1244300950965673</v>
      </c>
      <c r="R106" s="52">
        <f t="shared" si="68"/>
        <v>1.1245984570547272</v>
      </c>
      <c r="S106" s="52">
        <f t="shared" si="68"/>
        <v>1.1247668442218781</v>
      </c>
      <c r="T106" s="52">
        <f t="shared" si="68"/>
        <v>1.1249352566017956</v>
      </c>
      <c r="U106" s="52">
        <f t="shared" si="68"/>
        <v>1.1348932613815228</v>
      </c>
      <c r="V106" s="52">
        <f t="shared" si="68"/>
        <v>1.1449394151090324</v>
      </c>
      <c r="W106" s="52">
        <f t="shared" si="68"/>
        <v>1.1550744980849135</v>
      </c>
      <c r="X106" s="52">
        <f t="shared" si="68"/>
        <v>1.1652992975170304</v>
      </c>
      <c r="Y106" s="52">
        <f t="shared" si="68"/>
        <v>1.1756146075816654</v>
      </c>
      <c r="Z106" s="52">
        <f t="shared" si="68"/>
        <v>1.1835001070910456</v>
      </c>
      <c r="AA106" s="52">
        <f t="shared" si="68"/>
        <v>1.1914384990212172</v>
      </c>
      <c r="AB106" s="52">
        <f t="shared" si="68"/>
        <v>1.1994301381509958</v>
      </c>
      <c r="AC106" s="52">
        <f t="shared" si="68"/>
        <v>1.2074753816388948</v>
      </c>
      <c r="AD106" s="52">
        <f t="shared" si="68"/>
        <v>1.2155745890390897</v>
      </c>
      <c r="AE106" s="52">
        <f t="shared" si="68"/>
        <v>1.2219347877857436</v>
      </c>
      <c r="AF106" s="52">
        <f t="shared" si="68"/>
        <v>1.2283282647273037</v>
      </c>
      <c r="AG106" s="52">
        <f t="shared" si="68"/>
        <v>1.2347551939838406</v>
      </c>
      <c r="AH106" s="52">
        <f t="shared" si="68"/>
        <v>1.2412157505864663</v>
      </c>
      <c r="AI106" s="52">
        <f t="shared" si="68"/>
        <v>1.2477101104821005</v>
      </c>
      <c r="AJ106" s="52">
        <f t="shared" si="68"/>
        <v>1.2542580944008721</v>
      </c>
      <c r="AK106" s="52">
        <f t="shared" si="68"/>
        <v>1.260840442145857</v>
      </c>
      <c r="AL106" s="52">
        <f t="shared" si="68"/>
        <v>1.2674573340584487</v>
      </c>
      <c r="AM106" s="52">
        <f t="shared" si="68"/>
        <v>1.2741089514264747</v>
      </c>
      <c r="AN106" s="52">
        <f t="shared" si="68"/>
        <v>1.2741089514264747</v>
      </c>
      <c r="AO106" s="52">
        <f t="shared" si="68"/>
        <v>1.2741089514264747</v>
      </c>
      <c r="AP106" s="52">
        <f t="shared" si="68"/>
        <v>1.2741089514264747</v>
      </c>
      <c r="AQ106" s="52">
        <f t="shared" si="68"/>
        <v>1.2741089514264747</v>
      </c>
      <c r="AR106" s="52">
        <f t="shared" si="68"/>
        <v>1.2741089514264747</v>
      </c>
      <c r="AS106" s="52">
        <f t="shared" si="68"/>
        <v>1.2741089514264747</v>
      </c>
      <c r="AT106" s="52">
        <f t="shared" si="68"/>
        <v>1.2741089514264747</v>
      </c>
      <c r="AU106" s="52">
        <f t="shared" si="68"/>
        <v>1.2741089514264747</v>
      </c>
      <c r="AV106" s="52">
        <f t="shared" si="68"/>
        <v>1.2741089514264747</v>
      </c>
      <c r="AW106" s="52">
        <f t="shared" si="68"/>
        <v>1.2741089514264747</v>
      </c>
      <c r="AX106" s="52">
        <f t="shared" si="68"/>
        <v>1.2741089514264747</v>
      </c>
      <c r="AY106" s="52">
        <f t="shared" si="68"/>
        <v>1.2741089514264747</v>
      </c>
      <c r="AZ106" s="52">
        <f t="shared" si="68"/>
        <v>1.2741089514264747</v>
      </c>
      <c r="BA106" s="52">
        <f t="shared" si="68"/>
        <v>1.2741089514264747</v>
      </c>
      <c r="BB106" s="52">
        <f t="shared" si="68"/>
        <v>1.2741089514264747</v>
      </c>
      <c r="BC106" s="52">
        <f t="shared" si="68"/>
        <v>1.2741089514264747</v>
      </c>
      <c r="BD106" s="52">
        <f t="shared" si="68"/>
        <v>1.2741089514264747</v>
      </c>
      <c r="BE106" s="52">
        <f t="shared" si="68"/>
        <v>1.2741089514264747</v>
      </c>
      <c r="BF106" s="52">
        <f t="shared" si="68"/>
        <v>1.2741089514264747</v>
      </c>
      <c r="BG106" s="52">
        <f t="shared" si="68"/>
        <v>1.2741089514264747</v>
      </c>
      <c r="BH106" s="52">
        <f t="shared" si="68"/>
        <v>1.2741089514264747</v>
      </c>
      <c r="BI106" s="52">
        <f t="shared" si="68"/>
        <v>1.2741089514264747</v>
      </c>
      <c r="BJ106" s="52">
        <f t="shared" si="68"/>
        <v>1.2741089514264747</v>
      </c>
      <c r="BK106" s="52">
        <f t="shared" si="68"/>
        <v>1.2741089514264747</v>
      </c>
      <c r="BL106" s="52">
        <f t="shared" si="68"/>
        <v>1.2741089514264747</v>
      </c>
      <c r="BM106" s="52">
        <f t="shared" si="68"/>
        <v>1.2741089514264747</v>
      </c>
      <c r="BN106" s="52">
        <f t="shared" si="68"/>
        <v>1.2741089514264747</v>
      </c>
      <c r="BO106" s="52">
        <f t="shared" si="68"/>
        <v>1.2741089514264747</v>
      </c>
      <c r="BP106" s="52">
        <f t="shared" si="68"/>
        <v>1.2741089514264747</v>
      </c>
      <c r="BQ106" s="52">
        <f t="shared" si="68"/>
        <v>1.2741089514264747</v>
      </c>
      <c r="BR106" s="52">
        <f t="shared" si="68"/>
        <v>1.2741089514264747</v>
      </c>
      <c r="BS106" s="52">
        <f t="shared" si="69" ref="BS106:CK106">IF(BS9="","",BS9/$G9)</f>
        <v>1.2741089514264747</v>
      </c>
      <c r="BT106" s="52">
        <f t="shared" si="69"/>
        <v>1.2741089514264747</v>
      </c>
      <c r="BU106" s="52">
        <f t="shared" si="69"/>
        <v>1.2741089514264747</v>
      </c>
      <c r="BV106" s="52">
        <f t="shared" si="69"/>
        <v>1.2741089514264747</v>
      </c>
      <c r="BW106" s="52">
        <f t="shared" si="69"/>
        <v>1.2741089514264747</v>
      </c>
      <c r="BX106" s="52">
        <f t="shared" si="69"/>
        <v>1.2741089514264747</v>
      </c>
      <c r="BY106" s="52">
        <f t="shared" si="69"/>
        <v>1.2741089514264747</v>
      </c>
      <c r="BZ106" s="52">
        <f t="shared" si="69"/>
        <v>1.2741089514264747</v>
      </c>
      <c r="CA106" s="52">
        <f t="shared" si="69"/>
        <v>1.2741089514264747</v>
      </c>
      <c r="CB106" s="52">
        <f t="shared" si="69"/>
        <v>1.2741089514264747</v>
      </c>
      <c r="CC106" s="52">
        <f t="shared" si="69"/>
        <v>1.2741089514264747</v>
      </c>
      <c r="CD106" s="52">
        <f t="shared" si="69"/>
        <v>1.2741089514264747</v>
      </c>
      <c r="CE106" s="52">
        <f t="shared" si="69"/>
        <v>1.2741089514264747</v>
      </c>
      <c r="CF106" s="52">
        <f t="shared" si="69"/>
        <v>1.2741089514264747</v>
      </c>
      <c r="CG106" s="52">
        <f t="shared" si="69"/>
        <v>1.2741089514264747</v>
      </c>
      <c r="CH106" s="52">
        <f t="shared" si="69"/>
        <v>1.2741089514264747</v>
      </c>
      <c r="CI106" s="52">
        <f t="shared" si="69"/>
        <v>1.2741089514264747</v>
      </c>
      <c r="CJ106" s="52">
        <f t="shared" si="69"/>
        <v>1.2741089514264747</v>
      </c>
      <c r="CK106" s="52">
        <f t="shared" si="69"/>
        <v>1.2741089514264747</v>
      </c>
    </row>
    <row r="107" spans="6:89" ht="14.5">
      <c r="F107" t="s">
        <v>13</v>
      </c>
      <c r="G107" s="52">
        <f t="shared" si="70" ref="G107:BR107">IF(G10="","",G10/$G10)</f>
        <v>1</v>
      </c>
      <c r="H107" s="52">
        <f t="shared" si="70"/>
        <v>1</v>
      </c>
      <c r="I107" s="52">
        <f t="shared" si="70"/>
        <v>1</v>
      </c>
      <c r="J107" s="52">
        <f t="shared" si="70"/>
        <v>1</v>
      </c>
      <c r="K107" s="52">
        <f t="shared" si="70"/>
        <v>1.03</v>
      </c>
      <c r="L107" s="52">
        <f t="shared" si="70"/>
        <v>0.8460744506701896</v>
      </c>
      <c r="M107" s="52">
        <f t="shared" si="70"/>
        <v>0.85291463236645504</v>
      </c>
      <c r="N107" s="52">
        <f t="shared" si="70"/>
        <v>0.85992333882432703</v>
      </c>
      <c r="O107" s="52">
        <f t="shared" si="70"/>
        <v>0.86710488970621713</v>
      </c>
      <c r="P107" s="52">
        <f t="shared" si="70"/>
        <v>0.87446360919081179</v>
      </c>
      <c r="Q107" s="52">
        <f t="shared" si="70"/>
        <v>0.88200404044732539</v>
      </c>
      <c r="R107" s="52">
        <f t="shared" si="70"/>
        <v>0.88973039163935241</v>
      </c>
      <c r="S107" s="52">
        <f t="shared" si="70"/>
        <v>0.89764761986420061</v>
      </c>
      <c r="T107" s="52">
        <f t="shared" si="70"/>
        <v>0.9057602251011112</v>
      </c>
      <c r="U107" s="52">
        <f t="shared" si="70"/>
        <v>0.91407321594012303</v>
      </c>
      <c r="V107" s="52">
        <f t="shared" si="70"/>
        <v>0.9225916657823795</v>
      </c>
      <c r="W107" s="52">
        <f t="shared" si="70"/>
        <v>0.93132081005322809</v>
      </c>
      <c r="X107" s="52">
        <f t="shared" si="70"/>
        <v>0.94026572563152833</v>
      </c>
      <c r="Y107" s="52">
        <f t="shared" si="70"/>
        <v>0.94943184483100185</v>
      </c>
      <c r="Z107" s="52">
        <f t="shared" si="70"/>
        <v>0.9588248352397658</v>
      </c>
      <c r="AA107" s="52">
        <f t="shared" si="70"/>
        <v>0.96845028324404081</v>
      </c>
      <c r="AB107" s="52">
        <f t="shared" si="70"/>
        <v>0.97831399244089801</v>
      </c>
      <c r="AC107" s="52">
        <f t="shared" si="70"/>
        <v>0.98842197017241507</v>
      </c>
      <c r="AD107" s="52">
        <f t="shared" si="70"/>
        <v>0.99878031598763095</v>
      </c>
      <c r="AE107" s="52">
        <f t="shared" si="70"/>
        <v>1.0093953104611659</v>
      </c>
      <c r="AF107" s="52">
        <f t="shared" si="70"/>
        <v>1.020273402738372</v>
      </c>
      <c r="AG107" s="52">
        <f t="shared" si="70"/>
        <v>1.0314211984250543</v>
      </c>
      <c r="AH107" s="52">
        <f t="shared" si="70"/>
        <v>1.0428453524658381</v>
      </c>
      <c r="AI107" s="52">
        <f t="shared" si="70"/>
        <v>1.0545529398554954</v>
      </c>
      <c r="AJ107" s="52">
        <f t="shared" si="70"/>
        <v>1.0665509639926971</v>
      </c>
      <c r="AK107" s="52">
        <f t="shared" si="70"/>
        <v>1.0788469120287201</v>
      </c>
      <c r="AL107" s="52">
        <f t="shared" si="70"/>
        <v>1.0914480830960023</v>
      </c>
      <c r="AM107" s="52">
        <f t="shared" si="70"/>
        <v>1.1043623223536829</v>
      </c>
      <c r="AN107" s="52">
        <f t="shared" si="70"/>
        <v>1.1043623223536829</v>
      </c>
      <c r="AO107" s="52">
        <f t="shared" si="70"/>
        <v>1.1043623223536829</v>
      </c>
      <c r="AP107" s="52">
        <f t="shared" si="70"/>
        <v>1.1043623223536829</v>
      </c>
      <c r="AQ107" s="52">
        <f t="shared" si="70"/>
        <v>1.1043623223536829</v>
      </c>
      <c r="AR107" s="52">
        <f t="shared" si="70"/>
        <v>1.1043623223536829</v>
      </c>
      <c r="AS107" s="52">
        <f t="shared" si="70"/>
        <v>1.1043623223536829</v>
      </c>
      <c r="AT107" s="52">
        <f t="shared" si="70"/>
        <v>1.1043623223536829</v>
      </c>
      <c r="AU107" s="52">
        <f t="shared" si="70"/>
        <v>1.1043623223536829</v>
      </c>
      <c r="AV107" s="52">
        <f t="shared" si="70"/>
        <v>1.1043623223536829</v>
      </c>
      <c r="AW107" s="52">
        <f t="shared" si="70"/>
        <v>1.1043623223536829</v>
      </c>
      <c r="AX107" s="52">
        <f t="shared" si="70"/>
        <v>1.1043623223536829</v>
      </c>
      <c r="AY107" s="52">
        <f t="shared" si="70"/>
        <v>1.1043623223536829</v>
      </c>
      <c r="AZ107" s="52">
        <f t="shared" si="70"/>
        <v>1.1043623223536829</v>
      </c>
      <c r="BA107" s="52">
        <f t="shared" si="70"/>
        <v>1.1043623223536829</v>
      </c>
      <c r="BB107" s="52">
        <f t="shared" si="70"/>
        <v>1.1043623223536829</v>
      </c>
      <c r="BC107" s="52">
        <f t="shared" si="70"/>
        <v>1.1043623223536829</v>
      </c>
      <c r="BD107" s="52">
        <f t="shared" si="70"/>
        <v>1.1043623223536829</v>
      </c>
      <c r="BE107" s="52">
        <f t="shared" si="70"/>
        <v>1.1043623223536829</v>
      </c>
      <c r="BF107" s="52">
        <f t="shared" si="70"/>
        <v>1.1043623223536829</v>
      </c>
      <c r="BG107" s="52">
        <f t="shared" si="70"/>
        <v>1.1043623223536829</v>
      </c>
      <c r="BH107" s="52">
        <f t="shared" si="70"/>
        <v>1.1043623223536829</v>
      </c>
      <c r="BI107" s="52">
        <f t="shared" si="70"/>
        <v>1.1043623223536829</v>
      </c>
      <c r="BJ107" s="52">
        <f t="shared" si="70"/>
        <v>1.1043623223536829</v>
      </c>
      <c r="BK107" s="52">
        <f t="shared" si="70"/>
        <v>1.1043623223536829</v>
      </c>
      <c r="BL107" s="52">
        <f t="shared" si="70"/>
        <v>1.1043623223536829</v>
      </c>
      <c r="BM107" s="52">
        <f t="shared" si="70"/>
        <v>1.1043623223536829</v>
      </c>
      <c r="BN107" s="52">
        <f t="shared" si="70"/>
        <v>1.1043623223536829</v>
      </c>
      <c r="BO107" s="52">
        <f t="shared" si="70"/>
        <v>1.1043623223536829</v>
      </c>
      <c r="BP107" s="52">
        <f t="shared" si="70"/>
        <v>1.1043623223536829</v>
      </c>
      <c r="BQ107" s="52">
        <f t="shared" si="70"/>
        <v>1.1043623223536829</v>
      </c>
      <c r="BR107" s="52">
        <f t="shared" si="70"/>
        <v>1.1043623223536829</v>
      </c>
      <c r="BS107" s="52">
        <f t="shared" si="71" ref="BS107:CK107">IF(BS10="","",BS10/$G10)</f>
        <v>1.1043623223536829</v>
      </c>
      <c r="BT107" s="52">
        <f t="shared" si="71"/>
        <v>1.1043623223536829</v>
      </c>
      <c r="BU107" s="52">
        <f t="shared" si="71"/>
        <v>1.1043623223536829</v>
      </c>
      <c r="BV107" s="52">
        <f t="shared" si="71"/>
        <v>1.1043623223536829</v>
      </c>
      <c r="BW107" s="52">
        <f t="shared" si="71"/>
        <v>1.1043623223536829</v>
      </c>
      <c r="BX107" s="52">
        <f t="shared" si="71"/>
        <v>1.1043623223536829</v>
      </c>
      <c r="BY107" s="52">
        <f t="shared" si="71"/>
        <v>1.1043623223536829</v>
      </c>
      <c r="BZ107" s="52">
        <f t="shared" si="71"/>
        <v>1.1043623223536829</v>
      </c>
      <c r="CA107" s="52">
        <f t="shared" si="71"/>
        <v>1.1043623223536829</v>
      </c>
      <c r="CB107" s="52">
        <f t="shared" si="71"/>
        <v>1.1043623223536829</v>
      </c>
      <c r="CC107" s="52">
        <f t="shared" si="71"/>
        <v>1.1043623223536829</v>
      </c>
      <c r="CD107" s="52">
        <f t="shared" si="71"/>
        <v>1.1043623223536829</v>
      </c>
      <c r="CE107" s="52">
        <f t="shared" si="71"/>
        <v>1.1043623223536829</v>
      </c>
      <c r="CF107" s="52">
        <f t="shared" si="71"/>
        <v>1.1043623223536829</v>
      </c>
      <c r="CG107" s="52">
        <f t="shared" si="71"/>
        <v>1.1043623223536829</v>
      </c>
      <c r="CH107" s="52">
        <f t="shared" si="71"/>
        <v>1.1043623223536829</v>
      </c>
      <c r="CI107" s="52">
        <f t="shared" si="71"/>
        <v>1.1043623223536829</v>
      </c>
      <c r="CJ107" s="52">
        <f t="shared" si="71"/>
        <v>1.1043623223536829</v>
      </c>
      <c r="CK107" s="52">
        <f t="shared" si="71"/>
        <v>1.1043623223536829</v>
      </c>
    </row>
    <row r="108" spans="6:89" ht="14.5">
      <c r="F108" s="90" t="s">
        <v>209</v>
      </c>
      <c r="G108" s="52">
        <f t="shared" si="72" ref="G108:BR108">IF(G11="","",G11/$G11)</f>
        <v>1</v>
      </c>
      <c r="H108" s="52">
        <f t="shared" si="72"/>
        <v>1</v>
      </c>
      <c r="I108" s="52">
        <f t="shared" si="72"/>
        <v>1</v>
      </c>
      <c r="J108" s="52">
        <f t="shared" si="72"/>
        <v>1</v>
      </c>
      <c r="K108" s="52">
        <f t="shared" si="72"/>
        <v>1.03</v>
      </c>
      <c r="L108" s="52">
        <f t="shared" si="72"/>
        <v>1.0195149867229134</v>
      </c>
      <c r="M108" s="52">
        <f t="shared" si="72"/>
        <v>1.0392671840991035</v>
      </c>
      <c r="N108" s="52">
        <f t="shared" si="72"/>
        <v>1.0580451868174945</v>
      </c>
      <c r="O108" s="52">
        <f t="shared" si="72"/>
        <v>1.0759373477923879</v>
      </c>
      <c r="P108" s="52">
        <f t="shared" si="72"/>
        <v>1.092939449357091</v>
      </c>
      <c r="Q108" s="52">
        <f t="shared" si="72"/>
        <v>1.1092306146165438</v>
      </c>
      <c r="R108" s="52">
        <f t="shared" si="72"/>
        <v>1.1250067014412972</v>
      </c>
      <c r="S108" s="52">
        <f t="shared" si="72"/>
        <v>1.1402233293512973</v>
      </c>
      <c r="T108" s="52">
        <f t="shared" si="72"/>
        <v>1.1549783774322973</v>
      </c>
      <c r="U108" s="52">
        <f t="shared" si="72"/>
        <v>1.1692301450699858</v>
      </c>
      <c r="V108" s="52">
        <f t="shared" si="72"/>
        <v>1.1830448755707537</v>
      </c>
      <c r="W108" s="52">
        <f t="shared" si="72"/>
        <v>1.1964525674152326</v>
      </c>
      <c r="X108" s="52">
        <f t="shared" si="72"/>
        <v>1.2093686876853367</v>
      </c>
      <c r="Y108" s="52">
        <f t="shared" si="72"/>
        <v>1.2217478192733058</v>
      </c>
      <c r="Z108" s="52">
        <f t="shared" si="72"/>
        <v>1.2335390237969499</v>
      </c>
      <c r="AA108" s="52">
        <f t="shared" si="72"/>
        <v>1.2447067020395173</v>
      </c>
      <c r="AB108" s="52">
        <f t="shared" si="72"/>
        <v>1.2551545455848507</v>
      </c>
      <c r="AC108" s="52">
        <f t="shared" si="72"/>
        <v>1.2648222787014027</v>
      </c>
      <c r="AD108" s="52">
        <f t="shared" si="72"/>
        <v>1.2736755076670436</v>
      </c>
      <c r="AE108" s="52">
        <f t="shared" si="72"/>
        <v>1.2816406945165042</v>
      </c>
      <c r="AF108" s="52">
        <f t="shared" si="72"/>
        <v>1.2886246260341236</v>
      </c>
      <c r="AG108" s="52">
        <f t="shared" si="72"/>
        <v>1.2944509898798497</v>
      </c>
      <c r="AH108" s="52">
        <f t="shared" si="72"/>
        <v>1.2990606618713652</v>
      </c>
      <c r="AI108" s="52">
        <f t="shared" si="72"/>
        <v>1.3024149571655343</v>
      </c>
      <c r="AJ108" s="52">
        <f t="shared" si="72"/>
        <v>1.3044273813733631</v>
      </c>
      <c r="AK108" s="52">
        <f t="shared" si="72"/>
        <v>1.3050333279637685</v>
      </c>
      <c r="AL108" s="52">
        <f t="shared" si="72"/>
        <v>1.3040953070804253</v>
      </c>
      <c r="AM108" s="52">
        <f t="shared" si="72"/>
        <v>1.3015875158493087</v>
      </c>
      <c r="AN108" s="52">
        <f t="shared" si="72"/>
        <v>1.3015875158493087</v>
      </c>
      <c r="AO108" s="52">
        <f t="shared" si="72"/>
        <v>1.3015875158493087</v>
      </c>
      <c r="AP108" s="52">
        <f t="shared" si="72"/>
        <v>1.3015875158493087</v>
      </c>
      <c r="AQ108" s="52">
        <f t="shared" si="72"/>
        <v>1.3015875158493087</v>
      </c>
      <c r="AR108" s="52">
        <f t="shared" si="72"/>
        <v>1.3015875158493087</v>
      </c>
      <c r="AS108" s="52">
        <f t="shared" si="72"/>
        <v>1.3015875158493087</v>
      </c>
      <c r="AT108" s="52">
        <f t="shared" si="72"/>
        <v>1.3015875158493087</v>
      </c>
      <c r="AU108" s="52">
        <f t="shared" si="72"/>
        <v>1.3015875158493087</v>
      </c>
      <c r="AV108" s="52">
        <f t="shared" si="72"/>
        <v>1.3015875158493087</v>
      </c>
      <c r="AW108" s="52">
        <f t="shared" si="72"/>
        <v>1.3015875158493087</v>
      </c>
      <c r="AX108" s="52">
        <f t="shared" si="72"/>
        <v>1.3015875158493087</v>
      </c>
      <c r="AY108" s="52">
        <f t="shared" si="72"/>
        <v>1.3015875158493087</v>
      </c>
      <c r="AZ108" s="52">
        <f t="shared" si="72"/>
        <v>1.3015875158493087</v>
      </c>
      <c r="BA108" s="52">
        <f t="shared" si="72"/>
        <v>1.3015875158493087</v>
      </c>
      <c r="BB108" s="52">
        <f t="shared" si="72"/>
        <v>1.3015875158493087</v>
      </c>
      <c r="BC108" s="52">
        <f t="shared" si="72"/>
        <v>1.3015875158493087</v>
      </c>
      <c r="BD108" s="52">
        <f t="shared" si="72"/>
        <v>1.3015875158493087</v>
      </c>
      <c r="BE108" s="52">
        <f t="shared" si="72"/>
        <v>1.3015875158493087</v>
      </c>
      <c r="BF108" s="52">
        <f t="shared" si="72"/>
        <v>1.3015875158493087</v>
      </c>
      <c r="BG108" s="52">
        <f t="shared" si="72"/>
        <v>1.3015875158493087</v>
      </c>
      <c r="BH108" s="52">
        <f t="shared" si="72"/>
        <v>1.3015875158493087</v>
      </c>
      <c r="BI108" s="52">
        <f t="shared" si="72"/>
        <v>1.3015875158493087</v>
      </c>
      <c r="BJ108" s="52">
        <f t="shared" si="72"/>
        <v>1.3015875158493087</v>
      </c>
      <c r="BK108" s="52">
        <f t="shared" si="72"/>
        <v>1.3015875158493087</v>
      </c>
      <c r="BL108" s="52">
        <f t="shared" si="72"/>
        <v>1.3015875158493087</v>
      </c>
      <c r="BM108" s="52">
        <f t="shared" si="72"/>
        <v>1.3015875158493087</v>
      </c>
      <c r="BN108" s="52">
        <f t="shared" si="72"/>
        <v>1.3015875158493087</v>
      </c>
      <c r="BO108" s="52">
        <f t="shared" si="72"/>
        <v>1.3015875158493087</v>
      </c>
      <c r="BP108" s="52">
        <f t="shared" si="72"/>
        <v>1.3015875158493087</v>
      </c>
      <c r="BQ108" s="52">
        <f t="shared" si="72"/>
        <v>1.3015875158493087</v>
      </c>
      <c r="BR108" s="52">
        <f t="shared" si="72"/>
        <v>1.3015875158493087</v>
      </c>
      <c r="BS108" s="52">
        <f t="shared" si="73" ref="BS108:CK108">IF(BS11="","",BS11/$G11)</f>
        <v>1.3015875158493087</v>
      </c>
      <c r="BT108" s="52">
        <f t="shared" si="73"/>
        <v>1.3015875158493087</v>
      </c>
      <c r="BU108" s="52">
        <f t="shared" si="73"/>
        <v>1.3015875158493087</v>
      </c>
      <c r="BV108" s="52">
        <f t="shared" si="73"/>
        <v>1.3015875158493087</v>
      </c>
      <c r="BW108" s="52">
        <f t="shared" si="73"/>
        <v>1.3015875158493087</v>
      </c>
      <c r="BX108" s="52">
        <f t="shared" si="73"/>
        <v>1.3015875158493087</v>
      </c>
      <c r="BY108" s="52">
        <f t="shared" si="73"/>
        <v>1.3015875158493087</v>
      </c>
      <c r="BZ108" s="52">
        <f t="shared" si="73"/>
        <v>1.3015875158493087</v>
      </c>
      <c r="CA108" s="52">
        <f t="shared" si="73"/>
        <v>1.3015875158493087</v>
      </c>
      <c r="CB108" s="52">
        <f t="shared" si="73"/>
        <v>1.3015875158493087</v>
      </c>
      <c r="CC108" s="52">
        <f t="shared" si="73"/>
        <v>1.3015875158493087</v>
      </c>
      <c r="CD108" s="52">
        <f t="shared" si="73"/>
        <v>1.3015875158493087</v>
      </c>
      <c r="CE108" s="52">
        <f t="shared" si="73"/>
        <v>1.3015875158493087</v>
      </c>
      <c r="CF108" s="52">
        <f t="shared" si="73"/>
        <v>1.3015875158493087</v>
      </c>
      <c r="CG108" s="52">
        <f t="shared" si="73"/>
        <v>1.3015875158493087</v>
      </c>
      <c r="CH108" s="52">
        <f t="shared" si="73"/>
        <v>1.3015875158493087</v>
      </c>
      <c r="CI108" s="52">
        <f t="shared" si="73"/>
        <v>1.3015875158493087</v>
      </c>
      <c r="CJ108" s="52">
        <f t="shared" si="73"/>
        <v>1.3015875158493087</v>
      </c>
      <c r="CK108" s="52">
        <f t="shared" si="73"/>
        <v>1.3015875158493087</v>
      </c>
    </row>
    <row r="109" spans="6:89" ht="14.5">
      <c r="F109" s="90" t="s">
        <v>210</v>
      </c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  <c r="BW109" s="52"/>
      <c r="BX109" s="52"/>
      <c r="BY109" s="52"/>
      <c r="BZ109" s="52"/>
      <c r="CA109" s="52"/>
      <c r="CB109" s="52"/>
      <c r="CC109" s="52"/>
      <c r="CD109" s="52"/>
      <c r="CE109" s="52"/>
      <c r="CF109" s="52"/>
      <c r="CG109" s="52"/>
      <c r="CH109" s="52"/>
      <c r="CI109" s="52"/>
      <c r="CJ109" s="52"/>
      <c r="CK109" s="52"/>
    </row>
    <row r="110" spans="6:89" ht="14.5">
      <c r="F110" t="s">
        <v>27</v>
      </c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  <c r="BW110" s="52"/>
      <c r="BX110" s="52"/>
      <c r="BY110" s="52"/>
      <c r="BZ110" s="52"/>
      <c r="CA110" s="52"/>
      <c r="CB110" s="52"/>
      <c r="CC110" s="52"/>
      <c r="CD110" s="52"/>
      <c r="CE110" s="52"/>
      <c r="CF110" s="52"/>
      <c r="CG110" s="52"/>
      <c r="CH110" s="52"/>
      <c r="CI110" s="52"/>
      <c r="CJ110" s="52"/>
      <c r="CK110" s="52"/>
    </row>
    <row r="111" spans="6:89" ht="14.5">
      <c r="F111" t="s">
        <v>29</v>
      </c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  <c r="BW111" s="52"/>
      <c r="BX111" s="52"/>
      <c r="BY111" s="52"/>
      <c r="BZ111" s="52"/>
      <c r="CA111" s="52"/>
      <c r="CB111" s="52"/>
      <c r="CC111" s="52"/>
      <c r="CD111" s="52"/>
      <c r="CE111" s="52"/>
      <c r="CF111" s="52"/>
      <c r="CG111" s="52"/>
      <c r="CH111" s="52"/>
      <c r="CI111" s="52"/>
      <c r="CJ111" s="52"/>
      <c r="CK111" s="52"/>
    </row>
    <row r="112" spans="6:89" ht="14.5">
      <c r="F112" t="s">
        <v>31</v>
      </c>
      <c r="G112" s="52">
        <f t="shared" si="74" ref="G112:BR112">IF(G15="","",G15/$G15)</f>
        <v>1</v>
      </c>
      <c r="H112" s="52">
        <f t="shared" si="74"/>
        <v>1</v>
      </c>
      <c r="I112" s="52">
        <f t="shared" si="74"/>
        <v>1</v>
      </c>
      <c r="J112" s="52">
        <f t="shared" si="74"/>
        <v>1</v>
      </c>
      <c r="K112" s="52">
        <f t="shared" si="74"/>
        <v>1</v>
      </c>
      <c r="L112" s="52">
        <f t="shared" si="74"/>
        <v>1</v>
      </c>
      <c r="M112" s="52">
        <f t="shared" si="74"/>
        <v>1</v>
      </c>
      <c r="N112" s="52">
        <f t="shared" si="74"/>
        <v>1</v>
      </c>
      <c r="O112" s="52">
        <f t="shared" si="74"/>
        <v>1</v>
      </c>
      <c r="P112" s="52">
        <f t="shared" si="74"/>
        <v>1</v>
      </c>
      <c r="Q112" s="52">
        <f t="shared" si="74"/>
        <v>1</v>
      </c>
      <c r="R112" s="52">
        <f t="shared" si="74"/>
        <v>1</v>
      </c>
      <c r="S112" s="52">
        <f t="shared" si="74"/>
        <v>1</v>
      </c>
      <c r="T112" s="52">
        <f t="shared" si="74"/>
        <v>1</v>
      </c>
      <c r="U112" s="52">
        <f t="shared" si="74"/>
        <v>1</v>
      </c>
      <c r="V112" s="52">
        <f t="shared" si="74"/>
        <v>1</v>
      </c>
      <c r="W112" s="52">
        <f t="shared" si="74"/>
        <v>1</v>
      </c>
      <c r="X112" s="52">
        <f t="shared" si="74"/>
        <v>1</v>
      </c>
      <c r="Y112" s="52">
        <f t="shared" si="74"/>
        <v>1</v>
      </c>
      <c r="Z112" s="52">
        <f t="shared" si="74"/>
        <v>1</v>
      </c>
      <c r="AA112" s="52">
        <f t="shared" si="74"/>
        <v>1</v>
      </c>
      <c r="AB112" s="52">
        <f t="shared" si="74"/>
        <v>1</v>
      </c>
      <c r="AC112" s="52">
        <f t="shared" si="74"/>
        <v>1</v>
      </c>
      <c r="AD112" s="52">
        <f t="shared" si="74"/>
        <v>1</v>
      </c>
      <c r="AE112" s="52">
        <f t="shared" si="74"/>
        <v>1</v>
      </c>
      <c r="AF112" s="52">
        <f t="shared" si="74"/>
        <v>1</v>
      </c>
      <c r="AG112" s="52">
        <f t="shared" si="74"/>
        <v>1</v>
      </c>
      <c r="AH112" s="52">
        <f t="shared" si="74"/>
        <v>1</v>
      </c>
      <c r="AI112" s="52">
        <f t="shared" si="74"/>
        <v>1</v>
      </c>
      <c r="AJ112" s="52">
        <f t="shared" si="74"/>
        <v>1</v>
      </c>
      <c r="AK112" s="52">
        <f t="shared" si="74"/>
        <v>1</v>
      </c>
      <c r="AL112" s="52">
        <f t="shared" si="74"/>
        <v>1</v>
      </c>
      <c r="AM112" s="52">
        <f t="shared" si="74"/>
        <v>1</v>
      </c>
      <c r="AN112" s="52">
        <f t="shared" si="74"/>
        <v>1</v>
      </c>
      <c r="AO112" s="52">
        <f t="shared" si="74"/>
        <v>1</v>
      </c>
      <c r="AP112" s="52">
        <f t="shared" si="74"/>
        <v>1</v>
      </c>
      <c r="AQ112" s="52">
        <f t="shared" si="74"/>
        <v>1</v>
      </c>
      <c r="AR112" s="52">
        <f t="shared" si="74"/>
        <v>1</v>
      </c>
      <c r="AS112" s="52">
        <f t="shared" si="74"/>
        <v>1</v>
      </c>
      <c r="AT112" s="52">
        <f t="shared" si="74"/>
        <v>1</v>
      </c>
      <c r="AU112" s="52">
        <f t="shared" si="74"/>
        <v>1</v>
      </c>
      <c r="AV112" s="52">
        <f t="shared" si="74"/>
        <v>1</v>
      </c>
      <c r="AW112" s="52">
        <f t="shared" si="74"/>
        <v>1</v>
      </c>
      <c r="AX112" s="52">
        <f t="shared" si="74"/>
        <v>1</v>
      </c>
      <c r="AY112" s="52">
        <f t="shared" si="74"/>
        <v>1</v>
      </c>
      <c r="AZ112" s="52">
        <f t="shared" si="74"/>
        <v>1</v>
      </c>
      <c r="BA112" s="52">
        <f t="shared" si="74"/>
        <v>1</v>
      </c>
      <c r="BB112" s="52">
        <f t="shared" si="74"/>
        <v>1</v>
      </c>
      <c r="BC112" s="52">
        <f t="shared" si="74"/>
        <v>1</v>
      </c>
      <c r="BD112" s="52">
        <f t="shared" si="74"/>
        <v>1</v>
      </c>
      <c r="BE112" s="52">
        <f t="shared" si="74"/>
        <v>1</v>
      </c>
      <c r="BF112" s="52">
        <f t="shared" si="74"/>
        <v>1</v>
      </c>
      <c r="BG112" s="52">
        <f t="shared" si="74"/>
        <v>1</v>
      </c>
      <c r="BH112" s="52">
        <f t="shared" si="74"/>
        <v>1</v>
      </c>
      <c r="BI112" s="52">
        <f t="shared" si="74"/>
        <v>1</v>
      </c>
      <c r="BJ112" s="52">
        <f t="shared" si="74"/>
        <v>1</v>
      </c>
      <c r="BK112" s="52">
        <f t="shared" si="74"/>
        <v>1</v>
      </c>
      <c r="BL112" s="52">
        <f t="shared" si="74"/>
        <v>1</v>
      </c>
      <c r="BM112" s="52">
        <f t="shared" si="74"/>
        <v>1</v>
      </c>
      <c r="BN112" s="52">
        <f t="shared" si="74"/>
        <v>1</v>
      </c>
      <c r="BO112" s="52">
        <f t="shared" si="74"/>
        <v>1</v>
      </c>
      <c r="BP112" s="52">
        <f t="shared" si="74"/>
        <v>1</v>
      </c>
      <c r="BQ112" s="52">
        <f t="shared" si="74"/>
        <v>1</v>
      </c>
      <c r="BR112" s="52">
        <f t="shared" si="74"/>
        <v>1</v>
      </c>
      <c r="BS112" s="52">
        <f t="shared" si="75" ref="BS112:CK112">IF(BS15="","",BS15/$G15)</f>
        <v>1</v>
      </c>
      <c r="BT112" s="52">
        <f t="shared" si="75"/>
        <v>1</v>
      </c>
      <c r="BU112" s="52">
        <f t="shared" si="75"/>
        <v>1</v>
      </c>
      <c r="BV112" s="52">
        <f t="shared" si="75"/>
        <v>1</v>
      </c>
      <c r="BW112" s="52">
        <f t="shared" si="75"/>
        <v>1</v>
      </c>
      <c r="BX112" s="52">
        <f t="shared" si="75"/>
        <v>1</v>
      </c>
      <c r="BY112" s="52">
        <f t="shared" si="75"/>
        <v>1</v>
      </c>
      <c r="BZ112" s="52">
        <f t="shared" si="75"/>
        <v>1</v>
      </c>
      <c r="CA112" s="52">
        <f t="shared" si="75"/>
        <v>1</v>
      </c>
      <c r="CB112" s="52">
        <f t="shared" si="75"/>
        <v>1</v>
      </c>
      <c r="CC112" s="52">
        <f t="shared" si="75"/>
        <v>1</v>
      </c>
      <c r="CD112" s="52">
        <f t="shared" si="75"/>
        <v>1</v>
      </c>
      <c r="CE112" s="52">
        <f t="shared" si="75"/>
        <v>1</v>
      </c>
      <c r="CF112" s="52">
        <f t="shared" si="75"/>
        <v>1</v>
      </c>
      <c r="CG112" s="52">
        <f t="shared" si="75"/>
        <v>1</v>
      </c>
      <c r="CH112" s="52">
        <f t="shared" si="75"/>
        <v>1</v>
      </c>
      <c r="CI112" s="52">
        <f t="shared" si="75"/>
        <v>1</v>
      </c>
      <c r="CJ112" s="52">
        <f t="shared" si="75"/>
        <v>1</v>
      </c>
      <c r="CK112" s="52">
        <f t="shared" si="75"/>
        <v>1</v>
      </c>
    </row>
    <row r="113" spans="6:89" ht="14.5">
      <c r="F113" t="s">
        <v>33</v>
      </c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  <c r="CA113" s="52"/>
      <c r="CB113" s="52"/>
      <c r="CC113" s="52"/>
      <c r="CD113" s="52"/>
      <c r="CE113" s="52"/>
      <c r="CF113" s="52"/>
      <c r="CG113" s="52"/>
      <c r="CH113" s="52"/>
      <c r="CI113" s="52"/>
      <c r="CJ113" s="52"/>
      <c r="CK113" s="52"/>
    </row>
    <row r="114" spans="6:89" ht="14.5">
      <c r="F114" t="s">
        <v>35</v>
      </c>
      <c r="G114" s="52">
        <f t="shared" si="76" ref="G114:BR114">IF(G17="","",G17/$G17)</f>
        <v>1</v>
      </c>
      <c r="H114" s="52">
        <f t="shared" si="76"/>
        <v>1.021972033474984</v>
      </c>
      <c r="I114" s="52">
        <f t="shared" si="76"/>
        <v>0.73927431635075913</v>
      </c>
      <c r="J114" s="52">
        <f t="shared" si="76"/>
        <v>0.93239851083296788</v>
      </c>
      <c r="K114" s="52">
        <f t="shared" si="76"/>
        <v>0.96566345454649427</v>
      </c>
      <c r="L114" s="52">
        <f t="shared" si="76"/>
        <v>0.96918103951971146</v>
      </c>
      <c r="M114" s="52">
        <f t="shared" si="76"/>
        <v>0.98129580251370785</v>
      </c>
      <c r="N114" s="52">
        <f t="shared" si="76"/>
        <v>0.99356200004512918</v>
      </c>
      <c r="O114" s="52">
        <f t="shared" si="76"/>
        <v>1.0059815250456932</v>
      </c>
      <c r="P114" s="52">
        <f t="shared" si="76"/>
        <v>1.0185562941087645</v>
      </c>
      <c r="Q114" s="52">
        <f t="shared" si="76"/>
        <v>1.031288247785124</v>
      </c>
      <c r="R114" s="52">
        <f t="shared" si="76"/>
        <v>1.044179350882438</v>
      </c>
      <c r="S114" s="52">
        <f t="shared" si="76"/>
        <v>1.0572315927684683</v>
      </c>
      <c r="T114" s="52">
        <f t="shared" si="76"/>
        <v>1.070446987678074</v>
      </c>
      <c r="U114" s="52">
        <f t="shared" si="76"/>
        <v>1.08382757502405</v>
      </c>
      <c r="V114" s="52">
        <f t="shared" si="76"/>
        <v>1.0973754197118506</v>
      </c>
      <c r="W114" s="52">
        <f t="shared" si="76"/>
        <v>1.1110926124582485</v>
      </c>
      <c r="X114" s="52">
        <f t="shared" si="76"/>
        <v>1.1249812701139768</v>
      </c>
      <c r="Y114" s="52">
        <f t="shared" si="76"/>
        <v>1.1390435359904014</v>
      </c>
      <c r="Z114" s="52">
        <f t="shared" si="76"/>
        <v>1.1532815801902812</v>
      </c>
      <c r="AA114" s="52">
        <f t="shared" si="76"/>
        <v>1.1676975999426595</v>
      </c>
      <c r="AB114" s="52">
        <f t="shared" si="76"/>
        <v>1.1822938199419428</v>
      </c>
      <c r="AC114" s="52">
        <f t="shared" si="76"/>
        <v>1.1970724926912171</v>
      </c>
      <c r="AD114" s="52">
        <f t="shared" si="76"/>
        <v>1.2120358988498572</v>
      </c>
      <c r="AE114" s="52">
        <f t="shared" si="76"/>
        <v>1.2271863475854803</v>
      </c>
      <c r="AF114" s="52">
        <f t="shared" si="76"/>
        <v>1.2425261769302987</v>
      </c>
      <c r="AG114" s="52">
        <f t="shared" si="76"/>
        <v>1.2580577541419273</v>
      </c>
      <c r="AH114" s="52">
        <f t="shared" si="76"/>
        <v>1.2737834760687015</v>
      </c>
      <c r="AI114" s="52">
        <f t="shared" si="76"/>
        <v>1.2897057695195602</v>
      </c>
      <c r="AJ114" s="52">
        <f t="shared" si="76"/>
        <v>1.3058270916385546</v>
      </c>
      <c r="AK114" s="52">
        <f t="shared" si="76"/>
        <v>1.3221499302840365</v>
      </c>
      <c r="AL114" s="52">
        <f t="shared" si="76"/>
        <v>1.3386768044125867</v>
      </c>
      <c r="AM114" s="52">
        <f t="shared" si="76"/>
        <v>1.3554102644677442</v>
      </c>
      <c r="AN114" s="52" t="str">
        <f t="shared" si="76"/>
        <v/>
      </c>
      <c r="AO114" s="52" t="str">
        <f t="shared" si="76"/>
        <v/>
      </c>
      <c r="AP114" s="52" t="str">
        <f t="shared" si="76"/>
        <v/>
      </c>
      <c r="AQ114" s="52" t="str">
        <f t="shared" si="76"/>
        <v/>
      </c>
      <c r="AR114" s="52">
        <f t="shared" si="76"/>
        <v>1.4913483128508576</v>
      </c>
      <c r="AS114" s="52" t="str">
        <f t="shared" si="76"/>
        <v/>
      </c>
      <c r="AT114" s="52" t="str">
        <f t="shared" si="76"/>
        <v/>
      </c>
      <c r="AU114" s="52" t="str">
        <f t="shared" si="76"/>
        <v/>
      </c>
      <c r="AV114" s="52" t="str">
        <f t="shared" si="76"/>
        <v/>
      </c>
      <c r="AW114" s="52">
        <f t="shared" si="76"/>
        <v>1.5315634538922362</v>
      </c>
      <c r="AX114" s="52" t="str">
        <f t="shared" si="76"/>
        <v/>
      </c>
      <c r="AY114" s="52" t="str">
        <f t="shared" si="76"/>
        <v/>
      </c>
      <c r="AZ114" s="52" t="str">
        <f t="shared" si="76"/>
        <v/>
      </c>
      <c r="BA114" s="52" t="str">
        <f t="shared" si="76"/>
        <v/>
      </c>
      <c r="BB114" s="52">
        <f t="shared" si="76"/>
        <v>1.554897710985425</v>
      </c>
      <c r="BC114" s="52" t="str">
        <f t="shared" si="76"/>
        <v/>
      </c>
      <c r="BD114" s="52" t="str">
        <f t="shared" si="76"/>
        <v/>
      </c>
      <c r="BE114" s="52" t="str">
        <f t="shared" si="76"/>
        <v/>
      </c>
      <c r="BF114" s="52" t="str">
        <f t="shared" si="76"/>
        <v/>
      </c>
      <c r="BG114" s="52">
        <f t="shared" si="76"/>
        <v>1.5799422315427705</v>
      </c>
      <c r="BH114" s="52" t="str">
        <f t="shared" si="76"/>
        <v/>
      </c>
      <c r="BI114" s="52" t="str">
        <f t="shared" si="76"/>
        <v/>
      </c>
      <c r="BJ114" s="52" t="str">
        <f t="shared" si="76"/>
        <v/>
      </c>
      <c r="BK114" s="52" t="str">
        <f t="shared" si="76"/>
        <v/>
      </c>
      <c r="BL114" s="52">
        <f t="shared" si="76"/>
        <v>1.6089077166870138</v>
      </c>
      <c r="BM114" s="52" t="str">
        <f t="shared" si="76"/>
        <v/>
      </c>
      <c r="BN114" s="52" t="str">
        <f t="shared" si="76"/>
        <v/>
      </c>
      <c r="BO114" s="52" t="str">
        <f t="shared" si="76"/>
        <v/>
      </c>
      <c r="BP114" s="52" t="str">
        <f t="shared" si="76"/>
        <v/>
      </c>
      <c r="BQ114" s="52">
        <f t="shared" si="76"/>
        <v>1.6429570344541662</v>
      </c>
      <c r="BR114" s="52" t="str">
        <f t="shared" si="76"/>
        <v/>
      </c>
      <c r="BS114" s="52" t="str">
        <f t="shared" si="77" ref="BS114:CK114">IF(BS17="","",BS17/$G17)</f>
        <v/>
      </c>
      <c r="BT114" s="52" t="str">
        <f t="shared" si="77"/>
        <v/>
      </c>
      <c r="BU114" s="52" t="str">
        <f t="shared" si="77"/>
        <v/>
      </c>
      <c r="BV114" s="52">
        <f t="shared" si="77"/>
        <v>1.6816801970276056</v>
      </c>
      <c r="BW114" s="52" t="str">
        <f t="shared" si="77"/>
        <v/>
      </c>
      <c r="BX114" s="52" t="str">
        <f t="shared" si="77"/>
        <v/>
      </c>
      <c r="BY114" s="52" t="str">
        <f t="shared" si="77"/>
        <v/>
      </c>
      <c r="BZ114" s="52" t="str">
        <f t="shared" si="77"/>
        <v/>
      </c>
      <c r="CA114" s="52">
        <f t="shared" si="77"/>
        <v>1.7229086565393272</v>
      </c>
      <c r="CB114" s="52" t="str">
        <f t="shared" si="77"/>
        <v/>
      </c>
      <c r="CC114" s="52" t="str">
        <f t="shared" si="77"/>
        <v/>
      </c>
      <c r="CD114" s="52" t="str">
        <f t="shared" si="77"/>
        <v/>
      </c>
      <c r="CE114" s="52" t="str">
        <f t="shared" si="77"/>
        <v/>
      </c>
      <c r="CF114" s="52">
        <f t="shared" si="77"/>
        <v>1.7641613585587648</v>
      </c>
      <c r="CG114" s="52" t="str">
        <f t="shared" si="77"/>
        <v/>
      </c>
      <c r="CH114" s="52" t="str">
        <f t="shared" si="77"/>
        <v/>
      </c>
      <c r="CI114" s="52" t="str">
        <f t="shared" si="77"/>
        <v/>
      </c>
      <c r="CJ114" s="52" t="str">
        <f t="shared" si="77"/>
        <v/>
      </c>
      <c r="CK114" s="52">
        <f t="shared" si="77"/>
        <v>1.8054719440104328</v>
      </c>
    </row>
    <row r="115" spans="6:89" ht="14.5">
      <c r="F115" t="s">
        <v>37</v>
      </c>
      <c r="G115" s="52">
        <f t="shared" si="78" ref="G115:BR115">IF(G18="","",G18/$G18)</f>
        <v>1</v>
      </c>
      <c r="H115" s="52">
        <f t="shared" si="78"/>
        <v>1.0226414888665605</v>
      </c>
      <c r="I115" s="52">
        <f t="shared" si="78"/>
        <v>0.73975858737719591</v>
      </c>
      <c r="J115" s="52">
        <f t="shared" si="78"/>
        <v>0.88577858529131948</v>
      </c>
      <c r="K115" s="52">
        <f t="shared" si="78"/>
        <v>0.96566345454649427</v>
      </c>
      <c r="L115" s="52">
        <f t="shared" si="78"/>
        <v>0.96918103951971146</v>
      </c>
      <c r="M115" s="52">
        <f t="shared" si="78"/>
        <v>0.98371875511250706</v>
      </c>
      <c r="N115" s="52">
        <f t="shared" si="78"/>
        <v>0.99847453643919459</v>
      </c>
      <c r="O115" s="52">
        <f t="shared" si="78"/>
        <v>1.0134516544857823</v>
      </c>
      <c r="P115" s="52">
        <f t="shared" si="78"/>
        <v>1.0286534293030689</v>
      </c>
      <c r="Q115" s="52">
        <f t="shared" si="78"/>
        <v>1.0440832307426151</v>
      </c>
      <c r="R115" s="52">
        <f t="shared" si="78"/>
        <v>1.0597444792037543</v>
      </c>
      <c r="S115" s="52">
        <f t="shared" si="78"/>
        <v>1.0756406463918105</v>
      </c>
      <c r="T115" s="52">
        <f t="shared" si="78"/>
        <v>1.0917752560876874</v>
      </c>
      <c r="U115" s="52">
        <f t="shared" si="78"/>
        <v>1.1081518849290026</v>
      </c>
      <c r="V115" s="52">
        <f t="shared" si="78"/>
        <v>1.1247741632029375</v>
      </c>
      <c r="W115" s="52">
        <f t="shared" si="78"/>
        <v>1.1416457756509815</v>
      </c>
      <c r="X115" s="52">
        <f t="shared" si="78"/>
        <v>1.1587704622857462</v>
      </c>
      <c r="Y115" s="52">
        <f t="shared" si="78"/>
        <v>1.1761520192200323</v>
      </c>
      <c r="Z115" s="52">
        <f t="shared" si="78"/>
        <v>1.1937942995083326</v>
      </c>
      <c r="AA115" s="52">
        <f t="shared" si="78"/>
        <v>1.2117012140009575</v>
      </c>
      <c r="AB115" s="52">
        <f t="shared" si="78"/>
        <v>1.2298767322109716</v>
      </c>
      <c r="AC115" s="52">
        <f t="shared" si="78"/>
        <v>1.2483248831941363</v>
      </c>
      <c r="AD115" s="52">
        <f t="shared" si="78"/>
        <v>1.2670497564420482</v>
      </c>
      <c r="AE115" s="52">
        <f t="shared" si="78"/>
        <v>1.2860555027886789</v>
      </c>
      <c r="AF115" s="52">
        <f t="shared" si="78"/>
        <v>1.305346335330509</v>
      </c>
      <c r="AG115" s="52">
        <f t="shared" si="78"/>
        <v>1.3249265303604663</v>
      </c>
      <c r="AH115" s="52">
        <f t="shared" si="78"/>
        <v>1.3448004283158732</v>
      </c>
      <c r="AI115" s="52">
        <f t="shared" si="78"/>
        <v>1.3649724347406111</v>
      </c>
      <c r="AJ115" s="52">
        <f t="shared" si="78"/>
        <v>1.38544702126172</v>
      </c>
      <c r="AK115" s="52">
        <f t="shared" si="78"/>
        <v>1.4062287265806457</v>
      </c>
      <c r="AL115" s="52">
        <f t="shared" si="78"/>
        <v>1.4273221574793553</v>
      </c>
      <c r="AM115" s="52">
        <f t="shared" si="78"/>
        <v>1.4487319898415454</v>
      </c>
      <c r="AN115" s="52" t="str">
        <f t="shared" si="78"/>
        <v/>
      </c>
      <c r="AO115" s="52" t="str">
        <f t="shared" si="78"/>
        <v/>
      </c>
      <c r="AP115" s="52" t="str">
        <f t="shared" si="78"/>
        <v/>
      </c>
      <c r="AQ115" s="52" t="str">
        <f t="shared" si="78"/>
        <v/>
      </c>
      <c r="AR115" s="52">
        <f t="shared" si="78"/>
        <v>1.4923252390129595</v>
      </c>
      <c r="AS115" s="52" t="str">
        <f t="shared" si="78"/>
        <v/>
      </c>
      <c r="AT115" s="52" t="str">
        <f t="shared" si="78"/>
        <v/>
      </c>
      <c r="AU115" s="52" t="str">
        <f t="shared" si="78"/>
        <v/>
      </c>
      <c r="AV115" s="52" t="str">
        <f t="shared" si="78"/>
        <v/>
      </c>
      <c r="AW115" s="52">
        <f t="shared" si="78"/>
        <v>1.5325667234799862</v>
      </c>
      <c r="AX115" s="52" t="str">
        <f t="shared" si="78"/>
        <v/>
      </c>
      <c r="AY115" s="52" t="str">
        <f t="shared" si="78"/>
        <v/>
      </c>
      <c r="AZ115" s="52" t="str">
        <f t="shared" si="78"/>
        <v/>
      </c>
      <c r="BA115" s="52" t="str">
        <f t="shared" si="78"/>
        <v/>
      </c>
      <c r="BB115" s="52">
        <f t="shared" si="78"/>
        <v>1.5559162659669563</v>
      </c>
      <c r="BC115" s="52" t="str">
        <f t="shared" si="78"/>
        <v/>
      </c>
      <c r="BD115" s="52" t="str">
        <f t="shared" si="78"/>
        <v/>
      </c>
      <c r="BE115" s="52" t="str">
        <f t="shared" si="78"/>
        <v/>
      </c>
      <c r="BF115" s="52" t="str">
        <f t="shared" si="78"/>
        <v/>
      </c>
      <c r="BG115" s="52">
        <f t="shared" si="78"/>
        <v>1.5809771922473264</v>
      </c>
      <c r="BH115" s="52" t="str">
        <f t="shared" si="78"/>
        <v/>
      </c>
      <c r="BI115" s="52" t="str">
        <f t="shared" si="78"/>
        <v/>
      </c>
      <c r="BJ115" s="52" t="str">
        <f t="shared" si="78"/>
        <v/>
      </c>
      <c r="BK115" s="52" t="str">
        <f t="shared" si="78"/>
        <v/>
      </c>
      <c r="BL115" s="52">
        <f t="shared" si="78"/>
        <v>1.6099616515909521</v>
      </c>
      <c r="BM115" s="52" t="str">
        <f t="shared" si="78"/>
        <v/>
      </c>
      <c r="BN115" s="52" t="str">
        <f t="shared" si="78"/>
        <v/>
      </c>
      <c r="BO115" s="52" t="str">
        <f t="shared" si="78"/>
        <v/>
      </c>
      <c r="BP115" s="52" t="str">
        <f t="shared" si="78"/>
        <v/>
      </c>
      <c r="BQ115" s="52">
        <f t="shared" si="78"/>
        <v>1.644033273784939</v>
      </c>
      <c r="BR115" s="52" t="str">
        <f t="shared" si="78"/>
        <v/>
      </c>
      <c r="BS115" s="52" t="str">
        <f t="shared" si="79" ref="BS115:CK115">IF(BS18="","",BS18/$G18)</f>
        <v/>
      </c>
      <c r="BT115" s="52" t="str">
        <f t="shared" si="79"/>
        <v/>
      </c>
      <c r="BU115" s="52" t="str">
        <f t="shared" si="79"/>
        <v/>
      </c>
      <c r="BV115" s="52">
        <f t="shared" si="79"/>
        <v>1.6827818024450754</v>
      </c>
      <c r="BW115" s="52" t="str">
        <f t="shared" si="79"/>
        <v/>
      </c>
      <c r="BX115" s="52" t="str">
        <f t="shared" si="79"/>
        <v/>
      </c>
      <c r="BY115" s="52" t="str">
        <f t="shared" si="79"/>
        <v/>
      </c>
      <c r="BZ115" s="52" t="str">
        <f t="shared" si="79"/>
        <v/>
      </c>
      <c r="CA115" s="52">
        <f t="shared" si="79"/>
        <v>1.7240372691692467</v>
      </c>
      <c r="CB115" s="52" t="str">
        <f t="shared" si="79"/>
        <v/>
      </c>
      <c r="CC115" s="52" t="str">
        <f t="shared" si="79"/>
        <v/>
      </c>
      <c r="CD115" s="52" t="str">
        <f t="shared" si="79"/>
        <v/>
      </c>
      <c r="CE115" s="52" t="str">
        <f t="shared" si="79"/>
        <v/>
      </c>
      <c r="CF115" s="52">
        <f t="shared" si="79"/>
        <v>1.7653169942814857</v>
      </c>
      <c r="CG115" s="52" t="str">
        <f t="shared" si="79"/>
        <v/>
      </c>
      <c r="CH115" s="52" t="str">
        <f t="shared" si="79"/>
        <v/>
      </c>
      <c r="CI115" s="52" t="str">
        <f t="shared" si="79"/>
        <v/>
      </c>
      <c r="CJ115" s="52" t="str">
        <f t="shared" si="79"/>
        <v/>
      </c>
      <c r="CK115" s="52">
        <f t="shared" si="79"/>
        <v>1.8066546407432189</v>
      </c>
    </row>
    <row r="116" spans="6:89" ht="14.5">
      <c r="F116" t="s">
        <v>39</v>
      </c>
      <c r="G116" s="52">
        <f t="shared" si="80" ref="G116:BR116">IF(G19="","",G19/$G19)</f>
        <v>1</v>
      </c>
      <c r="H116" s="52">
        <f t="shared" si="80"/>
        <v>0.91292897354634672</v>
      </c>
      <c r="I116" s="52">
        <f t="shared" si="80"/>
        <v>0.66039472778980368</v>
      </c>
      <c r="J116" s="52">
        <f t="shared" si="80"/>
        <v>0.67082489869178141</v>
      </c>
      <c r="K116" s="52">
        <f t="shared" si="80"/>
        <v>0.6947577474011587</v>
      </c>
      <c r="L116" s="52">
        <f t="shared" si="80"/>
        <v>0.6972885146169816</v>
      </c>
      <c r="M116" s="52">
        <f t="shared" si="80"/>
        <v>0.714720727482406</v>
      </c>
      <c r="N116" s="52">
        <f t="shared" si="80"/>
        <v>0.73258874566946619</v>
      </c>
      <c r="O116" s="52">
        <f t="shared" si="80"/>
        <v>0.75090346431120281</v>
      </c>
      <c r="P116" s="52">
        <f t="shared" si="80"/>
        <v>0.76967605091898283</v>
      </c>
      <c r="Q116" s="52">
        <f t="shared" si="80"/>
        <v>0.78891795219195726</v>
      </c>
      <c r="R116" s="52">
        <f t="shared" si="80"/>
        <v>0.80864090099675612</v>
      </c>
      <c r="S116" s="52">
        <f t="shared" si="80"/>
        <v>0.82885692352167484</v>
      </c>
      <c r="T116" s="52">
        <f t="shared" si="80"/>
        <v>0.84957834660971665</v>
      </c>
      <c r="U116" s="52">
        <f t="shared" si="80"/>
        <v>0.87081780527495944</v>
      </c>
      <c r="V116" s="52">
        <f t="shared" si="80"/>
        <v>0.89258825040683343</v>
      </c>
      <c r="W116" s="52">
        <f t="shared" si="80"/>
        <v>0.91490295666700416</v>
      </c>
      <c r="X116" s="52">
        <f t="shared" si="80"/>
        <v>0.93777553058367913</v>
      </c>
      <c r="Y116" s="52">
        <f t="shared" si="80"/>
        <v>0.96121991884827096</v>
      </c>
      <c r="Z116" s="52">
        <f t="shared" si="80"/>
        <v>0.98525041681947767</v>
      </c>
      <c r="AA116" s="52">
        <f t="shared" si="80"/>
        <v>1.0098816772399646</v>
      </c>
      <c r="AB116" s="52">
        <f t="shared" si="80"/>
        <v>1.0351287191709637</v>
      </c>
      <c r="AC116" s="52">
        <f t="shared" si="80"/>
        <v>1.0610069371502375</v>
      </c>
      <c r="AD116" s="52">
        <f t="shared" si="80"/>
        <v>1.0875321105789935</v>
      </c>
      <c r="AE116" s="52">
        <f t="shared" si="80"/>
        <v>1.1147204133434681</v>
      </c>
      <c r="AF116" s="52">
        <f t="shared" si="80"/>
        <v>1.1425884236770547</v>
      </c>
      <c r="AG116" s="52">
        <f t="shared" si="80"/>
        <v>1.1711531342689809</v>
      </c>
      <c r="AH116" s="52">
        <f t="shared" si="80"/>
        <v>1.2004319626257054</v>
      </c>
      <c r="AI116" s="52">
        <f t="shared" si="80"/>
        <v>1.230442761691348</v>
      </c>
      <c r="AJ116" s="52">
        <f t="shared" si="80"/>
        <v>1.2612038307336315</v>
      </c>
      <c r="AK116" s="52">
        <f t="shared" si="80"/>
        <v>1.2927339265019724</v>
      </c>
      <c r="AL116" s="52">
        <f t="shared" si="80"/>
        <v>1.3250522746645217</v>
      </c>
      <c r="AM116" s="52">
        <f t="shared" si="80"/>
        <v>1.3581785815311345</v>
      </c>
      <c r="AN116" s="52" t="str">
        <f t="shared" si="80"/>
        <v/>
      </c>
      <c r="AO116" s="52" t="str">
        <f t="shared" si="80"/>
        <v/>
      </c>
      <c r="AP116" s="52" t="str">
        <f t="shared" si="80"/>
        <v/>
      </c>
      <c r="AQ116" s="52" t="str">
        <f t="shared" si="80"/>
        <v/>
      </c>
      <c r="AR116" s="52">
        <f t="shared" si="80"/>
        <v>1.4802482518605418</v>
      </c>
      <c r="AS116" s="52" t="str">
        <f t="shared" si="80"/>
        <v/>
      </c>
      <c r="AT116" s="52" t="str">
        <f t="shared" si="80"/>
        <v/>
      </c>
      <c r="AU116" s="52" t="str">
        <f t="shared" si="80"/>
        <v/>
      </c>
      <c r="AV116" s="52" t="str">
        <f t="shared" si="80"/>
        <v/>
      </c>
      <c r="AW116" s="52">
        <f t="shared" si="80"/>
        <v>1.5201640728071812</v>
      </c>
      <c r="AX116" s="52" t="str">
        <f t="shared" si="80"/>
        <v/>
      </c>
      <c r="AY116" s="52" t="str">
        <f t="shared" si="80"/>
        <v/>
      </c>
      <c r="AZ116" s="52" t="str">
        <f t="shared" si="80"/>
        <v/>
      </c>
      <c r="BA116" s="52" t="str">
        <f t="shared" si="80"/>
        <v/>
      </c>
      <c r="BB116" s="52">
        <f t="shared" si="80"/>
        <v>1.5433246537211258</v>
      </c>
      <c r="BC116" s="52" t="str">
        <f t="shared" si="80"/>
        <v/>
      </c>
      <c r="BD116" s="52" t="str">
        <f t="shared" si="80"/>
        <v/>
      </c>
      <c r="BE116" s="52" t="str">
        <f t="shared" si="80"/>
        <v/>
      </c>
      <c r="BF116" s="52" t="str">
        <f t="shared" si="80"/>
        <v/>
      </c>
      <c r="BG116" s="52">
        <f t="shared" si="80"/>
        <v>1.5681827686592991</v>
      </c>
      <c r="BH116" s="52" t="str">
        <f t="shared" si="80"/>
        <v/>
      </c>
      <c r="BI116" s="52" t="str">
        <f t="shared" si="80"/>
        <v/>
      </c>
      <c r="BJ116" s="52" t="str">
        <f t="shared" si="80"/>
        <v/>
      </c>
      <c r="BK116" s="52" t="str">
        <f t="shared" si="80"/>
        <v/>
      </c>
      <c r="BL116" s="52">
        <f t="shared" si="80"/>
        <v>1.5969326645619504</v>
      </c>
      <c r="BM116" s="52" t="str">
        <f t="shared" si="80"/>
        <v/>
      </c>
      <c r="BN116" s="52" t="str">
        <f t="shared" si="80"/>
        <v/>
      </c>
      <c r="BO116" s="52" t="str">
        <f t="shared" si="80"/>
        <v/>
      </c>
      <c r="BP116" s="52" t="str">
        <f t="shared" si="80"/>
        <v/>
      </c>
      <c r="BQ116" s="52">
        <f t="shared" si="80"/>
        <v>1.6307285542730026</v>
      </c>
      <c r="BR116" s="52" t="str">
        <f t="shared" si="80"/>
        <v/>
      </c>
      <c r="BS116" s="52" t="str">
        <f t="shared" si="81" ref="BS116:CK116">IF(BS19="","",BS19/$G19)</f>
        <v/>
      </c>
      <c r="BT116" s="52" t="str">
        <f t="shared" si="81"/>
        <v/>
      </c>
      <c r="BU116" s="52" t="str">
        <f t="shared" si="81"/>
        <v/>
      </c>
      <c r="BV116" s="52">
        <f t="shared" si="81"/>
        <v>1.66916350150292</v>
      </c>
      <c r="BW116" s="52" t="str">
        <f t="shared" si="81"/>
        <v/>
      </c>
      <c r="BX116" s="52" t="str">
        <f t="shared" si="81"/>
        <v/>
      </c>
      <c r="BY116" s="52" t="str">
        <f t="shared" si="81"/>
        <v/>
      </c>
      <c r="BZ116" s="52" t="str">
        <f t="shared" si="81"/>
        <v/>
      </c>
      <c r="CA116" s="52">
        <f t="shared" si="81"/>
        <v>1.710085098820763</v>
      </c>
      <c r="CB116" s="52" t="str">
        <f t="shared" si="81"/>
        <v/>
      </c>
      <c r="CC116" s="52" t="str">
        <f t="shared" si="81"/>
        <v/>
      </c>
      <c r="CD116" s="52" t="str">
        <f t="shared" si="81"/>
        <v/>
      </c>
      <c r="CE116" s="52" t="str">
        <f t="shared" si="81"/>
        <v/>
      </c>
      <c r="CF116" s="52">
        <f t="shared" si="81"/>
        <v>1.7510307582100637</v>
      </c>
      <c r="CG116" s="52" t="str">
        <f t="shared" si="81"/>
        <v/>
      </c>
      <c r="CH116" s="52" t="str">
        <f t="shared" si="81"/>
        <v/>
      </c>
      <c r="CI116" s="52" t="str">
        <f t="shared" si="81"/>
        <v/>
      </c>
      <c r="CJ116" s="52" t="str">
        <f t="shared" si="81"/>
        <v/>
      </c>
      <c r="CK116" s="52">
        <f t="shared" si="81"/>
        <v>1.7920338702069336</v>
      </c>
    </row>
    <row r="117" spans="6:89" ht="14.5">
      <c r="F117" t="s">
        <v>41</v>
      </c>
      <c r="G117" s="52">
        <f t="shared" si="82" ref="G117:BR117">IF(G20="","",G20/$G20)</f>
        <v>1</v>
      </c>
      <c r="H117" s="52">
        <f t="shared" si="82"/>
        <v>0.99402098052705179</v>
      </c>
      <c r="I117" s="52">
        <f t="shared" si="82"/>
        <v>0.96688736400372588</v>
      </c>
      <c r="J117" s="52">
        <f t="shared" si="82"/>
        <v>0.99775372150538122</v>
      </c>
      <c r="K117" s="52">
        <f t="shared" si="82"/>
        <v>1.0164070085956751</v>
      </c>
      <c r="L117" s="52">
        <f t="shared" si="82"/>
        <v>1.1430265542330544</v>
      </c>
      <c r="M117" s="52">
        <f t="shared" si="82"/>
        <v>1.3094004193491986</v>
      </c>
      <c r="N117" s="52">
        <f t="shared" si="82"/>
        <v>1.3499918323490234</v>
      </c>
      <c r="O117" s="52">
        <f t="shared" si="82"/>
        <v>1.376991668996004</v>
      </c>
      <c r="P117" s="52">
        <f t="shared" si="82"/>
        <v>1.4045315023759239</v>
      </c>
      <c r="Q117" s="52">
        <f t="shared" si="82"/>
        <v>1.4326221324234425</v>
      </c>
      <c r="R117" s="52">
        <f t="shared" si="82"/>
        <v>1.4612745750719114</v>
      </c>
      <c r="S117" s="52">
        <f t="shared" si="82"/>
        <v>1.4905000665733497</v>
      </c>
      <c r="T117" s="52">
        <f t="shared" si="82"/>
        <v>1.5247815681045367</v>
      </c>
      <c r="U117" s="52">
        <f t="shared" si="82"/>
        <v>1.5598515441709411</v>
      </c>
      <c r="V117" s="52">
        <f t="shared" si="82"/>
        <v>1.5957281296868726</v>
      </c>
      <c r="W117" s="52">
        <f t="shared" si="82"/>
        <v>1.6324298766696705</v>
      </c>
      <c r="X117" s="52">
        <f t="shared" si="82"/>
        <v>1.6699757638330728</v>
      </c>
      <c r="Y117" s="52">
        <f t="shared" si="82"/>
        <v>1.7083852064012335</v>
      </c>
      <c r="Z117" s="52">
        <f t="shared" si="82"/>
        <v>1.7476780661484619</v>
      </c>
      <c r="AA117" s="52">
        <f t="shared" si="82"/>
        <v>1.787874661669876</v>
      </c>
      <c r="AB117" s="52">
        <f t="shared" si="82"/>
        <v>1.8289957788882831</v>
      </c>
      <c r="AC117" s="52">
        <f t="shared" si="82"/>
        <v>1.8710626818027132</v>
      </c>
      <c r="AD117" s="52">
        <f t="shared" si="82"/>
        <v>1.9140971234841757</v>
      </c>
      <c r="AE117" s="52">
        <f t="shared" si="82"/>
        <v>1.9581213573243113</v>
      </c>
      <c r="AF117" s="52">
        <f t="shared" si="82"/>
        <v>2.0031581485427701</v>
      </c>
      <c r="AG117" s="52">
        <f t="shared" si="82"/>
        <v>2.0492307859592533</v>
      </c>
      <c r="AH117" s="52">
        <f t="shared" si="82"/>
        <v>2.0963630940363163</v>
      </c>
      <c r="AI117" s="52">
        <f t="shared" si="82"/>
        <v>2.1445794451991511</v>
      </c>
      <c r="AJ117" s="52">
        <f t="shared" si="82"/>
        <v>2.1939047724387315</v>
      </c>
      <c r="AK117" s="52">
        <f t="shared" si="82"/>
        <v>2.2443645822048222</v>
      </c>
      <c r="AL117" s="52">
        <f t="shared" si="82"/>
        <v>2.2959849675955328</v>
      </c>
      <c r="AM117" s="52">
        <f t="shared" si="82"/>
        <v>2.34879262185023</v>
      </c>
      <c r="AN117" s="52">
        <f t="shared" si="82"/>
        <v>2.402814852152785</v>
      </c>
      <c r="AO117" s="52">
        <f t="shared" si="82"/>
        <v>2.458079593752299</v>
      </c>
      <c r="AP117" s="52">
        <f t="shared" si="82"/>
        <v>2.5146154244086016</v>
      </c>
      <c r="AQ117" s="52">
        <f t="shared" si="82"/>
        <v>2.5724515791699991</v>
      </c>
      <c r="AR117" s="52">
        <f t="shared" si="82"/>
        <v>2.6316179654909084</v>
      </c>
      <c r="AS117" s="52">
        <f t="shared" si="82"/>
        <v>2.6921451786971997</v>
      </c>
      <c r="AT117" s="52">
        <f t="shared" si="82"/>
        <v>2.7540645178072349</v>
      </c>
      <c r="AU117" s="52">
        <f t="shared" si="82"/>
        <v>2.8174080017168013</v>
      </c>
      <c r="AV117" s="52">
        <f t="shared" si="82"/>
        <v>2.8822083857562872</v>
      </c>
      <c r="AW117" s="52">
        <f t="shared" si="82"/>
        <v>2.9484991786286816</v>
      </c>
      <c r="AX117" s="52">
        <f t="shared" si="82"/>
        <v>3.0163146597371409</v>
      </c>
      <c r="AY117" s="52">
        <f t="shared" si="82"/>
        <v>3.0856898969110946</v>
      </c>
      <c r="AZ117" s="52">
        <f t="shared" si="82"/>
        <v>3.1566607645400495</v>
      </c>
      <c r="BA117" s="52">
        <f t="shared" si="82"/>
        <v>3.2292639621244703</v>
      </c>
      <c r="BB117" s="52">
        <f t="shared" si="82"/>
        <v>3.3035370332533329</v>
      </c>
      <c r="BC117" s="52">
        <f t="shared" si="82"/>
        <v>3.3795183850181596</v>
      </c>
      <c r="BD117" s="52">
        <f t="shared" si="82"/>
        <v>3.4572473078735766</v>
      </c>
      <c r="BE117" s="52">
        <f t="shared" si="82"/>
        <v>3.5367639959546686</v>
      </c>
      <c r="BF117" s="52">
        <f t="shared" si="82"/>
        <v>3.6181095678616249</v>
      </c>
      <c r="BG117" s="52">
        <f t="shared" si="82"/>
        <v>3.7013260879224426</v>
      </c>
      <c r="BH117" s="52">
        <f t="shared" si="82"/>
        <v>3.7864565879446581</v>
      </c>
      <c r="BI117" s="52">
        <f t="shared" si="82"/>
        <v>3.8735450894673851</v>
      </c>
      <c r="BJ117" s="52">
        <f t="shared" si="82"/>
        <v>3.9626366265251338</v>
      </c>
      <c r="BK117" s="52">
        <f t="shared" si="82"/>
        <v>4.0537772689352121</v>
      </c>
      <c r="BL117" s="52">
        <f t="shared" si="82"/>
        <v>4.1470141461207213</v>
      </c>
      <c r="BM117" s="52">
        <f t="shared" si="82"/>
        <v>4.2423954714814975</v>
      </c>
      <c r="BN117" s="52">
        <f t="shared" si="82"/>
        <v>4.3399705673255715</v>
      </c>
      <c r="BO117" s="52">
        <f t="shared" si="82"/>
        <v>4.4397898903740591</v>
      </c>
      <c r="BP117" s="52">
        <f t="shared" si="82"/>
        <v>4.5419050578526621</v>
      </c>
      <c r="BQ117" s="52">
        <f t="shared" si="82"/>
        <v>4.6463688741832723</v>
      </c>
      <c r="BR117" s="52">
        <f t="shared" si="82"/>
        <v>4.753235358289488</v>
      </c>
      <c r="BS117" s="52">
        <f t="shared" si="83" ref="BS117:CK117">IF(BS20="","",BS20/$G20)</f>
        <v>4.8625597715301447</v>
      </c>
      <c r="BT117" s="52">
        <f t="shared" si="83"/>
        <v>4.974398646275338</v>
      </c>
      <c r="BU117" s="52">
        <f t="shared" si="83"/>
        <v>5.0888098151396708</v>
      </c>
      <c r="BV117" s="52">
        <f t="shared" si="83"/>
        <v>5.2058524408878828</v>
      </c>
      <c r="BW117" s="52">
        <f t="shared" si="83"/>
        <v>5.3255870470283035</v>
      </c>
      <c r="BX117" s="52">
        <f t="shared" si="83"/>
        <v>5.4480755491099542</v>
      </c>
      <c r="BY117" s="52">
        <f t="shared" si="83"/>
        <v>5.5733812867394823</v>
      </c>
      <c r="BZ117" s="52">
        <f t="shared" si="83"/>
        <v>5.7015690563344901</v>
      </c>
      <c r="CA117" s="52">
        <f t="shared" si="83"/>
        <v>5.8327051446301823</v>
      </c>
      <c r="CB117" s="52">
        <f t="shared" si="83"/>
        <v>5.9668573629566772</v>
      </c>
      <c r="CC117" s="52">
        <f t="shared" si="83"/>
        <v>6.1040950823046796</v>
      </c>
      <c r="CD117" s="52">
        <f t="shared" si="83"/>
        <v>6.244489269197687</v>
      </c>
      <c r="CE117" s="52">
        <f t="shared" si="83"/>
        <v>6.3881125223892328</v>
      </c>
      <c r="CF117" s="52">
        <f t="shared" si="83"/>
        <v>6.5350391104041856</v>
      </c>
      <c r="CG117" s="52">
        <f t="shared" si="83"/>
        <v>6.6853450099434815</v>
      </c>
      <c r="CH117" s="52">
        <f t="shared" si="83"/>
        <v>6.8391079451721799</v>
      </c>
      <c r="CI117" s="52">
        <f t="shared" si="83"/>
        <v>6.9964074279111399</v>
      </c>
      <c r="CJ117" s="52">
        <f t="shared" si="83"/>
        <v>7.1573247987530948</v>
      </c>
      <c r="CK117" s="52">
        <f t="shared" si="83"/>
        <v>7.3219432691244153</v>
      </c>
    </row>
    <row r="118" spans="6:89" ht="14.5">
      <c r="F118" t="s">
        <v>43</v>
      </c>
      <c r="G118" s="52">
        <f t="shared" si="84" ref="G118:BR118">IF(G21="","",G21/$G21)</f>
        <v>1</v>
      </c>
      <c r="H118" s="52">
        <f t="shared" si="84"/>
        <v>1.3328647957936823</v>
      </c>
      <c r="I118" s="52">
        <f t="shared" si="84"/>
        <v>0.43713886530894325</v>
      </c>
      <c r="J118" s="52">
        <f t="shared" si="84"/>
        <v>1.1173887294999323</v>
      </c>
      <c r="K118" s="52">
        <f t="shared" si="84"/>
        <v>0.99621920260959751</v>
      </c>
      <c r="L118" s="52">
        <f t="shared" si="84"/>
        <v>0.87504967571926262</v>
      </c>
      <c r="M118" s="52">
        <f t="shared" si="84"/>
        <v>0.75388014882892784</v>
      </c>
      <c r="N118" s="52">
        <f t="shared" si="84"/>
        <v>0.63271062193859307</v>
      </c>
      <c r="O118" s="52">
        <f t="shared" si="84"/>
        <v>0.51154109504825829</v>
      </c>
      <c r="P118" s="52">
        <f t="shared" si="84"/>
        <v>0.39037156815792351</v>
      </c>
      <c r="Q118" s="52">
        <f t="shared" si="84"/>
        <v>0.26920204126758873</v>
      </c>
      <c r="R118" s="52">
        <f t="shared" si="84"/>
        <v>0.14803251437725398</v>
      </c>
      <c r="S118" s="52">
        <f t="shared" si="84"/>
        <v>0</v>
      </c>
      <c r="T118" s="52" t="str">
        <f t="shared" si="84"/>
        <v/>
      </c>
      <c r="U118" s="52" t="str">
        <f t="shared" si="84"/>
        <v/>
      </c>
      <c r="V118" s="52" t="str">
        <f t="shared" si="84"/>
        <v/>
      </c>
      <c r="W118" s="52" t="str">
        <f t="shared" si="84"/>
        <v/>
      </c>
      <c r="X118" s="52">
        <f t="shared" si="84"/>
        <v>0</v>
      </c>
      <c r="Y118" s="52" t="str">
        <f t="shared" si="84"/>
        <v/>
      </c>
      <c r="Z118" s="52" t="str">
        <f t="shared" si="84"/>
        <v/>
      </c>
      <c r="AA118" s="52" t="str">
        <f t="shared" si="84"/>
        <v/>
      </c>
      <c r="AB118" s="52" t="str">
        <f t="shared" si="84"/>
        <v/>
      </c>
      <c r="AC118" s="52">
        <f t="shared" si="84"/>
        <v>0</v>
      </c>
      <c r="AD118" s="52" t="str">
        <f t="shared" si="84"/>
        <v/>
      </c>
      <c r="AE118" s="52" t="str">
        <f t="shared" si="84"/>
        <v/>
      </c>
      <c r="AF118" s="52" t="str">
        <f t="shared" si="84"/>
        <v/>
      </c>
      <c r="AG118" s="52" t="str">
        <f t="shared" si="84"/>
        <v/>
      </c>
      <c r="AH118" s="52">
        <f t="shared" si="84"/>
        <v>0</v>
      </c>
      <c r="AI118" s="52" t="str">
        <f t="shared" si="84"/>
        <v/>
      </c>
      <c r="AJ118" s="52" t="str">
        <f t="shared" si="84"/>
        <v/>
      </c>
      <c r="AK118" s="52" t="str">
        <f t="shared" si="84"/>
        <v/>
      </c>
      <c r="AL118" s="52" t="str">
        <f t="shared" si="84"/>
        <v/>
      </c>
      <c r="AM118" s="52">
        <f t="shared" si="84"/>
        <v>0</v>
      </c>
      <c r="AN118" s="52" t="str">
        <f t="shared" si="84"/>
        <v/>
      </c>
      <c r="AO118" s="52" t="str">
        <f t="shared" si="84"/>
        <v/>
      </c>
      <c r="AP118" s="52" t="str">
        <f t="shared" si="84"/>
        <v/>
      </c>
      <c r="AQ118" s="52" t="str">
        <f t="shared" si="84"/>
        <v/>
      </c>
      <c r="AR118" s="52">
        <f t="shared" si="84"/>
        <v>0</v>
      </c>
      <c r="AS118" s="52" t="str">
        <f t="shared" si="84"/>
        <v/>
      </c>
      <c r="AT118" s="52" t="str">
        <f t="shared" si="84"/>
        <v/>
      </c>
      <c r="AU118" s="52" t="str">
        <f t="shared" si="84"/>
        <v/>
      </c>
      <c r="AV118" s="52" t="str">
        <f t="shared" si="84"/>
        <v/>
      </c>
      <c r="AW118" s="52">
        <f t="shared" si="84"/>
        <v>0</v>
      </c>
      <c r="AX118" s="52" t="str">
        <f t="shared" si="84"/>
        <v/>
      </c>
      <c r="AY118" s="52" t="str">
        <f t="shared" si="84"/>
        <v/>
      </c>
      <c r="AZ118" s="52" t="str">
        <f t="shared" si="84"/>
        <v/>
      </c>
      <c r="BA118" s="52" t="str">
        <f t="shared" si="84"/>
        <v/>
      </c>
      <c r="BB118" s="52">
        <f t="shared" si="84"/>
        <v>0</v>
      </c>
      <c r="BC118" s="52" t="str">
        <f t="shared" si="84"/>
        <v/>
      </c>
      <c r="BD118" s="52" t="str">
        <f t="shared" si="84"/>
        <v/>
      </c>
      <c r="BE118" s="52" t="str">
        <f t="shared" si="84"/>
        <v/>
      </c>
      <c r="BF118" s="52" t="str">
        <f t="shared" si="84"/>
        <v/>
      </c>
      <c r="BG118" s="52">
        <f t="shared" si="84"/>
        <v>0</v>
      </c>
      <c r="BH118" s="52" t="str">
        <f t="shared" si="84"/>
        <v/>
      </c>
      <c r="BI118" s="52" t="str">
        <f t="shared" si="84"/>
        <v/>
      </c>
      <c r="BJ118" s="52" t="str">
        <f t="shared" si="84"/>
        <v/>
      </c>
      <c r="BK118" s="52" t="str">
        <f t="shared" si="84"/>
        <v/>
      </c>
      <c r="BL118" s="52">
        <f t="shared" si="84"/>
        <v>0</v>
      </c>
      <c r="BM118" s="52" t="str">
        <f t="shared" si="84"/>
        <v/>
      </c>
      <c r="BN118" s="52" t="str">
        <f t="shared" si="84"/>
        <v/>
      </c>
      <c r="BO118" s="52" t="str">
        <f t="shared" si="84"/>
        <v/>
      </c>
      <c r="BP118" s="52" t="str">
        <f t="shared" si="84"/>
        <v/>
      </c>
      <c r="BQ118" s="52">
        <f t="shared" si="84"/>
        <v>0</v>
      </c>
      <c r="BR118" s="52" t="str">
        <f t="shared" si="84"/>
        <v/>
      </c>
      <c r="BS118" s="52" t="str">
        <f t="shared" si="85" ref="BS118:CK118">IF(BS21="","",BS21/$G21)</f>
        <v/>
      </c>
      <c r="BT118" s="52" t="str">
        <f t="shared" si="85"/>
        <v/>
      </c>
      <c r="BU118" s="52" t="str">
        <f t="shared" si="85"/>
        <v/>
      </c>
      <c r="BV118" s="52">
        <f t="shared" si="85"/>
        <v>0</v>
      </c>
      <c r="BW118" s="52" t="str">
        <f t="shared" si="85"/>
        <v/>
      </c>
      <c r="BX118" s="52" t="str">
        <f t="shared" si="85"/>
        <v/>
      </c>
      <c r="BY118" s="52" t="str">
        <f t="shared" si="85"/>
        <v/>
      </c>
      <c r="BZ118" s="52" t="str">
        <f t="shared" si="85"/>
        <v/>
      </c>
      <c r="CA118" s="52">
        <f t="shared" si="85"/>
        <v>0</v>
      </c>
      <c r="CB118" s="52" t="str">
        <f t="shared" si="85"/>
        <v/>
      </c>
      <c r="CC118" s="52" t="str">
        <f t="shared" si="85"/>
        <v/>
      </c>
      <c r="CD118" s="52" t="str">
        <f t="shared" si="85"/>
        <v/>
      </c>
      <c r="CE118" s="52" t="str">
        <f t="shared" si="85"/>
        <v/>
      </c>
      <c r="CF118" s="52">
        <f t="shared" si="85"/>
        <v>0</v>
      </c>
      <c r="CG118" s="52" t="str">
        <f t="shared" si="85"/>
        <v/>
      </c>
      <c r="CH118" s="52" t="str">
        <f t="shared" si="85"/>
        <v/>
      </c>
      <c r="CI118" s="52" t="str">
        <f t="shared" si="85"/>
        <v/>
      </c>
      <c r="CJ118" s="52" t="str">
        <f t="shared" si="85"/>
        <v/>
      </c>
      <c r="CK118" s="52">
        <f t="shared" si="85"/>
        <v>0</v>
      </c>
    </row>
    <row r="119" spans="6:89" ht="14.5">
      <c r="F119" t="s">
        <v>45</v>
      </c>
      <c r="G119" s="52">
        <f t="shared" si="86" ref="G119:BR119">IF(G22="","",G22/$G22)</f>
        <v>1</v>
      </c>
      <c r="H119" s="52">
        <f t="shared" si="86"/>
        <v>1.0650419574670333</v>
      </c>
      <c r="I119" s="52">
        <f t="shared" si="86"/>
        <v>1.3024737242617932</v>
      </c>
      <c r="J119" s="52">
        <f t="shared" si="86"/>
        <v>1.4374192993014447</v>
      </c>
      <c r="K119" s="52">
        <f t="shared" si="86"/>
        <v>1.3267252167575585</v>
      </c>
      <c r="L119" s="52">
        <f t="shared" si="86"/>
        <v>1.3674513145613281</v>
      </c>
      <c r="M119" s="52">
        <f t="shared" si="86"/>
        <v>1.4105228497432003</v>
      </c>
      <c r="N119" s="52">
        <f t="shared" si="86"/>
        <v>1.4553128072879951</v>
      </c>
      <c r="O119" s="52">
        <f t="shared" si="86"/>
        <v>1.5014955149992557</v>
      </c>
      <c r="P119" s="52">
        <f t="shared" si="86"/>
        <v>1.5488020692285454</v>
      </c>
      <c r="Q119" s="52">
        <f t="shared" si="86"/>
        <v>1.5972807019001019</v>
      </c>
      <c r="R119" s="52">
        <f t="shared" si="86"/>
        <v>1.646966840002533</v>
      </c>
      <c r="S119" s="52">
        <f t="shared" si="86"/>
        <v>1.6977068243081552</v>
      </c>
      <c r="T119" s="52">
        <f t="shared" si="86"/>
        <v>1.7492808367551451</v>
      </c>
      <c r="U119" s="52">
        <f t="shared" si="86"/>
        <v>1.8017042432662729</v>
      </c>
      <c r="V119" s="52">
        <f t="shared" si="86"/>
        <v>1.8547836893133647</v>
      </c>
      <c r="W119" s="52">
        <f t="shared" si="86"/>
        <v>1.9083510034083531</v>
      </c>
      <c r="X119" s="52">
        <f t="shared" si="86"/>
        <v>1.9622956362735375</v>
      </c>
      <c r="Y119" s="52">
        <f t="shared" si="86"/>
        <v>2.0165889902193279</v>
      </c>
      <c r="Z119" s="52">
        <f t="shared" si="86"/>
        <v>2.0710266131066613</v>
      </c>
      <c r="AA119" s="52">
        <f t="shared" si="86"/>
        <v>2.1257156395637344</v>
      </c>
      <c r="AB119" s="52">
        <f t="shared" si="86"/>
        <v>2.1808046068439677</v>
      </c>
      <c r="AC119" s="52">
        <f t="shared" si="86"/>
        <v>2.2364582717859376</v>
      </c>
      <c r="AD119" s="52">
        <f t="shared" si="86"/>
        <v>2.2928452327089026</v>
      </c>
      <c r="AE119" s="52">
        <f t="shared" si="86"/>
        <v>2.350123843983619</v>
      </c>
      <c r="AF119" s="52">
        <f t="shared" si="86"/>
        <v>2.408437520889255</v>
      </c>
      <c r="AG119" s="52">
        <f t="shared" si="86"/>
        <v>2.467927544549037</v>
      </c>
      <c r="AH119" s="52">
        <f t="shared" si="86"/>
        <v>2.5287509888401596</v>
      </c>
      <c r="AI119" s="52">
        <f t="shared" si="86"/>
        <v>2.5911016351219716</v>
      </c>
      <c r="AJ119" s="52">
        <f t="shared" si="86"/>
        <v>2.6548706414415326</v>
      </c>
      <c r="AK119" s="52">
        <f t="shared" si="86"/>
        <v>2.7203213626418483</v>
      </c>
      <c r="AL119" s="52">
        <f t="shared" si="86"/>
        <v>2.787767092814911</v>
      </c>
      <c r="AM119" s="52">
        <f t="shared" si="86"/>
        <v>2.8575450285992603</v>
      </c>
      <c r="AN119" s="52">
        <f t="shared" si="86"/>
        <v>2.9299693177492219</v>
      </c>
      <c r="AO119" s="52">
        <f t="shared" si="86"/>
        <v>3.0052687417816397</v>
      </c>
      <c r="AP119" s="52">
        <f t="shared" si="86"/>
        <v>3.0836148868340536</v>
      </c>
      <c r="AQ119" s="52">
        <f t="shared" si="86"/>
        <v>3.1651545828351306</v>
      </c>
      <c r="AR119" s="52">
        <f t="shared" si="86"/>
        <v>3.2500295377393025</v>
      </c>
      <c r="AS119" s="52">
        <f t="shared" si="86"/>
        <v>3.3383596911104099</v>
      </c>
      <c r="AT119" s="52">
        <f t="shared" si="86"/>
        <v>3.4301642503518832</v>
      </c>
      <c r="AU119" s="52">
        <f t="shared" si="86"/>
        <v>3.5253753493048743</v>
      </c>
      <c r="AV119" s="52">
        <f t="shared" si="86"/>
        <v>3.6238743288990527</v>
      </c>
      <c r="AW119" s="52">
        <f t="shared" si="86"/>
        <v>3.7255489325320288</v>
      </c>
      <c r="AX119" s="52">
        <f t="shared" si="86"/>
        <v>3.5469737394153329</v>
      </c>
      <c r="AY119" s="52">
        <f t="shared" si="86"/>
        <v>3.6053181731241177</v>
      </c>
      <c r="AZ119" s="52">
        <f t="shared" si="86"/>
        <v>3.6636626068329021</v>
      </c>
      <c r="BA119" s="52">
        <f t="shared" si="86"/>
        <v>3.722007040541659</v>
      </c>
      <c r="BB119" s="52">
        <f t="shared" si="86"/>
        <v>3.7803514742504154</v>
      </c>
      <c r="BC119" s="52">
        <f t="shared" si="86"/>
        <v>3.8386959079591998</v>
      </c>
      <c r="BD119" s="52">
        <f t="shared" si="86"/>
        <v>3.8970403416679558</v>
      </c>
      <c r="BE119" s="52">
        <f t="shared" si="86"/>
        <v>3.9553847753767406</v>
      </c>
      <c r="BF119" s="52">
        <f t="shared" si="86"/>
        <v>4.0137292090855254</v>
      </c>
      <c r="BG119" s="52">
        <f t="shared" si="86"/>
        <v>4.0720736427942823</v>
      </c>
      <c r="BH119" s="52">
        <f t="shared" si="86"/>
        <v>4.1304180765030383</v>
      </c>
      <c r="BI119" s="52">
        <f t="shared" si="86"/>
        <v>4.1887625102118236</v>
      </c>
      <c r="BJ119" s="52">
        <f t="shared" si="86"/>
        <v>4.2471069439206071</v>
      </c>
      <c r="BK119" s="52">
        <f t="shared" si="86"/>
        <v>4.3054513776293639</v>
      </c>
      <c r="BL119" s="52">
        <f t="shared" si="86"/>
        <v>4.3637958113381483</v>
      </c>
      <c r="BM119" s="52">
        <f t="shared" si="86"/>
        <v>4.4221402450469336</v>
      </c>
      <c r="BN119" s="52">
        <f t="shared" si="86"/>
        <v>4.4804846787556896</v>
      </c>
      <c r="BO119" s="52">
        <f t="shared" si="86"/>
        <v>4.5388291124644455</v>
      </c>
      <c r="BP119" s="52">
        <f t="shared" si="86"/>
        <v>4.5971735461732308</v>
      </c>
      <c r="BQ119" s="52">
        <f t="shared" si="86"/>
        <v>4.6555179798819877</v>
      </c>
      <c r="BR119" s="52">
        <f t="shared" si="86"/>
        <v>4.7138624135907721</v>
      </c>
      <c r="BS119" s="52">
        <f t="shared" si="87" ref="BS119:CK119">IF(BS22="","",BS22/$G22)</f>
        <v>4.7722068472995556</v>
      </c>
      <c r="BT119" s="52">
        <f t="shared" si="87"/>
        <v>4.8305512810083124</v>
      </c>
      <c r="BU119" s="52">
        <f t="shared" si="87"/>
        <v>4.8888957147170684</v>
      </c>
      <c r="BV119" s="52">
        <f t="shared" si="87"/>
        <v>4.9472401484258537</v>
      </c>
      <c r="BW119" s="52">
        <f t="shared" si="87"/>
        <v>5.0055845821346381</v>
      </c>
      <c r="BX119" s="52">
        <f t="shared" si="87"/>
        <v>5.0639290158433949</v>
      </c>
      <c r="BY119" s="52">
        <f t="shared" si="87"/>
        <v>5.1222734495521793</v>
      </c>
      <c r="BZ119" s="52">
        <f t="shared" si="87"/>
        <v>5.1806178832609362</v>
      </c>
      <c r="CA119" s="52">
        <f t="shared" si="87"/>
        <v>5.2389623169697206</v>
      </c>
      <c r="CB119" s="52">
        <f t="shared" si="87"/>
        <v>5.2973067506784774</v>
      </c>
      <c r="CC119" s="52">
        <f t="shared" si="87"/>
        <v>5.3556511843872618</v>
      </c>
      <c r="CD119" s="52">
        <f t="shared" si="87"/>
        <v>5.4139956180960178</v>
      </c>
      <c r="CE119" s="52">
        <f t="shared" si="87"/>
        <v>5.4723400518048022</v>
      </c>
      <c r="CF119" s="52">
        <f t="shared" si="87"/>
        <v>5.5306844855135866</v>
      </c>
      <c r="CG119" s="52">
        <f t="shared" si="87"/>
        <v>5.5890289192223435</v>
      </c>
      <c r="CH119" s="52">
        <f t="shared" si="87"/>
        <v>5.6473733529310994</v>
      </c>
      <c r="CI119" s="52">
        <f t="shared" si="87"/>
        <v>5.7057177866398847</v>
      </c>
      <c r="CJ119" s="52">
        <f t="shared" si="87"/>
        <v>5.7640622203486691</v>
      </c>
      <c r="CK119" s="52">
        <f t="shared" si="87"/>
        <v>5.822406654057426</v>
      </c>
    </row>
    <row r="120" spans="6:89" ht="14.5">
      <c r="F120" t="s">
        <v>47</v>
      </c>
      <c r="G120" s="52">
        <f t="shared" si="88" ref="G120:BR120">IF(G23="","",G23/$G23)</f>
        <v>1</v>
      </c>
      <c r="H120" s="52">
        <f t="shared" si="88"/>
        <v>0.79961427760049597</v>
      </c>
      <c r="I120" s="52">
        <f t="shared" si="88"/>
        <v>1.0921204113235432</v>
      </c>
      <c r="J120" s="52">
        <f t="shared" si="88"/>
        <v>0.726337169437279</v>
      </c>
      <c r="K120" s="52">
        <f t="shared" si="88"/>
        <v>0.63180294895930966</v>
      </c>
      <c r="L120" s="52">
        <f t="shared" si="88"/>
        <v>0.5993804953874553</v>
      </c>
      <c r="M120" s="52">
        <f t="shared" si="88"/>
        <v>0.53203016986568674</v>
      </c>
      <c r="N120" s="52">
        <f t="shared" si="88"/>
        <v>0.41652868381196112</v>
      </c>
      <c r="O120" s="52">
        <f t="shared" si="88"/>
        <v>0.27107140343777042</v>
      </c>
      <c r="P120" s="52">
        <f t="shared" si="88"/>
        <v>0.14517905799260153</v>
      </c>
      <c r="Q120" s="52">
        <f t="shared" si="88"/>
        <v>0.066984555582558239</v>
      </c>
      <c r="R120" s="52">
        <f t="shared" si="88"/>
        <v>0.027943165862220742</v>
      </c>
      <c r="S120" s="52">
        <f t="shared" si="88"/>
        <v>0</v>
      </c>
      <c r="T120" s="52" t="str">
        <f t="shared" si="88"/>
        <v/>
      </c>
      <c r="U120" s="52" t="str">
        <f t="shared" si="88"/>
        <v/>
      </c>
      <c r="V120" s="52" t="str">
        <f t="shared" si="88"/>
        <v/>
      </c>
      <c r="W120" s="52" t="str">
        <f t="shared" si="88"/>
        <v/>
      </c>
      <c r="X120" s="52">
        <f t="shared" si="88"/>
        <v>0</v>
      </c>
      <c r="Y120" s="52" t="str">
        <f t="shared" si="88"/>
        <v/>
      </c>
      <c r="Z120" s="52" t="str">
        <f t="shared" si="88"/>
        <v/>
      </c>
      <c r="AA120" s="52" t="str">
        <f t="shared" si="88"/>
        <v/>
      </c>
      <c r="AB120" s="52" t="str">
        <f t="shared" si="88"/>
        <v/>
      </c>
      <c r="AC120" s="52">
        <f t="shared" si="88"/>
        <v>0</v>
      </c>
      <c r="AD120" s="52" t="str">
        <f t="shared" si="88"/>
        <v/>
      </c>
      <c r="AE120" s="52" t="str">
        <f t="shared" si="88"/>
        <v/>
      </c>
      <c r="AF120" s="52" t="str">
        <f t="shared" si="88"/>
        <v/>
      </c>
      <c r="AG120" s="52" t="str">
        <f t="shared" si="88"/>
        <v/>
      </c>
      <c r="AH120" s="52">
        <f t="shared" si="88"/>
        <v>0</v>
      </c>
      <c r="AI120" s="52" t="str">
        <f t="shared" si="88"/>
        <v/>
      </c>
      <c r="AJ120" s="52" t="str">
        <f t="shared" si="88"/>
        <v/>
      </c>
      <c r="AK120" s="52" t="str">
        <f t="shared" si="88"/>
        <v/>
      </c>
      <c r="AL120" s="52" t="str">
        <f t="shared" si="88"/>
        <v/>
      </c>
      <c r="AM120" s="52">
        <f t="shared" si="88"/>
        <v>0</v>
      </c>
      <c r="AN120" s="52" t="str">
        <f t="shared" si="88"/>
        <v/>
      </c>
      <c r="AO120" s="52" t="str">
        <f t="shared" si="88"/>
        <v/>
      </c>
      <c r="AP120" s="52" t="str">
        <f t="shared" si="88"/>
        <v/>
      </c>
      <c r="AQ120" s="52" t="str">
        <f t="shared" si="88"/>
        <v/>
      </c>
      <c r="AR120" s="52">
        <f t="shared" si="88"/>
        <v>0</v>
      </c>
      <c r="AS120" s="52" t="str">
        <f t="shared" si="88"/>
        <v/>
      </c>
      <c r="AT120" s="52" t="str">
        <f t="shared" si="88"/>
        <v/>
      </c>
      <c r="AU120" s="52" t="str">
        <f t="shared" si="88"/>
        <v/>
      </c>
      <c r="AV120" s="52" t="str">
        <f t="shared" si="88"/>
        <v/>
      </c>
      <c r="AW120" s="52">
        <f t="shared" si="88"/>
        <v>0</v>
      </c>
      <c r="AX120" s="52" t="str">
        <f t="shared" si="88"/>
        <v/>
      </c>
      <c r="AY120" s="52" t="str">
        <f t="shared" si="88"/>
        <v/>
      </c>
      <c r="AZ120" s="52" t="str">
        <f t="shared" si="88"/>
        <v/>
      </c>
      <c r="BA120" s="52" t="str">
        <f t="shared" si="88"/>
        <v/>
      </c>
      <c r="BB120" s="52">
        <f t="shared" si="88"/>
        <v>0</v>
      </c>
      <c r="BC120" s="52" t="str">
        <f t="shared" si="88"/>
        <v/>
      </c>
      <c r="BD120" s="52" t="str">
        <f t="shared" si="88"/>
        <v/>
      </c>
      <c r="BE120" s="52" t="str">
        <f t="shared" si="88"/>
        <v/>
      </c>
      <c r="BF120" s="52" t="str">
        <f t="shared" si="88"/>
        <v/>
      </c>
      <c r="BG120" s="52">
        <f t="shared" si="88"/>
        <v>0</v>
      </c>
      <c r="BH120" s="52" t="str">
        <f t="shared" si="88"/>
        <v/>
      </c>
      <c r="BI120" s="52" t="str">
        <f t="shared" si="88"/>
        <v/>
      </c>
      <c r="BJ120" s="52" t="str">
        <f t="shared" si="88"/>
        <v/>
      </c>
      <c r="BK120" s="52" t="str">
        <f t="shared" si="88"/>
        <v/>
      </c>
      <c r="BL120" s="52">
        <f t="shared" si="88"/>
        <v>0</v>
      </c>
      <c r="BM120" s="52" t="str">
        <f t="shared" si="88"/>
        <v/>
      </c>
      <c r="BN120" s="52" t="str">
        <f t="shared" si="88"/>
        <v/>
      </c>
      <c r="BO120" s="52" t="str">
        <f t="shared" si="88"/>
        <v/>
      </c>
      <c r="BP120" s="52" t="str">
        <f t="shared" si="88"/>
        <v/>
      </c>
      <c r="BQ120" s="52">
        <f t="shared" si="88"/>
        <v>0</v>
      </c>
      <c r="BR120" s="52" t="str">
        <f t="shared" si="88"/>
        <v/>
      </c>
      <c r="BS120" s="52" t="str">
        <f t="shared" si="89" ref="BS120:CK120">IF(BS23="","",BS23/$G23)</f>
        <v/>
      </c>
      <c r="BT120" s="52" t="str">
        <f t="shared" si="89"/>
        <v/>
      </c>
      <c r="BU120" s="52" t="str">
        <f t="shared" si="89"/>
        <v/>
      </c>
      <c r="BV120" s="52">
        <f t="shared" si="89"/>
        <v>0</v>
      </c>
      <c r="BW120" s="52" t="str">
        <f t="shared" si="89"/>
        <v/>
      </c>
      <c r="BX120" s="52" t="str">
        <f t="shared" si="89"/>
        <v/>
      </c>
      <c r="BY120" s="52" t="str">
        <f t="shared" si="89"/>
        <v/>
      </c>
      <c r="BZ120" s="52" t="str">
        <f t="shared" si="89"/>
        <v/>
      </c>
      <c r="CA120" s="52">
        <f t="shared" si="89"/>
        <v>0</v>
      </c>
      <c r="CB120" s="52" t="str">
        <f t="shared" si="89"/>
        <v/>
      </c>
      <c r="CC120" s="52" t="str">
        <f t="shared" si="89"/>
        <v/>
      </c>
      <c r="CD120" s="52" t="str">
        <f t="shared" si="89"/>
        <v/>
      </c>
      <c r="CE120" s="52" t="str">
        <f t="shared" si="89"/>
        <v/>
      </c>
      <c r="CF120" s="52">
        <f t="shared" si="89"/>
        <v>0</v>
      </c>
      <c r="CG120" s="52" t="str">
        <f t="shared" si="89"/>
        <v/>
      </c>
      <c r="CH120" s="52" t="str">
        <f t="shared" si="89"/>
        <v/>
      </c>
      <c r="CI120" s="52" t="str">
        <f t="shared" si="89"/>
        <v/>
      </c>
      <c r="CJ120" s="52" t="str">
        <f t="shared" si="89"/>
        <v/>
      </c>
      <c r="CK120" s="52">
        <f t="shared" si="89"/>
        <v>0</v>
      </c>
    </row>
    <row r="121" spans="6:89" ht="14.5">
      <c r="F121" t="s">
        <v>49</v>
      </c>
      <c r="G121" s="52">
        <f t="shared" si="90" ref="G121:BR121">IF(G24="","",G24/$G24)</f>
        <v>1</v>
      </c>
      <c r="H121" s="52">
        <f t="shared" si="90"/>
        <v>1.0745889095081476</v>
      </c>
      <c r="I121" s="52">
        <f t="shared" si="90"/>
        <v>0.47130661907360605</v>
      </c>
      <c r="J121" s="52">
        <f t="shared" si="90"/>
        <v>0.51420949768684188</v>
      </c>
      <c r="K121" s="52">
        <f t="shared" si="90"/>
        <v>0.98503939180116773</v>
      </c>
      <c r="L121" s="52">
        <f t="shared" si="90"/>
        <v>0.98503939180116773</v>
      </c>
      <c r="M121" s="52">
        <f t="shared" si="90"/>
        <v>0.98503939180116773</v>
      </c>
      <c r="N121" s="52">
        <f t="shared" si="90"/>
        <v>0.98503939180116773</v>
      </c>
      <c r="O121" s="52">
        <f t="shared" si="90"/>
        <v>0.98503939180116773</v>
      </c>
      <c r="P121" s="52">
        <f t="shared" si="90"/>
        <v>0.98503939180116773</v>
      </c>
      <c r="Q121" s="52">
        <f t="shared" si="90"/>
        <v>0.98503939180116773</v>
      </c>
      <c r="R121" s="52">
        <f t="shared" si="90"/>
        <v>0.98503939180116773</v>
      </c>
      <c r="S121" s="52">
        <f t="shared" si="90"/>
        <v>0.98503939180116773</v>
      </c>
      <c r="T121" s="52">
        <f t="shared" si="90"/>
        <v>0.98503939180116773</v>
      </c>
      <c r="U121" s="52">
        <f t="shared" si="90"/>
        <v>0.98503939180116773</v>
      </c>
      <c r="V121" s="52">
        <f t="shared" si="90"/>
        <v>0.98503939180116773</v>
      </c>
      <c r="W121" s="52">
        <f t="shared" si="90"/>
        <v>0.98503939180116773</v>
      </c>
      <c r="X121" s="52">
        <f t="shared" si="90"/>
        <v>0.98503939180116773</v>
      </c>
      <c r="Y121" s="52">
        <f t="shared" si="90"/>
        <v>0.98503939180116773</v>
      </c>
      <c r="Z121" s="52">
        <f t="shared" si="90"/>
        <v>0.98503939180116773</v>
      </c>
      <c r="AA121" s="52">
        <f t="shared" si="90"/>
        <v>0.98503939180116773</v>
      </c>
      <c r="AB121" s="52">
        <f t="shared" si="90"/>
        <v>0.98503939180116773</v>
      </c>
      <c r="AC121" s="52">
        <f t="shared" si="90"/>
        <v>0.98503939180116773</v>
      </c>
      <c r="AD121" s="52">
        <f t="shared" si="90"/>
        <v>0.98503939180116773</v>
      </c>
      <c r="AE121" s="52">
        <f t="shared" si="90"/>
        <v>0.98503939180116773</v>
      </c>
      <c r="AF121" s="52">
        <f t="shared" si="90"/>
        <v>0.98503939180116773</v>
      </c>
      <c r="AG121" s="52">
        <f t="shared" si="90"/>
        <v>0.98503939180116773</v>
      </c>
      <c r="AH121" s="52">
        <f t="shared" si="90"/>
        <v>0.98503939180116773</v>
      </c>
      <c r="AI121" s="52">
        <f t="shared" si="90"/>
        <v>0.98503939180116773</v>
      </c>
      <c r="AJ121" s="52">
        <f t="shared" si="90"/>
        <v>0.98503939180116773</v>
      </c>
      <c r="AK121" s="52">
        <f t="shared" si="90"/>
        <v>0.98503939180116773</v>
      </c>
      <c r="AL121" s="52">
        <f t="shared" si="90"/>
        <v>0.98503939180116773</v>
      </c>
      <c r="AM121" s="52">
        <f t="shared" si="90"/>
        <v>0.98503939180116773</v>
      </c>
      <c r="AN121" s="52">
        <f t="shared" si="90"/>
        <v>0.98503939180116773</v>
      </c>
      <c r="AO121" s="52">
        <f t="shared" si="90"/>
        <v>0.98503939180116773</v>
      </c>
      <c r="AP121" s="52">
        <f t="shared" si="90"/>
        <v>0.98503939180116773</v>
      </c>
      <c r="AQ121" s="52">
        <f t="shared" si="90"/>
        <v>0.98503939180116773</v>
      </c>
      <c r="AR121" s="52">
        <f t="shared" si="90"/>
        <v>0.98503939180116773</v>
      </c>
      <c r="AS121" s="52">
        <f t="shared" si="90"/>
        <v>0.98503939180116773</v>
      </c>
      <c r="AT121" s="52">
        <f t="shared" si="90"/>
        <v>0.98503939180116773</v>
      </c>
      <c r="AU121" s="52">
        <f t="shared" si="90"/>
        <v>0.98503939180116773</v>
      </c>
      <c r="AV121" s="52">
        <f t="shared" si="90"/>
        <v>0.98503939180116773</v>
      </c>
      <c r="AW121" s="52">
        <f t="shared" si="90"/>
        <v>0.98503939180116773</v>
      </c>
      <c r="AX121" s="52">
        <f t="shared" si="90"/>
        <v>0.98503939180116773</v>
      </c>
      <c r="AY121" s="52">
        <f t="shared" si="90"/>
        <v>0.98503939180116773</v>
      </c>
      <c r="AZ121" s="52">
        <f t="shared" si="90"/>
        <v>0.98503939180116773</v>
      </c>
      <c r="BA121" s="52">
        <f t="shared" si="90"/>
        <v>0.98503939180116773</v>
      </c>
      <c r="BB121" s="52">
        <f t="shared" si="90"/>
        <v>0.98503939180116773</v>
      </c>
      <c r="BC121" s="52">
        <f t="shared" si="90"/>
        <v>0.98503939180116773</v>
      </c>
      <c r="BD121" s="52">
        <f t="shared" si="90"/>
        <v>0.98503939180116773</v>
      </c>
      <c r="BE121" s="52">
        <f t="shared" si="90"/>
        <v>0.98503939180116773</v>
      </c>
      <c r="BF121" s="52">
        <f t="shared" si="90"/>
        <v>0.98503939180116773</v>
      </c>
      <c r="BG121" s="52">
        <f t="shared" si="90"/>
        <v>0.98503939180116773</v>
      </c>
      <c r="BH121" s="52">
        <f t="shared" si="90"/>
        <v>0.98503939180116773</v>
      </c>
      <c r="BI121" s="52">
        <f t="shared" si="90"/>
        <v>0.98503939180116773</v>
      </c>
      <c r="BJ121" s="52">
        <f t="shared" si="90"/>
        <v>0.98503939180116773</v>
      </c>
      <c r="BK121" s="52">
        <f t="shared" si="90"/>
        <v>0.98503939180116773</v>
      </c>
      <c r="BL121" s="52">
        <f t="shared" si="90"/>
        <v>0.98503939180116773</v>
      </c>
      <c r="BM121" s="52">
        <f t="shared" si="90"/>
        <v>0.98503939180116773</v>
      </c>
      <c r="BN121" s="52">
        <f t="shared" si="90"/>
        <v>0.98503939180116773</v>
      </c>
      <c r="BO121" s="52">
        <f t="shared" si="90"/>
        <v>0.98503939180116773</v>
      </c>
      <c r="BP121" s="52">
        <f t="shared" si="90"/>
        <v>0.98503939180116773</v>
      </c>
      <c r="BQ121" s="52">
        <f t="shared" si="90"/>
        <v>0.98503939180116773</v>
      </c>
      <c r="BR121" s="52">
        <f t="shared" si="90"/>
        <v>0.98503939180116773</v>
      </c>
      <c r="BS121" s="52">
        <f t="shared" si="91" ref="BS121:CK121">IF(BS24="","",BS24/$G24)</f>
        <v>0.98503939180116773</v>
      </c>
      <c r="BT121" s="52">
        <f t="shared" si="91"/>
        <v>0.98503939180116773</v>
      </c>
      <c r="BU121" s="52">
        <f t="shared" si="91"/>
        <v>0.98503939180116773</v>
      </c>
      <c r="BV121" s="52">
        <f t="shared" si="91"/>
        <v>0.98503939180116773</v>
      </c>
      <c r="BW121" s="52">
        <f t="shared" si="91"/>
        <v>0.98503939180116773</v>
      </c>
      <c r="BX121" s="52">
        <f t="shared" si="91"/>
        <v>0.98503939180116773</v>
      </c>
      <c r="BY121" s="52">
        <f t="shared" si="91"/>
        <v>0.98503939180116773</v>
      </c>
      <c r="BZ121" s="52">
        <f t="shared" si="91"/>
        <v>0.98503939180116773</v>
      </c>
      <c r="CA121" s="52">
        <f t="shared" si="91"/>
        <v>0.98503939180116773</v>
      </c>
      <c r="CB121" s="52">
        <f t="shared" si="91"/>
        <v>0.98503939180116773</v>
      </c>
      <c r="CC121" s="52">
        <f t="shared" si="91"/>
        <v>0.98503939180116773</v>
      </c>
      <c r="CD121" s="52">
        <f t="shared" si="91"/>
        <v>0.98503939180116773</v>
      </c>
      <c r="CE121" s="52">
        <f t="shared" si="91"/>
        <v>0.98503939180116773</v>
      </c>
      <c r="CF121" s="52">
        <f t="shared" si="91"/>
        <v>0.98503939180116773</v>
      </c>
      <c r="CG121" s="52">
        <f t="shared" si="91"/>
        <v>0.98503939180116773</v>
      </c>
      <c r="CH121" s="52">
        <f t="shared" si="91"/>
        <v>0.98503939180116773</v>
      </c>
      <c r="CI121" s="52">
        <f t="shared" si="91"/>
        <v>0.98503939180116773</v>
      </c>
      <c r="CJ121" s="52">
        <f t="shared" si="91"/>
        <v>0.98503939180116773</v>
      </c>
      <c r="CK121" s="52">
        <f t="shared" si="91"/>
        <v>0.98503939180116773</v>
      </c>
    </row>
    <row r="122" spans="6:89" ht="14.5">
      <c r="F122" t="s">
        <v>51</v>
      </c>
      <c r="G122" s="52">
        <f t="shared" si="92" ref="G122:BR122">IF(G25="","",G25/$G25)</f>
        <v>1</v>
      </c>
      <c r="H122" s="52">
        <f t="shared" si="92"/>
        <v>1.0113613806202701</v>
      </c>
      <c r="I122" s="52">
        <f t="shared" si="92"/>
        <v>0.36069353006187754</v>
      </c>
      <c r="J122" s="52">
        <f t="shared" si="92"/>
        <v>0.40409792144281698</v>
      </c>
      <c r="K122" s="52">
        <f t="shared" si="92"/>
        <v>1.0483818199343635</v>
      </c>
      <c r="L122" s="52">
        <f t="shared" si="92"/>
        <v>1.0629218721668541</v>
      </c>
      <c r="M122" s="52">
        <f t="shared" si="92"/>
        <v>1.0771710880739089</v>
      </c>
      <c r="N122" s="52">
        <f t="shared" si="92"/>
        <v>1.0911352855698102</v>
      </c>
      <c r="O122" s="52">
        <f t="shared" si="92"/>
        <v>1.1048201653142857</v>
      </c>
      <c r="P122" s="52">
        <f t="shared" si="92"/>
        <v>1.118231314410705</v>
      </c>
      <c r="Q122" s="52">
        <f t="shared" si="92"/>
        <v>1.1313742081464055</v>
      </c>
      <c r="R122" s="52">
        <f t="shared" si="92"/>
        <v>1.1442542123856447</v>
      </c>
      <c r="S122" s="52">
        <f t="shared" si="92"/>
        <v>1.156876585309925</v>
      </c>
      <c r="T122" s="52">
        <f t="shared" si="92"/>
        <v>1.169246480463568</v>
      </c>
      <c r="U122" s="52">
        <f t="shared" si="92"/>
        <v>1.1813689478414198</v>
      </c>
      <c r="V122" s="52">
        <f t="shared" si="92"/>
        <v>1.1932489367168806</v>
      </c>
      <c r="W122" s="52">
        <f t="shared" si="92"/>
        <v>1.2048912969471528</v>
      </c>
      <c r="X122" s="52">
        <f t="shared" si="92"/>
        <v>1.2163007820188114</v>
      </c>
      <c r="Y122" s="52">
        <f t="shared" si="92"/>
        <v>1.2274820497004291</v>
      </c>
      <c r="Z122" s="52">
        <f t="shared" si="92"/>
        <v>1.2384396650881475</v>
      </c>
      <c r="AA122" s="52">
        <f t="shared" si="92"/>
        <v>1.2491781019109225</v>
      </c>
      <c r="AB122" s="52">
        <f t="shared" si="92"/>
        <v>1.2597017438357714</v>
      </c>
      <c r="AC122" s="52">
        <f t="shared" si="92"/>
        <v>1.2700148877308854</v>
      </c>
      <c r="AD122" s="52">
        <f t="shared" si="92"/>
        <v>1.2801217436656291</v>
      </c>
      <c r="AE122" s="52">
        <f t="shared" si="92"/>
        <v>1.2900264381736559</v>
      </c>
      <c r="AF122" s="52">
        <f t="shared" si="92"/>
        <v>1.2997330151230708</v>
      </c>
      <c r="AG122" s="52">
        <f t="shared" si="92"/>
        <v>1.3092454368041337</v>
      </c>
      <c r="AH122" s="52">
        <f t="shared" si="92"/>
        <v>1.3185675871923761</v>
      </c>
      <c r="AI122" s="52">
        <f t="shared" si="92"/>
        <v>1.327703272166139</v>
      </c>
      <c r="AJ122" s="52">
        <f t="shared" si="92"/>
        <v>1.3366562212469024</v>
      </c>
      <c r="AK122" s="52">
        <f t="shared" si="92"/>
        <v>1.3454300897746931</v>
      </c>
      <c r="AL122" s="52">
        <f t="shared" si="92"/>
        <v>1.3540284597782495</v>
      </c>
      <c r="AM122" s="52">
        <f t="shared" si="92"/>
        <v>1.3624548417153473</v>
      </c>
      <c r="AN122" s="52">
        <f t="shared" si="92"/>
        <v>1.3707126755605064</v>
      </c>
      <c r="AO122" s="52">
        <f t="shared" si="92"/>
        <v>1.3788053329803978</v>
      </c>
      <c r="AP122" s="52">
        <f t="shared" si="92"/>
        <v>1.3867361175513859</v>
      </c>
      <c r="AQ122" s="52">
        <f t="shared" si="92"/>
        <v>1.3945082673700191</v>
      </c>
      <c r="AR122" s="52">
        <f t="shared" si="92"/>
        <v>1.4021249552705708</v>
      </c>
      <c r="AS122" s="52">
        <f t="shared" si="92"/>
        <v>1.409589291217989</v>
      </c>
      <c r="AT122" s="52">
        <f t="shared" si="92"/>
        <v>1.4169043225254381</v>
      </c>
      <c r="AU122" s="52">
        <f t="shared" si="92"/>
        <v>1.424073035377085</v>
      </c>
      <c r="AV122" s="52">
        <f t="shared" si="92"/>
        <v>1.4310983565684254</v>
      </c>
      <c r="AW122" s="52">
        <f t="shared" si="92"/>
        <v>1.4379831545939898</v>
      </c>
      <c r="AX122" s="52">
        <f t="shared" si="92"/>
        <v>1.4447302400824253</v>
      </c>
      <c r="AY122" s="52">
        <f t="shared" si="92"/>
        <v>1.4513423673192807</v>
      </c>
      <c r="AZ122" s="52">
        <f t="shared" si="92"/>
        <v>1.4578222364224169</v>
      </c>
      <c r="BA122" s="52">
        <f t="shared" si="92"/>
        <v>1.4641724922543016</v>
      </c>
      <c r="BB122" s="52">
        <f t="shared" si="92"/>
        <v>1.4703957276851243</v>
      </c>
      <c r="BC122" s="52">
        <f t="shared" si="92"/>
        <v>1.4764944833752527</v>
      </c>
      <c r="BD122" s="52">
        <f t="shared" si="92"/>
        <v>1.4824712492980223</v>
      </c>
      <c r="BE122" s="52">
        <f t="shared" si="92"/>
        <v>1.4883284653923579</v>
      </c>
      <c r="BF122" s="52">
        <f t="shared" si="92"/>
        <v>1.4940685230855582</v>
      </c>
      <c r="BG122" s="52">
        <f t="shared" si="92"/>
        <v>1.4996937657283809</v>
      </c>
      <c r="BH122" s="52">
        <f t="shared" si="92"/>
        <v>1.5052064899002857</v>
      </c>
      <c r="BI122" s="52">
        <f t="shared" si="92"/>
        <v>1.5106089464971397</v>
      </c>
      <c r="BJ122" s="52">
        <f t="shared" si="92"/>
        <v>1.5159033407312186</v>
      </c>
      <c r="BK122" s="52">
        <f t="shared" si="92"/>
        <v>1.5210918343066131</v>
      </c>
      <c r="BL122" s="52">
        <f t="shared" si="92"/>
        <v>1.5261765456367722</v>
      </c>
      <c r="BM122" s="52">
        <f t="shared" si="92"/>
        <v>1.5311595502795845</v>
      </c>
      <c r="BN122" s="52">
        <f t="shared" si="92"/>
        <v>1.5360428831127868</v>
      </c>
      <c r="BO122" s="52">
        <f t="shared" si="92"/>
        <v>1.54082853724626</v>
      </c>
      <c r="BP122" s="52">
        <f t="shared" si="92"/>
        <v>1.5455184668500603</v>
      </c>
      <c r="BQ122" s="52">
        <f t="shared" si="92"/>
        <v>1.5501145865017985</v>
      </c>
      <c r="BR122" s="52">
        <f t="shared" si="92"/>
        <v>1.5546187724918821</v>
      </c>
      <c r="BS122" s="52">
        <f t="shared" si="93" ref="BS122:CK122">IF(BS25="","",BS25/$G25)</f>
        <v>1.5590328641287636</v>
      </c>
      <c r="BT122" s="52">
        <f t="shared" si="93"/>
        <v>1.563358663303859</v>
      </c>
      <c r="BU122" s="52">
        <f t="shared" si="93"/>
        <v>1.5675979360143304</v>
      </c>
      <c r="BV122" s="52">
        <f t="shared" si="93"/>
        <v>1.5717524130157141</v>
      </c>
      <c r="BW122" s="52">
        <f t="shared" si="93"/>
        <v>1.5758237902569978</v>
      </c>
      <c r="BX122" s="52">
        <f t="shared" si="93"/>
        <v>1.5798137304034092</v>
      </c>
      <c r="BY122" s="52">
        <f t="shared" si="93"/>
        <v>1.5837238619662533</v>
      </c>
      <c r="BZ122" s="52">
        <f t="shared" si="93"/>
        <v>1.5875557814783186</v>
      </c>
      <c r="CA122" s="52">
        <f t="shared" si="93"/>
        <v>1.5913110534938797</v>
      </c>
      <c r="CB122" s="52">
        <f t="shared" si="93"/>
        <v>1.5949912108062372</v>
      </c>
      <c r="CC122" s="52">
        <f t="shared" si="93"/>
        <v>1.5985977561880456</v>
      </c>
      <c r="CD122" s="52">
        <f t="shared" si="93"/>
        <v>1.602132162173771</v>
      </c>
      <c r="CE122" s="52">
        <f t="shared" si="93"/>
        <v>1.605595871277234</v>
      </c>
      <c r="CF122" s="52">
        <f t="shared" si="93"/>
        <v>1.6089902977319352</v>
      </c>
      <c r="CG122" s="52">
        <f t="shared" si="93"/>
        <v>1.6123168277085971</v>
      </c>
      <c r="CH122" s="52">
        <f t="shared" si="93"/>
        <v>1.6155768188800828</v>
      </c>
      <c r="CI122" s="52">
        <f t="shared" si="93"/>
        <v>1.618771602379262</v>
      </c>
      <c r="CJ122" s="52">
        <f t="shared" si="93"/>
        <v>1.6219024825814732</v>
      </c>
      <c r="CK122" s="52">
        <f t="shared" si="93"/>
        <v>1.6249707377571443</v>
      </c>
    </row>
    <row r="123" spans="6:89" ht="14.5">
      <c r="F123" t="s">
        <v>53</v>
      </c>
      <c r="G123" s="52">
        <f t="shared" si="94" ref="G123:BR123">IF(G26="","",G26/$G26)</f>
        <v>1</v>
      </c>
      <c r="H123" s="52">
        <f t="shared" si="94"/>
        <v>1.0732405017925819</v>
      </c>
      <c r="I123" s="52">
        <f t="shared" si="94"/>
        <v>1.104782485554012</v>
      </c>
      <c r="J123" s="52">
        <f t="shared" si="94"/>
        <v>1.1827144104169633</v>
      </c>
      <c r="K123" s="52">
        <f t="shared" si="94"/>
        <v>1.2532946989053411</v>
      </c>
      <c r="L123" s="52">
        <f t="shared" si="94"/>
        <v>1.3182730165588845</v>
      </c>
      <c r="M123" s="52">
        <f t="shared" si="94"/>
        <v>1.3784238875620247</v>
      </c>
      <c r="N123" s="52">
        <f t="shared" si="94"/>
        <v>1.4339812681392778</v>
      </c>
      <c r="O123" s="52">
        <f t="shared" si="94"/>
        <v>1.4865869278941255</v>
      </c>
      <c r="P123" s="52">
        <f t="shared" si="94"/>
        <v>1.5364394052834038</v>
      </c>
      <c r="Q123" s="52">
        <f t="shared" si="94"/>
        <v>1.5849379877682683</v>
      </c>
      <c r="R123" s="52">
        <f t="shared" si="94"/>
        <v>1.6315840372811079</v>
      </c>
      <c r="S123" s="52">
        <f t="shared" si="94"/>
        <v>1.6763849624760112</v>
      </c>
      <c r="T123" s="52">
        <f t="shared" si="94"/>
        <v>1.7578141244560583</v>
      </c>
      <c r="U123" s="52">
        <f t="shared" si="94"/>
        <v>1.8183691498969798</v>
      </c>
      <c r="V123" s="52">
        <f t="shared" si="94"/>
        <v>1.8800152532339209</v>
      </c>
      <c r="W123" s="52">
        <f t="shared" si="94"/>
        <v>1.9424885899059903</v>
      </c>
      <c r="X123" s="52">
        <f t="shared" si="94"/>
        <v>2.0052962204132867</v>
      </c>
      <c r="Y123" s="52">
        <f t="shared" si="94"/>
        <v>2.0684017466737363</v>
      </c>
      <c r="Z123" s="52">
        <f t="shared" si="94"/>
        <v>2.1324156984746119</v>
      </c>
      <c r="AA123" s="52">
        <f t="shared" si="94"/>
        <v>2.1971910561693915</v>
      </c>
      <c r="AB123" s="52">
        <f t="shared" si="94"/>
        <v>2.261973837683922</v>
      </c>
      <c r="AC123" s="52">
        <f t="shared" si="94"/>
        <v>2.3266390869445801</v>
      </c>
      <c r="AD123" s="52">
        <f t="shared" si="94"/>
        <v>2.3433339412338223</v>
      </c>
      <c r="AE123" s="52">
        <f t="shared" si="94"/>
        <v>2.4290449114705637</v>
      </c>
      <c r="AF123" s="52">
        <f t="shared" si="94"/>
        <v>2.5029475114967088</v>
      </c>
      <c r="AG123" s="52">
        <f t="shared" si="94"/>
        <v>2.5691400651417737</v>
      </c>
      <c r="AH123" s="52">
        <f t="shared" si="94"/>
        <v>2.6355864938063864</v>
      </c>
      <c r="AI123" s="52">
        <f t="shared" si="94"/>
        <v>2.7022416864454013</v>
      </c>
      <c r="AJ123" s="52">
        <f t="shared" si="94"/>
        <v>2.7690173724453819</v>
      </c>
      <c r="AK123" s="52">
        <f t="shared" si="94"/>
        <v>2.8358430968036545</v>
      </c>
      <c r="AL123" s="52">
        <f t="shared" si="94"/>
        <v>2.9025786616178224</v>
      </c>
      <c r="AM123" s="52">
        <f t="shared" si="94"/>
        <v>2.9691807340954934</v>
      </c>
      <c r="AN123" s="52">
        <f t="shared" si="94"/>
        <v>3.0356172774907799</v>
      </c>
      <c r="AO123" s="52">
        <f t="shared" si="94"/>
        <v>3.1025615923556233</v>
      </c>
      <c r="AP123" s="52">
        <f t="shared" si="94"/>
        <v>3.1694734506933568</v>
      </c>
      <c r="AQ123" s="52">
        <f t="shared" si="94"/>
        <v>3.2363878896363953</v>
      </c>
      <c r="AR123" s="52">
        <f t="shared" si="94"/>
        <v>3.3033676187500576</v>
      </c>
      <c r="AS123" s="52">
        <f t="shared" si="94"/>
        <v>3.370436845327156</v>
      </c>
      <c r="AT123" s="52">
        <f t="shared" si="94"/>
        <v>3.437605916726449</v>
      </c>
      <c r="AU123" s="52">
        <f t="shared" si="94"/>
        <v>3.5049551003736972</v>
      </c>
      <c r="AV123" s="52">
        <f t="shared" si="94"/>
        <v>3.5725608005966722</v>
      </c>
      <c r="AW123" s="52">
        <f t="shared" si="94"/>
        <v>3.6405128378731724</v>
      </c>
      <c r="AX123" s="52" t="str">
        <f t="shared" si="94"/>
        <v/>
      </c>
      <c r="AY123" s="52" t="str">
        <f t="shared" si="94"/>
        <v/>
      </c>
      <c r="AZ123" s="52" t="str">
        <f t="shared" si="94"/>
        <v/>
      </c>
      <c r="BA123" s="52" t="str">
        <f t="shared" si="94"/>
        <v/>
      </c>
      <c r="BB123" s="52" t="str">
        <f t="shared" si="94"/>
        <v/>
      </c>
      <c r="BC123" s="52" t="str">
        <f t="shared" si="94"/>
        <v/>
      </c>
      <c r="BD123" s="52" t="str">
        <f t="shared" si="94"/>
        <v/>
      </c>
      <c r="BE123" s="52" t="str">
        <f t="shared" si="94"/>
        <v/>
      </c>
      <c r="BF123" s="52" t="str">
        <f t="shared" si="94"/>
        <v/>
      </c>
      <c r="BG123" s="52" t="str">
        <f t="shared" si="94"/>
        <v/>
      </c>
      <c r="BH123" s="52" t="str">
        <f t="shared" si="94"/>
        <v/>
      </c>
      <c r="BI123" s="52" t="str">
        <f t="shared" si="94"/>
        <v/>
      </c>
      <c r="BJ123" s="52" t="str">
        <f t="shared" si="94"/>
        <v/>
      </c>
      <c r="BK123" s="52" t="str">
        <f t="shared" si="94"/>
        <v/>
      </c>
      <c r="BL123" s="52" t="str">
        <f t="shared" si="94"/>
        <v/>
      </c>
      <c r="BM123" s="52" t="str">
        <f t="shared" si="94"/>
        <v/>
      </c>
      <c r="BN123" s="52" t="str">
        <f t="shared" si="94"/>
        <v/>
      </c>
      <c r="BO123" s="52" t="str">
        <f t="shared" si="94"/>
        <v/>
      </c>
      <c r="BP123" s="52" t="str">
        <f t="shared" si="94"/>
        <v/>
      </c>
      <c r="BQ123" s="52" t="str">
        <f t="shared" si="94"/>
        <v/>
      </c>
      <c r="BR123" s="52" t="str">
        <f t="shared" si="94"/>
        <v/>
      </c>
      <c r="BS123" s="52" t="str">
        <f t="shared" si="95" ref="BS123:CK123">IF(BS26="","",BS26/$G26)</f>
        <v/>
      </c>
      <c r="BT123" s="52" t="str">
        <f t="shared" si="95"/>
        <v/>
      </c>
      <c r="BU123" s="52" t="str">
        <f t="shared" si="95"/>
        <v/>
      </c>
      <c r="BV123" s="52" t="str">
        <f t="shared" si="95"/>
        <v/>
      </c>
      <c r="BW123" s="52" t="str">
        <f t="shared" si="95"/>
        <v/>
      </c>
      <c r="BX123" s="52" t="str">
        <f t="shared" si="95"/>
        <v/>
      </c>
      <c r="BY123" s="52" t="str">
        <f t="shared" si="95"/>
        <v/>
      </c>
      <c r="BZ123" s="52" t="str">
        <f t="shared" si="95"/>
        <v/>
      </c>
      <c r="CA123" s="52" t="str">
        <f t="shared" si="95"/>
        <v/>
      </c>
      <c r="CB123" s="52" t="str">
        <f t="shared" si="95"/>
        <v/>
      </c>
      <c r="CC123" s="52" t="str">
        <f t="shared" si="95"/>
        <v/>
      </c>
      <c r="CD123" s="52" t="str">
        <f t="shared" si="95"/>
        <v/>
      </c>
      <c r="CE123" s="52" t="str">
        <f t="shared" si="95"/>
        <v/>
      </c>
      <c r="CF123" s="52" t="str">
        <f t="shared" si="95"/>
        <v/>
      </c>
      <c r="CG123" s="52" t="str">
        <f t="shared" si="95"/>
        <v/>
      </c>
      <c r="CH123" s="52" t="str">
        <f t="shared" si="95"/>
        <v/>
      </c>
      <c r="CI123" s="52" t="str">
        <f t="shared" si="95"/>
        <v/>
      </c>
      <c r="CJ123" s="52" t="str">
        <f t="shared" si="95"/>
        <v/>
      </c>
      <c r="CK123" s="52" t="str">
        <f t="shared" si="95"/>
        <v/>
      </c>
    </row>
    <row r="124" spans="6:89" ht="14.5">
      <c r="F124" t="s">
        <v>55</v>
      </c>
      <c r="G124" s="52">
        <f t="shared" si="96" ref="G124:BR124">IF(G27="","",G27/$G27)</f>
        <v>1</v>
      </c>
      <c r="H124" s="52">
        <f t="shared" si="96"/>
        <v>1.0223895855201035</v>
      </c>
      <c r="I124" s="52">
        <f t="shared" si="96"/>
        <v>1.0389909791963787</v>
      </c>
      <c r="J124" s="52">
        <f t="shared" si="96"/>
        <v>1.0509713994058973</v>
      </c>
      <c r="K124" s="52">
        <f t="shared" si="96"/>
        <v>1.0629991359314803</v>
      </c>
      <c r="L124" s="52">
        <f t="shared" si="96"/>
        <v>1.0753507167749627</v>
      </c>
      <c r="M124" s="52">
        <f t="shared" si="96"/>
        <v>1.0877616864057273</v>
      </c>
      <c r="N124" s="52">
        <f t="shared" si="96"/>
        <v>1.0997737352483465</v>
      </c>
      <c r="O124" s="52">
        <f t="shared" si="96"/>
        <v>1.1121588804427716</v>
      </c>
      <c r="P124" s="52">
        <f t="shared" si="96"/>
        <v>1.124656166023053</v>
      </c>
      <c r="Q124" s="52">
        <f t="shared" si="96"/>
        <v>1.1379632412503542</v>
      </c>
      <c r="R124" s="52">
        <f t="shared" si="96"/>
        <v>1.1514460020471124</v>
      </c>
      <c r="S124" s="52">
        <f t="shared" si="96"/>
        <v>1.1649095900879036</v>
      </c>
      <c r="T124" s="52">
        <f t="shared" si="96"/>
        <v>1.1751094931835262</v>
      </c>
      <c r="U124" s="52">
        <f t="shared" si="96"/>
        <v>1.1869868924122655</v>
      </c>
      <c r="V124" s="52">
        <f t="shared" si="96"/>
        <v>1.1988688436963517</v>
      </c>
      <c r="W124" s="52">
        <f t="shared" si="96"/>
        <v>1.2105852506346355</v>
      </c>
      <c r="X124" s="52">
        <f t="shared" si="96"/>
        <v>1.2218415508374028</v>
      </c>
      <c r="Y124" s="52">
        <f t="shared" si="96"/>
        <v>1.2326411637142807</v>
      </c>
      <c r="Z124" s="52">
        <f t="shared" si="96"/>
        <v>1.2433646843621973</v>
      </c>
      <c r="AA124" s="52">
        <f t="shared" si="96"/>
        <v>1.253928305958443</v>
      </c>
      <c r="AB124" s="52">
        <f t="shared" si="96"/>
        <v>1.2639160792628377</v>
      </c>
      <c r="AC124" s="52">
        <f t="shared" si="96"/>
        <v>1.2732906008667402</v>
      </c>
      <c r="AD124" s="52">
        <f t="shared" si="96"/>
        <v>1.276937314274585</v>
      </c>
      <c r="AE124" s="52">
        <f t="shared" si="96"/>
        <v>1.2805840276824296</v>
      </c>
      <c r="AF124" s="52">
        <f t="shared" si="96"/>
        <v>1.2893052227468764</v>
      </c>
      <c r="AG124" s="52">
        <f t="shared" si="96"/>
        <v>1.2977131254812257</v>
      </c>
      <c r="AH124" s="52">
        <f t="shared" si="96"/>
        <v>1.3057913397495942</v>
      </c>
      <c r="AI124" s="52">
        <f t="shared" si="96"/>
        <v>1.3135329552851791</v>
      </c>
      <c r="AJ124" s="52">
        <f t="shared" si="96"/>
        <v>1.3209111495170076</v>
      </c>
      <c r="AK124" s="52">
        <f t="shared" si="96"/>
        <v>1.3279095799369378</v>
      </c>
      <c r="AL124" s="52">
        <f t="shared" si="96"/>
        <v>1.3344812059040263</v>
      </c>
      <c r="AM124" s="52">
        <f t="shared" si="96"/>
        <v>1.3406262850108095</v>
      </c>
      <c r="AN124" s="52">
        <f t="shared" si="96"/>
        <v>1.3463502819447746</v>
      </c>
      <c r="AO124" s="52">
        <f t="shared" si="96"/>
        <v>1.3519658496477347</v>
      </c>
      <c r="AP124" s="52">
        <f t="shared" si="96"/>
        <v>1.3572445672853435</v>
      </c>
      <c r="AQ124" s="52">
        <f t="shared" si="96"/>
        <v>1.3622157922334783</v>
      </c>
      <c r="AR124" s="52">
        <f t="shared" si="96"/>
        <v>1.3669185093779752</v>
      </c>
      <c r="AS124" s="52">
        <f t="shared" si="96"/>
        <v>1.3713735764782193</v>
      </c>
      <c r="AT124" s="52">
        <f t="shared" si="96"/>
        <v>1.3755950484485018</v>
      </c>
      <c r="AU124" s="52">
        <f t="shared" si="96"/>
        <v>1.3796236933854702</v>
      </c>
      <c r="AV124" s="52">
        <f t="shared" si="96"/>
        <v>1.3834962486020359</v>
      </c>
      <c r="AW124" s="52">
        <f t="shared" si="96"/>
        <v>1.3872522921612171</v>
      </c>
      <c r="AX124" s="52" t="str">
        <f t="shared" si="96"/>
        <v/>
      </c>
      <c r="AY124" s="52" t="str">
        <f t="shared" si="96"/>
        <v/>
      </c>
      <c r="AZ124" s="52" t="str">
        <f t="shared" si="96"/>
        <v/>
      </c>
      <c r="BA124" s="52" t="str">
        <f t="shared" si="96"/>
        <v/>
      </c>
      <c r="BB124" s="52" t="str">
        <f t="shared" si="96"/>
        <v/>
      </c>
      <c r="BC124" s="52" t="str">
        <f t="shared" si="96"/>
        <v/>
      </c>
      <c r="BD124" s="52" t="str">
        <f t="shared" si="96"/>
        <v/>
      </c>
      <c r="BE124" s="52" t="str">
        <f t="shared" si="96"/>
        <v/>
      </c>
      <c r="BF124" s="52" t="str">
        <f t="shared" si="96"/>
        <v/>
      </c>
      <c r="BG124" s="52" t="str">
        <f t="shared" si="96"/>
        <v/>
      </c>
      <c r="BH124" s="52" t="str">
        <f t="shared" si="96"/>
        <v/>
      </c>
      <c r="BI124" s="52" t="str">
        <f t="shared" si="96"/>
        <v/>
      </c>
      <c r="BJ124" s="52" t="str">
        <f t="shared" si="96"/>
        <v/>
      </c>
      <c r="BK124" s="52" t="str">
        <f t="shared" si="96"/>
        <v/>
      </c>
      <c r="BL124" s="52" t="str">
        <f t="shared" si="96"/>
        <v/>
      </c>
      <c r="BM124" s="52" t="str">
        <f t="shared" si="96"/>
        <v/>
      </c>
      <c r="BN124" s="52" t="str">
        <f t="shared" si="96"/>
        <v/>
      </c>
      <c r="BO124" s="52" t="str">
        <f t="shared" si="96"/>
        <v/>
      </c>
      <c r="BP124" s="52" t="str">
        <f t="shared" si="96"/>
        <v/>
      </c>
      <c r="BQ124" s="52" t="str">
        <f t="shared" si="96"/>
        <v/>
      </c>
      <c r="BR124" s="52" t="str">
        <f t="shared" si="96"/>
        <v/>
      </c>
      <c r="BS124" s="52" t="str">
        <f t="shared" si="97" ref="BS124:CK124">IF(BS27="","",BS27/$G27)</f>
        <v/>
      </c>
      <c r="BT124" s="52" t="str">
        <f t="shared" si="97"/>
        <v/>
      </c>
      <c r="BU124" s="52" t="str">
        <f t="shared" si="97"/>
        <v/>
      </c>
      <c r="BV124" s="52" t="str">
        <f t="shared" si="97"/>
        <v/>
      </c>
      <c r="BW124" s="52" t="str">
        <f t="shared" si="97"/>
        <v/>
      </c>
      <c r="BX124" s="52" t="str">
        <f t="shared" si="97"/>
        <v/>
      </c>
      <c r="BY124" s="52" t="str">
        <f t="shared" si="97"/>
        <v/>
      </c>
      <c r="BZ124" s="52" t="str">
        <f t="shared" si="97"/>
        <v/>
      </c>
      <c r="CA124" s="52" t="str">
        <f t="shared" si="97"/>
        <v/>
      </c>
      <c r="CB124" s="52" t="str">
        <f t="shared" si="97"/>
        <v/>
      </c>
      <c r="CC124" s="52" t="str">
        <f t="shared" si="97"/>
        <v/>
      </c>
      <c r="CD124" s="52" t="str">
        <f t="shared" si="97"/>
        <v/>
      </c>
      <c r="CE124" s="52" t="str">
        <f t="shared" si="97"/>
        <v/>
      </c>
      <c r="CF124" s="52" t="str">
        <f t="shared" si="97"/>
        <v/>
      </c>
      <c r="CG124" s="52" t="str">
        <f t="shared" si="97"/>
        <v/>
      </c>
      <c r="CH124" s="52" t="str">
        <f t="shared" si="97"/>
        <v/>
      </c>
      <c r="CI124" s="52" t="str">
        <f t="shared" si="97"/>
        <v/>
      </c>
      <c r="CJ124" s="52" t="str">
        <f t="shared" si="97"/>
        <v/>
      </c>
      <c r="CK124" s="52" t="str">
        <f t="shared" si="97"/>
        <v/>
      </c>
    </row>
    <row r="125" spans="6:89" ht="14.5">
      <c r="F125" t="s">
        <v>57</v>
      </c>
      <c r="G125" s="52">
        <f t="shared" si="98" ref="G125:BR125">IF(G28="","",G28/$G28)</f>
        <v>1</v>
      </c>
      <c r="H125" s="52">
        <f t="shared" si="98"/>
        <v>1.0292707790368165</v>
      </c>
      <c r="I125" s="52">
        <f t="shared" si="98"/>
        <v>1.0447204717078731</v>
      </c>
      <c r="J125" s="52">
        <f t="shared" si="98"/>
        <v>1.0509314865758428</v>
      </c>
      <c r="K125" s="52">
        <f t="shared" si="98"/>
        <v>1.0578526315410937</v>
      </c>
      <c r="L125" s="52">
        <f t="shared" si="98"/>
        <v>1.0656316671280852</v>
      </c>
      <c r="M125" s="52">
        <f t="shared" si="98"/>
        <v>1.0739081810638476</v>
      </c>
      <c r="N125" s="52">
        <f t="shared" si="98"/>
        <v>1.0821567705004884</v>
      </c>
      <c r="O125" s="52">
        <f t="shared" si="98"/>
        <v>1.0910802395814874</v>
      </c>
      <c r="P125" s="52">
        <f t="shared" si="98"/>
        <v>1.1003735786669882</v>
      </c>
      <c r="Q125" s="52">
        <f t="shared" si="98"/>
        <v>1.1106794393699082</v>
      </c>
      <c r="R125" s="52">
        <f t="shared" si="98"/>
        <v>1.1213444942290118</v>
      </c>
      <c r="S125" s="52">
        <f t="shared" si="98"/>
        <v>1.1321536043896532</v>
      </c>
      <c r="T125" s="52">
        <f t="shared" si="98"/>
        <v>1.1360988264449943</v>
      </c>
      <c r="U125" s="52">
        <f t="shared" si="98"/>
        <v>1.1437532943976052</v>
      </c>
      <c r="V125" s="52">
        <f t="shared" si="98"/>
        <v>1.1513151437973856</v>
      </c>
      <c r="W125" s="52">
        <f t="shared" si="98"/>
        <v>1.1586207662984929</v>
      </c>
      <c r="X125" s="52">
        <f t="shared" si="98"/>
        <v>1.1653900590462778</v>
      </c>
      <c r="Y125" s="52">
        <f t="shared" si="98"/>
        <v>1.1716300424922845</v>
      </c>
      <c r="Z125" s="52">
        <f t="shared" si="98"/>
        <v>1.1777049896786054</v>
      </c>
      <c r="AA125" s="52">
        <f t="shared" si="98"/>
        <v>1.1835358136576555</v>
      </c>
      <c r="AB125" s="52">
        <f t="shared" si="98"/>
        <v>1.1887321647746725</v>
      </c>
      <c r="AC125" s="52">
        <f t="shared" si="98"/>
        <v>1.1932640558624394</v>
      </c>
      <c r="AD125" s="52">
        <f t="shared" si="98"/>
        <v>1.1935105092741243</v>
      </c>
      <c r="AE125" s="52">
        <f t="shared" si="98"/>
        <v>1.1937219030602833</v>
      </c>
      <c r="AF125" s="52">
        <f t="shared" si="98"/>
        <v>1.1951146442553289</v>
      </c>
      <c r="AG125" s="52">
        <f t="shared" si="98"/>
        <v>1.19844596235289</v>
      </c>
      <c r="AH125" s="52">
        <f t="shared" si="98"/>
        <v>1.2013916916403073</v>
      </c>
      <c r="AI125" s="52">
        <f t="shared" si="98"/>
        <v>1.2039482628189224</v>
      </c>
      <c r="AJ125" s="52">
        <f t="shared" si="98"/>
        <v>1.2060940519561114</v>
      </c>
      <c r="AK125" s="52">
        <f t="shared" si="98"/>
        <v>1.2078173758948294</v>
      </c>
      <c r="AL125" s="52">
        <f t="shared" si="98"/>
        <v>1.2090790040554307</v>
      </c>
      <c r="AM125" s="52">
        <f t="shared" si="98"/>
        <v>1.2098830973414278</v>
      </c>
      <c r="AN125" s="52">
        <f t="shared" si="98"/>
        <v>1.210238537094634</v>
      </c>
      <c r="AO125" s="52">
        <f t="shared" si="98"/>
        <v>1.2104291990089813</v>
      </c>
      <c r="AP125" s="52">
        <f t="shared" si="98"/>
        <v>1.2102520104033179</v>
      </c>
      <c r="AQ125" s="52">
        <f t="shared" si="98"/>
        <v>1.2097361484379088</v>
      </c>
      <c r="AR125" s="52">
        <f t="shared" si="98"/>
        <v>1.2089189107040383</v>
      </c>
      <c r="AS125" s="52">
        <f t="shared" si="98"/>
        <v>1.2078210882873863</v>
      </c>
      <c r="AT125" s="52">
        <f t="shared" si="98"/>
        <v>1.2064572248843033</v>
      </c>
      <c r="AU125" s="52">
        <f t="shared" si="98"/>
        <v>1.20486500971725</v>
      </c>
      <c r="AV125" s="52">
        <f t="shared" si="98"/>
        <v>1.2030780411853927</v>
      </c>
      <c r="AW125" s="52">
        <f t="shared" si="98"/>
        <v>1.2011318438988039</v>
      </c>
      <c r="AX125" s="52" t="str">
        <f t="shared" si="98"/>
        <v/>
      </c>
      <c r="AY125" s="52" t="str">
        <f t="shared" si="98"/>
        <v/>
      </c>
      <c r="AZ125" s="52" t="str">
        <f t="shared" si="98"/>
        <v/>
      </c>
      <c r="BA125" s="52" t="str">
        <f t="shared" si="98"/>
        <v/>
      </c>
      <c r="BB125" s="52" t="str">
        <f t="shared" si="98"/>
        <v/>
      </c>
      <c r="BC125" s="52" t="str">
        <f t="shared" si="98"/>
        <v/>
      </c>
      <c r="BD125" s="52" t="str">
        <f t="shared" si="98"/>
        <v/>
      </c>
      <c r="BE125" s="52" t="str">
        <f t="shared" si="98"/>
        <v/>
      </c>
      <c r="BF125" s="52" t="str">
        <f t="shared" si="98"/>
        <v/>
      </c>
      <c r="BG125" s="52" t="str">
        <f t="shared" si="98"/>
        <v/>
      </c>
      <c r="BH125" s="52" t="str">
        <f t="shared" si="98"/>
        <v/>
      </c>
      <c r="BI125" s="52" t="str">
        <f t="shared" si="98"/>
        <v/>
      </c>
      <c r="BJ125" s="52" t="str">
        <f t="shared" si="98"/>
        <v/>
      </c>
      <c r="BK125" s="52" t="str">
        <f t="shared" si="98"/>
        <v/>
      </c>
      <c r="BL125" s="52" t="str">
        <f t="shared" si="98"/>
        <v/>
      </c>
      <c r="BM125" s="52" t="str">
        <f t="shared" si="98"/>
        <v/>
      </c>
      <c r="BN125" s="52" t="str">
        <f t="shared" si="98"/>
        <v/>
      </c>
      <c r="BO125" s="52" t="str">
        <f t="shared" si="98"/>
        <v/>
      </c>
      <c r="BP125" s="52" t="str">
        <f t="shared" si="98"/>
        <v/>
      </c>
      <c r="BQ125" s="52" t="str">
        <f t="shared" si="98"/>
        <v/>
      </c>
      <c r="BR125" s="52" t="str">
        <f t="shared" si="98"/>
        <v/>
      </c>
      <c r="BS125" s="52" t="str">
        <f t="shared" si="99" ref="BS125:CK125">IF(BS28="","",BS28/$G28)</f>
        <v/>
      </c>
      <c r="BT125" s="52" t="str">
        <f t="shared" si="99"/>
        <v/>
      </c>
      <c r="BU125" s="52" t="str">
        <f t="shared" si="99"/>
        <v/>
      </c>
      <c r="BV125" s="52" t="str">
        <f t="shared" si="99"/>
        <v/>
      </c>
      <c r="BW125" s="52" t="str">
        <f t="shared" si="99"/>
        <v/>
      </c>
      <c r="BX125" s="52" t="str">
        <f t="shared" si="99"/>
        <v/>
      </c>
      <c r="BY125" s="52" t="str">
        <f t="shared" si="99"/>
        <v/>
      </c>
      <c r="BZ125" s="52" t="str">
        <f t="shared" si="99"/>
        <v/>
      </c>
      <c r="CA125" s="52" t="str">
        <f t="shared" si="99"/>
        <v/>
      </c>
      <c r="CB125" s="52" t="str">
        <f t="shared" si="99"/>
        <v/>
      </c>
      <c r="CC125" s="52" t="str">
        <f t="shared" si="99"/>
        <v/>
      </c>
      <c r="CD125" s="52" t="str">
        <f t="shared" si="99"/>
        <v/>
      </c>
      <c r="CE125" s="52" t="str">
        <f t="shared" si="99"/>
        <v/>
      </c>
      <c r="CF125" s="52" t="str">
        <f t="shared" si="99"/>
        <v/>
      </c>
      <c r="CG125" s="52" t="str">
        <f t="shared" si="99"/>
        <v/>
      </c>
      <c r="CH125" s="52" t="str">
        <f t="shared" si="99"/>
        <v/>
      </c>
      <c r="CI125" s="52" t="str">
        <f t="shared" si="99"/>
        <v/>
      </c>
      <c r="CJ125" s="52" t="str">
        <f t="shared" si="99"/>
        <v/>
      </c>
      <c r="CK125" s="52" t="str">
        <f t="shared" si="99"/>
        <v/>
      </c>
    </row>
    <row r="126" spans="6:89" ht="14.5">
      <c r="F126" t="s">
        <v>135</v>
      </c>
      <c r="G126" s="52">
        <f t="shared" si="100" ref="G126:BR126">IF(G29="","",G29/$G29)</f>
        <v>1</v>
      </c>
      <c r="H126" s="52">
        <f t="shared" si="100"/>
        <v>1.0132798023471263</v>
      </c>
      <c r="I126" s="52">
        <f t="shared" si="100"/>
        <v>1.024788964381304</v>
      </c>
      <c r="J126" s="52">
        <f t="shared" si="100"/>
        <v>1.0584875112888252</v>
      </c>
      <c r="K126" s="52">
        <f t="shared" si="100"/>
        <v>1.0932941810422667</v>
      </c>
      <c r="L126" s="52">
        <f t="shared" si="100"/>
        <v>1.1292454124900175</v>
      </c>
      <c r="M126" s="52">
        <f t="shared" si="100"/>
        <v>1.166378842713744</v>
      </c>
      <c r="N126" s="52">
        <f t="shared" si="100"/>
        <v>1.2047333464303791</v>
      </c>
      <c r="O126" s="52">
        <f t="shared" si="100"/>
        <v>1.2443490766897787</v>
      </c>
      <c r="P126" s="52">
        <f t="shared" si="100"/>
        <v>1.2702555493876833</v>
      </c>
      <c r="Q126" s="52">
        <f t="shared" si="100"/>
        <v>1.2967013766286333</v>
      </c>
      <c r="R126" s="52">
        <f t="shared" si="100"/>
        <v>1.3236977873949183</v>
      </c>
      <c r="S126" s="52">
        <f t="shared" si="100"/>
        <v>1.351256244448342</v>
      </c>
      <c r="T126" s="52">
        <f t="shared" si="100"/>
        <v>1.3793884491973485</v>
      </c>
      <c r="U126" s="52">
        <f t="shared" si="100"/>
        <v>1.3963664259830202</v>
      </c>
      <c r="V126" s="52">
        <f t="shared" si="100"/>
        <v>1.4135533734149972</v>
      </c>
      <c r="W126" s="52">
        <f t="shared" si="100"/>
        <v>1.4309518635742506</v>
      </c>
      <c r="X126" s="52">
        <f t="shared" si="100"/>
        <v>1.4485645001997887</v>
      </c>
      <c r="Y126" s="52">
        <f t="shared" si="100"/>
        <v>1.4663939190783151</v>
      </c>
      <c r="Z126" s="52">
        <f t="shared" si="100"/>
        <v>1.4800702447683689</v>
      </c>
      <c r="AA126" s="52">
        <f t="shared" si="100"/>
        <v>1.4938741227361201</v>
      </c>
      <c r="AB126" s="52">
        <f t="shared" si="100"/>
        <v>1.507806742598131</v>
      </c>
      <c r="AC126" s="52">
        <f t="shared" si="100"/>
        <v>1.5218693050659242</v>
      </c>
      <c r="AD126" s="52">
        <f t="shared" si="100"/>
        <v>1.5360630220494613</v>
      </c>
      <c r="AE126" s="52">
        <f t="shared" si="100"/>
        <v>1.547238153924368</v>
      </c>
      <c r="AF126" s="52">
        <f t="shared" si="100"/>
        <v>1.5584945868726217</v>
      </c>
      <c r="AG126" s="52">
        <f t="shared" si="100"/>
        <v>1.5698329123740011</v>
      </c>
      <c r="AH126" s="52">
        <f t="shared" si="100"/>
        <v>1.5812537262114057</v>
      </c>
      <c r="AI126" s="52">
        <f t="shared" si="100"/>
        <v>1.5927576285021614</v>
      </c>
      <c r="AJ126" s="52">
        <f t="shared" si="100"/>
        <v>1.6043800909586929</v>
      </c>
      <c r="AK126" s="52">
        <f t="shared" si="100"/>
        <v>1.6160873633267492</v>
      </c>
      <c r="AL126" s="52">
        <f t="shared" si="100"/>
        <v>1.6278800644701139</v>
      </c>
      <c r="AM126" s="52">
        <f t="shared" si="100"/>
        <v>1.6397588177684628</v>
      </c>
      <c r="AN126" s="52">
        <f t="shared" si="100"/>
        <v>1.6517242511503156</v>
      </c>
      <c r="AO126" s="52">
        <f t="shared" si="100"/>
        <v>1.6665897694106682</v>
      </c>
      <c r="AP126" s="52">
        <f t="shared" si="100"/>
        <v>1.6815890773353641</v>
      </c>
      <c r="AQ126" s="52">
        <f t="shared" si="100"/>
        <v>1.696723379031382</v>
      </c>
      <c r="AR126" s="52">
        <f t="shared" si="100"/>
        <v>1.7119938894426645</v>
      </c>
      <c r="AS126" s="52">
        <f t="shared" si="100"/>
        <v>1.7274018344476483</v>
      </c>
      <c r="AT126" s="52">
        <f t="shared" si="100"/>
        <v>1.7429484509576767</v>
      </c>
      <c r="AU126" s="52">
        <f t="shared" si="100"/>
        <v>1.7586349870162956</v>
      </c>
      <c r="AV126" s="52">
        <f t="shared" si="100"/>
        <v>1.7744627018994419</v>
      </c>
      <c r="AW126" s="52">
        <f t="shared" si="100"/>
        <v>1.7904328662165367</v>
      </c>
      <c r="AX126" s="52">
        <f t="shared" si="100"/>
        <v>1.8065467620124855</v>
      </c>
      <c r="AY126" s="52">
        <f t="shared" si="100"/>
        <v>1.8228056828705976</v>
      </c>
      <c r="AZ126" s="52">
        <f t="shared" si="100"/>
        <v>1.8392109340164327</v>
      </c>
      <c r="BA126" s="52">
        <f t="shared" si="100"/>
        <v>1.8557638324225805</v>
      </c>
      <c r="BB126" s="52">
        <f t="shared" si="100"/>
        <v>1.8724657069143833</v>
      </c>
      <c r="BC126" s="52">
        <f t="shared" si="100"/>
        <v>1.8893178982766126</v>
      </c>
      <c r="BD126" s="52">
        <f t="shared" si="100"/>
        <v>1.9063217593611022</v>
      </c>
      <c r="BE126" s="52">
        <f t="shared" si="100"/>
        <v>1.923478655195352</v>
      </c>
      <c r="BF126" s="52">
        <f t="shared" si="100"/>
        <v>1.9407899630921097</v>
      </c>
      <c r="BG126" s="52">
        <f t="shared" si="100"/>
        <v>1.9582570727599387</v>
      </c>
      <c r="BH126" s="52">
        <f t="shared" si="100"/>
        <v>1.975881386414778</v>
      </c>
      <c r="BI126" s="52">
        <f t="shared" si="100"/>
        <v>1.9936643188925109</v>
      </c>
      <c r="BJ126" s="52">
        <f t="shared" si="100"/>
        <v>2.0116072977625432</v>
      </c>
      <c r="BK126" s="52">
        <f t="shared" si="100"/>
        <v>2.029711763442406</v>
      </c>
      <c r="BL126" s="52">
        <f t="shared" si="100"/>
        <v>2.0479791693133875</v>
      </c>
      <c r="BM126" s="52">
        <f t="shared" si="100"/>
        <v>2.0664109818372078</v>
      </c>
      <c r="BN126" s="52">
        <f t="shared" si="100"/>
        <v>2.0850086806737425</v>
      </c>
      <c r="BO126" s="52">
        <f t="shared" si="100"/>
        <v>2.1037737587998055</v>
      </c>
      <c r="BP126" s="52">
        <f t="shared" si="100"/>
        <v>2.1227077226290039</v>
      </c>
      <c r="BQ126" s="52">
        <f t="shared" si="100"/>
        <v>2.1418120921326649</v>
      </c>
      <c r="BR126" s="52">
        <f t="shared" si="100"/>
        <v>2.1610884009618587</v>
      </c>
      <c r="BS126" s="52">
        <f t="shared" si="101" ref="BS126:CK126">IF(BS29="","",BS29/$G29)</f>
        <v>2.1805381965705148</v>
      </c>
      <c r="BT126" s="52">
        <f t="shared" si="101"/>
        <v>2.2001630403396493</v>
      </c>
      <c r="BU126" s="52">
        <f t="shared" si="101"/>
        <v>2.2199645077027057</v>
      </c>
      <c r="BV126" s="52">
        <f t="shared" si="101"/>
        <v>2.2399441882720299</v>
      </c>
      <c r="BW126" s="52">
        <f t="shared" si="101"/>
        <v>2.2601036859664778</v>
      </c>
      <c r="BX126" s="52">
        <f t="shared" si="101"/>
        <v>2.2804446191401762</v>
      </c>
      <c r="BY126" s="52">
        <f t="shared" si="101"/>
        <v>2.3009686207124376</v>
      </c>
      <c r="BZ126" s="52">
        <f t="shared" si="101"/>
        <v>2.3216773382988491</v>
      </c>
      <c r="CA126" s="52">
        <f t="shared" si="101"/>
        <v>2.3425724343435381</v>
      </c>
      <c r="CB126" s="52">
        <f t="shared" si="101"/>
        <v>2.3636555862526296</v>
      </c>
      <c r="CC126" s="52">
        <f t="shared" si="101"/>
        <v>2.3849284865289029</v>
      </c>
      <c r="CD126" s="52">
        <f t="shared" si="101"/>
        <v>2.4063928429076626</v>
      </c>
      <c r="CE126" s="52">
        <f t="shared" si="101"/>
        <v>2.4280503784938317</v>
      </c>
      <c r="CF126" s="52">
        <f t="shared" si="101"/>
        <v>2.449902831900276</v>
      </c>
      <c r="CG126" s="52">
        <f t="shared" si="101"/>
        <v>2.4719519573873781</v>
      </c>
      <c r="CH126" s="52">
        <f t="shared" si="101"/>
        <v>2.4941995250038644</v>
      </c>
      <c r="CI126" s="52">
        <f t="shared" si="101"/>
        <v>2.5166473207288989</v>
      </c>
      <c r="CJ126" s="52">
        <f t="shared" si="101"/>
        <v>2.5392971466154588</v>
      </c>
      <c r="CK126" s="52">
        <f t="shared" si="101"/>
        <v>2.5621508209349972</v>
      </c>
    </row>
    <row r="127" spans="6:89" ht="14.5">
      <c r="F127" t="s">
        <v>137</v>
      </c>
      <c r="G127" s="52">
        <f t="shared" si="102" ref="G127:BR127">IF(G30="","",G30/$G30)</f>
        <v>1</v>
      </c>
      <c r="H127" s="52">
        <f t="shared" si="102"/>
        <v>1.0132798023471279</v>
      </c>
      <c r="I127" s="52">
        <f t="shared" si="102"/>
        <v>1.0247889643813055</v>
      </c>
      <c r="J127" s="52">
        <f t="shared" si="102"/>
        <v>1.0584875112888266</v>
      </c>
      <c r="K127" s="52">
        <f t="shared" si="102"/>
        <v>1.0932941810422678</v>
      </c>
      <c r="L127" s="52">
        <f t="shared" si="102"/>
        <v>1.1292454124900191</v>
      </c>
      <c r="M127" s="52">
        <f t="shared" si="102"/>
        <v>1.1663788427137456</v>
      </c>
      <c r="N127" s="52">
        <f t="shared" si="102"/>
        <v>1.2047333464303807</v>
      </c>
      <c r="O127" s="52">
        <f t="shared" si="102"/>
        <v>1.24434907668978</v>
      </c>
      <c r="P127" s="52">
        <f t="shared" si="102"/>
        <v>1.2702555493876846</v>
      </c>
      <c r="Q127" s="52">
        <f t="shared" si="102"/>
        <v>1.2967013766286346</v>
      </c>
      <c r="R127" s="52">
        <f t="shared" si="102"/>
        <v>1.3236977873949198</v>
      </c>
      <c r="S127" s="52">
        <f t="shared" si="102"/>
        <v>1.3512562444483438</v>
      </c>
      <c r="T127" s="52">
        <f t="shared" si="102"/>
        <v>1.3793884491973503</v>
      </c>
      <c r="U127" s="52">
        <f t="shared" si="102"/>
        <v>1.396366425983022</v>
      </c>
      <c r="V127" s="52">
        <f t="shared" si="102"/>
        <v>1.4135533734149992</v>
      </c>
      <c r="W127" s="52">
        <f t="shared" si="102"/>
        <v>1.4309518635742526</v>
      </c>
      <c r="X127" s="52">
        <f t="shared" si="102"/>
        <v>1.4485645001997907</v>
      </c>
      <c r="Y127" s="52">
        <f t="shared" si="102"/>
        <v>1.4663939190783171</v>
      </c>
      <c r="Z127" s="52">
        <f t="shared" si="102"/>
        <v>1.4800702447683707</v>
      </c>
      <c r="AA127" s="52">
        <f t="shared" si="102"/>
        <v>1.4938741227361221</v>
      </c>
      <c r="AB127" s="52">
        <f t="shared" si="102"/>
        <v>1.507806742598133</v>
      </c>
      <c r="AC127" s="52">
        <f t="shared" si="102"/>
        <v>1.5218693050659262</v>
      </c>
      <c r="AD127" s="52">
        <f t="shared" si="102"/>
        <v>1.5360630220494631</v>
      </c>
      <c r="AE127" s="52">
        <f t="shared" si="102"/>
        <v>1.5472381539243698</v>
      </c>
      <c r="AF127" s="52">
        <f t="shared" si="102"/>
        <v>1.5584945868726234</v>
      </c>
      <c r="AG127" s="52">
        <f t="shared" si="102"/>
        <v>1.5698329123740029</v>
      </c>
      <c r="AH127" s="52">
        <f t="shared" si="102"/>
        <v>1.5812537262114077</v>
      </c>
      <c r="AI127" s="52">
        <f t="shared" si="102"/>
        <v>1.5927576285021632</v>
      </c>
      <c r="AJ127" s="52">
        <f t="shared" si="102"/>
        <v>1.6043800909586949</v>
      </c>
      <c r="AK127" s="52">
        <f t="shared" si="102"/>
        <v>1.6160873633267512</v>
      </c>
      <c r="AL127" s="52">
        <f t="shared" si="102"/>
        <v>1.6278800644701157</v>
      </c>
      <c r="AM127" s="52">
        <f t="shared" si="102"/>
        <v>1.6397588177684645</v>
      </c>
      <c r="AN127" s="52">
        <f t="shared" si="102"/>
        <v>1.6517242511503174</v>
      </c>
      <c r="AO127" s="52">
        <f t="shared" si="102"/>
        <v>1.6665897694106699</v>
      </c>
      <c r="AP127" s="52">
        <f t="shared" si="102"/>
        <v>1.6815890773353661</v>
      </c>
      <c r="AQ127" s="52">
        <f t="shared" si="102"/>
        <v>1.6967233790313843</v>
      </c>
      <c r="AR127" s="52">
        <f t="shared" si="102"/>
        <v>1.7119938894426665</v>
      </c>
      <c r="AS127" s="52">
        <f t="shared" si="102"/>
        <v>1.7274018344476503</v>
      </c>
      <c r="AT127" s="52">
        <f t="shared" si="102"/>
        <v>1.7429484509576789</v>
      </c>
      <c r="AU127" s="52">
        <f t="shared" si="102"/>
        <v>1.7586349870162978</v>
      </c>
      <c r="AV127" s="52">
        <f t="shared" si="102"/>
        <v>1.7744627018994443</v>
      </c>
      <c r="AW127" s="52">
        <f t="shared" si="102"/>
        <v>1.7904328662165392</v>
      </c>
      <c r="AX127" s="52">
        <f t="shared" si="102"/>
        <v>1.8065467620124878</v>
      </c>
      <c r="AY127" s="52">
        <f t="shared" si="102"/>
        <v>1.8228056828706001</v>
      </c>
      <c r="AZ127" s="52">
        <f t="shared" si="102"/>
        <v>1.8392109340164353</v>
      </c>
      <c r="BA127" s="52">
        <f t="shared" si="102"/>
        <v>1.8557638324225831</v>
      </c>
      <c r="BB127" s="52">
        <f t="shared" si="102"/>
        <v>1.8724657069143862</v>
      </c>
      <c r="BC127" s="52">
        <f t="shared" si="102"/>
        <v>1.8893178982766154</v>
      </c>
      <c r="BD127" s="52">
        <f t="shared" si="102"/>
        <v>1.9063217593611048</v>
      </c>
      <c r="BE127" s="52">
        <f t="shared" si="102"/>
        <v>1.9234786551953544</v>
      </c>
      <c r="BF127" s="52">
        <f t="shared" si="102"/>
        <v>1.9407899630921124</v>
      </c>
      <c r="BG127" s="52">
        <f t="shared" si="102"/>
        <v>1.9582570727599411</v>
      </c>
      <c r="BH127" s="52">
        <f t="shared" si="102"/>
        <v>1.9758813864147804</v>
      </c>
      <c r="BI127" s="52">
        <f t="shared" si="102"/>
        <v>1.9936643188925132</v>
      </c>
      <c r="BJ127" s="52">
        <f t="shared" si="102"/>
        <v>2.0116072977625454</v>
      </c>
      <c r="BK127" s="52">
        <f t="shared" si="102"/>
        <v>2.0297117634424082</v>
      </c>
      <c r="BL127" s="52">
        <f t="shared" si="102"/>
        <v>2.0479791693133897</v>
      </c>
      <c r="BM127" s="52">
        <f t="shared" si="102"/>
        <v>2.0664109818372101</v>
      </c>
      <c r="BN127" s="52">
        <f t="shared" si="102"/>
        <v>2.0850086806737447</v>
      </c>
      <c r="BO127" s="52">
        <f t="shared" si="102"/>
        <v>2.1037737587998082</v>
      </c>
      <c r="BP127" s="52">
        <f t="shared" si="102"/>
        <v>2.1227077226290061</v>
      </c>
      <c r="BQ127" s="52">
        <f t="shared" si="102"/>
        <v>2.1418120921326671</v>
      </c>
      <c r="BR127" s="52">
        <f t="shared" si="102"/>
        <v>2.1610884009618609</v>
      </c>
      <c r="BS127" s="52">
        <f t="shared" si="103" ref="BS127:CK127">IF(BS30="","",BS30/$G30)</f>
        <v>2.1805381965705175</v>
      </c>
      <c r="BT127" s="52">
        <f t="shared" si="103"/>
        <v>2.2001630403396519</v>
      </c>
      <c r="BU127" s="52">
        <f t="shared" si="103"/>
        <v>2.2199645077027088</v>
      </c>
      <c r="BV127" s="52">
        <f t="shared" si="103"/>
        <v>2.2399441882720326</v>
      </c>
      <c r="BW127" s="52">
        <f t="shared" si="103"/>
        <v>2.2601036859664809</v>
      </c>
      <c r="BX127" s="52">
        <f t="shared" si="103"/>
        <v>2.2804446191401788</v>
      </c>
      <c r="BY127" s="52">
        <f t="shared" si="103"/>
        <v>2.3009686207124402</v>
      </c>
      <c r="BZ127" s="52">
        <f t="shared" si="103"/>
        <v>2.3216773382988518</v>
      </c>
      <c r="CA127" s="52">
        <f t="shared" si="103"/>
        <v>2.3425724343435412</v>
      </c>
      <c r="CB127" s="52">
        <f t="shared" si="103"/>
        <v>2.3636555862526332</v>
      </c>
      <c r="CC127" s="52">
        <f t="shared" si="103"/>
        <v>2.3849284865289064</v>
      </c>
      <c r="CD127" s="52">
        <f t="shared" si="103"/>
        <v>2.4063928429076662</v>
      </c>
      <c r="CE127" s="52">
        <f t="shared" si="103"/>
        <v>2.4280503784938348</v>
      </c>
      <c r="CF127" s="52">
        <f t="shared" si="103"/>
        <v>2.4499028319002791</v>
      </c>
      <c r="CG127" s="52">
        <f t="shared" si="103"/>
        <v>2.4719519573873812</v>
      </c>
      <c r="CH127" s="52">
        <f t="shared" si="103"/>
        <v>2.4941995250038675</v>
      </c>
      <c r="CI127" s="52">
        <f t="shared" si="103"/>
        <v>2.516647320728902</v>
      </c>
      <c r="CJ127" s="52">
        <f t="shared" si="103"/>
        <v>2.5392971466154619</v>
      </c>
      <c r="CK127" s="52">
        <f t="shared" si="103"/>
        <v>2.5621508209350008</v>
      </c>
    </row>
    <row r="128" spans="6:89" ht="14.5">
      <c r="F128" t="s">
        <v>139</v>
      </c>
      <c r="G128" s="52">
        <f t="shared" si="104" ref="G128:BR128">IF(G31="","",G31/$G31)</f>
        <v>1</v>
      </c>
      <c r="H128" s="52" t="str">
        <f t="shared" si="104"/>
        <v/>
      </c>
      <c r="I128" s="52">
        <f t="shared" si="104"/>
        <v>1.9307266285509639</v>
      </c>
      <c r="J128" s="52">
        <f t="shared" si="104"/>
        <v>2.5536241894017881</v>
      </c>
      <c r="K128" s="52">
        <f t="shared" si="104"/>
        <v>3.3587864369492086</v>
      </c>
      <c r="L128" s="52" t="str">
        <f t="shared" si="104"/>
        <v/>
      </c>
      <c r="M128" s="52" t="str">
        <f t="shared" si="104"/>
        <v/>
      </c>
      <c r="N128" s="52" t="str">
        <f t="shared" si="104"/>
        <v/>
      </c>
      <c r="O128" s="52" t="str">
        <f t="shared" si="104"/>
        <v/>
      </c>
      <c r="P128" s="52" t="str">
        <f t="shared" si="104"/>
        <v/>
      </c>
      <c r="Q128" s="52" t="str">
        <f t="shared" si="104"/>
        <v/>
      </c>
      <c r="R128" s="52" t="str">
        <f t="shared" si="104"/>
        <v/>
      </c>
      <c r="S128" s="52">
        <f t="shared" si="104"/>
        <v>7.7980350943015457</v>
      </c>
      <c r="T128" s="52">
        <f t="shared" si="104"/>
        <v>8.352941176470587</v>
      </c>
      <c r="U128" s="52" t="str">
        <f t="shared" si="104"/>
        <v/>
      </c>
      <c r="V128" s="52" t="str">
        <f t="shared" si="104"/>
        <v/>
      </c>
      <c r="W128" s="52" t="str">
        <f t="shared" si="104"/>
        <v/>
      </c>
      <c r="X128" s="52" t="str">
        <f t="shared" si="104"/>
        <v/>
      </c>
      <c r="Y128" s="52" t="str">
        <f t="shared" si="104"/>
        <v/>
      </c>
      <c r="Z128" s="52" t="str">
        <f t="shared" si="104"/>
        <v/>
      </c>
      <c r="AA128" s="52" t="str">
        <f t="shared" si="104"/>
        <v/>
      </c>
      <c r="AB128" s="52" t="str">
        <f t="shared" si="104"/>
        <v/>
      </c>
      <c r="AC128" s="52">
        <f t="shared" si="104"/>
        <v>8.352941176470587</v>
      </c>
      <c r="AD128" s="52" t="str">
        <f t="shared" si="104"/>
        <v/>
      </c>
      <c r="AE128" s="52" t="str">
        <f t="shared" si="104"/>
        <v/>
      </c>
      <c r="AF128" s="52" t="str">
        <f t="shared" si="104"/>
        <v/>
      </c>
      <c r="AG128" s="52" t="str">
        <f t="shared" si="104"/>
        <v/>
      </c>
      <c r="AH128" s="52" t="str">
        <f t="shared" si="104"/>
        <v/>
      </c>
      <c r="AI128" s="52" t="str">
        <f t="shared" si="104"/>
        <v/>
      </c>
      <c r="AJ128" s="52" t="str">
        <f t="shared" si="104"/>
        <v/>
      </c>
      <c r="AK128" s="52" t="str">
        <f t="shared" si="104"/>
        <v/>
      </c>
      <c r="AL128" s="52" t="str">
        <f t="shared" si="104"/>
        <v/>
      </c>
      <c r="AM128" s="52">
        <f t="shared" si="104"/>
        <v>8.352941176470587</v>
      </c>
      <c r="AN128" s="52" t="str">
        <f t="shared" si="104"/>
        <v/>
      </c>
      <c r="AO128" s="52" t="str">
        <f t="shared" si="104"/>
        <v/>
      </c>
      <c r="AP128" s="52" t="str">
        <f t="shared" si="104"/>
        <v/>
      </c>
      <c r="AQ128" s="52" t="str">
        <f t="shared" si="104"/>
        <v/>
      </c>
      <c r="AR128" s="52" t="str">
        <f t="shared" si="104"/>
        <v/>
      </c>
      <c r="AS128" s="52" t="str">
        <f t="shared" si="104"/>
        <v/>
      </c>
      <c r="AT128" s="52" t="str">
        <f t="shared" si="104"/>
        <v/>
      </c>
      <c r="AU128" s="52" t="str">
        <f t="shared" si="104"/>
        <v/>
      </c>
      <c r="AV128" s="52" t="str">
        <f t="shared" si="104"/>
        <v/>
      </c>
      <c r="AW128" s="52">
        <f t="shared" si="104"/>
        <v>8.352941176470587</v>
      </c>
      <c r="AX128" s="52" t="str">
        <f t="shared" si="104"/>
        <v/>
      </c>
      <c r="AY128" s="52" t="str">
        <f t="shared" si="104"/>
        <v/>
      </c>
      <c r="AZ128" s="52" t="str">
        <f t="shared" si="104"/>
        <v/>
      </c>
      <c r="BA128" s="52" t="str">
        <f t="shared" si="104"/>
        <v/>
      </c>
      <c r="BB128" s="52" t="str">
        <f t="shared" si="104"/>
        <v/>
      </c>
      <c r="BC128" s="52" t="str">
        <f t="shared" si="104"/>
        <v/>
      </c>
      <c r="BD128" s="52" t="str">
        <f t="shared" si="104"/>
        <v/>
      </c>
      <c r="BE128" s="52" t="str">
        <f t="shared" si="104"/>
        <v/>
      </c>
      <c r="BF128" s="52" t="str">
        <f t="shared" si="104"/>
        <v/>
      </c>
      <c r="BG128" s="52">
        <f t="shared" si="104"/>
        <v>8.352941176470587</v>
      </c>
      <c r="BH128" s="52" t="str">
        <f t="shared" si="104"/>
        <v/>
      </c>
      <c r="BI128" s="52" t="str">
        <f t="shared" si="104"/>
        <v/>
      </c>
      <c r="BJ128" s="52" t="str">
        <f t="shared" si="104"/>
        <v/>
      </c>
      <c r="BK128" s="52" t="str">
        <f t="shared" si="104"/>
        <v/>
      </c>
      <c r="BL128" s="52" t="str">
        <f t="shared" si="104"/>
        <v/>
      </c>
      <c r="BM128" s="52" t="str">
        <f t="shared" si="104"/>
        <v/>
      </c>
      <c r="BN128" s="52" t="str">
        <f t="shared" si="104"/>
        <v/>
      </c>
      <c r="BO128" s="52" t="str">
        <f t="shared" si="104"/>
        <v/>
      </c>
      <c r="BP128" s="52" t="str">
        <f t="shared" si="104"/>
        <v/>
      </c>
      <c r="BQ128" s="52">
        <f t="shared" si="104"/>
        <v>8.352941176470587</v>
      </c>
      <c r="BR128" s="52" t="str">
        <f t="shared" si="104"/>
        <v/>
      </c>
      <c r="BS128" s="52" t="str">
        <f t="shared" si="105" ref="BS128:CK128">IF(BS31="","",BS31/$G31)</f>
        <v/>
      </c>
      <c r="BT128" s="52" t="str">
        <f t="shared" si="105"/>
        <v/>
      </c>
      <c r="BU128" s="52" t="str">
        <f t="shared" si="105"/>
        <v/>
      </c>
      <c r="BV128" s="52" t="str">
        <f t="shared" si="105"/>
        <v/>
      </c>
      <c r="BW128" s="52" t="str">
        <f t="shared" si="105"/>
        <v/>
      </c>
      <c r="BX128" s="52" t="str">
        <f t="shared" si="105"/>
        <v/>
      </c>
      <c r="BY128" s="52" t="str">
        <f t="shared" si="105"/>
        <v/>
      </c>
      <c r="BZ128" s="52" t="str">
        <f t="shared" si="105"/>
        <v/>
      </c>
      <c r="CA128" s="52">
        <f t="shared" si="105"/>
        <v>8.352941176470587</v>
      </c>
      <c r="CB128" s="52" t="str">
        <f t="shared" si="105"/>
        <v/>
      </c>
      <c r="CC128" s="52" t="str">
        <f t="shared" si="105"/>
        <v/>
      </c>
      <c r="CD128" s="52" t="str">
        <f t="shared" si="105"/>
        <v/>
      </c>
      <c r="CE128" s="52" t="str">
        <f t="shared" si="105"/>
        <v/>
      </c>
      <c r="CF128" s="52" t="str">
        <f t="shared" si="105"/>
        <v/>
      </c>
      <c r="CG128" s="52" t="str">
        <f t="shared" si="105"/>
        <v/>
      </c>
      <c r="CH128" s="52" t="str">
        <f t="shared" si="105"/>
        <v/>
      </c>
      <c r="CI128" s="52" t="str">
        <f t="shared" si="105"/>
        <v/>
      </c>
      <c r="CJ128" s="52" t="str">
        <f t="shared" si="105"/>
        <v/>
      </c>
      <c r="CK128" s="52">
        <f t="shared" si="105"/>
        <v>8.352941176470587</v>
      </c>
    </row>
    <row r="129" spans="6:89" ht="14.5">
      <c r="F129" t="s">
        <v>141</v>
      </c>
      <c r="G129" s="52">
        <f t="shared" si="106" ref="G129:BR129">IF(G32="","",G32/$G32)</f>
        <v>1</v>
      </c>
      <c r="H129" s="52" t="str">
        <f t="shared" si="106"/>
        <v/>
      </c>
      <c r="I129" s="52" t="str">
        <f t="shared" si="106"/>
        <v/>
      </c>
      <c r="J129" s="52" t="str">
        <f t="shared" si="106"/>
        <v/>
      </c>
      <c r="K129" s="52" t="str">
        <f t="shared" si="106"/>
        <v/>
      </c>
      <c r="L129" s="52" t="str">
        <f t="shared" si="106"/>
        <v/>
      </c>
      <c r="M129" s="52" t="str">
        <f t="shared" si="106"/>
        <v/>
      </c>
      <c r="N129" s="52" t="str">
        <f t="shared" si="106"/>
        <v/>
      </c>
      <c r="O129" s="52" t="str">
        <f t="shared" si="106"/>
        <v/>
      </c>
      <c r="P129" s="52" t="str">
        <f t="shared" si="106"/>
        <v/>
      </c>
      <c r="Q129" s="52" t="str">
        <f t="shared" si="106"/>
        <v/>
      </c>
      <c r="R129" s="52" t="str">
        <f t="shared" si="106"/>
        <v/>
      </c>
      <c r="S129" s="52">
        <f t="shared" si="106"/>
        <v>1.0416666666666667</v>
      </c>
      <c r="T129" s="52" t="str">
        <f t="shared" si="106"/>
        <v/>
      </c>
      <c r="U129" s="52" t="str">
        <f t="shared" si="106"/>
        <v/>
      </c>
      <c r="V129" s="52" t="str">
        <f t="shared" si="106"/>
        <v/>
      </c>
      <c r="W129" s="52" t="str">
        <f t="shared" si="106"/>
        <v/>
      </c>
      <c r="X129" s="52" t="str">
        <f t="shared" si="106"/>
        <v/>
      </c>
      <c r="Y129" s="52" t="str">
        <f t="shared" si="106"/>
        <v/>
      </c>
      <c r="Z129" s="52" t="str">
        <f t="shared" si="106"/>
        <v/>
      </c>
      <c r="AA129" s="52" t="str">
        <f t="shared" si="106"/>
        <v/>
      </c>
      <c r="AB129" s="52" t="str">
        <f t="shared" si="106"/>
        <v/>
      </c>
      <c r="AC129" s="52">
        <f t="shared" si="106"/>
        <v>1.1250000000000002</v>
      </c>
      <c r="AD129" s="52" t="str">
        <f t="shared" si="106"/>
        <v/>
      </c>
      <c r="AE129" s="52" t="str">
        <f t="shared" si="106"/>
        <v/>
      </c>
      <c r="AF129" s="52" t="str">
        <f t="shared" si="106"/>
        <v/>
      </c>
      <c r="AG129" s="52" t="str">
        <f t="shared" si="106"/>
        <v/>
      </c>
      <c r="AH129" s="52" t="str">
        <f t="shared" si="106"/>
        <v/>
      </c>
      <c r="AI129" s="52" t="str">
        <f t="shared" si="106"/>
        <v/>
      </c>
      <c r="AJ129" s="52" t="str">
        <f t="shared" si="106"/>
        <v/>
      </c>
      <c r="AK129" s="52" t="str">
        <f t="shared" si="106"/>
        <v/>
      </c>
      <c r="AL129" s="52" t="str">
        <f t="shared" si="106"/>
        <v/>
      </c>
      <c r="AM129" s="52">
        <f t="shared" si="106"/>
        <v>1.1979166666666665</v>
      </c>
      <c r="AN129" s="52">
        <f t="shared" si="106"/>
        <v>1.1979166666666665</v>
      </c>
      <c r="AO129" s="52">
        <f t="shared" si="106"/>
        <v>1.1979166666666665</v>
      </c>
      <c r="AP129" s="52">
        <f t="shared" si="106"/>
        <v>1.1979166666666665</v>
      </c>
      <c r="AQ129" s="52">
        <f t="shared" si="106"/>
        <v>1.1979166666666665</v>
      </c>
      <c r="AR129" s="52">
        <f t="shared" si="106"/>
        <v>1.1979166666666665</v>
      </c>
      <c r="AS129" s="52">
        <f t="shared" si="106"/>
        <v>1.1979166666666665</v>
      </c>
      <c r="AT129" s="52">
        <f t="shared" si="106"/>
        <v>1.1979166666666665</v>
      </c>
      <c r="AU129" s="52">
        <f t="shared" si="106"/>
        <v>1.1979166666666665</v>
      </c>
      <c r="AV129" s="52">
        <f t="shared" si="106"/>
        <v>1.1979166666666665</v>
      </c>
      <c r="AW129" s="52">
        <f t="shared" si="106"/>
        <v>1.1979166666666665</v>
      </c>
      <c r="AX129" s="52">
        <f t="shared" si="106"/>
        <v>1.1979166666666665</v>
      </c>
      <c r="AY129" s="52">
        <f t="shared" si="106"/>
        <v>1.1979166666666665</v>
      </c>
      <c r="AZ129" s="52">
        <f t="shared" si="106"/>
        <v>1.1979166666666665</v>
      </c>
      <c r="BA129" s="52">
        <f t="shared" si="106"/>
        <v>1.1979166666666665</v>
      </c>
      <c r="BB129" s="52">
        <f t="shared" si="106"/>
        <v>1.1979166666666665</v>
      </c>
      <c r="BC129" s="52">
        <f t="shared" si="106"/>
        <v>1.1979166666666665</v>
      </c>
      <c r="BD129" s="52">
        <f t="shared" si="106"/>
        <v>1.1979166666666665</v>
      </c>
      <c r="BE129" s="52">
        <f t="shared" si="106"/>
        <v>1.1979166666666665</v>
      </c>
      <c r="BF129" s="52">
        <f t="shared" si="106"/>
        <v>1.1979166666666665</v>
      </c>
      <c r="BG129" s="52">
        <f t="shared" si="106"/>
        <v>1.1979166666666665</v>
      </c>
      <c r="BH129" s="52">
        <f t="shared" si="106"/>
        <v>1.1979166666666665</v>
      </c>
      <c r="BI129" s="52">
        <f t="shared" si="106"/>
        <v>1.1979166666666665</v>
      </c>
      <c r="BJ129" s="52">
        <f t="shared" si="106"/>
        <v>1.1979166666666665</v>
      </c>
      <c r="BK129" s="52">
        <f t="shared" si="106"/>
        <v>1.1979166666666665</v>
      </c>
      <c r="BL129" s="52">
        <f t="shared" si="106"/>
        <v>1.1979166666666665</v>
      </c>
      <c r="BM129" s="52">
        <f t="shared" si="106"/>
        <v>1.1979166666666665</v>
      </c>
      <c r="BN129" s="52">
        <f t="shared" si="106"/>
        <v>1.1979166666666665</v>
      </c>
      <c r="BO129" s="52">
        <f t="shared" si="106"/>
        <v>1.1979166666666665</v>
      </c>
      <c r="BP129" s="52">
        <f t="shared" si="106"/>
        <v>1.1979166666666665</v>
      </c>
      <c r="BQ129" s="52">
        <f t="shared" si="106"/>
        <v>1.1979166666666665</v>
      </c>
      <c r="BR129" s="52">
        <f t="shared" si="106"/>
        <v>1.1979166666666665</v>
      </c>
      <c r="BS129" s="52">
        <f t="shared" si="107" ref="BS129:CK129">IF(BS32="","",BS32/$G32)</f>
        <v>1.1979166666666665</v>
      </c>
      <c r="BT129" s="52">
        <f t="shared" si="107"/>
        <v>1.1979166666666665</v>
      </c>
      <c r="BU129" s="52">
        <f t="shared" si="107"/>
        <v>1.1979166666666665</v>
      </c>
      <c r="BV129" s="52">
        <f t="shared" si="107"/>
        <v>1.1979166666666665</v>
      </c>
      <c r="BW129" s="52">
        <f t="shared" si="107"/>
        <v>1.1979166666666665</v>
      </c>
      <c r="BX129" s="52">
        <f t="shared" si="107"/>
        <v>1.1979166666666665</v>
      </c>
      <c r="BY129" s="52">
        <f t="shared" si="107"/>
        <v>1.1979166666666665</v>
      </c>
      <c r="BZ129" s="52">
        <f t="shared" si="107"/>
        <v>1.1979166666666665</v>
      </c>
      <c r="CA129" s="52">
        <f t="shared" si="107"/>
        <v>1.1979166666666665</v>
      </c>
      <c r="CB129" s="52">
        <f t="shared" si="107"/>
        <v>1.1979166666666665</v>
      </c>
      <c r="CC129" s="52">
        <f t="shared" si="107"/>
        <v>1.1979166666666665</v>
      </c>
      <c r="CD129" s="52">
        <f t="shared" si="107"/>
        <v>1.1979166666666665</v>
      </c>
      <c r="CE129" s="52">
        <f t="shared" si="107"/>
        <v>1.1979166666666665</v>
      </c>
      <c r="CF129" s="52">
        <f t="shared" si="107"/>
        <v>1.1979166666666665</v>
      </c>
      <c r="CG129" s="52">
        <f t="shared" si="107"/>
        <v>1.1979166666666665</v>
      </c>
      <c r="CH129" s="52">
        <f t="shared" si="107"/>
        <v>1.1979166666666665</v>
      </c>
      <c r="CI129" s="52">
        <f t="shared" si="107"/>
        <v>1.1979166666666665</v>
      </c>
      <c r="CJ129" s="52">
        <f t="shared" si="107"/>
        <v>1.1979166666666665</v>
      </c>
      <c r="CK129" s="52">
        <f t="shared" si="107"/>
        <v>1.1979166666666665</v>
      </c>
    </row>
    <row r="130" spans="6:89" ht="14.5">
      <c r="F130" t="s">
        <v>128</v>
      </c>
      <c r="G130" s="52">
        <f t="shared" si="108" ref="G130:BR130">IF(G33="","",G33/$G33)</f>
        <v>1</v>
      </c>
      <c r="H130" s="52">
        <f t="shared" si="108"/>
        <v>1.0315129591769674</v>
      </c>
      <c r="I130" s="52">
        <f t="shared" si="108"/>
        <v>1.049450004889237</v>
      </c>
      <c r="J130" s="52">
        <f t="shared" si="108"/>
        <v>1.0670358127501398</v>
      </c>
      <c r="K130" s="52">
        <f t="shared" si="108"/>
        <v>1.0840466739263697</v>
      </c>
      <c r="L130" s="52">
        <f t="shared" si="108"/>
        <v>1.100884365333386</v>
      </c>
      <c r="M130" s="52">
        <f t="shared" si="108"/>
        <v>1.1173705894975636</v>
      </c>
      <c r="N130" s="52">
        <f t="shared" si="108"/>
        <v>1.1331031051336402</v>
      </c>
      <c r="O130" s="52">
        <f t="shared" si="108"/>
        <v>1.1489307644125362</v>
      </c>
      <c r="P130" s="52">
        <f t="shared" si="108"/>
        <v>1.1646300302652064</v>
      </c>
      <c r="Q130" s="52">
        <f t="shared" si="108"/>
        <v>1.1809608903510145</v>
      </c>
      <c r="R130" s="52">
        <f t="shared" si="108"/>
        <v>1.1972976296096471</v>
      </c>
      <c r="S130" s="52">
        <f t="shared" si="108"/>
        <v>1.2134614848405274</v>
      </c>
      <c r="T130" s="52">
        <f t="shared" si="108"/>
        <v>1.2297053522487837</v>
      </c>
      <c r="U130" s="52">
        <f t="shared" si="108"/>
        <v>1.2457349747753865</v>
      </c>
      <c r="V130" s="52">
        <f t="shared" si="108"/>
        <v>1.2618605967450491</v>
      </c>
      <c r="W130" s="52">
        <f t="shared" si="108"/>
        <v>1.2779034279052894</v>
      </c>
      <c r="X130" s="52">
        <f t="shared" si="108"/>
        <v>1.2935508186572615</v>
      </c>
      <c r="Y130" s="52">
        <f t="shared" si="108"/>
        <v>1.3088028541542982</v>
      </c>
      <c r="Z130" s="52">
        <f t="shared" si="108"/>
        <v>1.3240612794812101</v>
      </c>
      <c r="AA130" s="52">
        <f t="shared" si="108"/>
        <v>1.3392365719421415</v>
      </c>
      <c r="AB130" s="52">
        <f t="shared" si="108"/>
        <v>1.3538823689780772</v>
      </c>
      <c r="AC130" s="52">
        <f t="shared" si="108"/>
        <v>1.3679537229477066</v>
      </c>
      <c r="AD130" s="52">
        <f t="shared" si="108"/>
        <v>1.3717521582100469</v>
      </c>
      <c r="AE130" s="52">
        <f t="shared" si="108"/>
        <v>1.3839602491678196</v>
      </c>
      <c r="AF130" s="52">
        <f t="shared" si="108"/>
        <v>1.3975321129612734</v>
      </c>
      <c r="AG130" s="52">
        <f t="shared" si="108"/>
        <v>1.4108421225850347</v>
      </c>
      <c r="AH130" s="52">
        <f t="shared" si="108"/>
        <v>1.4238699866881876</v>
      </c>
      <c r="AI130" s="52">
        <f t="shared" si="108"/>
        <v>1.4366055478753874</v>
      </c>
      <c r="AJ130" s="52">
        <f t="shared" si="108"/>
        <v>1.4490166860192917</v>
      </c>
      <c r="AK130" s="52">
        <f t="shared" si="108"/>
        <v>1.4610824279286823</v>
      </c>
      <c r="AL130" s="52">
        <f t="shared" si="108"/>
        <v>1.4727476714985288</v>
      </c>
      <c r="AM130" s="52">
        <f t="shared" si="108"/>
        <v>1.4840090076234267</v>
      </c>
      <c r="AN130" s="52">
        <f t="shared" si="108"/>
        <v>1.4948687713038691</v>
      </c>
      <c r="AO130" s="52">
        <f t="shared" si="108"/>
        <v>1.5056714426178126</v>
      </c>
      <c r="AP130" s="52">
        <f t="shared" si="108"/>
        <v>1.5161612821165205</v>
      </c>
      <c r="AQ130" s="52">
        <f t="shared" si="108"/>
        <v>1.526368264106053</v>
      </c>
      <c r="AR130" s="52">
        <f t="shared" si="108"/>
        <v>1.5363335543804528</v>
      </c>
      <c r="AS130" s="52">
        <f t="shared" si="108"/>
        <v>1.5460783913069491</v>
      </c>
      <c r="AT130" s="52">
        <f t="shared" si="108"/>
        <v>1.555616584376853</v>
      </c>
      <c r="AU130" s="52">
        <f t="shared" si="108"/>
        <v>1.5649924183980588</v>
      </c>
      <c r="AV130" s="52">
        <f t="shared" si="108"/>
        <v>1.5742461424190091</v>
      </c>
      <c r="AW130" s="52">
        <f t="shared" si="108"/>
        <v>1.5834217495572966</v>
      </c>
      <c r="AX130" s="52">
        <f t="shared" si="108"/>
        <v>0</v>
      </c>
      <c r="AY130" s="52">
        <f t="shared" si="108"/>
        <v>0</v>
      </c>
      <c r="AZ130" s="52">
        <f t="shared" si="108"/>
        <v>0</v>
      </c>
      <c r="BA130" s="52">
        <f t="shared" si="108"/>
        <v>0</v>
      </c>
      <c r="BB130" s="52">
        <f t="shared" si="108"/>
        <v>0</v>
      </c>
      <c r="BC130" s="52">
        <f t="shared" si="108"/>
        <v>0</v>
      </c>
      <c r="BD130" s="52">
        <f t="shared" si="108"/>
        <v>0</v>
      </c>
      <c r="BE130" s="52">
        <f t="shared" si="108"/>
        <v>0</v>
      </c>
      <c r="BF130" s="52">
        <f t="shared" si="108"/>
        <v>0</v>
      </c>
      <c r="BG130" s="52">
        <f t="shared" si="108"/>
        <v>0</v>
      </c>
      <c r="BH130" s="52">
        <f t="shared" si="108"/>
        <v>0</v>
      </c>
      <c r="BI130" s="52">
        <f t="shared" si="108"/>
        <v>0</v>
      </c>
      <c r="BJ130" s="52">
        <f t="shared" si="108"/>
        <v>0</v>
      </c>
      <c r="BK130" s="52">
        <f t="shared" si="108"/>
        <v>0</v>
      </c>
      <c r="BL130" s="52">
        <f t="shared" si="108"/>
        <v>0</v>
      </c>
      <c r="BM130" s="52">
        <f t="shared" si="108"/>
        <v>0</v>
      </c>
      <c r="BN130" s="52">
        <f t="shared" si="108"/>
        <v>0</v>
      </c>
      <c r="BO130" s="52">
        <f t="shared" si="108"/>
        <v>0</v>
      </c>
      <c r="BP130" s="52">
        <f t="shared" si="108"/>
        <v>0</v>
      </c>
      <c r="BQ130" s="52">
        <f t="shared" si="108"/>
        <v>0</v>
      </c>
      <c r="BR130" s="52">
        <f t="shared" si="108"/>
        <v>0</v>
      </c>
      <c r="BS130" s="52">
        <f t="shared" si="109" ref="BS130:CK130">IF(BS33="","",BS33/$G33)</f>
        <v>0</v>
      </c>
      <c r="BT130" s="52">
        <f t="shared" si="109"/>
        <v>0</v>
      </c>
      <c r="BU130" s="52">
        <f t="shared" si="109"/>
        <v>0</v>
      </c>
      <c r="BV130" s="52">
        <f t="shared" si="109"/>
        <v>0</v>
      </c>
      <c r="BW130" s="52">
        <f t="shared" si="109"/>
        <v>0</v>
      </c>
      <c r="BX130" s="52">
        <f t="shared" si="109"/>
        <v>0</v>
      </c>
      <c r="BY130" s="52">
        <f t="shared" si="109"/>
        <v>0</v>
      </c>
      <c r="BZ130" s="52">
        <f t="shared" si="109"/>
        <v>0</v>
      </c>
      <c r="CA130" s="52">
        <f t="shared" si="109"/>
        <v>0</v>
      </c>
      <c r="CB130" s="52">
        <f t="shared" si="109"/>
        <v>0</v>
      </c>
      <c r="CC130" s="52">
        <f t="shared" si="109"/>
        <v>0</v>
      </c>
      <c r="CD130" s="52">
        <f t="shared" si="109"/>
        <v>0</v>
      </c>
      <c r="CE130" s="52">
        <f t="shared" si="109"/>
        <v>0</v>
      </c>
      <c r="CF130" s="52">
        <f t="shared" si="109"/>
        <v>0</v>
      </c>
      <c r="CG130" s="52">
        <f t="shared" si="109"/>
        <v>0</v>
      </c>
      <c r="CH130" s="52">
        <f t="shared" si="109"/>
        <v>0</v>
      </c>
      <c r="CI130" s="52">
        <f t="shared" si="109"/>
        <v>0</v>
      </c>
      <c r="CJ130" s="52">
        <f t="shared" si="109"/>
        <v>0</v>
      </c>
      <c r="CK130" s="52">
        <f t="shared" si="109"/>
        <v>0</v>
      </c>
    </row>
    <row r="131" spans="6:89" ht="14.5">
      <c r="F131" t="s">
        <v>129</v>
      </c>
      <c r="G131" s="52">
        <f t="shared" si="110" ref="G131:BR131">IF(G34="","",G34/$G34)</f>
        <v>1</v>
      </c>
      <c r="H131" s="52">
        <f t="shared" si="110"/>
        <v>1.0315129591769674</v>
      </c>
      <c r="I131" s="52">
        <f t="shared" si="110"/>
        <v>1.049450004889237</v>
      </c>
      <c r="J131" s="52">
        <f t="shared" si="110"/>
        <v>1.0670358127501398</v>
      </c>
      <c r="K131" s="52">
        <f t="shared" si="110"/>
        <v>1.0840466739263701</v>
      </c>
      <c r="L131" s="52">
        <f t="shared" si="110"/>
        <v>1.100884365333386</v>
      </c>
      <c r="M131" s="52">
        <f t="shared" si="110"/>
        <v>1.1173705894975634</v>
      </c>
      <c r="N131" s="52">
        <f t="shared" si="110"/>
        <v>1.1331031051336402</v>
      </c>
      <c r="O131" s="52">
        <f t="shared" si="110"/>
        <v>1.1489307644125362</v>
      </c>
      <c r="P131" s="52">
        <f t="shared" si="110"/>
        <v>1.1646300302652064</v>
      </c>
      <c r="Q131" s="52">
        <f t="shared" si="110"/>
        <v>1.1809608903510143</v>
      </c>
      <c r="R131" s="52">
        <f t="shared" si="110"/>
        <v>1.1972976296096474</v>
      </c>
      <c r="S131" s="52">
        <f t="shared" si="110"/>
        <v>1.2134614848405276</v>
      </c>
      <c r="T131" s="52">
        <f t="shared" si="110"/>
        <v>1.2297053522487837</v>
      </c>
      <c r="U131" s="52">
        <f t="shared" si="110"/>
        <v>1.2457349747753865</v>
      </c>
      <c r="V131" s="52">
        <f t="shared" si="110"/>
        <v>1.2618605967450489</v>
      </c>
      <c r="W131" s="52">
        <f t="shared" si="110"/>
        <v>1.2779034279052894</v>
      </c>
      <c r="X131" s="52">
        <f t="shared" si="110"/>
        <v>1.2935508186572615</v>
      </c>
      <c r="Y131" s="52">
        <f t="shared" si="110"/>
        <v>1.3088028541542982</v>
      </c>
      <c r="Z131" s="52">
        <f t="shared" si="110"/>
        <v>1.3240612794812103</v>
      </c>
      <c r="AA131" s="52">
        <f t="shared" si="110"/>
        <v>1.3392365719421413</v>
      </c>
      <c r="AB131" s="52">
        <f t="shared" si="110"/>
        <v>1.3538823689780772</v>
      </c>
      <c r="AC131" s="52">
        <f t="shared" si="110"/>
        <v>1.367953722947707</v>
      </c>
      <c r="AD131" s="52">
        <f t="shared" si="110"/>
        <v>1.3717521582100469</v>
      </c>
      <c r="AE131" s="52">
        <f t="shared" si="110"/>
        <v>1.3839602491678193</v>
      </c>
      <c r="AF131" s="52">
        <f t="shared" si="110"/>
        <v>1.3975321129612737</v>
      </c>
      <c r="AG131" s="52">
        <f t="shared" si="110"/>
        <v>1.4108421225850347</v>
      </c>
      <c r="AH131" s="52">
        <f t="shared" si="110"/>
        <v>1.4238699866881876</v>
      </c>
      <c r="AI131" s="52">
        <f t="shared" si="110"/>
        <v>1.4366055478753872</v>
      </c>
      <c r="AJ131" s="52">
        <f t="shared" si="110"/>
        <v>1.4490166860192919</v>
      </c>
      <c r="AK131" s="52">
        <f t="shared" si="110"/>
        <v>1.4610824279286823</v>
      </c>
      <c r="AL131" s="52">
        <f t="shared" si="110"/>
        <v>1.472747671498529</v>
      </c>
      <c r="AM131" s="52">
        <f t="shared" si="110"/>
        <v>1.4840090076234269</v>
      </c>
      <c r="AN131" s="52">
        <f t="shared" si="110"/>
        <v>1.4948687713038686</v>
      </c>
      <c r="AO131" s="52">
        <f t="shared" si="110"/>
        <v>1.5056714426178126</v>
      </c>
      <c r="AP131" s="52">
        <f t="shared" si="110"/>
        <v>1.5161612821165202</v>
      </c>
      <c r="AQ131" s="52">
        <f t="shared" si="110"/>
        <v>1.526368264106053</v>
      </c>
      <c r="AR131" s="52">
        <f t="shared" si="110"/>
        <v>1.536333554380453</v>
      </c>
      <c r="AS131" s="52">
        <f t="shared" si="110"/>
        <v>1.5460783913069489</v>
      </c>
      <c r="AT131" s="52">
        <f t="shared" si="110"/>
        <v>1.555616584376853</v>
      </c>
      <c r="AU131" s="52">
        <f t="shared" si="110"/>
        <v>1.5649924183980588</v>
      </c>
      <c r="AV131" s="52">
        <f t="shared" si="110"/>
        <v>1.5742461424190088</v>
      </c>
      <c r="AW131" s="52">
        <f t="shared" si="110"/>
        <v>1.5834217495572966</v>
      </c>
      <c r="AX131" s="52">
        <f t="shared" si="110"/>
        <v>0</v>
      </c>
      <c r="AY131" s="52">
        <f t="shared" si="110"/>
        <v>0</v>
      </c>
      <c r="AZ131" s="52">
        <f t="shared" si="110"/>
        <v>0</v>
      </c>
      <c r="BA131" s="52">
        <f t="shared" si="110"/>
        <v>0</v>
      </c>
      <c r="BB131" s="52">
        <f t="shared" si="110"/>
        <v>0</v>
      </c>
      <c r="BC131" s="52">
        <f t="shared" si="110"/>
        <v>0</v>
      </c>
      <c r="BD131" s="52">
        <f t="shared" si="110"/>
        <v>0</v>
      </c>
      <c r="BE131" s="52">
        <f t="shared" si="110"/>
        <v>0</v>
      </c>
      <c r="BF131" s="52">
        <f t="shared" si="110"/>
        <v>0</v>
      </c>
      <c r="BG131" s="52">
        <f t="shared" si="110"/>
        <v>0</v>
      </c>
      <c r="BH131" s="52">
        <f t="shared" si="110"/>
        <v>0</v>
      </c>
      <c r="BI131" s="52">
        <f t="shared" si="110"/>
        <v>0</v>
      </c>
      <c r="BJ131" s="52">
        <f t="shared" si="110"/>
        <v>0</v>
      </c>
      <c r="BK131" s="52">
        <f t="shared" si="110"/>
        <v>0</v>
      </c>
      <c r="BL131" s="52">
        <f t="shared" si="110"/>
        <v>0</v>
      </c>
      <c r="BM131" s="52">
        <f t="shared" si="110"/>
        <v>0</v>
      </c>
      <c r="BN131" s="52">
        <f t="shared" si="110"/>
        <v>0</v>
      </c>
      <c r="BO131" s="52">
        <f t="shared" si="110"/>
        <v>0</v>
      </c>
      <c r="BP131" s="52">
        <f t="shared" si="110"/>
        <v>0</v>
      </c>
      <c r="BQ131" s="52">
        <f t="shared" si="110"/>
        <v>0</v>
      </c>
      <c r="BR131" s="52">
        <f t="shared" si="110"/>
        <v>0</v>
      </c>
      <c r="BS131" s="52">
        <f t="shared" si="111" ref="BS131:CK131">IF(BS34="","",BS34/$G34)</f>
        <v>0</v>
      </c>
      <c r="BT131" s="52">
        <f t="shared" si="111"/>
        <v>0</v>
      </c>
      <c r="BU131" s="52">
        <f t="shared" si="111"/>
        <v>0</v>
      </c>
      <c r="BV131" s="52">
        <f t="shared" si="111"/>
        <v>0</v>
      </c>
      <c r="BW131" s="52">
        <f t="shared" si="111"/>
        <v>0</v>
      </c>
      <c r="BX131" s="52">
        <f t="shared" si="111"/>
        <v>0</v>
      </c>
      <c r="BY131" s="52">
        <f t="shared" si="111"/>
        <v>0</v>
      </c>
      <c r="BZ131" s="52">
        <f t="shared" si="111"/>
        <v>0</v>
      </c>
      <c r="CA131" s="52">
        <f t="shared" si="111"/>
        <v>0</v>
      </c>
      <c r="CB131" s="52">
        <f t="shared" si="111"/>
        <v>0</v>
      </c>
      <c r="CC131" s="52">
        <f t="shared" si="111"/>
        <v>0</v>
      </c>
      <c r="CD131" s="52">
        <f t="shared" si="111"/>
        <v>0</v>
      </c>
      <c r="CE131" s="52">
        <f t="shared" si="111"/>
        <v>0</v>
      </c>
      <c r="CF131" s="52">
        <f t="shared" si="111"/>
        <v>0</v>
      </c>
      <c r="CG131" s="52">
        <f t="shared" si="111"/>
        <v>0</v>
      </c>
      <c r="CH131" s="52">
        <f t="shared" si="111"/>
        <v>0</v>
      </c>
      <c r="CI131" s="52">
        <f t="shared" si="111"/>
        <v>0</v>
      </c>
      <c r="CJ131" s="52">
        <f t="shared" si="111"/>
        <v>0</v>
      </c>
      <c r="CK131" s="52">
        <f t="shared" si="111"/>
        <v>0</v>
      </c>
    </row>
    <row r="132" spans="6:89" ht="14.5">
      <c r="F132" t="s">
        <v>130</v>
      </c>
      <c r="G132" s="52">
        <f t="shared" si="112" ref="G132:BR132">IF(G35="","",G35/$G35)</f>
        <v>1</v>
      </c>
      <c r="H132" s="52">
        <f t="shared" si="112"/>
        <v>1.0315129591769674</v>
      </c>
      <c r="I132" s="52">
        <f t="shared" si="112"/>
        <v>1.0494500048892368</v>
      </c>
      <c r="J132" s="52">
        <f t="shared" si="112"/>
        <v>1.0670358127501398</v>
      </c>
      <c r="K132" s="52">
        <f t="shared" si="112"/>
        <v>1.0840466739263699</v>
      </c>
      <c r="L132" s="52">
        <f t="shared" si="112"/>
        <v>1.100884365333386</v>
      </c>
      <c r="M132" s="52">
        <f t="shared" si="112"/>
        <v>1.1173705894975636</v>
      </c>
      <c r="N132" s="52">
        <f t="shared" si="112"/>
        <v>1.1331031051336402</v>
      </c>
      <c r="O132" s="52">
        <f t="shared" si="112"/>
        <v>1.1489307644125362</v>
      </c>
      <c r="P132" s="52">
        <f t="shared" si="112"/>
        <v>1.1646300302652064</v>
      </c>
      <c r="Q132" s="52">
        <f t="shared" si="112"/>
        <v>1.1809608903510145</v>
      </c>
      <c r="R132" s="52">
        <f t="shared" si="112"/>
        <v>1.1972976296096471</v>
      </c>
      <c r="S132" s="52">
        <f t="shared" si="112"/>
        <v>1.2134614848405274</v>
      </c>
      <c r="T132" s="52">
        <f t="shared" si="112"/>
        <v>1.2297053522487837</v>
      </c>
      <c r="U132" s="52">
        <f t="shared" si="112"/>
        <v>1.2457349747753865</v>
      </c>
      <c r="V132" s="52">
        <f t="shared" si="112"/>
        <v>1.2618605967450491</v>
      </c>
      <c r="W132" s="52">
        <f t="shared" si="112"/>
        <v>1.2779034279052897</v>
      </c>
      <c r="X132" s="52">
        <f t="shared" si="112"/>
        <v>1.2935508186572613</v>
      </c>
      <c r="Y132" s="52">
        <f t="shared" si="112"/>
        <v>1.3088028541542982</v>
      </c>
      <c r="Z132" s="52">
        <f t="shared" si="112"/>
        <v>1.3240612794812101</v>
      </c>
      <c r="AA132" s="52">
        <f t="shared" si="112"/>
        <v>1.3392365719421413</v>
      </c>
      <c r="AB132" s="52">
        <f t="shared" si="112"/>
        <v>1.3538823689780772</v>
      </c>
      <c r="AC132" s="52">
        <f t="shared" si="112"/>
        <v>1.3679537229477066</v>
      </c>
      <c r="AD132" s="52">
        <f t="shared" si="112"/>
        <v>1.3717521582100467</v>
      </c>
      <c r="AE132" s="52">
        <f t="shared" si="112"/>
        <v>1.3839602491678196</v>
      </c>
      <c r="AF132" s="52">
        <f t="shared" si="112"/>
        <v>1.3975321129612734</v>
      </c>
      <c r="AG132" s="52">
        <f t="shared" si="112"/>
        <v>1.4108421225850349</v>
      </c>
      <c r="AH132" s="52">
        <f t="shared" si="112"/>
        <v>1.4238699866881876</v>
      </c>
      <c r="AI132" s="52">
        <f t="shared" si="112"/>
        <v>1.4366055478753872</v>
      </c>
      <c r="AJ132" s="52">
        <f t="shared" si="112"/>
        <v>1.4490166860192919</v>
      </c>
      <c r="AK132" s="52">
        <f t="shared" si="112"/>
        <v>1.461082427928682</v>
      </c>
      <c r="AL132" s="52">
        <f t="shared" si="112"/>
        <v>1.472747671498529</v>
      </c>
      <c r="AM132" s="52">
        <f t="shared" si="112"/>
        <v>1.4840090076234267</v>
      </c>
      <c r="AN132" s="52">
        <f t="shared" si="112"/>
        <v>1.4948687713038689</v>
      </c>
      <c r="AO132" s="52">
        <f t="shared" si="112"/>
        <v>1.5056714426178126</v>
      </c>
      <c r="AP132" s="52">
        <f t="shared" si="112"/>
        <v>1.5161612821165205</v>
      </c>
      <c r="AQ132" s="52">
        <f t="shared" si="112"/>
        <v>1.526368264106053</v>
      </c>
      <c r="AR132" s="52">
        <f t="shared" si="112"/>
        <v>1.536333554380453</v>
      </c>
      <c r="AS132" s="52">
        <f t="shared" si="112"/>
        <v>1.5460783913069489</v>
      </c>
      <c r="AT132" s="52">
        <f t="shared" si="112"/>
        <v>1.555616584376853</v>
      </c>
      <c r="AU132" s="52">
        <f t="shared" si="112"/>
        <v>1.5649924183980588</v>
      </c>
      <c r="AV132" s="52">
        <f t="shared" si="112"/>
        <v>1.5742461424190088</v>
      </c>
      <c r="AW132" s="52">
        <f t="shared" si="112"/>
        <v>1.5834217495572969</v>
      </c>
      <c r="AX132" s="52">
        <f t="shared" si="112"/>
        <v>0</v>
      </c>
      <c r="AY132" s="52">
        <f t="shared" si="112"/>
        <v>0</v>
      </c>
      <c r="AZ132" s="52">
        <f t="shared" si="112"/>
        <v>0</v>
      </c>
      <c r="BA132" s="52">
        <f t="shared" si="112"/>
        <v>0</v>
      </c>
      <c r="BB132" s="52">
        <f t="shared" si="112"/>
        <v>0</v>
      </c>
      <c r="BC132" s="52">
        <f t="shared" si="112"/>
        <v>0</v>
      </c>
      <c r="BD132" s="52">
        <f t="shared" si="112"/>
        <v>0</v>
      </c>
      <c r="BE132" s="52">
        <f t="shared" si="112"/>
        <v>0</v>
      </c>
      <c r="BF132" s="52">
        <f t="shared" si="112"/>
        <v>0</v>
      </c>
      <c r="BG132" s="52">
        <f t="shared" si="112"/>
        <v>0</v>
      </c>
      <c r="BH132" s="52">
        <f t="shared" si="112"/>
        <v>0</v>
      </c>
      <c r="BI132" s="52">
        <f t="shared" si="112"/>
        <v>0</v>
      </c>
      <c r="BJ132" s="52">
        <f t="shared" si="112"/>
        <v>0</v>
      </c>
      <c r="BK132" s="52">
        <f t="shared" si="112"/>
        <v>0</v>
      </c>
      <c r="BL132" s="52">
        <f t="shared" si="112"/>
        <v>0</v>
      </c>
      <c r="BM132" s="52">
        <f t="shared" si="112"/>
        <v>0</v>
      </c>
      <c r="BN132" s="52">
        <f t="shared" si="112"/>
        <v>0</v>
      </c>
      <c r="BO132" s="52">
        <f t="shared" si="112"/>
        <v>0</v>
      </c>
      <c r="BP132" s="52">
        <f t="shared" si="112"/>
        <v>0</v>
      </c>
      <c r="BQ132" s="52">
        <f t="shared" si="112"/>
        <v>0</v>
      </c>
      <c r="BR132" s="52">
        <f t="shared" si="112"/>
        <v>0</v>
      </c>
      <c r="BS132" s="52">
        <f t="shared" si="113" ref="BS132:CK132">IF(BS35="","",BS35/$G35)</f>
        <v>0</v>
      </c>
      <c r="BT132" s="52">
        <f t="shared" si="113"/>
        <v>0</v>
      </c>
      <c r="BU132" s="52">
        <f t="shared" si="113"/>
        <v>0</v>
      </c>
      <c r="BV132" s="52">
        <f t="shared" si="113"/>
        <v>0</v>
      </c>
      <c r="BW132" s="52">
        <f t="shared" si="113"/>
        <v>0</v>
      </c>
      <c r="BX132" s="52">
        <f t="shared" si="113"/>
        <v>0</v>
      </c>
      <c r="BY132" s="52">
        <f t="shared" si="113"/>
        <v>0</v>
      </c>
      <c r="BZ132" s="52">
        <f t="shared" si="113"/>
        <v>0</v>
      </c>
      <c r="CA132" s="52">
        <f t="shared" si="113"/>
        <v>0</v>
      </c>
      <c r="CB132" s="52">
        <f t="shared" si="113"/>
        <v>0</v>
      </c>
      <c r="CC132" s="52">
        <f t="shared" si="113"/>
        <v>0</v>
      </c>
      <c r="CD132" s="52">
        <f t="shared" si="113"/>
        <v>0</v>
      </c>
      <c r="CE132" s="52">
        <f t="shared" si="113"/>
        <v>0</v>
      </c>
      <c r="CF132" s="52">
        <f t="shared" si="113"/>
        <v>0</v>
      </c>
      <c r="CG132" s="52">
        <f t="shared" si="113"/>
        <v>0</v>
      </c>
      <c r="CH132" s="52">
        <f t="shared" si="113"/>
        <v>0</v>
      </c>
      <c r="CI132" s="52">
        <f t="shared" si="113"/>
        <v>0</v>
      </c>
      <c r="CJ132" s="52">
        <f t="shared" si="113"/>
        <v>0</v>
      </c>
      <c r="CK132" s="52">
        <f t="shared" si="113"/>
        <v>0</v>
      </c>
    </row>
    <row r="133" spans="6:89" ht="14.5">
      <c r="F133" t="s">
        <v>131</v>
      </c>
      <c r="G133" s="52">
        <f t="shared" si="114" ref="G133:BR133">IF(G36="","",G36/$G36)</f>
        <v>1</v>
      </c>
      <c r="H133" s="52">
        <f t="shared" si="114"/>
        <v>1.0315129591769674</v>
      </c>
      <c r="I133" s="52">
        <f t="shared" si="114"/>
        <v>1.0494500048892368</v>
      </c>
      <c r="J133" s="52">
        <f t="shared" si="114"/>
        <v>1.0670358127501396</v>
      </c>
      <c r="K133" s="52">
        <f t="shared" si="114"/>
        <v>1.0840466739263699</v>
      </c>
      <c r="L133" s="52">
        <f t="shared" si="114"/>
        <v>1.1008843653333862</v>
      </c>
      <c r="M133" s="52">
        <f t="shared" si="114"/>
        <v>1.1173705894975636</v>
      </c>
      <c r="N133" s="52">
        <f t="shared" si="114"/>
        <v>1.1331031051336402</v>
      </c>
      <c r="O133" s="52">
        <f t="shared" si="114"/>
        <v>1.1489307644125362</v>
      </c>
      <c r="P133" s="52">
        <f t="shared" si="114"/>
        <v>1.1646300302652064</v>
      </c>
      <c r="Q133" s="52">
        <f t="shared" si="114"/>
        <v>1.1809608903510145</v>
      </c>
      <c r="R133" s="52">
        <f t="shared" si="114"/>
        <v>1.1972976296096471</v>
      </c>
      <c r="S133" s="52">
        <f t="shared" si="114"/>
        <v>1.2134614848405276</v>
      </c>
      <c r="T133" s="52">
        <f t="shared" si="114"/>
        <v>1.2297053522487835</v>
      </c>
      <c r="U133" s="52">
        <f t="shared" si="114"/>
        <v>1.2457349747753867</v>
      </c>
      <c r="V133" s="52">
        <f t="shared" si="114"/>
        <v>1.2618605967450491</v>
      </c>
      <c r="W133" s="52">
        <f t="shared" si="114"/>
        <v>1.2779034279052894</v>
      </c>
      <c r="X133" s="52">
        <f t="shared" si="114"/>
        <v>1.2935508186572615</v>
      </c>
      <c r="Y133" s="52">
        <f t="shared" si="114"/>
        <v>1.3088028541542984</v>
      </c>
      <c r="Z133" s="52">
        <f t="shared" si="114"/>
        <v>1.3240612794812103</v>
      </c>
      <c r="AA133" s="52">
        <f t="shared" si="114"/>
        <v>1.3392365719421413</v>
      </c>
      <c r="AB133" s="52">
        <f t="shared" si="114"/>
        <v>1.3538823689780772</v>
      </c>
      <c r="AC133" s="52">
        <f t="shared" si="114"/>
        <v>1.367953722947707</v>
      </c>
      <c r="AD133" s="52">
        <f t="shared" si="114"/>
        <v>1.3717521582100469</v>
      </c>
      <c r="AE133" s="52">
        <f t="shared" si="114"/>
        <v>1.3839602491678196</v>
      </c>
      <c r="AF133" s="52">
        <f t="shared" si="114"/>
        <v>1.3975321129612734</v>
      </c>
      <c r="AG133" s="52">
        <f t="shared" si="114"/>
        <v>1.4108421225850349</v>
      </c>
      <c r="AH133" s="52">
        <f t="shared" si="114"/>
        <v>1.4238699866881876</v>
      </c>
      <c r="AI133" s="52">
        <f t="shared" si="114"/>
        <v>1.4366055478753874</v>
      </c>
      <c r="AJ133" s="52">
        <f t="shared" si="114"/>
        <v>1.4490166860192919</v>
      </c>
      <c r="AK133" s="52">
        <f t="shared" si="114"/>
        <v>1.461082427928682</v>
      </c>
      <c r="AL133" s="52">
        <f t="shared" si="114"/>
        <v>1.4727476714985288</v>
      </c>
      <c r="AM133" s="52">
        <f t="shared" si="114"/>
        <v>1.4840090076234269</v>
      </c>
      <c r="AN133" s="52">
        <f t="shared" si="114"/>
        <v>1.4948687713038689</v>
      </c>
      <c r="AO133" s="52">
        <f t="shared" si="114"/>
        <v>1.5056714426178126</v>
      </c>
      <c r="AP133" s="52">
        <f t="shared" si="114"/>
        <v>1.5161612821165205</v>
      </c>
      <c r="AQ133" s="52">
        <f t="shared" si="114"/>
        <v>1.526368264106053</v>
      </c>
      <c r="AR133" s="52">
        <f t="shared" si="114"/>
        <v>1.536333554380453</v>
      </c>
      <c r="AS133" s="52">
        <f t="shared" si="114"/>
        <v>1.5460783913069491</v>
      </c>
      <c r="AT133" s="52">
        <f t="shared" si="114"/>
        <v>1.5556165843768528</v>
      </c>
      <c r="AU133" s="52">
        <f t="shared" si="114"/>
        <v>1.564992418398059</v>
      </c>
      <c r="AV133" s="52">
        <f t="shared" si="114"/>
        <v>1.5742461424190088</v>
      </c>
      <c r="AW133" s="52">
        <f t="shared" si="114"/>
        <v>1.5834217495572966</v>
      </c>
      <c r="AX133" s="52">
        <f t="shared" si="114"/>
        <v>0</v>
      </c>
      <c r="AY133" s="52">
        <f t="shared" si="114"/>
        <v>0</v>
      </c>
      <c r="AZ133" s="52">
        <f t="shared" si="114"/>
        <v>0</v>
      </c>
      <c r="BA133" s="52">
        <f t="shared" si="114"/>
        <v>0</v>
      </c>
      <c r="BB133" s="52">
        <f t="shared" si="114"/>
        <v>0</v>
      </c>
      <c r="BC133" s="52">
        <f t="shared" si="114"/>
        <v>0</v>
      </c>
      <c r="BD133" s="52">
        <f t="shared" si="114"/>
        <v>0</v>
      </c>
      <c r="BE133" s="52">
        <f t="shared" si="114"/>
        <v>0</v>
      </c>
      <c r="BF133" s="52">
        <f t="shared" si="114"/>
        <v>0</v>
      </c>
      <c r="BG133" s="52">
        <f t="shared" si="114"/>
        <v>0</v>
      </c>
      <c r="BH133" s="52">
        <f t="shared" si="114"/>
        <v>0</v>
      </c>
      <c r="BI133" s="52">
        <f t="shared" si="114"/>
        <v>0</v>
      </c>
      <c r="BJ133" s="52">
        <f t="shared" si="114"/>
        <v>0</v>
      </c>
      <c r="BK133" s="52">
        <f t="shared" si="114"/>
        <v>0</v>
      </c>
      <c r="BL133" s="52">
        <f t="shared" si="114"/>
        <v>0</v>
      </c>
      <c r="BM133" s="52">
        <f t="shared" si="114"/>
        <v>0</v>
      </c>
      <c r="BN133" s="52">
        <f t="shared" si="114"/>
        <v>0</v>
      </c>
      <c r="BO133" s="52">
        <f t="shared" si="114"/>
        <v>0</v>
      </c>
      <c r="BP133" s="52">
        <f t="shared" si="114"/>
        <v>0</v>
      </c>
      <c r="BQ133" s="52">
        <f t="shared" si="114"/>
        <v>0</v>
      </c>
      <c r="BR133" s="52">
        <f t="shared" si="114"/>
        <v>0</v>
      </c>
      <c r="BS133" s="52">
        <f t="shared" si="115" ref="BS133:CK133">IF(BS36="","",BS36/$G36)</f>
        <v>0</v>
      </c>
      <c r="BT133" s="52">
        <f t="shared" si="115"/>
        <v>0</v>
      </c>
      <c r="BU133" s="52">
        <f t="shared" si="115"/>
        <v>0</v>
      </c>
      <c r="BV133" s="52">
        <f t="shared" si="115"/>
        <v>0</v>
      </c>
      <c r="BW133" s="52">
        <f t="shared" si="115"/>
        <v>0</v>
      </c>
      <c r="BX133" s="52">
        <f t="shared" si="115"/>
        <v>0</v>
      </c>
      <c r="BY133" s="52">
        <f t="shared" si="115"/>
        <v>0</v>
      </c>
      <c r="BZ133" s="52">
        <f t="shared" si="115"/>
        <v>0</v>
      </c>
      <c r="CA133" s="52">
        <f t="shared" si="115"/>
        <v>0</v>
      </c>
      <c r="CB133" s="52">
        <f t="shared" si="115"/>
        <v>0</v>
      </c>
      <c r="CC133" s="52">
        <f t="shared" si="115"/>
        <v>0</v>
      </c>
      <c r="CD133" s="52">
        <f t="shared" si="115"/>
        <v>0</v>
      </c>
      <c r="CE133" s="52">
        <f t="shared" si="115"/>
        <v>0</v>
      </c>
      <c r="CF133" s="52">
        <f t="shared" si="115"/>
        <v>0</v>
      </c>
      <c r="CG133" s="52">
        <f t="shared" si="115"/>
        <v>0</v>
      </c>
      <c r="CH133" s="52">
        <f t="shared" si="115"/>
        <v>0</v>
      </c>
      <c r="CI133" s="52">
        <f t="shared" si="115"/>
        <v>0</v>
      </c>
      <c r="CJ133" s="52">
        <f t="shared" si="115"/>
        <v>0</v>
      </c>
      <c r="CK133" s="52">
        <f t="shared" si="115"/>
        <v>0</v>
      </c>
    </row>
    <row r="134" spans="6:89" ht="14.5">
      <c r="F134" t="s">
        <v>132</v>
      </c>
      <c r="G134" s="52">
        <f t="shared" si="116" ref="G134:BR134">IF(G37="","",G37/$G37)</f>
        <v>1</v>
      </c>
      <c r="H134" s="52">
        <f t="shared" si="116"/>
        <v>1.0315129591769674</v>
      </c>
      <c r="I134" s="52">
        <f t="shared" si="116"/>
        <v>1.049450004889237</v>
      </c>
      <c r="J134" s="52">
        <f t="shared" si="116"/>
        <v>1.0670358127501398</v>
      </c>
      <c r="K134" s="52">
        <f t="shared" si="116"/>
        <v>1.0840466739263699</v>
      </c>
      <c r="L134" s="52">
        <f t="shared" si="116"/>
        <v>1.100884365333386</v>
      </c>
      <c r="M134" s="52">
        <f t="shared" si="116"/>
        <v>1.1173705894975634</v>
      </c>
      <c r="N134" s="52">
        <f t="shared" si="116"/>
        <v>1.1331031051336402</v>
      </c>
      <c r="O134" s="52">
        <f t="shared" si="116"/>
        <v>1.1489307644125362</v>
      </c>
      <c r="P134" s="52">
        <f t="shared" si="116"/>
        <v>1.1646300302652064</v>
      </c>
      <c r="Q134" s="52">
        <f t="shared" si="116"/>
        <v>1.1809608903510143</v>
      </c>
      <c r="R134" s="52">
        <f t="shared" si="116"/>
        <v>1.1972976296096471</v>
      </c>
      <c r="S134" s="52">
        <f t="shared" si="116"/>
        <v>1.2134614848405276</v>
      </c>
      <c r="T134" s="52">
        <f t="shared" si="116"/>
        <v>1.2297053522487835</v>
      </c>
      <c r="U134" s="52">
        <f t="shared" si="116"/>
        <v>1.2457349747753865</v>
      </c>
      <c r="V134" s="52">
        <f t="shared" si="116"/>
        <v>1.2618605967450491</v>
      </c>
      <c r="W134" s="52">
        <f t="shared" si="116"/>
        <v>1.2779034279052897</v>
      </c>
      <c r="X134" s="52">
        <f t="shared" si="116"/>
        <v>1.2935508186572615</v>
      </c>
      <c r="Y134" s="52">
        <f t="shared" si="116"/>
        <v>1.3088028541542982</v>
      </c>
      <c r="Z134" s="52">
        <f t="shared" si="116"/>
        <v>1.3240612794812101</v>
      </c>
      <c r="AA134" s="52">
        <f t="shared" si="116"/>
        <v>1.3392365719421413</v>
      </c>
      <c r="AB134" s="52">
        <f t="shared" si="116"/>
        <v>1.3538823689780772</v>
      </c>
      <c r="AC134" s="52">
        <f t="shared" si="116"/>
        <v>1.3679537229477068</v>
      </c>
      <c r="AD134" s="52">
        <f t="shared" si="116"/>
        <v>1.3717521582100467</v>
      </c>
      <c r="AE134" s="52">
        <f t="shared" si="116"/>
        <v>1.3839602491678196</v>
      </c>
      <c r="AF134" s="52">
        <f t="shared" si="116"/>
        <v>1.3975321129612737</v>
      </c>
      <c r="AG134" s="52">
        <f t="shared" si="116"/>
        <v>1.4108421225850349</v>
      </c>
      <c r="AH134" s="52">
        <f t="shared" si="116"/>
        <v>1.4238699866881874</v>
      </c>
      <c r="AI134" s="52">
        <f t="shared" si="116"/>
        <v>1.4366055478753874</v>
      </c>
      <c r="AJ134" s="52">
        <f t="shared" si="116"/>
        <v>1.4490166860192917</v>
      </c>
      <c r="AK134" s="52">
        <f t="shared" si="116"/>
        <v>1.461082427928682</v>
      </c>
      <c r="AL134" s="52">
        <f t="shared" si="116"/>
        <v>1.4727476714985288</v>
      </c>
      <c r="AM134" s="52">
        <f t="shared" si="116"/>
        <v>1.4840090076234267</v>
      </c>
      <c r="AN134" s="52">
        <f t="shared" si="116"/>
        <v>1.4948687713038691</v>
      </c>
      <c r="AO134" s="52">
        <f t="shared" si="116"/>
        <v>1.5056714426178124</v>
      </c>
      <c r="AP134" s="52">
        <f t="shared" si="116"/>
        <v>1.5161612821165202</v>
      </c>
      <c r="AQ134" s="52">
        <f t="shared" si="116"/>
        <v>1.5263682641060528</v>
      </c>
      <c r="AR134" s="52">
        <f t="shared" si="116"/>
        <v>1.536333554380453</v>
      </c>
      <c r="AS134" s="52">
        <f t="shared" si="116"/>
        <v>1.5460783913069489</v>
      </c>
      <c r="AT134" s="52">
        <f t="shared" si="116"/>
        <v>1.5556165843768528</v>
      </c>
      <c r="AU134" s="52">
        <f t="shared" si="116"/>
        <v>1.5649924183980588</v>
      </c>
      <c r="AV134" s="52">
        <f t="shared" si="116"/>
        <v>1.5742461424190091</v>
      </c>
      <c r="AW134" s="52">
        <f t="shared" si="116"/>
        <v>1.5834217495572966</v>
      </c>
      <c r="AX134" s="52">
        <f t="shared" si="116"/>
        <v>0</v>
      </c>
      <c r="AY134" s="52">
        <f t="shared" si="116"/>
        <v>0</v>
      </c>
      <c r="AZ134" s="52">
        <f t="shared" si="116"/>
        <v>0</v>
      </c>
      <c r="BA134" s="52">
        <f t="shared" si="116"/>
        <v>0</v>
      </c>
      <c r="BB134" s="52">
        <f t="shared" si="116"/>
        <v>0</v>
      </c>
      <c r="BC134" s="52">
        <f t="shared" si="116"/>
        <v>0</v>
      </c>
      <c r="BD134" s="52">
        <f t="shared" si="116"/>
        <v>0</v>
      </c>
      <c r="BE134" s="52">
        <f t="shared" si="116"/>
        <v>0</v>
      </c>
      <c r="BF134" s="52">
        <f t="shared" si="116"/>
        <v>0</v>
      </c>
      <c r="BG134" s="52">
        <f t="shared" si="116"/>
        <v>0</v>
      </c>
      <c r="BH134" s="52">
        <f t="shared" si="116"/>
        <v>0</v>
      </c>
      <c r="BI134" s="52">
        <f t="shared" si="116"/>
        <v>0</v>
      </c>
      <c r="BJ134" s="52">
        <f t="shared" si="116"/>
        <v>0</v>
      </c>
      <c r="BK134" s="52">
        <f t="shared" si="116"/>
        <v>0</v>
      </c>
      <c r="BL134" s="52">
        <f t="shared" si="116"/>
        <v>0</v>
      </c>
      <c r="BM134" s="52">
        <f t="shared" si="116"/>
        <v>0</v>
      </c>
      <c r="BN134" s="52">
        <f t="shared" si="116"/>
        <v>0</v>
      </c>
      <c r="BO134" s="52">
        <f t="shared" si="116"/>
        <v>0</v>
      </c>
      <c r="BP134" s="52">
        <f t="shared" si="116"/>
        <v>0</v>
      </c>
      <c r="BQ134" s="52">
        <f t="shared" si="116"/>
        <v>0</v>
      </c>
      <c r="BR134" s="52">
        <f t="shared" si="116"/>
        <v>0</v>
      </c>
      <c r="BS134" s="52">
        <f t="shared" si="117" ref="BS134:CK134">IF(BS37="","",BS37/$G37)</f>
        <v>0</v>
      </c>
      <c r="BT134" s="52">
        <f t="shared" si="117"/>
        <v>0</v>
      </c>
      <c r="BU134" s="52">
        <f t="shared" si="117"/>
        <v>0</v>
      </c>
      <c r="BV134" s="52">
        <f t="shared" si="117"/>
        <v>0</v>
      </c>
      <c r="BW134" s="52">
        <f t="shared" si="117"/>
        <v>0</v>
      </c>
      <c r="BX134" s="52">
        <f t="shared" si="117"/>
        <v>0</v>
      </c>
      <c r="BY134" s="52">
        <f t="shared" si="117"/>
        <v>0</v>
      </c>
      <c r="BZ134" s="52">
        <f t="shared" si="117"/>
        <v>0</v>
      </c>
      <c r="CA134" s="52">
        <f t="shared" si="117"/>
        <v>0</v>
      </c>
      <c r="CB134" s="52">
        <f t="shared" si="117"/>
        <v>0</v>
      </c>
      <c r="CC134" s="52">
        <f t="shared" si="117"/>
        <v>0</v>
      </c>
      <c r="CD134" s="52">
        <f t="shared" si="117"/>
        <v>0</v>
      </c>
      <c r="CE134" s="52">
        <f t="shared" si="117"/>
        <v>0</v>
      </c>
      <c r="CF134" s="52">
        <f t="shared" si="117"/>
        <v>0</v>
      </c>
      <c r="CG134" s="52">
        <f t="shared" si="117"/>
        <v>0</v>
      </c>
      <c r="CH134" s="52">
        <f t="shared" si="117"/>
        <v>0</v>
      </c>
      <c r="CI134" s="52">
        <f t="shared" si="117"/>
        <v>0</v>
      </c>
      <c r="CJ134" s="52">
        <f t="shared" si="117"/>
        <v>0</v>
      </c>
      <c r="CK134" s="52">
        <f t="shared" si="117"/>
        <v>0</v>
      </c>
    </row>
    <row r="135" spans="6:89" ht="14.5">
      <c r="F135" t="s">
        <v>133</v>
      </c>
      <c r="G135" s="52">
        <f t="shared" si="118" ref="G135:BR135">IF(G38="","",G38/$G38)</f>
        <v>1</v>
      </c>
      <c r="H135" s="52">
        <f t="shared" si="118"/>
        <v>1.0315129591769672</v>
      </c>
      <c r="I135" s="52">
        <f t="shared" si="118"/>
        <v>1.049450004889237</v>
      </c>
      <c r="J135" s="52">
        <f t="shared" si="118"/>
        <v>1.0670358127501398</v>
      </c>
      <c r="K135" s="52">
        <f t="shared" si="118"/>
        <v>1.0840466739263699</v>
      </c>
      <c r="L135" s="52">
        <f t="shared" si="118"/>
        <v>1.100884365333386</v>
      </c>
      <c r="M135" s="52">
        <f t="shared" si="118"/>
        <v>1.1173705894975636</v>
      </c>
      <c r="N135" s="52">
        <f t="shared" si="118"/>
        <v>1.1331031051336404</v>
      </c>
      <c r="O135" s="52">
        <f t="shared" si="118"/>
        <v>1.1489307644125359</v>
      </c>
      <c r="P135" s="52">
        <f t="shared" si="118"/>
        <v>1.1646300302652064</v>
      </c>
      <c r="Q135" s="52">
        <f t="shared" si="118"/>
        <v>1.1809608903510143</v>
      </c>
      <c r="R135" s="52">
        <f t="shared" si="118"/>
        <v>1.1972976296096471</v>
      </c>
      <c r="S135" s="52">
        <f t="shared" si="118"/>
        <v>1.2134614848405276</v>
      </c>
      <c r="T135" s="52">
        <f t="shared" si="118"/>
        <v>1.2297053522487837</v>
      </c>
      <c r="U135" s="52">
        <f t="shared" si="118"/>
        <v>1.2457349747753865</v>
      </c>
      <c r="V135" s="52">
        <f t="shared" si="118"/>
        <v>1.2618605967450491</v>
      </c>
      <c r="W135" s="52">
        <f t="shared" si="118"/>
        <v>1.2779034279052897</v>
      </c>
      <c r="X135" s="52">
        <f t="shared" si="118"/>
        <v>1.2935508186572615</v>
      </c>
      <c r="Y135" s="52">
        <f t="shared" si="118"/>
        <v>1.308802854154298</v>
      </c>
      <c r="Z135" s="52">
        <f t="shared" si="118"/>
        <v>1.3240612794812101</v>
      </c>
      <c r="AA135" s="52">
        <f t="shared" si="118"/>
        <v>1.3392365719421415</v>
      </c>
      <c r="AB135" s="52">
        <f t="shared" si="118"/>
        <v>1.3538823689780772</v>
      </c>
      <c r="AC135" s="52">
        <f t="shared" si="118"/>
        <v>1.3679537229477068</v>
      </c>
      <c r="AD135" s="52">
        <f t="shared" si="118"/>
        <v>1.3717521582100469</v>
      </c>
      <c r="AE135" s="52">
        <f t="shared" si="118"/>
        <v>1.3839602491678196</v>
      </c>
      <c r="AF135" s="52">
        <f t="shared" si="118"/>
        <v>1.3975321129612737</v>
      </c>
      <c r="AG135" s="52">
        <f t="shared" si="118"/>
        <v>1.4108421225850349</v>
      </c>
      <c r="AH135" s="52">
        <f t="shared" si="118"/>
        <v>1.4238699866881874</v>
      </c>
      <c r="AI135" s="52">
        <f t="shared" si="118"/>
        <v>1.4366055478753874</v>
      </c>
      <c r="AJ135" s="52">
        <f t="shared" si="118"/>
        <v>1.4490166860192919</v>
      </c>
      <c r="AK135" s="52">
        <f t="shared" si="118"/>
        <v>1.4610824279286823</v>
      </c>
      <c r="AL135" s="52">
        <f t="shared" si="118"/>
        <v>1.4727476714985288</v>
      </c>
      <c r="AM135" s="52">
        <f t="shared" si="118"/>
        <v>1.4840090076234267</v>
      </c>
      <c r="AN135" s="52">
        <f t="shared" si="118"/>
        <v>1.4948687713038689</v>
      </c>
      <c r="AO135" s="52">
        <f t="shared" si="118"/>
        <v>1.5056714426178126</v>
      </c>
      <c r="AP135" s="52">
        <f t="shared" si="118"/>
        <v>1.5161612821165205</v>
      </c>
      <c r="AQ135" s="52">
        <f t="shared" si="118"/>
        <v>1.526368264106053</v>
      </c>
      <c r="AR135" s="52">
        <f t="shared" si="118"/>
        <v>1.5363335543804528</v>
      </c>
      <c r="AS135" s="52">
        <f t="shared" si="118"/>
        <v>1.5460783913069491</v>
      </c>
      <c r="AT135" s="52">
        <f t="shared" si="118"/>
        <v>1.5556165843768528</v>
      </c>
      <c r="AU135" s="52">
        <f t="shared" si="118"/>
        <v>1.5649924183980588</v>
      </c>
      <c r="AV135" s="52">
        <f t="shared" si="118"/>
        <v>1.5742461424190088</v>
      </c>
      <c r="AW135" s="52">
        <f t="shared" si="118"/>
        <v>1.5834217495572966</v>
      </c>
      <c r="AX135" s="52">
        <f t="shared" si="118"/>
        <v>0</v>
      </c>
      <c r="AY135" s="52">
        <f t="shared" si="118"/>
        <v>0</v>
      </c>
      <c r="AZ135" s="52">
        <f t="shared" si="118"/>
        <v>0</v>
      </c>
      <c r="BA135" s="52">
        <f t="shared" si="118"/>
        <v>0</v>
      </c>
      <c r="BB135" s="52">
        <f t="shared" si="118"/>
        <v>0</v>
      </c>
      <c r="BC135" s="52">
        <f t="shared" si="118"/>
        <v>0</v>
      </c>
      <c r="BD135" s="52">
        <f t="shared" si="118"/>
        <v>0</v>
      </c>
      <c r="BE135" s="52">
        <f t="shared" si="118"/>
        <v>0</v>
      </c>
      <c r="BF135" s="52">
        <f t="shared" si="118"/>
        <v>0</v>
      </c>
      <c r="BG135" s="52">
        <f t="shared" si="118"/>
        <v>0</v>
      </c>
      <c r="BH135" s="52">
        <f t="shared" si="118"/>
        <v>0</v>
      </c>
      <c r="BI135" s="52">
        <f t="shared" si="118"/>
        <v>0</v>
      </c>
      <c r="BJ135" s="52">
        <f t="shared" si="118"/>
        <v>0</v>
      </c>
      <c r="BK135" s="52">
        <f t="shared" si="118"/>
        <v>0</v>
      </c>
      <c r="BL135" s="52">
        <f t="shared" si="118"/>
        <v>0</v>
      </c>
      <c r="BM135" s="52">
        <f t="shared" si="118"/>
        <v>0</v>
      </c>
      <c r="BN135" s="52">
        <f t="shared" si="118"/>
        <v>0</v>
      </c>
      <c r="BO135" s="52">
        <f t="shared" si="118"/>
        <v>0</v>
      </c>
      <c r="BP135" s="52">
        <f t="shared" si="118"/>
        <v>0</v>
      </c>
      <c r="BQ135" s="52">
        <f t="shared" si="118"/>
        <v>0</v>
      </c>
      <c r="BR135" s="52">
        <f t="shared" si="118"/>
        <v>0</v>
      </c>
      <c r="BS135" s="52">
        <f t="shared" si="119" ref="BS135:CK135">IF(BS38="","",BS38/$G38)</f>
        <v>0</v>
      </c>
      <c r="BT135" s="52">
        <f t="shared" si="119"/>
        <v>0</v>
      </c>
      <c r="BU135" s="52">
        <f t="shared" si="119"/>
        <v>0</v>
      </c>
      <c r="BV135" s="52">
        <f t="shared" si="119"/>
        <v>0</v>
      </c>
      <c r="BW135" s="52">
        <f t="shared" si="119"/>
        <v>0</v>
      </c>
      <c r="BX135" s="52">
        <f t="shared" si="119"/>
        <v>0</v>
      </c>
      <c r="BY135" s="52">
        <f t="shared" si="119"/>
        <v>0</v>
      </c>
      <c r="BZ135" s="52">
        <f t="shared" si="119"/>
        <v>0</v>
      </c>
      <c r="CA135" s="52">
        <f t="shared" si="119"/>
        <v>0</v>
      </c>
      <c r="CB135" s="52">
        <f t="shared" si="119"/>
        <v>0</v>
      </c>
      <c r="CC135" s="52">
        <f t="shared" si="119"/>
        <v>0</v>
      </c>
      <c r="CD135" s="52">
        <f t="shared" si="119"/>
        <v>0</v>
      </c>
      <c r="CE135" s="52">
        <f t="shared" si="119"/>
        <v>0</v>
      </c>
      <c r="CF135" s="52">
        <f t="shared" si="119"/>
        <v>0</v>
      </c>
      <c r="CG135" s="52">
        <f t="shared" si="119"/>
        <v>0</v>
      </c>
      <c r="CH135" s="52">
        <f t="shared" si="119"/>
        <v>0</v>
      </c>
      <c r="CI135" s="52">
        <f t="shared" si="119"/>
        <v>0</v>
      </c>
      <c r="CJ135" s="52">
        <f t="shared" si="119"/>
        <v>0</v>
      </c>
      <c r="CK135" s="52">
        <f t="shared" si="119"/>
        <v>0</v>
      </c>
    </row>
    <row r="136" spans="6:89" ht="14.5">
      <c r="F136" t="s">
        <v>134</v>
      </c>
      <c r="G136" s="52" t="e">
        <f t="shared" si="120" ref="G136:BR136">IF(G39="","",G39/$G39)</f>
        <v>#DIV/0!</v>
      </c>
      <c r="H136" s="52" t="e">
        <f t="shared" si="120"/>
        <v>#DIV/0!</v>
      </c>
      <c r="I136" s="52" t="e">
        <f t="shared" si="120"/>
        <v>#DIV/0!</v>
      </c>
      <c r="J136" s="52" t="e">
        <f t="shared" si="120"/>
        <v>#DIV/0!</v>
      </c>
      <c r="K136" s="52" t="e">
        <f t="shared" si="120"/>
        <v>#DIV/0!</v>
      </c>
      <c r="L136" s="52" t="e">
        <f t="shared" si="120"/>
        <v>#DIV/0!</v>
      </c>
      <c r="M136" s="52" t="e">
        <f t="shared" si="120"/>
        <v>#DIV/0!</v>
      </c>
      <c r="N136" s="52" t="e">
        <f t="shared" si="120"/>
        <v>#DIV/0!</v>
      </c>
      <c r="O136" s="52" t="e">
        <f t="shared" si="120"/>
        <v>#DIV/0!</v>
      </c>
      <c r="P136" s="52" t="e">
        <f t="shared" si="120"/>
        <v>#DIV/0!</v>
      </c>
      <c r="Q136" s="52" t="e">
        <f t="shared" si="120"/>
        <v>#DIV/0!</v>
      </c>
      <c r="R136" s="52" t="e">
        <f t="shared" si="120"/>
        <v>#DIV/0!</v>
      </c>
      <c r="S136" s="52" t="e">
        <f t="shared" si="120"/>
        <v>#DIV/0!</v>
      </c>
      <c r="T136" s="52" t="e">
        <f t="shared" si="120"/>
        <v>#DIV/0!</v>
      </c>
      <c r="U136" s="52" t="e">
        <f t="shared" si="120"/>
        <v>#DIV/0!</v>
      </c>
      <c r="V136" s="52" t="e">
        <f t="shared" si="120"/>
        <v>#DIV/0!</v>
      </c>
      <c r="W136" s="52" t="e">
        <f t="shared" si="120"/>
        <v>#DIV/0!</v>
      </c>
      <c r="X136" s="52" t="e">
        <f t="shared" si="120"/>
        <v>#DIV/0!</v>
      </c>
      <c r="Y136" s="52" t="e">
        <f t="shared" si="120"/>
        <v>#DIV/0!</v>
      </c>
      <c r="Z136" s="52" t="e">
        <f t="shared" si="120"/>
        <v>#DIV/0!</v>
      </c>
      <c r="AA136" s="52" t="e">
        <f t="shared" si="120"/>
        <v>#DIV/0!</v>
      </c>
      <c r="AB136" s="52" t="e">
        <f t="shared" si="120"/>
        <v>#DIV/0!</v>
      </c>
      <c r="AC136" s="52" t="e">
        <f t="shared" si="120"/>
        <v>#DIV/0!</v>
      </c>
      <c r="AD136" s="52" t="e">
        <f t="shared" si="120"/>
        <v>#DIV/0!</v>
      </c>
      <c r="AE136" s="52" t="e">
        <f t="shared" si="120"/>
        <v>#DIV/0!</v>
      </c>
      <c r="AF136" s="52" t="e">
        <f t="shared" si="120"/>
        <v>#DIV/0!</v>
      </c>
      <c r="AG136" s="52" t="e">
        <f t="shared" si="120"/>
        <v>#DIV/0!</v>
      </c>
      <c r="AH136" s="52" t="e">
        <f t="shared" si="120"/>
        <v>#DIV/0!</v>
      </c>
      <c r="AI136" s="52" t="e">
        <f t="shared" si="120"/>
        <v>#DIV/0!</v>
      </c>
      <c r="AJ136" s="52" t="e">
        <f t="shared" si="120"/>
        <v>#DIV/0!</v>
      </c>
      <c r="AK136" s="52" t="e">
        <f t="shared" si="120"/>
        <v>#DIV/0!</v>
      </c>
      <c r="AL136" s="52" t="e">
        <f t="shared" si="120"/>
        <v>#DIV/0!</v>
      </c>
      <c r="AM136" s="52" t="e">
        <f t="shared" si="120"/>
        <v>#DIV/0!</v>
      </c>
      <c r="AN136" s="52" t="e">
        <f t="shared" si="120"/>
        <v>#DIV/0!</v>
      </c>
      <c r="AO136" s="52" t="e">
        <f t="shared" si="120"/>
        <v>#DIV/0!</v>
      </c>
      <c r="AP136" s="52" t="e">
        <f t="shared" si="120"/>
        <v>#DIV/0!</v>
      </c>
      <c r="AQ136" s="52" t="e">
        <f t="shared" si="120"/>
        <v>#DIV/0!</v>
      </c>
      <c r="AR136" s="52" t="e">
        <f t="shared" si="120"/>
        <v>#DIV/0!</v>
      </c>
      <c r="AS136" s="52" t="e">
        <f t="shared" si="120"/>
        <v>#DIV/0!</v>
      </c>
      <c r="AT136" s="52" t="e">
        <f t="shared" si="120"/>
        <v>#DIV/0!</v>
      </c>
      <c r="AU136" s="52" t="e">
        <f t="shared" si="120"/>
        <v>#DIV/0!</v>
      </c>
      <c r="AV136" s="52" t="e">
        <f t="shared" si="120"/>
        <v>#DIV/0!</v>
      </c>
      <c r="AW136" s="52" t="e">
        <f t="shared" si="120"/>
        <v>#DIV/0!</v>
      </c>
      <c r="AX136" s="52" t="e">
        <f t="shared" si="120"/>
        <v>#DIV/0!</v>
      </c>
      <c r="AY136" s="52" t="e">
        <f t="shared" si="120"/>
        <v>#DIV/0!</v>
      </c>
      <c r="AZ136" s="52" t="e">
        <f t="shared" si="120"/>
        <v>#DIV/0!</v>
      </c>
      <c r="BA136" s="52" t="e">
        <f t="shared" si="120"/>
        <v>#DIV/0!</v>
      </c>
      <c r="BB136" s="52" t="e">
        <f t="shared" si="120"/>
        <v>#DIV/0!</v>
      </c>
      <c r="BC136" s="52" t="e">
        <f t="shared" si="120"/>
        <v>#DIV/0!</v>
      </c>
      <c r="BD136" s="52" t="e">
        <f t="shared" si="120"/>
        <v>#DIV/0!</v>
      </c>
      <c r="BE136" s="52" t="e">
        <f t="shared" si="120"/>
        <v>#DIV/0!</v>
      </c>
      <c r="BF136" s="52" t="e">
        <f t="shared" si="120"/>
        <v>#DIV/0!</v>
      </c>
      <c r="BG136" s="52" t="e">
        <f t="shared" si="120"/>
        <v>#DIV/0!</v>
      </c>
      <c r="BH136" s="52" t="e">
        <f t="shared" si="120"/>
        <v>#DIV/0!</v>
      </c>
      <c r="BI136" s="52" t="e">
        <f t="shared" si="120"/>
        <v>#DIV/0!</v>
      </c>
      <c r="BJ136" s="52" t="e">
        <f t="shared" si="120"/>
        <v>#DIV/0!</v>
      </c>
      <c r="BK136" s="52" t="e">
        <f t="shared" si="120"/>
        <v>#DIV/0!</v>
      </c>
      <c r="BL136" s="52" t="e">
        <f t="shared" si="120"/>
        <v>#DIV/0!</v>
      </c>
      <c r="BM136" s="52" t="e">
        <f t="shared" si="120"/>
        <v>#DIV/0!</v>
      </c>
      <c r="BN136" s="52" t="e">
        <f t="shared" si="120"/>
        <v>#DIV/0!</v>
      </c>
      <c r="BO136" s="52" t="e">
        <f t="shared" si="120"/>
        <v>#DIV/0!</v>
      </c>
      <c r="BP136" s="52" t="e">
        <f t="shared" si="120"/>
        <v>#DIV/0!</v>
      </c>
      <c r="BQ136" s="52" t="e">
        <f t="shared" si="120"/>
        <v>#DIV/0!</v>
      </c>
      <c r="BR136" s="52" t="e">
        <f t="shared" si="120"/>
        <v>#DIV/0!</v>
      </c>
      <c r="BS136" s="52" t="e">
        <f t="shared" si="121" ref="BS136:CK136">IF(BS39="","",BS39/$G39)</f>
        <v>#DIV/0!</v>
      </c>
      <c r="BT136" s="52" t="e">
        <f t="shared" si="121"/>
        <v>#DIV/0!</v>
      </c>
      <c r="BU136" s="52" t="e">
        <f t="shared" si="121"/>
        <v>#DIV/0!</v>
      </c>
      <c r="BV136" s="52" t="e">
        <f t="shared" si="121"/>
        <v>#DIV/0!</v>
      </c>
      <c r="BW136" s="52" t="e">
        <f t="shared" si="121"/>
        <v>#DIV/0!</v>
      </c>
      <c r="BX136" s="52" t="e">
        <f t="shared" si="121"/>
        <v>#DIV/0!</v>
      </c>
      <c r="BY136" s="52" t="e">
        <f t="shared" si="121"/>
        <v>#DIV/0!</v>
      </c>
      <c r="BZ136" s="52" t="e">
        <f t="shared" si="121"/>
        <v>#DIV/0!</v>
      </c>
      <c r="CA136" s="52" t="e">
        <f t="shared" si="121"/>
        <v>#DIV/0!</v>
      </c>
      <c r="CB136" s="52" t="e">
        <f t="shared" si="121"/>
        <v>#DIV/0!</v>
      </c>
      <c r="CC136" s="52" t="e">
        <f t="shared" si="121"/>
        <v>#DIV/0!</v>
      </c>
      <c r="CD136" s="52" t="e">
        <f t="shared" si="121"/>
        <v>#DIV/0!</v>
      </c>
      <c r="CE136" s="52" t="e">
        <f t="shared" si="121"/>
        <v>#DIV/0!</v>
      </c>
      <c r="CF136" s="52" t="e">
        <f t="shared" si="121"/>
        <v>#DIV/0!</v>
      </c>
      <c r="CG136" s="52" t="e">
        <f t="shared" si="121"/>
        <v>#DIV/0!</v>
      </c>
      <c r="CH136" s="52" t="e">
        <f t="shared" si="121"/>
        <v>#DIV/0!</v>
      </c>
      <c r="CI136" s="52" t="e">
        <f t="shared" si="121"/>
        <v>#DIV/0!</v>
      </c>
      <c r="CJ136" s="52" t="e">
        <f t="shared" si="121"/>
        <v>#DIV/0!</v>
      </c>
      <c r="CK136" s="52" t="e">
        <f t="shared" si="121"/>
        <v>#DIV/0!</v>
      </c>
    </row>
  </sheetData>
  <pageMargins left="0.7" right="0.7" top="0.75" bottom="0.75" header="0.3" footer="0.3"/>
  <pageSetup orientation="portrait" paperSize="9" r:id="rId5"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9A8DF32-5305-4E92-BF14-F7D2A8FEFC4E}">
  <dimension ref="B2:AN65"/>
  <sheetViews>
    <sheetView zoomScale="80" zoomScaleNormal="80" workbookViewId="0" topLeftCell="A1">
      <selection pane="topLeft" activeCell="E24" sqref="E24"/>
    </sheetView>
  </sheetViews>
  <sheetFormatPr defaultRowHeight="14.5"/>
  <cols>
    <col min="2" max="2" width="36.8571428571429" customWidth="1"/>
    <col min="3" max="3" width="16.4285714285714" customWidth="1"/>
    <col min="4" max="4" width="17.4285714285714" customWidth="1"/>
    <col min="5" max="5" width="12.8571428571429" customWidth="1"/>
    <col min="6" max="6" width="14" customWidth="1"/>
  </cols>
  <sheetData>
    <row r="2" spans="2:13" ht="17" customHeight="1">
      <c r="B2" t="s">
        <v>0</v>
      </c>
      <c r="C2" t="s">
        <v>1</v>
      </c>
      <c r="G2" s="33"/>
      <c r="H2" s="33"/>
      <c r="I2" s="33"/>
      <c r="J2" s="33"/>
      <c r="K2" s="33"/>
      <c r="L2" s="33"/>
      <c r="M2" s="33"/>
    </row>
    <row r="3" spans="2:22" ht="17" customHeight="1" thickBot="1">
      <c r="B3" s="54" t="s">
        <v>2</v>
      </c>
      <c r="C3" s="54" t="s">
        <v>3</v>
      </c>
      <c r="D3" s="54" t="s">
        <v>4</v>
      </c>
      <c r="E3" s="54" t="s">
        <v>5</v>
      </c>
      <c r="F3" s="54" t="s">
        <v>59</v>
      </c>
      <c r="G3" s="54">
        <v>2018</v>
      </c>
      <c r="H3" s="54">
        <v>2019</v>
      </c>
      <c r="I3" s="54">
        <v>2020</v>
      </c>
      <c r="J3" s="54">
        <v>2021</v>
      </c>
      <c r="K3" s="54">
        <v>2022</v>
      </c>
      <c r="L3" s="54">
        <v>2030</v>
      </c>
      <c r="M3" s="54">
        <v>2040</v>
      </c>
      <c r="N3" s="54">
        <v>2050</v>
      </c>
      <c r="O3" s="54">
        <v>2060</v>
      </c>
      <c r="P3" s="54">
        <v>2070</v>
      </c>
      <c r="Q3" s="54"/>
      <c r="R3" s="54"/>
      <c r="S3" s="54"/>
      <c r="T3" s="54"/>
      <c r="U3" s="54"/>
      <c r="V3" s="54"/>
    </row>
    <row r="4" spans="3:18" ht="17" customHeight="1">
      <c r="C4" s="74" t="s">
        <v>6</v>
      </c>
      <c r="D4" s="74" t="str">
        <f>_xlfn.TEXTJOIN(",",TRUE,Regions!$C$3,Regions!$D$3)</f>
        <v>IE,National</v>
      </c>
      <c r="E4" s="91" t="s">
        <v>214</v>
      </c>
      <c r="F4" s="74"/>
      <c r="G4" s="93">
        <v>8133</v>
      </c>
      <c r="H4" s="93">
        <v>8373.94</v>
      </c>
      <c r="I4" s="93">
        <v>8642.50</v>
      </c>
      <c r="J4" s="93">
        <v>8968.40</v>
      </c>
      <c r="K4" s="93">
        <v>9442</v>
      </c>
      <c r="L4" s="93">
        <v>10433</v>
      </c>
      <c r="M4" s="93">
        <v>12346</v>
      </c>
      <c r="N4" s="93">
        <v>13003</v>
      </c>
      <c r="O4" s="93">
        <v>13003</v>
      </c>
      <c r="P4" s="93">
        <v>13003</v>
      </c>
      <c r="Q4" s="96"/>
      <c r="R4" s="93"/>
    </row>
    <row r="5" spans="3:18" ht="17" customHeight="1">
      <c r="C5" s="74" t="s">
        <v>6</v>
      </c>
      <c r="D5" s="74" t="str">
        <f>_xlfn.TEXTJOIN(",",TRUE,Regions!$C$3,Regions!$D$3)</f>
        <v>IE,National</v>
      </c>
      <c r="E5" s="91" t="s">
        <v>215</v>
      </c>
      <c r="F5" s="74"/>
      <c r="G5" s="87">
        <v>5.8360000000000003</v>
      </c>
      <c r="H5" s="87">
        <v>5.68</v>
      </c>
      <c r="I5" s="87">
        <v>5.71</v>
      </c>
      <c r="J5" s="87">
        <v>5.72</v>
      </c>
      <c r="K5" s="87">
        <v>5.742</v>
      </c>
      <c r="L5" s="87">
        <v>5.2560000000000002</v>
      </c>
      <c r="M5" s="93">
        <v>5.125</v>
      </c>
      <c r="N5" s="93">
        <v>4.9930000000000003</v>
      </c>
      <c r="O5" s="93">
        <v>4.9930000000000003</v>
      </c>
      <c r="P5" s="93">
        <v>4.9930000000000003</v>
      </c>
      <c r="Q5" s="96"/>
      <c r="R5" s="93"/>
    </row>
    <row r="6" spans="3:18" ht="17" customHeight="1">
      <c r="C6" s="74" t="s">
        <v>6</v>
      </c>
      <c r="D6" s="74" t="str">
        <f>_xlfn.TEXTJOIN(",",TRUE,Regions!$C$3,Regions!$D$3)</f>
        <v>IE,National</v>
      </c>
      <c r="E6" s="91" t="s">
        <v>217</v>
      </c>
      <c r="F6" s="74"/>
      <c r="G6" s="87">
        <v>1.60</v>
      </c>
      <c r="H6" s="87">
        <v>1.62</v>
      </c>
      <c r="I6" s="87">
        <v>1.63</v>
      </c>
      <c r="J6" s="87">
        <v>1.70</v>
      </c>
      <c r="K6" s="87">
        <v>1.603</v>
      </c>
      <c r="L6" s="87">
        <v>1.63</v>
      </c>
      <c r="M6" s="87">
        <v>1.63</v>
      </c>
      <c r="N6" s="87">
        <v>1.63</v>
      </c>
      <c r="O6" s="87">
        <v>1.63</v>
      </c>
      <c r="P6" s="87">
        <v>1.63</v>
      </c>
      <c r="Q6" s="96"/>
      <c r="R6" s="93"/>
    </row>
    <row r="7" spans="3:18" ht="17" customHeight="1">
      <c r="C7" s="74" t="s">
        <v>6</v>
      </c>
      <c r="D7" s="74" t="str">
        <f>_xlfn.TEXTJOIN(",",TRUE,Regions!$C$3,Regions!$D$3)</f>
        <v>IE,National</v>
      </c>
      <c r="E7" s="91" t="s">
        <v>218</v>
      </c>
      <c r="F7" s="74"/>
      <c r="G7" s="87">
        <v>17.40</v>
      </c>
      <c r="H7" s="87">
        <v>18.20</v>
      </c>
      <c r="I7" s="87">
        <v>19.30</v>
      </c>
      <c r="J7" s="87">
        <v>19.20</v>
      </c>
      <c r="K7" s="87">
        <v>18.80</v>
      </c>
      <c r="L7" s="87">
        <v>18.80</v>
      </c>
      <c r="M7" s="87">
        <v>18.80</v>
      </c>
      <c r="N7" s="87">
        <v>18.80</v>
      </c>
      <c r="O7" s="87">
        <v>18.80</v>
      </c>
      <c r="P7" s="87">
        <v>18.80</v>
      </c>
      <c r="Q7" s="96"/>
      <c r="R7" s="93"/>
    </row>
    <row r="8" spans="3:18" ht="17" customHeight="1">
      <c r="C8" s="74" t="s">
        <v>6</v>
      </c>
      <c r="D8" s="74" t="str">
        <f>_xlfn.TEXTJOIN(",",TRUE,Regions!$C$3,Regions!$D$3)</f>
        <v>IE,National</v>
      </c>
      <c r="E8" s="91" t="s">
        <v>219</v>
      </c>
      <c r="F8" s="74"/>
      <c r="G8" s="87">
        <v>0.224</v>
      </c>
      <c r="H8" s="87">
        <v>0.20</v>
      </c>
      <c r="I8" s="87">
        <v>0.18</v>
      </c>
      <c r="J8" s="87">
        <v>0.16</v>
      </c>
      <c r="K8" s="87">
        <v>0.1116</v>
      </c>
      <c r="L8" s="87">
        <v>0.1116</v>
      </c>
      <c r="M8" s="87">
        <v>0.1116</v>
      </c>
      <c r="N8" s="87">
        <v>0.1116</v>
      </c>
      <c r="O8" s="87">
        <v>0.1116</v>
      </c>
      <c r="P8" s="87">
        <v>0.1116</v>
      </c>
      <c r="Q8" s="96"/>
      <c r="R8" s="93"/>
    </row>
    <row r="9" spans="3:18" ht="17" customHeight="1">
      <c r="C9" s="74" t="s">
        <v>6</v>
      </c>
      <c r="D9" s="74" t="str">
        <f>_xlfn.TEXTJOIN(",",TRUE,Regions!$C$3,Regions!$D$3)</f>
        <v>IE,National</v>
      </c>
      <c r="E9" s="92" t="s">
        <v>220</v>
      </c>
      <c r="F9" s="74"/>
      <c r="G9" s="101">
        <v>0.55357910500975838</v>
      </c>
      <c r="H9" s="101"/>
      <c r="I9" s="101"/>
      <c r="J9" s="101"/>
      <c r="K9" s="101">
        <v>0.60660392349728309</v>
      </c>
      <c r="L9" s="101">
        <v>0.60024094527878002</v>
      </c>
      <c r="M9" s="101">
        <v>0.52812719213574644</v>
      </c>
      <c r="N9" s="101">
        <v>0.46661840269021776</v>
      </c>
      <c r="O9" s="101">
        <v>0.46661840269021776</v>
      </c>
      <c r="P9" s="101">
        <v>0.46661840269021776</v>
      </c>
      <c r="Q9" s="96"/>
      <c r="R9" s="93"/>
    </row>
    <row r="10" spans="3:18" ht="17" customHeight="1">
      <c r="C10" s="74" t="s">
        <v>6</v>
      </c>
      <c r="D10" s="74" t="str">
        <f>_xlfn.TEXTJOIN(",",TRUE,Regions!$C$3,Regions!$D$3)</f>
        <v>IE,National</v>
      </c>
      <c r="E10" s="92" t="s">
        <v>221</v>
      </c>
      <c r="F10" s="74"/>
      <c r="G10" s="102">
        <v>0.19113857829866746</v>
      </c>
      <c r="H10" s="102"/>
      <c r="I10" s="102"/>
      <c r="J10" s="102"/>
      <c r="K10" s="102">
        <v>0.20944687123915287</v>
      </c>
      <c r="L10" s="102">
        <v>0.20724987608629458</v>
      </c>
      <c r="M10" s="101">
        <v>0.18235059768723449</v>
      </c>
      <c r="N10" s="103">
        <v>0.16111297787627143</v>
      </c>
      <c r="O10" s="103">
        <v>0.16111297787627143</v>
      </c>
      <c r="P10" s="103">
        <v>0.16111297787627143</v>
      </c>
      <c r="Q10" s="96"/>
      <c r="R10" s="93"/>
    </row>
    <row r="11" spans="3:18" ht="17" customHeight="1">
      <c r="C11" s="74" t="s">
        <v>6</v>
      </c>
      <c r="D11" s="74" t="str">
        <f>_xlfn.TEXTJOIN(",",TRUE,Regions!$C$3,Regions!$D$3)</f>
        <v>IE,National</v>
      </c>
      <c r="E11" s="92" t="s">
        <v>222</v>
      </c>
      <c r="F11" s="74"/>
      <c r="G11" s="102">
        <v>0.97183587341885214</v>
      </c>
      <c r="H11" s="102"/>
      <c r="I11" s="102"/>
      <c r="J11" s="102"/>
      <c r="K11" s="102">
        <v>1.0649236007578224</v>
      </c>
      <c r="L11" s="102">
        <v>1.0537530734771461</v>
      </c>
      <c r="M11" s="101">
        <v>0.92715376429614615</v>
      </c>
      <c r="N11" s="104">
        <v>0.81917200058294037</v>
      </c>
      <c r="O11" s="104">
        <v>0.81917200058294037</v>
      </c>
      <c r="P11" s="104">
        <v>0.81917200058294037</v>
      </c>
      <c r="Q11" s="96"/>
      <c r="R11" s="94"/>
    </row>
    <row r="12" spans="3:18" ht="17" customHeight="1">
      <c r="C12" s="74" t="s">
        <v>6</v>
      </c>
      <c r="D12" s="74" t="str">
        <f>_xlfn.TEXTJOIN(",",TRUE,Regions!$C$3,Regions!$D$3)</f>
        <v>IE,National</v>
      </c>
      <c r="E12" s="92" t="s">
        <v>223</v>
      </c>
      <c r="F12" s="74"/>
      <c r="G12" s="87">
        <v>0.027</v>
      </c>
      <c r="H12" s="87"/>
      <c r="I12" s="87"/>
      <c r="J12" s="87"/>
      <c r="K12" s="87">
        <v>0.06</v>
      </c>
      <c r="L12" s="87">
        <v>0.06</v>
      </c>
      <c r="M12" s="87">
        <v>0.06</v>
      </c>
      <c r="N12" s="87">
        <v>0.06</v>
      </c>
      <c r="O12" s="87">
        <v>0.06</v>
      </c>
      <c r="P12" s="87">
        <v>0.06</v>
      </c>
      <c r="Q12" s="97"/>
      <c r="R12" s="93"/>
    </row>
    <row r="13" spans="3:18" ht="17" customHeight="1">
      <c r="C13" s="74" t="s">
        <v>6</v>
      </c>
      <c r="D13" s="74" t="str">
        <f>_xlfn.TEXTJOIN(",",TRUE,Regions!$C$3,Regions!$D$3)</f>
        <v>IE,National</v>
      </c>
      <c r="E13" s="92" t="s">
        <v>224</v>
      </c>
      <c r="F13" s="74"/>
      <c r="G13" s="87">
        <v>0.27</v>
      </c>
      <c r="H13" s="87"/>
      <c r="I13" s="87"/>
      <c r="J13" s="87"/>
      <c r="K13" s="87">
        <v>0.36799999999999999</v>
      </c>
      <c r="L13" s="87">
        <v>0.36799999999999999</v>
      </c>
      <c r="M13" s="87">
        <v>0.36799999999999999</v>
      </c>
      <c r="N13" s="87">
        <v>0.36799999999999999</v>
      </c>
      <c r="O13" s="87">
        <v>0.36799999999999999</v>
      </c>
      <c r="P13" s="87">
        <v>0.36799999999999999</v>
      </c>
      <c r="Q13" s="97"/>
      <c r="R13" s="95"/>
    </row>
    <row r="14" spans="3:18" ht="17" customHeight="1">
      <c r="C14" s="74" t="s">
        <v>6</v>
      </c>
      <c r="D14" s="74" t="str">
        <f>_xlfn.TEXTJOIN(",",TRUE,Regions!$C$3,Regions!$D$3)</f>
        <v>IE,National</v>
      </c>
      <c r="E14" s="91" t="s">
        <v>216</v>
      </c>
      <c r="F14" s="74"/>
      <c r="G14" s="93">
        <v>5.1479999999999997</v>
      </c>
      <c r="H14" s="93">
        <v>5.035</v>
      </c>
      <c r="I14" s="93">
        <v>5.3109999999999999</v>
      </c>
      <c r="J14" s="93">
        <v>5.3310000000000004</v>
      </c>
      <c r="K14" s="93">
        <v>5.5540000000000003</v>
      </c>
      <c r="L14" s="93">
        <v>5.9669999999999996</v>
      </c>
      <c r="M14" s="93">
        <v>5.9669999999999996</v>
      </c>
      <c r="N14" s="93">
        <v>5.96</v>
      </c>
      <c r="O14" s="93">
        <v>5.96</v>
      </c>
      <c r="P14" s="93">
        <v>5.96</v>
      </c>
      <c r="Q14" s="93"/>
      <c r="R14" s="93"/>
    </row>
    <row r="15" spans="3:17" ht="17" customHeight="1"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</row>
    <row r="16" spans="3:3" ht="17" customHeight="1">
      <c r="C16" s="91"/>
    </row>
    <row r="17" spans="3:3" ht="17" customHeight="1">
      <c r="C17" s="91"/>
    </row>
    <row r="18" spans="3:3" ht="17" customHeight="1">
      <c r="C18" s="91"/>
    </row>
    <row r="19" spans="3:3" ht="17" customHeight="1">
      <c r="C19" s="91"/>
    </row>
    <row r="20" spans="3:3" ht="14.5">
      <c r="C20" s="92"/>
    </row>
    <row r="21" spans="3:3" ht="14.5">
      <c r="C21" s="92"/>
    </row>
    <row r="22" spans="3:3" ht="14.5">
      <c r="C22" s="92"/>
    </row>
    <row r="23" spans="3:3" ht="14.5">
      <c r="C23" s="92"/>
    </row>
    <row r="24" spans="3:3" ht="14.5">
      <c r="C24" s="92"/>
    </row>
    <row r="25" spans="38:39" ht="14.5">
      <c r="AL25" t="s">
        <v>253</v>
      </c>
      <c r="AM25">
        <v>3.06</v>
      </c>
    </row>
    <row r="28" spans="2:40" ht="14.5">
      <c r="B28" s="7" t="s">
        <v>225</v>
      </c>
      <c r="C28" s="7"/>
      <c r="D28" s="7"/>
      <c r="E28" s="7"/>
      <c r="F28" s="7"/>
      <c r="AG28" s="35"/>
      <c r="AH28" s="35"/>
      <c r="AI28" s="35"/>
      <c r="AJ28" s="35"/>
      <c r="AK28" s="35"/>
      <c r="AL28" s="35"/>
      <c r="AM28" s="35"/>
      <c r="AN28" s="35"/>
    </row>
    <row r="29" spans="33:40" ht="14.5">
      <c r="AG29" s="35"/>
      <c r="AH29" s="35"/>
      <c r="AI29" s="35"/>
      <c r="AJ29" s="35"/>
      <c r="AK29" s="35"/>
      <c r="AL29" s="35"/>
      <c r="AM29" s="35"/>
      <c r="AN29" s="35"/>
    </row>
    <row r="30" spans="2:40" ht="14.5">
      <c r="B30" s="99" t="s">
        <v>226</v>
      </c>
      <c r="C30" s="99" t="s">
        <v>227</v>
      </c>
      <c r="D30" s="99">
        <v>2013</v>
      </c>
      <c r="E30" s="99">
        <v>2014</v>
      </c>
      <c r="F30" s="99">
        <v>2015</v>
      </c>
      <c r="G30" s="99">
        <v>2016</v>
      </c>
      <c r="H30" s="99"/>
      <c r="I30" s="99"/>
      <c r="J30" s="99"/>
      <c r="K30" s="99">
        <v>2017</v>
      </c>
      <c r="L30" s="99">
        <v>2018</v>
      </c>
      <c r="M30" s="99">
        <v>2019</v>
      </c>
      <c r="N30" s="99">
        <v>2020</v>
      </c>
      <c r="O30" s="99">
        <v>2021</v>
      </c>
      <c r="P30" s="99">
        <v>2022</v>
      </c>
      <c r="Q30" s="99">
        <v>2023</v>
      </c>
      <c r="T30" s="98" t="s">
        <v>228</v>
      </c>
      <c r="AG30" s="35"/>
      <c r="AH30" s="35"/>
      <c r="AI30" s="35" t="s">
        <v>251</v>
      </c>
      <c r="AJ30" s="35"/>
      <c r="AK30" s="35"/>
      <c r="AL30" s="35" t="s">
        <v>252</v>
      </c>
      <c r="AM30" s="35"/>
      <c r="AN30" s="35"/>
    </row>
    <row r="31" spans="2:40" ht="14.5">
      <c r="B31" s="100" t="s">
        <v>229</v>
      </c>
      <c r="C31" s="100" t="s">
        <v>230</v>
      </c>
      <c r="D31" s="100">
        <v>60.60</v>
      </c>
      <c r="E31" s="100">
        <v>71.599999999999994</v>
      </c>
      <c r="F31" s="100">
        <v>65.30</v>
      </c>
      <c r="G31" s="100">
        <v>67.900000000000006</v>
      </c>
      <c r="H31" s="100"/>
      <c r="I31" s="100"/>
      <c r="J31" s="100"/>
      <c r="K31" s="100">
        <v>67</v>
      </c>
      <c r="L31" s="100">
        <v>58</v>
      </c>
      <c r="M31" s="100">
        <v>63.50</v>
      </c>
      <c r="N31" s="100">
        <v>47</v>
      </c>
      <c r="O31" s="100">
        <v>62.30</v>
      </c>
      <c r="P31" s="100">
        <v>67.20</v>
      </c>
      <c r="Q31" s="100">
        <v>55.80</v>
      </c>
      <c r="R31" s="53">
        <f>Q31/1000</f>
        <v>0.055799999999999995</v>
      </c>
      <c r="T31" s="60">
        <v>62.381818181818176</v>
      </c>
      <c r="Y31">
        <v>261</v>
      </c>
      <c r="Z31">
        <v>286</v>
      </c>
      <c r="AA31">
        <v>283</v>
      </c>
      <c r="AB31">
        <v>249</v>
      </c>
      <c r="AC31">
        <v>220</v>
      </c>
      <c r="AG31" s="35"/>
      <c r="AH31" s="35" t="s">
        <v>230</v>
      </c>
      <c r="AI31" s="35">
        <f>T31/1000</f>
        <v>0.062381818181818177</v>
      </c>
      <c r="AJ31" s="35">
        <f>AI31/$AI$37</f>
        <v>0.20064914178777155</v>
      </c>
      <c r="AK31" s="35"/>
      <c r="AL31" s="35">
        <f>AJ31*$AM$25</f>
        <v>0.61398637387058097</v>
      </c>
      <c r="AM31" s="35"/>
      <c r="AN31" s="35"/>
    </row>
    <row r="32" spans="2:40" ht="14.5">
      <c r="B32" s="100"/>
      <c r="C32" s="100" t="s">
        <v>231</v>
      </c>
      <c r="D32" s="100">
        <v>26.70</v>
      </c>
      <c r="E32" s="100">
        <v>18.60</v>
      </c>
      <c r="F32" s="100">
        <v>23.40</v>
      </c>
      <c r="G32" s="100">
        <v>23.20</v>
      </c>
      <c r="H32" s="100"/>
      <c r="I32" s="100"/>
      <c r="J32" s="100"/>
      <c r="K32" s="100">
        <v>24.40</v>
      </c>
      <c r="L32" s="100">
        <v>17.80</v>
      </c>
      <c r="M32" s="100">
        <v>23.80</v>
      </c>
      <c r="N32" s="100">
        <v>25.40</v>
      </c>
      <c r="O32" s="100">
        <v>28.40</v>
      </c>
      <c r="P32" s="100">
        <v>28.20</v>
      </c>
      <c r="Q32" s="100">
        <v>27.20</v>
      </c>
      <c r="R32" s="53">
        <f t="shared" si="0" ref="R32:R36">Q32/1000</f>
        <v>0.027199999999999998</v>
      </c>
      <c r="T32" s="60">
        <v>24.281818181818185</v>
      </c>
      <c r="X32" t="s">
        <v>230</v>
      </c>
      <c r="Y32">
        <f>$AE$32*Y31</f>
        <v>56.835637064657007</v>
      </c>
      <c r="Z32">
        <f t="shared" si="1" ref="Z32:AA32">$AE$32*Z31</f>
        <v>62.279663603417262</v>
      </c>
      <c r="AA32">
        <f t="shared" si="1"/>
        <v>61.626380418766033</v>
      </c>
      <c r="AB32">
        <f>$AE$32*AB31</f>
        <v>54.222504326052089</v>
      </c>
      <c r="AC32">
        <f>$AE$32*AC31</f>
        <v>47.907433541090199</v>
      </c>
      <c r="AE32">
        <v>0.21776106155041</v>
      </c>
      <c r="AG32" s="35"/>
      <c r="AH32" s="35" t="s">
        <v>231</v>
      </c>
      <c r="AI32" s="35">
        <f t="shared" si="2" ref="AI32:AI36">T32/1000</f>
        <v>0.024281818181818186</v>
      </c>
      <c r="AJ32" s="35">
        <f t="shared" si="3" ref="AJ32:AJ36">AI32/$AI$37</f>
        <v>0.078101698880084225</v>
      </c>
      <c r="AK32" s="35"/>
      <c r="AL32" s="35">
        <f t="shared" si="4" ref="AL32:AL36">AJ32*$AM$25</f>
        <v>0.23899119857305773</v>
      </c>
      <c r="AM32" s="35"/>
      <c r="AN32" s="35"/>
    </row>
    <row r="33" spans="2:40" ht="14.5">
      <c r="B33" s="100"/>
      <c r="C33" s="100" t="s">
        <v>232</v>
      </c>
      <c r="D33" s="100">
        <v>219.40</v>
      </c>
      <c r="E33" s="100">
        <v>215.70</v>
      </c>
      <c r="F33" s="100">
        <v>202.80</v>
      </c>
      <c r="G33" s="100">
        <v>189.20</v>
      </c>
      <c r="H33" s="100"/>
      <c r="I33" s="100"/>
      <c r="J33" s="100"/>
      <c r="K33" s="100">
        <v>180.20</v>
      </c>
      <c r="L33" s="100">
        <v>185.20</v>
      </c>
      <c r="M33" s="100">
        <v>179.40</v>
      </c>
      <c r="N33" s="100">
        <v>193.20</v>
      </c>
      <c r="O33" s="100">
        <v>183.90</v>
      </c>
      <c r="P33" s="100">
        <v>190.30</v>
      </c>
      <c r="Q33" s="100">
        <v>186.30</v>
      </c>
      <c r="R33" s="53">
        <f t="shared" si="0"/>
        <v>0.18630000000000002</v>
      </c>
      <c r="T33" s="60">
        <v>193.23636363636368</v>
      </c>
      <c r="X33" t="s">
        <v>242</v>
      </c>
      <c r="Y33">
        <f>$AE$33*Y31</f>
        <v>24.194756746666766</v>
      </c>
      <c r="Z33">
        <f t="shared" si="5" ref="Z33:AB33">$AE$33*Z31</f>
        <v>26.512262182171249</v>
      </c>
      <c r="AA33">
        <f t="shared" si="5"/>
        <v>26.234161529910708</v>
      </c>
      <c r="AB33">
        <f t="shared" si="5"/>
        <v>23.082354137624616</v>
      </c>
      <c r="AC33">
        <f>$AE$33*AC31</f>
        <v>20.394047832439419</v>
      </c>
      <c r="AE33">
        <v>0.092700217420179185</v>
      </c>
      <c r="AG33" s="35"/>
      <c r="AH33" s="35" t="s">
        <v>232</v>
      </c>
      <c r="AI33" s="35">
        <f t="shared" si="2"/>
        <v>0.19323636363636368</v>
      </c>
      <c r="AJ33" s="35">
        <f t="shared" si="3"/>
        <v>0.62153864148074511</v>
      </c>
      <c r="AK33" s="35"/>
      <c r="AL33" s="35">
        <f t="shared" si="4"/>
        <v>1.9019082429310801</v>
      </c>
      <c r="AM33" s="35"/>
      <c r="AN33" s="35"/>
    </row>
    <row r="34" spans="2:40" ht="14.5">
      <c r="B34" s="100"/>
      <c r="C34" s="100" t="s">
        <v>233</v>
      </c>
      <c r="D34" s="100">
        <v>4.50</v>
      </c>
      <c r="E34" s="100">
        <v>3.50</v>
      </c>
      <c r="F34" s="100">
        <v>10.70</v>
      </c>
      <c r="G34" s="100">
        <v>12.50</v>
      </c>
      <c r="H34" s="100"/>
      <c r="I34" s="100"/>
      <c r="J34" s="100"/>
      <c r="K34" s="100">
        <v>13.70</v>
      </c>
      <c r="L34" s="100">
        <v>8.50</v>
      </c>
      <c r="M34" s="100">
        <v>8.10</v>
      </c>
      <c r="N34" s="100">
        <v>13.70</v>
      </c>
      <c r="O34" s="100">
        <v>9.6999999999999993</v>
      </c>
      <c r="P34" s="100">
        <v>10.80</v>
      </c>
      <c r="Q34" s="100">
        <v>16.20</v>
      </c>
      <c r="R34" s="53">
        <f t="shared" si="0"/>
        <v>0.016199999999999999</v>
      </c>
      <c r="T34" s="60">
        <v>10.172727272727274</v>
      </c>
      <c r="X34" t="s">
        <v>232</v>
      </c>
      <c r="Y34">
        <f>$AE$34*Y31</f>
        <v>179.96960618867629</v>
      </c>
      <c r="Z34">
        <f t="shared" si="6" ref="Z34:AC34">$AE$34*Z31</f>
        <v>197.20807421441157</v>
      </c>
      <c r="AA34">
        <f t="shared" si="6"/>
        <v>195.13945805132332</v>
      </c>
      <c r="AB34">
        <f t="shared" si="6"/>
        <v>171.69514153632335</v>
      </c>
      <c r="AC34">
        <f t="shared" si="6"/>
        <v>151.69851862647045</v>
      </c>
      <c r="AE34">
        <v>0.68953872102941105</v>
      </c>
      <c r="AG34" s="35"/>
      <c r="AH34" s="35" t="s">
        <v>233</v>
      </c>
      <c r="AI34" s="35">
        <f t="shared" si="2"/>
        <v>0.010172727272727274</v>
      </c>
      <c r="AJ34" s="35">
        <f t="shared" si="3"/>
        <v>0.032720254978215742</v>
      </c>
      <c r="AK34" s="35"/>
      <c r="AL34" s="35">
        <f t="shared" si="4"/>
        <v>0.10012398023334017</v>
      </c>
      <c r="AM34" s="35"/>
      <c r="AN34" s="35"/>
    </row>
    <row r="35" spans="2:40" ht="14.5">
      <c r="B35" s="100"/>
      <c r="C35" s="100" t="s">
        <v>234</v>
      </c>
      <c r="D35" s="100">
        <v>13.70</v>
      </c>
      <c r="E35" s="100">
        <v>9.40</v>
      </c>
      <c r="F35" s="100">
        <v>8.90</v>
      </c>
      <c r="G35" s="100">
        <v>9.90</v>
      </c>
      <c r="H35" s="100"/>
      <c r="I35" s="100"/>
      <c r="J35" s="100"/>
      <c r="K35" s="100">
        <v>10.10</v>
      </c>
      <c r="L35" s="100">
        <v>10.60</v>
      </c>
      <c r="M35" s="100">
        <v>9.1999999999999993</v>
      </c>
      <c r="N35" s="100">
        <v>10.30</v>
      </c>
      <c r="O35" s="100">
        <v>11.30</v>
      </c>
      <c r="P35" s="100">
        <v>15.80</v>
      </c>
      <c r="Q35" s="100">
        <v>21.60</v>
      </c>
      <c r="R35" s="53">
        <f t="shared" si="0"/>
        <v>0.021600000000000001</v>
      </c>
      <c r="T35" s="60">
        <v>11.890909090909089</v>
      </c>
      <c r="Y35">
        <f>SUM(Y32:Y34)</f>
        <v>261.00000000000006</v>
      </c>
      <c r="Z35">
        <f t="shared" si="7" ref="Z35:AC35">SUM(Z32:Z34)</f>
        <v>286.00000000000011</v>
      </c>
      <c r="AA35">
        <f t="shared" si="7"/>
        <v>283.00000000000006</v>
      </c>
      <c r="AB35">
        <f t="shared" si="7"/>
        <v>249.00000000000006</v>
      </c>
      <c r="AC35">
        <f t="shared" si="7"/>
        <v>220.00000000000006</v>
      </c>
      <c r="AG35" s="35"/>
      <c r="AH35" s="35" t="s">
        <v>234</v>
      </c>
      <c r="AI35" s="35">
        <f t="shared" si="2"/>
        <v>0.011890909090909089</v>
      </c>
      <c r="AJ35" s="35">
        <f t="shared" si="3"/>
        <v>0.03824673236059533</v>
      </c>
      <c r="AK35" s="35"/>
      <c r="AL35" s="35">
        <f t="shared" si="4"/>
        <v>0.11703500102342171</v>
      </c>
      <c r="AM35" s="35"/>
      <c r="AN35" s="35"/>
    </row>
    <row r="36" spans="2:40" ht="14.5">
      <c r="B36" s="100"/>
      <c r="C36" s="100" t="s">
        <v>235</v>
      </c>
      <c r="D36" s="100">
        <v>10.70</v>
      </c>
      <c r="E36" s="100">
        <v>9.50</v>
      </c>
      <c r="F36" s="100">
        <v>8.50</v>
      </c>
      <c r="G36" s="100">
        <v>9</v>
      </c>
      <c r="H36" s="100"/>
      <c r="I36" s="100"/>
      <c r="J36" s="100"/>
      <c r="K36" s="100">
        <v>9.1999999999999993</v>
      </c>
      <c r="L36" s="100">
        <v>8.1999999999999993</v>
      </c>
      <c r="M36" s="100">
        <v>8.6999999999999993</v>
      </c>
      <c r="N36" s="100">
        <v>8.90</v>
      </c>
      <c r="O36" s="100">
        <v>8.90</v>
      </c>
      <c r="P36" s="100">
        <v>8.50</v>
      </c>
      <c r="Q36" s="100">
        <v>8.1999999999999993</v>
      </c>
      <c r="R36" s="53">
        <f t="shared" si="0"/>
        <v>0.008199999999999999</v>
      </c>
      <c r="T36" s="60">
        <v>8.9363636363636392</v>
      </c>
      <c r="AG36" s="35"/>
      <c r="AH36" s="35" t="s">
        <v>235</v>
      </c>
      <c r="AI36" s="35">
        <f t="shared" si="2"/>
        <v>0.0089363636363636399</v>
      </c>
      <c r="AJ36" s="35">
        <f t="shared" si="3"/>
        <v>0.028743530512588097</v>
      </c>
      <c r="AK36" s="35"/>
      <c r="AL36" s="35">
        <f t="shared" si="4"/>
        <v>0.087955203368519572</v>
      </c>
      <c r="AM36" s="35"/>
      <c r="AN36" s="35"/>
    </row>
    <row r="37" spans="2:40" ht="14.5">
      <c r="B37" s="100"/>
      <c r="C37" s="100"/>
      <c r="D37" s="100">
        <f>SUM(D31:D36)</f>
        <v>335.59999999999997</v>
      </c>
      <c r="E37" s="100">
        <f t="shared" si="8" ref="E37:Q37">SUM(E31:E36)</f>
        <v>328.29999999999995</v>
      </c>
      <c r="F37" s="100">
        <f t="shared" si="8"/>
        <v>319.59999999999997</v>
      </c>
      <c r="G37" s="100">
        <f t="shared" si="8"/>
        <v>311.69999999999999</v>
      </c>
      <c r="H37" s="100"/>
      <c r="I37" s="100"/>
      <c r="J37" s="100"/>
      <c r="K37" s="100">
        <f t="shared" si="8"/>
        <v>304.60000000000002</v>
      </c>
      <c r="L37" s="100">
        <f t="shared" si="8"/>
        <v>288.30000000000001</v>
      </c>
      <c r="M37" s="100">
        <f t="shared" si="8"/>
        <v>292.69999999999999</v>
      </c>
      <c r="N37" s="100">
        <f t="shared" si="8"/>
        <v>298.5</v>
      </c>
      <c r="O37" s="100">
        <f t="shared" si="8"/>
        <v>304.5</v>
      </c>
      <c r="P37" s="100">
        <f t="shared" si="8"/>
        <v>320.80000000000007</v>
      </c>
      <c r="Q37" s="100">
        <f t="shared" si="8"/>
        <v>315.30000000000001</v>
      </c>
      <c r="T37">
        <f>AVERAGE(D37:S37)</f>
        <v>310.90000000000003</v>
      </c>
      <c r="AG37" s="35"/>
      <c r="AH37" s="35"/>
      <c r="AI37" s="35">
        <f>SUM(AI31:AI36)</f>
        <v>0.31090000000000001</v>
      </c>
      <c r="AJ37" s="35">
        <f>SUM(AJ31:AJ36)</f>
        <v>1</v>
      </c>
      <c r="AK37" s="35"/>
      <c r="AL37" s="35">
        <f>SUM(AL31:AL36)</f>
        <v>3.0600000000000001</v>
      </c>
      <c r="AM37" s="35"/>
      <c r="AN37" s="35"/>
    </row>
    <row r="38" spans="2:21" ht="14.5">
      <c r="B38" s="100" t="s">
        <v>236</v>
      </c>
      <c r="C38" s="100" t="s">
        <v>230</v>
      </c>
      <c r="D38" s="100">
        <v>9</v>
      </c>
      <c r="E38" s="100">
        <v>10</v>
      </c>
      <c r="F38" s="100">
        <v>10.70</v>
      </c>
      <c r="G38" s="100">
        <v>9.50</v>
      </c>
      <c r="H38" s="100"/>
      <c r="I38" s="100"/>
      <c r="J38" s="100"/>
      <c r="K38" s="100">
        <v>10.199999999999999</v>
      </c>
      <c r="L38" s="100">
        <v>8.6999999999999993</v>
      </c>
      <c r="M38" s="100">
        <v>10</v>
      </c>
      <c r="N38" s="105">
        <v>8.40</v>
      </c>
      <c r="O38" s="100">
        <v>10.60</v>
      </c>
      <c r="P38" s="100">
        <v>10.70</v>
      </c>
      <c r="Q38" s="100">
        <v>9.3000000000000007</v>
      </c>
      <c r="T38" s="60" t="s">
        <v>237</v>
      </c>
      <c r="U38">
        <f>AVERAGE(D38:T38)</f>
        <v>9.7363636363636363</v>
      </c>
    </row>
    <row r="39" spans="2:20" ht="14.5">
      <c r="B39" s="100"/>
      <c r="C39" s="100" t="s">
        <v>231</v>
      </c>
      <c r="D39" s="100">
        <v>7.20</v>
      </c>
      <c r="E39" s="100">
        <v>8</v>
      </c>
      <c r="F39" s="100">
        <v>8.40</v>
      </c>
      <c r="G39" s="100">
        <v>7.90</v>
      </c>
      <c r="H39" s="100"/>
      <c r="I39" s="100"/>
      <c r="J39" s="100"/>
      <c r="K39" s="100">
        <v>8.40</v>
      </c>
      <c r="L39" s="100">
        <v>6.90</v>
      </c>
      <c r="M39" s="100">
        <v>8.50</v>
      </c>
      <c r="N39" s="105">
        <v>7.50</v>
      </c>
      <c r="O39" s="100">
        <v>8.40</v>
      </c>
      <c r="P39" s="100">
        <v>8.60</v>
      </c>
      <c r="Q39" s="100">
        <v>7.60</v>
      </c>
      <c r="T39" s="60">
        <v>7.9454545454545444</v>
      </c>
    </row>
    <row r="40" spans="2:36" ht="14.5">
      <c r="B40" s="100"/>
      <c r="C40" s="100" t="s">
        <v>232</v>
      </c>
      <c r="D40" s="100">
        <v>7.60</v>
      </c>
      <c r="E40" s="100">
        <v>8</v>
      </c>
      <c r="F40" s="100">
        <v>8.60</v>
      </c>
      <c r="G40" s="100">
        <v>7.80</v>
      </c>
      <c r="H40" s="100"/>
      <c r="I40" s="100"/>
      <c r="J40" s="100"/>
      <c r="K40" s="100">
        <v>8.40</v>
      </c>
      <c r="L40" s="100">
        <v>6.60</v>
      </c>
      <c r="M40" s="100">
        <v>8.6999999999999993</v>
      </c>
      <c r="N40" s="105">
        <v>7.40</v>
      </c>
      <c r="O40" s="100">
        <v>8.50</v>
      </c>
      <c r="P40" s="100">
        <v>8.3000000000000007</v>
      </c>
      <c r="Q40" s="100">
        <v>7</v>
      </c>
      <c r="T40" s="60">
        <v>7.90</v>
      </c>
      <c r="X40" t="s">
        <v>239</v>
      </c>
      <c r="Y40">
        <v>1425</v>
      </c>
      <c r="Z40">
        <v>1569</v>
      </c>
      <c r="AA40">
        <v>1656</v>
      </c>
      <c r="AB40">
        <v>1813</v>
      </c>
      <c r="AC40">
        <v>1792</v>
      </c>
      <c r="AF40">
        <f>Y32/1000</f>
        <v>0.05683563706465701</v>
      </c>
      <c r="AG40">
        <f t="shared" si="9" ref="AG40:AJ40">Z32/1000</f>
        <v>0.06227966360341726</v>
      </c>
      <c r="AH40">
        <f t="shared" si="9"/>
        <v>0.06162638041876603</v>
      </c>
      <c r="AI40">
        <f t="shared" si="9"/>
        <v>0.054222504326052086</v>
      </c>
      <c r="AJ40">
        <f t="shared" si="9"/>
        <v>0.0479074335410902</v>
      </c>
    </row>
    <row r="41" spans="2:29" ht="14.5">
      <c r="B41" s="100"/>
      <c r="C41" s="100" t="s">
        <v>233</v>
      </c>
      <c r="D41" s="100">
        <v>5.20</v>
      </c>
      <c r="E41" s="100">
        <v>5.70</v>
      </c>
      <c r="F41" s="100">
        <v>6.50</v>
      </c>
      <c r="G41" s="100">
        <v>5.70</v>
      </c>
      <c r="H41" s="100"/>
      <c r="I41" s="100"/>
      <c r="J41" s="100"/>
      <c r="K41" s="100">
        <v>6.60</v>
      </c>
      <c r="L41" s="100">
        <v>2.70</v>
      </c>
      <c r="M41" s="100">
        <v>5.40</v>
      </c>
      <c r="N41" s="105">
        <v>4.80</v>
      </c>
      <c r="O41" s="100">
        <v>5.60</v>
      </c>
      <c r="P41" s="100">
        <v>6.10</v>
      </c>
      <c r="Q41" s="100">
        <v>5</v>
      </c>
      <c r="T41" s="60">
        <v>5.3909090909090907</v>
      </c>
      <c r="X41" t="s">
        <v>240</v>
      </c>
      <c r="Y41">
        <v>7261</v>
      </c>
      <c r="Z41">
        <v>7311</v>
      </c>
      <c r="AA41">
        <v>6912</v>
      </c>
      <c r="AB41">
        <v>6938</v>
      </c>
      <c r="AC41">
        <v>6785</v>
      </c>
    </row>
    <row r="42" spans="2:20" ht="14.5">
      <c r="B42" s="100"/>
      <c r="C42" s="100" t="s">
        <v>234</v>
      </c>
      <c r="D42" s="100">
        <v>3.60</v>
      </c>
      <c r="E42" s="100">
        <v>3.60</v>
      </c>
      <c r="F42" s="100">
        <v>4.50</v>
      </c>
      <c r="G42" s="100">
        <v>3.50</v>
      </c>
      <c r="H42" s="100"/>
      <c r="I42" s="100"/>
      <c r="J42" s="100"/>
      <c r="K42" s="100">
        <v>4.0999999999999996</v>
      </c>
      <c r="L42" s="100">
        <v>3.90</v>
      </c>
      <c r="M42" s="100">
        <v>4.20</v>
      </c>
      <c r="N42" s="105">
        <v>4.4000000000000004</v>
      </c>
      <c r="O42" s="100">
        <v>4.5999999999999996</v>
      </c>
      <c r="P42" s="100">
        <v>4.9000000000000004</v>
      </c>
      <c r="Q42" s="100">
        <v>4.50</v>
      </c>
      <c r="T42" s="60">
        <v>4.1636363636363631</v>
      </c>
    </row>
    <row r="43" spans="2:29" ht="14.5">
      <c r="B43" s="100"/>
      <c r="C43" s="100" t="s">
        <v>235</v>
      </c>
      <c r="D43" s="100"/>
      <c r="E43" s="100">
        <v>40.50</v>
      </c>
      <c r="F43" s="100">
        <v>42.30</v>
      </c>
      <c r="G43" s="100">
        <v>38.90</v>
      </c>
      <c r="H43" s="100"/>
      <c r="I43" s="100"/>
      <c r="J43" s="100"/>
      <c r="K43" s="100">
        <v>44.90</v>
      </c>
      <c r="L43" s="100">
        <v>33.200000000000003</v>
      </c>
      <c r="M43" s="100">
        <v>44.10</v>
      </c>
      <c r="N43" s="105">
        <v>33.799999999999997</v>
      </c>
      <c r="O43" s="100">
        <v>45.60</v>
      </c>
      <c r="P43" s="100">
        <v>43.40</v>
      </c>
      <c r="Q43" s="100">
        <v>39.200000000000003</v>
      </c>
      <c r="T43" s="60">
        <v>40.372727272727275</v>
      </c>
      <c r="X43" t="s">
        <v>241</v>
      </c>
      <c r="Y43">
        <f>Y41-Y40</f>
        <v>5836</v>
      </c>
      <c r="Z43">
        <f t="shared" si="10" ref="Z43:AC43">Z41-Z40</f>
        <v>5742</v>
      </c>
      <c r="AA43">
        <f t="shared" si="10"/>
        <v>5256</v>
      </c>
      <c r="AB43">
        <f t="shared" si="10"/>
        <v>5125</v>
      </c>
      <c r="AC43">
        <f t="shared" si="10"/>
        <v>4993</v>
      </c>
    </row>
    <row r="44" spans="2:29" ht="14.5"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Y44">
        <f>Y43/1000</f>
        <v>5.8360000000000003</v>
      </c>
      <c r="Z44">
        <f t="shared" si="11" ref="Z44:AC44">Z43/1000</f>
        <v>5.742</v>
      </c>
      <c r="AA44">
        <f t="shared" si="11"/>
        <v>5.2560000000000002</v>
      </c>
      <c r="AB44">
        <f t="shared" si="11"/>
        <v>5.125</v>
      </c>
      <c r="AC44">
        <f t="shared" si="11"/>
        <v>4.9930000000000003</v>
      </c>
    </row>
    <row r="45" spans="2:20" ht="14.5">
      <c r="B45" s="100" t="s">
        <v>238</v>
      </c>
      <c r="C45" s="100" t="s">
        <v>230</v>
      </c>
      <c r="D45" s="100">
        <v>545.29999999999995</v>
      </c>
      <c r="E45" s="100">
        <v>717</v>
      </c>
      <c r="F45" s="100">
        <v>696.60</v>
      </c>
      <c r="G45" s="100">
        <v>647.70000000000005</v>
      </c>
      <c r="H45" s="100"/>
      <c r="I45" s="100"/>
      <c r="J45" s="100"/>
      <c r="K45" s="100">
        <v>681.70</v>
      </c>
      <c r="L45" s="100">
        <v>506.80</v>
      </c>
      <c r="M45" s="100">
        <v>636</v>
      </c>
      <c r="N45" s="100">
        <v>393</v>
      </c>
      <c r="O45" s="100">
        <v>662.40</v>
      </c>
      <c r="P45" s="100">
        <v>720</v>
      </c>
      <c r="Q45" s="100">
        <v>519.90</v>
      </c>
      <c r="T45" s="36">
        <v>611.4909090909091</v>
      </c>
    </row>
    <row r="46" spans="2:20" ht="14.5">
      <c r="B46" s="100"/>
      <c r="C46" s="100" t="s">
        <v>231</v>
      </c>
      <c r="D46" s="100">
        <v>192.50</v>
      </c>
      <c r="E46" s="100">
        <v>149.69999999999999</v>
      </c>
      <c r="F46" s="100">
        <v>197.70</v>
      </c>
      <c r="G46" s="100">
        <v>183.30</v>
      </c>
      <c r="H46" s="100"/>
      <c r="I46" s="100"/>
      <c r="J46" s="100"/>
      <c r="K46" s="100">
        <v>205</v>
      </c>
      <c r="L46" s="100">
        <v>122.30</v>
      </c>
      <c r="M46" s="100">
        <v>202.60</v>
      </c>
      <c r="N46" s="100">
        <v>189.90</v>
      </c>
      <c r="O46" s="100">
        <v>238.30</v>
      </c>
      <c r="P46" s="100">
        <v>241.60</v>
      </c>
      <c r="Q46" s="100">
        <v>206.80</v>
      </c>
      <c r="T46" s="36">
        <v>193.6090909090909</v>
      </c>
    </row>
    <row r="47" spans="2:33" ht="14.5">
      <c r="B47" s="100"/>
      <c r="C47" s="100" t="s">
        <v>232</v>
      </c>
      <c r="D47" s="100">
        <v>1662.80</v>
      </c>
      <c r="E47" s="100">
        <v>1731.20</v>
      </c>
      <c r="F47" s="100">
        <v>1739.20</v>
      </c>
      <c r="G47" s="100">
        <v>1479.90</v>
      </c>
      <c r="H47" s="100"/>
      <c r="I47" s="100"/>
      <c r="J47" s="100"/>
      <c r="K47" s="100">
        <v>1505.80</v>
      </c>
      <c r="L47" s="100">
        <v>1224.9000000000001</v>
      </c>
      <c r="M47" s="100">
        <v>1557.60</v>
      </c>
      <c r="N47" s="100">
        <v>1430.30</v>
      </c>
      <c r="O47" s="100">
        <v>1556.40</v>
      </c>
      <c r="P47" s="100">
        <v>1585.40</v>
      </c>
      <c r="Q47" s="100">
        <v>1313.30</v>
      </c>
      <c r="T47" s="36">
        <v>1526.0727272727272</v>
      </c>
      <c r="AG47" s="100">
        <v>519.90</v>
      </c>
    </row>
    <row r="48" spans="2:33" ht="14.5">
      <c r="B48" s="100"/>
      <c r="C48" s="100" t="s">
        <v>233</v>
      </c>
      <c r="D48" s="100">
        <v>23.30</v>
      </c>
      <c r="E48" s="100">
        <v>20.30</v>
      </c>
      <c r="F48" s="100">
        <v>69.30</v>
      </c>
      <c r="G48" s="100">
        <v>70.599999999999994</v>
      </c>
      <c r="H48" s="100"/>
      <c r="I48" s="100"/>
      <c r="J48" s="100"/>
      <c r="K48" s="100">
        <v>90.20</v>
      </c>
      <c r="L48" s="100">
        <v>22.70</v>
      </c>
      <c r="M48" s="100">
        <v>44</v>
      </c>
      <c r="N48" s="100">
        <v>65.70</v>
      </c>
      <c r="O48" s="100">
        <v>54.40</v>
      </c>
      <c r="P48" s="100">
        <v>65.70</v>
      </c>
      <c r="Q48" s="100">
        <v>81.30</v>
      </c>
      <c r="T48" s="36">
        <v>55.22727272727272</v>
      </c>
      <c r="Y48">
        <v>261</v>
      </c>
      <c r="Z48">
        <v>286</v>
      </c>
      <c r="AA48">
        <v>283</v>
      </c>
      <c r="AB48">
        <v>249</v>
      </c>
      <c r="AC48">
        <v>220</v>
      </c>
      <c r="AG48" s="100">
        <v>206.80</v>
      </c>
    </row>
    <row r="49" spans="2:33" ht="14.5">
      <c r="B49" s="100"/>
      <c r="C49" s="100" t="s">
        <v>234</v>
      </c>
      <c r="D49" s="100">
        <v>49.20</v>
      </c>
      <c r="E49" s="100">
        <v>34.200000000000003</v>
      </c>
      <c r="F49" s="100">
        <v>39.90</v>
      </c>
      <c r="G49" s="100">
        <v>34.10</v>
      </c>
      <c r="H49" s="100"/>
      <c r="I49" s="100"/>
      <c r="J49" s="100"/>
      <c r="K49" s="100">
        <v>41.70</v>
      </c>
      <c r="L49" s="100">
        <v>40.90</v>
      </c>
      <c r="M49" s="100">
        <v>38.40</v>
      </c>
      <c r="N49" s="100">
        <v>45.10</v>
      </c>
      <c r="O49" s="100">
        <v>52.20</v>
      </c>
      <c r="P49" s="100">
        <v>77.80</v>
      </c>
      <c r="Q49" s="100">
        <v>97.30</v>
      </c>
      <c r="T49" s="36">
        <v>50.072727272727278</v>
      </c>
      <c r="X49" t="s">
        <v>230</v>
      </c>
      <c r="Y49">
        <v>56.8356370646569</v>
      </c>
      <c r="Z49">
        <v>62.279663603417148</v>
      </c>
      <c r="AA49">
        <v>61.626380418765919</v>
      </c>
      <c r="AB49">
        <v>54.222504326051997</v>
      </c>
      <c r="AC49">
        <v>47.907433541090114</v>
      </c>
      <c r="AG49" s="100">
        <v>1313.30</v>
      </c>
    </row>
    <row r="50" spans="2:33" ht="14.5">
      <c r="B50" s="100"/>
      <c r="C50" s="100" t="s">
        <v>235</v>
      </c>
      <c r="D50" s="100">
        <v>410.10</v>
      </c>
      <c r="E50" s="100">
        <v>383</v>
      </c>
      <c r="F50" s="100">
        <v>360.10</v>
      </c>
      <c r="G50" s="100">
        <v>352</v>
      </c>
      <c r="H50" s="100"/>
      <c r="I50" s="100"/>
      <c r="J50" s="100"/>
      <c r="K50" s="100">
        <v>412.40</v>
      </c>
      <c r="L50" s="100">
        <v>273</v>
      </c>
      <c r="M50" s="100">
        <v>382.40</v>
      </c>
      <c r="N50" s="100">
        <v>300.10000000000002</v>
      </c>
      <c r="O50" s="100">
        <v>407.50</v>
      </c>
      <c r="P50" s="100">
        <v>368</v>
      </c>
      <c r="Q50" s="100">
        <v>322.20</v>
      </c>
      <c r="T50" s="36">
        <v>360.98181818181814</v>
      </c>
      <c r="X50" t="s">
        <v>242</v>
      </c>
      <c r="Y50">
        <v>24.194756746666766</v>
      </c>
      <c r="Z50">
        <v>26.512262182171249</v>
      </c>
      <c r="AA50">
        <v>26.234161529910708</v>
      </c>
      <c r="AB50">
        <v>23.082354137624616</v>
      </c>
      <c r="AC50">
        <v>20.394047832439419</v>
      </c>
      <c r="AG50" s="100">
        <v>81.30</v>
      </c>
    </row>
    <row r="51" spans="24:33" ht="14.5">
      <c r="X51" t="s">
        <v>232</v>
      </c>
      <c r="Y51">
        <v>179.96960618867629</v>
      </c>
      <c r="Z51">
        <v>197.20807421441157</v>
      </c>
      <c r="AA51">
        <v>195.13945805132332</v>
      </c>
      <c r="AB51">
        <v>171.69514153632335</v>
      </c>
      <c r="AC51">
        <v>151.69851862647045</v>
      </c>
      <c r="AG51" s="100">
        <v>97.30</v>
      </c>
    </row>
    <row r="52" spans="3:33" ht="14.5">
      <c r="C52" t="s">
        <v>254</v>
      </c>
      <c r="L52">
        <f>L50/1000</f>
        <v>0.27300000000000002</v>
      </c>
      <c r="M52">
        <f t="shared" si="12" ref="M52:Q52">M50/1000</f>
        <v>0.38239999999999996</v>
      </c>
      <c r="N52">
        <f t="shared" si="12"/>
        <v>0.30010000000000003</v>
      </c>
      <c r="O52">
        <f t="shared" si="12"/>
        <v>0.40749999999999997</v>
      </c>
      <c r="P52">
        <f t="shared" si="12"/>
        <v>0.36799999999999999</v>
      </c>
      <c r="Q52">
        <f t="shared" si="12"/>
        <v>0.32219999999999999</v>
      </c>
      <c r="AG52" s="100">
        <v>322.20</v>
      </c>
    </row>
    <row r="53" spans="3:17" ht="14.5">
      <c r="C53" t="s">
        <v>255</v>
      </c>
      <c r="L53">
        <f>L48/1000</f>
        <v>0.022699999999999998</v>
      </c>
      <c r="M53">
        <f t="shared" si="13" ref="M53:Q53">M48/1000</f>
        <v>0.043999999999999997</v>
      </c>
      <c r="N53">
        <f t="shared" si="13"/>
        <v>0.065700000000000008</v>
      </c>
      <c r="O53">
        <f t="shared" si="13"/>
        <v>0.054399999999999997</v>
      </c>
      <c r="P53">
        <f t="shared" si="13"/>
        <v>0.065700000000000008</v>
      </c>
      <c r="Q53">
        <f t="shared" si="13"/>
        <v>0.081299999999999997</v>
      </c>
    </row>
    <row r="54" spans="24:29" ht="14.5">
      <c r="X54" t="s">
        <v>246</v>
      </c>
      <c r="Y54">
        <f>9.74*Y49</f>
        <v>553.57910500975822</v>
      </c>
      <c r="Z54">
        <f t="shared" si="14" ref="Z54:AC54">9.74*Z49</f>
        <v>606.60392349728306</v>
      </c>
      <c r="AA54">
        <f t="shared" si="14"/>
        <v>600.24094527878003</v>
      </c>
      <c r="AB54">
        <f t="shared" si="14"/>
        <v>528.12719213574644</v>
      </c>
      <c r="AC54">
        <f t="shared" si="14"/>
        <v>466.61840269021775</v>
      </c>
    </row>
    <row r="55" spans="25:29" ht="14.5">
      <c r="Y55">
        <f>Y50*7.9</f>
        <v>191.13857829866745</v>
      </c>
      <c r="Z55">
        <f t="shared" si="15" ref="Z55:AC55">Z50*7.9</f>
        <v>209.44687123915287</v>
      </c>
      <c r="AA55">
        <f t="shared" si="15"/>
        <v>207.24987608629459</v>
      </c>
      <c r="AB55">
        <f t="shared" si="15"/>
        <v>182.35059768723448</v>
      </c>
      <c r="AC55">
        <f t="shared" si="15"/>
        <v>161.11297787627143</v>
      </c>
    </row>
    <row r="56" spans="3:29" ht="14.5">
      <c r="C56" t="s">
        <v>227</v>
      </c>
      <c r="D56">
        <v>2013</v>
      </c>
      <c r="E56">
        <v>2014</v>
      </c>
      <c r="F56">
        <v>2015</v>
      </c>
      <c r="G56">
        <v>2016</v>
      </c>
      <c r="K56">
        <v>2017</v>
      </c>
      <c r="L56">
        <v>2018</v>
      </c>
      <c r="M56">
        <v>2019</v>
      </c>
      <c r="N56">
        <v>2020</v>
      </c>
      <c r="O56">
        <v>2021</v>
      </c>
      <c r="P56">
        <v>2022</v>
      </c>
      <c r="Q56">
        <v>2023</v>
      </c>
      <c r="Y56">
        <f>Y51*5.4</f>
        <v>971.83587341885209</v>
      </c>
      <c r="Z56">
        <f t="shared" si="16" ref="Z56:AC56">Z51*5.4</f>
        <v>1064.9236007578224</v>
      </c>
      <c r="AA56">
        <f t="shared" si="16"/>
        <v>1053.753073477146</v>
      </c>
      <c r="AB56">
        <f t="shared" si="16"/>
        <v>927.15376429614616</v>
      </c>
      <c r="AC56">
        <f t="shared" si="16"/>
        <v>819.17200058294043</v>
      </c>
    </row>
    <row r="57" spans="3:17" ht="14.5">
      <c r="C57" t="s">
        <v>230</v>
      </c>
      <c r="D57">
        <v>60.60</v>
      </c>
      <c r="E57">
        <v>71.599999999999994</v>
      </c>
      <c r="F57">
        <v>65.30</v>
      </c>
      <c r="G57">
        <v>67.900000000000006</v>
      </c>
      <c r="K57">
        <v>67</v>
      </c>
      <c r="L57">
        <v>58</v>
      </c>
      <c r="M57">
        <v>63.50</v>
      </c>
      <c r="N57">
        <v>47</v>
      </c>
      <c r="O57">
        <v>62.30</v>
      </c>
      <c r="P57">
        <v>67.20</v>
      </c>
      <c r="Q57">
        <v>55.80</v>
      </c>
    </row>
    <row r="58" spans="3:29" ht="14.5">
      <c r="C58" t="s">
        <v>231</v>
      </c>
      <c r="D58">
        <v>26.70</v>
      </c>
      <c r="E58">
        <v>18.60</v>
      </c>
      <c r="F58">
        <v>23.40</v>
      </c>
      <c r="G58">
        <v>23.20</v>
      </c>
      <c r="K58">
        <v>24.40</v>
      </c>
      <c r="L58">
        <v>17.80</v>
      </c>
      <c r="M58">
        <v>23.80</v>
      </c>
      <c r="N58">
        <v>25.40</v>
      </c>
      <c r="O58">
        <v>28.40</v>
      </c>
      <c r="P58">
        <v>28.20</v>
      </c>
      <c r="Q58">
        <v>27.20</v>
      </c>
      <c r="X58" t="s">
        <v>247</v>
      </c>
      <c r="Y58" s="35">
        <f>Y54/1000</f>
        <v>0.55357910500975827</v>
      </c>
      <c r="Z58">
        <f t="shared" si="17" ref="Z58:AC58">Z54/1000</f>
        <v>0.60660392349728309</v>
      </c>
      <c r="AA58">
        <f t="shared" si="17"/>
        <v>0.60024094527878002</v>
      </c>
      <c r="AB58">
        <f t="shared" si="17"/>
        <v>0.52812719213574644</v>
      </c>
      <c r="AC58">
        <f t="shared" si="17"/>
        <v>0.46661840269021776</v>
      </c>
    </row>
    <row r="59" spans="3:29" ht="14.5">
      <c r="C59" t="s">
        <v>232</v>
      </c>
      <c r="D59">
        <v>219.40</v>
      </c>
      <c r="E59">
        <v>215.70</v>
      </c>
      <c r="F59">
        <v>202.80</v>
      </c>
      <c r="G59">
        <v>189.20</v>
      </c>
      <c r="K59">
        <v>180.20</v>
      </c>
      <c r="L59">
        <v>185.20</v>
      </c>
      <c r="M59">
        <v>179.40</v>
      </c>
      <c r="N59">
        <v>193.20</v>
      </c>
      <c r="O59">
        <v>183.90</v>
      </c>
      <c r="P59">
        <v>190.30</v>
      </c>
      <c r="Q59">
        <v>186.30</v>
      </c>
      <c r="X59" t="s">
        <v>248</v>
      </c>
      <c r="Y59">
        <f>Y55/1000</f>
        <v>0.19113857829866746</v>
      </c>
      <c r="Z59">
        <f t="shared" si="18" ref="Z59:AC59">Z55/1000</f>
        <v>0.20944687123915287</v>
      </c>
      <c r="AA59">
        <f t="shared" si="18"/>
        <v>0.20724987608629458</v>
      </c>
      <c r="AB59">
        <f t="shared" si="18"/>
        <v>0.18235059768723449</v>
      </c>
      <c r="AC59">
        <f t="shared" si="18"/>
        <v>0.16111297787627143</v>
      </c>
    </row>
    <row r="60" spans="4:29" ht="14.5">
      <c r="D60">
        <f t="shared" si="19" ref="D60:Q60">SUM(D57:D59)</f>
        <v>306.69999999999999</v>
      </c>
      <c r="E60">
        <f t="shared" si="19"/>
        <v>305.89999999999998</v>
      </c>
      <c r="F60">
        <f t="shared" si="19"/>
        <v>291.5</v>
      </c>
      <c r="G60">
        <f t="shared" si="19"/>
        <v>280.30000000000001</v>
      </c>
      <c r="K60">
        <f t="shared" si="19"/>
        <v>271.60000000000002</v>
      </c>
      <c r="L60">
        <f t="shared" si="19"/>
        <v>261</v>
      </c>
      <c r="M60">
        <f t="shared" si="19"/>
        <v>266.69999999999999</v>
      </c>
      <c r="N60">
        <f t="shared" si="19"/>
        <v>265.60000000000002</v>
      </c>
      <c r="O60">
        <f t="shared" si="19"/>
        <v>274.60000000000002</v>
      </c>
      <c r="P60">
        <f t="shared" si="19"/>
        <v>285.70000000000005</v>
      </c>
      <c r="Q60">
        <f t="shared" si="19"/>
        <v>269.30000000000001</v>
      </c>
      <c r="X60" t="s">
        <v>245</v>
      </c>
      <c r="Y60">
        <f>Y56/1000</f>
        <v>0.97183587341885214</v>
      </c>
      <c r="Z60">
        <f t="shared" si="20" ref="Z60:AC60">Z56/1000</f>
        <v>1.0649236007578224</v>
      </c>
      <c r="AA60">
        <f t="shared" si="20"/>
        <v>1.0537530734771461</v>
      </c>
      <c r="AB60">
        <f t="shared" si="20"/>
        <v>0.92715376429614615</v>
      </c>
      <c r="AC60">
        <f t="shared" si="20"/>
        <v>0.81917200058294037</v>
      </c>
    </row>
    <row r="62" spans="3:29" ht="14.5">
      <c r="C62" t="s">
        <v>243</v>
      </c>
      <c r="L62">
        <f>L57/L60</f>
        <v>0.22222222222222221</v>
      </c>
      <c r="M62">
        <f t="shared" si="21" ref="M62:Q62">M57/M60</f>
        <v>0.23809523809523811</v>
      </c>
      <c r="N62">
        <f t="shared" si="21"/>
        <v>0.17695783132530118</v>
      </c>
      <c r="O62">
        <f t="shared" si="21"/>
        <v>0.22687545520757463</v>
      </c>
      <c r="P62">
        <f t="shared" si="21"/>
        <v>0.23521176058802937</v>
      </c>
      <c r="Q62">
        <f t="shared" si="21"/>
        <v>0.20720386186409206</v>
      </c>
      <c r="S62" s="53">
        <f>AVERAGE(L62:R62)</f>
        <v>0.21776106155040961</v>
      </c>
      <c r="Y62">
        <v>2018</v>
      </c>
      <c r="Z62">
        <v>2022</v>
      </c>
      <c r="AA62">
        <v>2030</v>
      </c>
      <c r="AB62">
        <v>2040</v>
      </c>
      <c r="AC62">
        <v>2050</v>
      </c>
    </row>
    <row r="63" spans="3:19" ht="14.5">
      <c r="C63" t="s">
        <v>244</v>
      </c>
      <c r="L63">
        <f>L58/L60</f>
        <v>0.068199233716475099</v>
      </c>
      <c r="M63">
        <f t="shared" si="22" ref="M63:Q63">M58/M60</f>
        <v>0.089238845144356968</v>
      </c>
      <c r="N63">
        <f t="shared" si="22"/>
        <v>0.095632530120481909</v>
      </c>
      <c r="O63">
        <f t="shared" si="22"/>
        <v>0.10342316096139838</v>
      </c>
      <c r="P63">
        <f t="shared" si="22"/>
        <v>0.098704935246762326</v>
      </c>
      <c r="Q63">
        <f t="shared" si="22"/>
        <v>0.10100259933160044</v>
      </c>
      <c r="S63" s="53">
        <f>AVERAGE(L63:R63)</f>
        <v>0.092700217420179185</v>
      </c>
    </row>
    <row r="64" spans="3:19" ht="14.5">
      <c r="C64" t="s">
        <v>245</v>
      </c>
      <c r="L64">
        <f>L59/L60</f>
        <v>0.70957854406130261</v>
      </c>
      <c r="M64">
        <f t="shared" si="23" ref="M64:Q64">M59/M60</f>
        <v>0.67266591676040499</v>
      </c>
      <c r="N64">
        <f t="shared" si="23"/>
        <v>0.72740963855421681</v>
      </c>
      <c r="O64">
        <f t="shared" si="23"/>
        <v>0.66970138383102695</v>
      </c>
      <c r="P64">
        <f t="shared" si="23"/>
        <v>0.66608330416520822</v>
      </c>
      <c r="Q64">
        <f t="shared" si="23"/>
        <v>0.6917935388043075</v>
      </c>
      <c r="S64" s="53">
        <f>AVERAGE(L64:R64)</f>
        <v>0.68953872102941116</v>
      </c>
    </row>
    <row r="65" spans="19:19" ht="14.5">
      <c r="S65" s="53"/>
    </row>
  </sheetData>
  <mergeCells count="1">
    <mergeCell ref="B28:F2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5C68F78-06A2-4827-B5E8-839FF571E24F}">
  <dimension ref="B2:AE77"/>
  <sheetViews>
    <sheetView zoomScale="80" zoomScaleNormal="80" workbookViewId="0" topLeftCell="A32">
      <selection pane="topLeft" activeCell="V12" sqref="V12"/>
    </sheetView>
  </sheetViews>
  <sheetFormatPr defaultRowHeight="14.5"/>
  <cols>
    <col min="2" max="2" width="13.4285714285714" customWidth="1"/>
    <col min="3" max="3" width="14.7142857142857" customWidth="1"/>
    <col min="4" max="4" width="13.1428571428571" customWidth="1"/>
    <col min="5" max="5" width="10.5714285714286" customWidth="1"/>
    <col min="6" max="6" width="11.4285714285714" customWidth="1"/>
  </cols>
  <sheetData>
    <row r="2" spans="2:13" ht="14.5">
      <c r="B2" t="s">
        <v>250</v>
      </c>
      <c r="C2" t="s">
        <v>1</v>
      </c>
      <c r="G2" s="33"/>
      <c r="H2" s="33"/>
      <c r="I2" s="33"/>
      <c r="J2" s="33"/>
      <c r="K2" s="33"/>
      <c r="L2" s="33"/>
      <c r="M2" s="33"/>
    </row>
    <row r="3" spans="2:22" ht="15" thickBot="1">
      <c r="B3" s="54" t="s">
        <v>2</v>
      </c>
      <c r="C3" s="54" t="s">
        <v>3</v>
      </c>
      <c r="D3" s="54" t="s">
        <v>4</v>
      </c>
      <c r="E3" s="54" t="s">
        <v>5</v>
      </c>
      <c r="F3" s="54" t="s">
        <v>59</v>
      </c>
      <c r="G3" s="54">
        <v>2018</v>
      </c>
      <c r="H3" s="54">
        <v>2019</v>
      </c>
      <c r="I3" s="54">
        <v>2020</v>
      </c>
      <c r="J3" s="54">
        <v>2021</v>
      </c>
      <c r="K3" s="54">
        <v>2022</v>
      </c>
      <c r="L3" s="54">
        <v>2030</v>
      </c>
      <c r="M3" s="54">
        <v>2040</v>
      </c>
      <c r="N3" s="54">
        <v>2050</v>
      </c>
      <c r="O3" s="54">
        <v>2060</v>
      </c>
      <c r="P3" s="54">
        <v>2070</v>
      </c>
      <c r="Q3" s="54"/>
      <c r="R3" s="54"/>
      <c r="S3" s="54"/>
      <c r="T3" s="54"/>
      <c r="U3" s="54"/>
      <c r="V3" s="54"/>
    </row>
    <row r="4" spans="3:23" ht="14.5">
      <c r="C4" s="74" t="s">
        <v>6</v>
      </c>
      <c r="D4" s="74" t="str">
        <f>_xlfn.TEXTJOIN(",",TRUE,Regions!$C$3,Regions!$D$3)</f>
        <v>IE,National</v>
      </c>
      <c r="E4" s="91" t="s">
        <v>214</v>
      </c>
      <c r="F4" s="74"/>
      <c r="G4" s="93">
        <v>8133</v>
      </c>
      <c r="H4" s="93">
        <v>8373.94</v>
      </c>
      <c r="I4" s="93">
        <v>8642.50</v>
      </c>
      <c r="J4" s="93">
        <v>8968.40</v>
      </c>
      <c r="K4" s="93">
        <v>9442</v>
      </c>
      <c r="L4" s="93"/>
      <c r="M4" s="93"/>
      <c r="N4" s="93">
        <v>4721</v>
      </c>
      <c r="O4" s="93"/>
      <c r="P4" s="93"/>
      <c r="Q4" s="96"/>
      <c r="R4" s="93"/>
      <c r="W4" t="s">
        <v>260</v>
      </c>
    </row>
    <row r="5" spans="3:18" ht="14.5">
      <c r="C5" s="74" t="s">
        <v>6</v>
      </c>
      <c r="D5" s="74" t="str">
        <f>_xlfn.TEXTJOIN(",",TRUE,Regions!$C$3,Regions!$D$3)</f>
        <v>IE,National</v>
      </c>
      <c r="E5" s="91" t="s">
        <v>215</v>
      </c>
      <c r="F5" s="74"/>
      <c r="G5" s="87">
        <v>5.8360000000000003</v>
      </c>
      <c r="H5" s="87">
        <v>5.68</v>
      </c>
      <c r="I5" s="87">
        <v>5.71</v>
      </c>
      <c r="J5" s="87">
        <v>5.72</v>
      </c>
      <c r="K5" s="87">
        <v>5.742</v>
      </c>
      <c r="L5" s="87"/>
      <c r="M5" s="93"/>
      <c r="N5" s="93">
        <v>2.87</v>
      </c>
      <c r="O5" s="93"/>
      <c r="P5" s="93"/>
      <c r="Q5" s="96"/>
      <c r="R5" s="93"/>
    </row>
    <row r="6" spans="3:18" ht="14.5">
      <c r="C6" s="74" t="s">
        <v>6</v>
      </c>
      <c r="D6" s="74" t="str">
        <f>_xlfn.TEXTJOIN(",",TRUE,Regions!$C$3,Regions!$D$3)</f>
        <v>IE,National</v>
      </c>
      <c r="E6" s="91" t="s">
        <v>216</v>
      </c>
      <c r="F6" s="74"/>
      <c r="G6" s="93">
        <v>5.1479999999999997</v>
      </c>
      <c r="H6" s="93">
        <v>5.035</v>
      </c>
      <c r="I6" s="93">
        <v>5.3109999999999999</v>
      </c>
      <c r="J6" s="93">
        <v>5.3310000000000004</v>
      </c>
      <c r="K6" s="93">
        <v>5.9669999999999996</v>
      </c>
      <c r="L6" s="93">
        <v>5.9669999999999996</v>
      </c>
      <c r="M6" s="93">
        <v>5.9669999999999996</v>
      </c>
      <c r="N6" s="93">
        <v>5.96</v>
      </c>
      <c r="O6" s="93">
        <v>5.96</v>
      </c>
      <c r="P6" s="93">
        <v>5.96</v>
      </c>
      <c r="Q6" s="96"/>
      <c r="R6" s="93"/>
    </row>
    <row r="7" spans="3:18" ht="14.5">
      <c r="C7" s="74" t="s">
        <v>6</v>
      </c>
      <c r="D7" s="74" t="str">
        <f>_xlfn.TEXTJOIN(",",TRUE,Regions!$C$3,Regions!$D$3)</f>
        <v>IE,National</v>
      </c>
      <c r="E7" s="91" t="s">
        <v>217</v>
      </c>
      <c r="F7" s="74"/>
      <c r="G7" s="87">
        <v>1.60</v>
      </c>
      <c r="H7" s="87">
        <v>1.62</v>
      </c>
      <c r="I7" s="87">
        <v>1.63</v>
      </c>
      <c r="J7" s="87">
        <v>1.70</v>
      </c>
      <c r="K7" s="87">
        <v>1.63</v>
      </c>
      <c r="L7" s="87">
        <v>1.63</v>
      </c>
      <c r="M7" s="87">
        <v>1.63</v>
      </c>
      <c r="N7" s="87">
        <v>1.63</v>
      </c>
      <c r="O7" s="87">
        <v>1.63</v>
      </c>
      <c r="P7" s="87">
        <v>1.63</v>
      </c>
      <c r="Q7" s="96"/>
      <c r="R7" s="93"/>
    </row>
    <row r="8" spans="3:18" ht="14.5">
      <c r="C8" s="74" t="s">
        <v>6</v>
      </c>
      <c r="D8" s="74" t="str">
        <f>_xlfn.TEXTJOIN(",",TRUE,Regions!$C$3,Regions!$D$3)</f>
        <v>IE,National</v>
      </c>
      <c r="E8" s="91" t="s">
        <v>218</v>
      </c>
      <c r="F8" s="74"/>
      <c r="G8" s="87">
        <v>17.40</v>
      </c>
      <c r="H8" s="87">
        <v>18.20</v>
      </c>
      <c r="I8" s="87">
        <v>19.30</v>
      </c>
      <c r="J8" s="87">
        <v>19.20</v>
      </c>
      <c r="K8" s="87">
        <v>18.80</v>
      </c>
      <c r="L8" s="87">
        <v>18.80</v>
      </c>
      <c r="M8" s="87">
        <v>18.80</v>
      </c>
      <c r="N8" s="87">
        <v>18.80</v>
      </c>
      <c r="O8" s="87">
        <v>18.80</v>
      </c>
      <c r="P8" s="87">
        <v>18.80</v>
      </c>
      <c r="Q8" s="96"/>
      <c r="R8" s="93"/>
    </row>
    <row r="9" spans="3:18" ht="14.5">
      <c r="C9" s="74" t="s">
        <v>6</v>
      </c>
      <c r="D9" s="74" t="str">
        <f>_xlfn.TEXTJOIN(",",TRUE,Regions!$C$3,Regions!$D$3)</f>
        <v>IE,National</v>
      </c>
      <c r="E9" s="91" t="s">
        <v>219</v>
      </c>
      <c r="F9" s="74"/>
      <c r="G9" s="87">
        <v>0.224</v>
      </c>
      <c r="H9" s="87">
        <v>0.20</v>
      </c>
      <c r="I9" s="87">
        <v>0.18</v>
      </c>
      <c r="J9" s="87">
        <v>0.16</v>
      </c>
      <c r="K9" s="87">
        <v>0.1116</v>
      </c>
      <c r="L9" s="87">
        <v>0.1116</v>
      </c>
      <c r="M9" s="87">
        <v>0.1116</v>
      </c>
      <c r="N9" s="87">
        <v>0.1116</v>
      </c>
      <c r="O9" s="87">
        <v>0.1116</v>
      </c>
      <c r="P9" s="87">
        <v>0.1116</v>
      </c>
      <c r="Q9" s="96"/>
      <c r="R9" s="93"/>
    </row>
    <row r="10" spans="3:18" ht="14.5">
      <c r="C10" s="74" t="s">
        <v>6</v>
      </c>
      <c r="D10" s="74" t="str">
        <f>_xlfn.TEXTJOIN(",",TRUE,Regions!$C$3,Regions!$D$3)</f>
        <v>IE,National</v>
      </c>
      <c r="E10" s="92" t="s">
        <v>220</v>
      </c>
      <c r="F10" s="74"/>
      <c r="G10" s="93">
        <v>0.55357910500975838</v>
      </c>
      <c r="H10" s="93"/>
      <c r="I10" s="93"/>
      <c r="J10" s="93"/>
      <c r="K10" s="93">
        <v>0.60660392349728309</v>
      </c>
      <c r="L10" s="93">
        <v>0.60872491623678415</v>
      </c>
      <c r="M10" s="93">
        <v>0.55145811227025743</v>
      </c>
      <c r="N10" s="93">
        <v>0.52176421391724348</v>
      </c>
      <c r="O10" s="93">
        <v>0.52176421391724348</v>
      </c>
      <c r="P10" s="93">
        <v>0.52176421391724348</v>
      </c>
      <c r="Q10" s="96"/>
      <c r="R10" s="93"/>
    </row>
    <row r="11" spans="3:18" ht="14.5">
      <c r="C11" s="74" t="s">
        <v>6</v>
      </c>
      <c r="D11" s="74" t="str">
        <f>_xlfn.TEXTJOIN(",",TRUE,Regions!$C$3,Regions!$D$3)</f>
        <v>IE,National</v>
      </c>
      <c r="E11" s="92" t="s">
        <v>221</v>
      </c>
      <c r="F11" s="74"/>
      <c r="G11" s="87">
        <v>0.19113857829866746</v>
      </c>
      <c r="H11" s="87"/>
      <c r="I11" s="87"/>
      <c r="J11" s="87"/>
      <c r="K11" s="87">
        <v>0.20944687123915287</v>
      </c>
      <c r="L11" s="87">
        <v>0.21017920295677225</v>
      </c>
      <c r="M11" s="93">
        <v>0.19040624658104807</v>
      </c>
      <c r="N11" s="96">
        <v>0.18015360253437623</v>
      </c>
      <c r="O11" s="96">
        <v>0.18015360253437623</v>
      </c>
      <c r="P11" s="96">
        <v>0.18015360253437623</v>
      </c>
      <c r="Q11" s="96"/>
      <c r="R11" s="94"/>
    </row>
    <row r="12" spans="3:21" ht="14.5">
      <c r="C12" s="74" t="s">
        <v>6</v>
      </c>
      <c r="D12" s="74" t="str">
        <f>_xlfn.TEXTJOIN(",",TRUE,Regions!$C$3,Regions!$D$3)</f>
        <v>IE,National</v>
      </c>
      <c r="E12" s="92" t="s">
        <v>222</v>
      </c>
      <c r="F12" s="74"/>
      <c r="G12" s="87">
        <v>0.97183587341885214</v>
      </c>
      <c r="H12" s="87"/>
      <c r="I12" s="87"/>
      <c r="J12" s="87"/>
      <c r="K12" s="87">
        <v>1.0649236007578224</v>
      </c>
      <c r="L12" s="87">
        <v>1.0686471098513814</v>
      </c>
      <c r="M12" s="93">
        <v>0.96811236432529313</v>
      </c>
      <c r="N12" s="97">
        <v>0.91598323701546969</v>
      </c>
      <c r="O12" s="97">
        <v>0.91598323701546969</v>
      </c>
      <c r="P12" s="97">
        <v>0.91598323701546969</v>
      </c>
      <c r="Q12" s="97"/>
      <c r="R12" s="93"/>
      <c r="U12" s="53"/>
    </row>
    <row r="13" spans="3:18" ht="14.5">
      <c r="C13" s="74" t="s">
        <v>6</v>
      </c>
      <c r="D13" s="74" t="str">
        <f>_xlfn.TEXTJOIN(",",TRUE,Regions!$C$3,Regions!$D$3)</f>
        <v>IE,National</v>
      </c>
      <c r="E13" s="92" t="s">
        <v>223</v>
      </c>
      <c r="F13" s="74"/>
      <c r="G13" s="87">
        <v>0.027</v>
      </c>
      <c r="H13" s="87"/>
      <c r="I13" s="87"/>
      <c r="J13" s="87"/>
      <c r="K13" s="87">
        <v>0.06</v>
      </c>
      <c r="L13" s="87">
        <v>0.06</v>
      </c>
      <c r="M13" s="87">
        <v>0.06</v>
      </c>
      <c r="N13" s="87">
        <v>0.06</v>
      </c>
      <c r="O13" s="87">
        <v>0.06</v>
      </c>
      <c r="P13" s="87">
        <v>0.06</v>
      </c>
      <c r="Q13" s="97"/>
      <c r="R13" s="95"/>
    </row>
    <row r="14" spans="3:18" ht="14.5">
      <c r="C14" s="74" t="s">
        <v>6</v>
      </c>
      <c r="D14" s="74" t="str">
        <f>_xlfn.TEXTJOIN(",",TRUE,Regions!$C$3,Regions!$D$3)</f>
        <v>IE,National</v>
      </c>
      <c r="E14" s="92" t="s">
        <v>224</v>
      </c>
      <c r="F14" s="74"/>
      <c r="G14" s="87">
        <v>0.27</v>
      </c>
      <c r="H14" s="87"/>
      <c r="I14" s="87"/>
      <c r="J14" s="87"/>
      <c r="K14" s="87">
        <v>0.36799999999999999</v>
      </c>
      <c r="L14" s="87">
        <v>0.36799999999999999</v>
      </c>
      <c r="M14" s="87">
        <v>0.36799999999999999</v>
      </c>
      <c r="N14" s="87">
        <v>0.36799999999999999</v>
      </c>
      <c r="O14" s="87">
        <v>0.36799999999999999</v>
      </c>
      <c r="P14" s="87">
        <v>0.36799999999999999</v>
      </c>
      <c r="Q14" s="93"/>
      <c r="R14" s="93"/>
    </row>
    <row r="15" spans="3:17" ht="14.5"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</row>
    <row r="19" spans="7:16" ht="14.5">
      <c r="G19">
        <v>2018</v>
      </c>
      <c r="H19">
        <v>2019</v>
      </c>
      <c r="I19">
        <v>2020</v>
      </c>
      <c r="J19">
        <v>2021</v>
      </c>
      <c r="K19">
        <v>2022</v>
      </c>
      <c r="L19">
        <v>2030</v>
      </c>
      <c r="M19">
        <v>2040</v>
      </c>
      <c r="N19">
        <v>2050</v>
      </c>
      <c r="O19">
        <v>2060</v>
      </c>
      <c r="P19">
        <v>2070</v>
      </c>
    </row>
    <row r="20" spans="3:16" ht="14.5">
      <c r="C20" t="s">
        <v>6</v>
      </c>
      <c r="D20" t="s">
        <v>161</v>
      </c>
      <c r="E20" t="s">
        <v>214</v>
      </c>
      <c r="G20">
        <v>8133</v>
      </c>
      <c r="H20">
        <v>8373.94</v>
      </c>
      <c r="I20">
        <v>8642.50</v>
      </c>
      <c r="J20">
        <v>8968.40</v>
      </c>
      <c r="K20">
        <v>9442</v>
      </c>
      <c r="L20">
        <v>10433</v>
      </c>
      <c r="M20">
        <v>12346</v>
      </c>
      <c r="N20">
        <v>13003</v>
      </c>
      <c r="O20">
        <v>13003</v>
      </c>
      <c r="P20">
        <v>13003</v>
      </c>
    </row>
    <row r="21" spans="3:16" ht="14.5">
      <c r="C21" t="s">
        <v>6</v>
      </c>
      <c r="D21" t="s">
        <v>161</v>
      </c>
      <c r="E21" t="s">
        <v>215</v>
      </c>
      <c r="G21">
        <v>5.8360000000000003</v>
      </c>
      <c r="H21">
        <v>5.68</v>
      </c>
      <c r="I21">
        <v>5.71</v>
      </c>
      <c r="J21">
        <v>5.72</v>
      </c>
      <c r="K21">
        <v>5.742</v>
      </c>
      <c r="L21">
        <v>5.2560000000000002</v>
      </c>
      <c r="M21">
        <v>5.125</v>
      </c>
      <c r="N21">
        <v>4.9930000000000003</v>
      </c>
      <c r="O21">
        <v>4.9930000000000003</v>
      </c>
      <c r="P21">
        <v>4.9930000000000003</v>
      </c>
    </row>
    <row r="22" spans="12:16" ht="14.5">
      <c r="L22">
        <f>0.7*L20</f>
        <v>7303.0999999999995</v>
      </c>
      <c r="M22">
        <f>0.7*M20</f>
        <v>8642.1999999999989</v>
      </c>
      <c r="N22">
        <f t="shared" si="0" ref="N22:P22">0.7*N20</f>
        <v>9102.0999999999985</v>
      </c>
      <c r="O22">
        <f t="shared" si="0"/>
        <v>9102.0999999999985</v>
      </c>
      <c r="P22">
        <f t="shared" si="0"/>
        <v>9102.0999999999985</v>
      </c>
    </row>
    <row r="23" spans="12:16" ht="14.5">
      <c r="L23">
        <f>0.7*L21</f>
        <v>3.6791999999999998</v>
      </c>
      <c r="M23">
        <f>0.7*M21</f>
        <v>3.5874999999999999</v>
      </c>
      <c r="N23">
        <f t="shared" si="1" ref="N23">0.7*N21</f>
        <v>3.4950999999999999</v>
      </c>
      <c r="O23" cm="1">
        <f t="array" ref="O23:P23">_xlfn.FORECAST.LINEAR(O19:P19,L23:N23,L19:N19)</f>
        <v>3.4031666666666318</v>
      </c>
      <c r="P23">
        <v>3.3111166666666136</v>
      </c>
    </row>
    <row r="30" spans="6:15" ht="15" thickBot="1">
      <c r="F30">
        <v>2018</v>
      </c>
      <c r="G30">
        <v>2019</v>
      </c>
      <c r="H30">
        <v>2020</v>
      </c>
      <c r="I30">
        <v>2021</v>
      </c>
      <c r="J30">
        <v>2022</v>
      </c>
      <c r="K30">
        <v>2030</v>
      </c>
      <c r="L30" s="54">
        <v>2040</v>
      </c>
      <c r="M30" s="54">
        <v>2050</v>
      </c>
      <c r="N30" s="54">
        <v>2060</v>
      </c>
      <c r="O30" s="54">
        <v>2070</v>
      </c>
    </row>
    <row r="31" spans="6:15" ht="14.5">
      <c r="F31">
        <v>8133</v>
      </c>
      <c r="G31">
        <v>8373.94</v>
      </c>
      <c r="H31">
        <v>8642.50</v>
      </c>
      <c r="I31">
        <v>8968.40</v>
      </c>
      <c r="J31">
        <v>9442</v>
      </c>
      <c r="K31">
        <v>7303.10</v>
      </c>
      <c r="L31" cm="1">
        <f t="array" ref="L31:O31">_xlfn.FORECAST.LINEAR(L30:O30,F31:K31,F30:K30)</f>
        <v>6801.9928571394121</v>
      </c>
      <c r="M31">
        <v>5888.267142851837</v>
      </c>
      <c r="N31">
        <v>4974.5414285642328</v>
      </c>
      <c r="O31">
        <v>4060.8157142766577</v>
      </c>
    </row>
    <row r="41" spans="2:2" ht="14.5">
      <c r="B41" t="s">
        <v>225</v>
      </c>
    </row>
    <row r="42" spans="24:29" ht="14.5">
      <c r="X42" t="s">
        <v>249</v>
      </c>
      <c r="Y42">
        <v>8133</v>
      </c>
      <c r="Z42">
        <v>9442</v>
      </c>
      <c r="AA42">
        <v>10027</v>
      </c>
      <c r="AB42">
        <v>11593</v>
      </c>
      <c r="AC42">
        <v>12103</v>
      </c>
    </row>
    <row r="43" spans="2:20" ht="14.5">
      <c r="B43" t="s">
        <v>226</v>
      </c>
      <c r="C43" t="s">
        <v>227</v>
      </c>
      <c r="D43">
        <v>2013</v>
      </c>
      <c r="E43">
        <v>2014</v>
      </c>
      <c r="F43">
        <v>2015</v>
      </c>
      <c r="G43">
        <v>2016</v>
      </c>
      <c r="K43">
        <v>2017</v>
      </c>
      <c r="L43">
        <v>2018</v>
      </c>
      <c r="M43">
        <v>2019</v>
      </c>
      <c r="N43">
        <v>2020</v>
      </c>
      <c r="O43">
        <v>2021</v>
      </c>
      <c r="P43">
        <v>2022</v>
      </c>
      <c r="Q43">
        <v>2023</v>
      </c>
      <c r="T43" t="s">
        <v>228</v>
      </c>
    </row>
    <row r="44" spans="2:29" ht="14.5">
      <c r="B44" t="s">
        <v>229</v>
      </c>
      <c r="C44" t="s">
        <v>230</v>
      </c>
      <c r="D44">
        <v>60.60</v>
      </c>
      <c r="E44">
        <v>71.599999999999994</v>
      </c>
      <c r="F44">
        <v>65.30</v>
      </c>
      <c r="G44">
        <v>67.900000000000006</v>
      </c>
      <c r="K44">
        <v>67</v>
      </c>
      <c r="L44">
        <v>58</v>
      </c>
      <c r="M44">
        <v>63.50</v>
      </c>
      <c r="N44">
        <v>47</v>
      </c>
      <c r="O44">
        <v>62.30</v>
      </c>
      <c r="P44">
        <v>67.20</v>
      </c>
      <c r="Q44">
        <v>55.80</v>
      </c>
      <c r="T44">
        <v>62.381818181818176</v>
      </c>
      <c r="Y44">
        <v>261</v>
      </c>
      <c r="Z44">
        <v>286</v>
      </c>
      <c r="AA44">
        <v>287</v>
      </c>
      <c r="AB44">
        <v>260</v>
      </c>
      <c r="AC44">
        <v>246</v>
      </c>
    </row>
    <row r="45" spans="3:31" ht="14.5">
      <c r="C45" t="s">
        <v>231</v>
      </c>
      <c r="D45">
        <v>26.70</v>
      </c>
      <c r="E45">
        <v>18.60</v>
      </c>
      <c r="F45">
        <v>23.40</v>
      </c>
      <c r="G45">
        <v>23.20</v>
      </c>
      <c r="K45">
        <v>24.40</v>
      </c>
      <c r="L45">
        <v>17.80</v>
      </c>
      <c r="M45">
        <v>23.80</v>
      </c>
      <c r="N45">
        <v>25.40</v>
      </c>
      <c r="O45">
        <v>28.40</v>
      </c>
      <c r="P45">
        <v>28.20</v>
      </c>
      <c r="Q45">
        <v>27.20</v>
      </c>
      <c r="T45">
        <v>24.281818181818185</v>
      </c>
      <c r="X45" t="s">
        <v>230</v>
      </c>
      <c r="Y45">
        <f>$AE$45*Y44</f>
        <v>56.835637064656908</v>
      </c>
      <c r="Z45">
        <f t="shared" si="2" ref="Z45:AC45">$AE$45*Z44</f>
        <v>62.279663603417148</v>
      </c>
      <c r="AA45">
        <f t="shared" si="2"/>
        <v>62.497424664967561</v>
      </c>
      <c r="AB45">
        <f t="shared" si="2"/>
        <v>56.617876003106502</v>
      </c>
      <c r="AC45">
        <f t="shared" si="2"/>
        <v>53.569221141400767</v>
      </c>
      <c r="AE45">
        <v>0.21776106155040961</v>
      </c>
    </row>
    <row r="46" spans="3:31" ht="14.5">
      <c r="C46" t="s">
        <v>232</v>
      </c>
      <c r="D46">
        <v>219.40</v>
      </c>
      <c r="E46">
        <v>215.70</v>
      </c>
      <c r="F46">
        <v>202.80</v>
      </c>
      <c r="G46">
        <v>189.20</v>
      </c>
      <c r="K46">
        <v>180.20</v>
      </c>
      <c r="L46">
        <v>185.20</v>
      </c>
      <c r="M46">
        <v>179.40</v>
      </c>
      <c r="N46">
        <v>193.20</v>
      </c>
      <c r="O46">
        <v>183.90</v>
      </c>
      <c r="P46">
        <v>190.30</v>
      </c>
      <c r="Q46">
        <v>186.30</v>
      </c>
      <c r="T46">
        <v>193.23636363636368</v>
      </c>
      <c r="X46" t="s">
        <v>242</v>
      </c>
      <c r="Y46">
        <f>$AE$46*Y44</f>
        <v>24.194756746666766</v>
      </c>
      <c r="Z46">
        <f t="shared" si="3" ref="Z46:AC46">$AE$46*Z44</f>
        <v>26.512262182171249</v>
      </c>
      <c r="AA46">
        <f t="shared" si="3"/>
        <v>26.604962399591425</v>
      </c>
      <c r="AB46">
        <f t="shared" si="3"/>
        <v>24.102056529246589</v>
      </c>
      <c r="AC46">
        <f t="shared" si="3"/>
        <v>22.804253485364079</v>
      </c>
      <c r="AE46">
        <v>0.092700217420179185</v>
      </c>
    </row>
    <row r="47" spans="3:31" ht="14.5">
      <c r="C47" t="s">
        <v>233</v>
      </c>
      <c r="D47">
        <v>4.50</v>
      </c>
      <c r="E47">
        <v>3.50</v>
      </c>
      <c r="F47">
        <v>10.70</v>
      </c>
      <c r="G47">
        <v>12.50</v>
      </c>
      <c r="K47">
        <v>13.70</v>
      </c>
      <c r="L47">
        <v>8.50</v>
      </c>
      <c r="M47">
        <v>8.10</v>
      </c>
      <c r="N47">
        <v>13.70</v>
      </c>
      <c r="O47">
        <v>9.6999999999999993</v>
      </c>
      <c r="P47">
        <v>10.80</v>
      </c>
      <c r="Q47">
        <v>16.20</v>
      </c>
      <c r="T47">
        <v>10.172727272727274</v>
      </c>
      <c r="X47" t="s">
        <v>232</v>
      </c>
      <c r="Y47">
        <f>$AE$47*Y44</f>
        <v>179.96960618867629</v>
      </c>
      <c r="Z47">
        <f t="shared" si="4" ref="Z47:AC47">$AE$47*Z44</f>
        <v>197.20807421441157</v>
      </c>
      <c r="AA47">
        <f t="shared" si="4"/>
        <v>197.89761293544097</v>
      </c>
      <c r="AB47">
        <f t="shared" si="4"/>
        <v>179.28006746764686</v>
      </c>
      <c r="AC47">
        <f t="shared" si="4"/>
        <v>169.62652537323513</v>
      </c>
      <c r="AE47">
        <v>0.68953872102941105</v>
      </c>
    </row>
    <row r="48" spans="3:29" ht="14.5">
      <c r="C48" t="s">
        <v>234</v>
      </c>
      <c r="D48">
        <v>13.70</v>
      </c>
      <c r="E48">
        <v>9.40</v>
      </c>
      <c r="F48">
        <v>8.90</v>
      </c>
      <c r="G48">
        <v>9.90</v>
      </c>
      <c r="K48">
        <v>10.10</v>
      </c>
      <c r="L48">
        <v>10.60</v>
      </c>
      <c r="M48">
        <v>9.1999999999999993</v>
      </c>
      <c r="N48">
        <v>10.30</v>
      </c>
      <c r="O48">
        <v>11.30</v>
      </c>
      <c r="P48">
        <v>15.80</v>
      </c>
      <c r="Q48">
        <v>21.60</v>
      </c>
      <c r="T48">
        <v>11.890909090909089</v>
      </c>
      <c r="Y48">
        <f>SUM(Y45:Y47)</f>
        <v>261</v>
      </c>
      <c r="Z48">
        <f t="shared" si="5" ref="Z48:AC48">SUM(Z45:Z47)</f>
        <v>286</v>
      </c>
      <c r="AA48">
        <f t="shared" si="5"/>
        <v>286.99999999999994</v>
      </c>
      <c r="AB48">
        <f t="shared" si="5"/>
        <v>259.99999999999994</v>
      </c>
      <c r="AC48">
        <f t="shared" si="5"/>
        <v>245.99999999999997</v>
      </c>
    </row>
    <row r="49" spans="3:20" ht="14.5">
      <c r="C49" t="s">
        <v>235</v>
      </c>
      <c r="D49">
        <v>10.70</v>
      </c>
      <c r="E49">
        <v>9.50</v>
      </c>
      <c r="F49">
        <v>8.50</v>
      </c>
      <c r="G49">
        <v>9</v>
      </c>
      <c r="K49">
        <v>9.1999999999999993</v>
      </c>
      <c r="L49">
        <v>8.1999999999999993</v>
      </c>
      <c r="M49">
        <v>8.6999999999999993</v>
      </c>
      <c r="N49">
        <v>8.90</v>
      </c>
      <c r="O49">
        <v>8.90</v>
      </c>
      <c r="P49">
        <v>8.50</v>
      </c>
      <c r="Q49">
        <v>8.1999999999999993</v>
      </c>
      <c r="T49">
        <v>8.9363636363636392</v>
      </c>
    </row>
    <row r="51" spans="2:21" ht="14.5">
      <c r="B51" t="s">
        <v>236</v>
      </c>
      <c r="C51" t="s">
        <v>230</v>
      </c>
      <c r="D51">
        <v>9</v>
      </c>
      <c r="E51">
        <v>10</v>
      </c>
      <c r="F51">
        <v>10.70</v>
      </c>
      <c r="G51">
        <v>9.50</v>
      </c>
      <c r="K51">
        <v>10.199999999999999</v>
      </c>
      <c r="L51">
        <v>8.6999999999999993</v>
      </c>
      <c r="M51">
        <v>10</v>
      </c>
      <c r="N51">
        <v>8.40</v>
      </c>
      <c r="O51">
        <v>10.60</v>
      </c>
      <c r="P51">
        <v>10.70</v>
      </c>
      <c r="Q51">
        <v>9.3000000000000007</v>
      </c>
      <c r="T51" t="s">
        <v>237</v>
      </c>
      <c r="U51">
        <f>AVERAGE(D51:T51)</f>
        <v>9.7363636363636363</v>
      </c>
    </row>
    <row r="52" spans="3:20" ht="14.5">
      <c r="C52" t="s">
        <v>231</v>
      </c>
      <c r="D52">
        <v>7.20</v>
      </c>
      <c r="E52">
        <v>8</v>
      </c>
      <c r="F52">
        <v>8.40</v>
      </c>
      <c r="G52">
        <v>7.90</v>
      </c>
      <c r="K52">
        <v>8.40</v>
      </c>
      <c r="L52">
        <v>6.90</v>
      </c>
      <c r="M52">
        <v>8.50</v>
      </c>
      <c r="N52">
        <v>7.50</v>
      </c>
      <c r="O52">
        <v>8.40</v>
      </c>
      <c r="P52">
        <v>8.60</v>
      </c>
      <c r="Q52">
        <v>7.60</v>
      </c>
      <c r="T52">
        <v>7.9454545454545444</v>
      </c>
    </row>
    <row r="53" spans="3:29" ht="14.5">
      <c r="C53" t="s">
        <v>232</v>
      </c>
      <c r="D53">
        <v>7.60</v>
      </c>
      <c r="E53">
        <v>8</v>
      </c>
      <c r="F53">
        <v>8.60</v>
      </c>
      <c r="G53">
        <v>7.80</v>
      </c>
      <c r="K53">
        <v>8.40</v>
      </c>
      <c r="L53">
        <v>6.60</v>
      </c>
      <c r="M53">
        <v>8.6999999999999993</v>
      </c>
      <c r="N53">
        <v>7.40</v>
      </c>
      <c r="O53">
        <v>8.50</v>
      </c>
      <c r="P53">
        <v>8.3000000000000007</v>
      </c>
      <c r="Q53">
        <v>7</v>
      </c>
      <c r="T53">
        <v>7.90</v>
      </c>
      <c r="X53" t="s">
        <v>239</v>
      </c>
      <c r="Y53">
        <v>1425</v>
      </c>
      <c r="Z53">
        <v>1569</v>
      </c>
      <c r="AA53">
        <v>1600</v>
      </c>
      <c r="AB53">
        <v>1709</v>
      </c>
      <c r="AC53">
        <v>1673</v>
      </c>
    </row>
    <row r="54" spans="3:29" ht="14.5">
      <c r="C54" t="s">
        <v>233</v>
      </c>
      <c r="D54">
        <v>5.20</v>
      </c>
      <c r="E54">
        <v>5.70</v>
      </c>
      <c r="F54">
        <v>6.50</v>
      </c>
      <c r="G54">
        <v>5.70</v>
      </c>
      <c r="K54">
        <v>6.60</v>
      </c>
      <c r="L54">
        <v>2.70</v>
      </c>
      <c r="M54">
        <v>5.40</v>
      </c>
      <c r="N54">
        <v>4.80</v>
      </c>
      <c r="O54">
        <v>5.60</v>
      </c>
      <c r="P54">
        <v>6.10</v>
      </c>
      <c r="Q54">
        <v>5</v>
      </c>
      <c r="T54">
        <v>5.3909090909090907</v>
      </c>
      <c r="X54" t="s">
        <v>240</v>
      </c>
      <c r="Y54">
        <v>7261</v>
      </c>
      <c r="Z54">
        <v>7311</v>
      </c>
      <c r="AA54">
        <v>6641</v>
      </c>
      <c r="AB54">
        <v>6197</v>
      </c>
      <c r="AC54">
        <v>5692</v>
      </c>
    </row>
    <row r="55" spans="3:20" ht="14.5">
      <c r="C55" t="s">
        <v>234</v>
      </c>
      <c r="D55">
        <v>3.60</v>
      </c>
      <c r="E55">
        <v>3.60</v>
      </c>
      <c r="F55">
        <v>4.50</v>
      </c>
      <c r="G55">
        <v>3.50</v>
      </c>
      <c r="K55">
        <v>4.0999999999999996</v>
      </c>
      <c r="L55">
        <v>3.90</v>
      </c>
      <c r="M55">
        <v>4.20</v>
      </c>
      <c r="N55">
        <v>4.4000000000000004</v>
      </c>
      <c r="O55">
        <v>4.5999999999999996</v>
      </c>
      <c r="P55">
        <v>4.9000000000000004</v>
      </c>
      <c r="Q55">
        <v>4.50</v>
      </c>
      <c r="T55">
        <v>4.1636363636363631</v>
      </c>
    </row>
    <row r="56" spans="3:29" ht="14.5">
      <c r="C56" t="s">
        <v>235</v>
      </c>
      <c r="D56">
        <v>38.200000000000003</v>
      </c>
      <c r="E56">
        <v>40.50</v>
      </c>
      <c r="F56">
        <v>42.30</v>
      </c>
      <c r="G56">
        <v>38.90</v>
      </c>
      <c r="K56">
        <v>44.90</v>
      </c>
      <c r="L56">
        <v>33.200000000000003</v>
      </c>
      <c r="M56">
        <v>44.10</v>
      </c>
      <c r="N56">
        <v>33.799999999999997</v>
      </c>
      <c r="O56">
        <v>45.60</v>
      </c>
      <c r="P56">
        <v>43.40</v>
      </c>
      <c r="Q56">
        <v>39.200000000000003</v>
      </c>
      <c r="T56">
        <v>40.372727272727275</v>
      </c>
      <c r="X56" t="s">
        <v>241</v>
      </c>
      <c r="Y56">
        <f>Y54-Y53</f>
        <v>5836</v>
      </c>
      <c r="Z56">
        <f t="shared" si="6" ref="Z56:AC56">Z54-Z53</f>
        <v>5742</v>
      </c>
      <c r="AA56">
        <f t="shared" si="6"/>
        <v>5041</v>
      </c>
      <c r="AB56">
        <f t="shared" si="6"/>
        <v>4488</v>
      </c>
      <c r="AC56">
        <f t="shared" si="6"/>
        <v>4019</v>
      </c>
    </row>
    <row r="57" spans="25:29" ht="14.5">
      <c r="Y57">
        <f>Y56/1000</f>
        <v>5.8360000000000003</v>
      </c>
      <c r="Z57">
        <f t="shared" si="7" ref="Z57:AC57">Z56/1000</f>
        <v>5.742</v>
      </c>
      <c r="AA57">
        <f t="shared" si="7"/>
        <v>5.0410000000000004</v>
      </c>
      <c r="AB57">
        <f t="shared" si="7"/>
        <v>4.4880000000000004</v>
      </c>
      <c r="AC57">
        <f t="shared" si="7"/>
        <v>4.0190000000000001</v>
      </c>
    </row>
    <row r="58" spans="2:20" ht="14.5">
      <c r="B58" t="s">
        <v>238</v>
      </c>
      <c r="C58" t="s">
        <v>230</v>
      </c>
      <c r="D58">
        <v>545.29999999999995</v>
      </c>
      <c r="E58">
        <v>717</v>
      </c>
      <c r="F58">
        <v>696.60</v>
      </c>
      <c r="G58">
        <v>647.70000000000005</v>
      </c>
      <c r="K58">
        <v>681.70</v>
      </c>
      <c r="L58">
        <v>506.80</v>
      </c>
      <c r="M58">
        <v>636</v>
      </c>
      <c r="N58">
        <v>393</v>
      </c>
      <c r="O58">
        <v>662.40</v>
      </c>
      <c r="P58">
        <v>720</v>
      </c>
      <c r="Q58">
        <v>519.90</v>
      </c>
      <c r="T58">
        <v>611.4909090909091</v>
      </c>
    </row>
    <row r="59" spans="3:20" ht="14.5">
      <c r="C59" t="s">
        <v>231</v>
      </c>
      <c r="D59">
        <v>192.50</v>
      </c>
      <c r="E59">
        <v>149.69999999999999</v>
      </c>
      <c r="F59">
        <v>197.70</v>
      </c>
      <c r="G59">
        <v>183.30</v>
      </c>
      <c r="K59">
        <v>205</v>
      </c>
      <c r="L59">
        <v>122.30</v>
      </c>
      <c r="M59">
        <v>202.60</v>
      </c>
      <c r="N59">
        <v>189.90</v>
      </c>
      <c r="O59">
        <v>238.30</v>
      </c>
      <c r="P59">
        <v>241.60</v>
      </c>
      <c r="Q59">
        <v>206.80</v>
      </c>
      <c r="T59">
        <v>193.6090909090909</v>
      </c>
    </row>
    <row r="60" spans="3:20" ht="14.5">
      <c r="C60" t="s">
        <v>232</v>
      </c>
      <c r="D60">
        <v>1662.80</v>
      </c>
      <c r="E60">
        <v>1731.20</v>
      </c>
      <c r="F60">
        <v>1739.20</v>
      </c>
      <c r="G60">
        <v>1479.90</v>
      </c>
      <c r="K60">
        <v>1505.80</v>
      </c>
      <c r="L60">
        <v>1224.9000000000001</v>
      </c>
      <c r="M60">
        <v>1557.60</v>
      </c>
      <c r="N60">
        <v>1430.30</v>
      </c>
      <c r="O60">
        <v>1556.40</v>
      </c>
      <c r="P60">
        <v>1585.40</v>
      </c>
      <c r="Q60">
        <v>1313.30</v>
      </c>
      <c r="T60">
        <v>1526.0727272727272</v>
      </c>
    </row>
    <row r="61" spans="3:29" ht="14.5">
      <c r="C61" t="s">
        <v>233</v>
      </c>
      <c r="D61">
        <v>23.30</v>
      </c>
      <c r="E61">
        <v>20.30</v>
      </c>
      <c r="F61">
        <v>69.30</v>
      </c>
      <c r="G61">
        <v>70.599999999999994</v>
      </c>
      <c r="K61">
        <v>90.20</v>
      </c>
      <c r="L61">
        <v>22.70</v>
      </c>
      <c r="M61">
        <v>44</v>
      </c>
      <c r="N61">
        <v>65.70</v>
      </c>
      <c r="O61">
        <v>54.40</v>
      </c>
      <c r="P61">
        <v>65.70</v>
      </c>
      <c r="Q61">
        <v>81.30</v>
      </c>
      <c r="T61">
        <v>55.22727272727272</v>
      </c>
      <c r="Y61">
        <v>261</v>
      </c>
      <c r="Z61">
        <v>286</v>
      </c>
      <c r="AA61">
        <v>286.99999999999994</v>
      </c>
      <c r="AB61">
        <v>259.99999999999994</v>
      </c>
      <c r="AC61">
        <v>245.99999999999997</v>
      </c>
    </row>
    <row r="62" spans="3:29" ht="14.5">
      <c r="C62" t="s">
        <v>234</v>
      </c>
      <c r="D62">
        <v>49.20</v>
      </c>
      <c r="E62">
        <v>34.200000000000003</v>
      </c>
      <c r="F62">
        <v>39.90</v>
      </c>
      <c r="G62">
        <v>34.10</v>
      </c>
      <c r="K62">
        <v>41.70</v>
      </c>
      <c r="L62">
        <v>40.90</v>
      </c>
      <c r="M62">
        <v>38.40</v>
      </c>
      <c r="N62">
        <v>45.10</v>
      </c>
      <c r="O62">
        <v>52.20</v>
      </c>
      <c r="P62">
        <v>77.80</v>
      </c>
      <c r="Q62">
        <v>97.30</v>
      </c>
      <c r="T62">
        <v>50.072727272727278</v>
      </c>
      <c r="X62" t="s">
        <v>230</v>
      </c>
      <c r="Y62">
        <v>56.835637064656908</v>
      </c>
      <c r="Z62">
        <v>62.279663603417148</v>
      </c>
      <c r="AA62">
        <v>62.497424664967561</v>
      </c>
      <c r="AB62">
        <v>56.617876003106502</v>
      </c>
      <c r="AC62">
        <v>53.569221141400767</v>
      </c>
    </row>
    <row r="63" spans="3:29" ht="14.5">
      <c r="C63" t="s">
        <v>235</v>
      </c>
      <c r="D63">
        <v>410.10</v>
      </c>
      <c r="E63">
        <v>383</v>
      </c>
      <c r="F63">
        <v>360.10</v>
      </c>
      <c r="G63">
        <v>352</v>
      </c>
      <c r="K63">
        <v>412.40</v>
      </c>
      <c r="L63">
        <v>273</v>
      </c>
      <c r="M63">
        <v>382.40</v>
      </c>
      <c r="N63">
        <v>300.10000000000002</v>
      </c>
      <c r="O63">
        <v>407.50</v>
      </c>
      <c r="P63">
        <v>368</v>
      </c>
      <c r="Q63">
        <v>322.20</v>
      </c>
      <c r="T63">
        <v>360.98181818181814</v>
      </c>
      <c r="X63" t="s">
        <v>242</v>
      </c>
      <c r="Y63">
        <v>24.194756746666766</v>
      </c>
      <c r="Z63">
        <v>26.512262182171249</v>
      </c>
      <c r="AA63">
        <v>26.604962399591425</v>
      </c>
      <c r="AB63">
        <v>24.102056529246589</v>
      </c>
      <c r="AC63">
        <v>22.804253485364079</v>
      </c>
    </row>
    <row r="64" spans="24:29" ht="14.5">
      <c r="X64" t="s">
        <v>232</v>
      </c>
      <c r="Y64">
        <v>179.96960618867629</v>
      </c>
      <c r="Z64">
        <v>197.20807421441157</v>
      </c>
      <c r="AA64">
        <v>197.89761293544097</v>
      </c>
      <c r="AB64">
        <v>179.28006746764686</v>
      </c>
      <c r="AC64">
        <v>169.62652537323513</v>
      </c>
    </row>
    <row r="65" spans="12:16" ht="14.5">
      <c r="L65">
        <v>0.27729999999999999</v>
      </c>
      <c r="M65">
        <v>0.38200000000000001</v>
      </c>
      <c r="N65">
        <v>0.30</v>
      </c>
      <c r="O65">
        <v>0.40</v>
      </c>
      <c r="P65">
        <v>0.36799999999999999</v>
      </c>
    </row>
    <row r="66" spans="12:17" ht="14.5">
      <c r="L66">
        <f>L61/1000</f>
        <v>0.022699999999999998</v>
      </c>
      <c r="M66">
        <f t="shared" si="8" ref="M66:Q66">M61/1000</f>
        <v>0.043999999999999997</v>
      </c>
      <c r="N66">
        <f t="shared" si="8"/>
        <v>0.065700000000000008</v>
      </c>
      <c r="O66">
        <f t="shared" si="8"/>
        <v>0.054399999999999997</v>
      </c>
      <c r="P66">
        <f t="shared" si="8"/>
        <v>0.065700000000000008</v>
      </c>
      <c r="Q66">
        <f t="shared" si="8"/>
        <v>0.081299999999999997</v>
      </c>
    </row>
    <row r="67" spans="24:29" ht="14.5">
      <c r="X67" t="s">
        <v>246</v>
      </c>
      <c r="Y67">
        <f>9.74*Y62</f>
        <v>553.57910500975834</v>
      </c>
      <c r="Z67">
        <f t="shared" si="9" ref="Z67:AC67">9.74*Z62</f>
        <v>606.60392349728306</v>
      </c>
      <c r="AA67">
        <f t="shared" si="9"/>
        <v>608.72491623678411</v>
      </c>
      <c r="AB67">
        <f t="shared" si="9"/>
        <v>551.4581122702574</v>
      </c>
      <c r="AC67">
        <f t="shared" si="9"/>
        <v>521.76421391724352</v>
      </c>
    </row>
    <row r="68" spans="25:29" ht="14.5">
      <c r="Y68">
        <f>Y63*7.9</f>
        <v>191.13857829866745</v>
      </c>
      <c r="Z68">
        <f t="shared" si="10" ref="Z68:AC68">Z63*7.9</f>
        <v>209.44687123915287</v>
      </c>
      <c r="AA68">
        <f t="shared" si="10"/>
        <v>210.17920295677226</v>
      </c>
      <c r="AB68">
        <f t="shared" si="10"/>
        <v>190.40624658104807</v>
      </c>
      <c r="AC68">
        <f t="shared" si="10"/>
        <v>180.15360253437623</v>
      </c>
    </row>
    <row r="69" spans="3:29" ht="14.5">
      <c r="C69" t="s">
        <v>227</v>
      </c>
      <c r="D69">
        <v>2013</v>
      </c>
      <c r="E69">
        <v>2014</v>
      </c>
      <c r="F69">
        <v>2015</v>
      </c>
      <c r="G69">
        <v>2016</v>
      </c>
      <c r="K69">
        <v>2017</v>
      </c>
      <c r="L69">
        <v>2018</v>
      </c>
      <c r="M69">
        <v>2019</v>
      </c>
      <c r="N69">
        <v>2020</v>
      </c>
      <c r="O69">
        <v>2021</v>
      </c>
      <c r="P69">
        <v>2022</v>
      </c>
      <c r="Q69">
        <v>2023</v>
      </c>
      <c r="Y69">
        <f>Y64*5.4</f>
        <v>971.83587341885209</v>
      </c>
      <c r="Z69">
        <f t="shared" si="11" ref="Z69:AC69">Z64*5.4</f>
        <v>1064.9236007578224</v>
      </c>
      <c r="AA69">
        <f t="shared" si="11"/>
        <v>1068.6471098513814</v>
      </c>
      <c r="AB69">
        <f t="shared" si="11"/>
        <v>968.11236432529313</v>
      </c>
      <c r="AC69">
        <f t="shared" si="11"/>
        <v>915.98323701546974</v>
      </c>
    </row>
    <row r="70" spans="3:17" ht="14.5">
      <c r="C70" t="s">
        <v>230</v>
      </c>
      <c r="D70">
        <v>60.60</v>
      </c>
      <c r="E70">
        <v>71.599999999999994</v>
      </c>
      <c r="F70">
        <v>65.30</v>
      </c>
      <c r="G70">
        <v>67.900000000000006</v>
      </c>
      <c r="K70">
        <v>67</v>
      </c>
      <c r="L70">
        <v>58</v>
      </c>
      <c r="M70">
        <v>63.50</v>
      </c>
      <c r="N70">
        <v>47</v>
      </c>
      <c r="O70">
        <v>62.30</v>
      </c>
      <c r="P70">
        <v>67.20</v>
      </c>
      <c r="Q70">
        <v>55.80</v>
      </c>
    </row>
    <row r="71" spans="3:29" ht="14.5">
      <c r="C71" t="s">
        <v>231</v>
      </c>
      <c r="D71">
        <v>26.70</v>
      </c>
      <c r="E71">
        <v>18.60</v>
      </c>
      <c r="F71">
        <v>23.40</v>
      </c>
      <c r="G71">
        <v>23.20</v>
      </c>
      <c r="K71">
        <v>24.40</v>
      </c>
      <c r="L71">
        <v>17.80</v>
      </c>
      <c r="M71">
        <v>23.80</v>
      </c>
      <c r="N71">
        <v>25.40</v>
      </c>
      <c r="O71">
        <v>28.40</v>
      </c>
      <c r="P71">
        <v>28.20</v>
      </c>
      <c r="Q71">
        <v>27.20</v>
      </c>
      <c r="X71" t="s">
        <v>247</v>
      </c>
      <c r="Y71" s="53">
        <f>Y67/1000</f>
        <v>0.55357910500975838</v>
      </c>
      <c r="Z71" s="53">
        <f t="shared" si="12" ref="Z71:AC73">Z67/1000</f>
        <v>0.60660392349728309</v>
      </c>
      <c r="AA71" s="53">
        <f t="shared" si="12"/>
        <v>0.60872491623678415</v>
      </c>
      <c r="AB71" s="53">
        <f t="shared" si="12"/>
        <v>0.55145811227025743</v>
      </c>
      <c r="AC71" s="53">
        <f t="shared" si="12"/>
        <v>0.52176421391724348</v>
      </c>
    </row>
    <row r="72" spans="3:29" ht="14.5">
      <c r="C72" t="s">
        <v>232</v>
      </c>
      <c r="D72">
        <v>219.40</v>
      </c>
      <c r="E72">
        <v>215.70</v>
      </c>
      <c r="F72">
        <v>202.80</v>
      </c>
      <c r="G72">
        <v>189.20</v>
      </c>
      <c r="K72">
        <v>180.20</v>
      </c>
      <c r="L72">
        <v>185.20</v>
      </c>
      <c r="M72">
        <v>179.40</v>
      </c>
      <c r="N72">
        <v>193.20</v>
      </c>
      <c r="O72">
        <v>183.90</v>
      </c>
      <c r="P72">
        <v>190.30</v>
      </c>
      <c r="Q72">
        <v>186.30</v>
      </c>
      <c r="X72" t="s">
        <v>248</v>
      </c>
      <c r="Y72" s="53">
        <f>Y68/1000</f>
        <v>0.19113857829866746</v>
      </c>
      <c r="Z72" s="53">
        <f t="shared" si="12"/>
        <v>0.20944687123915287</v>
      </c>
      <c r="AA72" s="53">
        <f t="shared" si="12"/>
        <v>0.21017920295677225</v>
      </c>
      <c r="AB72" s="53">
        <f t="shared" si="12"/>
        <v>0.19040624658104807</v>
      </c>
      <c r="AC72" s="53">
        <f t="shared" si="12"/>
        <v>0.18015360253437623</v>
      </c>
    </row>
    <row r="73" spans="4:29" ht="14.5">
      <c r="D73">
        <f t="shared" si="13" ref="D73:Q73">SUM(D70:D72)</f>
        <v>306.69999999999999</v>
      </c>
      <c r="E73">
        <f t="shared" si="13"/>
        <v>305.89999999999998</v>
      </c>
      <c r="F73">
        <f t="shared" si="13"/>
        <v>291.5</v>
      </c>
      <c r="G73">
        <f t="shared" si="13"/>
        <v>280.30000000000001</v>
      </c>
      <c r="K73">
        <f t="shared" si="13"/>
        <v>271.60000000000002</v>
      </c>
      <c r="L73">
        <f t="shared" si="13"/>
        <v>261</v>
      </c>
      <c r="M73">
        <f t="shared" si="13"/>
        <v>266.69999999999999</v>
      </c>
      <c r="N73">
        <f t="shared" si="13"/>
        <v>265.60000000000002</v>
      </c>
      <c r="O73">
        <f t="shared" si="13"/>
        <v>274.60000000000002</v>
      </c>
      <c r="P73">
        <f t="shared" si="13"/>
        <v>285.70000000000005</v>
      </c>
      <c r="Q73">
        <f t="shared" si="13"/>
        <v>269.30000000000001</v>
      </c>
      <c r="X73" t="s">
        <v>245</v>
      </c>
      <c r="Y73" s="53">
        <f>Y69/1000</f>
        <v>0.97183587341885214</v>
      </c>
      <c r="Z73" s="53">
        <f t="shared" si="12"/>
        <v>1.0649236007578224</v>
      </c>
      <c r="AA73" s="53">
        <f t="shared" si="12"/>
        <v>1.0686471098513814</v>
      </c>
      <c r="AB73" s="53">
        <f t="shared" si="12"/>
        <v>0.96811236432529313</v>
      </c>
      <c r="AC73" s="53">
        <f t="shared" si="12"/>
        <v>0.91598323701546969</v>
      </c>
    </row>
    <row r="75" spans="3:19" ht="14.5">
      <c r="C75" t="s">
        <v>243</v>
      </c>
      <c r="L75">
        <f>L70/L73</f>
        <v>0.22222222222222221</v>
      </c>
      <c r="M75">
        <f t="shared" si="14" ref="M75:Q75">M70/M73</f>
        <v>0.23809523809523811</v>
      </c>
      <c r="N75">
        <f t="shared" si="14"/>
        <v>0.17695783132530118</v>
      </c>
      <c r="O75">
        <f t="shared" si="14"/>
        <v>0.22687545520757463</v>
      </c>
      <c r="P75">
        <f t="shared" si="14"/>
        <v>0.23521176058802937</v>
      </c>
      <c r="Q75">
        <f t="shared" si="14"/>
        <v>0.20720386186409206</v>
      </c>
      <c r="S75">
        <f>AVERAGE(L75:R75)</f>
        <v>0.21776106155040961</v>
      </c>
    </row>
    <row r="76" spans="3:19" ht="14.5">
      <c r="C76" t="s">
        <v>244</v>
      </c>
      <c r="L76">
        <f>L71/L73</f>
        <v>0.068199233716475099</v>
      </c>
      <c r="M76">
        <f t="shared" si="15" ref="M76:Q76">M71/M73</f>
        <v>0.089238845144356968</v>
      </c>
      <c r="N76">
        <f t="shared" si="15"/>
        <v>0.095632530120481909</v>
      </c>
      <c r="O76">
        <f t="shared" si="15"/>
        <v>0.10342316096139838</v>
      </c>
      <c r="P76">
        <f t="shared" si="15"/>
        <v>0.098704935246762326</v>
      </c>
      <c r="Q76">
        <f t="shared" si="15"/>
        <v>0.10100259933160044</v>
      </c>
      <c r="S76">
        <f>AVERAGE(L76:R76)</f>
        <v>0.092700217420179185</v>
      </c>
    </row>
    <row r="77" spans="3:19" ht="14.5">
      <c r="C77" t="s">
        <v>245</v>
      </c>
      <c r="L77">
        <f>L72/L73</f>
        <v>0.70957854406130261</v>
      </c>
      <c r="M77">
        <f t="shared" si="16" ref="M77:Q77">M72/M73</f>
        <v>0.67266591676040499</v>
      </c>
      <c r="N77">
        <f t="shared" si="16"/>
        <v>0.72740963855421681</v>
      </c>
      <c r="O77">
        <f t="shared" si="16"/>
        <v>0.66970138383102695</v>
      </c>
      <c r="P77">
        <f t="shared" si="16"/>
        <v>0.66608330416520822</v>
      </c>
      <c r="Q77">
        <f t="shared" si="16"/>
        <v>0.6917935388043075</v>
      </c>
      <c r="S77">
        <f>AVERAGE(L77:R77)</f>
        <v>0.68953872102941116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46D1CE-E378-4DF3-9597-29F557615270}">
  <dimension ref="A8:L14"/>
  <sheetViews>
    <sheetView workbookViewId="0" topLeftCell="A1">
      <selection pane="topLeft" activeCell="V16" sqref="V16"/>
    </sheetView>
  </sheetViews>
  <sheetFormatPr defaultRowHeight="14.5"/>
  <cols>
    <col min="10" max="10" width="10.8571428571429" customWidth="1"/>
    <col min="11" max="11" width="11.1428571428571" customWidth="1"/>
  </cols>
  <sheetData>
    <row r="8" spans="3:12" ht="14.5">
      <c r="C8">
        <v>2018</v>
      </c>
      <c r="D8">
        <v>2019</v>
      </c>
      <c r="E8">
        <v>2020</v>
      </c>
      <c r="F8">
        <v>2021</v>
      </c>
      <c r="G8">
        <v>2022</v>
      </c>
      <c r="H8">
        <v>2030</v>
      </c>
      <c r="I8">
        <v>2040</v>
      </c>
      <c r="J8">
        <v>2050</v>
      </c>
      <c r="K8">
        <v>2060</v>
      </c>
      <c r="L8">
        <v>2070</v>
      </c>
    </row>
    <row r="9" spans="1:12" ht="14.5">
      <c r="A9" t="s">
        <v>258</v>
      </c>
      <c r="B9" t="s">
        <v>256</v>
      </c>
      <c r="C9">
        <v>8133</v>
      </c>
      <c r="D9">
        <v>8373.94</v>
      </c>
      <c r="E9">
        <v>8642.50</v>
      </c>
      <c r="F9">
        <v>8968.40</v>
      </c>
      <c r="G9">
        <v>9442</v>
      </c>
      <c r="H9">
        <v>10433</v>
      </c>
      <c r="I9">
        <v>12346</v>
      </c>
      <c r="J9">
        <v>13003</v>
      </c>
      <c r="K9">
        <f>_xlfn.FORECAST.LINEAR(K8,C9:J9,C8:J8)</f>
        <v>14978.544010416488</v>
      </c>
      <c r="L9">
        <f>_xlfn.FORECAST.LINEAR(L8,D9:K9,D8:K8)</f>
        <v>16475.50304649293</v>
      </c>
    </row>
    <row r="10" spans="2:12" ht="14.5">
      <c r="B10" t="s">
        <v>257</v>
      </c>
      <c r="C10">
        <v>5.8360000000000003</v>
      </c>
      <c r="D10">
        <v>5.68</v>
      </c>
      <c r="E10">
        <v>5.71</v>
      </c>
      <c r="F10">
        <v>5.72</v>
      </c>
      <c r="G10">
        <v>5.742</v>
      </c>
      <c r="H10">
        <v>5.2560000000000002</v>
      </c>
      <c r="I10">
        <v>5.125</v>
      </c>
      <c r="J10">
        <v>4.9930000000000003</v>
      </c>
      <c r="K10">
        <f>_xlfn.FORECAST.LINEAR(K9,C10:J10,C9:J9)</f>
        <v>4.649658168389676</v>
      </c>
      <c r="L10">
        <f>_xlfn.FORECAST.LINEAR(L9,D10:K10,D9:K9)</f>
        <v>4.4021489478539522</v>
      </c>
    </row>
    <row r="12" spans="1:1" ht="14.5">
      <c r="A12" t="s">
        <v>259</v>
      </c>
    </row>
    <row r="13" spans="2:12" ht="14.5">
      <c r="B13" t="s">
        <v>256</v>
      </c>
      <c r="C13">
        <v>8133</v>
      </c>
      <c r="D13">
        <v>8373.94</v>
      </c>
      <c r="E13">
        <v>8642.50</v>
      </c>
      <c r="F13">
        <v>8968.40</v>
      </c>
      <c r="G13">
        <v>9442</v>
      </c>
      <c r="H13">
        <f>0.75*H9</f>
        <v>7824.75</v>
      </c>
      <c r="I13">
        <f t="shared" si="0" ref="I13:L13">0.75*I9</f>
        <v>9259.5</v>
      </c>
      <c r="J13">
        <f t="shared" si="0"/>
        <v>9752.25</v>
      </c>
      <c r="K13">
        <f t="shared" si="0"/>
        <v>11233.908007812366</v>
      </c>
      <c r="L13">
        <f t="shared" si="0"/>
        <v>12356.627284869697</v>
      </c>
    </row>
    <row r="14" spans="2:12" ht="14.5">
      <c r="B14" t="s">
        <v>257</v>
      </c>
      <c r="C14">
        <v>5.8360000000000003</v>
      </c>
      <c r="D14">
        <v>5.68</v>
      </c>
      <c r="E14">
        <v>5.71</v>
      </c>
      <c r="F14">
        <v>5.72</v>
      </c>
      <c r="G14">
        <v>5.742</v>
      </c>
      <c r="H14">
        <f>0.75*H10</f>
        <v>3.9420000000000002</v>
      </c>
      <c r="I14">
        <f t="shared" si="1" ref="I14:L14">0.75*I10</f>
        <v>3.84375</v>
      </c>
      <c r="J14">
        <f t="shared" si="1"/>
        <v>3.7447500000000002</v>
      </c>
      <c r="K14">
        <f t="shared" si="1"/>
        <v>3.487243626292257</v>
      </c>
      <c r="L14">
        <f t="shared" si="1"/>
        <v>3.3016117108904641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8677713-898F-4CE7-B271-9F0C2A645248}">
  <sheetPr codeName="Sheet3"/>
  <dimension ref="A3:AD37"/>
  <sheetViews>
    <sheetView workbookViewId="0" topLeftCell="A1">
      <selection pane="topLeft" activeCell="AE22" sqref="AE22"/>
    </sheetView>
  </sheetViews>
  <sheetFormatPr defaultColWidth="9.18428571428571" defaultRowHeight="14.5"/>
  <cols>
    <col min="1" max="1" width="12.1428571428571" customWidth="1"/>
    <col min="2" max="2" width="11.5714285714286" customWidth="1"/>
    <col min="3" max="3" width="3.14285714285714" bestFit="1" customWidth="1"/>
    <col min="4" max="4" width="8.57142857142857" bestFit="1" customWidth="1"/>
    <col min="5" max="5" width="6.42857142857143" bestFit="1" customWidth="1"/>
    <col min="6" max="6" width="4.85714285714286" bestFit="1" customWidth="1"/>
    <col min="7" max="7" width="5.57142857142857" bestFit="1" customWidth="1"/>
    <col min="8" max="8" width="5.85714285714286" bestFit="1" customWidth="1"/>
    <col min="9" max="9" width="5.42857142857143" bestFit="1" customWidth="1"/>
    <col min="10" max="11" width="5.57142857142857" bestFit="1" customWidth="1"/>
    <col min="12" max="12" width="6.57142857142857" bestFit="1" customWidth="1"/>
    <col min="13" max="13" width="6.14285714285714" bestFit="1" customWidth="1"/>
    <col min="14" max="15" width="6.57142857142857" bestFit="1" customWidth="1"/>
    <col min="16" max="16" width="7.42857142857143" bestFit="1" customWidth="1"/>
    <col min="17" max="17" width="5.57142857142857" bestFit="1" customWidth="1"/>
    <col min="18" max="18" width="6.14285714285714" bestFit="1" customWidth="1"/>
    <col min="19" max="20" width="5.57142857142857" bestFit="1" customWidth="1"/>
    <col min="21" max="21" width="5.85714285714286" bestFit="1" customWidth="1"/>
    <col min="22" max="22" width="6.57142857142857" bestFit="1" customWidth="1"/>
    <col min="23" max="23" width="4.85714285714286" bestFit="1" customWidth="1"/>
    <col min="24" max="24" width="7.57142857142857" customWidth="1"/>
    <col min="25" max="25" width="6.57142857142857" bestFit="1" customWidth="1"/>
    <col min="26" max="26" width="6.14285714285714" bestFit="1" customWidth="1"/>
    <col min="27" max="28" width="6" bestFit="1" customWidth="1"/>
    <col min="29" max="29" width="5.57142857142857" bestFit="1" customWidth="1"/>
    <col min="30" max="30" width="6.57142857142857" bestFit="1" customWidth="1"/>
  </cols>
  <sheetData>
    <row r="3" spans="3:30" ht="14.5">
      <c r="C3" s="11" t="str" cm="1">
        <f t="array" ref="C3">INDEX(C5:C7,$A$4)</f>
        <v>IE</v>
      </c>
      <c r="D3" s="11" t="str" cm="1">
        <f t="array" ref="D3">INDEX(D5:D7,$A$4)</f>
        <v>National</v>
      </c>
      <c r="E3" s="11" t="str" cm="1">
        <f t="array" ref="E3">INDEX(E5:E7,$A$4)</f>
        <v>IE-CW</v>
      </c>
      <c r="F3" s="11" t="str" cm="1">
        <f t="array" ref="F3">INDEX(F5:F7,$A$4)</f>
        <v>IE-D</v>
      </c>
      <c r="G3" s="11" t="str" cm="1">
        <f t="array" ref="G3">INDEX(G5:G7,$A$4)</f>
        <v>IE-KE</v>
      </c>
      <c r="H3" s="11" t="str" cm="1">
        <f t="array" ref="H3">INDEX(H5:H7,$A$4)</f>
        <v>IE-KK</v>
      </c>
      <c r="I3" s="11" t="str" cm="1">
        <f t="array" ref="I3">INDEX(I5:I7,$A$4)</f>
        <v>IE-LS</v>
      </c>
      <c r="J3" s="11" t="str" cm="1">
        <f t="array" ref="J3">INDEX(J5:J7,$A$4)</f>
        <v>IE-LD</v>
      </c>
      <c r="K3" s="11" t="str" cm="1">
        <f t="array" ref="K3">INDEX(K5:K7,$A$4)</f>
        <v>IE-LH</v>
      </c>
      <c r="L3" s="11" t="str" cm="1">
        <f t="array" ref="L3">INDEX(L5:L7,$A$4)</f>
        <v>IE-MH</v>
      </c>
      <c r="M3" s="11" t="str" cm="1">
        <f t="array" ref="M3">INDEX(M5:M7,$A$4)</f>
        <v>IE-OY</v>
      </c>
      <c r="N3" s="11" t="str" cm="1">
        <f t="array" ref="N3">INDEX(N5:N7,$A$4)</f>
        <v>IE-WH</v>
      </c>
      <c r="O3" s="11" t="str" cm="1">
        <f t="array" ref="O3">INDEX(O5:O7,$A$4)</f>
        <v>IE-WX</v>
      </c>
      <c r="P3" s="11" t="str" cm="1">
        <f t="array" ref="P3">INDEX(P5:P7,$A$4)</f>
        <v>IE-WW</v>
      </c>
      <c r="Q3" s="11" t="str" cm="1">
        <f t="array" ref="Q3">INDEX(Q5:Q7,$A$4)</f>
        <v>IE-CE</v>
      </c>
      <c r="R3" s="11" t="str" cm="1">
        <f t="array" ref="R3">INDEX(R5:R7,$A$4)</f>
        <v>IE-CO</v>
      </c>
      <c r="S3" s="11" t="str" cm="1">
        <f t="array" ref="S3">INDEX(S5:S7,$A$4)</f>
        <v>IE-KY</v>
      </c>
      <c r="T3" s="11" t="str" cm="1">
        <f t="array" ref="T3">INDEX(T5:T7,$A$4)</f>
        <v>IE-LK</v>
      </c>
      <c r="U3" s="11" t="str" cm="1">
        <f t="array" ref="U3">INDEX(U5:U7,$A$4)</f>
        <v>IE-TA</v>
      </c>
      <c r="V3" s="11" t="str" cm="1">
        <f t="array" ref="V3">INDEX(V5:V7,$A$4)</f>
        <v>IE-WD</v>
      </c>
      <c r="W3" s="11" t="str" cm="1">
        <f t="array" ref="W3">INDEX(W5:W7,$A$4)</f>
        <v>IE-G</v>
      </c>
      <c r="X3" s="11" t="str" cm="1">
        <f t="array" ref="X3">INDEX(X5:X7,$A$4)</f>
        <v>IE-LM</v>
      </c>
      <c r="Y3" s="11" t="str" cm="1">
        <f t="array" ref="Y3">INDEX(Y5:Y7,$A$4)</f>
        <v>IE-MO</v>
      </c>
      <c r="Z3" s="11" t="str" cm="1">
        <f t="array" ref="Z3">INDEX(Z5:Z7,$A$4)</f>
        <v>IE-RN</v>
      </c>
      <c r="AA3" s="11" t="str" cm="1">
        <f t="array" ref="AA3">INDEX(AA5:AA7,$A$4)</f>
        <v>IE-SO</v>
      </c>
      <c r="AB3" s="11" t="str" cm="1">
        <f t="array" ref="AB3">INDEX(AB5:AB7,$A$4)</f>
        <v>IE-CN</v>
      </c>
      <c r="AC3" s="11" t="str" cm="1">
        <f t="array" ref="AC3">INDEX(AC5:AC7,$A$4)</f>
        <v>IE-DL</v>
      </c>
      <c r="AD3" s="11" t="str" cm="1">
        <f t="array" ref="AD3">INDEX(AD5:AD7,$A$4)</f>
        <v>IE-MN</v>
      </c>
    </row>
    <row r="4" spans="1:1" ht="14.5">
      <c r="A4">
        <v>1</v>
      </c>
    </row>
    <row r="5" spans="1:30" ht="14.5">
      <c r="A5" t="s">
        <v>60</v>
      </c>
      <c r="C5" s="12" t="s">
        <v>61</v>
      </c>
      <c r="D5" s="12" t="s">
        <v>62</v>
      </c>
      <c r="E5" s="11" t="str">
        <f>Regions!A11</f>
        <v>IE-CW</v>
      </c>
      <c r="F5" s="11" t="str">
        <f>Regions!A16</f>
        <v>IE-D</v>
      </c>
      <c r="G5" s="11" t="str">
        <f>Regions!A19</f>
        <v>IE-KE</v>
      </c>
      <c r="H5" s="11" t="str">
        <f>Regions!A20</f>
        <v>IE-KK</v>
      </c>
      <c r="I5" s="11" t="str">
        <f>Regions!A21</f>
        <v>IE-LS</v>
      </c>
      <c r="J5" s="11" t="str">
        <f>Regions!A24</f>
        <v>IE-LD</v>
      </c>
      <c r="K5" s="11" t="str">
        <f>Regions!A25</f>
        <v>IE-LH</v>
      </c>
      <c r="L5" s="11" t="str">
        <f>Regions!A27</f>
        <v>IE-MH</v>
      </c>
      <c r="M5" s="11" t="str">
        <f>Regions!A29</f>
        <v>IE-OY</v>
      </c>
      <c r="N5" s="11" t="str">
        <f>Regions!A34</f>
        <v>IE-WH</v>
      </c>
      <c r="O5" s="11" t="str">
        <f>Regions!A35</f>
        <v>IE-WX</v>
      </c>
      <c r="P5" s="11" t="str">
        <f>Regions!A36</f>
        <v>IE-WW</v>
      </c>
      <c r="Q5" s="11" t="str">
        <f>Regions!A13</f>
        <v>IE-CE</v>
      </c>
      <c r="R5" s="11" t="str">
        <f>Regions!A14</f>
        <v>IE-CO</v>
      </c>
      <c r="S5" s="11" t="str">
        <f>Regions!A18</f>
        <v>IE-KY</v>
      </c>
      <c r="T5" s="11" t="str">
        <f>Regions!A23</f>
        <v>IE-LK</v>
      </c>
      <c r="U5" s="11" t="str">
        <f>Regions!A32</f>
        <v>IE-TA</v>
      </c>
      <c r="V5" s="11" t="str">
        <f>Regions!A33</f>
        <v>IE-WD</v>
      </c>
      <c r="W5" s="11" t="str">
        <f>Regions!A17</f>
        <v>IE-G</v>
      </c>
      <c r="X5" s="11" t="str">
        <f>Regions!A22</f>
        <v>IE-LM</v>
      </c>
      <c r="Y5" s="11" t="str">
        <f>Regions!A26</f>
        <v>IE-MO</v>
      </c>
      <c r="Z5" s="11" t="str">
        <f>Regions!A30</f>
        <v>IE-RN</v>
      </c>
      <c r="AA5" s="11" t="str">
        <f>Regions!A31</f>
        <v>IE-SO</v>
      </c>
      <c r="AB5" s="11" t="str">
        <f>Regions!A12</f>
        <v>IE-CN</v>
      </c>
      <c r="AC5" s="11" t="str">
        <f>Regions!A15</f>
        <v>IE-DL</v>
      </c>
      <c r="AD5" s="11" t="str">
        <f>Regions!A28</f>
        <v>IE-MN</v>
      </c>
    </row>
    <row r="6" spans="1:30" ht="14.5">
      <c r="A6" t="s">
        <v>63</v>
      </c>
      <c r="C6" s="11" t="str">
        <f>C5</f>
        <v>IE</v>
      </c>
      <c r="D6" s="11" t="str">
        <f>"*"&amp;D5</f>
        <v>*National</v>
      </c>
      <c r="E6" s="11" t="str">
        <f t="shared" si="0" ref="E6:AD6">"*"&amp;E5</f>
        <v>*IE-CW</v>
      </c>
      <c r="F6" s="11" t="str">
        <f t="shared" si="0"/>
        <v>*IE-D</v>
      </c>
      <c r="G6" s="11" t="str">
        <f t="shared" si="0"/>
        <v>*IE-KE</v>
      </c>
      <c r="H6" s="11" t="str">
        <f t="shared" si="0"/>
        <v>*IE-KK</v>
      </c>
      <c r="I6" s="11" t="str">
        <f t="shared" si="0"/>
        <v>*IE-LS</v>
      </c>
      <c r="J6" s="11" t="str">
        <f t="shared" si="0"/>
        <v>*IE-LD</v>
      </c>
      <c r="K6" s="11" t="str">
        <f t="shared" si="0"/>
        <v>*IE-LH</v>
      </c>
      <c r="L6" s="11" t="str">
        <f t="shared" si="0"/>
        <v>*IE-MH</v>
      </c>
      <c r="M6" s="11" t="str">
        <f t="shared" si="0"/>
        <v>*IE-OY</v>
      </c>
      <c r="N6" s="11" t="str">
        <f t="shared" si="0"/>
        <v>*IE-WH</v>
      </c>
      <c r="O6" s="11" t="str">
        <f t="shared" si="0"/>
        <v>*IE-WX</v>
      </c>
      <c r="P6" s="11" t="str">
        <f t="shared" si="0"/>
        <v>*IE-WW</v>
      </c>
      <c r="Q6" s="11" t="str">
        <f t="shared" si="0"/>
        <v>*IE-CE</v>
      </c>
      <c r="R6" s="11" t="str">
        <f t="shared" si="0"/>
        <v>*IE-CO</v>
      </c>
      <c r="S6" s="11" t="str">
        <f t="shared" si="0"/>
        <v>*IE-KY</v>
      </c>
      <c r="T6" s="11" t="str">
        <f t="shared" si="0"/>
        <v>*IE-LK</v>
      </c>
      <c r="U6" s="11" t="str">
        <f t="shared" si="0"/>
        <v>*IE-TA</v>
      </c>
      <c r="V6" s="11" t="str">
        <f t="shared" si="0"/>
        <v>*IE-WD</v>
      </c>
      <c r="W6" s="11" t="str">
        <f t="shared" si="0"/>
        <v>*IE-G</v>
      </c>
      <c r="X6" s="11" t="str">
        <f t="shared" si="0"/>
        <v>*IE-LM</v>
      </c>
      <c r="Y6" s="11" t="str">
        <f t="shared" si="0"/>
        <v>*IE-MO</v>
      </c>
      <c r="Z6" s="11" t="str">
        <f t="shared" si="0"/>
        <v>*IE-RN</v>
      </c>
      <c r="AA6" s="11" t="str">
        <f t="shared" si="0"/>
        <v>*IE-SO</v>
      </c>
      <c r="AB6" s="11" t="str">
        <f t="shared" si="0"/>
        <v>*IE-CN</v>
      </c>
      <c r="AC6" s="11" t="str">
        <f t="shared" si="0"/>
        <v>*IE-DL</v>
      </c>
      <c r="AD6" s="11" t="str">
        <f t="shared" si="0"/>
        <v>*IE-MN</v>
      </c>
    </row>
    <row r="7" spans="1:30" ht="14.5">
      <c r="A7" t="s">
        <v>64</v>
      </c>
      <c r="C7" s="11" t="str">
        <f>"*"&amp;C5</f>
        <v>*IE</v>
      </c>
      <c r="D7" s="11" t="str">
        <f>D5</f>
        <v>National</v>
      </c>
      <c r="E7" s="11" t="str">
        <f t="shared" si="1" ref="E7:AD7">E5</f>
        <v>IE-CW</v>
      </c>
      <c r="F7" s="11" t="str">
        <f t="shared" si="1"/>
        <v>IE-D</v>
      </c>
      <c r="G7" s="11" t="str">
        <f t="shared" si="1"/>
        <v>IE-KE</v>
      </c>
      <c r="H7" s="11" t="str">
        <f t="shared" si="1"/>
        <v>IE-KK</v>
      </c>
      <c r="I7" s="11" t="str">
        <f t="shared" si="1"/>
        <v>IE-LS</v>
      </c>
      <c r="J7" s="11" t="str">
        <f t="shared" si="1"/>
        <v>IE-LD</v>
      </c>
      <c r="K7" s="11" t="str">
        <f t="shared" si="1"/>
        <v>IE-LH</v>
      </c>
      <c r="L7" s="11" t="str">
        <f t="shared" si="1"/>
        <v>IE-MH</v>
      </c>
      <c r="M7" s="11" t="str">
        <f t="shared" si="1"/>
        <v>IE-OY</v>
      </c>
      <c r="N7" s="11" t="str">
        <f t="shared" si="1"/>
        <v>IE-WH</v>
      </c>
      <c r="O7" s="11" t="str">
        <f t="shared" si="1"/>
        <v>IE-WX</v>
      </c>
      <c r="P7" s="11" t="str">
        <f t="shared" si="1"/>
        <v>IE-WW</v>
      </c>
      <c r="Q7" s="11" t="str">
        <f t="shared" si="1"/>
        <v>IE-CE</v>
      </c>
      <c r="R7" s="11" t="str">
        <f t="shared" si="1"/>
        <v>IE-CO</v>
      </c>
      <c r="S7" s="11" t="str">
        <f t="shared" si="1"/>
        <v>IE-KY</v>
      </c>
      <c r="T7" s="11" t="str">
        <f t="shared" si="1"/>
        <v>IE-LK</v>
      </c>
      <c r="U7" s="11" t="str">
        <f t="shared" si="1"/>
        <v>IE-TA</v>
      </c>
      <c r="V7" s="11" t="str">
        <f t="shared" si="1"/>
        <v>IE-WD</v>
      </c>
      <c r="W7" s="11" t="str">
        <f t="shared" si="1"/>
        <v>IE-G</v>
      </c>
      <c r="X7" s="11" t="str">
        <f t="shared" si="1"/>
        <v>IE-LM</v>
      </c>
      <c r="Y7" s="11" t="str">
        <f t="shared" si="1"/>
        <v>IE-MO</v>
      </c>
      <c r="Z7" s="11" t="str">
        <f t="shared" si="1"/>
        <v>IE-RN</v>
      </c>
      <c r="AA7" s="11" t="str">
        <f t="shared" si="1"/>
        <v>IE-SO</v>
      </c>
      <c r="AB7" s="11" t="str">
        <f t="shared" si="1"/>
        <v>IE-CN</v>
      </c>
      <c r="AC7" s="11" t="str">
        <f t="shared" si="1"/>
        <v>IE-DL</v>
      </c>
      <c r="AD7" s="11" t="str">
        <f t="shared" si="1"/>
        <v>IE-MN</v>
      </c>
    </row>
    <row r="10" spans="1:2" ht="15" thickBot="1">
      <c r="A10" s="13" t="s">
        <v>65</v>
      </c>
      <c r="B10" s="13" t="s">
        <v>66</v>
      </c>
    </row>
    <row r="11" spans="1:2" ht="14.5">
      <c r="A11" s="14" t="s">
        <v>67</v>
      </c>
      <c r="B11" s="14" t="s">
        <v>68</v>
      </c>
    </row>
    <row r="12" spans="1:2" ht="14.5">
      <c r="A12" s="15" t="s">
        <v>69</v>
      </c>
      <c r="B12" s="15" t="s">
        <v>70</v>
      </c>
    </row>
    <row r="13" spans="1:2" ht="14.5">
      <c r="A13" s="15" t="s">
        <v>71</v>
      </c>
      <c r="B13" s="15" t="s">
        <v>72</v>
      </c>
    </row>
    <row r="14" spans="1:2" ht="14.5">
      <c r="A14" s="15" t="s">
        <v>73</v>
      </c>
      <c r="B14" s="15" t="s">
        <v>74</v>
      </c>
    </row>
    <row r="15" spans="1:2" ht="14.5">
      <c r="A15" s="15" t="s">
        <v>75</v>
      </c>
      <c r="B15" s="15" t="s">
        <v>76</v>
      </c>
    </row>
    <row r="16" spans="1:2" ht="14.5">
      <c r="A16" s="15" t="s">
        <v>77</v>
      </c>
      <c r="B16" s="15" t="s">
        <v>78</v>
      </c>
    </row>
    <row r="17" spans="1:2" ht="14.5">
      <c r="A17" s="15" t="s">
        <v>79</v>
      </c>
      <c r="B17" s="15" t="s">
        <v>80</v>
      </c>
    </row>
    <row r="18" spans="1:2" ht="14.5">
      <c r="A18" s="15" t="s">
        <v>81</v>
      </c>
      <c r="B18" s="15" t="s">
        <v>82</v>
      </c>
    </row>
    <row r="19" spans="1:2" ht="14.5">
      <c r="A19" s="15" t="s">
        <v>83</v>
      </c>
      <c r="B19" s="15" t="s">
        <v>84</v>
      </c>
    </row>
    <row r="20" spans="1:2" ht="14.5">
      <c r="A20" s="15" t="s">
        <v>85</v>
      </c>
      <c r="B20" s="15" t="s">
        <v>86</v>
      </c>
    </row>
    <row r="21" spans="1:2" ht="14.5">
      <c r="A21" s="15" t="s">
        <v>87</v>
      </c>
      <c r="B21" s="15" t="s">
        <v>88</v>
      </c>
    </row>
    <row r="22" spans="1:2" ht="14.5">
      <c r="A22" s="15" t="s">
        <v>89</v>
      </c>
      <c r="B22" s="15" t="s">
        <v>90</v>
      </c>
    </row>
    <row r="23" spans="1:2" ht="14.5">
      <c r="A23" s="15" t="s">
        <v>91</v>
      </c>
      <c r="B23" s="15" t="s">
        <v>92</v>
      </c>
    </row>
    <row r="24" spans="1:2" ht="14.5">
      <c r="A24" s="15" t="s">
        <v>93</v>
      </c>
      <c r="B24" s="15" t="s">
        <v>94</v>
      </c>
    </row>
    <row r="25" spans="1:2" ht="14.5">
      <c r="A25" s="15" t="s">
        <v>95</v>
      </c>
      <c r="B25" s="15" t="s">
        <v>96</v>
      </c>
    </row>
    <row r="26" spans="1:2" ht="14.5">
      <c r="A26" s="15" t="s">
        <v>97</v>
      </c>
      <c r="B26" s="15" t="s">
        <v>98</v>
      </c>
    </row>
    <row r="27" spans="1:2" ht="14.5">
      <c r="A27" s="15" t="s">
        <v>99</v>
      </c>
      <c r="B27" s="15" t="s">
        <v>100</v>
      </c>
    </row>
    <row r="28" spans="1:2" ht="14.5">
      <c r="A28" s="15" t="s">
        <v>101</v>
      </c>
      <c r="B28" s="15" t="s">
        <v>102</v>
      </c>
    </row>
    <row r="29" spans="1:2" ht="14.5">
      <c r="A29" s="15" t="s">
        <v>103</v>
      </c>
      <c r="B29" s="15" t="s">
        <v>104</v>
      </c>
    </row>
    <row r="30" spans="1:2" ht="14.5">
      <c r="A30" s="15" t="s">
        <v>105</v>
      </c>
      <c r="B30" s="15" t="s">
        <v>106</v>
      </c>
    </row>
    <row r="31" spans="1:2" ht="14.5">
      <c r="A31" s="15" t="s">
        <v>107</v>
      </c>
      <c r="B31" s="15" t="s">
        <v>108</v>
      </c>
    </row>
    <row r="32" spans="1:2" ht="14.5">
      <c r="A32" s="15" t="s">
        <v>109</v>
      </c>
      <c r="B32" s="15" t="s">
        <v>110</v>
      </c>
    </row>
    <row r="33" spans="1:2" ht="14.5">
      <c r="A33" s="15" t="s">
        <v>111</v>
      </c>
      <c r="B33" s="15" t="s">
        <v>112</v>
      </c>
    </row>
    <row r="34" spans="1:2" ht="14.5">
      <c r="A34" s="15" t="s">
        <v>113</v>
      </c>
      <c r="B34" s="15" t="s">
        <v>114</v>
      </c>
    </row>
    <row r="35" spans="1:2" ht="14.5">
      <c r="A35" s="15" t="s">
        <v>115</v>
      </c>
      <c r="B35" s="15" t="s">
        <v>116</v>
      </c>
    </row>
    <row r="36" spans="1:2" ht="14.5">
      <c r="A36" s="15" t="s">
        <v>117</v>
      </c>
      <c r="B36" s="15" t="s">
        <v>118</v>
      </c>
    </row>
    <row r="37" spans="1:1" ht="14.5">
      <c r="A37" s="16" t="s">
        <v>119</v>
      </c>
    </row>
  </sheetData>
  <pageMargins left="0.7" right="0.7" top="0.75" bottom="0.75" header="0.3" footer="0.3"/>
  <pageSetup orientation="portrait" paperSize="1" r:id="rId4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1" name="Drop Down 1">
              <controlPr defaultSize="0" autoLine="0" linkedCell="$A$4" listFillRange="$A$5:$A$7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31750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6A0F302-0FC9-4419-92C9-88707DA311BD}">
  <dimension ref="B2:N23"/>
  <sheetViews>
    <sheetView workbookViewId="0" topLeftCell="A4">
      <selection pane="topLeft" activeCell="D7" sqref="D7"/>
    </sheetView>
  </sheetViews>
  <sheetFormatPr defaultRowHeight="14.5"/>
  <cols>
    <col min="2" max="2" width="10.4285714285714" customWidth="1"/>
    <col min="3" max="3" width="13.2857142857143" customWidth="1"/>
    <col min="4" max="4" width="10.5714285714286" bestFit="1" customWidth="1"/>
    <col min="13" max="13" width="12.2857142857143" bestFit="1" customWidth="1"/>
  </cols>
  <sheetData>
    <row r="2" spans="2:4" ht="14.5">
      <c r="B2" s="55" t="s">
        <v>169</v>
      </c>
      <c r="C2" s="17"/>
      <c r="D2" s="17"/>
    </row>
    <row r="3" spans="2:3" ht="14.5">
      <c r="B3" s="56">
        <v>2018</v>
      </c>
      <c r="C3" s="80" t="s">
        <v>170</v>
      </c>
    </row>
    <row r="4" spans="2:13" ht="14.5">
      <c r="B4" s="56">
        <v>2019</v>
      </c>
      <c r="C4" s="80" t="s">
        <v>171</v>
      </c>
      <c r="L4" s="79" t="s">
        <v>186</v>
      </c>
      <c r="M4" s="78"/>
    </row>
    <row r="5" spans="2:13" ht="14.5">
      <c r="B5" s="56">
        <v>2020</v>
      </c>
      <c r="C5" s="80" t="s">
        <v>172</v>
      </c>
      <c r="M5" s="77">
        <v>2023</v>
      </c>
    </row>
    <row r="6" spans="2:13" ht="14.5">
      <c r="B6" s="56">
        <v>2021</v>
      </c>
      <c r="C6" s="80">
        <v>6229365131.5</v>
      </c>
      <c r="L6" s="81" t="s">
        <v>179</v>
      </c>
      <c r="M6" s="82">
        <v>518201145</v>
      </c>
    </row>
    <row r="7" spans="2:13" ht="14.5">
      <c r="B7" s="56">
        <v>2022</v>
      </c>
      <c r="C7" s="80">
        <v>6451608601.5</v>
      </c>
      <c r="L7" s="81" t="s">
        <v>180</v>
      </c>
      <c r="M7" s="82">
        <v>556859570</v>
      </c>
    </row>
    <row r="8" spans="2:13" ht="14.5">
      <c r="B8" s="57">
        <v>2023</v>
      </c>
      <c r="C8" s="88">
        <v>6475109627</v>
      </c>
      <c r="D8" s="17"/>
      <c r="L8" s="81" t="s">
        <v>181</v>
      </c>
      <c r="M8" s="82">
        <v>588864700</v>
      </c>
    </row>
    <row r="9" spans="2:13" ht="14.5">
      <c r="B9" s="56" t="s">
        <v>173</v>
      </c>
      <c r="L9" s="81" t="s">
        <v>182</v>
      </c>
      <c r="M9" s="82">
        <v>524796709</v>
      </c>
    </row>
    <row r="10" spans="12:13" ht="14.5">
      <c r="L10" s="81" t="s">
        <v>183</v>
      </c>
      <c r="M10" s="82">
        <v>579783045</v>
      </c>
    </row>
    <row r="11" spans="2:13" ht="14.5">
      <c r="B11" s="55" t="s">
        <v>174</v>
      </c>
      <c r="C11" s="17"/>
      <c r="D11" s="17"/>
      <c r="L11" s="81" t="s">
        <v>184</v>
      </c>
      <c r="M11" s="82">
        <v>471189517</v>
      </c>
    </row>
    <row r="12" spans="3:13" ht="14.5">
      <c r="C12" s="58" t="s">
        <v>175</v>
      </c>
      <c r="L12" s="81" t="s">
        <v>185</v>
      </c>
      <c r="M12" s="82">
        <v>486002182</v>
      </c>
    </row>
    <row r="13" spans="2:3" ht="14.5">
      <c r="B13" t="s">
        <v>176</v>
      </c>
      <c r="C13" s="59">
        <f>C6/C3</f>
        <v>0.93239851083296788</v>
      </c>
    </row>
    <row r="14" spans="2:12" ht="14.5">
      <c r="B14" t="s">
        <v>177</v>
      </c>
      <c r="C14" s="84">
        <f>C6/C5</f>
        <v>1.0157938433834641</v>
      </c>
      <c r="L14" s="76" t="s">
        <v>187</v>
      </c>
    </row>
    <row r="15" spans="2:14" ht="14.5">
      <c r="B15" t="s">
        <v>189</v>
      </c>
      <c r="C15" s="59">
        <f>C7/C3</f>
        <v>0.96566345454649427</v>
      </c>
      <c r="L15">
        <v>2023</v>
      </c>
      <c r="M15" s="75">
        <f>SUM(M6:M12)</f>
        <v>3725696868</v>
      </c>
      <c r="N15" t="s">
        <v>188</v>
      </c>
    </row>
    <row r="16" spans="2:14" ht="14.5">
      <c r="B16" t="s">
        <v>190</v>
      </c>
      <c r="C16" s="59">
        <f>1+N16</f>
        <v>1.0186952818999766</v>
      </c>
      <c r="L16">
        <v>2022</v>
      </c>
      <c r="M16" s="75">
        <v>3657322198.5</v>
      </c>
      <c r="N16" s="83">
        <f>(M15-M16)/M16</f>
        <v>0.018695281899976688</v>
      </c>
    </row>
    <row r="17" spans="2:14" ht="14.5">
      <c r="B17" t="s">
        <v>207</v>
      </c>
      <c r="C17" s="59">
        <f>C7/C6</f>
        <v>1.0356767447899597</v>
      </c>
      <c r="L17">
        <v>2021</v>
      </c>
      <c r="M17" s="75">
        <v>3460486912</v>
      </c>
      <c r="N17" s="83">
        <f>(M15-M17)/M17</f>
        <v>0.076639491130663179</v>
      </c>
    </row>
    <row r="19" spans="2:2" ht="14.5">
      <c r="B19" t="s">
        <v>178</v>
      </c>
    </row>
    <row r="20" spans="3:4" ht="14.5">
      <c r="C20">
        <v>2018</v>
      </c>
      <c r="D20">
        <v>2021</v>
      </c>
    </row>
    <row r="21" spans="2:4" ht="14.5">
      <c r="B21" t="s">
        <v>35</v>
      </c>
      <c r="C21" s="60">
        <v>14.5565610923972</v>
      </c>
      <c r="D21" s="60">
        <v>15.490769824884</v>
      </c>
    </row>
    <row r="22" spans="2:4" ht="14.5">
      <c r="B22" t="s">
        <v>37</v>
      </c>
      <c r="C22" s="60">
        <v>31.276118540281001</v>
      </c>
      <c r="D22" s="60">
        <v>33.305155123500498</v>
      </c>
    </row>
    <row r="23" spans="2:4" ht="14.5">
      <c r="B23" t="s">
        <v>39</v>
      </c>
      <c r="C23" s="60">
        <v>27.131577542973599</v>
      </c>
      <c r="D23" s="60">
        <v>28.657924176035301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BY-Demands</vt:lpstr>
      <vt:lpstr>REG_TRA_DEMANDS</vt:lpstr>
      <vt:lpstr>DEMANDS</vt:lpstr>
      <vt:lpstr>AGR demand</vt:lpstr>
      <vt:lpstr>AGR_DEMAND_LED</vt:lpstr>
      <vt:lpstr>Sheet1</vt:lpstr>
      <vt:lpstr>Regions</vt:lpstr>
      <vt:lpstr>TRA-2021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Ankita Singh Gaur</dc:creator>
  <cp:keywords/>
  <dc:description/>
  <cp:lastModifiedBy>Neha Jaggeshar</cp:lastModifiedBy>
  <dcterms:created xsi:type="dcterms:W3CDTF">2021-02-23T14:14:01Z</dcterms:created>
  <dcterms:modified xsi:type="dcterms:W3CDTF">2026-08-10T14:18:30Z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688121974468231</vt:r8>
  </property>
</Properties>
</file>