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bsul\Documents\For_compare\tim-leaf v1.1\SuppXLS\"/>
    </mc:Choice>
  </mc:AlternateContent>
  <xr:revisionPtr revIDLastSave="0" documentId="13_ncr:1_{117B8573-C0B6-49CB-8D16-217EAF615BA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ver" sheetId="16" r:id="rId1"/>
    <sheet name="Regions" sheetId="15" r:id="rId2"/>
    <sheet name="UC_ModalShares" sheetId="1" r:id="rId3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" i="1" l="1"/>
  <c r="I33" i="1" s="1"/>
  <c r="D23" i="1"/>
  <c r="D24" i="1"/>
  <c r="D25" i="1"/>
  <c r="D18" i="1"/>
  <c r="D19" i="1"/>
  <c r="D20" i="1"/>
  <c r="I29" i="1"/>
  <c r="I22" i="1"/>
  <c r="I17" i="1"/>
  <c r="I12" i="1"/>
  <c r="L22" i="1"/>
  <c r="L25" i="1" s="1"/>
  <c r="J24" i="1"/>
  <c r="K24" i="1"/>
  <c r="M24" i="1"/>
  <c r="M35" i="1" s="1"/>
  <c r="N24" i="1"/>
  <c r="O24" i="1"/>
  <c r="P24" i="1"/>
  <c r="P35" i="1" s="1"/>
  <c r="Q24" i="1"/>
  <c r="R24" i="1"/>
  <c r="R35" i="1" s="1"/>
  <c r="S24" i="1"/>
  <c r="T24" i="1"/>
  <c r="T35" i="1" s="1"/>
  <c r="U24" i="1"/>
  <c r="U35" i="1" s="1"/>
  <c r="V24" i="1"/>
  <c r="W24" i="1"/>
  <c r="X24" i="1"/>
  <c r="Y24" i="1"/>
  <c r="Z24" i="1"/>
  <c r="Z35" i="1" s="1"/>
  <c r="AA24" i="1"/>
  <c r="AB24" i="1"/>
  <c r="AC24" i="1"/>
  <c r="AC35" i="1" s="1"/>
  <c r="AD24" i="1"/>
  <c r="AE24" i="1"/>
  <c r="AF24" i="1"/>
  <c r="AG24" i="1"/>
  <c r="AH24" i="1"/>
  <c r="AI24" i="1"/>
  <c r="J25" i="1"/>
  <c r="K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A36" i="1" s="1"/>
  <c r="AB25" i="1"/>
  <c r="AC25" i="1"/>
  <c r="AD25" i="1"/>
  <c r="AE25" i="1"/>
  <c r="AF25" i="1"/>
  <c r="AG25" i="1"/>
  <c r="AH25" i="1"/>
  <c r="AI25" i="1"/>
  <c r="AI36" i="1" s="1"/>
  <c r="J19" i="1"/>
  <c r="K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J20" i="1"/>
  <c r="K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Z36" i="1" s="1"/>
  <c r="AA20" i="1"/>
  <c r="AB20" i="1"/>
  <c r="AC20" i="1"/>
  <c r="AD20" i="1"/>
  <c r="AE20" i="1"/>
  <c r="AF20" i="1"/>
  <c r="AG20" i="1"/>
  <c r="AH20" i="1"/>
  <c r="AI20" i="1"/>
  <c r="J14" i="1"/>
  <c r="K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J15" i="1"/>
  <c r="K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D36" i="1" s="1"/>
  <c r="AE15" i="1"/>
  <c r="AF15" i="1"/>
  <c r="AG15" i="1"/>
  <c r="AH15" i="1"/>
  <c r="AI15" i="1"/>
  <c r="J23" i="1"/>
  <c r="K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J18" i="1"/>
  <c r="K18" i="1"/>
  <c r="M18" i="1"/>
  <c r="N18" i="1"/>
  <c r="O18" i="1"/>
  <c r="O34" i="1" s="1"/>
  <c r="P18" i="1"/>
  <c r="Q18" i="1"/>
  <c r="R18" i="1"/>
  <c r="S18" i="1"/>
  <c r="T18" i="1"/>
  <c r="U18" i="1"/>
  <c r="V18" i="1"/>
  <c r="W18" i="1"/>
  <c r="W34" i="1" s="1"/>
  <c r="X18" i="1"/>
  <c r="Y18" i="1"/>
  <c r="Z18" i="1"/>
  <c r="AA18" i="1"/>
  <c r="AB18" i="1"/>
  <c r="AC18" i="1"/>
  <c r="AD18" i="1"/>
  <c r="AE18" i="1"/>
  <c r="AF18" i="1"/>
  <c r="AG18" i="1"/>
  <c r="AH18" i="1"/>
  <c r="AI18" i="1"/>
  <c r="J13" i="1"/>
  <c r="K13" i="1"/>
  <c r="M13" i="1"/>
  <c r="N13" i="1"/>
  <c r="O13" i="1"/>
  <c r="P13" i="1"/>
  <c r="P34" i="1" s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C34" i="1" s="1"/>
  <c r="AD13" i="1"/>
  <c r="AE13" i="1"/>
  <c r="AF13" i="1"/>
  <c r="AG13" i="1"/>
  <c r="AH13" i="1"/>
  <c r="AI13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J28" i="1"/>
  <c r="K28" i="1"/>
  <c r="K34" i="1" s="1"/>
  <c r="L28" i="1"/>
  <c r="M28" i="1"/>
  <c r="N28" i="1"/>
  <c r="O28" i="1"/>
  <c r="P28" i="1"/>
  <c r="Q28" i="1"/>
  <c r="R28" i="1"/>
  <c r="S28" i="1"/>
  <c r="T28" i="1"/>
  <c r="T34" i="1" s="1"/>
  <c r="U28" i="1"/>
  <c r="V28" i="1"/>
  <c r="W28" i="1"/>
  <c r="X28" i="1"/>
  <c r="Y28" i="1"/>
  <c r="Z28" i="1"/>
  <c r="AA28" i="1"/>
  <c r="AB28" i="1"/>
  <c r="AB34" i="1" s="1"/>
  <c r="AC28" i="1"/>
  <c r="AD28" i="1"/>
  <c r="AE28" i="1"/>
  <c r="AF28" i="1"/>
  <c r="AG28" i="1"/>
  <c r="AH28" i="1"/>
  <c r="AI28" i="1"/>
  <c r="M34" i="1"/>
  <c r="N34" i="1"/>
  <c r="U34" i="1"/>
  <c r="X34" i="1"/>
  <c r="Z34" i="1"/>
  <c r="AE34" i="1"/>
  <c r="AF34" i="1"/>
  <c r="J35" i="1"/>
  <c r="K35" i="1"/>
  <c r="N35" i="1"/>
  <c r="O35" i="1"/>
  <c r="S35" i="1"/>
  <c r="V35" i="1"/>
  <c r="W35" i="1"/>
  <c r="X35" i="1"/>
  <c r="AA35" i="1"/>
  <c r="AB35" i="1"/>
  <c r="AD35" i="1"/>
  <c r="AE35" i="1"/>
  <c r="AF35" i="1"/>
  <c r="AH35" i="1"/>
  <c r="AI35" i="1"/>
  <c r="J36" i="1"/>
  <c r="K36" i="1"/>
  <c r="M36" i="1"/>
  <c r="N36" i="1"/>
  <c r="R36" i="1"/>
  <c r="S36" i="1"/>
  <c r="T36" i="1"/>
  <c r="U36" i="1"/>
  <c r="V36" i="1"/>
  <c r="AB36" i="1"/>
  <c r="AC36" i="1"/>
  <c r="I28" i="1" l="1"/>
  <c r="I23" i="1"/>
  <c r="I19" i="1"/>
  <c r="I14" i="1"/>
  <c r="I24" i="1"/>
  <c r="I13" i="1"/>
  <c r="I18" i="1"/>
  <c r="I30" i="1"/>
  <c r="L13" i="1"/>
  <c r="L14" i="1"/>
  <c r="L35" i="1" s="1"/>
  <c r="L20" i="1"/>
  <c r="L24" i="1"/>
  <c r="L18" i="1"/>
  <c r="L34" i="1" s="1"/>
  <c r="L19" i="1"/>
  <c r="L23" i="1"/>
  <c r="L15" i="1"/>
  <c r="AH36" i="1"/>
  <c r="AF36" i="1"/>
  <c r="X36" i="1"/>
  <c r="P36" i="1"/>
  <c r="AG36" i="1"/>
  <c r="Y36" i="1"/>
  <c r="Q36" i="1"/>
  <c r="AE36" i="1"/>
  <c r="W36" i="1"/>
  <c r="O36" i="1"/>
  <c r="AG35" i="1"/>
  <c r="Y35" i="1"/>
  <c r="Q35" i="1"/>
  <c r="AI34" i="1"/>
  <c r="AA34" i="1"/>
  <c r="S34" i="1"/>
  <c r="AD34" i="1"/>
  <c r="V34" i="1"/>
  <c r="AH34" i="1"/>
  <c r="R34" i="1"/>
  <c r="J34" i="1"/>
  <c r="AG34" i="1"/>
  <c r="Y34" i="1"/>
  <c r="Q34" i="1"/>
  <c r="I35" i="1" l="1"/>
  <c r="I34" i="1"/>
  <c r="I20" i="1"/>
  <c r="I25" i="1"/>
  <c r="I15" i="1"/>
  <c r="L36" i="1"/>
  <c r="I36" i="1" l="1"/>
  <c r="D49" i="1" l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D17" i="1"/>
  <c r="D22" i="1" s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Q12" i="1" l="1"/>
  <c r="Q17" i="1"/>
  <c r="Q22" i="1"/>
  <c r="Q27" i="1"/>
  <c r="AF22" i="1"/>
  <c r="AF12" i="1"/>
  <c r="AF27" i="1"/>
  <c r="AF17" i="1"/>
  <c r="X22" i="1"/>
  <c r="X27" i="1"/>
  <c r="X17" i="1"/>
  <c r="X12" i="1"/>
  <c r="P22" i="1"/>
  <c r="P17" i="1"/>
  <c r="P27" i="1"/>
  <c r="P12" i="1"/>
  <c r="AE17" i="1"/>
  <c r="AE27" i="1"/>
  <c r="AE12" i="1"/>
  <c r="AE22" i="1"/>
  <c r="O27" i="1"/>
  <c r="O22" i="1"/>
  <c r="O12" i="1"/>
  <c r="O17" i="1"/>
  <c r="Y12" i="1"/>
  <c r="Y22" i="1"/>
  <c r="Y27" i="1"/>
  <c r="Y17" i="1"/>
  <c r="W27" i="1"/>
  <c r="W17" i="1"/>
  <c r="W12" i="1"/>
  <c r="W22" i="1"/>
  <c r="AD27" i="1"/>
  <c r="AD22" i="1"/>
  <c r="AD17" i="1"/>
  <c r="AD12" i="1"/>
  <c r="V27" i="1"/>
  <c r="V12" i="1"/>
  <c r="V17" i="1"/>
  <c r="V22" i="1"/>
  <c r="N27" i="1"/>
  <c r="N12" i="1"/>
  <c r="N22" i="1"/>
  <c r="N17" i="1"/>
  <c r="AB27" i="1"/>
  <c r="AB17" i="1"/>
  <c r="AB12" i="1"/>
  <c r="AB22" i="1"/>
  <c r="T17" i="1"/>
  <c r="T12" i="1"/>
  <c r="T22" i="1"/>
  <c r="T27" i="1"/>
  <c r="L27" i="1"/>
  <c r="L17" i="1"/>
  <c r="L12" i="1"/>
  <c r="AI17" i="1"/>
  <c r="AI12" i="1"/>
  <c r="AI22" i="1"/>
  <c r="AI27" i="1"/>
  <c r="AA27" i="1"/>
  <c r="AA17" i="1"/>
  <c r="AA12" i="1"/>
  <c r="AA22" i="1"/>
  <c r="S17" i="1"/>
  <c r="S12" i="1"/>
  <c r="S22" i="1"/>
  <c r="S27" i="1"/>
  <c r="K27" i="1"/>
  <c r="K17" i="1"/>
  <c r="K12" i="1"/>
  <c r="K22" i="1"/>
  <c r="AG12" i="1"/>
  <c r="AG22" i="1"/>
  <c r="AG17" i="1"/>
  <c r="AG27" i="1"/>
  <c r="AC27" i="1"/>
  <c r="AC17" i="1"/>
  <c r="AC12" i="1"/>
  <c r="AC22" i="1"/>
  <c r="U17" i="1"/>
  <c r="U22" i="1"/>
  <c r="U12" i="1"/>
  <c r="U27" i="1"/>
  <c r="M27" i="1"/>
  <c r="M22" i="1"/>
  <c r="M17" i="1"/>
  <c r="M12" i="1"/>
  <c r="AH17" i="1"/>
  <c r="AH12" i="1"/>
  <c r="AH22" i="1"/>
  <c r="AH27" i="1"/>
  <c r="Z17" i="1"/>
  <c r="Z12" i="1"/>
  <c r="Z22" i="1"/>
  <c r="Z27" i="1"/>
  <c r="R17" i="1"/>
  <c r="R12" i="1"/>
  <c r="R22" i="1"/>
  <c r="R27" i="1"/>
  <c r="J17" i="1"/>
  <c r="J12" i="1"/>
  <c r="J22" i="1"/>
  <c r="J27" i="1"/>
  <c r="X33" i="1" l="1"/>
  <c r="T33" i="1"/>
  <c r="Y33" i="1"/>
  <c r="AF33" i="1"/>
  <c r="AA33" i="1"/>
  <c r="O33" i="1"/>
  <c r="P33" i="1"/>
  <c r="M33" i="1"/>
  <c r="AG33" i="1"/>
  <c r="S33" i="1"/>
  <c r="N33" i="1"/>
  <c r="AE33" i="1"/>
  <c r="Q33" i="1"/>
  <c r="V33" i="1"/>
  <c r="AI33" i="1"/>
  <c r="AD33" i="1"/>
  <c r="R33" i="1"/>
  <c r="J33" i="1"/>
  <c r="AC33" i="1"/>
  <c r="U33" i="1"/>
  <c r="K33" i="1"/>
  <c r="L33" i="1"/>
  <c r="AB33" i="1"/>
  <c r="W33" i="1"/>
  <c r="Z33" i="1"/>
  <c r="AH33" i="1"/>
  <c r="AD7" i="15"/>
  <c r="AC7" i="15"/>
  <c r="AB7" i="15"/>
  <c r="Z7" i="15"/>
  <c r="Y7" i="15"/>
  <c r="W7" i="15"/>
  <c r="D7" i="15"/>
  <c r="C7" i="15"/>
  <c r="AD6" i="15"/>
  <c r="AC6" i="15"/>
  <c r="X6" i="15"/>
  <c r="W6" i="15"/>
  <c r="V6" i="15"/>
  <c r="U6" i="15"/>
  <c r="P6" i="15"/>
  <c r="O6" i="15"/>
  <c r="N6" i="15"/>
  <c r="M6" i="15"/>
  <c r="H6" i="15"/>
  <c r="G6" i="15"/>
  <c r="F6" i="15"/>
  <c r="E6" i="15"/>
  <c r="D6" i="15"/>
  <c r="C6" i="15"/>
  <c r="AD5" i="15"/>
  <c r="AD3" i="15" s="1" a="1"/>
  <c r="AD3" i="15" s="1"/>
  <c r="AC5" i="15"/>
  <c r="AB5" i="15"/>
  <c r="AB6" i="15" s="1"/>
  <c r="AA5" i="15"/>
  <c r="AA7" i="15" s="1"/>
  <c r="Z5" i="15"/>
  <c r="Z3" i="15" s="1" a="1"/>
  <c r="Z3" i="15" s="1"/>
  <c r="Y5" i="15"/>
  <c r="Y6" i="15" s="1"/>
  <c r="X5" i="15"/>
  <c r="X7" i="15" s="1"/>
  <c r="W5" i="15"/>
  <c r="V5" i="15"/>
  <c r="V3" i="15" s="1" a="1"/>
  <c r="V3" i="15" s="1"/>
  <c r="U5" i="15"/>
  <c r="U7" i="15" s="1"/>
  <c r="T5" i="15"/>
  <c r="T6" i="15" s="1"/>
  <c r="S5" i="15"/>
  <c r="S7" i="15" s="1"/>
  <c r="R5" i="15"/>
  <c r="R3" i="15" s="1" a="1"/>
  <c r="R3" i="15" s="1"/>
  <c r="Q5" i="15"/>
  <c r="Q7" i="15" s="1"/>
  <c r="P5" i="15"/>
  <c r="P7" i="15" s="1"/>
  <c r="O5" i="15"/>
  <c r="O7" i="15" s="1"/>
  <c r="N5" i="15"/>
  <c r="N3" i="15" s="1" a="1"/>
  <c r="N3" i="15" s="1"/>
  <c r="M5" i="15"/>
  <c r="M7" i="15" s="1"/>
  <c r="L5" i="15"/>
  <c r="L6" i="15" s="1"/>
  <c r="K5" i="15"/>
  <c r="K7" i="15" s="1"/>
  <c r="J5" i="15"/>
  <c r="J3" i="15" s="1" a="1"/>
  <c r="J3" i="15" s="1"/>
  <c r="I5" i="15"/>
  <c r="I7" i="15" s="1"/>
  <c r="H5" i="15"/>
  <c r="H7" i="15" s="1"/>
  <c r="G5" i="15"/>
  <c r="G7" i="15" s="1"/>
  <c r="F5" i="15"/>
  <c r="F3" i="15" s="1" a="1"/>
  <c r="F3" i="15" s="1"/>
  <c r="E5" i="15"/>
  <c r="E7" i="15" s="1"/>
  <c r="AC3" i="15" a="1"/>
  <c r="AC3" i="15" s="1"/>
  <c r="AA3" i="15" a="1"/>
  <c r="AA3" i="15" s="1"/>
  <c r="Y3" i="15" a="1"/>
  <c r="Y3" i="15" s="1"/>
  <c r="X3" i="15" a="1"/>
  <c r="X3" i="15" s="1"/>
  <c r="W3" i="15" a="1"/>
  <c r="W3" i="15" s="1"/>
  <c r="U3" i="15" a="1"/>
  <c r="U3" i="15" s="1"/>
  <c r="S3" i="15" a="1"/>
  <c r="S3" i="15" s="1"/>
  <c r="Q3" i="15" a="1"/>
  <c r="Q3" i="15" s="1"/>
  <c r="P3" i="15" a="1"/>
  <c r="P3" i="15" s="1"/>
  <c r="O3" i="15" a="1"/>
  <c r="O3" i="15" s="1"/>
  <c r="M3" i="15" a="1"/>
  <c r="M3" i="15" s="1"/>
  <c r="K3" i="15" a="1"/>
  <c r="K3" i="15" s="1"/>
  <c r="I3" i="15" a="1"/>
  <c r="I3" i="15" s="1"/>
  <c r="H3" i="15" a="1"/>
  <c r="H3" i="15" s="1"/>
  <c r="G3" i="15" a="1"/>
  <c r="G3" i="15" s="1"/>
  <c r="E3" i="15" a="1"/>
  <c r="E3" i="15" s="1"/>
  <c r="D3" i="15" a="1"/>
  <c r="D3" i="15" s="1"/>
  <c r="C3" i="15" a="1"/>
  <c r="C3" i="15" s="1"/>
  <c r="L7" i="15" l="1"/>
  <c r="T7" i="15"/>
  <c r="I6" i="15"/>
  <c r="Q6" i="15"/>
  <c r="J6" i="15"/>
  <c r="R6" i="15"/>
  <c r="Z6" i="15"/>
  <c r="F7" i="15"/>
  <c r="N7" i="15"/>
  <c r="V7" i="15"/>
  <c r="L3" i="15" a="1"/>
  <c r="L3" i="15" s="1"/>
  <c r="T3" i="15" a="1"/>
  <c r="T3" i="15" s="1"/>
  <c r="AB3" i="15" a="1"/>
  <c r="AB3" i="15" s="1"/>
  <c r="K6" i="15"/>
  <c r="S6" i="15"/>
  <c r="AA6" i="15"/>
  <c r="J7" i="15"/>
  <c r="R7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<sst xmlns="http://schemas.openxmlformats.org/spreadsheetml/2006/main" count="188" uniqueCount="117">
  <si>
    <t>UC_N</t>
  </si>
  <si>
    <t>Year</t>
  </si>
  <si>
    <t>Pset_PN</t>
  </si>
  <si>
    <t>Cset_CN</t>
  </si>
  <si>
    <t>UC_FLO</t>
  </si>
  <si>
    <t>LimType</t>
  </si>
  <si>
    <t>~UC_Sets: T_E:</t>
  </si>
  <si>
    <t>UC_Desc</t>
  </si>
  <si>
    <t>UC_RHSRTS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</si>
  <si>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</si>
  <si>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</si>
  <si>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</si>
  <si>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</si>
  <si>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</si>
  <si>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</si>
  <si>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</si>
  <si>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</si>
  <si>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</si>
  <si>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</si>
  <si>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</si>
  <si>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</si>
  <si>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</si>
  <si>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</si>
  <si>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</si>
  <si>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</si>
  <si>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</si>
  <si>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</si>
  <si>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</si>
  <si>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</si>
  <si>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</si>
  <si>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</si>
  <si>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</si>
  <si>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</si>
  <si>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</si>
  <si>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</si>
  <si>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~UC_T:UC_COMPRD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</si>
  <si>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</si>
  <si>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</si>
  <si>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</si>
  <si>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</si>
  <si>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</si>
  <si>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</si>
  <si>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</si>
  <si>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</si>
  <si>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</si>
  <si>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</si>
  <si>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</si>
  <si>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</si>
  <si>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</si>
  <si>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</si>
  <si>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</si>
  <si>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</si>
  <si>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</si>
  <si>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</si>
  <si>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</si>
  <si>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</si>
  <si>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</si>
  <si>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</si>
  <si>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</si>
  <si>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</si>
  <si>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</si>
  <si>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</si>
  <si>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</si>
  <si>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</si>
  <si>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</si>
  <si>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</si>
  <si>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</si>
  <si>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</si>
  <si>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</si>
  <si>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</si>
  <si>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Train</t>
  </si>
  <si>
    <t>TOTAL</t>
  </si>
  <si>
    <t>check</t>
  </si>
  <si>
    <t>UC_Good_LGV</t>
  </si>
  <si>
    <t>UC_Good_MGV</t>
  </si>
  <si>
    <t>UC_Good_HGV</t>
  </si>
  <si>
    <t>LGVs</t>
  </si>
  <si>
    <t>MGVs</t>
  </si>
  <si>
    <t>HGVs</t>
  </si>
  <si>
    <t>Classifications</t>
  </si>
  <si>
    <t>Light-Duty Trucks</t>
  </si>
  <si>
    <t>0 - 5 tonnes</t>
  </si>
  <si>
    <t>Medium-Duty Trucks</t>
  </si>
  <si>
    <t>5 - 10 tonnes</t>
  </si>
  <si>
    <t>Heavy-Duty Trucks</t>
  </si>
  <si>
    <t>Over 10 tonnes</t>
  </si>
  <si>
    <t>Unladen Weight </t>
  </si>
  <si>
    <t>User constraints for Goods Vehicles</t>
  </si>
  <si>
    <t>TRAF</t>
  </si>
  <si>
    <t>UC_Good_GTR</t>
  </si>
  <si>
    <t>GTR</t>
  </si>
  <si>
    <t>UP</t>
  </si>
  <si>
    <t>UC - Each Region/Period</t>
  </si>
  <si>
    <t>~UC_Sets: R_E:AllRegions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</si>
  <si>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</si>
  <si>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</si>
  <si>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</si>
  <si>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</si>
  <si>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</si>
  <si>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</si>
  <si>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</si>
  <si>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</si>
  <si>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</si>
  <si>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</si>
  <si>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</si>
  <si>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</si>
  <si>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Vahid Aryanpur (UCC, vahid.aryanpur@ucc.ie)</t>
  </si>
  <si>
    <t xml:space="preserve">Olexandr Balyk ( MaREI, olexandr.balyk@ucc.ie) </t>
  </si>
  <si>
    <t>Modal share of freight transport</t>
  </si>
  <si>
    <t>Scenario</t>
  </si>
  <si>
    <t>Transport sector (TRA)</t>
  </si>
  <si>
    <t>T-LGT*</t>
  </si>
  <si>
    <t>T-MGT*</t>
  </si>
  <si>
    <t>T-HGT*</t>
  </si>
  <si>
    <t>T-GTR*</t>
  </si>
  <si>
    <t>Activity for freight vehicles (Million tonne km) in 2018</t>
  </si>
  <si>
    <t>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</si>
</sst>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_-* #,##0.0_-;\-* #,##0.0_-;_-* &quot;-&quot;??_-;_-@_-"/>
    <numFmt numFmtId="166" formatCode="0.0000"/>
    <numFmt numFmtId="167" formatCode="0.00000"/>
  </numFmts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24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0" fontId="13" fillId="0" borderId="0"/>
  </cellStyleXfs>
  <cellXfs count="46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0" fillId="0" borderId="2" xfId="0" applyBorder="1"/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 applyProtection="1">
      <alignment horizontal="left" vertical="center"/>
      <protection locked="0"/>
    </xf>
    <xf numFmtId="0" fontId="3" fillId="6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8" fillId="0" borderId="0" xfId="0" applyFont="1"/>
    <xf numFmtId="0" fontId="9" fillId="0" borderId="0" xfId="0" applyFont="1"/>
    <xf numFmtId="0" fontId="10" fillId="7" borderId="2" xfId="0" applyFont="1" applyFill="1" applyBorder="1" applyAlignment="1" applyProtection="1">
      <alignment horizontal="left" vertical="center"/>
      <protection locked="0"/>
    </xf>
    <xf numFmtId="0" fontId="10" fillId="0" borderId="2" xfId="0" applyFont="1" applyBorder="1" applyAlignment="1">
      <alignment horizontal="center"/>
    </xf>
    <xf numFmtId="166" fontId="0" fillId="0" borderId="0" xfId="0" applyNumberFormat="1"/>
    <xf numFmtId="0" fontId="9" fillId="0" borderId="0" xfId="0" applyFont="1" applyAlignment="1">
      <alignment horizontal="left" vertical="top"/>
    </xf>
    <xf numFmtId="1" fontId="10" fillId="0" borderId="2" xfId="0" applyNumberFormat="1" applyFont="1" applyBorder="1" applyAlignment="1">
      <alignment horizontal="right"/>
    </xf>
    <xf numFmtId="164" fontId="9" fillId="0" borderId="0" xfId="0" applyNumberFormat="1" applyFont="1"/>
    <xf numFmtId="1" fontId="9" fillId="0" borderId="0" xfId="0" applyNumberFormat="1" applyFont="1"/>
    <xf numFmtId="0" fontId="5" fillId="8" borderId="0" xfId="0" applyFont="1" applyFill="1"/>
    <xf numFmtId="0" fontId="11" fillId="8" borderId="0" xfId="0" applyFont="1" applyFill="1"/>
    <xf numFmtId="165" fontId="0" fillId="0" borderId="0" xfId="0" applyNumberFormat="1"/>
    <xf numFmtId="167" fontId="0" fillId="0" borderId="0" xfId="0" applyNumberFormat="1" applyAlignment="1">
      <alignment horizontal="right" indent="1"/>
    </xf>
    <xf numFmtId="1" fontId="0" fillId="0" borderId="0" xfId="0" applyNumberFormat="1"/>
    <xf numFmtId="167" fontId="0" fillId="0" borderId="0" xfId="0" applyNumberFormat="1"/>
    <xf numFmtId="0" fontId="1" fillId="0" borderId="0" xfId="0" applyFont="1"/>
    <xf numFmtId="0" fontId="6" fillId="9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14" fillId="4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6" fillId="10" borderId="0" xfId="2" applyFont="1" applyFill="1" applyAlignment="1">
      <alignment vertical="center"/>
    </xf>
    <xf numFmtId="0" fontId="4" fillId="4" borderId="0" xfId="2" applyFont="1" applyFill="1" applyAlignment="1">
      <alignment vertical="center"/>
    </xf>
    <xf numFmtId="0" fontId="15" fillId="4" borderId="0" xfId="2" applyFont="1" applyFill="1" applyAlignment="1">
      <alignment vertical="center"/>
    </xf>
    <xf numFmtId="0" fontId="16" fillId="9" borderId="0" xfId="2" applyFont="1" applyFill="1" applyAlignment="1">
      <alignment vertical="center"/>
    </xf>
    <xf numFmtId="0" fontId="17" fillId="4" borderId="0" xfId="2" applyFont="1" applyFill="1" applyAlignment="1">
      <alignment vertical="center"/>
    </xf>
    <xf numFmtId="0" fontId="18" fillId="4" borderId="0" xfId="2" applyFont="1" applyFill="1" applyAlignment="1">
      <alignment vertical="center"/>
    </xf>
    <xf numFmtId="0" fontId="17" fillId="9" borderId="0" xfId="2" applyFont="1" applyFill="1" applyAlignment="1">
      <alignment vertical="center"/>
    </xf>
    <xf numFmtId="164" fontId="17" fillId="9" borderId="0" xfId="2" applyNumberFormat="1" applyFont="1" applyFill="1" applyAlignment="1">
      <alignment horizontal="left" vertical="center"/>
    </xf>
    <xf numFmtId="0" fontId="7" fillId="4" borderId="0" xfId="2" applyFont="1" applyFill="1" applyAlignment="1">
      <alignment vertical="center"/>
    </xf>
    <xf numFmtId="0" fontId="19" fillId="9" borderId="0" xfId="2" applyFont="1" applyFill="1" applyAlignment="1">
      <alignment vertical="center"/>
    </xf>
    <xf numFmtId="0" fontId="12" fillId="9" borderId="0" xfId="1" applyFill="1" applyAlignment="1">
      <alignment vertical="center"/>
    </xf>
    <xf numFmtId="43" fontId="0" fillId="0" borderId="0" xfId="0" applyNumberFormat="1"/>
    <xf numFmtId="0" fontId="17" fillId="9" borderId="0" xfId="2" applyFont="1" applyFill="1" applyAlignment="1">
      <alignment vertical="center"/>
    </xf>
    <xf numFmtId="0" fontId="14" fillId="9" borderId="0" xfId="2" applyFont="1" applyFill="1" applyAlignment="1">
      <alignment horizontal="center" vertical="center"/>
    </xf>
    <xf numFmtId="0" fontId="12" fillId="9" borderId="0" xfId="1" applyFill="1" applyAlignment="1">
      <alignment vertical="center"/>
    </xf>
  </cellXfs>
  <cellStyles count="3">
    <cellStyle name="Hyperlink" xfId="1" builtinId="8"/>
    <cellStyle name="Normal" xfId="0" builtinId="0"/>
    <cellStyle name="Normal 2" xfId="2" xr:uid="{7307DE4B-4973-4C59-A769-1155A2D63C9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19050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68EB7-D0B4-4DD4-89F6-0CD684779688}">
  <sheetPr codeName="Sheet1"/>
  <dimension ref="A1:Z99"/>
  <sheetViews>
    <sheetView showGridLines="0" topLeftCell="A10" zoomScaleNormal="100" workbookViewId="0">
      <selection activeCell="E28" sqref="E28"/>
    </sheetView>
  </sheetViews>
  <sheetFormatPr defaultColWidth="8.85546875" defaultRowHeight="15" x14ac:dyDescent="0.25"/>
  <cols>
    <col min="1" max="4" width="21.7109375" customWidth="1"/>
    <col min="5" max="6" width="14.140625" customWidth="1"/>
    <col min="7" max="7" width="12.140625" customWidth="1"/>
    <col min="8" max="10" width="8.140625" customWidth="1"/>
    <col min="11" max="11" width="9.7109375" customWidth="1"/>
    <col min="12" max="12" width="8.140625" customWidth="1"/>
    <col min="13" max="13" width="10" customWidth="1"/>
    <col min="14" max="14" width="11.42578125" customWidth="1"/>
    <col min="15" max="15" width="13.42578125" customWidth="1"/>
  </cols>
  <sheetData>
    <row r="1" spans="1:26" x14ac:dyDescent="0.25">
      <c r="A1" s="27"/>
      <c r="B1" s="27"/>
      <c r="C1" s="27"/>
      <c r="D1" s="27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x14ac:dyDescent="0.25">
      <c r="A2" s="27"/>
      <c r="B2" s="27"/>
      <c r="C2" s="27"/>
      <c r="D2" s="27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x14ac:dyDescent="0.25">
      <c r="A3" s="27"/>
      <c r="B3" s="27"/>
      <c r="C3" s="27"/>
      <c r="D3" s="27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x14ac:dyDescent="0.25">
      <c r="A4" s="27"/>
      <c r="B4" s="27"/>
      <c r="C4" s="27"/>
      <c r="D4" s="27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x14ac:dyDescent="0.25">
      <c r="A5" s="27"/>
      <c r="B5" s="27"/>
      <c r="C5" s="27"/>
      <c r="D5" s="27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x14ac:dyDescent="0.25">
      <c r="A6" s="27"/>
      <c r="B6" s="27"/>
      <c r="C6" s="27"/>
      <c r="D6" s="27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x14ac:dyDescent="0.25">
      <c r="A7" s="27"/>
      <c r="B7" s="27"/>
      <c r="C7" s="27"/>
      <c r="D7" s="27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x14ac:dyDescent="0.25">
      <c r="A8" s="27"/>
      <c r="B8" s="27"/>
      <c r="C8" s="27"/>
      <c r="D8" s="27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x14ac:dyDescent="0.25">
      <c r="A9" s="27"/>
      <c r="B9" s="27"/>
      <c r="C9" s="27"/>
      <c r="D9" s="27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x14ac:dyDescent="0.25">
      <c r="A10" s="27"/>
      <c r="B10" s="27"/>
      <c r="C10" s="27"/>
      <c r="D10" s="27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x14ac:dyDescent="0.25">
      <c r="A11" s="27"/>
      <c r="B11" s="27"/>
      <c r="C11" s="27"/>
      <c r="D11" s="27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x14ac:dyDescent="0.25">
      <c r="A12" s="27"/>
      <c r="B12" s="27"/>
      <c r="C12" s="27"/>
      <c r="D12" s="27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x14ac:dyDescent="0.25">
      <c r="A13" s="27"/>
      <c r="B13" s="27"/>
      <c r="C13" s="27"/>
      <c r="D13" s="27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x14ac:dyDescent="0.25">
      <c r="A14" s="27"/>
      <c r="B14" s="27"/>
      <c r="C14" s="27"/>
      <c r="D14" s="27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x14ac:dyDescent="0.25">
      <c r="A15" s="27"/>
      <c r="B15" s="27"/>
      <c r="C15" s="27"/>
      <c r="D15" s="27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02.75" customHeight="1" x14ac:dyDescent="0.25">
      <c r="A16" s="44" t="s">
        <v>94</v>
      </c>
      <c r="B16" s="44"/>
      <c r="C16" s="44"/>
      <c r="D16" s="44"/>
      <c r="E16" s="29"/>
      <c r="F16" s="29"/>
      <c r="G16" s="30"/>
      <c r="H16" s="30"/>
      <c r="I16" s="30"/>
      <c r="J16" s="30"/>
      <c r="K16" s="30"/>
      <c r="L16" s="30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7.25" customHeight="1" x14ac:dyDescent="0.25">
      <c r="A17" s="31"/>
      <c r="B17" s="31"/>
      <c r="C17" s="31"/>
      <c r="D17" s="31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7.25" customHeight="1" x14ac:dyDescent="0.25">
      <c r="A18" s="31"/>
      <c r="B18" s="31"/>
      <c r="C18" s="31"/>
      <c r="D18" s="31"/>
      <c r="E18" s="32"/>
      <c r="F18" s="32"/>
      <c r="G18" s="33"/>
      <c r="H18" s="33"/>
      <c r="I18" s="33"/>
      <c r="J18" s="33"/>
      <c r="K18" s="33"/>
      <c r="L18" s="33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7.25" customHeight="1" x14ac:dyDescent="0.25">
      <c r="A19" s="34" t="s">
        <v>95</v>
      </c>
      <c r="B19" s="43" t="s">
        <v>109</v>
      </c>
      <c r="C19" s="43"/>
      <c r="D19" s="43"/>
      <c r="E19" s="35"/>
      <c r="F19" s="35"/>
      <c r="G19" s="36"/>
      <c r="H19" s="36"/>
      <c r="I19" s="36"/>
      <c r="J19" s="36"/>
      <c r="K19" s="36"/>
      <c r="L19" s="36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7.25" customHeight="1" x14ac:dyDescent="0.25">
      <c r="A20" s="34" t="s">
        <v>96</v>
      </c>
      <c r="B20" s="43" t="s">
        <v>110</v>
      </c>
      <c r="C20" s="43"/>
      <c r="D20" s="43"/>
      <c r="E20" s="35"/>
      <c r="F20" s="35"/>
      <c r="G20" s="36"/>
      <c r="H20" s="36"/>
      <c r="I20" s="36"/>
      <c r="J20" s="36"/>
      <c r="K20" s="36"/>
      <c r="L20" s="36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7.25" customHeight="1" x14ac:dyDescent="0.25">
      <c r="A21" s="34" t="s">
        <v>97</v>
      </c>
      <c r="B21" s="37" t="s">
        <v>108</v>
      </c>
      <c r="C21" s="37"/>
      <c r="D21" s="37"/>
      <c r="E21" s="35"/>
      <c r="F21" s="35"/>
      <c r="G21" s="36"/>
      <c r="H21" s="36"/>
      <c r="I21" s="36"/>
      <c r="J21" s="36"/>
      <c r="K21" s="36"/>
      <c r="L21" s="36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7.25" customHeight="1" x14ac:dyDescent="0.25">
      <c r="A22" s="34"/>
      <c r="B22" s="37"/>
      <c r="C22" s="37"/>
      <c r="D22" s="37"/>
      <c r="E22" s="35"/>
      <c r="F22" s="35"/>
      <c r="G22" s="36"/>
      <c r="H22" s="36"/>
      <c r="I22" s="36"/>
      <c r="J22" s="36"/>
      <c r="K22" s="36"/>
      <c r="L22" s="36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7.25" customHeight="1" x14ac:dyDescent="0.25">
      <c r="A23" s="34" t="s">
        <v>98</v>
      </c>
      <c r="B23" s="43" t="s">
        <v>106</v>
      </c>
      <c r="C23" s="43"/>
      <c r="D23" s="43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7.25" customHeight="1" x14ac:dyDescent="0.25">
      <c r="A24" s="34"/>
      <c r="B24" s="43" t="s">
        <v>107</v>
      </c>
      <c r="C24" s="43"/>
      <c r="D24" s="43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7.25" customHeight="1" x14ac:dyDescent="0.25">
      <c r="A25" s="34"/>
      <c r="B25" s="37"/>
      <c r="C25" s="37"/>
      <c r="D25" s="37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7.25" customHeight="1" x14ac:dyDescent="0.25">
      <c r="A26" s="34" t="s">
        <v>99</v>
      </c>
      <c r="B26" s="43" t="s">
        <v>106</v>
      </c>
      <c r="C26" s="43"/>
      <c r="D26" s="43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7.25" customHeight="1" x14ac:dyDescent="0.25">
      <c r="A27" s="34"/>
      <c r="B27" s="43" t="s">
        <v>107</v>
      </c>
      <c r="C27" s="43"/>
      <c r="D27" s="43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7.25" customHeight="1" x14ac:dyDescent="0.25">
      <c r="A28" s="34"/>
      <c r="B28" s="37"/>
      <c r="C28" s="37"/>
      <c r="D28" s="37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7.25" customHeight="1" x14ac:dyDescent="0.25">
      <c r="A29" s="34" t="s">
        <v>100</v>
      </c>
      <c r="B29" s="38">
        <v>1</v>
      </c>
      <c r="C29" s="37"/>
      <c r="D29" s="37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7.25" customHeight="1" x14ac:dyDescent="0.25">
      <c r="A30" s="34" t="s">
        <v>101</v>
      </c>
      <c r="B30" s="45" t="s">
        <v>102</v>
      </c>
      <c r="C30" s="43"/>
      <c r="D30" s="43"/>
      <c r="E30" s="39"/>
      <c r="F30" s="39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7.25" customHeight="1" x14ac:dyDescent="0.25">
      <c r="A31" s="34" t="s">
        <v>103</v>
      </c>
      <c r="B31" s="43" t="s">
        <v>104</v>
      </c>
      <c r="C31" s="43"/>
      <c r="D31" s="43"/>
      <c r="E31" s="39"/>
      <c r="F31" s="39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7.25" customHeight="1" x14ac:dyDescent="0.25">
      <c r="A32" s="40"/>
      <c r="B32" s="41" t="s">
        <v>105</v>
      </c>
      <c r="C32" s="40"/>
      <c r="D32" s="40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x14ac:dyDescent="0.25">
      <c r="A33" s="27"/>
      <c r="B33" s="27"/>
      <c r="C33" s="27"/>
      <c r="D33" s="27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x14ac:dyDescent="0.25">
      <c r="A34" s="27"/>
      <c r="B34" s="27"/>
      <c r="C34" s="27"/>
      <c r="D34" s="27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x14ac:dyDescent="0.25">
      <c r="A35" s="27"/>
      <c r="B35" s="27"/>
      <c r="C35" s="27"/>
      <c r="D35" s="27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x14ac:dyDescent="0.25">
      <c r="A36" s="27"/>
      <c r="B36" s="27"/>
      <c r="C36" s="27"/>
      <c r="D36" s="27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x14ac:dyDescent="0.25">
      <c r="A37" s="27"/>
      <c r="B37" s="27"/>
      <c r="C37" s="27"/>
      <c r="D37" s="27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x14ac:dyDescent="0.25">
      <c r="A38" s="27"/>
      <c r="B38" s="27"/>
      <c r="C38" s="27"/>
      <c r="D38" s="27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x14ac:dyDescent="0.25">
      <c r="A39" s="27"/>
      <c r="B39" s="27"/>
      <c r="C39" s="27"/>
      <c r="D39" s="27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x14ac:dyDescent="0.25">
      <c r="A40" s="27"/>
      <c r="B40" s="27"/>
      <c r="C40" s="27"/>
      <c r="D40" s="27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x14ac:dyDescent="0.25">
      <c r="A41" s="27"/>
      <c r="B41" s="27"/>
      <c r="C41" s="27"/>
      <c r="D41" s="27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x14ac:dyDescent="0.25">
      <c r="A42" s="27"/>
      <c r="B42" s="27"/>
      <c r="C42" s="27"/>
      <c r="D42" s="27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x14ac:dyDescent="0.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x14ac:dyDescent="0.2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x14ac:dyDescent="0.2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x14ac:dyDescent="0.2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x14ac:dyDescent="0.2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x14ac:dyDescent="0.2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x14ac:dyDescent="0.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x14ac:dyDescent="0.2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x14ac:dyDescent="0.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x14ac:dyDescent="0.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x14ac:dyDescent="0.2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x14ac:dyDescent="0.2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x14ac:dyDescent="0.2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x14ac:dyDescent="0.2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x14ac:dyDescent="0.25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x14ac:dyDescent="0.2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x14ac:dyDescent="0.25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x14ac:dyDescent="0.2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x14ac:dyDescent="0.2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x14ac:dyDescent="0.2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x14ac:dyDescent="0.25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x14ac:dyDescent="0.2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x14ac:dyDescent="0.2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x14ac:dyDescent="0.2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x14ac:dyDescent="0.25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x14ac:dyDescent="0.25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x14ac:dyDescent="0.25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x14ac:dyDescent="0.2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x14ac:dyDescent="0.2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x14ac:dyDescent="0.2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x14ac:dyDescent="0.25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x14ac:dyDescent="0.2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x14ac:dyDescent="0.25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x14ac:dyDescent="0.2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x14ac:dyDescent="0.2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x14ac:dyDescent="0.2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x14ac:dyDescent="0.2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x14ac:dyDescent="0.2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x14ac:dyDescent="0.2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x14ac:dyDescent="0.2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x14ac:dyDescent="0.25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x14ac:dyDescent="0.2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x14ac:dyDescent="0.2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x14ac:dyDescent="0.2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x14ac:dyDescent="0.2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x14ac:dyDescent="0.2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x14ac:dyDescent="0.2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x14ac:dyDescent="0.2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x14ac:dyDescent="0.2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x14ac:dyDescent="0.2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x14ac:dyDescent="0.2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x14ac:dyDescent="0.2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x14ac:dyDescent="0.2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x14ac:dyDescent="0.2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</sheetData>
  <mergeCells count="9">
    <mergeCell ref="B31:D31"/>
    <mergeCell ref="A16:D16"/>
    <mergeCell ref="B19:D19"/>
    <mergeCell ref="B20:D20"/>
    <mergeCell ref="B23:D23"/>
    <mergeCell ref="B26:D26"/>
    <mergeCell ref="B30:D30"/>
    <mergeCell ref="B24:D24"/>
    <mergeCell ref="B27:D27"/>
  </mergeCells>
  <hyperlinks>
    <hyperlink ref="B30" r:id="rId1" xr:uid="{4BB0556C-CBCC-4A07-9E60-CB61E53298C8}"/>
    <hyperlink ref="B32" r:id="rId2" xr:uid="{B236766E-2B80-4BD7-A659-92EE55406222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H18" sqref="H18"/>
    </sheetView>
  </sheetViews>
  <sheetFormatPr defaultColWidth="9.140625" defaultRowHeight="15" x14ac:dyDescent="0.25"/>
  <cols>
    <col min="1" max="1" width="12.140625" customWidth="1"/>
    <col min="2" max="2" width="11.7109375" customWidth="1"/>
    <col min="3" max="3" width="3.140625" bestFit="1" customWidth="1"/>
    <col min="4" max="4" width="8.5703125" bestFit="1" customWidth="1"/>
    <col min="5" max="5" width="6.42578125" bestFit="1" customWidth="1"/>
    <col min="6" max="6" width="4.85546875" bestFit="1" customWidth="1"/>
    <col min="7" max="7" width="5.7109375" bestFit="1" customWidth="1"/>
    <col min="8" max="8" width="5.85546875" bestFit="1" customWidth="1"/>
    <col min="9" max="9" width="5.42578125" bestFit="1" customWidth="1"/>
    <col min="10" max="11" width="5.7109375" bestFit="1" customWidth="1"/>
    <col min="12" max="12" width="6.5703125" bestFit="1" customWidth="1"/>
    <col min="13" max="13" width="6.140625" bestFit="1" customWidth="1"/>
    <col min="14" max="14" width="6.7109375" bestFit="1" customWidth="1"/>
    <col min="15" max="15" width="6.5703125" bestFit="1" customWidth="1"/>
    <col min="16" max="16" width="7.28515625" bestFit="1" customWidth="1"/>
    <col min="17" max="17" width="5.7109375" bestFit="1" customWidth="1"/>
    <col min="18" max="18" width="6.140625" bestFit="1" customWidth="1"/>
    <col min="19" max="19" width="5.7109375" bestFit="1" customWidth="1"/>
    <col min="20" max="20" width="5.5703125" bestFit="1" customWidth="1"/>
    <col min="21" max="21" width="5.85546875" bestFit="1" customWidth="1"/>
    <col min="22" max="22" width="6.7109375" bestFit="1" customWidth="1"/>
    <col min="23" max="23" width="4.85546875" bestFit="1" customWidth="1"/>
    <col min="24" max="24" width="7.5703125" customWidth="1"/>
    <col min="25" max="25" width="6.7109375" bestFit="1" customWidth="1"/>
    <col min="26" max="26" width="6.140625" bestFit="1" customWidth="1"/>
    <col min="27" max="28" width="6" bestFit="1" customWidth="1"/>
    <col min="29" max="29" width="5.7109375" bestFit="1" customWidth="1"/>
    <col min="30" max="30" width="6.7109375" bestFit="1" customWidth="1"/>
  </cols>
  <sheetData>
    <row r="3" spans="1:30" x14ac:dyDescent="0.25">
      <c r="C3" s="5" t="str" cm="1">
        <f t="array" ref="C3">INDEX(C5:C7,$A$4)</f>
        <v>IE</v>
      </c>
      <c r="D3" s="5" t="str" cm="1">
        <f t="array" ref="D3">INDEX(D5:D7,$A$4)</f>
        <v>National</v>
      </c>
      <c r="E3" s="5" t="str" cm="1">
        <f t="array" ref="E3">INDEX(E5:E7,$A$4)</f>
        <v>IE-CW</v>
      </c>
      <c r="F3" s="5" t="str" cm="1">
        <f t="array" ref="F3">INDEX(F5:F7,$A$4)</f>
        <v>IE-D</v>
      </c>
      <c r="G3" s="5" t="str" cm="1">
        <f t="array" ref="G3">INDEX(G5:G7,$A$4)</f>
        <v>IE-KE</v>
      </c>
      <c r="H3" s="5" t="str" cm="1">
        <f t="array" ref="H3">INDEX(H5:H7,$A$4)</f>
        <v>IE-KK</v>
      </c>
      <c r="I3" s="5" t="str" cm="1">
        <f t="array" ref="I3">INDEX(I5:I7,$A$4)</f>
        <v>IE-LS</v>
      </c>
      <c r="J3" s="5" t="str" cm="1">
        <f t="array" ref="J3">INDEX(J5:J7,$A$4)</f>
        <v>IE-LD</v>
      </c>
      <c r="K3" s="5" t="str" cm="1">
        <f t="array" ref="K3">INDEX(K5:K7,$A$4)</f>
        <v>IE-LH</v>
      </c>
      <c r="L3" s="5" t="str" cm="1">
        <f t="array" ref="L3">INDEX(L5:L7,$A$4)</f>
        <v>IE-MH</v>
      </c>
      <c r="M3" s="5" t="str" cm="1">
        <f t="array" ref="M3">INDEX(M5:M7,$A$4)</f>
        <v>IE-OY</v>
      </c>
      <c r="N3" s="5" t="str" cm="1">
        <f t="array" ref="N3">INDEX(N5:N7,$A$4)</f>
        <v>IE-WH</v>
      </c>
      <c r="O3" s="5" t="str" cm="1">
        <f t="array" ref="O3">INDEX(O5:O7,$A$4)</f>
        <v>IE-WX</v>
      </c>
      <c r="P3" s="5" t="str" cm="1">
        <f t="array" ref="P3">INDEX(P5:P7,$A$4)</f>
        <v>IE-WW</v>
      </c>
      <c r="Q3" s="5" t="str" cm="1">
        <f t="array" ref="Q3">INDEX(Q5:Q7,$A$4)</f>
        <v>IE-CE</v>
      </c>
      <c r="R3" s="5" t="str" cm="1">
        <f t="array" ref="R3">INDEX(R5:R7,$A$4)</f>
        <v>IE-CO</v>
      </c>
      <c r="S3" s="5" t="str" cm="1">
        <f t="array" ref="S3">INDEX(S5:S7,$A$4)</f>
        <v>IE-KY</v>
      </c>
      <c r="T3" s="5" t="str" cm="1">
        <f t="array" ref="T3">INDEX(T5:T7,$A$4)</f>
        <v>IE-LK</v>
      </c>
      <c r="U3" s="5" t="str" cm="1">
        <f t="array" ref="U3">INDEX(U5:U7,$A$4)</f>
        <v>IE-TA</v>
      </c>
      <c r="V3" s="5" t="str" cm="1">
        <f t="array" ref="V3">INDEX(V5:V7,$A$4)</f>
        <v>IE-WD</v>
      </c>
      <c r="W3" s="5" t="str" cm="1">
        <f t="array" ref="W3">INDEX(W5:W7,$A$4)</f>
        <v>IE-G</v>
      </c>
      <c r="X3" s="5" t="str" cm="1">
        <f t="array" ref="X3">INDEX(X5:X7,$A$4)</f>
        <v>IE-LM</v>
      </c>
      <c r="Y3" s="5" t="str" cm="1">
        <f t="array" ref="Y3">INDEX(Y5:Y7,$A$4)</f>
        <v>IE-MO</v>
      </c>
      <c r="Z3" s="5" t="str" cm="1">
        <f t="array" ref="Z3">INDEX(Z5:Z7,$A$4)</f>
        <v>IE-RN</v>
      </c>
      <c r="AA3" s="5" t="str" cm="1">
        <f t="array" ref="AA3">INDEX(AA5:AA7,$A$4)</f>
        <v>IE-SO</v>
      </c>
      <c r="AB3" s="5" t="str" cm="1">
        <f t="array" ref="AB3">INDEX(AB5:AB7,$A$4)</f>
        <v>IE-CN</v>
      </c>
      <c r="AC3" s="5" t="str" cm="1">
        <f t="array" ref="AC3">INDEX(AC5:AC7,$A$4)</f>
        <v>IE-DL</v>
      </c>
      <c r="AD3" s="5" t="str" cm="1">
        <f t="array" ref="AD3">INDEX(AD5:AD7,$A$4)</f>
        <v>IE-MN</v>
      </c>
    </row>
    <row r="4" spans="1:30" x14ac:dyDescent="0.25">
      <c r="A4">
        <v>1</v>
      </c>
    </row>
    <row r="5" spans="1:30" x14ac:dyDescent="0.25">
      <c r="A5" t="s">
        <v>36</v>
      </c>
      <c r="C5" s="6" t="s">
        <v>37</v>
      </c>
      <c r="D5" s="6" t="s">
        <v>38</v>
      </c>
      <c r="E5" s="5" t="str">
        <f>Regions!A11</f>
        <v>IE-CW</v>
      </c>
      <c r="F5" s="5" t="str">
        <f>Regions!A16</f>
        <v>IE-D</v>
      </c>
      <c r="G5" s="5" t="str">
        <f>Regions!A19</f>
        <v>IE-KE</v>
      </c>
      <c r="H5" s="5" t="str">
        <f>Regions!A20</f>
        <v>IE-KK</v>
      </c>
      <c r="I5" s="5" t="str">
        <f>Regions!A21</f>
        <v>IE-LS</v>
      </c>
      <c r="J5" s="5" t="str">
        <f>Regions!A24</f>
        <v>IE-LD</v>
      </c>
      <c r="K5" s="5" t="str">
        <f>Regions!A25</f>
        <v>IE-LH</v>
      </c>
      <c r="L5" s="5" t="str">
        <f>Regions!A27</f>
        <v>IE-MH</v>
      </c>
      <c r="M5" s="5" t="str">
        <f>Regions!A29</f>
        <v>IE-OY</v>
      </c>
      <c r="N5" s="5" t="str">
        <f>Regions!A34</f>
        <v>IE-WH</v>
      </c>
      <c r="O5" s="5" t="str">
        <f>Regions!A35</f>
        <v>IE-WX</v>
      </c>
      <c r="P5" s="5" t="str">
        <f>Regions!A36</f>
        <v>IE-WW</v>
      </c>
      <c r="Q5" s="5" t="str">
        <f>Regions!A13</f>
        <v>IE-CE</v>
      </c>
      <c r="R5" s="5" t="str">
        <f>Regions!A14</f>
        <v>IE-CO</v>
      </c>
      <c r="S5" s="5" t="str">
        <f>Regions!A18</f>
        <v>IE-KY</v>
      </c>
      <c r="T5" s="5" t="str">
        <f>Regions!A23</f>
        <v>IE-LK</v>
      </c>
      <c r="U5" s="5" t="str">
        <f>Regions!A32</f>
        <v>IE-TA</v>
      </c>
      <c r="V5" s="5" t="str">
        <f>Regions!A33</f>
        <v>IE-WD</v>
      </c>
      <c r="W5" s="5" t="str">
        <f>Regions!A17</f>
        <v>IE-G</v>
      </c>
      <c r="X5" s="5" t="str">
        <f>Regions!A22</f>
        <v>IE-LM</v>
      </c>
      <c r="Y5" s="5" t="str">
        <f>Regions!A26</f>
        <v>IE-MO</v>
      </c>
      <c r="Z5" s="5" t="str">
        <f>Regions!A30</f>
        <v>IE-RN</v>
      </c>
      <c r="AA5" s="5" t="str">
        <f>Regions!A31</f>
        <v>IE-SO</v>
      </c>
      <c r="AB5" s="5" t="str">
        <f>Regions!A12</f>
        <v>IE-CN</v>
      </c>
      <c r="AC5" s="5" t="str">
        <f>Regions!A15</f>
        <v>IE-DL</v>
      </c>
      <c r="AD5" s="5" t="str">
        <f>Regions!A28</f>
        <v>IE-MN</v>
      </c>
    </row>
    <row r="6" spans="1:30" x14ac:dyDescent="0.25">
      <c r="A6" t="s">
        <v>39</v>
      </c>
      <c r="C6" s="5" t="str">
        <f>C5</f>
        <v>IE</v>
      </c>
      <c r="D6" s="5" t="str">
        <f>"*"&amp;D5</f>
        <v>*National</v>
      </c>
      <c r="E6" s="5" t="str">
        <f t="shared" ref="E6:AD6" si="0">"*"&amp;E5</f>
        <v>*IE-CW</v>
      </c>
      <c r="F6" s="5" t="str">
        <f t="shared" si="0"/>
        <v>*IE-D</v>
      </c>
      <c r="G6" s="5" t="str">
        <f t="shared" si="0"/>
        <v>*IE-KE</v>
      </c>
      <c r="H6" s="5" t="str">
        <f t="shared" si="0"/>
        <v>*IE-KK</v>
      </c>
      <c r="I6" s="5" t="str">
        <f t="shared" si="0"/>
        <v>*IE-LS</v>
      </c>
      <c r="J6" s="5" t="str">
        <f t="shared" si="0"/>
        <v>*IE-LD</v>
      </c>
      <c r="K6" s="5" t="str">
        <f t="shared" si="0"/>
        <v>*IE-LH</v>
      </c>
      <c r="L6" s="5" t="str">
        <f t="shared" si="0"/>
        <v>*IE-MH</v>
      </c>
      <c r="M6" s="5" t="str">
        <f t="shared" si="0"/>
        <v>*IE-OY</v>
      </c>
      <c r="N6" s="5" t="str">
        <f t="shared" si="0"/>
        <v>*IE-WH</v>
      </c>
      <c r="O6" s="5" t="str">
        <f t="shared" si="0"/>
        <v>*IE-WX</v>
      </c>
      <c r="P6" s="5" t="str">
        <f t="shared" si="0"/>
        <v>*IE-WW</v>
      </c>
      <c r="Q6" s="5" t="str">
        <f t="shared" si="0"/>
        <v>*IE-CE</v>
      </c>
      <c r="R6" s="5" t="str">
        <f t="shared" si="0"/>
        <v>*IE-CO</v>
      </c>
      <c r="S6" s="5" t="str">
        <f t="shared" si="0"/>
        <v>*IE-KY</v>
      </c>
      <c r="T6" s="5" t="str">
        <f t="shared" si="0"/>
        <v>*IE-LK</v>
      </c>
      <c r="U6" s="5" t="str">
        <f t="shared" si="0"/>
        <v>*IE-TA</v>
      </c>
      <c r="V6" s="5" t="str">
        <f t="shared" si="0"/>
        <v>*IE-WD</v>
      </c>
      <c r="W6" s="5" t="str">
        <f t="shared" si="0"/>
        <v>*IE-G</v>
      </c>
      <c r="X6" s="5" t="str">
        <f t="shared" si="0"/>
        <v>*IE-LM</v>
      </c>
      <c r="Y6" s="5" t="str">
        <f t="shared" si="0"/>
        <v>*IE-MO</v>
      </c>
      <c r="Z6" s="5" t="str">
        <f t="shared" si="0"/>
        <v>*IE-RN</v>
      </c>
      <c r="AA6" s="5" t="str">
        <f t="shared" si="0"/>
        <v>*IE-SO</v>
      </c>
      <c r="AB6" s="5" t="str">
        <f t="shared" si="0"/>
        <v>*IE-CN</v>
      </c>
      <c r="AC6" s="5" t="str">
        <f t="shared" si="0"/>
        <v>*IE-DL</v>
      </c>
      <c r="AD6" s="5" t="str">
        <f t="shared" si="0"/>
        <v>*IE-MN</v>
      </c>
    </row>
    <row r="7" spans="1:30" x14ac:dyDescent="0.25">
      <c r="A7" t="s">
        <v>40</v>
      </c>
      <c r="C7" s="5" t="str">
        <f>"*"&amp;C5</f>
        <v>*IE</v>
      </c>
      <c r="D7" s="5" t="str">
        <f>D5</f>
        <v>National</v>
      </c>
      <c r="E7" s="5" t="str">
        <f t="shared" ref="E7:AD7" si="1">E5</f>
        <v>IE-CW</v>
      </c>
      <c r="F7" s="5" t="str">
        <f t="shared" si="1"/>
        <v>IE-D</v>
      </c>
      <c r="G7" s="5" t="str">
        <f t="shared" si="1"/>
        <v>IE-KE</v>
      </c>
      <c r="H7" s="5" t="str">
        <f t="shared" si="1"/>
        <v>IE-KK</v>
      </c>
      <c r="I7" s="5" t="str">
        <f t="shared" si="1"/>
        <v>IE-LS</v>
      </c>
      <c r="J7" s="5" t="str">
        <f t="shared" si="1"/>
        <v>IE-LD</v>
      </c>
      <c r="K7" s="5" t="str">
        <f t="shared" si="1"/>
        <v>IE-LH</v>
      </c>
      <c r="L7" s="5" t="str">
        <f t="shared" si="1"/>
        <v>IE-MH</v>
      </c>
      <c r="M7" s="5" t="str">
        <f t="shared" si="1"/>
        <v>IE-OY</v>
      </c>
      <c r="N7" s="5" t="str">
        <f t="shared" si="1"/>
        <v>IE-WH</v>
      </c>
      <c r="O7" s="5" t="str">
        <f t="shared" si="1"/>
        <v>IE-WX</v>
      </c>
      <c r="P7" s="5" t="str">
        <f t="shared" si="1"/>
        <v>IE-WW</v>
      </c>
      <c r="Q7" s="5" t="str">
        <f t="shared" si="1"/>
        <v>IE-CE</v>
      </c>
      <c r="R7" s="5" t="str">
        <f t="shared" si="1"/>
        <v>IE-CO</v>
      </c>
      <c r="S7" s="5" t="str">
        <f t="shared" si="1"/>
        <v>IE-KY</v>
      </c>
      <c r="T7" s="5" t="str">
        <f t="shared" si="1"/>
        <v>IE-LK</v>
      </c>
      <c r="U7" s="5" t="str">
        <f t="shared" si="1"/>
        <v>IE-TA</v>
      </c>
      <c r="V7" s="5" t="str">
        <f t="shared" si="1"/>
        <v>IE-WD</v>
      </c>
      <c r="W7" s="5" t="str">
        <f t="shared" si="1"/>
        <v>IE-G</v>
      </c>
      <c r="X7" s="5" t="str">
        <f t="shared" si="1"/>
        <v>IE-LM</v>
      </c>
      <c r="Y7" s="5" t="str">
        <f t="shared" si="1"/>
        <v>IE-MO</v>
      </c>
      <c r="Z7" s="5" t="str">
        <f t="shared" si="1"/>
        <v>IE-RN</v>
      </c>
      <c r="AA7" s="5" t="str">
        <f t="shared" si="1"/>
        <v>IE-SO</v>
      </c>
      <c r="AB7" s="5" t="str">
        <f t="shared" si="1"/>
        <v>IE-CN</v>
      </c>
      <c r="AC7" s="5" t="str">
        <f t="shared" si="1"/>
        <v>IE-DL</v>
      </c>
      <c r="AD7" s="5" t="str">
        <f t="shared" si="1"/>
        <v>IE-MN</v>
      </c>
    </row>
    <row r="10" spans="1:30" ht="15.75" thickBot="1" x14ac:dyDescent="0.3">
      <c r="A10" s="7" t="s">
        <v>41</v>
      </c>
      <c r="B10" s="7" t="s">
        <v>42</v>
      </c>
    </row>
    <row r="11" spans="1:30" x14ac:dyDescent="0.25">
      <c r="A11" s="8" t="s">
        <v>43</v>
      </c>
      <c r="B11" s="8" t="s">
        <v>34</v>
      </c>
    </row>
    <row r="12" spans="1:30" x14ac:dyDescent="0.25">
      <c r="A12" s="9" t="s">
        <v>44</v>
      </c>
      <c r="B12" s="9" t="s">
        <v>33</v>
      </c>
    </row>
    <row r="13" spans="1:30" x14ac:dyDescent="0.25">
      <c r="A13" s="9" t="s">
        <v>45</v>
      </c>
      <c r="B13" s="9" t="s">
        <v>32</v>
      </c>
    </row>
    <row r="14" spans="1:30" x14ac:dyDescent="0.25">
      <c r="A14" s="9" t="s">
        <v>46</v>
      </c>
      <c r="B14" s="9" t="s">
        <v>31</v>
      </c>
    </row>
    <row r="15" spans="1:30" x14ac:dyDescent="0.25">
      <c r="A15" s="9" t="s">
        <v>47</v>
      </c>
      <c r="B15" s="9" t="s">
        <v>30</v>
      </c>
    </row>
    <row r="16" spans="1:30" x14ac:dyDescent="0.25">
      <c r="A16" s="9" t="s">
        <v>48</v>
      </c>
      <c r="B16" s="9" t="s">
        <v>29</v>
      </c>
    </row>
    <row r="17" spans="1:2" x14ac:dyDescent="0.25">
      <c r="A17" s="9" t="s">
        <v>49</v>
      </c>
      <c r="B17" s="9" t="s">
        <v>28</v>
      </c>
    </row>
    <row r="18" spans="1:2" x14ac:dyDescent="0.25">
      <c r="A18" s="9" t="s">
        <v>50</v>
      </c>
      <c r="B18" s="9" t="s">
        <v>27</v>
      </c>
    </row>
    <row r="19" spans="1:2" x14ac:dyDescent="0.25">
      <c r="A19" s="9" t="s">
        <v>51</v>
      </c>
      <c r="B19" s="9" t="s">
        <v>26</v>
      </c>
    </row>
    <row r="20" spans="1:2" x14ac:dyDescent="0.25">
      <c r="A20" s="9" t="s">
        <v>52</v>
      </c>
      <c r="B20" s="9" t="s">
        <v>25</v>
      </c>
    </row>
    <row r="21" spans="1:2" x14ac:dyDescent="0.25">
      <c r="A21" s="9" t="s">
        <v>53</v>
      </c>
      <c r="B21" s="9" t="s">
        <v>24</v>
      </c>
    </row>
    <row r="22" spans="1:2" x14ac:dyDescent="0.25">
      <c r="A22" s="9" t="s">
        <v>54</v>
      </c>
      <c r="B22" s="9" t="s">
        <v>23</v>
      </c>
    </row>
    <row r="23" spans="1:2" x14ac:dyDescent="0.25">
      <c r="A23" s="9" t="s">
        <v>55</v>
      </c>
      <c r="B23" s="9" t="s">
        <v>22</v>
      </c>
    </row>
    <row r="24" spans="1:2" x14ac:dyDescent="0.25">
      <c r="A24" s="9" t="s">
        <v>56</v>
      </c>
      <c r="B24" s="9" t="s">
        <v>21</v>
      </c>
    </row>
    <row r="25" spans="1:2" x14ac:dyDescent="0.25">
      <c r="A25" s="9" t="s">
        <v>57</v>
      </c>
      <c r="B25" s="9" t="s">
        <v>20</v>
      </c>
    </row>
    <row r="26" spans="1:2" x14ac:dyDescent="0.25">
      <c r="A26" s="9" t="s">
        <v>58</v>
      </c>
      <c r="B26" s="9" t="s">
        <v>19</v>
      </c>
    </row>
    <row r="27" spans="1:2" x14ac:dyDescent="0.25">
      <c r="A27" s="9" t="s">
        <v>59</v>
      </c>
      <c r="B27" s="9" t="s">
        <v>18</v>
      </c>
    </row>
    <row r="28" spans="1:2" x14ac:dyDescent="0.25">
      <c r="A28" s="9" t="s">
        <v>60</v>
      </c>
      <c r="B28" s="9" t="s">
        <v>17</v>
      </c>
    </row>
    <row r="29" spans="1:2" x14ac:dyDescent="0.25">
      <c r="A29" s="9" t="s">
        <v>61</v>
      </c>
      <c r="B29" s="9" t="s">
        <v>16</v>
      </c>
    </row>
    <row r="30" spans="1:2" x14ac:dyDescent="0.25">
      <c r="A30" s="9" t="s">
        <v>62</v>
      </c>
      <c r="B30" s="9" t="s">
        <v>15</v>
      </c>
    </row>
    <row r="31" spans="1:2" x14ac:dyDescent="0.25">
      <c r="A31" s="9" t="s">
        <v>63</v>
      </c>
      <c r="B31" s="9" t="s">
        <v>14</v>
      </c>
    </row>
    <row r="32" spans="1:2" x14ac:dyDescent="0.25">
      <c r="A32" s="9" t="s">
        <v>64</v>
      </c>
      <c r="B32" s="9" t="s">
        <v>13</v>
      </c>
    </row>
    <row r="33" spans="1:2" x14ac:dyDescent="0.25">
      <c r="A33" s="9" t="s">
        <v>65</v>
      </c>
      <c r="B33" s="9" t="s">
        <v>12</v>
      </c>
    </row>
    <row r="34" spans="1:2" x14ac:dyDescent="0.25">
      <c r="A34" s="9" t="s">
        <v>66</v>
      </c>
      <c r="B34" s="9" t="s">
        <v>11</v>
      </c>
    </row>
    <row r="35" spans="1:2" x14ac:dyDescent="0.25">
      <c r="A35" s="9" t="s">
        <v>67</v>
      </c>
      <c r="B35" s="9" t="s">
        <v>10</v>
      </c>
    </row>
    <row r="36" spans="1:2" x14ac:dyDescent="0.25">
      <c r="A36" s="9" t="s">
        <v>68</v>
      </c>
      <c r="B36" s="9" t="s">
        <v>9</v>
      </c>
    </row>
    <row r="37" spans="1:2" x14ac:dyDescent="0.25">
      <c r="A37" s="10" t="s">
        <v>69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19050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4:AM58"/>
  <sheetViews>
    <sheetView tabSelected="1" topLeftCell="A6" zoomScale="70" zoomScaleNormal="70" workbookViewId="0">
      <selection activeCell="I27" sqref="I27"/>
    </sheetView>
  </sheetViews>
  <sheetFormatPr defaultRowHeight="15" x14ac:dyDescent="0.25"/>
  <cols>
    <col min="1" max="1" width="13.7109375" customWidth="1"/>
    <col min="2" max="2" width="23.7109375" bestFit="1" customWidth="1"/>
    <col min="3" max="3" width="19.42578125" customWidth="1"/>
    <col min="4" max="12" width="10.7109375" bestFit="1" customWidth="1"/>
    <col min="13" max="13" width="11.5703125" customWidth="1"/>
    <col min="14" max="14" width="12.28515625" bestFit="1" customWidth="1"/>
    <col min="15" max="28" width="10.85546875" bestFit="1" customWidth="1"/>
    <col min="29" max="39" width="10.42578125" bestFit="1" customWidth="1"/>
  </cols>
  <sheetData>
    <row r="4" spans="1:36" ht="21" x14ac:dyDescent="0.35">
      <c r="B4" s="21" t="s">
        <v>87</v>
      </c>
      <c r="C4" s="20"/>
      <c r="D4" s="21"/>
    </row>
    <row r="7" spans="1:36" x14ac:dyDescent="0.25">
      <c r="A7" t="s">
        <v>92</v>
      </c>
    </row>
    <row r="8" spans="1:36" x14ac:dyDescent="0.25">
      <c r="B8" s="26" t="s">
        <v>93</v>
      </c>
    </row>
    <row r="9" spans="1:36" x14ac:dyDescent="0.25">
      <c r="B9" s="26" t="s">
        <v>6</v>
      </c>
    </row>
    <row r="10" spans="1:36" x14ac:dyDescent="0.25">
      <c r="F10" t="s">
        <v>35</v>
      </c>
    </row>
    <row r="11" spans="1:36" x14ac:dyDescent="0.25">
      <c r="B11" s="3" t="s">
        <v>0</v>
      </c>
      <c r="C11" s="1" t="s">
        <v>2</v>
      </c>
      <c r="D11" s="2" t="s">
        <v>3</v>
      </c>
      <c r="E11" s="2" t="s">
        <v>1</v>
      </c>
      <c r="F11" s="2" t="s">
        <v>5</v>
      </c>
      <c r="G11" s="2" t="s">
        <v>4</v>
      </c>
      <c r="H11" s="3" t="s">
        <v>7</v>
      </c>
      <c r="I11" s="3" t="str">
        <f>Regions!C$3</f>
        <v>IE</v>
      </c>
      <c r="J11" s="3" t="str">
        <f>Regions!E$3</f>
        <v>IE-CW</v>
      </c>
      <c r="K11" s="3" t="str">
        <f>Regions!F$3</f>
        <v>IE-D</v>
      </c>
      <c r="L11" s="3" t="str">
        <f>Regions!G$3</f>
        <v>IE-KE</v>
      </c>
      <c r="M11" s="3" t="str">
        <f>Regions!H$3</f>
        <v>IE-KK</v>
      </c>
      <c r="N11" s="3" t="str">
        <f>Regions!I$3</f>
        <v>IE-LS</v>
      </c>
      <c r="O11" s="3" t="str">
        <f>Regions!J$3</f>
        <v>IE-LD</v>
      </c>
      <c r="P11" s="3" t="str">
        <f>Regions!K$3</f>
        <v>IE-LH</v>
      </c>
      <c r="Q11" s="3" t="str">
        <f>Regions!L$3</f>
        <v>IE-MH</v>
      </c>
      <c r="R11" s="3" t="str">
        <f>Regions!M$3</f>
        <v>IE-OY</v>
      </c>
      <c r="S11" s="3" t="str">
        <f>Regions!N$3</f>
        <v>IE-WH</v>
      </c>
      <c r="T11" s="3" t="str">
        <f>Regions!O$3</f>
        <v>IE-WX</v>
      </c>
      <c r="U11" s="3" t="str">
        <f>Regions!P$3</f>
        <v>IE-WW</v>
      </c>
      <c r="V11" s="3" t="str">
        <f>Regions!Q$3</f>
        <v>IE-CE</v>
      </c>
      <c r="W11" s="3" t="str">
        <f>Regions!R$3</f>
        <v>IE-CO</v>
      </c>
      <c r="X11" s="3" t="str">
        <f>Regions!S$3</f>
        <v>IE-KY</v>
      </c>
      <c r="Y11" s="3" t="str">
        <f>Regions!T$3</f>
        <v>IE-LK</v>
      </c>
      <c r="Z11" s="3" t="str">
        <f>Regions!U$3</f>
        <v>IE-TA</v>
      </c>
      <c r="AA11" s="3" t="str">
        <f>Regions!V$3</f>
        <v>IE-WD</v>
      </c>
      <c r="AB11" s="3" t="str">
        <f>Regions!W$3</f>
        <v>IE-G</v>
      </c>
      <c r="AC11" s="3" t="str">
        <f>Regions!X$3</f>
        <v>IE-LM</v>
      </c>
      <c r="AD11" s="3" t="str">
        <f>Regions!Y$3</f>
        <v>IE-MO</v>
      </c>
      <c r="AE11" s="3" t="str">
        <f>Regions!Z$3</f>
        <v>IE-RN</v>
      </c>
      <c r="AF11" s="3" t="str">
        <f>Regions!AA$3</f>
        <v>IE-SO</v>
      </c>
      <c r="AG11" s="3" t="str">
        <f>Regions!AB$3</f>
        <v>IE-CN</v>
      </c>
      <c r="AH11" s="3" t="str">
        <f>Regions!AC$3</f>
        <v>IE-DL</v>
      </c>
      <c r="AI11" s="3" t="str">
        <f>Regions!AD$3</f>
        <v>IE-MN</v>
      </c>
      <c r="AJ11" s="3" t="s">
        <v>8</v>
      </c>
    </row>
    <row r="12" spans="1:36" x14ac:dyDescent="0.25">
      <c r="B12" t="s">
        <v>73</v>
      </c>
      <c r="C12" t="s">
        <v>111</v>
      </c>
      <c r="D12" t="s">
        <v>88</v>
      </c>
      <c r="E12">
        <v>2018</v>
      </c>
      <c r="F12" t="s">
        <v>91</v>
      </c>
      <c r="G12">
        <v>-1</v>
      </c>
      <c r="H12" t="s">
        <v>76</v>
      </c>
      <c r="I12" s="23">
        <f t="shared" ref="I12:AI12" si="0">ROUNDDOWN(D45/D$49,5)</f>
        <v>2.511E-2</v>
      </c>
      <c r="J12" s="23">
        <f t="shared" si="0"/>
        <v>2.53E-2</v>
      </c>
      <c r="K12" s="23">
        <f t="shared" si="0"/>
        <v>2.503E-2</v>
      </c>
      <c r="L12" s="23">
        <f t="shared" si="0"/>
        <v>2.53E-2</v>
      </c>
      <c r="M12" s="23">
        <f t="shared" si="0"/>
        <v>2.53E-2</v>
      </c>
      <c r="N12" s="23">
        <f t="shared" si="0"/>
        <v>2.53E-2</v>
      </c>
      <c r="O12" s="23">
        <f t="shared" si="0"/>
        <v>2.53E-2</v>
      </c>
      <c r="P12" s="23">
        <f t="shared" si="0"/>
        <v>2.53E-2</v>
      </c>
      <c r="Q12" s="23">
        <f t="shared" si="0"/>
        <v>2.4750000000000001E-2</v>
      </c>
      <c r="R12" s="23">
        <f t="shared" si="0"/>
        <v>2.53E-2</v>
      </c>
      <c r="S12" s="23">
        <f t="shared" si="0"/>
        <v>2.53E-2</v>
      </c>
      <c r="T12" s="23">
        <f t="shared" si="0"/>
        <v>2.53E-2</v>
      </c>
      <c r="U12" s="23">
        <f t="shared" si="0"/>
        <v>2.53E-2</v>
      </c>
      <c r="V12" s="23">
        <f t="shared" si="0"/>
        <v>2.53E-2</v>
      </c>
      <c r="W12" s="23">
        <f t="shared" si="0"/>
        <v>2.53E-2</v>
      </c>
      <c r="X12" s="23">
        <f t="shared" si="0"/>
        <v>2.53E-2</v>
      </c>
      <c r="Y12" s="23">
        <f t="shared" si="0"/>
        <v>2.53E-2</v>
      </c>
      <c r="Z12" s="23">
        <f t="shared" si="0"/>
        <v>2.53E-2</v>
      </c>
      <c r="AA12" s="23">
        <f t="shared" si="0"/>
        <v>2.4250000000000001E-2</v>
      </c>
      <c r="AB12" s="23">
        <f t="shared" si="0"/>
        <v>2.53E-2</v>
      </c>
      <c r="AC12" s="23">
        <f t="shared" si="0"/>
        <v>2.53E-2</v>
      </c>
      <c r="AD12" s="23">
        <f t="shared" si="0"/>
        <v>2.2720000000000001E-2</v>
      </c>
      <c r="AE12" s="23">
        <f t="shared" si="0"/>
        <v>2.53E-2</v>
      </c>
      <c r="AF12" s="23">
        <f t="shared" si="0"/>
        <v>2.53E-2</v>
      </c>
      <c r="AG12" s="23">
        <f t="shared" si="0"/>
        <v>2.53E-2</v>
      </c>
      <c r="AH12" s="23">
        <f t="shared" si="0"/>
        <v>2.53E-2</v>
      </c>
      <c r="AI12" s="23">
        <f t="shared" si="0"/>
        <v>2.53E-2</v>
      </c>
      <c r="AJ12" s="24">
        <v>0</v>
      </c>
    </row>
    <row r="13" spans="1:36" x14ac:dyDescent="0.25">
      <c r="C13" t="s">
        <v>111</v>
      </c>
      <c r="D13" t="s">
        <v>88</v>
      </c>
      <c r="E13">
        <v>2019</v>
      </c>
      <c r="F13" t="s">
        <v>91</v>
      </c>
      <c r="G13">
        <v>-1</v>
      </c>
      <c r="I13" s="23">
        <f>I$12/SUM(I$12,I$17,I$22)*(1-I$28)</f>
        <v>2.5157514050693969E-2</v>
      </c>
      <c r="J13" s="23">
        <f t="shared" ref="J13:AI13" si="1">J$12/SUM(J$12,J$17,J$22)*(1-J$28)</f>
        <v>2.5300506010120204E-2</v>
      </c>
      <c r="K13" s="23">
        <f t="shared" si="1"/>
        <v>2.5097386652405435E-2</v>
      </c>
      <c r="L13" s="23">
        <f t="shared" si="1"/>
        <v>2.5300506010120204E-2</v>
      </c>
      <c r="M13" s="23">
        <f t="shared" si="1"/>
        <v>2.5300506010120204E-2</v>
      </c>
      <c r="N13" s="23">
        <f t="shared" si="1"/>
        <v>2.5300506010120204E-2</v>
      </c>
      <c r="O13" s="23">
        <f t="shared" si="1"/>
        <v>2.5300506010120204E-2</v>
      </c>
      <c r="P13" s="23">
        <f t="shared" si="1"/>
        <v>2.5300506010120204E-2</v>
      </c>
      <c r="Q13" s="23">
        <f t="shared" si="1"/>
        <v>2.4887146677139736E-2</v>
      </c>
      <c r="R13" s="23">
        <f t="shared" si="1"/>
        <v>2.5300506010120204E-2</v>
      </c>
      <c r="S13" s="23">
        <f t="shared" si="1"/>
        <v>2.5300506010120204E-2</v>
      </c>
      <c r="T13" s="23">
        <f t="shared" si="1"/>
        <v>2.5300506010120204E-2</v>
      </c>
      <c r="U13" s="23">
        <f t="shared" si="1"/>
        <v>2.5300506010120204E-2</v>
      </c>
      <c r="V13" s="23">
        <f t="shared" si="1"/>
        <v>2.5300506010120204E-2</v>
      </c>
      <c r="W13" s="23">
        <f t="shared" si="1"/>
        <v>2.5300506010120204E-2</v>
      </c>
      <c r="X13" s="23">
        <f t="shared" si="1"/>
        <v>2.5300506010120204E-2</v>
      </c>
      <c r="Y13" s="23">
        <f t="shared" si="1"/>
        <v>2.5300506010120204E-2</v>
      </c>
      <c r="Z13" s="23">
        <f t="shared" si="1"/>
        <v>2.5300506010120204E-2</v>
      </c>
      <c r="AA13" s="23">
        <f t="shared" si="1"/>
        <v>2.4510340805562844E-2</v>
      </c>
      <c r="AB13" s="23">
        <f t="shared" si="1"/>
        <v>2.5300506010120204E-2</v>
      </c>
      <c r="AC13" s="23">
        <f t="shared" si="1"/>
        <v>2.5300506010120204E-2</v>
      </c>
      <c r="AD13" s="23">
        <f t="shared" si="1"/>
        <v>2.3356126813948216E-2</v>
      </c>
      <c r="AE13" s="23">
        <f t="shared" si="1"/>
        <v>2.5300506010120204E-2</v>
      </c>
      <c r="AF13" s="23">
        <f t="shared" si="1"/>
        <v>2.5300506010120204E-2</v>
      </c>
      <c r="AG13" s="23">
        <f t="shared" si="1"/>
        <v>2.5300506010120204E-2</v>
      </c>
      <c r="AH13" s="23">
        <f t="shared" si="1"/>
        <v>2.5300506010120204E-2</v>
      </c>
      <c r="AI13" s="23">
        <f t="shared" si="1"/>
        <v>2.5300506010120204E-2</v>
      </c>
      <c r="AJ13" s="24"/>
    </row>
    <row r="14" spans="1:36" x14ac:dyDescent="0.25">
      <c r="C14" t="s">
        <v>111</v>
      </c>
      <c r="D14" t="s">
        <v>88</v>
      </c>
      <c r="E14">
        <v>2020</v>
      </c>
      <c r="F14" t="s">
        <v>91</v>
      </c>
      <c r="G14">
        <v>-1</v>
      </c>
      <c r="I14" s="23">
        <f>I$12/SUM(I$12,I$17,I$22)*(1-I$29)</f>
        <v>2.5140114673733178E-2</v>
      </c>
      <c r="J14" s="23">
        <f t="shared" ref="J14:AI14" si="2">J$12/SUM(J$12,J$17,J$22)*(1-J$29)</f>
        <v>2.5300506010120204E-2</v>
      </c>
      <c r="K14" s="23">
        <f t="shared" si="2"/>
        <v>2.5072987998782447E-2</v>
      </c>
      <c r="L14" s="23">
        <f t="shared" si="2"/>
        <v>2.5300506010120204E-2</v>
      </c>
      <c r="M14" s="23">
        <f t="shared" si="2"/>
        <v>2.5300506010120204E-2</v>
      </c>
      <c r="N14" s="23">
        <f t="shared" si="2"/>
        <v>2.5300506010120204E-2</v>
      </c>
      <c r="O14" s="23">
        <f t="shared" si="2"/>
        <v>2.5300506010120204E-2</v>
      </c>
      <c r="P14" s="23">
        <f t="shared" si="2"/>
        <v>2.5300506010120204E-2</v>
      </c>
      <c r="Q14" s="23">
        <f t="shared" si="2"/>
        <v>2.4837109674888985E-2</v>
      </c>
      <c r="R14" s="23">
        <f t="shared" si="2"/>
        <v>2.5300506010120204E-2</v>
      </c>
      <c r="S14" s="23">
        <f t="shared" si="2"/>
        <v>2.5300506010120204E-2</v>
      </c>
      <c r="T14" s="23">
        <f t="shared" si="2"/>
        <v>2.5300506010120204E-2</v>
      </c>
      <c r="U14" s="23">
        <f t="shared" si="2"/>
        <v>2.5300506010120204E-2</v>
      </c>
      <c r="V14" s="23">
        <f t="shared" si="2"/>
        <v>2.5300506010120204E-2</v>
      </c>
      <c r="W14" s="23">
        <f t="shared" si="2"/>
        <v>2.5300506010120204E-2</v>
      </c>
      <c r="X14" s="23">
        <f t="shared" si="2"/>
        <v>2.5300506010120204E-2</v>
      </c>
      <c r="Y14" s="23">
        <f t="shared" si="2"/>
        <v>2.5300506010120204E-2</v>
      </c>
      <c r="Z14" s="23">
        <f t="shared" si="2"/>
        <v>2.5300506010120204E-2</v>
      </c>
      <c r="AA14" s="23">
        <f t="shared" si="2"/>
        <v>2.4415190813578784E-2</v>
      </c>
      <c r="AB14" s="23">
        <f t="shared" si="2"/>
        <v>2.5300506010120204E-2</v>
      </c>
      <c r="AC14" s="23">
        <f t="shared" si="2"/>
        <v>2.5300506010120204E-2</v>
      </c>
      <c r="AD14" s="23">
        <f t="shared" si="2"/>
        <v>2.3123366085921627E-2</v>
      </c>
      <c r="AE14" s="23">
        <f t="shared" si="2"/>
        <v>2.5300506010120204E-2</v>
      </c>
      <c r="AF14" s="23">
        <f t="shared" si="2"/>
        <v>2.5300506010120204E-2</v>
      </c>
      <c r="AG14" s="23">
        <f t="shared" si="2"/>
        <v>2.5300506010120204E-2</v>
      </c>
      <c r="AH14" s="23">
        <f t="shared" si="2"/>
        <v>2.5300506010120204E-2</v>
      </c>
      <c r="AI14" s="23">
        <f t="shared" si="2"/>
        <v>2.5300506010120204E-2</v>
      </c>
      <c r="AJ14" s="24"/>
    </row>
    <row r="15" spans="1:36" x14ac:dyDescent="0.25">
      <c r="C15" t="s">
        <v>111</v>
      </c>
      <c r="D15" t="s">
        <v>88</v>
      </c>
      <c r="E15">
        <v>2021</v>
      </c>
      <c r="F15" t="s">
        <v>91</v>
      </c>
      <c r="G15">
        <v>-1</v>
      </c>
      <c r="I15" s="23">
        <f>I$12/SUM(I$12,I$17,I$22)*(1-I$30)</f>
        <v>2.5162112071055939E-2</v>
      </c>
      <c r="J15" s="23">
        <f t="shared" ref="J15:AI15" si="3">J$12/SUM(J$12,J$17,J$22)*(1-J$30)</f>
        <v>2.5300506010120204E-2</v>
      </c>
      <c r="K15" s="23">
        <f t="shared" si="3"/>
        <v>2.5103834326159279E-2</v>
      </c>
      <c r="L15" s="23">
        <f t="shared" si="3"/>
        <v>2.5300506010120204E-2</v>
      </c>
      <c r="M15" s="23">
        <f t="shared" si="3"/>
        <v>2.5300506010120204E-2</v>
      </c>
      <c r="N15" s="23">
        <f t="shared" si="3"/>
        <v>2.5300506010120204E-2</v>
      </c>
      <c r="O15" s="23">
        <f t="shared" si="3"/>
        <v>2.5300506010120204E-2</v>
      </c>
      <c r="P15" s="23">
        <f t="shared" si="3"/>
        <v>2.5300506010120204E-2</v>
      </c>
      <c r="Q15" s="23">
        <f t="shared" si="3"/>
        <v>2.4900369630796042E-2</v>
      </c>
      <c r="R15" s="23">
        <f t="shared" si="3"/>
        <v>2.5300506010120204E-2</v>
      </c>
      <c r="S15" s="23">
        <f t="shared" si="3"/>
        <v>2.5300506010120204E-2</v>
      </c>
      <c r="T15" s="23">
        <f t="shared" si="3"/>
        <v>2.5300506010120204E-2</v>
      </c>
      <c r="U15" s="23">
        <f t="shared" si="3"/>
        <v>2.5300506010120204E-2</v>
      </c>
      <c r="V15" s="23">
        <f t="shared" si="3"/>
        <v>2.5300506010120204E-2</v>
      </c>
      <c r="W15" s="23">
        <f t="shared" si="3"/>
        <v>2.5300506010120204E-2</v>
      </c>
      <c r="X15" s="23">
        <f t="shared" si="3"/>
        <v>2.5300506010120204E-2</v>
      </c>
      <c r="Y15" s="23">
        <f t="shared" si="3"/>
        <v>2.5300506010120204E-2</v>
      </c>
      <c r="Z15" s="23">
        <f t="shared" si="3"/>
        <v>2.5300506010120204E-2</v>
      </c>
      <c r="AA15" s="23">
        <f t="shared" si="3"/>
        <v>2.4535485476062848E-2</v>
      </c>
      <c r="AB15" s="23">
        <f t="shared" si="3"/>
        <v>2.5300506010120204E-2</v>
      </c>
      <c r="AC15" s="23">
        <f t="shared" si="3"/>
        <v>2.5300506010120204E-2</v>
      </c>
      <c r="AD15" s="23">
        <f t="shared" si="3"/>
        <v>2.3417636980050494E-2</v>
      </c>
      <c r="AE15" s="23">
        <f t="shared" si="3"/>
        <v>2.5300506010120204E-2</v>
      </c>
      <c r="AF15" s="23">
        <f t="shared" si="3"/>
        <v>2.5300506010120204E-2</v>
      </c>
      <c r="AG15" s="23">
        <f t="shared" si="3"/>
        <v>2.5300506010120204E-2</v>
      </c>
      <c r="AH15" s="23">
        <f t="shared" si="3"/>
        <v>2.5300506010120204E-2</v>
      </c>
      <c r="AI15" s="23">
        <f t="shared" si="3"/>
        <v>2.5300506010120204E-2</v>
      </c>
      <c r="AJ15" s="24"/>
    </row>
    <row r="16" spans="1:36" x14ac:dyDescent="0.25">
      <c r="E16">
        <v>0</v>
      </c>
      <c r="F16" t="s">
        <v>91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4">
        <v>5</v>
      </c>
    </row>
    <row r="17" spans="2:36" x14ac:dyDescent="0.25">
      <c r="B17" t="s">
        <v>74</v>
      </c>
      <c r="C17" t="s">
        <v>112</v>
      </c>
      <c r="D17" t="str">
        <f>D12</f>
        <v>TRAF</v>
      </c>
      <c r="E17">
        <v>2018</v>
      </c>
      <c r="F17" t="s">
        <v>91</v>
      </c>
      <c r="G17">
        <v>-1</v>
      </c>
      <c r="H17" t="s">
        <v>77</v>
      </c>
      <c r="I17" s="23">
        <f t="shared" ref="I17:AI17" si="4">ROUNDDOWN(D46/D$49,5)</f>
        <v>9.8049999999999998E-2</v>
      </c>
      <c r="J17" s="23">
        <f t="shared" si="4"/>
        <v>9.8799999999999999E-2</v>
      </c>
      <c r="K17" s="23">
        <f t="shared" si="4"/>
        <v>9.7739999999999994E-2</v>
      </c>
      <c r="L17" s="23">
        <f t="shared" si="4"/>
        <v>9.8799999999999999E-2</v>
      </c>
      <c r="M17" s="23">
        <f t="shared" si="4"/>
        <v>9.8799999999999999E-2</v>
      </c>
      <c r="N17" s="23">
        <f t="shared" si="4"/>
        <v>9.8799999999999999E-2</v>
      </c>
      <c r="O17" s="23">
        <f t="shared" si="4"/>
        <v>9.8799999999999999E-2</v>
      </c>
      <c r="P17" s="23">
        <f t="shared" si="4"/>
        <v>9.8799999999999999E-2</v>
      </c>
      <c r="Q17" s="23">
        <f t="shared" si="4"/>
        <v>9.6629999999999994E-2</v>
      </c>
      <c r="R17" s="23">
        <f t="shared" si="4"/>
        <v>9.8799999999999999E-2</v>
      </c>
      <c r="S17" s="23">
        <f t="shared" si="4"/>
        <v>9.8799999999999999E-2</v>
      </c>
      <c r="T17" s="23">
        <f t="shared" si="4"/>
        <v>9.8799999999999999E-2</v>
      </c>
      <c r="U17" s="23">
        <f t="shared" si="4"/>
        <v>9.8799999999999999E-2</v>
      </c>
      <c r="V17" s="23">
        <f t="shared" si="4"/>
        <v>9.8799999999999999E-2</v>
      </c>
      <c r="W17" s="23">
        <f t="shared" si="4"/>
        <v>9.8799999999999999E-2</v>
      </c>
      <c r="X17" s="23">
        <f t="shared" si="4"/>
        <v>9.8799999999999999E-2</v>
      </c>
      <c r="Y17" s="23">
        <f t="shared" si="4"/>
        <v>9.8799999999999999E-2</v>
      </c>
      <c r="Z17" s="23">
        <f t="shared" si="4"/>
        <v>9.8799999999999999E-2</v>
      </c>
      <c r="AA17" s="23">
        <f t="shared" si="4"/>
        <v>9.468E-2</v>
      </c>
      <c r="AB17" s="23">
        <f t="shared" si="4"/>
        <v>9.8799999999999999E-2</v>
      </c>
      <c r="AC17" s="23">
        <f t="shared" si="4"/>
        <v>9.8799999999999999E-2</v>
      </c>
      <c r="AD17" s="23">
        <f t="shared" si="4"/>
        <v>8.8709999999999997E-2</v>
      </c>
      <c r="AE17" s="23">
        <f t="shared" si="4"/>
        <v>9.8799999999999999E-2</v>
      </c>
      <c r="AF17" s="23">
        <f t="shared" si="4"/>
        <v>9.8799999999999999E-2</v>
      </c>
      <c r="AG17" s="23">
        <f t="shared" si="4"/>
        <v>9.8799999999999999E-2</v>
      </c>
      <c r="AH17" s="23">
        <f t="shared" si="4"/>
        <v>9.8799999999999999E-2</v>
      </c>
      <c r="AI17" s="23">
        <f t="shared" si="4"/>
        <v>9.8799999999999999E-2</v>
      </c>
      <c r="AJ17" s="24">
        <v>0</v>
      </c>
    </row>
    <row r="18" spans="2:36" x14ac:dyDescent="0.25">
      <c r="C18" t="s">
        <v>112</v>
      </c>
      <c r="D18" t="str">
        <f t="shared" ref="D18:D20" si="5">D13</f>
        <v>TRAF</v>
      </c>
      <c r="E18">
        <v>2019</v>
      </c>
      <c r="F18" t="s">
        <v>91</v>
      </c>
      <c r="G18">
        <v>-1</v>
      </c>
      <c r="I18" s="23">
        <f>I$17/SUM(I$12,I$17,I$22)*(1-I$28)</f>
        <v>9.8235533758285282E-2</v>
      </c>
      <c r="J18" s="23">
        <f t="shared" ref="J18:AI18" si="6">J$17/SUM(J$12,J$17,J$22)*(1-J$28)</f>
        <v>9.8801976039520789E-2</v>
      </c>
      <c r="K18" s="23">
        <f t="shared" si="6"/>
        <v>9.8003139089337069E-2</v>
      </c>
      <c r="L18" s="23">
        <f t="shared" si="6"/>
        <v>9.8801976039520789E-2</v>
      </c>
      <c r="M18" s="23">
        <f t="shared" si="6"/>
        <v>9.8801976039520789E-2</v>
      </c>
      <c r="N18" s="23">
        <f t="shared" si="6"/>
        <v>9.8801976039520789E-2</v>
      </c>
      <c r="O18" s="23">
        <f t="shared" si="6"/>
        <v>9.8801976039520789E-2</v>
      </c>
      <c r="P18" s="23">
        <f t="shared" si="6"/>
        <v>9.8801976039520789E-2</v>
      </c>
      <c r="Q18" s="23">
        <f t="shared" si="6"/>
        <v>9.716545387523283E-2</v>
      </c>
      <c r="R18" s="23">
        <f t="shared" si="6"/>
        <v>9.8801976039520789E-2</v>
      </c>
      <c r="S18" s="23">
        <f t="shared" si="6"/>
        <v>9.8801976039520789E-2</v>
      </c>
      <c r="T18" s="23">
        <f t="shared" si="6"/>
        <v>9.8801976039520789E-2</v>
      </c>
      <c r="U18" s="23">
        <f t="shared" si="6"/>
        <v>9.8801976039520789E-2</v>
      </c>
      <c r="V18" s="23">
        <f t="shared" si="6"/>
        <v>9.8801976039520789E-2</v>
      </c>
      <c r="W18" s="23">
        <f t="shared" si="6"/>
        <v>9.8801976039520789E-2</v>
      </c>
      <c r="X18" s="23">
        <f t="shared" si="6"/>
        <v>9.8801976039520789E-2</v>
      </c>
      <c r="Y18" s="23">
        <f t="shared" si="6"/>
        <v>9.8801976039520789E-2</v>
      </c>
      <c r="Z18" s="23">
        <f t="shared" si="6"/>
        <v>9.8801976039520789E-2</v>
      </c>
      <c r="AA18" s="23">
        <f t="shared" si="6"/>
        <v>9.5696456390543916E-2</v>
      </c>
      <c r="AB18" s="23">
        <f t="shared" si="6"/>
        <v>9.8801976039520789E-2</v>
      </c>
      <c r="AC18" s="23">
        <f t="shared" si="6"/>
        <v>9.8801976039520789E-2</v>
      </c>
      <c r="AD18" s="23">
        <f t="shared" si="6"/>
        <v>9.1193750425411377E-2</v>
      </c>
      <c r="AE18" s="23">
        <f t="shared" si="6"/>
        <v>9.8801976039520789E-2</v>
      </c>
      <c r="AF18" s="23">
        <f t="shared" si="6"/>
        <v>9.8801976039520789E-2</v>
      </c>
      <c r="AG18" s="23">
        <f t="shared" si="6"/>
        <v>9.8801976039520789E-2</v>
      </c>
      <c r="AH18" s="23">
        <f t="shared" si="6"/>
        <v>9.8801976039520789E-2</v>
      </c>
      <c r="AI18" s="23">
        <f t="shared" si="6"/>
        <v>9.8801976039520789E-2</v>
      </c>
      <c r="AJ18" s="24"/>
    </row>
    <row r="19" spans="2:36" x14ac:dyDescent="0.25">
      <c r="C19" t="s">
        <v>112</v>
      </c>
      <c r="D19" t="str">
        <f t="shared" si="5"/>
        <v>TRAF</v>
      </c>
      <c r="E19">
        <v>2020</v>
      </c>
      <c r="F19" t="s">
        <v>91</v>
      </c>
      <c r="G19">
        <v>-1</v>
      </c>
      <c r="I19" s="23">
        <f>I$17/SUM(I$12,I$17,I$22)*(1-I$29)</f>
        <v>9.816759234406762E-2</v>
      </c>
      <c r="J19" s="23">
        <f t="shared" ref="J19:AI19" si="7">J$17/SUM(J$12,J$17,J$22)*(1-J$29)</f>
        <v>9.8801976039520789E-2</v>
      </c>
      <c r="K19" s="23">
        <f t="shared" si="7"/>
        <v>9.7907864442708589E-2</v>
      </c>
      <c r="L19" s="23">
        <f t="shared" si="7"/>
        <v>9.8801976039520789E-2</v>
      </c>
      <c r="M19" s="23">
        <f t="shared" si="7"/>
        <v>9.8801976039520789E-2</v>
      </c>
      <c r="N19" s="23">
        <f t="shared" si="7"/>
        <v>9.8801976039520789E-2</v>
      </c>
      <c r="O19" s="23">
        <f t="shared" si="7"/>
        <v>9.8801976039520789E-2</v>
      </c>
      <c r="P19" s="23">
        <f t="shared" si="7"/>
        <v>9.8801976039520789E-2</v>
      </c>
      <c r="Q19" s="23">
        <f t="shared" si="7"/>
        <v>9.6970097288263529E-2</v>
      </c>
      <c r="R19" s="23">
        <f t="shared" si="7"/>
        <v>9.8801976039520789E-2</v>
      </c>
      <c r="S19" s="23">
        <f t="shared" si="7"/>
        <v>9.8801976039520789E-2</v>
      </c>
      <c r="T19" s="23">
        <f t="shared" si="7"/>
        <v>9.8801976039520789E-2</v>
      </c>
      <c r="U19" s="23">
        <f t="shared" si="7"/>
        <v>9.8801976039520789E-2</v>
      </c>
      <c r="V19" s="23">
        <f t="shared" si="7"/>
        <v>9.8801976039520789E-2</v>
      </c>
      <c r="W19" s="23">
        <f t="shared" si="7"/>
        <v>9.8801976039520789E-2</v>
      </c>
      <c r="X19" s="23">
        <f t="shared" si="7"/>
        <v>9.8801976039520789E-2</v>
      </c>
      <c r="Y19" s="23">
        <f t="shared" si="7"/>
        <v>9.8801976039520789E-2</v>
      </c>
      <c r="Z19" s="23">
        <f t="shared" si="7"/>
        <v>9.8801976039520789E-2</v>
      </c>
      <c r="AA19" s="23">
        <f t="shared" si="7"/>
        <v>9.532495943215008E-2</v>
      </c>
      <c r="AB19" s="23">
        <f t="shared" si="7"/>
        <v>9.8801976039520789E-2</v>
      </c>
      <c r="AC19" s="23">
        <f t="shared" si="7"/>
        <v>9.8801976039520789E-2</v>
      </c>
      <c r="AD19" s="23">
        <f t="shared" si="7"/>
        <v>9.0284938621571637E-2</v>
      </c>
      <c r="AE19" s="23">
        <f t="shared" si="7"/>
        <v>9.8801976039520789E-2</v>
      </c>
      <c r="AF19" s="23">
        <f t="shared" si="7"/>
        <v>9.8801976039520789E-2</v>
      </c>
      <c r="AG19" s="23">
        <f t="shared" si="7"/>
        <v>9.8801976039520789E-2</v>
      </c>
      <c r="AH19" s="23">
        <f t="shared" si="7"/>
        <v>9.8801976039520789E-2</v>
      </c>
      <c r="AI19" s="23">
        <f t="shared" si="7"/>
        <v>9.8801976039520789E-2</v>
      </c>
      <c r="AJ19" s="24"/>
    </row>
    <row r="20" spans="2:36" x14ac:dyDescent="0.25">
      <c r="C20" t="s">
        <v>112</v>
      </c>
      <c r="D20" t="str">
        <f t="shared" si="5"/>
        <v>TRAF</v>
      </c>
      <c r="E20">
        <v>2021</v>
      </c>
      <c r="F20" t="s">
        <v>91</v>
      </c>
      <c r="G20">
        <v>-1</v>
      </c>
      <c r="I20" s="23">
        <f>I$17/SUM(I$12,I$17,I$22)*(1-I$30)</f>
        <v>9.8253488194625052E-2</v>
      </c>
      <c r="J20" s="23">
        <f t="shared" ref="J20:AI20" si="8">J$17/SUM(J$12,J$17,J$22)*(1-J$30)</f>
        <v>9.8801976039520789E-2</v>
      </c>
      <c r="K20" s="23">
        <f t="shared" si="8"/>
        <v>9.8028316701510479E-2</v>
      </c>
      <c r="L20" s="23">
        <f t="shared" si="8"/>
        <v>9.8801976039520789E-2</v>
      </c>
      <c r="M20" s="23">
        <f t="shared" si="8"/>
        <v>9.8801976039520789E-2</v>
      </c>
      <c r="N20" s="23">
        <f t="shared" si="8"/>
        <v>9.8801976039520789E-2</v>
      </c>
      <c r="O20" s="23">
        <f t="shared" si="8"/>
        <v>9.8801976039520789E-2</v>
      </c>
      <c r="P20" s="23">
        <f t="shared" si="8"/>
        <v>9.8801976039520789E-2</v>
      </c>
      <c r="Q20" s="23">
        <f t="shared" si="8"/>
        <v>9.7217079491871583E-2</v>
      </c>
      <c r="R20" s="23">
        <f t="shared" si="8"/>
        <v>9.8801976039520789E-2</v>
      </c>
      <c r="S20" s="23">
        <f t="shared" si="8"/>
        <v>9.8801976039520789E-2</v>
      </c>
      <c r="T20" s="23">
        <f t="shared" si="8"/>
        <v>9.8801976039520789E-2</v>
      </c>
      <c r="U20" s="23">
        <f t="shared" si="8"/>
        <v>9.8801976039520789E-2</v>
      </c>
      <c r="V20" s="23">
        <f t="shared" si="8"/>
        <v>9.8801976039520789E-2</v>
      </c>
      <c r="W20" s="23">
        <f t="shared" si="8"/>
        <v>9.8801976039520789E-2</v>
      </c>
      <c r="X20" s="23">
        <f t="shared" si="8"/>
        <v>9.8801976039520789E-2</v>
      </c>
      <c r="Y20" s="23">
        <f t="shared" si="8"/>
        <v>9.8801976039520789E-2</v>
      </c>
      <c r="Z20" s="23">
        <f t="shared" si="8"/>
        <v>9.8801976039520789E-2</v>
      </c>
      <c r="AA20" s="23">
        <f t="shared" si="8"/>
        <v>9.5794629479324961E-2</v>
      </c>
      <c r="AB20" s="23">
        <f t="shared" si="8"/>
        <v>9.8801976039520789E-2</v>
      </c>
      <c r="AC20" s="23">
        <f t="shared" si="8"/>
        <v>9.8801976039520789E-2</v>
      </c>
      <c r="AD20" s="23">
        <f t="shared" si="8"/>
        <v>9.1433916219202452E-2</v>
      </c>
      <c r="AE20" s="23">
        <f t="shared" si="8"/>
        <v>9.8801976039520789E-2</v>
      </c>
      <c r="AF20" s="23">
        <f t="shared" si="8"/>
        <v>9.8801976039520789E-2</v>
      </c>
      <c r="AG20" s="23">
        <f t="shared" si="8"/>
        <v>9.8801976039520789E-2</v>
      </c>
      <c r="AH20" s="23">
        <f t="shared" si="8"/>
        <v>9.8801976039520789E-2</v>
      </c>
      <c r="AI20" s="23">
        <f t="shared" si="8"/>
        <v>9.8801976039520789E-2</v>
      </c>
      <c r="AJ20" s="24"/>
    </row>
    <row r="21" spans="2:36" x14ac:dyDescent="0.25">
      <c r="E21">
        <v>0</v>
      </c>
      <c r="F21" t="s">
        <v>91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4">
        <v>5</v>
      </c>
    </row>
    <row r="22" spans="2:36" x14ac:dyDescent="0.25">
      <c r="B22" t="s">
        <v>75</v>
      </c>
      <c r="C22" t="s">
        <v>113</v>
      </c>
      <c r="D22" t="str">
        <f>D17</f>
        <v>TRAF</v>
      </c>
      <c r="E22">
        <v>2018</v>
      </c>
      <c r="F22" t="s">
        <v>91</v>
      </c>
      <c r="G22">
        <v>-1</v>
      </c>
      <c r="H22" t="s">
        <v>78</v>
      </c>
      <c r="I22" s="23">
        <f t="shared" ref="I22:AI22" si="9">ROUNDDOWN(D47/D$49,5)</f>
        <v>0.86921000000000004</v>
      </c>
      <c r="J22" s="23">
        <f t="shared" si="9"/>
        <v>0.87587999999999999</v>
      </c>
      <c r="K22" s="23">
        <f t="shared" si="9"/>
        <v>0.86650000000000005</v>
      </c>
      <c r="L22" s="23">
        <f t="shared" si="9"/>
        <v>0.87587999999999999</v>
      </c>
      <c r="M22" s="23">
        <f t="shared" si="9"/>
        <v>0.87587999999999999</v>
      </c>
      <c r="N22" s="23">
        <f t="shared" si="9"/>
        <v>0.87587999999999999</v>
      </c>
      <c r="O22" s="23">
        <f t="shared" si="9"/>
        <v>0.87587999999999999</v>
      </c>
      <c r="P22" s="23">
        <f t="shared" si="9"/>
        <v>0.87587999999999999</v>
      </c>
      <c r="Q22" s="23">
        <f t="shared" si="9"/>
        <v>0.85665999999999998</v>
      </c>
      <c r="R22" s="23">
        <f t="shared" si="9"/>
        <v>0.87587999999999999</v>
      </c>
      <c r="S22" s="23">
        <f t="shared" si="9"/>
        <v>0.87587999999999999</v>
      </c>
      <c r="T22" s="23">
        <f t="shared" si="9"/>
        <v>0.87587999999999999</v>
      </c>
      <c r="U22" s="23">
        <f t="shared" si="9"/>
        <v>0.87587999999999999</v>
      </c>
      <c r="V22" s="23">
        <f t="shared" si="9"/>
        <v>0.87587999999999999</v>
      </c>
      <c r="W22" s="23">
        <f t="shared" si="9"/>
        <v>0.87587999999999999</v>
      </c>
      <c r="X22" s="23">
        <f t="shared" si="9"/>
        <v>0.87587999999999999</v>
      </c>
      <c r="Y22" s="23">
        <f t="shared" si="9"/>
        <v>0.87587999999999999</v>
      </c>
      <c r="Z22" s="23">
        <f t="shared" si="9"/>
        <v>0.87587999999999999</v>
      </c>
      <c r="AA22" s="23">
        <f t="shared" si="9"/>
        <v>0.83933000000000002</v>
      </c>
      <c r="AB22" s="23">
        <f t="shared" si="9"/>
        <v>0.87587999999999999</v>
      </c>
      <c r="AC22" s="23">
        <f t="shared" si="9"/>
        <v>0.87587999999999999</v>
      </c>
      <c r="AD22" s="23">
        <f t="shared" si="9"/>
        <v>0.78647999999999996</v>
      </c>
      <c r="AE22" s="23">
        <f t="shared" si="9"/>
        <v>0.87587999999999999</v>
      </c>
      <c r="AF22" s="23">
        <f t="shared" si="9"/>
        <v>0.87587999999999999</v>
      </c>
      <c r="AG22" s="23">
        <f t="shared" si="9"/>
        <v>0.87587999999999999</v>
      </c>
      <c r="AH22" s="23">
        <f t="shared" si="9"/>
        <v>0.87587999999999999</v>
      </c>
      <c r="AI22" s="23">
        <f t="shared" si="9"/>
        <v>0.87587999999999999</v>
      </c>
      <c r="AJ22" s="24">
        <v>0</v>
      </c>
    </row>
    <row r="23" spans="2:36" x14ac:dyDescent="0.25">
      <c r="C23" t="s">
        <v>113</v>
      </c>
      <c r="D23" t="str">
        <f t="shared" ref="D23:D25" si="10">D18</f>
        <v>TRAF</v>
      </c>
      <c r="E23">
        <v>2019</v>
      </c>
      <c r="F23" t="s">
        <v>91</v>
      </c>
      <c r="G23">
        <v>-1</v>
      </c>
      <c r="I23" s="23">
        <f>I$22/SUM(I$12,I$17,I$22)*(1-I$28)</f>
        <v>0.87085475061743145</v>
      </c>
      <c r="J23" s="23">
        <f t="shared" ref="J23:AI23" si="11">J$22/SUM(J$12,J$17,J$22)*(1-J$28)</f>
        <v>0.87589751795035897</v>
      </c>
      <c r="K23" s="23">
        <f t="shared" si="11"/>
        <v>0.86883282198598921</v>
      </c>
      <c r="L23" s="23">
        <f t="shared" si="11"/>
        <v>0.87589751795035897</v>
      </c>
      <c r="M23" s="23">
        <f t="shared" si="11"/>
        <v>0.87589751795035897</v>
      </c>
      <c r="N23" s="23">
        <f t="shared" si="11"/>
        <v>0.87589751795035897</v>
      </c>
      <c r="O23" s="23">
        <f t="shared" si="11"/>
        <v>0.87589751795035897</v>
      </c>
      <c r="P23" s="23">
        <f t="shared" si="11"/>
        <v>0.87589751795035897</v>
      </c>
      <c r="Q23" s="23">
        <f t="shared" si="11"/>
        <v>0.86140699282579902</v>
      </c>
      <c r="R23" s="23">
        <f t="shared" si="11"/>
        <v>0.87589751795035897</v>
      </c>
      <c r="S23" s="23">
        <f t="shared" si="11"/>
        <v>0.87589751795035897</v>
      </c>
      <c r="T23" s="23">
        <f t="shared" si="11"/>
        <v>0.87589751795035897</v>
      </c>
      <c r="U23" s="23">
        <f t="shared" si="11"/>
        <v>0.87589751795035897</v>
      </c>
      <c r="V23" s="23">
        <f t="shared" si="11"/>
        <v>0.87589751795035897</v>
      </c>
      <c r="W23" s="23">
        <f t="shared" si="11"/>
        <v>0.87589751795035897</v>
      </c>
      <c r="X23" s="23">
        <f t="shared" si="11"/>
        <v>0.87589751795035897</v>
      </c>
      <c r="Y23" s="23">
        <f t="shared" si="11"/>
        <v>0.87589751795035897</v>
      </c>
      <c r="Z23" s="23">
        <f t="shared" si="11"/>
        <v>0.87589751795035897</v>
      </c>
      <c r="AA23" s="23">
        <f t="shared" si="11"/>
        <v>0.84834079786940464</v>
      </c>
      <c r="AB23" s="23">
        <f t="shared" si="11"/>
        <v>0.87589751795035897</v>
      </c>
      <c r="AC23" s="23">
        <f t="shared" si="11"/>
        <v>0.87589751795035897</v>
      </c>
      <c r="AD23" s="23">
        <f t="shared" si="11"/>
        <v>0.80850029122508771</v>
      </c>
      <c r="AE23" s="23">
        <f t="shared" si="11"/>
        <v>0.87589751795035897</v>
      </c>
      <c r="AF23" s="23">
        <f t="shared" si="11"/>
        <v>0.87589751795035897</v>
      </c>
      <c r="AG23" s="23">
        <f t="shared" si="11"/>
        <v>0.87589751795035897</v>
      </c>
      <c r="AH23" s="23">
        <f t="shared" si="11"/>
        <v>0.87589751795035897</v>
      </c>
      <c r="AI23" s="23">
        <f t="shared" si="11"/>
        <v>0.87589751795035897</v>
      </c>
      <c r="AJ23" s="24"/>
    </row>
    <row r="24" spans="2:36" x14ac:dyDescent="0.25">
      <c r="C24" t="s">
        <v>113</v>
      </c>
      <c r="D24" t="str">
        <f t="shared" si="10"/>
        <v>TRAF</v>
      </c>
      <c r="E24">
        <v>2020</v>
      </c>
      <c r="F24" t="s">
        <v>91</v>
      </c>
      <c r="G24">
        <v>-1</v>
      </c>
      <c r="I24" s="23">
        <f>I$22/SUM(I$12,I$17,I$22)*(1-I$29)</f>
        <v>0.870252452232402</v>
      </c>
      <c r="J24" s="23">
        <f t="shared" ref="J24:AI24" si="12">J$22/SUM(J$12,J$17,J$22)*(1-J$29)</f>
        <v>0.87589751795035897</v>
      </c>
      <c r="K24" s="23">
        <f t="shared" si="12"/>
        <v>0.86798817822393093</v>
      </c>
      <c r="L24" s="23">
        <f t="shared" si="12"/>
        <v>0.87589751795035897</v>
      </c>
      <c r="M24" s="23">
        <f t="shared" si="12"/>
        <v>0.87589751795035897</v>
      </c>
      <c r="N24" s="23">
        <f t="shared" si="12"/>
        <v>0.87589751795035897</v>
      </c>
      <c r="O24" s="23">
        <f t="shared" si="12"/>
        <v>0.87589751795035897</v>
      </c>
      <c r="P24" s="23">
        <f t="shared" si="12"/>
        <v>0.87589751795035897</v>
      </c>
      <c r="Q24" s="23">
        <f t="shared" si="12"/>
        <v>0.85967508582183416</v>
      </c>
      <c r="R24" s="23">
        <f t="shared" si="12"/>
        <v>0.87589751795035897</v>
      </c>
      <c r="S24" s="23">
        <f t="shared" si="12"/>
        <v>0.87589751795035897</v>
      </c>
      <c r="T24" s="23">
        <f t="shared" si="12"/>
        <v>0.87589751795035897</v>
      </c>
      <c r="U24" s="23">
        <f t="shared" si="12"/>
        <v>0.87589751795035897</v>
      </c>
      <c r="V24" s="23">
        <f t="shared" si="12"/>
        <v>0.87589751795035897</v>
      </c>
      <c r="W24" s="23">
        <f t="shared" si="12"/>
        <v>0.87589751795035897</v>
      </c>
      <c r="X24" s="23">
        <f t="shared" si="12"/>
        <v>0.87589751795035897</v>
      </c>
      <c r="Y24" s="23">
        <f t="shared" si="12"/>
        <v>0.87589751795035897</v>
      </c>
      <c r="Z24" s="23">
        <f t="shared" si="12"/>
        <v>0.87589751795035897</v>
      </c>
      <c r="AA24" s="23">
        <f t="shared" si="12"/>
        <v>0.84504750950767349</v>
      </c>
      <c r="AB24" s="23">
        <f t="shared" si="12"/>
        <v>0.87589751795035897</v>
      </c>
      <c r="AC24" s="23">
        <f t="shared" si="12"/>
        <v>0.87589751795035897</v>
      </c>
      <c r="AD24" s="23">
        <f t="shared" si="12"/>
        <v>0.80044299996723767</v>
      </c>
      <c r="AE24" s="23">
        <f t="shared" si="12"/>
        <v>0.87589751795035897</v>
      </c>
      <c r="AF24" s="23">
        <f t="shared" si="12"/>
        <v>0.87589751795035897</v>
      </c>
      <c r="AG24" s="23">
        <f t="shared" si="12"/>
        <v>0.87589751795035897</v>
      </c>
      <c r="AH24" s="23">
        <f t="shared" si="12"/>
        <v>0.87589751795035897</v>
      </c>
      <c r="AI24" s="23">
        <f t="shared" si="12"/>
        <v>0.87589751795035897</v>
      </c>
      <c r="AJ24" s="24"/>
    </row>
    <row r="25" spans="2:36" x14ac:dyDescent="0.25">
      <c r="C25" t="s">
        <v>113</v>
      </c>
      <c r="D25" t="str">
        <f t="shared" si="10"/>
        <v>TRAF</v>
      </c>
      <c r="E25">
        <v>2021</v>
      </c>
      <c r="F25" t="s">
        <v>91</v>
      </c>
      <c r="G25">
        <v>-1</v>
      </c>
      <c r="I25" s="23">
        <f>I$22/SUM(I$12,I$17,I$22)*(1-I$30)</f>
        <v>0.87101391610045931</v>
      </c>
      <c r="J25" s="23">
        <f t="shared" ref="J25:AI25" si="13">J$22/SUM(J$12,J$17,J$22)*(1-J$30)</f>
        <v>0.87589751795035897</v>
      </c>
      <c r="K25" s="23">
        <f t="shared" si="13"/>
        <v>0.8690560305080709</v>
      </c>
      <c r="L25" s="23">
        <f t="shared" si="13"/>
        <v>0.87589751795035897</v>
      </c>
      <c r="M25" s="23">
        <f t="shared" si="13"/>
        <v>0.87589751795035897</v>
      </c>
      <c r="N25" s="23">
        <f t="shared" si="13"/>
        <v>0.87589751795035897</v>
      </c>
      <c r="O25" s="23">
        <f t="shared" si="13"/>
        <v>0.87589751795035897</v>
      </c>
      <c r="P25" s="23">
        <f t="shared" si="13"/>
        <v>0.87589751795035897</v>
      </c>
      <c r="Q25" s="23">
        <f t="shared" si="13"/>
        <v>0.86186467264314093</v>
      </c>
      <c r="R25" s="23">
        <f t="shared" si="13"/>
        <v>0.87589751795035897</v>
      </c>
      <c r="S25" s="23">
        <f t="shared" si="13"/>
        <v>0.87589751795035897</v>
      </c>
      <c r="T25" s="23">
        <f t="shared" si="13"/>
        <v>0.87589751795035897</v>
      </c>
      <c r="U25" s="23">
        <f t="shared" si="13"/>
        <v>0.87589751795035897</v>
      </c>
      <c r="V25" s="23">
        <f t="shared" si="13"/>
        <v>0.87589751795035897</v>
      </c>
      <c r="W25" s="23">
        <f t="shared" si="13"/>
        <v>0.87589751795035897</v>
      </c>
      <c r="X25" s="23">
        <f t="shared" si="13"/>
        <v>0.87589751795035897</v>
      </c>
      <c r="Y25" s="23">
        <f t="shared" si="13"/>
        <v>0.87589751795035897</v>
      </c>
      <c r="Z25" s="23">
        <f t="shared" si="13"/>
        <v>0.87589751795035897</v>
      </c>
      <c r="AA25" s="23">
        <f t="shared" si="13"/>
        <v>0.8492110937989209</v>
      </c>
      <c r="AB25" s="23">
        <f t="shared" si="13"/>
        <v>0.87589751795035897</v>
      </c>
      <c r="AC25" s="23">
        <f t="shared" si="13"/>
        <v>0.87589751795035897</v>
      </c>
      <c r="AD25" s="23">
        <f t="shared" si="13"/>
        <v>0.81062953926364933</v>
      </c>
      <c r="AE25" s="23">
        <f t="shared" si="13"/>
        <v>0.87589751795035897</v>
      </c>
      <c r="AF25" s="23">
        <f t="shared" si="13"/>
        <v>0.87589751795035897</v>
      </c>
      <c r="AG25" s="23">
        <f t="shared" si="13"/>
        <v>0.87589751795035897</v>
      </c>
      <c r="AH25" s="23">
        <f t="shared" si="13"/>
        <v>0.87589751795035897</v>
      </c>
      <c r="AI25" s="23">
        <f t="shared" si="13"/>
        <v>0.87589751795035897</v>
      </c>
      <c r="AJ25" s="24"/>
    </row>
    <row r="26" spans="2:36" x14ac:dyDescent="0.25">
      <c r="E26">
        <v>0</v>
      </c>
      <c r="F26" t="s">
        <v>91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>
        <v>5</v>
      </c>
    </row>
    <row r="27" spans="2:36" x14ac:dyDescent="0.25">
      <c r="B27" t="s">
        <v>89</v>
      </c>
      <c r="C27" t="s">
        <v>114</v>
      </c>
      <c r="D27" t="s">
        <v>88</v>
      </c>
      <c r="E27">
        <v>2018</v>
      </c>
      <c r="F27" t="s">
        <v>91</v>
      </c>
      <c r="G27">
        <v>-1</v>
      </c>
      <c r="H27" t="s">
        <v>90</v>
      </c>
      <c r="I27" s="23">
        <f>1-I12-I17-I22</f>
        <v>7.6300000000000257E-3</v>
      </c>
      <c r="J27" s="23">
        <f t="shared" ref="I27:AI27" si="14">ROUNDDOWN(E48/E$49,5)</f>
        <v>0</v>
      </c>
      <c r="K27" s="23">
        <f t="shared" si="14"/>
        <v>1.0699999999999999E-2</v>
      </c>
      <c r="L27" s="23">
        <f t="shared" si="14"/>
        <v>0</v>
      </c>
      <c r="M27" s="23">
        <f t="shared" si="14"/>
        <v>0</v>
      </c>
      <c r="N27" s="23">
        <f t="shared" si="14"/>
        <v>0</v>
      </c>
      <c r="O27" s="23">
        <f t="shared" si="14"/>
        <v>0</v>
      </c>
      <c r="P27" s="23">
        <f t="shared" si="14"/>
        <v>0</v>
      </c>
      <c r="Q27" s="23">
        <f t="shared" si="14"/>
        <v>2.1940000000000001E-2</v>
      </c>
      <c r="R27" s="23">
        <f t="shared" si="14"/>
        <v>0</v>
      </c>
      <c r="S27" s="23">
        <f t="shared" si="14"/>
        <v>0</v>
      </c>
      <c r="T27" s="23">
        <f t="shared" si="14"/>
        <v>0</v>
      </c>
      <c r="U27" s="23">
        <f t="shared" si="14"/>
        <v>0</v>
      </c>
      <c r="V27" s="23">
        <f t="shared" si="14"/>
        <v>0</v>
      </c>
      <c r="W27" s="23">
        <f t="shared" si="14"/>
        <v>0</v>
      </c>
      <c r="X27" s="23">
        <f t="shared" si="14"/>
        <v>0</v>
      </c>
      <c r="Y27" s="23">
        <f t="shared" si="14"/>
        <v>0</v>
      </c>
      <c r="Z27" s="23">
        <f t="shared" si="14"/>
        <v>0</v>
      </c>
      <c r="AA27" s="23">
        <f t="shared" si="14"/>
        <v>4.172E-2</v>
      </c>
      <c r="AB27" s="23">
        <f t="shared" si="14"/>
        <v>0</v>
      </c>
      <c r="AC27" s="23">
        <f t="shared" si="14"/>
        <v>0</v>
      </c>
      <c r="AD27" s="23">
        <f t="shared" si="14"/>
        <v>0.10206999999999999</v>
      </c>
      <c r="AE27" s="23">
        <f t="shared" si="14"/>
        <v>0</v>
      </c>
      <c r="AF27" s="23">
        <f t="shared" si="14"/>
        <v>0</v>
      </c>
      <c r="AG27" s="23">
        <f t="shared" si="14"/>
        <v>0</v>
      </c>
      <c r="AH27" s="23">
        <f t="shared" si="14"/>
        <v>0</v>
      </c>
      <c r="AI27" s="23">
        <f t="shared" si="14"/>
        <v>0</v>
      </c>
      <c r="AJ27" s="24">
        <v>0</v>
      </c>
    </row>
    <row r="28" spans="2:36" x14ac:dyDescent="0.25">
      <c r="C28" t="s">
        <v>114</v>
      </c>
      <c r="D28" t="s">
        <v>88</v>
      </c>
      <c r="E28">
        <v>2019</v>
      </c>
      <c r="F28" t="s">
        <v>91</v>
      </c>
      <c r="G28">
        <v>-1</v>
      </c>
      <c r="I28" s="23">
        <f>I$27*$C$54/$C$53/($D$48/SUM($D$45:$D$47))</f>
        <v>5.7522015735893888E-3</v>
      </c>
      <c r="J28" s="23">
        <f t="shared" ref="J28:AI28" si="15">J$27*$C$54/$C$53/($D$48/SUM($D$45:$D$47))</f>
        <v>0</v>
      </c>
      <c r="K28" s="23">
        <f t="shared" si="15"/>
        <v>8.0666522722681842E-3</v>
      </c>
      <c r="L28" s="23">
        <f t="shared" si="15"/>
        <v>0</v>
      </c>
      <c r="M28" s="23">
        <f t="shared" si="15"/>
        <v>0</v>
      </c>
      <c r="N28" s="23">
        <f t="shared" si="15"/>
        <v>0</v>
      </c>
      <c r="O28" s="23">
        <f t="shared" si="15"/>
        <v>0</v>
      </c>
      <c r="P28" s="23">
        <f t="shared" si="15"/>
        <v>0</v>
      </c>
      <c r="Q28" s="23">
        <f t="shared" si="15"/>
        <v>1.6540406621828412E-2</v>
      </c>
      <c r="R28" s="23">
        <f t="shared" si="15"/>
        <v>0</v>
      </c>
      <c r="S28" s="23">
        <f t="shared" si="15"/>
        <v>0</v>
      </c>
      <c r="T28" s="23">
        <f t="shared" si="15"/>
        <v>0</v>
      </c>
      <c r="U28" s="23">
        <f t="shared" si="15"/>
        <v>0</v>
      </c>
      <c r="V28" s="23">
        <f t="shared" si="15"/>
        <v>0</v>
      </c>
      <c r="W28" s="23">
        <f t="shared" si="15"/>
        <v>0</v>
      </c>
      <c r="X28" s="23">
        <f t="shared" si="15"/>
        <v>0</v>
      </c>
      <c r="Y28" s="23">
        <f t="shared" si="15"/>
        <v>0</v>
      </c>
      <c r="Z28" s="23">
        <f t="shared" si="15"/>
        <v>0</v>
      </c>
      <c r="AA28" s="23">
        <f t="shared" si="15"/>
        <v>3.1452404934488656E-2</v>
      </c>
      <c r="AB28" s="23">
        <f t="shared" si="15"/>
        <v>0</v>
      </c>
      <c r="AC28" s="23">
        <f t="shared" si="15"/>
        <v>0</v>
      </c>
      <c r="AD28" s="23">
        <f t="shared" si="15"/>
        <v>7.6949831535552668E-2</v>
      </c>
      <c r="AE28" s="23">
        <f t="shared" si="15"/>
        <v>0</v>
      </c>
      <c r="AF28" s="23">
        <f t="shared" si="15"/>
        <v>0</v>
      </c>
      <c r="AG28" s="23">
        <f t="shared" si="15"/>
        <v>0</v>
      </c>
      <c r="AH28" s="23">
        <f t="shared" si="15"/>
        <v>0</v>
      </c>
      <c r="AI28" s="23">
        <f t="shared" si="15"/>
        <v>0</v>
      </c>
      <c r="AJ28" s="24"/>
    </row>
    <row r="29" spans="2:36" x14ac:dyDescent="0.25">
      <c r="C29" t="s">
        <v>114</v>
      </c>
      <c r="D29" t="s">
        <v>88</v>
      </c>
      <c r="E29">
        <v>2020</v>
      </c>
      <c r="F29" t="s">
        <v>91</v>
      </c>
      <c r="G29">
        <v>-1</v>
      </c>
      <c r="I29" s="23">
        <f>I$27*$D$54/$D$53/($D$48/SUM($D$45:$D$47))</f>
        <v>6.4398407497972465E-3</v>
      </c>
      <c r="J29" s="23">
        <f t="shared" ref="J29:AI29" si="16">J$27*$D$54/$D$53/($D$48/SUM($D$45:$D$47))</f>
        <v>0</v>
      </c>
      <c r="K29" s="23">
        <f t="shared" si="16"/>
        <v>9.0309693345780213E-3</v>
      </c>
      <c r="L29" s="23">
        <f t="shared" si="16"/>
        <v>0</v>
      </c>
      <c r="M29" s="23">
        <f t="shared" si="16"/>
        <v>0</v>
      </c>
      <c r="N29" s="23">
        <f t="shared" si="16"/>
        <v>0</v>
      </c>
      <c r="O29" s="23">
        <f t="shared" si="16"/>
        <v>0</v>
      </c>
      <c r="P29" s="23">
        <f t="shared" si="16"/>
        <v>0</v>
      </c>
      <c r="Q29" s="23">
        <f t="shared" si="16"/>
        <v>1.8517707215013255E-2</v>
      </c>
      <c r="R29" s="23">
        <f t="shared" si="16"/>
        <v>0</v>
      </c>
      <c r="S29" s="23">
        <f t="shared" si="16"/>
        <v>0</v>
      </c>
      <c r="T29" s="23">
        <f t="shared" si="16"/>
        <v>0</v>
      </c>
      <c r="U29" s="23">
        <f t="shared" si="16"/>
        <v>0</v>
      </c>
      <c r="V29" s="23">
        <f t="shared" si="16"/>
        <v>0</v>
      </c>
      <c r="W29" s="23">
        <f t="shared" si="16"/>
        <v>0</v>
      </c>
      <c r="X29" s="23">
        <f t="shared" si="16"/>
        <v>0</v>
      </c>
      <c r="Y29" s="23">
        <f t="shared" si="16"/>
        <v>0</v>
      </c>
      <c r="Z29" s="23">
        <f t="shared" si="16"/>
        <v>0</v>
      </c>
      <c r="AA29" s="23">
        <f t="shared" si="16"/>
        <v>3.5212340246597668E-2</v>
      </c>
      <c r="AB29" s="23">
        <f t="shared" si="16"/>
        <v>0</v>
      </c>
      <c r="AC29" s="23">
        <f t="shared" si="16"/>
        <v>0</v>
      </c>
      <c r="AD29" s="23">
        <f t="shared" si="16"/>
        <v>8.6148695325269045E-2</v>
      </c>
      <c r="AE29" s="23">
        <f t="shared" si="16"/>
        <v>0</v>
      </c>
      <c r="AF29" s="23">
        <f t="shared" si="16"/>
        <v>0</v>
      </c>
      <c r="AG29" s="23">
        <f t="shared" si="16"/>
        <v>0</v>
      </c>
      <c r="AH29" s="23">
        <f t="shared" si="16"/>
        <v>0</v>
      </c>
      <c r="AI29" s="23">
        <f t="shared" si="16"/>
        <v>0</v>
      </c>
      <c r="AJ29" s="24"/>
    </row>
    <row r="30" spans="2:36" x14ac:dyDescent="0.25">
      <c r="C30" t="s">
        <v>114</v>
      </c>
      <c r="D30" t="s">
        <v>88</v>
      </c>
      <c r="E30">
        <v>2021</v>
      </c>
      <c r="F30" t="s">
        <v>91</v>
      </c>
      <c r="G30">
        <v>-1</v>
      </c>
      <c r="I30" s="23">
        <f>I$27*$E$54/$E$53/($D$48/SUM($D$45:$D$47))</f>
        <v>5.5704836338596776E-3</v>
      </c>
      <c r="J30" s="23">
        <f t="shared" ref="J30:AI30" si="17">J$27*$E$54/$E$53/($D$48/SUM($D$45:$D$47))</f>
        <v>0</v>
      </c>
      <c r="K30" s="23">
        <f t="shared" si="17"/>
        <v>7.8118184642592854E-3</v>
      </c>
      <c r="L30" s="23">
        <f t="shared" si="17"/>
        <v>0</v>
      </c>
      <c r="M30" s="23">
        <f t="shared" si="17"/>
        <v>0</v>
      </c>
      <c r="N30" s="23">
        <f t="shared" si="17"/>
        <v>0</v>
      </c>
      <c r="O30" s="23">
        <f t="shared" si="17"/>
        <v>0</v>
      </c>
      <c r="P30" s="23">
        <f t="shared" si="17"/>
        <v>0</v>
      </c>
      <c r="Q30" s="23">
        <f t="shared" si="17"/>
        <v>1.6017878234191468E-2</v>
      </c>
      <c r="R30" s="23">
        <f t="shared" si="17"/>
        <v>0</v>
      </c>
      <c r="S30" s="23">
        <f t="shared" si="17"/>
        <v>0</v>
      </c>
      <c r="T30" s="23">
        <f t="shared" si="17"/>
        <v>0</v>
      </c>
      <c r="U30" s="23">
        <f t="shared" si="17"/>
        <v>0</v>
      </c>
      <c r="V30" s="23">
        <f t="shared" si="17"/>
        <v>0</v>
      </c>
      <c r="W30" s="23">
        <f t="shared" si="17"/>
        <v>0</v>
      </c>
      <c r="X30" s="23">
        <f t="shared" si="17"/>
        <v>0</v>
      </c>
      <c r="Y30" s="23">
        <f t="shared" si="17"/>
        <v>0</v>
      </c>
      <c r="Z30" s="23">
        <f t="shared" si="17"/>
        <v>0</v>
      </c>
      <c r="AA30" s="23">
        <f t="shared" si="17"/>
        <v>3.0458791245691345E-2</v>
      </c>
      <c r="AB30" s="23">
        <f t="shared" si="17"/>
        <v>0</v>
      </c>
      <c r="AC30" s="23">
        <f t="shared" si="17"/>
        <v>0</v>
      </c>
      <c r="AD30" s="23">
        <f t="shared" si="17"/>
        <v>7.4518907537097681E-2</v>
      </c>
      <c r="AE30" s="23">
        <f t="shared" si="17"/>
        <v>0</v>
      </c>
      <c r="AF30" s="23">
        <f t="shared" si="17"/>
        <v>0</v>
      </c>
      <c r="AG30" s="23">
        <f t="shared" si="17"/>
        <v>0</v>
      </c>
      <c r="AH30" s="23">
        <f t="shared" si="17"/>
        <v>0</v>
      </c>
      <c r="AI30" s="23">
        <f t="shared" si="17"/>
        <v>0</v>
      </c>
      <c r="AJ30" s="24"/>
    </row>
    <row r="31" spans="2:36" x14ac:dyDescent="0.25">
      <c r="B31" s="4"/>
      <c r="C31" s="4"/>
      <c r="D31" s="4"/>
      <c r="E31" s="4">
        <v>0</v>
      </c>
      <c r="F31" s="4" t="s">
        <v>91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>
        <v>5</v>
      </c>
    </row>
    <row r="33" spans="2:39" x14ac:dyDescent="0.25">
      <c r="E33">
        <v>2018</v>
      </c>
      <c r="H33" t="s">
        <v>72</v>
      </c>
      <c r="I33" s="25">
        <f>I12+I17+I22+I27</f>
        <v>1</v>
      </c>
      <c r="J33" s="25">
        <f t="shared" ref="I33:AI33" si="18">J12+J17+J22+J27</f>
        <v>0.99997999999999998</v>
      </c>
      <c r="K33" s="15">
        <f t="shared" si="18"/>
        <v>0.99997000000000014</v>
      </c>
      <c r="L33" s="15">
        <f t="shared" si="18"/>
        <v>0.99997999999999998</v>
      </c>
      <c r="M33" s="15">
        <f t="shared" si="18"/>
        <v>0.99997999999999998</v>
      </c>
      <c r="N33" s="15">
        <f t="shared" si="18"/>
        <v>0.99997999999999998</v>
      </c>
      <c r="O33" s="15">
        <f t="shared" si="18"/>
        <v>0.99997999999999998</v>
      </c>
      <c r="P33" s="15">
        <f t="shared" si="18"/>
        <v>0.99997999999999998</v>
      </c>
      <c r="Q33" s="15">
        <f t="shared" si="18"/>
        <v>0.99997999999999998</v>
      </c>
      <c r="R33" s="15">
        <f t="shared" si="18"/>
        <v>0.99997999999999998</v>
      </c>
      <c r="S33" s="15">
        <f t="shared" si="18"/>
        <v>0.99997999999999998</v>
      </c>
      <c r="T33" s="15">
        <f t="shared" si="18"/>
        <v>0.99997999999999998</v>
      </c>
      <c r="U33" s="15">
        <f t="shared" si="18"/>
        <v>0.99997999999999998</v>
      </c>
      <c r="V33" s="15">
        <f t="shared" si="18"/>
        <v>0.99997999999999998</v>
      </c>
      <c r="W33" s="15">
        <f t="shared" si="18"/>
        <v>0.99997999999999998</v>
      </c>
      <c r="X33" s="15">
        <f t="shared" si="18"/>
        <v>0.99997999999999998</v>
      </c>
      <c r="Y33" s="15">
        <f t="shared" si="18"/>
        <v>0.99997999999999998</v>
      </c>
      <c r="Z33" s="15">
        <f t="shared" si="18"/>
        <v>0.99997999999999998</v>
      </c>
      <c r="AA33" s="15">
        <f t="shared" si="18"/>
        <v>0.99997999999999998</v>
      </c>
      <c r="AB33" s="15">
        <f t="shared" si="18"/>
        <v>0.99997999999999998</v>
      </c>
      <c r="AC33" s="15">
        <f t="shared" si="18"/>
        <v>0.99997999999999998</v>
      </c>
      <c r="AD33" s="15">
        <f t="shared" si="18"/>
        <v>0.99997999999999998</v>
      </c>
      <c r="AE33" s="15">
        <f t="shared" si="18"/>
        <v>0.99997999999999998</v>
      </c>
      <c r="AF33" s="15">
        <f t="shared" si="18"/>
        <v>0.99997999999999998</v>
      </c>
      <c r="AG33" s="15">
        <f t="shared" si="18"/>
        <v>0.99997999999999998</v>
      </c>
      <c r="AH33" s="15">
        <f t="shared" si="18"/>
        <v>0.99997999999999998</v>
      </c>
      <c r="AI33" s="15">
        <f t="shared" si="18"/>
        <v>0.99997999999999998</v>
      </c>
    </row>
    <row r="34" spans="2:39" x14ac:dyDescent="0.25">
      <c r="E34">
        <v>2019</v>
      </c>
      <c r="H34" t="s">
        <v>72</v>
      </c>
      <c r="I34" s="25">
        <f t="shared" ref="I34:AI34" si="19">I13+I18+I23+I28</f>
        <v>1</v>
      </c>
      <c r="J34" s="25">
        <f t="shared" si="19"/>
        <v>1</v>
      </c>
      <c r="K34" s="15">
        <f t="shared" si="19"/>
        <v>0.99999999999999989</v>
      </c>
      <c r="L34" s="15">
        <f t="shared" si="19"/>
        <v>1</v>
      </c>
      <c r="M34" s="15">
        <f t="shared" si="19"/>
        <v>1</v>
      </c>
      <c r="N34" s="15">
        <f t="shared" si="19"/>
        <v>1</v>
      </c>
      <c r="O34" s="15">
        <f t="shared" si="19"/>
        <v>1</v>
      </c>
      <c r="P34" s="15">
        <f t="shared" si="19"/>
        <v>1</v>
      </c>
      <c r="Q34" s="15">
        <f t="shared" si="19"/>
        <v>1</v>
      </c>
      <c r="R34" s="15">
        <f t="shared" si="19"/>
        <v>1</v>
      </c>
      <c r="S34" s="15">
        <f t="shared" si="19"/>
        <v>1</v>
      </c>
      <c r="T34" s="15">
        <f t="shared" si="19"/>
        <v>1</v>
      </c>
      <c r="U34" s="15">
        <f t="shared" si="19"/>
        <v>1</v>
      </c>
      <c r="V34" s="15">
        <f t="shared" si="19"/>
        <v>1</v>
      </c>
      <c r="W34" s="15">
        <f t="shared" si="19"/>
        <v>1</v>
      </c>
      <c r="X34" s="15">
        <f t="shared" si="19"/>
        <v>1</v>
      </c>
      <c r="Y34" s="15">
        <f t="shared" si="19"/>
        <v>1</v>
      </c>
      <c r="Z34" s="15">
        <f t="shared" si="19"/>
        <v>1</v>
      </c>
      <c r="AA34" s="15">
        <f t="shared" si="19"/>
        <v>1</v>
      </c>
      <c r="AB34" s="15">
        <f t="shared" si="19"/>
        <v>1</v>
      </c>
      <c r="AC34" s="15">
        <f t="shared" si="19"/>
        <v>1</v>
      </c>
      <c r="AD34" s="15">
        <f t="shared" si="19"/>
        <v>1</v>
      </c>
      <c r="AE34" s="15">
        <f t="shared" si="19"/>
        <v>1</v>
      </c>
      <c r="AF34" s="15">
        <f t="shared" si="19"/>
        <v>1</v>
      </c>
      <c r="AG34" s="15">
        <f t="shared" si="19"/>
        <v>1</v>
      </c>
      <c r="AH34" s="15">
        <f t="shared" si="19"/>
        <v>1</v>
      </c>
      <c r="AI34" s="15">
        <f t="shared" si="19"/>
        <v>1</v>
      </c>
      <c r="AJ34" s="15"/>
      <c r="AK34" s="15"/>
      <c r="AL34" s="15"/>
      <c r="AM34" s="15"/>
    </row>
    <row r="35" spans="2:39" x14ac:dyDescent="0.25">
      <c r="E35">
        <v>2020</v>
      </c>
      <c r="H35" t="s">
        <v>72</v>
      </c>
      <c r="I35" s="25">
        <f t="shared" ref="I35:AI35" si="20">I14+I19+I24+I29</f>
        <v>1</v>
      </c>
      <c r="J35" s="25">
        <f t="shared" si="20"/>
        <v>1</v>
      </c>
      <c r="K35" s="15">
        <f t="shared" si="20"/>
        <v>1</v>
      </c>
      <c r="L35" s="15">
        <f t="shared" si="20"/>
        <v>1</v>
      </c>
      <c r="M35" s="15">
        <f t="shared" si="20"/>
        <v>1</v>
      </c>
      <c r="N35" s="15">
        <f t="shared" si="20"/>
        <v>1</v>
      </c>
      <c r="O35" s="15">
        <f t="shared" si="20"/>
        <v>1</v>
      </c>
      <c r="P35" s="15">
        <f t="shared" si="20"/>
        <v>1</v>
      </c>
      <c r="Q35" s="15">
        <f t="shared" si="20"/>
        <v>0.99999999999999989</v>
      </c>
      <c r="R35" s="15">
        <f t="shared" si="20"/>
        <v>1</v>
      </c>
      <c r="S35" s="15">
        <f t="shared" si="20"/>
        <v>1</v>
      </c>
      <c r="T35" s="15">
        <f t="shared" si="20"/>
        <v>1</v>
      </c>
      <c r="U35" s="15">
        <f t="shared" si="20"/>
        <v>1</v>
      </c>
      <c r="V35" s="15">
        <f t="shared" si="20"/>
        <v>1</v>
      </c>
      <c r="W35" s="15">
        <f t="shared" si="20"/>
        <v>1</v>
      </c>
      <c r="X35" s="15">
        <f t="shared" si="20"/>
        <v>1</v>
      </c>
      <c r="Y35" s="15">
        <f t="shared" si="20"/>
        <v>1</v>
      </c>
      <c r="Z35" s="15">
        <f t="shared" si="20"/>
        <v>1</v>
      </c>
      <c r="AA35" s="15">
        <f t="shared" si="20"/>
        <v>1</v>
      </c>
      <c r="AB35" s="15">
        <f t="shared" si="20"/>
        <v>1</v>
      </c>
      <c r="AC35" s="15">
        <f t="shared" si="20"/>
        <v>1</v>
      </c>
      <c r="AD35" s="15">
        <f t="shared" si="20"/>
        <v>1</v>
      </c>
      <c r="AE35" s="15">
        <f t="shared" si="20"/>
        <v>1</v>
      </c>
      <c r="AF35" s="15">
        <f t="shared" si="20"/>
        <v>1</v>
      </c>
      <c r="AG35" s="15">
        <f t="shared" si="20"/>
        <v>1</v>
      </c>
      <c r="AH35" s="15">
        <f t="shared" si="20"/>
        <v>1</v>
      </c>
      <c r="AI35" s="15">
        <f t="shared" si="20"/>
        <v>1</v>
      </c>
      <c r="AJ35" s="15"/>
      <c r="AK35" s="15"/>
      <c r="AL35" s="15"/>
      <c r="AM35" s="15"/>
    </row>
    <row r="36" spans="2:39" x14ac:dyDescent="0.25">
      <c r="E36">
        <v>2021</v>
      </c>
      <c r="H36" t="s">
        <v>72</v>
      </c>
      <c r="I36" s="25">
        <f t="shared" ref="I36:AI36" si="21">I15+I20+I25+I30</f>
        <v>1</v>
      </c>
      <c r="J36" s="25">
        <f t="shared" si="21"/>
        <v>1</v>
      </c>
      <c r="K36" s="15">
        <f t="shared" si="21"/>
        <v>0.99999999999999989</v>
      </c>
      <c r="L36" s="15">
        <f t="shared" si="21"/>
        <v>1</v>
      </c>
      <c r="M36" s="15">
        <f t="shared" si="21"/>
        <v>1</v>
      </c>
      <c r="N36" s="15">
        <f t="shared" si="21"/>
        <v>1</v>
      </c>
      <c r="O36" s="15">
        <f t="shared" si="21"/>
        <v>1</v>
      </c>
      <c r="P36" s="15">
        <f t="shared" si="21"/>
        <v>1</v>
      </c>
      <c r="Q36" s="15">
        <f t="shared" si="21"/>
        <v>1</v>
      </c>
      <c r="R36" s="15">
        <f t="shared" si="21"/>
        <v>1</v>
      </c>
      <c r="S36" s="15">
        <f t="shared" si="21"/>
        <v>1</v>
      </c>
      <c r="T36" s="15">
        <f t="shared" si="21"/>
        <v>1</v>
      </c>
      <c r="U36" s="15">
        <f t="shared" si="21"/>
        <v>1</v>
      </c>
      <c r="V36" s="15">
        <f t="shared" si="21"/>
        <v>1</v>
      </c>
      <c r="W36" s="15">
        <f t="shared" si="21"/>
        <v>1</v>
      </c>
      <c r="X36" s="15">
        <f t="shared" si="21"/>
        <v>1</v>
      </c>
      <c r="Y36" s="15">
        <f t="shared" si="21"/>
        <v>1</v>
      </c>
      <c r="Z36" s="15">
        <f t="shared" si="21"/>
        <v>1</v>
      </c>
      <c r="AA36" s="15">
        <f t="shared" si="21"/>
        <v>1</v>
      </c>
      <c r="AB36" s="15">
        <f t="shared" si="21"/>
        <v>1</v>
      </c>
      <c r="AC36" s="15">
        <f t="shared" si="21"/>
        <v>1</v>
      </c>
      <c r="AD36" s="15">
        <f t="shared" si="21"/>
        <v>0.99999999999999989</v>
      </c>
      <c r="AE36" s="15">
        <f t="shared" si="21"/>
        <v>1</v>
      </c>
      <c r="AF36" s="15">
        <f t="shared" si="21"/>
        <v>1</v>
      </c>
      <c r="AG36" s="15">
        <f t="shared" si="21"/>
        <v>1</v>
      </c>
      <c r="AH36" s="15">
        <f t="shared" si="21"/>
        <v>1</v>
      </c>
      <c r="AI36" s="15">
        <f t="shared" si="21"/>
        <v>1</v>
      </c>
      <c r="AJ36" s="15"/>
      <c r="AK36" s="15"/>
      <c r="AL36" s="15"/>
      <c r="AM36" s="15"/>
    </row>
    <row r="43" spans="2:39" ht="15.75" x14ac:dyDescent="0.25">
      <c r="B43" s="11" t="s">
        <v>115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9" x14ac:dyDescent="0.25">
      <c r="B44" s="13" t="s">
        <v>79</v>
      </c>
      <c r="C44" s="13" t="s">
        <v>86</v>
      </c>
      <c r="D44" s="13" t="s">
        <v>37</v>
      </c>
      <c r="E44" s="13" t="s">
        <v>43</v>
      </c>
      <c r="F44" s="13" t="s">
        <v>48</v>
      </c>
      <c r="G44" s="13" t="s">
        <v>51</v>
      </c>
      <c r="H44" s="13" t="s">
        <v>52</v>
      </c>
      <c r="I44" s="13" t="s">
        <v>53</v>
      </c>
      <c r="J44" s="13" t="s">
        <v>56</v>
      </c>
      <c r="K44" s="13" t="s">
        <v>57</v>
      </c>
      <c r="L44" s="13" t="s">
        <v>59</v>
      </c>
      <c r="M44" s="13" t="s">
        <v>61</v>
      </c>
      <c r="N44" s="13" t="s">
        <v>66</v>
      </c>
      <c r="O44" s="13" t="s">
        <v>67</v>
      </c>
      <c r="P44" s="13" t="s">
        <v>68</v>
      </c>
      <c r="Q44" s="13" t="s">
        <v>45</v>
      </c>
      <c r="R44" s="13" t="s">
        <v>46</v>
      </c>
      <c r="S44" s="13" t="s">
        <v>50</v>
      </c>
      <c r="T44" s="13" t="s">
        <v>55</v>
      </c>
      <c r="U44" s="13" t="s">
        <v>64</v>
      </c>
      <c r="V44" s="13" t="s">
        <v>65</v>
      </c>
      <c r="W44" s="13" t="s">
        <v>49</v>
      </c>
      <c r="X44" s="13" t="s">
        <v>54</v>
      </c>
      <c r="Y44" s="13" t="s">
        <v>58</v>
      </c>
      <c r="Z44" s="13" t="s">
        <v>62</v>
      </c>
      <c r="AA44" s="13" t="s">
        <v>63</v>
      </c>
      <c r="AB44" s="13" t="s">
        <v>44</v>
      </c>
      <c r="AC44" s="13" t="s">
        <v>47</v>
      </c>
      <c r="AD44" s="13" t="s">
        <v>60</v>
      </c>
    </row>
    <row r="45" spans="2:39" x14ac:dyDescent="0.25">
      <c r="B45" s="16" t="s">
        <v>80</v>
      </c>
      <c r="C45" s="12" t="s">
        <v>81</v>
      </c>
      <c r="D45" s="12">
        <v>292</v>
      </c>
      <c r="E45" s="18">
        <v>4.5036639360040285</v>
      </c>
      <c r="F45" s="18">
        <v>66.545424955208503</v>
      </c>
      <c r="G45" s="18">
        <v>12.206547657003652</v>
      </c>
      <c r="H45" s="18">
        <v>7.8498485859894576</v>
      </c>
      <c r="I45" s="18">
        <v>5.5910693087846983</v>
      </c>
      <c r="J45" s="18">
        <v>2.6981330608871263</v>
      </c>
      <c r="K45" s="18">
        <v>7.0705636223405346</v>
      </c>
      <c r="L45" s="18">
        <v>10.700094745319726</v>
      </c>
      <c r="M45" s="18">
        <v>5.146408425117345</v>
      </c>
      <c r="N45" s="18">
        <v>5.8599386346720381</v>
      </c>
      <c r="O45" s="18">
        <v>11.843911540546534</v>
      </c>
      <c r="P45" s="18">
        <v>7.8134215566854737</v>
      </c>
      <c r="Q45" s="18">
        <v>7.688817017013525</v>
      </c>
      <c r="R45" s="18">
        <v>41.139368114561577</v>
      </c>
      <c r="S45" s="18">
        <v>11.193462584085903</v>
      </c>
      <c r="T45" s="18">
        <v>12.61219141872728</v>
      </c>
      <c r="U45" s="18">
        <v>10.324901499916336</v>
      </c>
      <c r="V45" s="18">
        <v>9.1902209904658907</v>
      </c>
      <c r="W45" s="18">
        <v>15.314016005661671</v>
      </c>
      <c r="X45" s="18">
        <v>2.0423414488510581</v>
      </c>
      <c r="Y45" s="18">
        <v>7.7447174156619347</v>
      </c>
      <c r="Z45" s="18">
        <v>3.830254629073413</v>
      </c>
      <c r="AA45" s="18">
        <v>4.1769082152806787</v>
      </c>
      <c r="AB45" s="18">
        <v>4.8551180316963602</v>
      </c>
      <c r="AC45" s="18">
        <v>10.146187115388139</v>
      </c>
      <c r="AD45" s="18">
        <v>3.9124694850571404</v>
      </c>
    </row>
    <row r="46" spans="2:39" x14ac:dyDescent="0.25">
      <c r="B46" s="16" t="s">
        <v>82</v>
      </c>
      <c r="C46" s="12" t="s">
        <v>83</v>
      </c>
      <c r="D46" s="19">
        <v>1140</v>
      </c>
      <c r="E46" s="18">
        <v>17.58279755837189</v>
      </c>
      <c r="F46" s="18">
        <v>259.80063167444416</v>
      </c>
      <c r="G46" s="18">
        <v>47.65569975679508</v>
      </c>
      <c r="H46" s="18">
        <v>30.646669137082128</v>
      </c>
      <c r="I46" s="18">
        <v>21.828147301419712</v>
      </c>
      <c r="J46" s="18">
        <v>10.533807155518234</v>
      </c>
      <c r="K46" s="18">
        <v>27.604255237904827</v>
      </c>
      <c r="L46" s="18">
        <v>41.774342498850984</v>
      </c>
      <c r="M46" s="18">
        <v>20.09214248162251</v>
      </c>
      <c r="N46" s="18">
        <v>22.877842614815492</v>
      </c>
      <c r="O46" s="18">
        <v>46.239928617202224</v>
      </c>
      <c r="P46" s="18">
        <v>30.504454022676164</v>
      </c>
      <c r="Q46" s="18">
        <v>30.017984244504856</v>
      </c>
      <c r="R46" s="18">
        <v>160.61260154315136</v>
      </c>
      <c r="S46" s="18">
        <v>43.700504609102502</v>
      </c>
      <c r="T46" s="18">
        <v>49.239377456675001</v>
      </c>
      <c r="U46" s="18">
        <v>40.309546951728159</v>
      </c>
      <c r="V46" s="18">
        <v>35.879629894284641</v>
      </c>
      <c r="W46" s="18">
        <v>59.787596734432547</v>
      </c>
      <c r="X46" s="18">
        <v>7.9735248345555005</v>
      </c>
      <c r="Y46" s="18">
        <v>30.236225526899336</v>
      </c>
      <c r="Z46" s="18">
        <v>14.953733825834558</v>
      </c>
      <c r="AA46" s="18">
        <v>16.307107415821825</v>
      </c>
      <c r="AB46" s="18">
        <v>18.954912863472092</v>
      </c>
      <c r="AC46" s="18">
        <v>39.611826409392052</v>
      </c>
      <c r="AD46" s="18">
        <v>15.27470963344226</v>
      </c>
    </row>
    <row r="47" spans="2:39" x14ac:dyDescent="0.25">
      <c r="B47" s="16" t="s">
        <v>84</v>
      </c>
      <c r="C47" s="12" t="s">
        <v>85</v>
      </c>
      <c r="D47" s="12">
        <v>10106</v>
      </c>
      <c r="E47" s="18">
        <v>155.86995800430381</v>
      </c>
      <c r="F47" s="18">
        <v>2303.1098102648534</v>
      </c>
      <c r="G47" s="18">
        <v>422.46359801944828</v>
      </c>
      <c r="H47" s="18">
        <v>271.68003359592279</v>
      </c>
      <c r="I47" s="18">
        <v>193.50461107732247</v>
      </c>
      <c r="J47" s="18">
        <v>93.381276415497609</v>
      </c>
      <c r="K47" s="18">
        <v>244.70930125812822</v>
      </c>
      <c r="L47" s="18">
        <v>370.32588183630531</v>
      </c>
      <c r="M47" s="18">
        <v>178.11508063094482</v>
      </c>
      <c r="N47" s="18">
        <v>202.81006795203979</v>
      </c>
      <c r="O47" s="18">
        <v>409.91291105740851</v>
      </c>
      <c r="P47" s="18">
        <v>270.41930908172395</v>
      </c>
      <c r="Q47" s="18">
        <v>266.10679717102289</v>
      </c>
      <c r="R47" s="18">
        <v>1423.8166238553399</v>
      </c>
      <c r="S47" s="18">
        <v>387.40113998209637</v>
      </c>
      <c r="T47" s="18">
        <v>436.5027619097873</v>
      </c>
      <c r="U47" s="18">
        <v>357.34059780189892</v>
      </c>
      <c r="V47" s="18">
        <v>318.06977167687774</v>
      </c>
      <c r="W47" s="18">
        <v>530.01180052471523</v>
      </c>
      <c r="X47" s="18">
        <v>70.684598226331474</v>
      </c>
      <c r="Y47" s="18">
        <v>268.04148699547778</v>
      </c>
      <c r="Z47" s="18">
        <v>132.563538634986</v>
      </c>
      <c r="AA47" s="18">
        <v>144.56107679324157</v>
      </c>
      <c r="AB47" s="18">
        <v>168.03363982302542</v>
      </c>
      <c r="AC47" s="18">
        <v>351.15536639764571</v>
      </c>
      <c r="AD47" s="18">
        <v>135.4089610136557</v>
      </c>
    </row>
    <row r="48" spans="2:39" x14ac:dyDescent="0.25">
      <c r="B48" s="16" t="s">
        <v>70</v>
      </c>
      <c r="C48" s="12"/>
      <c r="D48" s="22">
        <v>88.551000000000002</v>
      </c>
      <c r="E48" s="22">
        <v>0</v>
      </c>
      <c r="F48" s="22">
        <v>28.462821428571431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9.4876071428571436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15.812678571428572</v>
      </c>
      <c r="W48" s="22">
        <v>0</v>
      </c>
      <c r="X48" s="22">
        <v>0</v>
      </c>
      <c r="Y48" s="22">
        <v>34.787892857142857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</row>
    <row r="49" spans="2:30" x14ac:dyDescent="0.25">
      <c r="B49" s="14"/>
      <c r="C49" s="14" t="s">
        <v>71</v>
      </c>
      <c r="D49" s="17">
        <f>SUM(D45:D48)</f>
        <v>11626.550999999999</v>
      </c>
      <c r="E49" s="17">
        <f>SUM(E45:E48)</f>
        <v>177.95641949867974</v>
      </c>
      <c r="F49" s="17">
        <f t="shared" ref="F49:AD49" si="22">SUM(F45:F48)</f>
        <v>2657.9186883230773</v>
      </c>
      <c r="G49" s="17">
        <f t="shared" si="22"/>
        <v>482.32584543324703</v>
      </c>
      <c r="H49" s="17">
        <f t="shared" si="22"/>
        <v>310.17655131899437</v>
      </c>
      <c r="I49" s="17">
        <f t="shared" si="22"/>
        <v>220.92382768752688</v>
      </c>
      <c r="J49" s="17">
        <f t="shared" si="22"/>
        <v>106.61321663190297</v>
      </c>
      <c r="K49" s="17">
        <f t="shared" si="22"/>
        <v>279.38412011837357</v>
      </c>
      <c r="L49" s="17">
        <f t="shared" si="22"/>
        <v>432.28792622333316</v>
      </c>
      <c r="M49" s="17">
        <f t="shared" si="22"/>
        <v>203.35363153768466</v>
      </c>
      <c r="N49" s="17">
        <f t="shared" si="22"/>
        <v>231.54784920152733</v>
      </c>
      <c r="O49" s="17">
        <f t="shared" si="22"/>
        <v>467.99675121515725</v>
      </c>
      <c r="P49" s="17">
        <f t="shared" si="22"/>
        <v>308.73718466108562</v>
      </c>
      <c r="Q49" s="17">
        <f t="shared" si="22"/>
        <v>303.81359843254126</v>
      </c>
      <c r="R49" s="17">
        <f t="shared" si="22"/>
        <v>1625.5685935130527</v>
      </c>
      <c r="S49" s="17">
        <f t="shared" si="22"/>
        <v>442.29510717528478</v>
      </c>
      <c r="T49" s="17">
        <f t="shared" si="22"/>
        <v>498.35433078518957</v>
      </c>
      <c r="U49" s="17">
        <f t="shared" si="22"/>
        <v>407.97504625354344</v>
      </c>
      <c r="V49" s="17">
        <f t="shared" si="22"/>
        <v>378.95230113305684</v>
      </c>
      <c r="W49" s="17">
        <f t="shared" si="22"/>
        <v>605.11341326480942</v>
      </c>
      <c r="X49" s="17">
        <f t="shared" si="22"/>
        <v>80.700464509738026</v>
      </c>
      <c r="Y49" s="17">
        <f t="shared" si="22"/>
        <v>340.81032279518195</v>
      </c>
      <c r="Z49" s="17">
        <f t="shared" si="22"/>
        <v>151.34752708989396</v>
      </c>
      <c r="AA49" s="17">
        <f t="shared" si="22"/>
        <v>165.04509242434406</v>
      </c>
      <c r="AB49" s="17">
        <f t="shared" si="22"/>
        <v>191.84367071819389</v>
      </c>
      <c r="AC49" s="17">
        <f t="shared" si="22"/>
        <v>400.91337992242592</v>
      </c>
      <c r="AD49" s="17">
        <f t="shared" si="22"/>
        <v>154.59614013215509</v>
      </c>
    </row>
    <row r="52" spans="2:30" x14ac:dyDescent="0.25">
      <c r="C52">
        <v>2019</v>
      </c>
      <c r="D52">
        <v>2020</v>
      </c>
      <c r="E52">
        <v>2021</v>
      </c>
    </row>
    <row r="53" spans="2:30" x14ac:dyDescent="0.25">
      <c r="B53" t="s">
        <v>116</v>
      </c>
      <c r="C53">
        <v>12444</v>
      </c>
      <c r="D53">
        <v>11424</v>
      </c>
      <c r="E53">
        <v>12493</v>
      </c>
    </row>
    <row r="54" spans="2:30" x14ac:dyDescent="0.25">
      <c r="B54" t="s">
        <v>70</v>
      </c>
      <c r="C54">
        <v>72</v>
      </c>
      <c r="D54">
        <v>74</v>
      </c>
      <c r="E54">
        <v>70</v>
      </c>
    </row>
    <row r="58" spans="2:30" x14ac:dyDescent="0.25">
      <c r="F58" s="42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Regions</vt:lpstr>
      <vt:lpstr>UC_ModalShares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Bakytzhan Suleimenov</cp:lastModifiedBy>
  <dcterms:created xsi:type="dcterms:W3CDTF">2009-05-27T15:40:55Z</dcterms:created>
  <dcterms:modified xsi:type="dcterms:W3CDTF">2026-03-27T16:29:25Z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954250514507293</vt:r8>
  </property>
</Properties>
</file>