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Demo_models\Demo_models\Integrated saturation V1.1\Integrated v1.0\SuppXLS\"/>
    </mc:Choice>
  </mc:AlternateContent>
  <xr:revisionPtr revIDLastSave="0" documentId="13_ncr:1_{09664C97-DBB5-48CB-B505-F82AEBD8FE14}" xr6:coauthVersionLast="47" xr6:coauthVersionMax="47" xr10:uidLastSave="{00000000-0000-0000-0000-000000000000}"/>
  <bookViews>
    <workbookView xWindow="-110" yWindow="-110" windowWidth="19420" windowHeight="10300" activeTab="5" xr2:uid="{00000000-000D-0000-FFFF-FFFF00000000}"/>
  </bookViews>
  <sheets>
    <sheet name="Cover" sheetId="24" r:id="rId1"/>
    <sheet name="Regions" sheetId="15" r:id="rId2"/>
    <sheet name="Overshoot" sheetId="25" r:id="rId3"/>
    <sheet name="config" sheetId="20" r:id="rId4"/>
    <sheet name="single" sheetId="21" r:id="rId5"/>
    <sheet name="multi" sheetId="22" r:id="rId6"/>
    <sheet name="negative_CO2" sheetId="23" r:id="rId7"/>
  </sheets>
  <definedNames>
    <definedName name="__123Graph_AEUMILKPN" localSheetId="0" hidden="1">#REF!</definedName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localSheetId="0" hidden="1">#REF!</definedName>
    <definedName name="_Regression_Y" hidden="1">#REF!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9" i="21" l="1"/>
  <c r="N8" i="21"/>
  <c r="K8" i="21" s="1"/>
  <c r="K8" i="22" s="1"/>
  <c r="N7" i="21"/>
  <c r="K7" i="21" s="1"/>
  <c r="K9" i="21" l="1"/>
  <c r="K9" i="22" s="1"/>
  <c r="K7" i="22"/>
  <c r="I10" i="22"/>
  <c r="H10" i="22"/>
  <c r="G10" i="22"/>
  <c r="F10" i="22"/>
  <c r="D10" i="22"/>
  <c r="C10" i="22"/>
  <c r="I9" i="22"/>
  <c r="H9" i="22"/>
  <c r="G9" i="22"/>
  <c r="F9" i="22"/>
  <c r="D9" i="22"/>
  <c r="C9" i="22"/>
  <c r="I8" i="22"/>
  <c r="H8" i="22"/>
  <c r="G8" i="22"/>
  <c r="F8" i="22"/>
  <c r="D8" i="22"/>
  <c r="C8" i="22"/>
  <c r="I7" i="22"/>
  <c r="H7" i="22"/>
  <c r="G7" i="22"/>
  <c r="F7" i="22"/>
  <c r="D7" i="22"/>
  <c r="C7" i="22"/>
  <c r="K10" i="21"/>
  <c r="K10" i="22" s="1"/>
  <c r="I10" i="21"/>
  <c r="H10" i="21"/>
  <c r="G10" i="21"/>
  <c r="F10" i="21"/>
  <c r="D10" i="21"/>
  <c r="C10" i="21"/>
  <c r="I9" i="21"/>
  <c r="H9" i="21"/>
  <c r="G9" i="21"/>
  <c r="F9" i="21"/>
  <c r="D9" i="21"/>
  <c r="C9" i="21"/>
  <c r="I8" i="21"/>
  <c r="H8" i="21"/>
  <c r="G8" i="21"/>
  <c r="F8" i="21"/>
  <c r="D8" i="21"/>
  <c r="C8" i="21"/>
  <c r="I7" i="21"/>
  <c r="H7" i="21"/>
  <c r="G7" i="21"/>
  <c r="F7" i="21"/>
  <c r="D7" i="21"/>
  <c r="C7" i="21"/>
  <c r="F4" i="20"/>
  <c r="B10" i="21" s="1"/>
  <c r="F5" i="20"/>
  <c r="L10" i="21" s="1"/>
  <c r="D4" i="20"/>
  <c r="B8" i="22" s="1"/>
  <c r="E4" i="20"/>
  <c r="B9" i="22" s="1"/>
  <c r="D5" i="20"/>
  <c r="L8" i="22" s="1"/>
  <c r="E5" i="20"/>
  <c r="L9" i="21" s="1"/>
  <c r="C5" i="20"/>
  <c r="L7" i="21" s="1"/>
  <c r="C4" i="20"/>
  <c r="B7" i="21" s="1"/>
  <c r="L10" i="22" l="1"/>
  <c r="B10" i="22"/>
  <c r="B9" i="21"/>
  <c r="L9" i="22"/>
  <c r="B8" i="21"/>
  <c r="L8" i="21"/>
  <c r="L7" i="22"/>
  <c r="B7" i="22"/>
  <c r="H4" i="23"/>
  <c r="H3" i="23"/>
  <c r="G3" i="23"/>
  <c r="AD5" i="15"/>
  <c r="AC5" i="15"/>
  <c r="AB5" i="15"/>
  <c r="AA5" i="15"/>
  <c r="Z5" i="15"/>
  <c r="Y5" i="15"/>
  <c r="Y7" i="15"/>
  <c r="X5" i="15"/>
  <c r="W5" i="15"/>
  <c r="V5" i="15"/>
  <c r="U5" i="15"/>
  <c r="T5" i="15"/>
  <c r="S5" i="15"/>
  <c r="R5" i="15"/>
  <c r="Q5" i="15"/>
  <c r="Q7" i="15"/>
  <c r="P5" i="15"/>
  <c r="O5" i="15"/>
  <c r="N5" i="15"/>
  <c r="M5" i="15"/>
  <c r="L5" i="15"/>
  <c r="K5" i="15"/>
  <c r="J5" i="15"/>
  <c r="I5" i="15"/>
  <c r="I7" i="15"/>
  <c r="H5" i="15"/>
  <c r="G5" i="15"/>
  <c r="F5" i="15"/>
  <c r="E5" i="15"/>
  <c r="D7" i="15"/>
  <c r="C7" i="15"/>
  <c r="D6" i="15"/>
  <c r="C6" i="15"/>
  <c r="AD7" i="15"/>
  <c r="AC7" i="15"/>
  <c r="AB7" i="15"/>
  <c r="AA7" i="15"/>
  <c r="Z6" i="15"/>
  <c r="X6" i="15"/>
  <c r="W3" i="15" a="1"/>
  <c r="W3" i="15"/>
  <c r="V7" i="15"/>
  <c r="U7" i="15"/>
  <c r="T7" i="15"/>
  <c r="S7" i="15"/>
  <c r="R6" i="15"/>
  <c r="P6" i="15"/>
  <c r="O3" i="15" a="1"/>
  <c r="O3" i="15"/>
  <c r="N7" i="15"/>
  <c r="M7" i="15"/>
  <c r="L7" i="15"/>
  <c r="K7" i="15"/>
  <c r="J6" i="15"/>
  <c r="H6" i="15"/>
  <c r="G3" i="15" a="1"/>
  <c r="G3" i="15"/>
  <c r="F7" i="15"/>
  <c r="E7" i="15"/>
  <c r="AD3" i="15" a="1"/>
  <c r="AD3" i="15"/>
  <c r="AB3" i="15" a="1"/>
  <c r="AB3" i="15"/>
  <c r="AA3" i="15" a="1"/>
  <c r="AA3" i="15"/>
  <c r="X3" i="15" a="1"/>
  <c r="X3" i="15"/>
  <c r="V3" i="15" a="1"/>
  <c r="V3" i="15"/>
  <c r="Q3" i="15" a="1"/>
  <c r="Q3" i="15"/>
  <c r="P3" i="15" a="1"/>
  <c r="P3" i="15"/>
  <c r="H3" i="15" a="1"/>
  <c r="H3" i="15"/>
  <c r="D3" i="15" a="1"/>
  <c r="D3" i="15"/>
  <c r="C3" i="15" a="1"/>
  <c r="C3" i="15"/>
  <c r="B2" i="21"/>
  <c r="H4" i="21" s="1"/>
  <c r="I3" i="15" a="1"/>
  <c r="I3" i="15"/>
  <c r="Y3" i="15" a="1"/>
  <c r="Y3" i="15"/>
  <c r="J3" i="15" a="1"/>
  <c r="J3" i="15"/>
  <c r="K3" i="15" a="1"/>
  <c r="K3" i="15"/>
  <c r="T3" i="15" a="1"/>
  <c r="T3" i="15"/>
  <c r="E3" i="15" a="1"/>
  <c r="E3" i="15"/>
  <c r="N3" i="15" a="1"/>
  <c r="N3" i="15"/>
  <c r="R3" i="15" a="1"/>
  <c r="R3" i="15"/>
  <c r="S3" i="15" a="1"/>
  <c r="S3" i="15"/>
  <c r="F3" i="15" a="1"/>
  <c r="F3" i="15"/>
  <c r="Z3" i="15" a="1"/>
  <c r="Z3" i="15"/>
  <c r="I6" i="15"/>
  <c r="K6" i="15"/>
  <c r="Q6" i="15"/>
  <c r="S6" i="15"/>
  <c r="Y6" i="15"/>
  <c r="AA6" i="15"/>
  <c r="L3" i="15" a="1"/>
  <c r="L3" i="15"/>
  <c r="M3" i="15" a="1"/>
  <c r="M3" i="15"/>
  <c r="G7" i="15"/>
  <c r="O7" i="15"/>
  <c r="W7" i="15"/>
  <c r="L6" i="15"/>
  <c r="T6" i="15"/>
  <c r="AB6" i="15"/>
  <c r="H7" i="15"/>
  <c r="P7" i="15"/>
  <c r="X7" i="15"/>
  <c r="AC3" i="15" a="1"/>
  <c r="AC3" i="15"/>
  <c r="E6" i="15"/>
  <c r="M6" i="15"/>
  <c r="U6" i="15"/>
  <c r="AC6" i="15"/>
  <c r="U3" i="15" a="1"/>
  <c r="U3" i="15"/>
  <c r="B2" i="22"/>
  <c r="H4" i="22" s="1"/>
  <c r="F6" i="15"/>
  <c r="N6" i="15"/>
  <c r="V6" i="15"/>
  <c r="AD6" i="15"/>
  <c r="J7" i="15"/>
  <c r="R7" i="15"/>
  <c r="Z7" i="15"/>
  <c r="G6" i="15"/>
  <c r="O6" i="15"/>
  <c r="W6" i="1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<sst xmlns="http://schemas.openxmlformats.org/spreadsheetml/2006/main" count="155" uniqueCount="114">
  <si>
    <t>LimType</t>
  </si>
  <si>
    <t>Wicklow</t>
  </si>
  <si>
    <t>Wexford</t>
  </si>
  <si>
    <t>Westmeath</t>
  </si>
  <si>
    <t>Waterford</t>
  </si>
  <si>
    <t>Tipperary</t>
  </si>
  <si>
    <t>Sligo</t>
  </si>
  <si>
    <t>Roscommon</t>
  </si>
  <si>
    <t>Offaly</t>
  </si>
  <si>
    <t>Monaghan</t>
  </si>
  <si>
    <t>Meath</t>
  </si>
  <si>
    <t>Mayo</t>
  </si>
  <si>
    <t>Louth</t>
  </si>
  <si>
    <t>Longford</t>
  </si>
  <si>
    <t>Limerick</t>
  </si>
  <si>
    <t>Leitrim</t>
  </si>
  <si>
    <t>Laois</t>
  </si>
  <si>
    <t>Kilkenny</t>
  </si>
  <si>
    <t>Kildare</t>
  </si>
  <si>
    <t>Kerry</t>
  </si>
  <si>
    <t>Galway</t>
  </si>
  <si>
    <t>Dublin</t>
  </si>
  <si>
    <t>Donegal</t>
  </si>
  <si>
    <t>Cork</t>
  </si>
  <si>
    <t>Clare</t>
  </si>
  <si>
    <t>Cavan</t>
  </si>
  <si>
    <t>Carlow</t>
  </si>
  <si>
    <t>Development</t>
  </si>
  <si>
    <t>IE</t>
  </si>
  <si>
    <t>National</t>
  </si>
  <si>
    <t>Single-region</t>
  </si>
  <si>
    <t>Multi-region</t>
  </si>
  <si>
    <t>Code</t>
  </si>
  <si>
    <t>County name</t>
  </si>
  <si>
    <t>IE-CW</t>
  </si>
  <si>
    <t>IE-CN</t>
  </si>
  <si>
    <t>IE-CE</t>
  </si>
  <si>
    <t>IE-CO</t>
  </si>
  <si>
    <t>IE-DL</t>
  </si>
  <si>
    <t>IE-D</t>
  </si>
  <si>
    <t>IE-G</t>
  </si>
  <si>
    <t>IE-KY</t>
  </si>
  <si>
    <t>IE-KE</t>
  </si>
  <si>
    <t>IE-KK</t>
  </si>
  <si>
    <t>IE-LS</t>
  </si>
  <si>
    <t>IE-LM</t>
  </si>
  <si>
    <t>IE-LK</t>
  </si>
  <si>
    <t>IE-LD</t>
  </si>
  <si>
    <t>IE-LH</t>
  </si>
  <si>
    <t>IE-MO</t>
  </si>
  <si>
    <t>IE-MH</t>
  </si>
  <si>
    <t>IE-MN</t>
  </si>
  <si>
    <t>IE-OY</t>
  </si>
  <si>
    <t>IE-RN</t>
  </si>
  <si>
    <t>IE-SO</t>
  </si>
  <si>
    <t>IE-TA</t>
  </si>
  <si>
    <t>IE-WD</t>
  </si>
  <si>
    <t>IE-WH</t>
  </si>
  <si>
    <t>IE-WX</t>
  </si>
  <si>
    <t>IE-WW</t>
  </si>
  <si>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1"/>
        <color theme="1"/>
        <rFont val="Calibri"/>
        <family val="2"/>
        <scheme val="minor"/>
      </rPr>
      <t>https://en.wikipedia.org/wiki/ISO_3166-2:IE</t>
    </r>
  </si>
  <si>
    <t>UC_N</t>
  </si>
  <si>
    <t>Cset_CN</t>
  </si>
  <si>
    <t>UC_Desc</t>
  </si>
  <si>
    <t>UC - Each Region/All Periods</t>
  </si>
  <si>
    <t>UC_RHSR</t>
  </si>
  <si>
    <t>UC - All Regions/Each Period</t>
  </si>
  <si>
    <t>UC_RHS</t>
  </si>
  <si>
    <t>UC_desc</t>
  </si>
  <si>
    <t>Value</t>
  </si>
  <si>
    <t>UP</t>
  </si>
  <si>
    <t>*Units</t>
  </si>
  <si>
    <t>*kt</t>
  </si>
  <si>
    <t>Cset_Set</t>
  </si>
  <si>
    <t>Year</t>
  </si>
  <si>
    <t>~UC_Sets: T_S:</t>
  </si>
  <si>
    <t>UC_CUMCOM</t>
  </si>
  <si>
    <t>Other_indexes</t>
  </si>
  <si>
    <t>NET</t>
  </si>
  <si>
    <t>ENV</t>
  </si>
  <si>
    <t>UC_CUMFLO</t>
  </si>
  <si>
    <t>Pset_PN</t>
  </si>
  <si>
    <t>T-A*INT*,T-NAV*</t>
  </si>
  <si>
    <t>2051-2100</t>
  </si>
  <si>
    <t>~TFM_INS</t>
  </si>
  <si>
    <t>TimeSlice</t>
  </si>
  <si>
    <t>Attribute</t>
  </si>
  <si>
    <t>N</t>
  </si>
  <si>
    <t>COM_BNDNET</t>
  </si>
  <si>
    <t>PWRCO2N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</si>
  <si>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</si>
  <si>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</si>
  <si>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</si>
  <si>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</si>
  <si>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</si>
  <si>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</si>
  <si>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</si>
  <si>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</si>
  <si>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</si>
  <si>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</si>
  <si>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</si>
  <si>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</si>
  <si>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All</t>
  </si>
  <si>
    <t>Scenario</t>
  </si>
  <si>
    <t>2021-2025</t>
  </si>
  <si>
    <t>2026-2030</t>
  </si>
  <si>
    <t>2031-2050</t>
  </si>
  <si>
    <t>Specify a carbon budget</t>
  </si>
  <si>
    <t>Original values</t>
  </si>
  <si>
    <t>Overshoot</t>
  </si>
  <si>
    <t>Case #</t>
  </si>
  <si>
    <t>~InputCell:1-13</t>
  </si>
  <si>
    <t>Vahid Aryanpur (UCC, vahid.aryanpur@ucc.ie)</t>
  </si>
  <si>
    <t>TOTCO2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</si>
</sst>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0.000"/>
    <numFmt numFmtId="167" formatCode="0.00000"/>
  </numFmts>
  <fonts count="17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0" fontId="7" fillId="0" borderId="0" applyNumberFormat="0" applyFill="0" applyBorder="0" applyAlignment="0" applyProtection="0"/>
    <xf numFmtId="0" fontId="2" fillId="0" borderId="0"/>
    <xf numFmtId="9" fontId="6" fillId="0" borderId="0" applyFont="0" applyFill="0" applyBorder="0" applyAlignment="0" applyProtection="0"/>
  </cellStyleXfs>
  <cellXfs count="42">
    <xf numFmtId="0" fontId="0" fillId="0" borderId="0" xfId="0"/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 applyProtection="1">
      <alignment horizontal="left" vertical="center"/>
      <protection locked="0"/>
    </xf>
    <xf numFmtId="0" fontId="3" fillId="3" borderId="1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2" xfId="0" applyBorder="1"/>
    <xf numFmtId="0" fontId="2" fillId="0" borderId="0" xfId="0" applyFont="1"/>
    <xf numFmtId="0" fontId="4" fillId="0" borderId="0" xfId="0" applyFont="1"/>
    <xf numFmtId="0" fontId="1" fillId="4" borderId="0" xfId="0" applyFont="1" applyFill="1"/>
    <xf numFmtId="0" fontId="1" fillId="5" borderId="0" xfId="0" applyFont="1" applyFill="1"/>
    <xf numFmtId="0" fontId="1" fillId="0" borderId="0" xfId="0" applyFont="1"/>
    <xf numFmtId="0" fontId="1" fillId="0" borderId="2" xfId="0" applyFont="1" applyBorder="1"/>
    <xf numFmtId="0" fontId="5" fillId="0" borderId="0" xfId="0" applyFont="1"/>
    <xf numFmtId="0" fontId="1" fillId="6" borderId="1" xfId="0" applyFont="1" applyFill="1" applyBorder="1"/>
    <xf numFmtId="0" fontId="1" fillId="7" borderId="1" xfId="0" applyFont="1" applyFill="1" applyBorder="1"/>
    <xf numFmtId="1" fontId="0" fillId="0" borderId="0" xfId="0" applyNumberFormat="1"/>
    <xf numFmtId="0" fontId="6" fillId="8" borderId="0" xfId="2" applyFont="1" applyFill="1" applyAlignment="1">
      <alignment vertical="center"/>
    </xf>
    <xf numFmtId="0" fontId="6" fillId="4" borderId="0" xfId="2" applyFont="1" applyFill="1" applyAlignment="1">
      <alignment vertical="center"/>
    </xf>
    <xf numFmtId="0" fontId="8" fillId="4" borderId="0" xfId="2" applyFont="1" applyFill="1" applyAlignment="1">
      <alignment vertical="center"/>
    </xf>
    <xf numFmtId="0" fontId="7" fillId="4" borderId="0" xfId="2" applyFont="1" applyFill="1" applyAlignment="1">
      <alignment vertical="center"/>
    </xf>
    <xf numFmtId="0" fontId="6" fillId="9" borderId="0" xfId="2" applyFont="1" applyFill="1" applyAlignment="1">
      <alignment vertical="center"/>
    </xf>
    <xf numFmtId="0" fontId="9" fillId="4" borderId="0" xfId="2" applyFont="1" applyFill="1" applyAlignment="1">
      <alignment vertical="center"/>
    </xf>
    <xf numFmtId="0" fontId="10" fillId="4" borderId="0" xfId="2" applyFont="1" applyFill="1" applyAlignment="1">
      <alignment vertical="center"/>
    </xf>
    <xf numFmtId="0" fontId="11" fillId="8" borderId="0" xfId="2" applyFont="1" applyFill="1" applyAlignment="1">
      <alignment vertical="center"/>
    </xf>
    <xf numFmtId="0" fontId="12" fillId="4" borderId="0" xfId="2" applyFont="1" applyFill="1" applyAlignment="1">
      <alignment vertical="center"/>
    </xf>
    <xf numFmtId="0" fontId="13" fillId="4" borderId="0" xfId="2" applyFont="1" applyFill="1" applyAlignment="1">
      <alignment vertical="center"/>
    </xf>
    <xf numFmtId="0" fontId="12" fillId="8" borderId="0" xfId="2" applyFont="1" applyFill="1" applyAlignment="1">
      <alignment vertical="center"/>
    </xf>
    <xf numFmtId="164" fontId="12" fillId="8" borderId="0" xfId="2" applyNumberFormat="1" applyFont="1" applyFill="1" applyAlignment="1">
      <alignment horizontal="left" vertical="center"/>
    </xf>
    <xf numFmtId="0" fontId="14" fillId="4" borderId="0" xfId="2" applyFont="1" applyFill="1" applyAlignment="1">
      <alignment vertical="center"/>
    </xf>
    <xf numFmtId="0" fontId="15" fillId="8" borderId="0" xfId="2" applyFont="1" applyFill="1" applyAlignment="1">
      <alignment vertical="center"/>
    </xf>
    <xf numFmtId="0" fontId="7" fillId="8" borderId="0" xfId="1" applyFill="1" applyAlignment="1">
      <alignment vertical="center"/>
    </xf>
    <xf numFmtId="0" fontId="3" fillId="0" borderId="0" xfId="0" applyFont="1"/>
    <xf numFmtId="166" fontId="0" fillId="0" borderId="0" xfId="0" applyNumberFormat="1"/>
    <xf numFmtId="165" fontId="0" fillId="0" borderId="0" xfId="3" applyNumberFormat="1" applyFont="1"/>
    <xf numFmtId="0" fontId="16" fillId="0" borderId="0" xfId="0" applyFont="1"/>
    <xf numFmtId="1" fontId="16" fillId="0" borderId="0" xfId="0" applyNumberFormat="1" applyFont="1"/>
    <xf numFmtId="167" fontId="0" fillId="0" borderId="0" xfId="0" applyNumberFormat="1"/>
    <xf numFmtId="0" fontId="12" fillId="8" borderId="0" xfId="2" applyFont="1" applyFill="1" applyAlignment="1">
      <alignment vertical="center"/>
    </xf>
    <xf numFmtId="0" fontId="8" fillId="8" borderId="0" xfId="2" applyFont="1" applyFill="1" applyAlignment="1">
      <alignment horizontal="center" vertical="center"/>
    </xf>
    <xf numFmtId="0" fontId="7" fillId="8" borderId="0" xfId="1" applyFill="1" applyAlignment="1">
      <alignment vertical="center"/>
    </xf>
  </cellXfs>
  <cellStyles count="4">
    <cellStyle name="Hyperlink" xfId="1" builtinId="8"/>
    <cellStyle name="Normal" xfId="0" builtinId="0"/>
    <cellStyle name="Normal 2" xfId="2" xr:uid="{5CD6EEE1-73B2-4911-9FC2-AF042D96273E}"/>
    <cellStyle name="Percent" xfId="3" builtinId="5"/>
  </cellStyles>
  <dxfs count="0"/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Drop" dropStyle="combo" dx="39" fmlaLink="$A$4" fmlaRange="$A$5:$A$7" noThreeD="1" sel="1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"/>
          <a:ext cx="5796000" cy="232421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810625"/>
          <a:ext cx="1431433" cy="576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23" y="8810625"/>
          <a:ext cx="1250988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8810625"/>
          <a:ext cx="2018073" cy="5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  <a:ext uri="{147F2762-F138-4A5C-976F-8EAC2B608ADB}">
              <a16:predDERef xmlns:a16="http://schemas.microsoft.com/office/drawing/2014/main" pred="{B1489C0F-1609-4587-A5BA-D0B99739E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t="26200" r="4000" b="26199"/>
        <a:stretch/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</xdr:col>
          <xdr:colOff>25400</xdr:colOff>
          <xdr:row>3</xdr:row>
          <xdr:rowOff>0</xdr:rowOff>
        </xdr:to>
        <xdr:sp macro="" textlink="">
          <xdr:nvSpPr>
            <xdr:cNvPr id="3073" name="Drop Dow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CE639-45BB-4BC0-8EFB-335579A1276F}">
  <sheetPr codeName="Sheet5"/>
  <dimension ref="A1:Z99"/>
  <sheetViews>
    <sheetView showGridLines="0" topLeftCell="A15" zoomScaleNormal="100" workbookViewId="0">
      <selection activeCell="B26" sqref="B26:D26"/>
    </sheetView>
  </sheetViews>
  <sheetFormatPr defaultColWidth="8.90625" defaultRowHeight="14.5" x14ac:dyDescent="0.35"/>
  <cols>
    <col min="1" max="4" width="21.6328125" customWidth="1"/>
    <col min="5" max="6" width="14.08984375" customWidth="1"/>
    <col min="7" max="7" width="12.08984375" customWidth="1"/>
    <col min="8" max="10" width="8.08984375" customWidth="1"/>
    <col min="11" max="11" width="9.6328125" customWidth="1"/>
    <col min="12" max="12" width="8.08984375" customWidth="1"/>
    <col min="13" max="13" width="10" customWidth="1"/>
    <col min="14" max="14" width="11.453125" customWidth="1"/>
    <col min="15" max="15" width="13.453125" customWidth="1"/>
  </cols>
  <sheetData>
    <row r="1" spans="1:26" x14ac:dyDescent="0.35">
      <c r="A1" s="18"/>
      <c r="B1" s="18"/>
      <c r="C1" s="18"/>
      <c r="D1" s="18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x14ac:dyDescent="0.35">
      <c r="A2" s="18"/>
      <c r="B2" s="18"/>
      <c r="C2" s="18"/>
      <c r="D2" s="18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x14ac:dyDescent="0.35">
      <c r="A3" s="18"/>
      <c r="B3" s="18"/>
      <c r="C3" s="18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x14ac:dyDescent="0.35">
      <c r="A4" s="18"/>
      <c r="B4" s="18"/>
      <c r="C4" s="18"/>
      <c r="D4" s="18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x14ac:dyDescent="0.35">
      <c r="A5" s="18"/>
      <c r="B5" s="18"/>
      <c r="C5" s="18"/>
      <c r="D5" s="18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x14ac:dyDescent="0.35">
      <c r="A6" s="18"/>
      <c r="B6" s="18"/>
      <c r="C6" s="18"/>
      <c r="D6" s="18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x14ac:dyDescent="0.35">
      <c r="A7" s="18"/>
      <c r="B7" s="18"/>
      <c r="C7" s="18"/>
      <c r="D7" s="18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x14ac:dyDescent="0.35">
      <c r="A8" s="18"/>
      <c r="B8" s="18"/>
      <c r="C8" s="18"/>
      <c r="D8" s="18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x14ac:dyDescent="0.35">
      <c r="A9" s="18"/>
      <c r="B9" s="18"/>
      <c r="C9" s="18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x14ac:dyDescent="0.35">
      <c r="A10" s="18"/>
      <c r="B10" s="18"/>
      <c r="C10" s="18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x14ac:dyDescent="0.35">
      <c r="A11" s="18"/>
      <c r="B11" s="18"/>
      <c r="C11" s="18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x14ac:dyDescent="0.35">
      <c r="A12" s="18"/>
      <c r="B12" s="18"/>
      <c r="C12" s="18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x14ac:dyDescent="0.35">
      <c r="A13" s="18"/>
      <c r="B13" s="18"/>
      <c r="C13" s="18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x14ac:dyDescent="0.35">
      <c r="A14" s="18"/>
      <c r="B14" s="18"/>
      <c r="C14" s="18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x14ac:dyDescent="0.35">
      <c r="A15" s="18"/>
      <c r="B15" s="18"/>
      <c r="C15" s="18"/>
      <c r="D15" s="18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02.75" customHeight="1" x14ac:dyDescent="0.35">
      <c r="A16" s="40" t="s">
        <v>90</v>
      </c>
      <c r="B16" s="40"/>
      <c r="C16" s="40"/>
      <c r="D16" s="40"/>
      <c r="E16" s="20"/>
      <c r="F16" s="20"/>
      <c r="G16" s="21"/>
      <c r="H16" s="21"/>
      <c r="I16" s="21"/>
      <c r="J16" s="21"/>
      <c r="K16" s="21"/>
      <c r="L16" s="21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7.25" customHeight="1" x14ac:dyDescent="0.35">
      <c r="A17" s="22"/>
      <c r="B17" s="22"/>
      <c r="C17" s="22"/>
      <c r="D17" s="22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7.25" customHeight="1" x14ac:dyDescent="0.35">
      <c r="A18" s="22"/>
      <c r="B18" s="22"/>
      <c r="C18" s="22"/>
      <c r="D18" s="22"/>
      <c r="E18" s="23"/>
      <c r="F18" s="23"/>
      <c r="G18" s="24"/>
      <c r="H18" s="24"/>
      <c r="I18" s="24"/>
      <c r="J18" s="24"/>
      <c r="K18" s="24"/>
      <c r="L18" s="24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7.25" customHeight="1" x14ac:dyDescent="0.35">
      <c r="A19" s="25" t="s">
        <v>91</v>
      </c>
      <c r="B19" s="39" t="s">
        <v>103</v>
      </c>
      <c r="C19" s="39"/>
      <c r="D19" s="39"/>
      <c r="E19" s="26"/>
      <c r="F19" s="26"/>
      <c r="G19" s="27"/>
      <c r="H19" s="27"/>
      <c r="I19" s="27"/>
      <c r="J19" s="27"/>
      <c r="K19" s="27"/>
      <c r="L19" s="27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7.25" customHeight="1" x14ac:dyDescent="0.35">
      <c r="A20" s="25" t="s">
        <v>92</v>
      </c>
      <c r="B20" s="39" t="s">
        <v>102</v>
      </c>
      <c r="C20" s="39"/>
      <c r="D20" s="39"/>
      <c r="E20" s="26"/>
      <c r="F20" s="26"/>
      <c r="G20" s="27"/>
      <c r="H20" s="27"/>
      <c r="I20" s="27"/>
      <c r="J20" s="27"/>
      <c r="K20" s="27"/>
      <c r="L20" s="27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7.25" customHeight="1" x14ac:dyDescent="0.35">
      <c r="A21" s="25" t="s">
        <v>93</v>
      </c>
      <c r="B21" s="28" t="s">
        <v>107</v>
      </c>
      <c r="C21" s="28"/>
      <c r="D21" s="28"/>
      <c r="E21" s="26"/>
      <c r="F21" s="26"/>
      <c r="G21" s="27"/>
      <c r="H21" s="27"/>
      <c r="I21" s="27"/>
      <c r="J21" s="27"/>
      <c r="K21" s="27"/>
      <c r="L21" s="27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7.25" customHeight="1" x14ac:dyDescent="0.35">
      <c r="A22" s="25"/>
      <c r="B22" s="28"/>
      <c r="C22" s="28"/>
      <c r="D22" s="28"/>
      <c r="E22" s="26"/>
      <c r="F22" s="26"/>
      <c r="G22" s="27"/>
      <c r="H22" s="27"/>
      <c r="I22" s="27"/>
      <c r="J22" s="27"/>
      <c r="K22" s="27"/>
      <c r="L22" s="27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7.25" customHeight="1" x14ac:dyDescent="0.35">
      <c r="A23" s="25" t="s">
        <v>94</v>
      </c>
      <c r="B23" s="39" t="s">
        <v>112</v>
      </c>
      <c r="C23" s="39"/>
      <c r="D23" s="3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7.25" customHeight="1" x14ac:dyDescent="0.35">
      <c r="A24" s="25"/>
      <c r="B24" s="28"/>
      <c r="C24" s="28"/>
      <c r="D24" s="28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7.25" customHeight="1" x14ac:dyDescent="0.35">
      <c r="A25" s="25"/>
      <c r="B25" s="28"/>
      <c r="C25" s="28"/>
      <c r="D25" s="2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7.25" customHeight="1" x14ac:dyDescent="0.35">
      <c r="A26" s="25" t="s">
        <v>95</v>
      </c>
      <c r="B26" s="39" t="s">
        <v>112</v>
      </c>
      <c r="C26" s="39"/>
      <c r="D26" s="3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7.25" customHeight="1" x14ac:dyDescent="0.35">
      <c r="A27" s="25"/>
      <c r="B27" s="28"/>
      <c r="C27" s="28"/>
      <c r="D27" s="2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7.25" customHeight="1" x14ac:dyDescent="0.35">
      <c r="A28" s="25"/>
      <c r="B28" s="28"/>
      <c r="C28" s="28"/>
      <c r="D28" s="2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7.25" customHeight="1" x14ac:dyDescent="0.35">
      <c r="A29" s="25" t="s">
        <v>96</v>
      </c>
      <c r="B29" s="29"/>
      <c r="C29" s="28"/>
      <c r="D29" s="2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7.25" customHeight="1" x14ac:dyDescent="0.35">
      <c r="A30" s="25" t="s">
        <v>97</v>
      </c>
      <c r="B30" s="41" t="s">
        <v>98</v>
      </c>
      <c r="C30" s="39"/>
      <c r="D30" s="39"/>
      <c r="E30" s="30"/>
      <c r="F30" s="30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7.25" customHeight="1" x14ac:dyDescent="0.35">
      <c r="A31" s="25" t="s">
        <v>99</v>
      </c>
      <c r="B31" s="39" t="s">
        <v>100</v>
      </c>
      <c r="C31" s="39"/>
      <c r="D31" s="39"/>
      <c r="E31" s="30"/>
      <c r="F31" s="30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7.25" customHeight="1" x14ac:dyDescent="0.35">
      <c r="A32" s="31"/>
      <c r="B32" s="32" t="s">
        <v>101</v>
      </c>
      <c r="C32" s="31"/>
      <c r="D32" s="31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x14ac:dyDescent="0.35">
      <c r="A33" s="18"/>
      <c r="B33" s="18"/>
      <c r="C33" s="18"/>
      <c r="D33" s="18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x14ac:dyDescent="0.35">
      <c r="A34" s="18"/>
      <c r="B34" s="18"/>
      <c r="C34" s="18"/>
      <c r="D34" s="18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x14ac:dyDescent="0.35">
      <c r="A35" s="18"/>
      <c r="B35" s="18"/>
      <c r="C35" s="18"/>
      <c r="D35" s="18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x14ac:dyDescent="0.35">
      <c r="A36" s="18"/>
      <c r="B36" s="18"/>
      <c r="C36" s="18"/>
      <c r="D36" s="18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x14ac:dyDescent="0.35">
      <c r="A37" s="18"/>
      <c r="B37" s="18"/>
      <c r="C37" s="18"/>
      <c r="D37" s="18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x14ac:dyDescent="0.35">
      <c r="A38" s="18"/>
      <c r="B38" s="18"/>
      <c r="C38" s="18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x14ac:dyDescent="0.35">
      <c r="A39" s="18"/>
      <c r="B39" s="18"/>
      <c r="C39" s="18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x14ac:dyDescent="0.35">
      <c r="A40" s="18"/>
      <c r="B40" s="18"/>
      <c r="C40" s="18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x14ac:dyDescent="0.35">
      <c r="A41" s="18"/>
      <c r="B41" s="18"/>
      <c r="C41" s="18"/>
      <c r="D41" s="18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x14ac:dyDescent="0.35">
      <c r="A42" s="18"/>
      <c r="B42" s="18"/>
      <c r="C42" s="18"/>
      <c r="D42" s="18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x14ac:dyDescent="0.3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x14ac:dyDescent="0.35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x14ac:dyDescent="0.3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x14ac:dyDescent="0.35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x14ac:dyDescent="0.35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x14ac:dyDescent="0.35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x14ac:dyDescent="0.35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x14ac:dyDescent="0.3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x14ac:dyDescent="0.3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x14ac:dyDescent="0.35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x14ac:dyDescent="0.35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x14ac:dyDescent="0.35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x14ac:dyDescent="0.3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x14ac:dyDescent="0.35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x14ac:dyDescent="0.35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x14ac:dyDescent="0.35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x14ac:dyDescent="0.35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x14ac:dyDescent="0.35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x14ac:dyDescent="0.35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x14ac:dyDescent="0.35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x14ac:dyDescent="0.35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x14ac:dyDescent="0.35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x14ac:dyDescent="0.3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x14ac:dyDescent="0.35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x14ac:dyDescent="0.35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x14ac:dyDescent="0.3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x14ac:dyDescent="0.35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x14ac:dyDescent="0.35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x14ac:dyDescent="0.35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x14ac:dyDescent="0.35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x14ac:dyDescent="0.35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x14ac:dyDescent="0.35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x14ac:dyDescent="0.3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x14ac:dyDescent="0.35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x14ac:dyDescent="0.35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x14ac:dyDescent="0.35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x14ac:dyDescent="0.35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x14ac:dyDescent="0.35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x14ac:dyDescent="0.35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x14ac:dyDescent="0.35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x14ac:dyDescent="0.35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x14ac:dyDescent="0.35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x14ac:dyDescent="0.3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x14ac:dyDescent="0.35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x14ac:dyDescent="0.35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x14ac:dyDescent="0.35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x14ac:dyDescent="0.35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x14ac:dyDescent="0.35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x14ac:dyDescent="0.35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x14ac:dyDescent="0.35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x14ac:dyDescent="0.35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x14ac:dyDescent="0.35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x14ac:dyDescent="0.3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x14ac:dyDescent="0.35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x14ac:dyDescent="0.35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x14ac:dyDescent="0.35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x14ac:dyDescent="0.35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</sheetData>
  <mergeCells count="7">
    <mergeCell ref="B31:D31"/>
    <mergeCell ref="A16:D16"/>
    <mergeCell ref="B19:D19"/>
    <mergeCell ref="B20:D20"/>
    <mergeCell ref="B30:D30"/>
    <mergeCell ref="B23:D23"/>
    <mergeCell ref="B26:D26"/>
  </mergeCells>
  <hyperlinks>
    <hyperlink ref="B30" r:id="rId1" xr:uid="{E1305D28-A66A-40DB-91D1-7D1E23B69345}"/>
    <hyperlink ref="B32" r:id="rId2" xr:uid="{C5CAA7F6-1364-4476-8DCD-8F991F5C6B07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030FF-C503-4743-9DBD-437AEB1E949D}">
  <sheetPr codeName="Sheet8"/>
  <dimension ref="A3:AD37"/>
  <sheetViews>
    <sheetView zoomScaleNormal="100" workbookViewId="0">
      <selection activeCell="B7" sqref="B7"/>
    </sheetView>
  </sheetViews>
  <sheetFormatPr defaultColWidth="9.08984375" defaultRowHeight="14.5" x14ac:dyDescent="0.35"/>
  <cols>
    <col min="1" max="1" width="12.08984375" customWidth="1"/>
    <col min="2" max="2" width="11.6328125" customWidth="1"/>
    <col min="3" max="3" width="3.08984375" bestFit="1" customWidth="1"/>
    <col min="4" max="4" width="8.54296875" bestFit="1" customWidth="1"/>
    <col min="5" max="5" width="6.453125" bestFit="1" customWidth="1"/>
    <col min="6" max="6" width="4.90625" bestFit="1" customWidth="1"/>
    <col min="7" max="7" width="5.6328125" bestFit="1" customWidth="1"/>
    <col min="8" max="8" width="5.90625" bestFit="1" customWidth="1"/>
    <col min="9" max="9" width="5.453125" bestFit="1" customWidth="1"/>
    <col min="10" max="11" width="5.6328125" bestFit="1" customWidth="1"/>
    <col min="12" max="12" width="6.54296875" bestFit="1" customWidth="1"/>
    <col min="13" max="13" width="6.08984375" bestFit="1" customWidth="1"/>
    <col min="14" max="14" width="6.6328125" bestFit="1" customWidth="1"/>
    <col min="15" max="15" width="6.54296875" bestFit="1" customWidth="1"/>
    <col min="16" max="16" width="7.36328125" bestFit="1" customWidth="1"/>
    <col min="17" max="17" width="5.6328125" bestFit="1" customWidth="1"/>
    <col min="18" max="18" width="6.08984375" bestFit="1" customWidth="1"/>
    <col min="19" max="19" width="5.6328125" bestFit="1" customWidth="1"/>
    <col min="20" max="20" width="5.54296875" bestFit="1" customWidth="1"/>
    <col min="21" max="21" width="5.90625" bestFit="1" customWidth="1"/>
    <col min="22" max="22" width="6.6328125" bestFit="1" customWidth="1"/>
    <col min="23" max="23" width="4.90625" bestFit="1" customWidth="1"/>
    <col min="24" max="24" width="7.54296875" customWidth="1"/>
    <col min="25" max="25" width="6.6328125" bestFit="1" customWidth="1"/>
    <col min="26" max="26" width="6.08984375" bestFit="1" customWidth="1"/>
    <col min="27" max="28" width="6" bestFit="1" customWidth="1"/>
    <col min="29" max="29" width="5.6328125" bestFit="1" customWidth="1"/>
    <col min="30" max="30" width="6.6328125" bestFit="1" customWidth="1"/>
  </cols>
  <sheetData>
    <row r="3" spans="1:30" x14ac:dyDescent="0.35">
      <c r="C3" s="1" t="str" cm="1">
        <f t="array" ref="C3">IF(LEFT(INDEX(C5:C7,$A$4),1)&lt;&gt;"*",INDEX(C5:C7,$A$4),"")</f>
        <v>IE</v>
      </c>
      <c r="D3" s="1" t="str" cm="1">
        <f t="array" ref="D3">IF(LEFT(INDEX(D5:D7,$A$4),1)&lt;&gt;"*",INDEX(D5:D7,$A$4),"")</f>
        <v>National</v>
      </c>
      <c r="E3" s="1" t="str" cm="1">
        <f t="array" ref="E3">IF(LEFT(INDEX(E5:E7,$A$4),1)&lt;&gt;"*",INDEX(E5:E7,$A$4),"")</f>
        <v>IE-CW</v>
      </c>
      <c r="F3" s="1" t="str" cm="1">
        <f t="array" ref="F3">IF(LEFT(INDEX(F5:F7,$A$4),1)&lt;&gt;"*",INDEX(F5:F7,$A$4),"")</f>
        <v>IE-D</v>
      </c>
      <c r="G3" s="1" t="str" cm="1">
        <f t="array" ref="G3">IF(LEFT(INDEX(G5:G7,$A$4),1)&lt;&gt;"*",INDEX(G5:G7,$A$4),"")</f>
        <v>IE-KE</v>
      </c>
      <c r="H3" s="1" t="str" cm="1">
        <f t="array" ref="H3">IF(LEFT(INDEX(H5:H7,$A$4),1)&lt;&gt;"*",INDEX(H5:H7,$A$4),"")</f>
        <v>IE-KK</v>
      </c>
      <c r="I3" s="1" t="str" cm="1">
        <f t="array" ref="I3">IF(LEFT(INDEX(I5:I7,$A$4),1)&lt;&gt;"*",INDEX(I5:I7,$A$4),"")</f>
        <v>IE-LS</v>
      </c>
      <c r="J3" s="1" t="str" cm="1">
        <f t="array" ref="J3">IF(LEFT(INDEX(J5:J7,$A$4),1)&lt;&gt;"*",INDEX(J5:J7,$A$4),"")</f>
        <v>IE-LD</v>
      </c>
      <c r="K3" s="1" t="str" cm="1">
        <f t="array" ref="K3">IF(LEFT(INDEX(K5:K7,$A$4),1)&lt;&gt;"*",INDEX(K5:K7,$A$4),"")</f>
        <v>IE-LH</v>
      </c>
      <c r="L3" s="1" t="str" cm="1">
        <f t="array" ref="L3">IF(LEFT(INDEX(L5:L7,$A$4),1)&lt;&gt;"*",INDEX(L5:L7,$A$4),"")</f>
        <v>IE-MH</v>
      </c>
      <c r="M3" s="1" t="str" cm="1">
        <f t="array" ref="M3">IF(LEFT(INDEX(M5:M7,$A$4),1)&lt;&gt;"*",INDEX(M5:M7,$A$4),"")</f>
        <v>IE-OY</v>
      </c>
      <c r="N3" s="1" t="str" cm="1">
        <f t="array" ref="N3">IF(LEFT(INDEX(N5:N7,$A$4),1)&lt;&gt;"*",INDEX(N5:N7,$A$4),"")</f>
        <v>IE-WH</v>
      </c>
      <c r="O3" s="1" t="str" cm="1">
        <f t="array" ref="O3">IF(LEFT(INDEX(O5:O7,$A$4),1)&lt;&gt;"*",INDEX(O5:O7,$A$4),"")</f>
        <v>IE-WX</v>
      </c>
      <c r="P3" s="1" t="str" cm="1">
        <f t="array" ref="P3">IF(LEFT(INDEX(P5:P7,$A$4),1)&lt;&gt;"*",INDEX(P5:P7,$A$4),"")</f>
        <v>IE-WW</v>
      </c>
      <c r="Q3" s="1" t="str" cm="1">
        <f t="array" ref="Q3">IF(LEFT(INDEX(Q5:Q7,$A$4),1)&lt;&gt;"*",INDEX(Q5:Q7,$A$4),"")</f>
        <v>IE-CE</v>
      </c>
      <c r="R3" s="1" t="str" cm="1">
        <f t="array" ref="R3">IF(LEFT(INDEX(R5:R7,$A$4),1)&lt;&gt;"*",INDEX(R5:R7,$A$4),"")</f>
        <v>IE-CO</v>
      </c>
      <c r="S3" s="1" t="str" cm="1">
        <f t="array" ref="S3">IF(LEFT(INDEX(S5:S7,$A$4),1)&lt;&gt;"*",INDEX(S5:S7,$A$4),"")</f>
        <v>IE-KY</v>
      </c>
      <c r="T3" s="1" t="str" cm="1">
        <f t="array" ref="T3">IF(LEFT(INDEX(T5:T7,$A$4),1)&lt;&gt;"*",INDEX(T5:T7,$A$4),"")</f>
        <v>IE-LK</v>
      </c>
      <c r="U3" s="1" t="str" cm="1">
        <f t="array" ref="U3">IF(LEFT(INDEX(U5:U7,$A$4),1)&lt;&gt;"*",INDEX(U5:U7,$A$4),"")</f>
        <v>IE-TA</v>
      </c>
      <c r="V3" s="1" t="str" cm="1">
        <f t="array" ref="V3">IF(LEFT(INDEX(V5:V7,$A$4),1)&lt;&gt;"*",INDEX(V5:V7,$A$4),"")</f>
        <v>IE-WD</v>
      </c>
      <c r="W3" s="1" t="str" cm="1">
        <f t="array" ref="W3">IF(LEFT(INDEX(W5:W7,$A$4),1)&lt;&gt;"*",INDEX(W5:W7,$A$4),"")</f>
        <v>IE-G</v>
      </c>
      <c r="X3" s="1" t="str" cm="1">
        <f t="array" ref="X3">IF(LEFT(INDEX(X5:X7,$A$4),1)&lt;&gt;"*",INDEX(X5:X7,$A$4),"")</f>
        <v>IE-LM</v>
      </c>
      <c r="Y3" s="1" t="str" cm="1">
        <f t="array" ref="Y3">IF(LEFT(INDEX(Y5:Y7,$A$4),1)&lt;&gt;"*",INDEX(Y5:Y7,$A$4),"")</f>
        <v>IE-MO</v>
      </c>
      <c r="Z3" s="1" t="str" cm="1">
        <f t="array" ref="Z3">IF(LEFT(INDEX(Z5:Z7,$A$4),1)&lt;&gt;"*",INDEX(Z5:Z7,$A$4),"")</f>
        <v>IE-RN</v>
      </c>
      <c r="AA3" s="1" t="str" cm="1">
        <f t="array" ref="AA3">IF(LEFT(INDEX(AA5:AA7,$A$4),1)&lt;&gt;"*",INDEX(AA5:AA7,$A$4),"")</f>
        <v>IE-SO</v>
      </c>
      <c r="AB3" s="1" t="str" cm="1">
        <f t="array" ref="AB3">IF(LEFT(INDEX(AB5:AB7,$A$4),1)&lt;&gt;"*",INDEX(AB5:AB7,$A$4),"")</f>
        <v>IE-CN</v>
      </c>
      <c r="AC3" s="1" t="str" cm="1">
        <f t="array" ref="AC3">IF(LEFT(INDEX(AC5:AC7,$A$4),1)&lt;&gt;"*",INDEX(AC5:AC7,$A$4),"")</f>
        <v>IE-DL</v>
      </c>
      <c r="AD3" s="1" t="str" cm="1">
        <f t="array" ref="AD3">IF(LEFT(INDEX(AD5:AD7,$A$4),1)&lt;&gt;"*",INDEX(AD5:AD7,$A$4),"")</f>
        <v>IE-MN</v>
      </c>
    </row>
    <row r="4" spans="1:30" x14ac:dyDescent="0.35">
      <c r="A4">
        <v>1</v>
      </c>
    </row>
    <row r="5" spans="1:30" x14ac:dyDescent="0.35">
      <c r="A5" t="s">
        <v>27</v>
      </c>
      <c r="C5" s="2" t="s">
        <v>28</v>
      </c>
      <c r="D5" s="2" t="s">
        <v>29</v>
      </c>
      <c r="E5" s="1" t="str">
        <f>Regions!A11</f>
        <v>IE-CW</v>
      </c>
      <c r="F5" s="1" t="str">
        <f>Regions!A16</f>
        <v>IE-D</v>
      </c>
      <c r="G5" s="1" t="str">
        <f>Regions!A19</f>
        <v>IE-KE</v>
      </c>
      <c r="H5" s="1" t="str">
        <f>Regions!A20</f>
        <v>IE-KK</v>
      </c>
      <c r="I5" s="1" t="str">
        <f>Regions!A21</f>
        <v>IE-LS</v>
      </c>
      <c r="J5" s="1" t="str">
        <f>Regions!A24</f>
        <v>IE-LD</v>
      </c>
      <c r="K5" s="1" t="str">
        <f>Regions!A25</f>
        <v>IE-LH</v>
      </c>
      <c r="L5" s="1" t="str">
        <f>Regions!A27</f>
        <v>IE-MH</v>
      </c>
      <c r="M5" s="1" t="str">
        <f>Regions!A29</f>
        <v>IE-OY</v>
      </c>
      <c r="N5" s="1" t="str">
        <f>Regions!A34</f>
        <v>IE-WH</v>
      </c>
      <c r="O5" s="1" t="str">
        <f>Regions!A35</f>
        <v>IE-WX</v>
      </c>
      <c r="P5" s="1" t="str">
        <f>Regions!A36</f>
        <v>IE-WW</v>
      </c>
      <c r="Q5" s="1" t="str">
        <f>Regions!A13</f>
        <v>IE-CE</v>
      </c>
      <c r="R5" s="1" t="str">
        <f>Regions!A14</f>
        <v>IE-CO</v>
      </c>
      <c r="S5" s="1" t="str">
        <f>Regions!A18</f>
        <v>IE-KY</v>
      </c>
      <c r="T5" s="1" t="str">
        <f>Regions!A23</f>
        <v>IE-LK</v>
      </c>
      <c r="U5" s="1" t="str">
        <f>Regions!A32</f>
        <v>IE-TA</v>
      </c>
      <c r="V5" s="1" t="str">
        <f>Regions!A33</f>
        <v>IE-WD</v>
      </c>
      <c r="W5" s="1" t="str">
        <f>Regions!A17</f>
        <v>IE-G</v>
      </c>
      <c r="X5" s="1" t="str">
        <f>Regions!A22</f>
        <v>IE-LM</v>
      </c>
      <c r="Y5" s="1" t="str">
        <f>Regions!A26</f>
        <v>IE-MO</v>
      </c>
      <c r="Z5" s="1" t="str">
        <f>Regions!A30</f>
        <v>IE-RN</v>
      </c>
      <c r="AA5" s="1" t="str">
        <f>Regions!A31</f>
        <v>IE-SO</v>
      </c>
      <c r="AB5" s="1" t="str">
        <f>Regions!A12</f>
        <v>IE-CN</v>
      </c>
      <c r="AC5" s="1" t="str">
        <f>Regions!A15</f>
        <v>IE-DL</v>
      </c>
      <c r="AD5" s="1" t="str">
        <f>Regions!A28</f>
        <v>IE-MN</v>
      </c>
    </row>
    <row r="6" spans="1:30" x14ac:dyDescent="0.35">
      <c r="A6" t="s">
        <v>30</v>
      </c>
      <c r="C6" s="1" t="str">
        <f>C5</f>
        <v>IE</v>
      </c>
      <c r="D6" s="1" t="str">
        <f>IF(LEFT(D5,1)&lt;&gt;"*","*"&amp;D5,D5)</f>
        <v>*National</v>
      </c>
      <c r="E6" s="1" t="str">
        <f t="shared" ref="E6:AD6" si="0">IF(LEFT(E5,1)&lt;&gt;"*","*"&amp;E5,E5)</f>
        <v>*IE-CW</v>
      </c>
      <c r="F6" s="1" t="str">
        <f t="shared" si="0"/>
        <v>*IE-D</v>
      </c>
      <c r="G6" s="1" t="str">
        <f t="shared" si="0"/>
        <v>*IE-KE</v>
      </c>
      <c r="H6" s="1" t="str">
        <f t="shared" si="0"/>
        <v>*IE-KK</v>
      </c>
      <c r="I6" s="1" t="str">
        <f t="shared" si="0"/>
        <v>*IE-LS</v>
      </c>
      <c r="J6" s="1" t="str">
        <f t="shared" si="0"/>
        <v>*IE-LD</v>
      </c>
      <c r="K6" s="1" t="str">
        <f t="shared" si="0"/>
        <v>*IE-LH</v>
      </c>
      <c r="L6" s="1" t="str">
        <f t="shared" si="0"/>
        <v>*IE-MH</v>
      </c>
      <c r="M6" s="1" t="str">
        <f t="shared" si="0"/>
        <v>*IE-OY</v>
      </c>
      <c r="N6" s="1" t="str">
        <f t="shared" si="0"/>
        <v>*IE-WH</v>
      </c>
      <c r="O6" s="1" t="str">
        <f t="shared" si="0"/>
        <v>*IE-WX</v>
      </c>
      <c r="P6" s="1" t="str">
        <f t="shared" si="0"/>
        <v>*IE-WW</v>
      </c>
      <c r="Q6" s="1" t="str">
        <f t="shared" si="0"/>
        <v>*IE-CE</v>
      </c>
      <c r="R6" s="1" t="str">
        <f t="shared" si="0"/>
        <v>*IE-CO</v>
      </c>
      <c r="S6" s="1" t="str">
        <f t="shared" si="0"/>
        <v>*IE-KY</v>
      </c>
      <c r="T6" s="1" t="str">
        <f t="shared" si="0"/>
        <v>*IE-LK</v>
      </c>
      <c r="U6" s="1" t="str">
        <f t="shared" si="0"/>
        <v>*IE-TA</v>
      </c>
      <c r="V6" s="1" t="str">
        <f t="shared" si="0"/>
        <v>*IE-WD</v>
      </c>
      <c r="W6" s="1" t="str">
        <f t="shared" si="0"/>
        <v>*IE-G</v>
      </c>
      <c r="X6" s="1" t="str">
        <f t="shared" si="0"/>
        <v>*IE-LM</v>
      </c>
      <c r="Y6" s="1" t="str">
        <f t="shared" si="0"/>
        <v>*IE-MO</v>
      </c>
      <c r="Z6" s="1" t="str">
        <f t="shared" si="0"/>
        <v>*IE-RN</v>
      </c>
      <c r="AA6" s="1" t="str">
        <f t="shared" si="0"/>
        <v>*IE-SO</v>
      </c>
      <c r="AB6" s="1" t="str">
        <f t="shared" si="0"/>
        <v>*IE-CN</v>
      </c>
      <c r="AC6" s="1" t="str">
        <f t="shared" si="0"/>
        <v>*IE-DL</v>
      </c>
      <c r="AD6" s="1" t="str">
        <f t="shared" si="0"/>
        <v>*IE-MN</v>
      </c>
    </row>
    <row r="7" spans="1:30" x14ac:dyDescent="0.35">
      <c r="A7" t="s">
        <v>31</v>
      </c>
      <c r="C7" s="1" t="str">
        <f>"*"&amp;C5</f>
        <v>*IE</v>
      </c>
      <c r="D7" s="1" t="str">
        <f>D5</f>
        <v>National</v>
      </c>
      <c r="E7" s="1" t="str">
        <f t="shared" ref="E7:AD7" si="1">E5</f>
        <v>IE-CW</v>
      </c>
      <c r="F7" s="1" t="str">
        <f t="shared" si="1"/>
        <v>IE-D</v>
      </c>
      <c r="G7" s="1" t="str">
        <f t="shared" si="1"/>
        <v>IE-KE</v>
      </c>
      <c r="H7" s="1" t="str">
        <f t="shared" si="1"/>
        <v>IE-KK</v>
      </c>
      <c r="I7" s="1" t="str">
        <f t="shared" si="1"/>
        <v>IE-LS</v>
      </c>
      <c r="J7" s="1" t="str">
        <f t="shared" si="1"/>
        <v>IE-LD</v>
      </c>
      <c r="K7" s="1" t="str">
        <f t="shared" si="1"/>
        <v>IE-LH</v>
      </c>
      <c r="L7" s="1" t="str">
        <f t="shared" si="1"/>
        <v>IE-MH</v>
      </c>
      <c r="M7" s="1" t="str">
        <f t="shared" si="1"/>
        <v>IE-OY</v>
      </c>
      <c r="N7" s="1" t="str">
        <f t="shared" si="1"/>
        <v>IE-WH</v>
      </c>
      <c r="O7" s="1" t="str">
        <f t="shared" si="1"/>
        <v>IE-WX</v>
      </c>
      <c r="P7" s="1" t="str">
        <f t="shared" si="1"/>
        <v>IE-WW</v>
      </c>
      <c r="Q7" s="1" t="str">
        <f t="shared" si="1"/>
        <v>IE-CE</v>
      </c>
      <c r="R7" s="1" t="str">
        <f t="shared" si="1"/>
        <v>IE-CO</v>
      </c>
      <c r="S7" s="1" t="str">
        <f t="shared" si="1"/>
        <v>IE-KY</v>
      </c>
      <c r="T7" s="1" t="str">
        <f t="shared" si="1"/>
        <v>IE-LK</v>
      </c>
      <c r="U7" s="1" t="str">
        <f t="shared" si="1"/>
        <v>IE-TA</v>
      </c>
      <c r="V7" s="1" t="str">
        <f t="shared" si="1"/>
        <v>IE-WD</v>
      </c>
      <c r="W7" s="1" t="str">
        <f t="shared" si="1"/>
        <v>IE-G</v>
      </c>
      <c r="X7" s="1" t="str">
        <f t="shared" si="1"/>
        <v>IE-LM</v>
      </c>
      <c r="Y7" s="1" t="str">
        <f t="shared" si="1"/>
        <v>IE-MO</v>
      </c>
      <c r="Z7" s="1" t="str">
        <f t="shared" si="1"/>
        <v>IE-RN</v>
      </c>
      <c r="AA7" s="1" t="str">
        <f t="shared" si="1"/>
        <v>IE-SO</v>
      </c>
      <c r="AB7" s="1" t="str">
        <f t="shared" si="1"/>
        <v>IE-CN</v>
      </c>
      <c r="AC7" s="1" t="str">
        <f t="shared" si="1"/>
        <v>IE-DL</v>
      </c>
      <c r="AD7" s="1" t="str">
        <f t="shared" si="1"/>
        <v>IE-MN</v>
      </c>
    </row>
    <row r="10" spans="1:30" ht="15" thickBot="1" x14ac:dyDescent="0.4">
      <c r="A10" s="3" t="s">
        <v>32</v>
      </c>
      <c r="B10" s="3" t="s">
        <v>33</v>
      </c>
    </row>
    <row r="11" spans="1:30" x14ac:dyDescent="0.35">
      <c r="A11" s="4" t="s">
        <v>34</v>
      </c>
      <c r="B11" s="4" t="s">
        <v>26</v>
      </c>
    </row>
    <row r="12" spans="1:30" x14ac:dyDescent="0.35">
      <c r="A12" s="5" t="s">
        <v>35</v>
      </c>
      <c r="B12" s="5" t="s">
        <v>25</v>
      </c>
    </row>
    <row r="13" spans="1:30" x14ac:dyDescent="0.35">
      <c r="A13" s="5" t="s">
        <v>36</v>
      </c>
      <c r="B13" s="5" t="s">
        <v>24</v>
      </c>
    </row>
    <row r="14" spans="1:30" x14ac:dyDescent="0.35">
      <c r="A14" s="5" t="s">
        <v>37</v>
      </c>
      <c r="B14" s="5" t="s">
        <v>23</v>
      </c>
    </row>
    <row r="15" spans="1:30" x14ac:dyDescent="0.35">
      <c r="A15" s="5" t="s">
        <v>38</v>
      </c>
      <c r="B15" s="5" t="s">
        <v>22</v>
      </c>
    </row>
    <row r="16" spans="1:30" x14ac:dyDescent="0.35">
      <c r="A16" s="5" t="s">
        <v>39</v>
      </c>
      <c r="B16" s="5" t="s">
        <v>21</v>
      </c>
    </row>
    <row r="17" spans="1:2" x14ac:dyDescent="0.35">
      <c r="A17" s="5" t="s">
        <v>40</v>
      </c>
      <c r="B17" s="5" t="s">
        <v>20</v>
      </c>
    </row>
    <row r="18" spans="1:2" x14ac:dyDescent="0.35">
      <c r="A18" s="5" t="s">
        <v>41</v>
      </c>
      <c r="B18" s="5" t="s">
        <v>19</v>
      </c>
    </row>
    <row r="19" spans="1:2" x14ac:dyDescent="0.35">
      <c r="A19" s="5" t="s">
        <v>42</v>
      </c>
      <c r="B19" s="5" t="s">
        <v>18</v>
      </c>
    </row>
    <row r="20" spans="1:2" x14ac:dyDescent="0.35">
      <c r="A20" s="5" t="s">
        <v>43</v>
      </c>
      <c r="B20" s="5" t="s">
        <v>17</v>
      </c>
    </row>
    <row r="21" spans="1:2" x14ac:dyDescent="0.35">
      <c r="A21" s="5" t="s">
        <v>44</v>
      </c>
      <c r="B21" s="5" t="s">
        <v>16</v>
      </c>
    </row>
    <row r="22" spans="1:2" x14ac:dyDescent="0.35">
      <c r="A22" s="5" t="s">
        <v>45</v>
      </c>
      <c r="B22" s="5" t="s">
        <v>15</v>
      </c>
    </row>
    <row r="23" spans="1:2" x14ac:dyDescent="0.35">
      <c r="A23" s="5" t="s">
        <v>46</v>
      </c>
      <c r="B23" s="5" t="s">
        <v>14</v>
      </c>
    </row>
    <row r="24" spans="1:2" x14ac:dyDescent="0.35">
      <c r="A24" s="5" t="s">
        <v>47</v>
      </c>
      <c r="B24" s="5" t="s">
        <v>13</v>
      </c>
    </row>
    <row r="25" spans="1:2" x14ac:dyDescent="0.35">
      <c r="A25" s="5" t="s">
        <v>48</v>
      </c>
      <c r="B25" s="5" t="s">
        <v>12</v>
      </c>
    </row>
    <row r="26" spans="1:2" x14ac:dyDescent="0.35">
      <c r="A26" s="5" t="s">
        <v>49</v>
      </c>
      <c r="B26" s="5" t="s">
        <v>11</v>
      </c>
    </row>
    <row r="27" spans="1:2" x14ac:dyDescent="0.35">
      <c r="A27" s="5" t="s">
        <v>50</v>
      </c>
      <c r="B27" s="5" t="s">
        <v>10</v>
      </c>
    </row>
    <row r="28" spans="1:2" x14ac:dyDescent="0.35">
      <c r="A28" s="5" t="s">
        <v>51</v>
      </c>
      <c r="B28" s="5" t="s">
        <v>9</v>
      </c>
    </row>
    <row r="29" spans="1:2" x14ac:dyDescent="0.35">
      <c r="A29" s="5" t="s">
        <v>52</v>
      </c>
      <c r="B29" s="5" t="s">
        <v>8</v>
      </c>
    </row>
    <row r="30" spans="1:2" x14ac:dyDescent="0.35">
      <c r="A30" s="5" t="s">
        <v>53</v>
      </c>
      <c r="B30" s="5" t="s">
        <v>7</v>
      </c>
    </row>
    <row r="31" spans="1:2" x14ac:dyDescent="0.35">
      <c r="A31" s="5" t="s">
        <v>54</v>
      </c>
      <c r="B31" s="5" t="s">
        <v>6</v>
      </c>
    </row>
    <row r="32" spans="1:2" x14ac:dyDescent="0.35">
      <c r="A32" s="5" t="s">
        <v>55</v>
      </c>
      <c r="B32" s="5" t="s">
        <v>5</v>
      </c>
    </row>
    <row r="33" spans="1:2" x14ac:dyDescent="0.35">
      <c r="A33" s="5" t="s">
        <v>56</v>
      </c>
      <c r="B33" s="5" t="s">
        <v>4</v>
      </c>
    </row>
    <row r="34" spans="1:2" x14ac:dyDescent="0.35">
      <c r="A34" s="5" t="s">
        <v>57</v>
      </c>
      <c r="B34" s="5" t="s">
        <v>3</v>
      </c>
    </row>
    <row r="35" spans="1:2" x14ac:dyDescent="0.35">
      <c r="A35" s="5" t="s">
        <v>58</v>
      </c>
      <c r="B35" s="5" t="s">
        <v>2</v>
      </c>
    </row>
    <row r="36" spans="1:2" x14ac:dyDescent="0.35">
      <c r="A36" s="5" t="s">
        <v>59</v>
      </c>
      <c r="B36" s="5" t="s">
        <v>1</v>
      </c>
    </row>
    <row r="37" spans="1:2" x14ac:dyDescent="0.35">
      <c r="A37" s="6" t="s">
        <v>60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Drop Down 1">
              <controlPr defaultSize="0" autoLine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1</xdr:col>
                    <xdr:colOff>25400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6151D-CBC7-469C-AD9B-B324E874F696}">
  <dimension ref="B2:G20"/>
  <sheetViews>
    <sheetView workbookViewId="0">
      <selection activeCell="B4" sqref="B4"/>
    </sheetView>
  </sheetViews>
  <sheetFormatPr defaultRowHeight="14.5" x14ac:dyDescent="0.35"/>
  <sheetData>
    <row r="2" spans="2:7" x14ac:dyDescent="0.35">
      <c r="B2" t="s">
        <v>111</v>
      </c>
    </row>
    <row r="3" spans="2:7" x14ac:dyDescent="0.35">
      <c r="B3">
        <v>1</v>
      </c>
      <c r="F3" t="s">
        <v>110</v>
      </c>
      <c r="G3" t="s">
        <v>109</v>
      </c>
    </row>
    <row r="4" spans="2:7" x14ac:dyDescent="0.35">
      <c r="F4">
        <v>1</v>
      </c>
      <c r="G4" s="35">
        <v>0</v>
      </c>
    </row>
    <row r="5" spans="2:7" x14ac:dyDescent="0.35">
      <c r="F5">
        <v>2</v>
      </c>
      <c r="G5" s="35">
        <v>2.5000000000000001E-2</v>
      </c>
    </row>
    <row r="6" spans="2:7" x14ac:dyDescent="0.35">
      <c r="F6">
        <v>3</v>
      </c>
      <c r="G6" s="35">
        <v>0.05</v>
      </c>
    </row>
    <row r="7" spans="2:7" x14ac:dyDescent="0.35">
      <c r="F7">
        <v>4</v>
      </c>
      <c r="G7" s="35">
        <v>7.4999999999999997E-2</v>
      </c>
    </row>
    <row r="8" spans="2:7" x14ac:dyDescent="0.35">
      <c r="F8">
        <v>5</v>
      </c>
      <c r="G8" s="35">
        <v>0.1</v>
      </c>
    </row>
    <row r="9" spans="2:7" x14ac:dyDescent="0.35">
      <c r="F9">
        <v>6</v>
      </c>
      <c r="G9" s="35">
        <v>0.125</v>
      </c>
    </row>
    <row r="10" spans="2:7" x14ac:dyDescent="0.35">
      <c r="F10">
        <v>7</v>
      </c>
      <c r="G10" s="35">
        <v>0.15</v>
      </c>
    </row>
    <row r="11" spans="2:7" x14ac:dyDescent="0.35">
      <c r="F11">
        <v>8</v>
      </c>
      <c r="G11" s="35">
        <v>0.17499999999999999</v>
      </c>
    </row>
    <row r="12" spans="2:7" x14ac:dyDescent="0.35">
      <c r="F12">
        <v>9</v>
      </c>
      <c r="G12" s="35">
        <v>0.2</v>
      </c>
    </row>
    <row r="13" spans="2:7" x14ac:dyDescent="0.35">
      <c r="F13">
        <v>10</v>
      </c>
      <c r="G13" s="35">
        <v>0.22500000000000001</v>
      </c>
    </row>
    <row r="14" spans="2:7" x14ac:dyDescent="0.35">
      <c r="F14">
        <v>11</v>
      </c>
      <c r="G14" s="35">
        <v>0.25</v>
      </c>
    </row>
    <row r="15" spans="2:7" x14ac:dyDescent="0.35">
      <c r="F15">
        <v>12</v>
      </c>
      <c r="G15" s="35">
        <v>0.27500000000000002</v>
      </c>
    </row>
    <row r="16" spans="2:7" x14ac:dyDescent="0.35">
      <c r="F16">
        <v>13</v>
      </c>
      <c r="G16" s="35">
        <v>0.3</v>
      </c>
    </row>
    <row r="17" spans="7:7" x14ac:dyDescent="0.35">
      <c r="G17" s="35"/>
    </row>
    <row r="18" spans="7:7" x14ac:dyDescent="0.35">
      <c r="G18" s="35"/>
    </row>
    <row r="19" spans="7:7" x14ac:dyDescent="0.35">
      <c r="G19" s="35"/>
    </row>
    <row r="20" spans="7:7" x14ac:dyDescent="0.35">
      <c r="G20" s="3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941A8-04BF-45E8-9F60-D4E07475AB4A}">
  <sheetPr codeName="Sheet1"/>
  <dimension ref="B4:F14"/>
  <sheetViews>
    <sheetView workbookViewId="0">
      <selection activeCell="D9" sqref="D9:F9"/>
    </sheetView>
  </sheetViews>
  <sheetFormatPr defaultColWidth="9.08984375" defaultRowHeight="14.5" x14ac:dyDescent="0.35"/>
  <cols>
    <col min="2" max="2" width="14" bestFit="1" customWidth="1"/>
    <col min="3" max="3" width="30.08984375" bestFit="1" customWidth="1"/>
    <col min="4" max="4" width="28" bestFit="1" customWidth="1"/>
    <col min="5" max="5" width="26" bestFit="1" customWidth="1"/>
    <col min="6" max="6" width="28" bestFit="1" customWidth="1"/>
    <col min="13" max="13" width="10.54296875" bestFit="1" customWidth="1"/>
    <col min="14" max="14" width="12" bestFit="1" customWidth="1"/>
  </cols>
  <sheetData>
    <row r="4" spans="2:6" x14ac:dyDescent="0.35">
      <c r="B4" t="s">
        <v>61</v>
      </c>
      <c r="C4" t="str">
        <f xml:space="preserve"> _xlfn.TEXTJOIN("_",TRUE,"UC","CB",ROUND(C7,0),"Mt",C6)</f>
        <v>UC_CB_128_Mt_2021-2025</v>
      </c>
      <c r="D4" t="str">
        <f t="shared" ref="D4:E4" si="0" xml:space="preserve"> _xlfn.TEXTJOIN("_",TRUE,"UC","CB",ROUND(D7,0),"Mt",D6)</f>
        <v>UC_CB_87_Mt_2026-2030</v>
      </c>
      <c r="E4" t="str">
        <f t="shared" si="0"/>
        <v>UC_CB_85_Mt_2031-2050</v>
      </c>
      <c r="F4" t="str">
        <f t="shared" ref="F4" si="1" xml:space="preserve"> _xlfn.TEXTJOIN("_",TRUE,"UC","CB",ROUND(F7,0),"Mt",F6)</f>
        <v>UC_CB_0_Mt_2051-2100</v>
      </c>
    </row>
    <row r="5" spans="2:6" x14ac:dyDescent="0.35">
      <c r="B5" t="s">
        <v>68</v>
      </c>
      <c r="C5" t="str">
        <f xml:space="preserve"> _xlfn.TEXTJOIN(" ",TRUE,"Carbon budget",ROUND(C7,0),"Mt",C6)</f>
        <v>Carbon budget 128 Mt 2021-2025</v>
      </c>
      <c r="D5" t="str">
        <f t="shared" ref="D5:F5" si="2" xml:space="preserve"> _xlfn.TEXTJOIN(" ",TRUE,"Carbon budget",ROUND(D7,0),"Mt",D6)</f>
        <v>Carbon budget 87 Mt 2026-2030</v>
      </c>
      <c r="E5" t="str">
        <f t="shared" si="2"/>
        <v>Carbon budget 85 Mt 2031-2050</v>
      </c>
      <c r="F5" t="str">
        <f t="shared" si="2"/>
        <v>Carbon budget 0 Mt 2051-2100</v>
      </c>
    </row>
    <row r="6" spans="2:6" x14ac:dyDescent="0.35">
      <c r="B6" t="s">
        <v>74</v>
      </c>
      <c r="C6" t="s">
        <v>104</v>
      </c>
      <c r="D6" t="s">
        <v>105</v>
      </c>
      <c r="E6" t="s">
        <v>106</v>
      </c>
      <c r="F6" t="s">
        <v>83</v>
      </c>
    </row>
    <row r="7" spans="2:6" x14ac:dyDescent="0.35">
      <c r="B7" t="s">
        <v>69</v>
      </c>
      <c r="C7" s="37">
        <v>127.734375</v>
      </c>
      <c r="D7" s="37">
        <v>87.109375</v>
      </c>
      <c r="E7" s="37">
        <v>85.15625</v>
      </c>
      <c r="F7" s="36">
        <v>0</v>
      </c>
    </row>
    <row r="8" spans="2:6" x14ac:dyDescent="0.35">
      <c r="B8" t="s">
        <v>81</v>
      </c>
      <c r="C8" t="s">
        <v>82</v>
      </c>
      <c r="D8" t="s">
        <v>82</v>
      </c>
      <c r="E8" t="s">
        <v>82</v>
      </c>
      <c r="F8" t="s">
        <v>82</v>
      </c>
    </row>
    <row r="9" spans="2:6" x14ac:dyDescent="0.35">
      <c r="B9" t="s">
        <v>62</v>
      </c>
      <c r="C9" t="s">
        <v>113</v>
      </c>
      <c r="D9" t="s">
        <v>113</v>
      </c>
      <c r="E9" t="s">
        <v>113</v>
      </c>
      <c r="F9" t="s">
        <v>113</v>
      </c>
    </row>
    <row r="10" spans="2:6" x14ac:dyDescent="0.35">
      <c r="B10" t="s">
        <v>73</v>
      </c>
      <c r="C10" t="s">
        <v>79</v>
      </c>
      <c r="D10" t="s">
        <v>79</v>
      </c>
      <c r="E10" t="s">
        <v>79</v>
      </c>
      <c r="F10" t="s">
        <v>79</v>
      </c>
    </row>
    <row r="11" spans="2:6" x14ac:dyDescent="0.35">
      <c r="B11" t="s">
        <v>77</v>
      </c>
      <c r="C11" t="s">
        <v>78</v>
      </c>
      <c r="D11" t="s">
        <v>78</v>
      </c>
      <c r="E11" t="s">
        <v>78</v>
      </c>
      <c r="F11" t="s">
        <v>78</v>
      </c>
    </row>
    <row r="12" spans="2:6" x14ac:dyDescent="0.35">
      <c r="B12" t="s">
        <v>0</v>
      </c>
      <c r="C12" t="s">
        <v>70</v>
      </c>
      <c r="D12" t="s">
        <v>70</v>
      </c>
      <c r="E12" t="s">
        <v>70</v>
      </c>
      <c r="F12" t="s">
        <v>70</v>
      </c>
    </row>
    <row r="13" spans="2:6" x14ac:dyDescent="0.35">
      <c r="B13" t="s">
        <v>80</v>
      </c>
      <c r="C13">
        <v>-1</v>
      </c>
      <c r="D13">
        <v>-1</v>
      </c>
      <c r="E13">
        <v>-1</v>
      </c>
      <c r="F13">
        <v>-1</v>
      </c>
    </row>
    <row r="14" spans="2:6" x14ac:dyDescent="0.35">
      <c r="B14" t="s">
        <v>76</v>
      </c>
      <c r="C14">
        <v>1</v>
      </c>
      <c r="D14">
        <v>1</v>
      </c>
      <c r="E14">
        <v>1</v>
      </c>
      <c r="F14">
        <v>1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18C9B-7F0A-410C-BCB5-F22D93E1F454}">
  <sheetPr codeName="Sheet2"/>
  <dimension ref="A1:P15"/>
  <sheetViews>
    <sheetView topLeftCell="B1" workbookViewId="0">
      <selection activeCell="B11" sqref="A11:XFD11"/>
    </sheetView>
  </sheetViews>
  <sheetFormatPr defaultColWidth="9.08984375" defaultRowHeight="14.5" x14ac:dyDescent="0.35"/>
  <cols>
    <col min="2" max="2" width="28.54296875" bestFit="1" customWidth="1"/>
    <col min="3" max="3" width="12" bestFit="1" customWidth="1"/>
    <col min="4" max="4" width="8.453125" bestFit="1" customWidth="1"/>
    <col min="5" max="5" width="14.453125" bestFit="1" customWidth="1"/>
    <col min="6" max="6" width="9.36328125" bestFit="1" customWidth="1"/>
    <col min="7" max="7" width="13.453125" bestFit="1" customWidth="1"/>
    <col min="8" max="8" width="8.453125" bestFit="1" customWidth="1"/>
    <col min="9" max="9" width="12.54296875" bestFit="1" customWidth="1"/>
    <col min="10" max="10" width="12.08984375" bestFit="1" customWidth="1"/>
    <col min="11" max="11" width="9.453125" bestFit="1" customWidth="1"/>
    <col min="12" max="12" width="34.36328125" bestFit="1" customWidth="1"/>
    <col min="16" max="16" width="10" customWidth="1"/>
  </cols>
  <sheetData>
    <row r="1" spans="1:16" x14ac:dyDescent="0.35">
      <c r="A1" t="s">
        <v>64</v>
      </c>
    </row>
    <row r="2" spans="1:16" x14ac:dyDescent="0.35">
      <c r="B2" s="9" t="str">
        <f>"~UC_Sets: R_E: "  &amp; _xlfn.TEXTJOIN(",",TRUE,Regions!C3)</f>
        <v>~UC_Sets: R_E: IE</v>
      </c>
    </row>
    <row r="3" spans="1:16" x14ac:dyDescent="0.35">
      <c r="B3" s="9" t="s">
        <v>75</v>
      </c>
    </row>
    <row r="4" spans="1:16" x14ac:dyDescent="0.35">
      <c r="H4" t="str">
        <f>IF(RIGHT(B2,1)&lt;&gt;" ","~UC_T","")</f>
        <v>~UC_T</v>
      </c>
    </row>
    <row r="5" spans="1:16" x14ac:dyDescent="0.35">
      <c r="B5" s="10" t="s">
        <v>61</v>
      </c>
      <c r="C5" s="11" t="s">
        <v>62</v>
      </c>
      <c r="D5" s="11" t="s">
        <v>73</v>
      </c>
      <c r="E5" s="11" t="s">
        <v>81</v>
      </c>
      <c r="F5" s="11" t="s">
        <v>74</v>
      </c>
      <c r="G5" s="11" t="s">
        <v>77</v>
      </c>
      <c r="H5" s="11" t="s">
        <v>0</v>
      </c>
      <c r="I5" s="12" t="s">
        <v>76</v>
      </c>
      <c r="J5" s="12" t="s">
        <v>80</v>
      </c>
      <c r="K5" s="8" t="s">
        <v>65</v>
      </c>
      <c r="L5" s="10" t="s">
        <v>63</v>
      </c>
    </row>
    <row r="6" spans="1:16" x14ac:dyDescent="0.35">
      <c r="B6" s="7" t="s">
        <v>71</v>
      </c>
      <c r="C6" s="7"/>
      <c r="D6" s="7"/>
      <c r="E6" s="7"/>
      <c r="F6" s="7"/>
      <c r="G6" s="7"/>
      <c r="H6" s="7"/>
      <c r="I6" s="7"/>
      <c r="J6" s="7"/>
      <c r="K6" s="7" t="s">
        <v>72</v>
      </c>
      <c r="L6" s="13"/>
      <c r="N6" s="33" t="s">
        <v>108</v>
      </c>
    </row>
    <row r="7" spans="1:16" x14ac:dyDescent="0.35">
      <c r="B7" t="str">
        <f>VLOOKUP($B$5, config!$B$4:$F$14,2,FALSE) &amp; "_Single"</f>
        <v>UC_CB_128_Mt_2021-2025_Single</v>
      </c>
      <c r="C7" t="str">
        <f>VLOOKUP(C$5, config!$B$4:$F$14,2,FALSE)</f>
        <v>TOTCO2</v>
      </c>
      <c r="D7" t="str">
        <f>VLOOKUP(D$5, config!$B$4:$F$14,2,FALSE)</f>
        <v>ENV</v>
      </c>
      <c r="F7" t="str">
        <f>VLOOKUP(F$5, config!$B$4:$F$14,2,FALSE)</f>
        <v>2021-2025</v>
      </c>
      <c r="G7" t="str">
        <f>VLOOKUP(G$5, config!$B$4:$F$14,2,FALSE)</f>
        <v>NET</v>
      </c>
      <c r="H7" t="str">
        <f>VLOOKUP(H$5, config!$B$4:$F$14,2,FALSE)</f>
        <v>UP</v>
      </c>
      <c r="I7">
        <f>VLOOKUP(I$5, config!$B$4:$F$14,2,FALSE)</f>
        <v>1</v>
      </c>
      <c r="K7" s="17">
        <f>N7*(1+VLOOKUP(Overshoot!$B$3,Overshoot!$F$3:$G$25,2,FALSE))</f>
        <v>127734.375</v>
      </c>
      <c r="L7" t="str">
        <f>VLOOKUP($L$5, config!$B$4:$F$14,2,FALSE) &amp; " - Single"</f>
        <v>Carbon budget 128 Mt 2021-2025 - Single</v>
      </c>
      <c r="N7" s="17">
        <f>config!C7*1000</f>
        <v>127734.375</v>
      </c>
      <c r="P7" s="38"/>
    </row>
    <row r="8" spans="1:16" x14ac:dyDescent="0.35">
      <c r="B8" t="str">
        <f>VLOOKUP($B$5, config!$B$4:$F$14,3,FALSE) &amp; "_Single"</f>
        <v>UC_CB_87_Mt_2026-2030_Single</v>
      </c>
      <c r="C8" t="str">
        <f>VLOOKUP(C$5, config!$B$4:$F$14,3,FALSE)</f>
        <v>TOTCO2</v>
      </c>
      <c r="D8" t="str">
        <f>VLOOKUP(D$5, config!$B$4:$F$14,3,FALSE)</f>
        <v>ENV</v>
      </c>
      <c r="F8" t="str">
        <f>VLOOKUP(F$5, config!$B$4:$F$14,3,FALSE)</f>
        <v>2026-2030</v>
      </c>
      <c r="G8" t="str">
        <f>VLOOKUP(G$5, config!$B$4:$F$14,3,FALSE)</f>
        <v>NET</v>
      </c>
      <c r="H8" t="str">
        <f>VLOOKUP(H$5, config!$B$4:$F$14,3,FALSE)</f>
        <v>UP</v>
      </c>
      <c r="I8">
        <f>VLOOKUP(I$5, config!$B$4:$F$14,3,FALSE)</f>
        <v>1</v>
      </c>
      <c r="K8" s="17">
        <f>N8*(1+VLOOKUP(Overshoot!$B$3,Overshoot!$F$3:$G$25,2,FALSE))</f>
        <v>87109.375</v>
      </c>
      <c r="L8" t="str">
        <f>VLOOKUP($L$5, config!$B$4:$F$14,3,FALSE) &amp; " - Single"</f>
        <v>Carbon budget 87 Mt 2026-2030 - Single</v>
      </c>
      <c r="N8" s="17">
        <f>config!D7*1000</f>
        <v>87109.375</v>
      </c>
      <c r="P8" s="38"/>
    </row>
    <row r="9" spans="1:16" x14ac:dyDescent="0.35">
      <c r="B9" t="str">
        <f>VLOOKUP($B$5, config!$B$4:$F$14,4,FALSE) &amp; "_Single"</f>
        <v>UC_CB_85_Mt_2031-2050_Single</v>
      </c>
      <c r="C9" t="str">
        <f>VLOOKUP(C$5, config!$B$4:$F$14,4,FALSE)</f>
        <v>TOTCO2</v>
      </c>
      <c r="D9" t="str">
        <f>VLOOKUP(D$5, config!$B$4:$F$14,4,FALSE)</f>
        <v>ENV</v>
      </c>
      <c r="F9" t="str">
        <f>VLOOKUP(F$5, config!$B$4:$F$14,4,FALSE)</f>
        <v>2031-2050</v>
      </c>
      <c r="G9" t="str">
        <f>VLOOKUP(G$5, config!$B$4:$F$14,4,FALSE)</f>
        <v>NET</v>
      </c>
      <c r="H9" t="str">
        <f>VLOOKUP(H$5, config!$B$4:$F$14,4,FALSE)</f>
        <v>UP</v>
      </c>
      <c r="I9">
        <f>VLOOKUP(I$5, config!$B$4:$F$14,4,FALSE)</f>
        <v>1</v>
      </c>
      <c r="K9" s="17">
        <f>SUM(N7:N10)-K7-K8</f>
        <v>85156.25</v>
      </c>
      <c r="L9" t="str">
        <f>VLOOKUP($L$5, config!$B$4:$F$14,4,FALSE) &amp; " - Single"</f>
        <v>Carbon budget 85 Mt 2031-2050 - Single</v>
      </c>
      <c r="N9" s="17">
        <f>config!E7*1000</f>
        <v>85156.25</v>
      </c>
      <c r="P9" s="38"/>
    </row>
    <row r="10" spans="1:16" x14ac:dyDescent="0.35">
      <c r="B10" t="str">
        <f>VLOOKUP($B$5, config!$B$4:$F$14,5,FALSE) &amp; "_Single"</f>
        <v>UC_CB_0_Mt_2051-2100_Single</v>
      </c>
      <c r="C10" t="str">
        <f>VLOOKUP(C$5, config!$B$4:$F$14,5,FALSE)</f>
        <v>TOTCO2</v>
      </c>
      <c r="D10" t="str">
        <f>VLOOKUP(D$5, config!$B$4:$F$14,5,FALSE)</f>
        <v>ENV</v>
      </c>
      <c r="F10" t="str">
        <f>VLOOKUP(F$5, config!$B$4:$F$14,5,FALSE)</f>
        <v>2051-2100</v>
      </c>
      <c r="G10" t="str">
        <f>VLOOKUP(G$5, config!$B$4:$F$14,5,FALSE)</f>
        <v>NET</v>
      </c>
      <c r="H10" t="str">
        <f>VLOOKUP(H$5, config!$B$4:$F$14,5,FALSE)</f>
        <v>UP</v>
      </c>
      <c r="I10">
        <f>VLOOKUP(I$5, config!$B$4:$F$14,5,FALSE)</f>
        <v>1</v>
      </c>
      <c r="K10" s="17">
        <f>VLOOKUP("Value", config!$B$4:$F$14,5,FALSE)*1000</f>
        <v>0</v>
      </c>
      <c r="L10" t="str">
        <f>VLOOKUP($L$5, config!$B$4:$F$14,5,FALSE) &amp; " - Single"</f>
        <v>Carbon budget 0 Mt 2051-2100 - Single</v>
      </c>
      <c r="N10" s="17">
        <v>0</v>
      </c>
      <c r="P10" s="38"/>
    </row>
    <row r="13" spans="1:16" x14ac:dyDescent="0.35">
      <c r="K13" s="34"/>
    </row>
    <row r="14" spans="1:16" x14ac:dyDescent="0.35">
      <c r="K14" s="34"/>
    </row>
    <row r="15" spans="1:16" x14ac:dyDescent="0.35">
      <c r="K15" s="34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C2971-91FC-4261-B0BB-58C7F43C1746}">
  <sheetPr codeName="Sheet3"/>
  <dimension ref="A1:L10"/>
  <sheetViews>
    <sheetView tabSelected="1" zoomScale="90" zoomScaleNormal="90" workbookViewId="0">
      <selection activeCell="L14" sqref="L14"/>
    </sheetView>
  </sheetViews>
  <sheetFormatPr defaultColWidth="9.08984375" defaultRowHeight="14.5" x14ac:dyDescent="0.35"/>
  <cols>
    <col min="2" max="2" width="34.6328125" customWidth="1"/>
    <col min="3" max="3" width="12" bestFit="1" customWidth="1"/>
    <col min="4" max="4" width="8.453125" bestFit="1" customWidth="1"/>
    <col min="5" max="5" width="14.453125" bestFit="1" customWidth="1"/>
    <col min="6" max="6" width="9.36328125" bestFit="1" customWidth="1"/>
    <col min="7" max="7" width="13.453125" bestFit="1" customWidth="1"/>
    <col min="8" max="8" width="8.453125" bestFit="1" customWidth="1"/>
    <col min="9" max="9" width="12.54296875" bestFit="1" customWidth="1"/>
    <col min="10" max="10" width="12.08984375" bestFit="1" customWidth="1"/>
    <col min="11" max="11" width="8.453125" bestFit="1" customWidth="1"/>
    <col min="12" max="12" width="33.90625" bestFit="1" customWidth="1"/>
  </cols>
  <sheetData>
    <row r="1" spans="1:12" x14ac:dyDescent="0.35">
      <c r="A1" t="s">
        <v>66</v>
      </c>
    </row>
    <row r="2" spans="1:12" x14ac:dyDescent="0.35">
      <c r="B2" s="9" t="str">
        <f>"~UC_Sets: R_S: " &amp; _xlfn.TEXTJOIN(",",TRUE,Regions!D3:AD3)</f>
        <v>~UC_Sets: R_S: National,IE-CW,IE-D,IE-KE,IE-KK,IE-LS,IE-LD,IE-LH,IE-MH,IE-OY,IE-WH,IE-WX,IE-WW,IE-CE,IE-CO,IE-KY,IE-LK,IE-TA,IE-WD,IE-G,IE-LM,IE-MO,IE-RN,IE-SO,IE-CN,IE-DL,IE-MN</v>
      </c>
    </row>
    <row r="3" spans="1:12" x14ac:dyDescent="0.35">
      <c r="B3" s="9" t="s">
        <v>75</v>
      </c>
    </row>
    <row r="4" spans="1:12" x14ac:dyDescent="0.35">
      <c r="H4" t="str">
        <f>IF(RIGHT(B2,1)&lt;&gt;" ","~UC_T","")</f>
        <v>~UC_T</v>
      </c>
    </row>
    <row r="5" spans="1:12" x14ac:dyDescent="0.35">
      <c r="B5" s="10" t="s">
        <v>61</v>
      </c>
      <c r="C5" s="11" t="s">
        <v>62</v>
      </c>
      <c r="D5" s="11" t="s">
        <v>73</v>
      </c>
      <c r="E5" s="11" t="s">
        <v>81</v>
      </c>
      <c r="F5" s="11" t="s">
        <v>74</v>
      </c>
      <c r="G5" s="11" t="s">
        <v>77</v>
      </c>
      <c r="H5" s="11" t="s">
        <v>0</v>
      </c>
      <c r="I5" s="12" t="s">
        <v>76</v>
      </c>
      <c r="J5" s="12" t="s">
        <v>80</v>
      </c>
      <c r="K5" s="8" t="s">
        <v>67</v>
      </c>
      <c r="L5" s="10" t="s">
        <v>63</v>
      </c>
    </row>
    <row r="6" spans="1:12" x14ac:dyDescent="0.35">
      <c r="B6" s="7" t="s">
        <v>71</v>
      </c>
      <c r="C6" s="7"/>
      <c r="D6" s="7"/>
      <c r="E6" s="7"/>
      <c r="F6" s="7"/>
      <c r="G6" s="7"/>
      <c r="H6" s="7"/>
      <c r="I6" s="7"/>
      <c r="J6" s="7"/>
      <c r="K6" s="7" t="s">
        <v>72</v>
      </c>
      <c r="L6" s="7"/>
    </row>
    <row r="7" spans="1:12" x14ac:dyDescent="0.35">
      <c r="B7" t="str">
        <f>VLOOKUP(B$5, config!$B$4:$F$14,2,FALSE) &amp; "_Multi"</f>
        <v>UC_CB_128_Mt_2021-2025_Multi</v>
      </c>
      <c r="C7" t="str">
        <f>VLOOKUP(C$5, config!$B$4:$F$14,2,FALSE)</f>
        <v>TOTCO2</v>
      </c>
      <c r="D7" t="str">
        <f>VLOOKUP(D$5, config!$B$4:$F$14,2,FALSE)</f>
        <v>ENV</v>
      </c>
      <c r="F7" t="str">
        <f>VLOOKUP(F$5, config!$B$4:$F$14,2,FALSE)</f>
        <v>2021-2025</v>
      </c>
      <c r="G7" t="str">
        <f>VLOOKUP(G$5, config!$B$4:$F$14,2,FALSE)</f>
        <v>NET</v>
      </c>
      <c r="H7" t="str">
        <f>VLOOKUP(H$5, config!$B$4:$F$14,2,FALSE)</f>
        <v>UP</v>
      </c>
      <c r="I7">
        <f>VLOOKUP(I$5, config!$B$4:$F$14,2,FALSE)</f>
        <v>1</v>
      </c>
      <c r="K7" s="17">
        <f>single!K7</f>
        <v>127734.375</v>
      </c>
      <c r="L7" t="str">
        <f>VLOOKUP(L$5, config!$B$4:$F$14,2,FALSE) &amp; " - Multi"</f>
        <v>Carbon budget 128 Mt 2021-2025 - Multi</v>
      </c>
    </row>
    <row r="8" spans="1:12" x14ac:dyDescent="0.35">
      <c r="B8" t="str">
        <f>VLOOKUP(B$5, config!$B$4:$F$14,3,FALSE) &amp; "_Multi"</f>
        <v>UC_CB_87_Mt_2026-2030_Multi</v>
      </c>
      <c r="C8" t="str">
        <f>VLOOKUP(C$5, config!$B$4:$F$14,3,FALSE)</f>
        <v>TOTCO2</v>
      </c>
      <c r="D8" t="str">
        <f>VLOOKUP(D$5, config!$B$4:$F$14,3,FALSE)</f>
        <v>ENV</v>
      </c>
      <c r="F8" t="str">
        <f>VLOOKUP(F$5, config!$B$4:$F$14,3,FALSE)</f>
        <v>2026-2030</v>
      </c>
      <c r="G8" t="str">
        <f>VLOOKUP(G$5, config!$B$4:$F$14,3,FALSE)</f>
        <v>NET</v>
      </c>
      <c r="H8" t="str">
        <f>VLOOKUP(H$5, config!$B$4:$F$14,3,FALSE)</f>
        <v>UP</v>
      </c>
      <c r="I8">
        <f>VLOOKUP(I$5, config!$B$4:$F$14,3,FALSE)</f>
        <v>1</v>
      </c>
      <c r="K8" s="17">
        <f>single!K8</f>
        <v>87109.375</v>
      </c>
      <c r="L8" t="str">
        <f>VLOOKUP(L$5, config!$B$4:$F$14,3,FALSE) &amp; " - Multi"</f>
        <v>Carbon budget 87 Mt 2026-2030 - Multi</v>
      </c>
    </row>
    <row r="9" spans="1:12" x14ac:dyDescent="0.35">
      <c r="B9" t="str">
        <f>VLOOKUP(B$5, config!$B$4:$F$14,4,FALSE) &amp; "_Multi"</f>
        <v>UC_CB_85_Mt_2031-2050_Multi</v>
      </c>
      <c r="C9" t="str">
        <f>VLOOKUP(C$5, config!$B$4:$F$14,4,FALSE)</f>
        <v>TOTCO2</v>
      </c>
      <c r="D9" t="str">
        <f>VLOOKUP(D$5, config!$B$4:$F$14,4,FALSE)</f>
        <v>ENV</v>
      </c>
      <c r="F9" t="str">
        <f>VLOOKUP(F$5, config!$B$4:$F$14,4,FALSE)</f>
        <v>2031-2050</v>
      </c>
      <c r="G9" t="str">
        <f>VLOOKUP(G$5, config!$B$4:$F$14,4,FALSE)</f>
        <v>NET</v>
      </c>
      <c r="H9" t="str">
        <f>VLOOKUP(H$5, config!$B$4:$F$14,4,FALSE)</f>
        <v>UP</v>
      </c>
      <c r="I9">
        <f>VLOOKUP(I$5, config!$B$4:$F$14,4,FALSE)</f>
        <v>1</v>
      </c>
      <c r="K9" s="17">
        <f>single!K9</f>
        <v>85156.25</v>
      </c>
      <c r="L9" t="str">
        <f>VLOOKUP(L$5, config!$B$4:$F$14,4,FALSE) &amp; " - Multi"</f>
        <v>Carbon budget 85 Mt 2031-2050 - Multi</v>
      </c>
    </row>
    <row r="10" spans="1:12" x14ac:dyDescent="0.35">
      <c r="B10" t="str">
        <f>VLOOKUP(B$5, config!$B$4:$F$14,5,FALSE) &amp; "_Multi"</f>
        <v>UC_CB_0_Mt_2051-2100_Multi</v>
      </c>
      <c r="C10" t="str">
        <f>VLOOKUP(C$5, config!$B$4:$F$14,5,FALSE)</f>
        <v>TOTCO2</v>
      </c>
      <c r="D10" t="str">
        <f>VLOOKUP(D$5, config!$B$4:$F$14,5,FALSE)</f>
        <v>ENV</v>
      </c>
      <c r="F10" t="str">
        <f>VLOOKUP(F$5, config!$B$4:$F$14,5,FALSE)</f>
        <v>2051-2100</v>
      </c>
      <c r="G10" t="str">
        <f>VLOOKUP(G$5, config!$B$4:$F$14,5,FALSE)</f>
        <v>NET</v>
      </c>
      <c r="H10" t="str">
        <f>VLOOKUP(H$5, config!$B$4:$F$14,5,FALSE)</f>
        <v>UP</v>
      </c>
      <c r="I10">
        <f>VLOOKUP(I$5, config!$B$4:$F$14,5,FALSE)</f>
        <v>1</v>
      </c>
      <c r="K10">
        <f>single!K10</f>
        <v>0</v>
      </c>
      <c r="L10" t="str">
        <f>VLOOKUP(L$5, config!$B$4:$F$14,5,FALSE) &amp; " - Multi"</f>
        <v>Carbon budget 0 Mt 2051-2100 - Multi</v>
      </c>
    </row>
  </sheetData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14F01-B0DB-448B-9217-DEB90E2D1CCA}">
  <sheetPr codeName="Sheet4"/>
  <dimension ref="B2:H4"/>
  <sheetViews>
    <sheetView workbookViewId="0">
      <selection activeCell="L29" sqref="L29"/>
    </sheetView>
  </sheetViews>
  <sheetFormatPr defaultRowHeight="14.5" x14ac:dyDescent="0.35"/>
  <cols>
    <col min="2" max="2" width="10.08984375" bestFit="1" customWidth="1"/>
    <col min="4" max="4" width="13.6328125" bestFit="1" customWidth="1"/>
    <col min="5" max="5" width="5.08984375" bestFit="1" customWidth="1"/>
    <col min="6" max="6" width="10.08984375" bestFit="1" customWidth="1"/>
  </cols>
  <sheetData>
    <row r="2" spans="2:8" x14ac:dyDescent="0.35">
      <c r="B2" s="14" t="s">
        <v>84</v>
      </c>
    </row>
    <row r="3" spans="2:8" ht="15" thickBot="1" x14ac:dyDescent="0.4">
      <c r="B3" s="15" t="s">
        <v>85</v>
      </c>
      <c r="C3" s="15" t="s">
        <v>0</v>
      </c>
      <c r="D3" s="15" t="s">
        <v>86</v>
      </c>
      <c r="E3" s="15" t="s">
        <v>74</v>
      </c>
      <c r="F3" s="15" t="s">
        <v>62</v>
      </c>
      <c r="G3" s="16" t="str">
        <f>Regions!C3</f>
        <v>IE</v>
      </c>
      <c r="H3" s="16" t="str">
        <f>Regions!D3</f>
        <v>National</v>
      </c>
    </row>
    <row r="4" spans="2:8" x14ac:dyDescent="0.35">
      <c r="C4" s="8" t="s">
        <v>87</v>
      </c>
      <c r="D4" t="s">
        <v>88</v>
      </c>
      <c r="E4">
        <v>0</v>
      </c>
      <c r="F4" t="s">
        <v>89</v>
      </c>
      <c r="G4" s="17">
        <v>-1</v>
      </c>
      <c r="H4" s="17">
        <f>G4</f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Regions</vt:lpstr>
      <vt:lpstr>Overshoot</vt:lpstr>
      <vt:lpstr>config</vt:lpstr>
      <vt:lpstr>single</vt:lpstr>
      <vt:lpstr>multi</vt:lpstr>
      <vt:lpstr>negative_CO2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Neha Jaggeshar</cp:lastModifiedBy>
  <dcterms:created xsi:type="dcterms:W3CDTF">2009-05-27T15:40:55Z</dcterms:created>
  <dcterms:modified xsi:type="dcterms:W3CDTF">2026-02-05T09:19:15Z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369634509086608</vt:r8>
  </property>
</Properties>
</file>