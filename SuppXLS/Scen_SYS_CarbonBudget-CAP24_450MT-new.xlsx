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60526\tim-leaf 060526\SuppXLS\"/>
    </mc:Choice>
  </mc:AlternateContent>
  <xr:revisionPtr revIDLastSave="0" documentId="13_ncr:1_{E0C195B3-A087-4D62-A1CA-3548FC5A8EC5}" xr6:coauthVersionLast="47" xr6:coauthVersionMax="47" xr10:uidLastSave="{00000000-0000-0000-0000-000000000000}"/>
  <bookViews>
    <workbookView xWindow="15120" yWindow="-16310" windowWidth="29020" windowHeight="15700" activeTab="3" xr2:uid="{00000000-000D-0000-FFFF-FFFF00000000}"/>
  </bookViews>
  <sheets>
    <sheet name="Cover" sheetId="24" r:id="rId1"/>
    <sheet name="Regions" sheetId="15" r:id="rId2"/>
    <sheet name="config" sheetId="20" r:id="rId3"/>
    <sheet name="single" sheetId="21" r:id="rId4"/>
    <sheet name="multi" sheetId="22" r:id="rId5"/>
    <sheet name="negative_CO2" sheetId="23" r:id="rId6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0" l="1"/>
  <c r="D24" i="20"/>
  <c r="F24" i="20" s="1"/>
  <c r="E7" i="20" s="1"/>
  <c r="C7" i="20"/>
  <c r="D7" i="20" l="1"/>
  <c r="D4" i="20"/>
  <c r="K11" i="21"/>
  <c r="J14" i="22"/>
  <c r="F14" i="22"/>
  <c r="E14" i="22"/>
  <c r="D14" i="22"/>
  <c r="C14" i="22"/>
  <c r="L13" i="22"/>
  <c r="K13" i="22"/>
  <c r="I13" i="22"/>
  <c r="H13" i="22"/>
  <c r="G13" i="22"/>
  <c r="F13" i="22"/>
  <c r="D13" i="22"/>
  <c r="C13" i="22"/>
  <c r="B13" i="22"/>
  <c r="J12" i="22"/>
  <c r="F12" i="22"/>
  <c r="E12" i="22"/>
  <c r="D12" i="22"/>
  <c r="C12" i="22"/>
  <c r="I11" i="22"/>
  <c r="H11" i="22"/>
  <c r="G11" i="22"/>
  <c r="F11" i="22"/>
  <c r="D11" i="22"/>
  <c r="C11" i="22"/>
  <c r="J10" i="22"/>
  <c r="F10" i="22"/>
  <c r="E10" i="22"/>
  <c r="D10" i="22"/>
  <c r="C10" i="22"/>
  <c r="K9" i="22"/>
  <c r="I9" i="22"/>
  <c r="H9" i="22"/>
  <c r="G9" i="22"/>
  <c r="F9" i="22"/>
  <c r="D9" i="22"/>
  <c r="C9" i="22"/>
  <c r="J8" i="22"/>
  <c r="F8" i="22"/>
  <c r="E8" i="22"/>
  <c r="D8" i="22"/>
  <c r="C8" i="22"/>
  <c r="K7" i="22"/>
  <c r="I7" i="22"/>
  <c r="H7" i="22"/>
  <c r="G7" i="22"/>
  <c r="F7" i="22"/>
  <c r="D7" i="22"/>
  <c r="C7" i="22"/>
  <c r="J14" i="21"/>
  <c r="F14" i="21"/>
  <c r="E14" i="21"/>
  <c r="D14" i="21"/>
  <c r="C14" i="21"/>
  <c r="L13" i="21"/>
  <c r="K13" i="21"/>
  <c r="I13" i="21"/>
  <c r="H13" i="21"/>
  <c r="G13" i="21"/>
  <c r="F13" i="21"/>
  <c r="D13" i="21"/>
  <c r="C13" i="21"/>
  <c r="B13" i="21"/>
  <c r="J12" i="21"/>
  <c r="F12" i="21"/>
  <c r="E12" i="21"/>
  <c r="D12" i="21"/>
  <c r="C12" i="21"/>
  <c r="I11" i="21"/>
  <c r="H11" i="21"/>
  <c r="G11" i="21"/>
  <c r="F11" i="21"/>
  <c r="D11" i="21"/>
  <c r="C11" i="21"/>
  <c r="J10" i="21"/>
  <c r="F10" i="21"/>
  <c r="E10" i="21"/>
  <c r="D10" i="21"/>
  <c r="C10" i="21"/>
  <c r="K9" i="21"/>
  <c r="I9" i="21"/>
  <c r="H9" i="21"/>
  <c r="G9" i="21"/>
  <c r="F9" i="21"/>
  <c r="D9" i="21"/>
  <c r="C9" i="21"/>
  <c r="J8" i="21"/>
  <c r="F8" i="21"/>
  <c r="E8" i="21"/>
  <c r="D8" i="21"/>
  <c r="C8" i="21"/>
  <c r="K7" i="21"/>
  <c r="I7" i="21"/>
  <c r="H7" i="21"/>
  <c r="G7" i="21"/>
  <c r="F7" i="21"/>
  <c r="D7" i="21"/>
  <c r="C7" i="21"/>
  <c r="F4" i="20"/>
  <c r="F5" i="20"/>
  <c r="D5" i="20"/>
  <c r="L9" i="22" s="1"/>
  <c r="E5" i="20"/>
  <c r="L11" i="21" s="1"/>
  <c r="C5" i="20"/>
  <c r="L7" i="21" s="1"/>
  <c r="C4" i="20"/>
  <c r="B7" i="21" s="1"/>
  <c r="B9" i="22" l="1"/>
  <c r="B9" i="21"/>
  <c r="E4" i="20"/>
  <c r="K11" i="22"/>
  <c r="L11" i="22"/>
  <c r="L9" i="21"/>
  <c r="L7" i="22"/>
  <c r="B7" i="22"/>
  <c r="H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 s="1"/>
  <c r="V7" i="15"/>
  <c r="U7" i="15"/>
  <c r="T7" i="15"/>
  <c r="S7" i="15"/>
  <c r="R6" i="15"/>
  <c r="P6" i="15"/>
  <c r="O3" i="15" a="1"/>
  <c r="O3" i="15" s="1"/>
  <c r="N7" i="15"/>
  <c r="M7" i="15"/>
  <c r="L7" i="15"/>
  <c r="K7" i="15"/>
  <c r="J6" i="15"/>
  <c r="H6" i="15"/>
  <c r="G3" i="15" a="1"/>
  <c r="G3" i="15" s="1"/>
  <c r="F7" i="15"/>
  <c r="E7" i="15"/>
  <c r="AD3" i="15" a="1"/>
  <c r="AD3" i="15" s="1"/>
  <c r="AB3" i="15" a="1"/>
  <c r="AB3" i="15" s="1"/>
  <c r="AA3" i="15" a="1"/>
  <c r="AA3" i="15" s="1"/>
  <c r="X3" i="15" a="1"/>
  <c r="X3" i="15" s="1"/>
  <c r="V3" i="15" a="1"/>
  <c r="V3" i="15" s="1"/>
  <c r="Q3" i="15" a="1"/>
  <c r="Q3" i="15" s="1"/>
  <c r="P3" i="15" a="1"/>
  <c r="P3" i="15" s="1"/>
  <c r="H3" i="15" a="1"/>
  <c r="H3" i="15" s="1"/>
  <c r="D3" i="15" a="1"/>
  <c r="D3" i="15" s="1"/>
  <c r="C3" i="15" a="1"/>
  <c r="C3" i="15" s="1"/>
  <c r="I3" i="15" a="1"/>
  <c r="I3" i="15" s="1"/>
  <c r="Y3" i="15" a="1"/>
  <c r="Y3" i="15" s="1"/>
  <c r="J3" i="15" a="1"/>
  <c r="J3" i="15" s="1"/>
  <c r="K3" i="15" a="1"/>
  <c r="K3" i="15" s="1"/>
  <c r="T3" i="15" a="1"/>
  <c r="T3" i="15" s="1"/>
  <c r="E3" i="15" a="1"/>
  <c r="E3" i="15" s="1"/>
  <c r="N3" i="15" a="1"/>
  <c r="N3" i="15" s="1"/>
  <c r="R3" i="15" a="1"/>
  <c r="R3" i="15" s="1"/>
  <c r="S3" i="15" a="1"/>
  <c r="S3" i="15"/>
  <c r="F3" i="15" a="1"/>
  <c r="F3" i="15" s="1"/>
  <c r="Z3" i="15" a="1"/>
  <c r="Z3" i="15"/>
  <c r="I6" i="15"/>
  <c r="K6" i="15"/>
  <c r="Q6" i="15"/>
  <c r="S6" i="15"/>
  <c r="Y6" i="15"/>
  <c r="AA6" i="15"/>
  <c r="L3" i="15" a="1"/>
  <c r="L3" i="15"/>
  <c r="M3" i="15" a="1"/>
  <c r="M3" i="15" s="1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  <c r="G3" i="23" l="1"/>
  <c r="B2" i="21"/>
  <c r="H4" i="21" s="1"/>
  <c r="B2" i="22"/>
  <c r="H4" i="22" s="1"/>
  <c r="H3" i="23"/>
  <c r="B11" i="22"/>
  <c r="B11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<sst xmlns="http://schemas.openxmlformats.org/spreadsheetml/2006/main" count="189" uniqueCount="123">
  <si>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</si>
  <si>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</si>
  <si>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</si>
  <si>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</si>
  <si>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</si>
  <si>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</si>
  <si>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</si>
  <si>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</si>
  <si>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</si>
  <si>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</si>
  <si>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</si>
  <si>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</si>
  <si>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</si>
  <si>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</si>
  <si>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</si>
  <si>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</si>
  <si>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</si>
  <si>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</si>
  <si>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</si>
  <si>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</si>
  <si>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</si>
  <si>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</si>
  <si>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</si>
  <si>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</si>
  <si>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</si>
  <si>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</si>
  <si>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</si>
  <si>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</si>
  <si>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</si>
  <si>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</si>
  <si>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</si>
  <si>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</si>
  <si>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</si>
  <si>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</si>
  <si>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</si>
  <si>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</si>
  <si>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</si>
  <si>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</si>
  <si>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</si>
  <si>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</si>
  <si>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</si>
  <si>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</si>
  <si>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</si>
  <si>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</si>
  <si>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</si>
  <si>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</si>
  <si>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</si>
  <si>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</si>
  <si>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</si>
  <si>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</si>
  <si>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</si>
  <si>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</si>
  <si>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</si>
  <si>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</si>
  <si>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</si>
  <si>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</si>
  <si>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</si>
  <si>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</si>
  <si>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</si>
  <si>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</si>
  <si>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</si>
  <si>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</si>
  <si>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</si>
  <si>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</si>
  <si>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</si>
  <si>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</si>
  <si>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 - All Regions/Each Period</t>
  </si>
  <si>
    <t>UC_RHS</t>
  </si>
  <si>
    <t>UC_desc</t>
  </si>
  <si>
    <t>Value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</si>
  <si>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</si>
  <si>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</si>
  <si>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</si>
  <si>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</si>
  <si>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</si>
  <si>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</si>
  <si>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</si>
  <si>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</si>
  <si>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</si>
  <si>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</si>
  <si>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UC_CUMFLO</t>
  </si>
  <si>
    <t>Pset_PN</t>
  </si>
  <si>
    <t>T-A*INT*,T-NAV*</t>
  </si>
  <si>
    <t>2051-2100</t>
  </si>
  <si>
    <t>~TFM_INS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</si>
  <si>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</si>
  <si>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</si>
  <si>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</si>
  <si>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</si>
  <si>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</si>
  <si>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</si>
  <si>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</si>
  <si>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</si>
  <si>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</si>
  <si>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</si>
  <si>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</si>
  <si>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</si>
  <si>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</si>
  <si>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</si>
  <si>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</si>
  <si>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</si>
  <si>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</si>
  <si>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</si>
  <si>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Olexandr Balyk (UCC, olexandr.balyk@ucc.ie)</t>
  </si>
  <si>
    <t>Scenario</t>
  </si>
  <si>
    <t>2021-2025</t>
  </si>
  <si>
    <t>2026-2030</t>
  </si>
  <si>
    <t>2031-2050</t>
  </si>
  <si>
    <t>Specify a carbon budget</t>
  </si>
  <si>
    <t>Original values</t>
  </si>
  <si>
    <t>Ireland's CB (million tonne)</t>
  </si>
  <si>
    <t>Reference: Climate Action Plan 2024</t>
  </si>
  <si>
    <t>\I:</t>
  </si>
  <si>
    <t>TOTCO2</t>
  </si>
  <si>
    <t>AllRegions</t>
  </si>
  <si>
    <t>Pset_Set</t>
  </si>
  <si>
    <t>LO</t>
  </si>
  <si>
    <t>PWRCO2N,INDCO2N,TOTCO2</t>
  </si>
  <si>
    <t>TFM_INS</t>
  </si>
  <si>
    <t>COM_CUMNET</t>
  </si>
  <si>
    <t>UC_Sets: T_S:</t>
  </si>
  <si>
    <t>2021-2030</t>
  </si>
  <si>
    <t>2021-2050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</si>
</sst>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0.0"/>
    <numFmt numFmtId="165" formatCode="&quot;$&quot;#,##0_);\(&quot;$&quot;#,##0\)"/>
    <numFmt numFmtId="166" formatCode="_-* #,##0.00\ _€_-;\-* #,##0.00\ _€_-;_-* &quot;-&quot;??\ _€_-;_-@_-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#,##0;\-\ #,##0;_-\ &quot;- &quot;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General_)"/>
    <numFmt numFmtId="177" formatCode="_-[$€]* #,##0.00_-;\-[$€]* #,##0.00_-;_-[$€]* &quot;-&quot;??_-;_-@_-"/>
  </numFmts>
  <fonts count="52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1793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0" fontId="18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4" fontId="39" fillId="32" borderId="4">
      <alignment horizontal="right" vertical="center"/>
    </xf>
    <xf numFmtId="4" fontId="39" fillId="32" borderId="4">
      <alignment horizontal="right" vertical="center"/>
    </xf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40" fillId="0" borderId="8">
      <alignment horizontal="left" vertical="center" wrapText="1" indent="2"/>
    </xf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4" fontId="40" fillId="0" borderId="0" applyBorder="0">
      <alignment horizontal="right" vertical="center"/>
    </xf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166" fontId="2" fillId="0" borderId="0" applyFont="0" applyFill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167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40" fillId="0" borderId="4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0" fontId="2" fillId="36" borderId="0" applyNumberFormat="0" applyFont="0" applyBorder="0" applyAlignment="0" applyProtection="0"/>
    <xf numFmtId="0" fontId="20" fillId="0" borderId="0"/>
    <xf numFmtId="0" fontId="21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3" fillId="33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" fillId="0" borderId="0"/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1" fillId="37" borderId="4" applyNumberFormat="0" applyProtection="0">
      <alignment horizontal="right"/>
    </xf>
    <xf numFmtId="0" fontId="38" fillId="37" borderId="0" applyNumberFormat="0" applyBorder="0" applyProtection="0">
      <alignment horizontal="left"/>
    </xf>
    <xf numFmtId="0" fontId="1" fillId="37" borderId="4" applyNumberFormat="0" applyProtection="0">
      <alignment horizontal="lef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36" fillId="3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169" fontId="3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4" fontId="40" fillId="0" borderId="0"/>
    <xf numFmtId="0" fontId="50" fillId="0" borderId="0" applyNumberFormat="0" applyFill="0" applyBorder="0" applyAlignment="0" applyProtection="0">
      <alignment vertical="center"/>
    </xf>
    <xf numFmtId="0" fontId="6" fillId="0" borderId="0"/>
    <xf numFmtId="0" fontId="2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3" fillId="5" borderId="0" xfId="0" applyFont="1" applyFill="1"/>
    <xf numFmtId="0" fontId="18" fillId="0" borderId="0" xfId="3"/>
    <xf numFmtId="0" fontId="2" fillId="0" borderId="0" xfId="3" applyFont="1"/>
    <xf numFmtId="0" fontId="51" fillId="0" borderId="0" xfId="1792" applyFont="1" applyAlignment="1">
      <alignment horizontal="left" vertical="center"/>
    </xf>
    <xf numFmtId="0" fontId="17" fillId="39" borderId="21" xfId="1057" applyFont="1" applyFill="1" applyBorder="1" applyAlignment="1">
      <alignment vertical="center"/>
    </xf>
    <xf numFmtId="3" fontId="18" fillId="0" borderId="0" xfId="3" applyNumberFormat="1"/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</cellXfs>
  <cellStyles count="1793">
    <cellStyle name="20% - Accent1 2" xfId="4" xr:uid="{EC20F1A7-EAB6-4AF7-B12F-C83CB66D1C43}"/>
    <cellStyle name="20% - Accent1 2 10" xfId="5" xr:uid="{0AA1C8F4-B181-4D14-A44A-1CB316CECB47}"/>
    <cellStyle name="20% - Accent1 2 11" xfId="6" xr:uid="{5C40E15E-BF88-416E-A267-11D1EE226B4C}"/>
    <cellStyle name="20% - Accent1 2 12" xfId="7" xr:uid="{D5C9839D-293D-4A57-BF2A-2F725F4605D0}"/>
    <cellStyle name="20% - Accent1 2 13" xfId="8" xr:uid="{975FD905-DB78-47A2-AA90-421879DF74D9}"/>
    <cellStyle name="20% - Accent1 2 14" xfId="9" xr:uid="{995FF430-834D-4343-B679-61DD26ABA65C}"/>
    <cellStyle name="20% - Accent1 2 15" xfId="10" xr:uid="{8E943AC2-C22B-4A59-9312-90FA6AD826B8}"/>
    <cellStyle name="20% - Accent1 2 2" xfId="11" xr:uid="{AC881513-AF6C-470B-84DE-18C79970DB4A}"/>
    <cellStyle name="20% - Accent1 2 3" xfId="12" xr:uid="{14260C7D-1B1F-4649-AA07-B3ED052F7D99}"/>
    <cellStyle name="20% - Accent1 2 4" xfId="13" xr:uid="{B4C8CAF9-A1B8-4187-831E-C912CF156800}"/>
    <cellStyle name="20% - Accent1 2 5" xfId="14" xr:uid="{4DBD8CC7-249B-441E-9D64-D20693AB0DE1}"/>
    <cellStyle name="20% - Accent1 2 6" xfId="15" xr:uid="{42612865-9AA3-4EE0-BE92-8737EF59DA8E}"/>
    <cellStyle name="20% - Accent1 2 7" xfId="16" xr:uid="{08C0B8A4-76FA-4A40-8AC5-28888772EC08}"/>
    <cellStyle name="20% - Accent1 2 8" xfId="17" xr:uid="{822BAED1-0F1D-4187-983E-BEF5859CAF3E}"/>
    <cellStyle name="20% - Accent1 2 9" xfId="18" xr:uid="{0AA9B6DE-165E-4251-AEFA-04C200A1E9AE}"/>
    <cellStyle name="20% - Accent1 3" xfId="19" xr:uid="{AA77BC46-C567-4714-BB7A-9A4E5D67AE80}"/>
    <cellStyle name="20% - Accent1 4" xfId="20" xr:uid="{2287581A-2B2C-46D6-B611-365737124B60}"/>
    <cellStyle name="20% - Accent1 5" xfId="21" xr:uid="{BF3497AE-42EC-419A-8D48-B9ED3B8D592E}"/>
    <cellStyle name="20% - Accent1 6" xfId="22" xr:uid="{F64D6913-9D4A-4F3C-8F78-A9519F5FED6A}"/>
    <cellStyle name="20% - Accent1 7" xfId="23" xr:uid="{BA35EC8A-DBB6-48DE-8F84-ABDD31C0F1E5}"/>
    <cellStyle name="20% - Accent1 8" xfId="24" xr:uid="{5DF848CD-A737-4C32-8124-26C784F796C5}"/>
    <cellStyle name="20% - Accent2 2" xfId="25" xr:uid="{37DEF53E-94E8-411E-9DB1-EA0F422BA91E}"/>
    <cellStyle name="20% - Accent2 2 10" xfId="26" xr:uid="{632DBE25-ADB6-4918-BB9D-50D29061670B}"/>
    <cellStyle name="20% - Accent2 2 11" xfId="27" xr:uid="{DE968ABF-374C-4408-9CE8-980B1B037B96}"/>
    <cellStyle name="20% - Accent2 2 12" xfId="28" xr:uid="{414B9C0F-F6F5-4D6D-ABA6-A2ED711EEA65}"/>
    <cellStyle name="20% - Accent2 2 13" xfId="29" xr:uid="{5BED4BAE-7CAC-4386-A862-CFB40D54D77E}"/>
    <cellStyle name="20% - Accent2 2 14" xfId="30" xr:uid="{0EA331FD-C8D1-492A-A129-BEB1CB772010}"/>
    <cellStyle name="20% - Accent2 2 15" xfId="31" xr:uid="{0EB8D471-60E1-40A3-AF9F-963F956D64E7}"/>
    <cellStyle name="20% - Accent2 2 2" xfId="32" xr:uid="{977581C3-A799-422E-8A5B-E9E28A134B2F}"/>
    <cellStyle name="20% - Accent2 2 3" xfId="33" xr:uid="{AD8116F7-D971-40D7-80C0-87DFF57AD0B2}"/>
    <cellStyle name="20% - Accent2 2 4" xfId="34" xr:uid="{8612ECBC-A612-4BC6-A99C-0180656692CB}"/>
    <cellStyle name="20% - Accent2 2 5" xfId="35" xr:uid="{58E49C3D-69D4-4CA9-AFDC-7700D9DF1D85}"/>
    <cellStyle name="20% - Accent2 2 6" xfId="36" xr:uid="{66D96CDC-42B0-487E-A024-C8E6C05627B6}"/>
    <cellStyle name="20% - Accent2 2 7" xfId="37" xr:uid="{5E3FD9CD-2700-4308-B041-4BA64CDA2E02}"/>
    <cellStyle name="20% - Accent2 2 8" xfId="38" xr:uid="{D7CD6FE2-EFCA-4ACA-B9E2-53B37A399A56}"/>
    <cellStyle name="20% - Accent2 2 9" xfId="39" xr:uid="{7B0C1A00-4879-45C1-BE06-4F452FFAFC89}"/>
    <cellStyle name="20% - Accent2 3" xfId="40" xr:uid="{2CF2F6DA-667F-421A-83BC-6CA694B777E7}"/>
    <cellStyle name="20% - Accent2 4" xfId="41" xr:uid="{13F05C23-33E1-40B2-A0B2-E96AD8B2EEAD}"/>
    <cellStyle name="20% - Accent2 5" xfId="42" xr:uid="{FF44AC1C-A363-419E-9A38-80D39917C2DC}"/>
    <cellStyle name="20% - Accent2 6" xfId="43" xr:uid="{AA29EFE7-F7FA-47FA-A8FD-25FEAA029B6C}"/>
    <cellStyle name="20% - Accent2 7" xfId="44" xr:uid="{DDC385AF-231F-42F5-931A-4E69872A9A1C}"/>
    <cellStyle name="20% - Accent2 8" xfId="45" xr:uid="{DE5D4384-B229-4019-9DF1-B69F3667AE5E}"/>
    <cellStyle name="20% - Accent3 2" xfId="46" xr:uid="{35183D38-354A-4587-B33B-12DE35AD5AFD}"/>
    <cellStyle name="20% - Accent3 2 10" xfId="47" xr:uid="{70903912-B919-4086-834E-317DB80DF63B}"/>
    <cellStyle name="20% - Accent3 2 11" xfId="48" xr:uid="{722229B2-D500-476C-B5BE-5376B32F4C17}"/>
    <cellStyle name="20% - Accent3 2 12" xfId="49" xr:uid="{927EF569-4E9D-4974-A34C-650CBEDF0A2F}"/>
    <cellStyle name="20% - Accent3 2 13" xfId="50" xr:uid="{39ECAA23-65A3-474A-9304-F8ACCE33C0D2}"/>
    <cellStyle name="20% - Accent3 2 14" xfId="51" xr:uid="{61AAAF97-ECC0-4648-92B1-8457321B1A5F}"/>
    <cellStyle name="20% - Accent3 2 15" xfId="52" xr:uid="{A3B65556-186C-438F-9002-34F1166E0E92}"/>
    <cellStyle name="20% - Accent3 2 2" xfId="53" xr:uid="{09635AE2-3B69-4E9A-89AD-1FCECA00E0FD}"/>
    <cellStyle name="20% - Accent3 2 3" xfId="54" xr:uid="{A7C6AABC-3DE7-42EB-AC09-7E8DB2A52426}"/>
    <cellStyle name="20% - Accent3 2 4" xfId="55" xr:uid="{70796600-736C-4D94-B139-3272A0AB6042}"/>
    <cellStyle name="20% - Accent3 2 5" xfId="56" xr:uid="{4771D40E-8866-4D4A-8ACC-746A8A007BEB}"/>
    <cellStyle name="20% - Accent3 2 6" xfId="57" xr:uid="{22F37AE5-59AB-4E76-B2DF-4F3199678493}"/>
    <cellStyle name="20% - Accent3 2 7" xfId="58" xr:uid="{70D01A26-6DC6-43D8-A0E8-0D09FB8AC48A}"/>
    <cellStyle name="20% - Accent3 2 8" xfId="59" xr:uid="{34D28044-E16C-4028-BE0A-2B52048412B7}"/>
    <cellStyle name="20% - Accent3 2 9" xfId="60" xr:uid="{D7D52D22-15EC-493E-9BE4-334C217C16FE}"/>
    <cellStyle name="20% - Accent3 3" xfId="61" xr:uid="{B99BB8B5-D637-47CE-B838-75056603C8B8}"/>
    <cellStyle name="20% - Accent3 4" xfId="62" xr:uid="{19B24712-F77B-466D-8FFF-E84CB6C8C7CC}"/>
    <cellStyle name="20% - Accent3 5" xfId="63" xr:uid="{E532E493-E831-4DC8-A38D-5F7F2626ADBE}"/>
    <cellStyle name="20% - Accent3 6" xfId="64" xr:uid="{FD070DD4-2FE9-4D3A-B79E-46F3CA163949}"/>
    <cellStyle name="20% - Accent3 7" xfId="65" xr:uid="{49DFCB8E-25C9-476D-9994-213575E672FF}"/>
    <cellStyle name="20% - Accent3 8" xfId="66" xr:uid="{64D9AE5C-1CD5-4B05-B83D-B0DDF438F52D}"/>
    <cellStyle name="20% - Accent4 2" xfId="67" xr:uid="{7FBD3FEB-2E0C-4E97-A36E-8853A14BBE4D}"/>
    <cellStyle name="20% - Accent4 2 10" xfId="68" xr:uid="{2990035D-370F-4BFE-BF13-8B5497158DCC}"/>
    <cellStyle name="20% - Accent4 2 11" xfId="69" xr:uid="{5E258B27-E3BA-44AE-A5BF-667E080FFC7E}"/>
    <cellStyle name="20% - Accent4 2 12" xfId="70" xr:uid="{8E345C3D-DEF7-49D8-A065-AB32F51596E0}"/>
    <cellStyle name="20% - Accent4 2 13" xfId="71" xr:uid="{F1E6E8C7-EA72-4322-90EC-A2FE481FB5EB}"/>
    <cellStyle name="20% - Accent4 2 14" xfId="72" xr:uid="{8B073F4C-F2A1-4E95-BC86-4AD56D18BFA4}"/>
    <cellStyle name="20% - Accent4 2 15" xfId="73" xr:uid="{C0E6AC3C-E4CB-4D29-87CA-00F1D7762B5E}"/>
    <cellStyle name="20% - Accent4 2 2" xfId="74" xr:uid="{BC129EA4-8837-4F41-8F03-8BF899AACA55}"/>
    <cellStyle name="20% - Accent4 2 3" xfId="75" xr:uid="{DBBE3DC0-3C8F-4784-A720-9086BB68F325}"/>
    <cellStyle name="20% - Accent4 2 4" xfId="76" xr:uid="{B1AFC836-C970-434A-A40F-A6D8B013632D}"/>
    <cellStyle name="20% - Accent4 2 5" xfId="77" xr:uid="{20FAF5D1-147F-4A29-8469-84F5C453A914}"/>
    <cellStyle name="20% - Accent4 2 6" xfId="78" xr:uid="{A428DF5D-AABB-4C9B-AC98-A553A23A112F}"/>
    <cellStyle name="20% - Accent4 2 7" xfId="79" xr:uid="{14B53966-1EC5-4276-BABA-BCEDDFA6BA45}"/>
    <cellStyle name="20% - Accent4 2 8" xfId="80" xr:uid="{4DA88507-9764-4B07-96E8-A7EE26A7D4D6}"/>
    <cellStyle name="20% - Accent4 2 9" xfId="81" xr:uid="{5FCB7746-9AD8-46B2-9D5E-3EF777CF2B11}"/>
    <cellStyle name="20% - Accent4 3" xfId="82" xr:uid="{59EA3895-5B45-44CC-852E-EE4BB253537C}"/>
    <cellStyle name="20% - Accent4 4" xfId="83" xr:uid="{5B5ADC5B-006E-427B-A9C6-7A3E1D1E712B}"/>
    <cellStyle name="20% - Accent4 5" xfId="84" xr:uid="{3D4E5416-A3E8-4A1A-94B6-2115528C9AE2}"/>
    <cellStyle name="20% - Accent4 6" xfId="85" xr:uid="{143F09E8-D849-4584-AED9-96215CCACD93}"/>
    <cellStyle name="20% - Accent4 7" xfId="86" xr:uid="{529BFA25-27BB-4C33-AD37-372EFC857880}"/>
    <cellStyle name="20% - Accent4 8" xfId="87" xr:uid="{C2B245E9-A73A-44A7-B092-4C6808043917}"/>
    <cellStyle name="20% - Accent5 2" xfId="88" xr:uid="{5466B722-E104-46A6-960D-684A202B5470}"/>
    <cellStyle name="20% - Accent5 2 10" xfId="89" xr:uid="{00A2B86F-7683-47E0-A487-124D65097D6D}"/>
    <cellStyle name="20% - Accent5 2 11" xfId="90" xr:uid="{A8E4107E-FBE0-4B4E-A42D-2CEBC0013696}"/>
    <cellStyle name="20% - Accent5 2 12" xfId="91" xr:uid="{CDAA2F59-0707-4CD6-8192-102C27B371EA}"/>
    <cellStyle name="20% - Accent5 2 13" xfId="92" xr:uid="{89D4EF4A-0539-4E32-8030-1581F2DECF16}"/>
    <cellStyle name="20% - Accent5 2 14" xfId="93" xr:uid="{8E65F5A6-A8A1-47C8-8809-877142FC5A90}"/>
    <cellStyle name="20% - Accent5 2 15" xfId="94" xr:uid="{B799E444-E97F-4DBF-8811-CAFDB483903D}"/>
    <cellStyle name="20% - Accent5 2 2" xfId="95" xr:uid="{51AEA921-8E40-4CA1-A035-171363B9BC73}"/>
    <cellStyle name="20% - Accent5 2 3" xfId="96" xr:uid="{DD991494-CA98-457E-A69F-B6EEACB2063E}"/>
    <cellStyle name="20% - Accent5 2 4" xfId="97" xr:uid="{52B98BDB-29C5-4D4E-8FAE-07316C79097C}"/>
    <cellStyle name="20% - Accent5 2 5" xfId="98" xr:uid="{F7427C73-6948-42FD-93C4-05D8DAADE20F}"/>
    <cellStyle name="20% - Accent5 2 6" xfId="99" xr:uid="{B5CC8FC8-95EA-449E-AD10-8E72E1CB31B6}"/>
    <cellStyle name="20% - Accent5 2 7" xfId="100" xr:uid="{80E2D84F-7900-495E-9C7C-A178774D26D7}"/>
    <cellStyle name="20% - Accent5 2 8" xfId="101" xr:uid="{58C4AC9B-A5D7-486E-9C99-998EA3CE651D}"/>
    <cellStyle name="20% - Accent5 2 9" xfId="102" xr:uid="{39001791-6394-4F14-8671-966A859CE990}"/>
    <cellStyle name="20% - Accent5 3" xfId="103" xr:uid="{6E456DB7-299F-4B4D-8A3E-F4204C83343E}"/>
    <cellStyle name="20% - Accent5 4" xfId="104" xr:uid="{8327004C-25C5-4143-A197-2FB25D54A4B6}"/>
    <cellStyle name="20% - Accent5 5" xfId="105" xr:uid="{56DDB4E3-8342-4412-A1EE-D14536114C6B}"/>
    <cellStyle name="20% - Accent5 6" xfId="106" xr:uid="{19807907-F7FC-4BFC-9BFE-08BE34C51C37}"/>
    <cellStyle name="20% - Accent5 7" xfId="107" xr:uid="{DE62E31D-36B5-4686-9222-ED0F95D07D35}"/>
    <cellStyle name="20% - Accent5 8" xfId="108" xr:uid="{C4BD9CCE-CD94-4ABE-9920-D44E3AAB287D}"/>
    <cellStyle name="20% - Accent6 2" xfId="109" xr:uid="{2C0E51C1-208D-4735-A80D-0AD89D45A2F3}"/>
    <cellStyle name="20% - Accent6 2 10" xfId="110" xr:uid="{D501E7F8-90F5-4BB4-938C-752B86C84DFE}"/>
    <cellStyle name="20% - Accent6 2 11" xfId="111" xr:uid="{80D98E01-02C3-437E-B47E-AEA2A5CF7567}"/>
    <cellStyle name="20% - Accent6 2 12" xfId="112" xr:uid="{0DB93808-D54B-49C6-B933-C22AA1C90433}"/>
    <cellStyle name="20% - Accent6 2 13" xfId="113" xr:uid="{16492E94-F506-4BFE-9DEB-3A56A7D81FAC}"/>
    <cellStyle name="20% - Accent6 2 14" xfId="114" xr:uid="{6500FE7E-7FE9-46C8-8B9C-4B47C9F60944}"/>
    <cellStyle name="20% - Accent6 2 15" xfId="115" xr:uid="{F7805FEB-2B74-4F7C-BC61-A6BA58E7CD34}"/>
    <cellStyle name="20% - Accent6 2 2" xfId="116" xr:uid="{C5D686D2-1B3C-419B-86BE-0CE2627EE09C}"/>
    <cellStyle name="20% - Accent6 2 3" xfId="117" xr:uid="{454F5BFC-3696-410B-A6EE-8A487E9B239F}"/>
    <cellStyle name="20% - Accent6 2 4" xfId="118" xr:uid="{29E54DF2-0B99-465E-A47C-0956E34EAC13}"/>
    <cellStyle name="20% - Accent6 2 5" xfId="119" xr:uid="{1D0C6739-070E-4B24-B9B5-FC1E0E46A87A}"/>
    <cellStyle name="20% - Accent6 2 6" xfId="120" xr:uid="{F294BB4E-D240-4F3A-BFCA-5DA8FD28E2DD}"/>
    <cellStyle name="20% - Accent6 2 7" xfId="121" xr:uid="{E6ED59F1-C4FA-4E19-A811-A2D60A8E8CF7}"/>
    <cellStyle name="20% - Accent6 2 8" xfId="122" xr:uid="{8A8CD33A-63BC-4F09-BEB7-32948580D684}"/>
    <cellStyle name="20% - Accent6 2 9" xfId="123" xr:uid="{9048786E-A417-4C69-958B-CA9ED2ECAB01}"/>
    <cellStyle name="20% - Accent6 3" xfId="124" xr:uid="{009A7E04-156A-4CB1-8543-688FE44A76AD}"/>
    <cellStyle name="20% - Accent6 4" xfId="125" xr:uid="{D5E1DAE4-C14F-4F4F-97A4-EE74E14CE5C6}"/>
    <cellStyle name="20% - Accent6 5" xfId="126" xr:uid="{5C7DE030-7157-4F68-9992-E81701F3C573}"/>
    <cellStyle name="20% - Accent6 6" xfId="127" xr:uid="{06D6FA10-EF87-424E-9733-39BE6E76DF2C}"/>
    <cellStyle name="20% - Accent6 7" xfId="128" xr:uid="{A4192049-3D18-490D-B821-7E0AFCF398A6}"/>
    <cellStyle name="20% - Accent6 8" xfId="129" xr:uid="{D58F1A48-01AC-4488-9881-325259EB2599}"/>
    <cellStyle name="40% - Accent1 2" xfId="130" xr:uid="{FD6D8E1F-A44E-4F08-A855-6E74B3C80958}"/>
    <cellStyle name="40% - Accent1 2 10" xfId="131" xr:uid="{D4F6A8C0-7B81-4BBD-932A-42D25BC702B5}"/>
    <cellStyle name="40% - Accent1 2 11" xfId="132" xr:uid="{9909D467-4BB0-4AAB-8695-485888004E83}"/>
    <cellStyle name="40% - Accent1 2 12" xfId="133" xr:uid="{8631C56C-7BF1-4278-A9A5-CACC06687CC1}"/>
    <cellStyle name="40% - Accent1 2 13" xfId="134" xr:uid="{6A24BBB9-5A4D-4C99-B4A8-909DADA9BD93}"/>
    <cellStyle name="40% - Accent1 2 14" xfId="135" xr:uid="{353A7CA3-1AB5-4518-9CAC-3DBF0B8DDB29}"/>
    <cellStyle name="40% - Accent1 2 15" xfId="136" xr:uid="{A5392126-6F1C-4EF0-9902-140AB55D8C67}"/>
    <cellStyle name="40% - Accent1 2 2" xfId="137" xr:uid="{4BB5AFFB-089C-493C-B22E-9FC66E40B024}"/>
    <cellStyle name="40% - Accent1 2 3" xfId="138" xr:uid="{2657DF48-0CC9-4B09-9A51-5251FDDC08ED}"/>
    <cellStyle name="40% - Accent1 2 4" xfId="139" xr:uid="{E0428817-93CC-4F2B-8119-9FBC32CF5F1E}"/>
    <cellStyle name="40% - Accent1 2 5" xfId="140" xr:uid="{B787AF04-650E-48BD-8107-9A7E7F0C6B71}"/>
    <cellStyle name="40% - Accent1 2 6" xfId="141" xr:uid="{F92F7432-A949-463A-97E2-1C8F9386071E}"/>
    <cellStyle name="40% - Accent1 2 7" xfId="142" xr:uid="{37A4E450-0206-4CC1-96DF-5DFC7E09618A}"/>
    <cellStyle name="40% - Accent1 2 8" xfId="143" xr:uid="{7F3EE344-6281-49A3-B1B4-781FB9211AF0}"/>
    <cellStyle name="40% - Accent1 2 9" xfId="144" xr:uid="{B58D1279-79BF-42C1-983D-39C54F648771}"/>
    <cellStyle name="40% - Accent1 3" xfId="145" xr:uid="{75607F94-A0CD-415C-808B-553B24D41F01}"/>
    <cellStyle name="40% - Accent1 4" xfId="146" xr:uid="{11800335-5D35-4DAD-9FE9-060DE91D1829}"/>
    <cellStyle name="40% - Accent1 5" xfId="147" xr:uid="{5D8B5CE4-D8ED-47FC-A799-569C1B8A984A}"/>
    <cellStyle name="40% - Accent1 6" xfId="148" xr:uid="{4D98B6AD-BB0F-43F7-93EB-57B67EABB90E}"/>
    <cellStyle name="40% - Accent1 7" xfId="149" xr:uid="{161A2A4A-E3D1-4AAE-B478-080A61DC98E3}"/>
    <cellStyle name="40% - Accent1 8" xfId="150" xr:uid="{FC768CB8-DBC9-427D-9F83-59056D537D23}"/>
    <cellStyle name="40% - Accent2 2" xfId="151" xr:uid="{D9946ABF-2C63-4B30-95AF-88C07F4C39C0}"/>
    <cellStyle name="40% - Accent2 2 10" xfId="152" xr:uid="{57B0F5B0-B757-424A-BDD7-D7EACF7C201D}"/>
    <cellStyle name="40% - Accent2 2 11" xfId="153" xr:uid="{6397361C-476F-4F8F-8A2B-0C5B9CCD4191}"/>
    <cellStyle name="40% - Accent2 2 12" xfId="154" xr:uid="{5DE879BA-E8F1-4F4A-9A29-43A4FBA19A33}"/>
    <cellStyle name="40% - Accent2 2 13" xfId="155" xr:uid="{8D2E33AC-840A-4291-809C-31327CE51158}"/>
    <cellStyle name="40% - Accent2 2 14" xfId="156" xr:uid="{49253471-AEE8-429A-8C88-64204D0019B4}"/>
    <cellStyle name="40% - Accent2 2 15" xfId="157" xr:uid="{0428AFE9-E799-4BA7-8F44-155E93680110}"/>
    <cellStyle name="40% - Accent2 2 2" xfId="158" xr:uid="{41FB83C7-3AA1-4F23-8BD0-E68728648AF3}"/>
    <cellStyle name="40% - Accent2 2 3" xfId="159" xr:uid="{028F1CC8-3A83-4BC9-BA52-9B0F504D11D3}"/>
    <cellStyle name="40% - Accent2 2 4" xfId="160" xr:uid="{5575B57F-93CE-427B-A10D-7FC1E668EF0F}"/>
    <cellStyle name="40% - Accent2 2 5" xfId="161" xr:uid="{3F2B8665-4323-4DF4-9E5D-644FDE1F645E}"/>
    <cellStyle name="40% - Accent2 2 6" xfId="162" xr:uid="{4001E02A-822E-4548-9A4F-1E9AD3B149E9}"/>
    <cellStyle name="40% - Accent2 2 7" xfId="163" xr:uid="{FFF99EF4-1BFA-40EB-AB05-D9A2F832E73A}"/>
    <cellStyle name="40% - Accent2 2 8" xfId="164" xr:uid="{CC8699E5-79CA-4D6E-8894-61775F7814B4}"/>
    <cellStyle name="40% - Accent2 2 9" xfId="165" xr:uid="{4CDD4611-32CE-421E-9885-80B275C0A986}"/>
    <cellStyle name="40% - Accent2 3" xfId="166" xr:uid="{F806296E-675A-45A7-8E9B-53DF280C7156}"/>
    <cellStyle name="40% - Accent2 4" xfId="167" xr:uid="{AB6C60D5-7AC7-4A28-9846-4699A499DD4D}"/>
    <cellStyle name="40% - Accent2 5" xfId="168" xr:uid="{E8027B0F-D369-4C62-97D9-4DF74A05716D}"/>
    <cellStyle name="40% - Accent2 6" xfId="169" xr:uid="{AB3663ED-004E-4B65-94B7-E86BB59F3923}"/>
    <cellStyle name="40% - Accent2 7" xfId="170" xr:uid="{17B030E1-70CD-4F27-ADB9-E481EA249939}"/>
    <cellStyle name="40% - Accent2 8" xfId="171" xr:uid="{856FAAB9-B43A-474E-BBC5-9A74FDCBBC9A}"/>
    <cellStyle name="40% - Accent3 2" xfId="172" xr:uid="{32C90AE7-B6F5-4387-B89E-839D5F164EAA}"/>
    <cellStyle name="40% - Accent3 2 10" xfId="173" xr:uid="{143BDB57-300B-473E-A2A9-D4393E5B636F}"/>
    <cellStyle name="40% - Accent3 2 11" xfId="174" xr:uid="{01E0A8F1-C084-40C3-9E21-9C9B53261FAE}"/>
    <cellStyle name="40% - Accent3 2 12" xfId="175" xr:uid="{8112AC71-2104-4683-BDBF-E137AEC9DA0C}"/>
    <cellStyle name="40% - Accent3 2 13" xfId="176" xr:uid="{A183DA98-4B11-4710-BD22-4A162ACAED42}"/>
    <cellStyle name="40% - Accent3 2 14" xfId="177" xr:uid="{6DF47D3B-75A6-4872-ABC9-1DDB65DAAA48}"/>
    <cellStyle name="40% - Accent3 2 15" xfId="178" xr:uid="{B08590B6-DC33-47FF-BCA0-E80694B465A8}"/>
    <cellStyle name="40% - Accent3 2 2" xfId="179" xr:uid="{CD4D0CE4-23ED-451A-B864-CE1AB86DCA3D}"/>
    <cellStyle name="40% - Accent3 2 3" xfId="180" xr:uid="{0BBB0400-DCDA-46D9-A274-892B82190F35}"/>
    <cellStyle name="40% - Accent3 2 4" xfId="181" xr:uid="{07B8E34B-F70C-419A-9EE1-F3E114E5C5EA}"/>
    <cellStyle name="40% - Accent3 2 5" xfId="182" xr:uid="{9004207D-1025-4864-BE60-B428D2D17DC2}"/>
    <cellStyle name="40% - Accent3 2 6" xfId="183" xr:uid="{2C6EFCD8-210F-48C4-BE8A-C75B4D66B6A8}"/>
    <cellStyle name="40% - Accent3 2 7" xfId="184" xr:uid="{14FD06DF-EA3D-44B5-BAC3-2766FB24E2F8}"/>
    <cellStyle name="40% - Accent3 2 8" xfId="185" xr:uid="{67AA538F-BC48-49A1-86AF-F9EFF49ED7E0}"/>
    <cellStyle name="40% - Accent3 2 9" xfId="186" xr:uid="{FE066C2C-496B-4321-A1E6-AEE1BF143686}"/>
    <cellStyle name="40% - Accent3 3" xfId="187" xr:uid="{6431F96C-E2DD-4C2B-BD54-519148718CFF}"/>
    <cellStyle name="40% - Accent3 4" xfId="188" xr:uid="{F6637A59-1A2E-4BB5-92E4-E8B9546C87BD}"/>
    <cellStyle name="40% - Accent3 5" xfId="189" xr:uid="{49712B87-AFD1-43D7-ABAD-A327B8A065FB}"/>
    <cellStyle name="40% - Accent3 6" xfId="190" xr:uid="{7D603197-A13E-4B13-A274-F91D4FE52D9E}"/>
    <cellStyle name="40% - Accent3 7" xfId="191" xr:uid="{D3D893DD-7979-4348-BF9A-90D5BC268A3F}"/>
    <cellStyle name="40% - Accent3 8" xfId="192" xr:uid="{1CE303DC-DF6A-4F0D-AB44-DCD44E663B63}"/>
    <cellStyle name="40% - Accent4 2" xfId="193" xr:uid="{4F6A6DAC-86F6-42B8-8FED-16F7FC48B8C9}"/>
    <cellStyle name="40% - Accent4 2 10" xfId="194" xr:uid="{4635FDD0-C7C7-411A-82D1-0CE78D8AC5AE}"/>
    <cellStyle name="40% - Accent4 2 11" xfId="195" xr:uid="{74788517-B3F2-47FB-B160-665F1B32579D}"/>
    <cellStyle name="40% - Accent4 2 12" xfId="196" xr:uid="{C4651F77-EC04-49F0-B385-A475161A75AF}"/>
    <cellStyle name="40% - Accent4 2 13" xfId="197" xr:uid="{340888CD-6C46-42E5-AAEF-E15FB1E1EDF1}"/>
    <cellStyle name="40% - Accent4 2 14" xfId="198" xr:uid="{EA3603F1-11EA-4AEB-A30F-BE595AADF46A}"/>
    <cellStyle name="40% - Accent4 2 15" xfId="199" xr:uid="{0DCBE24E-4442-4FA3-9B42-02AF18CE5957}"/>
    <cellStyle name="40% - Accent4 2 2" xfId="200" xr:uid="{B4D4F640-0DEE-4407-9FBC-A2F49D6B2DF1}"/>
    <cellStyle name="40% - Accent4 2 3" xfId="201" xr:uid="{76E0D6E1-F174-4572-A626-F6A4CEECB580}"/>
    <cellStyle name="40% - Accent4 2 4" xfId="202" xr:uid="{B397553A-6456-4252-8613-78D791662B97}"/>
    <cellStyle name="40% - Accent4 2 5" xfId="203" xr:uid="{E0DBF7A4-EE0F-48FB-9826-CC7E5625C476}"/>
    <cellStyle name="40% - Accent4 2 6" xfId="204" xr:uid="{5EC654C7-F6DE-42AB-A1D4-F0CAB328663B}"/>
    <cellStyle name="40% - Accent4 2 7" xfId="205" xr:uid="{96E8A638-4850-40B7-8497-C7B069D6A8C6}"/>
    <cellStyle name="40% - Accent4 2 8" xfId="206" xr:uid="{C94DEEAF-B79B-4EFE-BA94-2FA8968EAE98}"/>
    <cellStyle name="40% - Accent4 2 9" xfId="207" xr:uid="{D64542B7-56EB-4F00-871B-5573896E5E11}"/>
    <cellStyle name="40% - Accent4 3" xfId="208" xr:uid="{F8A47CD6-174B-4624-BF6A-A02C9D0B7FD6}"/>
    <cellStyle name="40% - Accent4 4" xfId="209" xr:uid="{DBEB410E-F3DF-4E7E-9AD3-0B4E32FFB6C3}"/>
    <cellStyle name="40% - Accent4 5" xfId="210" xr:uid="{BBAB15AA-2BC4-4C19-9C16-2D7416A96CC2}"/>
    <cellStyle name="40% - Accent4 6" xfId="211" xr:uid="{55436978-8566-4C79-A982-88DAD2D779E3}"/>
    <cellStyle name="40% - Accent4 7" xfId="212" xr:uid="{292D24D9-0594-43E3-A6F5-8E66AD257D5F}"/>
    <cellStyle name="40% - Accent4 8" xfId="213" xr:uid="{F01D6DF4-CDAB-42C6-B690-C3F1CC3F232D}"/>
    <cellStyle name="40% - Accent5 2" xfId="214" xr:uid="{F14B87B4-E0C1-4E14-962F-3EC5DD8E9874}"/>
    <cellStyle name="40% - Accent5 2 10" xfId="215" xr:uid="{FEC8327D-E57F-4ED6-A4EA-9C747C5A0F5F}"/>
    <cellStyle name="40% - Accent5 2 11" xfId="216" xr:uid="{C136716B-8DCC-4984-82EB-49B3861FBCA5}"/>
    <cellStyle name="40% - Accent5 2 12" xfId="217" xr:uid="{733C321F-4C96-4F04-8B8C-0AC98E4501E0}"/>
    <cellStyle name="40% - Accent5 2 13" xfId="218" xr:uid="{479FAE39-65DE-4E46-AB0B-116AA6BF7901}"/>
    <cellStyle name="40% - Accent5 2 14" xfId="219" xr:uid="{02BFBDB6-05E9-4087-BC99-DC6D1A463A8D}"/>
    <cellStyle name="40% - Accent5 2 15" xfId="220" xr:uid="{873EE05C-A41E-4274-A850-1D9914B8E2CD}"/>
    <cellStyle name="40% - Accent5 2 2" xfId="221" xr:uid="{840F41A2-4037-4F82-8A5D-18A0DA68DC52}"/>
    <cellStyle name="40% - Accent5 2 3" xfId="222" xr:uid="{45DCE0FA-30AA-45EC-846C-8A70C0B11F33}"/>
    <cellStyle name="40% - Accent5 2 4" xfId="223" xr:uid="{A2C1D740-E99E-4B3E-97EF-01AE794AB0B5}"/>
    <cellStyle name="40% - Accent5 2 5" xfId="224" xr:uid="{5389833C-9BD8-4686-BA91-0886892AEE01}"/>
    <cellStyle name="40% - Accent5 2 6" xfId="225" xr:uid="{A78A14C1-3209-4E42-97F4-BE69056A8F58}"/>
    <cellStyle name="40% - Accent5 2 7" xfId="226" xr:uid="{A553DBB4-6EC0-489B-B6C7-A1ED45528629}"/>
    <cellStyle name="40% - Accent5 2 8" xfId="227" xr:uid="{E73FD774-1D9E-476F-ABBA-F28841391900}"/>
    <cellStyle name="40% - Accent5 2 9" xfId="228" xr:uid="{5B2B8C52-12A6-4B2C-8803-C75C0052F9C5}"/>
    <cellStyle name="40% - Accent5 3" xfId="229" xr:uid="{31D25BA8-CB4B-4264-BD2B-31BF9D8031E9}"/>
    <cellStyle name="40% - Accent5 4" xfId="230" xr:uid="{89CAD283-0C8A-4E7B-927D-A76701D209B7}"/>
    <cellStyle name="40% - Accent5 5" xfId="231" xr:uid="{D6BC4102-31A6-4ED8-8E22-0DF2F762A635}"/>
    <cellStyle name="40% - Accent5 6" xfId="232" xr:uid="{FF26304B-612A-4E15-9025-275D13164AAB}"/>
    <cellStyle name="40% - Accent5 7" xfId="233" xr:uid="{A6BA7CD4-12CF-42AE-8F0C-5DA66AD04D08}"/>
    <cellStyle name="40% - Accent5 8" xfId="234" xr:uid="{90800C96-06A5-48A5-8AB5-11E211AF63E9}"/>
    <cellStyle name="40% - Accent6 2" xfId="235" xr:uid="{49703CF3-E719-46D2-B470-21D1C462D68E}"/>
    <cellStyle name="40% - Accent6 2 10" xfId="236" xr:uid="{F1794D85-4D43-4C4D-8110-B79BEB81331A}"/>
    <cellStyle name="40% - Accent6 2 11" xfId="237" xr:uid="{39AED797-8DA5-445C-B529-36CCC2C8BEA9}"/>
    <cellStyle name="40% - Accent6 2 12" xfId="238" xr:uid="{84707401-BF19-4F07-942F-155A41D9CA36}"/>
    <cellStyle name="40% - Accent6 2 13" xfId="239" xr:uid="{8A438B57-A006-466E-B118-9743EB203233}"/>
    <cellStyle name="40% - Accent6 2 14" xfId="240" xr:uid="{D1CFC2A2-E03F-48E1-9A47-B86F3EF843AE}"/>
    <cellStyle name="40% - Accent6 2 15" xfId="241" xr:uid="{E622619D-E667-445E-8015-D097756BED2F}"/>
    <cellStyle name="40% - Accent6 2 2" xfId="242" xr:uid="{4D4744FF-405E-41CF-887F-B9891016C01B}"/>
    <cellStyle name="40% - Accent6 2 3" xfId="243" xr:uid="{E6030D42-1A9D-450F-86CF-2DC55B91CBE9}"/>
    <cellStyle name="40% - Accent6 2 4" xfId="244" xr:uid="{83DB825C-3DCB-4DD6-95AF-1AF97B69EA4B}"/>
    <cellStyle name="40% - Accent6 2 5" xfId="245" xr:uid="{9DEE2027-1B1D-47E3-92C5-1C11DB2545F1}"/>
    <cellStyle name="40% - Accent6 2 6" xfId="246" xr:uid="{8EE71381-D92B-4A16-B1B5-CB19C12D1A76}"/>
    <cellStyle name="40% - Accent6 2 7" xfId="247" xr:uid="{2CF3F9C4-F45C-4DF6-9FA3-F15F6BEA4B49}"/>
    <cellStyle name="40% - Accent6 2 8" xfId="248" xr:uid="{E55FB631-12B7-40E2-A904-CEC7F5FE54F3}"/>
    <cellStyle name="40% - Accent6 2 9" xfId="249" xr:uid="{5403D6BE-C2EE-4C87-BA3C-5B57D24A1129}"/>
    <cellStyle name="40% - Accent6 3" xfId="250" xr:uid="{9E159679-9EFA-4BBD-805C-241F99597EB3}"/>
    <cellStyle name="40% - Accent6 4" xfId="251" xr:uid="{FFF90D4F-0D58-49A0-B857-625C2A323F19}"/>
    <cellStyle name="40% - Accent6 5" xfId="252" xr:uid="{48A518A3-4B6C-4E3B-9E56-50A1AE30428A}"/>
    <cellStyle name="40% - Accent6 6" xfId="253" xr:uid="{E345ABAD-8CBD-44B7-84DB-871B3E9D6089}"/>
    <cellStyle name="40% - Accent6 7" xfId="254" xr:uid="{63EAB07F-DF06-45F8-B17E-190C966E218B}"/>
    <cellStyle name="40% - Accent6 8" xfId="255" xr:uid="{6F389975-3BB4-4019-97BB-85F67FED5F0C}"/>
    <cellStyle name="5x indented GHG Textfiels" xfId="256" xr:uid="{4FBE3DD5-AB70-4988-8383-42CF45CCB1BE}"/>
    <cellStyle name="60% - Accent1 2" xfId="257" xr:uid="{8DC447DB-C487-4530-A6E9-3E85C34D8E92}"/>
    <cellStyle name="60% - Accent1 2 10" xfId="258" xr:uid="{2DDB509A-BC42-4FE2-8D09-5657B15608E8}"/>
    <cellStyle name="60% - Accent1 2 2" xfId="259" xr:uid="{4415F2D4-C69C-41BB-AC62-F478D1C1BE98}"/>
    <cellStyle name="60% - Accent1 2 3" xfId="260" xr:uid="{7A7ED352-A821-4939-8C72-A3CA46F0EA71}"/>
    <cellStyle name="60% - Accent1 2 4" xfId="261" xr:uid="{D75B9D3D-7C2A-4876-94D0-E28BF2598347}"/>
    <cellStyle name="60% - Accent1 2 5" xfId="262" xr:uid="{327B111E-46D3-4607-849E-A7E85DFE7E44}"/>
    <cellStyle name="60% - Accent1 2 6" xfId="263" xr:uid="{2AFF0DE6-FDAE-43D9-821E-275B7CA96F53}"/>
    <cellStyle name="60% - Accent1 2 7" xfId="264" xr:uid="{CD8DE090-A5B6-4F22-875F-EDE8E14605C8}"/>
    <cellStyle name="60% - Accent1 2 8" xfId="265" xr:uid="{34E138C9-08AE-4EB9-B70B-F21CA7F02B8D}"/>
    <cellStyle name="60% - Accent1 2 9" xfId="266" xr:uid="{0B11E953-F2BC-460F-BACB-21A1617C0507}"/>
    <cellStyle name="60% - Accent1 3" xfId="267" xr:uid="{944208FB-D897-4F77-A1AB-C99FD25E1257}"/>
    <cellStyle name="60% - Accent2 2" xfId="268" xr:uid="{2DA65DAD-0463-4128-A11D-B248B9289442}"/>
    <cellStyle name="60% - Accent2 2 10" xfId="269" xr:uid="{8AEB6AAE-1B24-46A4-82A8-E27AB21F4B66}"/>
    <cellStyle name="60% - Accent2 2 2" xfId="270" xr:uid="{FACCAFF6-964C-494C-9842-EFC7134EF411}"/>
    <cellStyle name="60% - Accent2 2 3" xfId="271" xr:uid="{74E496FD-FB3D-40A6-948F-279C6D728A5D}"/>
    <cellStyle name="60% - Accent2 2 4" xfId="272" xr:uid="{9BF5CE3C-F7B3-4C5B-B31F-2F37BCBF3CDF}"/>
    <cellStyle name="60% - Accent2 2 5" xfId="273" xr:uid="{FCAFCD61-D232-4730-92E8-BA8CC5A9A335}"/>
    <cellStyle name="60% - Accent2 2 6" xfId="274" xr:uid="{9D384E2F-8B02-426C-BE14-0B4908C2CFB5}"/>
    <cellStyle name="60% - Accent2 2 7" xfId="275" xr:uid="{CBF4F590-EFFD-45D2-B09A-2579E4147A1D}"/>
    <cellStyle name="60% - Accent2 2 8" xfId="276" xr:uid="{5B5F138E-C6C9-4099-8699-A76927B668A7}"/>
    <cellStyle name="60% - Accent2 2 9" xfId="277" xr:uid="{9B23B802-4FD7-45CF-9848-4B351C33F66C}"/>
    <cellStyle name="60% - Accent2 3" xfId="278" xr:uid="{B6215088-A1EA-40BA-942D-DADD0D57D470}"/>
    <cellStyle name="60% - Accent3 2" xfId="279" xr:uid="{446BFFFD-08FD-4726-8993-F1661B701AD3}"/>
    <cellStyle name="60% - Accent3 2 10" xfId="280" xr:uid="{10AB9A73-5837-4B5E-9AA7-A11CE14CEE07}"/>
    <cellStyle name="60% - Accent3 2 2" xfId="281" xr:uid="{F4662D76-AAF7-45CB-873F-2BA2E661495B}"/>
    <cellStyle name="60% - Accent3 2 3" xfId="282" xr:uid="{71E4581C-5A71-411C-BCB9-1E1941B96802}"/>
    <cellStyle name="60% - Accent3 2 4" xfId="283" xr:uid="{782DCCE8-E4EB-4660-94A9-0AD4607D879E}"/>
    <cellStyle name="60% - Accent3 2 5" xfId="284" xr:uid="{0F99BC5B-9555-4331-BBA2-FDF591452800}"/>
    <cellStyle name="60% - Accent3 2 6" xfId="285" xr:uid="{3B98B376-1469-40E0-A721-2107A0C7EA98}"/>
    <cellStyle name="60% - Accent3 2 7" xfId="286" xr:uid="{5FAD34FA-819A-41F6-AFB6-F7DF5C4472A8}"/>
    <cellStyle name="60% - Accent3 2 8" xfId="287" xr:uid="{566364BE-9D2C-402E-96B9-3180A9F20D56}"/>
    <cellStyle name="60% - Accent3 2 9" xfId="288" xr:uid="{5B8BC8B7-8434-42E5-8141-2C8372485271}"/>
    <cellStyle name="60% - Accent3 3" xfId="289" xr:uid="{22628B81-8179-4062-AD1A-D7556D23035D}"/>
    <cellStyle name="60% - Accent4 2" xfId="290" xr:uid="{49CADED1-B968-47F3-91DD-244386850CFE}"/>
    <cellStyle name="60% - Accent4 2 10" xfId="291" xr:uid="{F94AC099-09C8-47AB-B2F8-BA9E1B69A481}"/>
    <cellStyle name="60% - Accent4 2 2" xfId="292" xr:uid="{2D10294C-E4E7-455F-A271-BC1733E3E17C}"/>
    <cellStyle name="60% - Accent4 2 3" xfId="293" xr:uid="{EDE659FB-AE52-43F6-89B9-8B9A4A3E0624}"/>
    <cellStyle name="60% - Accent4 2 4" xfId="294" xr:uid="{37F9C063-2BD6-411E-95FE-FF640B35B0F7}"/>
    <cellStyle name="60% - Accent4 2 5" xfId="295" xr:uid="{2AA8226A-0E75-4A4C-BC1A-6A1D813B43EA}"/>
    <cellStyle name="60% - Accent4 2 6" xfId="296" xr:uid="{5377CDE9-C519-4BC8-B1AA-DBE391787D2E}"/>
    <cellStyle name="60% - Accent4 2 7" xfId="297" xr:uid="{DF63D02A-1642-4690-9919-4CB25417C3D8}"/>
    <cellStyle name="60% - Accent4 2 8" xfId="298" xr:uid="{7E3DE412-D8F6-4BAF-98D3-C6513454645B}"/>
    <cellStyle name="60% - Accent4 2 9" xfId="299" xr:uid="{AAA8583E-D069-4E7E-AD39-5BA87EE5AA87}"/>
    <cellStyle name="60% - Accent4 3" xfId="300" xr:uid="{1D37D6BF-AD9F-4A5A-8EF5-60149D462DE2}"/>
    <cellStyle name="60% - Accent5 2" xfId="301" xr:uid="{D5587AD8-AB36-4452-923C-0219098441DD}"/>
    <cellStyle name="60% - Accent5 2 10" xfId="302" xr:uid="{A31173B5-86E0-45D0-BAA1-13A8FBE72661}"/>
    <cellStyle name="60% - Accent5 2 2" xfId="303" xr:uid="{3D53ECAC-43E2-4FC5-BAF6-3905833B101A}"/>
    <cellStyle name="60% - Accent5 2 3" xfId="304" xr:uid="{C6E45856-E63A-4775-9B6B-962E4CFF1EB4}"/>
    <cellStyle name="60% - Accent5 2 4" xfId="305" xr:uid="{8F5F795D-E642-429B-A205-8ECC33FDFE00}"/>
    <cellStyle name="60% - Accent5 2 5" xfId="306" xr:uid="{A1EAC9A8-BACA-46D2-AC8D-862307BE874A}"/>
    <cellStyle name="60% - Accent5 2 6" xfId="307" xr:uid="{062E9E6D-64BA-49BD-9638-4C2ED98A0BEB}"/>
    <cellStyle name="60% - Accent5 2 7" xfId="308" xr:uid="{4D3457A5-0ABC-4C2A-85E9-B220AF73F6FE}"/>
    <cellStyle name="60% - Accent5 2 8" xfId="309" xr:uid="{16136FCE-CF0A-4370-B9FD-FCFEAEAC87AC}"/>
    <cellStyle name="60% - Accent5 2 9" xfId="310" xr:uid="{E36C5B19-08D5-4641-9156-9EE51AE612CB}"/>
    <cellStyle name="60% - Accent5 3" xfId="311" xr:uid="{6D324EFD-35DC-41DD-AEFA-B6F281F682EE}"/>
    <cellStyle name="60% - Accent6 2" xfId="312" xr:uid="{A5AFC38D-0CD3-4EB4-A429-4205CF86E308}"/>
    <cellStyle name="60% - Accent6 2 10" xfId="313" xr:uid="{CBCA01A4-907A-4025-A493-9D4DEA22CCAF}"/>
    <cellStyle name="60% - Accent6 2 2" xfId="314" xr:uid="{7D5E57B7-2F4B-4F70-B9C1-083D7F657E19}"/>
    <cellStyle name="60% - Accent6 2 3" xfId="315" xr:uid="{B0516D5C-96ED-4BD0-9F57-4F77A1B22BDE}"/>
    <cellStyle name="60% - Accent6 2 4" xfId="316" xr:uid="{6A6D57D4-410A-40A1-B7AB-6CF5A77C1301}"/>
    <cellStyle name="60% - Accent6 2 5" xfId="317" xr:uid="{9499A37D-6673-42EC-87DD-C89E63FD410F}"/>
    <cellStyle name="60% - Accent6 2 6" xfId="318" xr:uid="{6411A0AF-DC24-4082-BC25-DDBA1BCE0270}"/>
    <cellStyle name="60% - Accent6 2 7" xfId="319" xr:uid="{B075B6DC-9141-4519-ABD6-49747BAC212D}"/>
    <cellStyle name="60% - Accent6 2 8" xfId="320" xr:uid="{BD1783CF-BEDD-4BF6-A954-1C21CEEAF912}"/>
    <cellStyle name="60% - Accent6 2 9" xfId="321" xr:uid="{55A41228-5923-422E-BDBE-7DA1732C31D3}"/>
    <cellStyle name="60% - Accent6 3" xfId="322" xr:uid="{66EFD7E3-7573-4C37-9936-0E5F667729B9}"/>
    <cellStyle name="Accent1 2" xfId="323" xr:uid="{C89ECFCB-0F73-4C40-BB54-21CF25BDE8CA}"/>
    <cellStyle name="Accent1 2 10" xfId="324" xr:uid="{285B39E8-4334-4C40-8760-C236240F5E44}"/>
    <cellStyle name="Accent1 2 2" xfId="325" xr:uid="{300C4407-5B35-4F2A-9636-B9F3B55F4B46}"/>
    <cellStyle name="Accent1 2 3" xfId="326" xr:uid="{95DE7950-2849-444E-9334-AFEBE11ABF05}"/>
    <cellStyle name="Accent1 2 4" xfId="327" xr:uid="{EF66EA1A-A6CA-41DA-88C0-1EB84D61BB44}"/>
    <cellStyle name="Accent1 2 5" xfId="328" xr:uid="{3F1967CF-6F8B-451C-A66F-AB5CC1ED0981}"/>
    <cellStyle name="Accent1 2 6" xfId="329" xr:uid="{B24F098A-6F21-4691-8C93-8BCD32C61F50}"/>
    <cellStyle name="Accent1 2 7" xfId="330" xr:uid="{750B5B84-2EDF-48CA-8EEE-52B5CC4A9E49}"/>
    <cellStyle name="Accent1 2 8" xfId="331" xr:uid="{8E0D8092-F9C5-4CB5-8C02-370D138F49F2}"/>
    <cellStyle name="Accent1 2 9" xfId="332" xr:uid="{7E0EE768-DD6A-4C53-A5BE-53472E75FCBD}"/>
    <cellStyle name="Accent1 3" xfId="333" xr:uid="{9FCA81BE-4E8B-4878-AB7B-BDA4F70D82EF}"/>
    <cellStyle name="Accent2 2" xfId="334" xr:uid="{CEC9BF5B-B0F8-4AE7-8EB3-51C1334B5D25}"/>
    <cellStyle name="Accent2 2 10" xfId="335" xr:uid="{6709040D-C81D-4CF8-B7E7-D5E05F7252B0}"/>
    <cellStyle name="Accent2 2 2" xfId="336" xr:uid="{A7E3EBC8-B2CB-4C5A-84AE-210B4F35C4D8}"/>
    <cellStyle name="Accent2 2 3" xfId="337" xr:uid="{EA4079D6-9125-4365-983B-E01322D32CB4}"/>
    <cellStyle name="Accent2 2 4" xfId="338" xr:uid="{75C1F750-3D62-44B6-BA66-2EC9B0CBCF08}"/>
    <cellStyle name="Accent2 2 5" xfId="339" xr:uid="{B88801C5-DDF5-4C87-B1D4-E59221356455}"/>
    <cellStyle name="Accent2 2 6" xfId="340" xr:uid="{28D67F8D-30E4-4150-B5CD-33D125672848}"/>
    <cellStyle name="Accent2 2 7" xfId="341" xr:uid="{A41C03FA-7427-4172-B06F-D17F3C143768}"/>
    <cellStyle name="Accent2 2 8" xfId="342" xr:uid="{F6F03D9A-C22E-4F03-A874-200E86310158}"/>
    <cellStyle name="Accent2 2 9" xfId="343" xr:uid="{9499207C-8A3E-42DF-8282-2EACF7AFFD1F}"/>
    <cellStyle name="Accent2 3" xfId="344" xr:uid="{14CA239D-44EF-45BC-B366-CD388A8C4CD3}"/>
    <cellStyle name="Accent3 2" xfId="345" xr:uid="{6F85FC59-1A59-4FE9-AB63-FBDEC63547CF}"/>
    <cellStyle name="Accent3 2 10" xfId="346" xr:uid="{06F921ED-08DE-4ABF-9B98-016A5D842205}"/>
    <cellStyle name="Accent3 2 2" xfId="347" xr:uid="{72ED224F-7ABD-441F-8027-FD4DC4D7C10E}"/>
    <cellStyle name="Accent3 2 3" xfId="348" xr:uid="{B9250061-ABC4-48C9-8B33-F7F42A865953}"/>
    <cellStyle name="Accent3 2 4" xfId="349" xr:uid="{07F08BF0-6FB4-4EC2-BDCC-461614424175}"/>
    <cellStyle name="Accent3 2 5" xfId="350" xr:uid="{DD416B5C-A58F-435B-8F4C-7792D8398DD6}"/>
    <cellStyle name="Accent3 2 6" xfId="351" xr:uid="{0E68FC33-51F5-4EC0-A40A-B14D11E0FB40}"/>
    <cellStyle name="Accent3 2 7" xfId="352" xr:uid="{514ED944-D7A7-41FD-AF83-9B0935822974}"/>
    <cellStyle name="Accent3 2 8" xfId="353" xr:uid="{32D99446-1381-4732-A6BF-9D271C8B61C9}"/>
    <cellStyle name="Accent3 2 9" xfId="354" xr:uid="{71B90776-968D-408D-9297-7434E3A1E7C2}"/>
    <cellStyle name="Accent3 3" xfId="355" xr:uid="{B15FDC83-1241-4068-80D8-AB981815805C}"/>
    <cellStyle name="Accent4 2" xfId="356" xr:uid="{D6081DFD-1D86-4176-BD78-884F85275AEA}"/>
    <cellStyle name="Accent4 2 10" xfId="357" xr:uid="{44FF0F94-D12D-4F36-A597-8593B0C0436C}"/>
    <cellStyle name="Accent4 2 2" xfId="358" xr:uid="{F1D666EE-BC34-4C93-8363-643323FE80ED}"/>
    <cellStyle name="Accent4 2 3" xfId="359" xr:uid="{189C3DAC-E42D-4478-B0B2-48122E1E500B}"/>
    <cellStyle name="Accent4 2 4" xfId="360" xr:uid="{72CADDE6-3B19-4582-BFD7-FD8F3173351C}"/>
    <cellStyle name="Accent4 2 5" xfId="361" xr:uid="{3B6B6EE8-9012-4115-9A64-A8B3EE93D5F0}"/>
    <cellStyle name="Accent4 2 6" xfId="362" xr:uid="{FD8AB1EE-E350-4779-8C43-71A5791B8EF3}"/>
    <cellStyle name="Accent4 2 7" xfId="363" xr:uid="{8995177E-F70C-49EA-81AD-10525E9738D0}"/>
    <cellStyle name="Accent4 2 8" xfId="364" xr:uid="{F217B72A-CB38-480A-9432-67590E17D3DE}"/>
    <cellStyle name="Accent4 2 9" xfId="365" xr:uid="{398A3C88-8B5B-4815-A6CC-D730E466B948}"/>
    <cellStyle name="Accent4 3" xfId="366" xr:uid="{A6C1BCB5-CB2C-40CE-AC01-0B7730E33B3B}"/>
    <cellStyle name="Accent5 2" xfId="367" xr:uid="{3DE34EE3-DEF5-47D1-9776-EEEF51E61104}"/>
    <cellStyle name="Accent5 2 10" xfId="368" xr:uid="{022288D8-92A9-46EE-908F-AC4A92762B91}"/>
    <cellStyle name="Accent5 2 2" xfId="369" xr:uid="{64C2B75D-266A-437E-9CFC-4A3222EBA73A}"/>
    <cellStyle name="Accent5 2 3" xfId="370" xr:uid="{C619186A-6210-46D7-B552-7E8BEB2C1433}"/>
    <cellStyle name="Accent5 2 4" xfId="371" xr:uid="{451E2824-EBC3-4B0A-862A-590329277CE8}"/>
    <cellStyle name="Accent5 2 5" xfId="372" xr:uid="{60DF7510-43EA-4711-B8F3-BF3AE59769CD}"/>
    <cellStyle name="Accent5 2 6" xfId="373" xr:uid="{DB7CDF97-3548-4EBC-BAEF-A721A3FA026B}"/>
    <cellStyle name="Accent5 2 7" xfId="374" xr:uid="{95509FA3-3EF3-4333-9413-E17B3D2325F6}"/>
    <cellStyle name="Accent5 2 8" xfId="375" xr:uid="{62713949-0FED-46F8-89CB-348363C94AE2}"/>
    <cellStyle name="Accent5 2 9" xfId="376" xr:uid="{D1FD9F55-FD9A-4130-AB43-6400161DC194}"/>
    <cellStyle name="Accent5 3" xfId="377" xr:uid="{071BF62B-8223-4321-B717-B79FC60169D6}"/>
    <cellStyle name="Accent6 2" xfId="378" xr:uid="{9F35D863-410E-4773-9800-3647D65883CB}"/>
    <cellStyle name="Accent6 2 10" xfId="379" xr:uid="{5FF4C12E-5671-4DF2-9448-D4D930322C4C}"/>
    <cellStyle name="Accent6 2 2" xfId="380" xr:uid="{39AA0D82-9B5A-45C8-8E66-5526E812D8B2}"/>
    <cellStyle name="Accent6 2 3" xfId="381" xr:uid="{7F756EC3-5538-4170-9862-E5A685B6877B}"/>
    <cellStyle name="Accent6 2 4" xfId="382" xr:uid="{4906342C-8FD9-4CE6-AF0D-F34A0FC54E3B}"/>
    <cellStyle name="Accent6 2 5" xfId="383" xr:uid="{19AEBDC8-9FDB-4942-9824-E1A4D81F9B26}"/>
    <cellStyle name="Accent6 2 6" xfId="384" xr:uid="{4E5E0406-B06F-445C-A53C-1D5DAF05D4F8}"/>
    <cellStyle name="Accent6 2 7" xfId="385" xr:uid="{E36694B3-BE73-4D4B-99D9-120C12A64BED}"/>
    <cellStyle name="Accent6 2 8" xfId="386" xr:uid="{BC16812F-EDFA-4F8A-A20B-2A46226D8DE7}"/>
    <cellStyle name="Accent6 2 9" xfId="387" xr:uid="{8E764D01-C7B8-40C9-ABBC-252FED160DD0}"/>
    <cellStyle name="Accent6 3" xfId="388" xr:uid="{52F4D5F1-5E53-4167-A066-90EA836BC036}"/>
    <cellStyle name="AggOrange_CRFReport-template" xfId="389" xr:uid="{C050FFF7-42E2-4B00-AF91-13134D0E2281}"/>
    <cellStyle name="AggOrange9_CRFReport-template" xfId="390" xr:uid="{C4D01093-E3F0-48AC-A7D1-C29C961E91F9}"/>
    <cellStyle name="Bad 2" xfId="391" xr:uid="{E3D388E0-F8EE-4C9C-B289-0D925D8B4A4C}"/>
    <cellStyle name="Bad 2 10" xfId="392" xr:uid="{47F680D7-EBB2-4983-A731-D684C0804DF1}"/>
    <cellStyle name="Bad 2 2" xfId="393" xr:uid="{F1DF6B44-5493-46E3-9F10-3B47663E0481}"/>
    <cellStyle name="Bad 2 3" xfId="394" xr:uid="{127ECED8-D263-4AAF-A081-12799EF73BA0}"/>
    <cellStyle name="Bad 2 4" xfId="395" xr:uid="{196E452D-8658-4637-AD5D-ABB5F33785FC}"/>
    <cellStyle name="Bad 2 5" xfId="396" xr:uid="{FAA53126-0867-47B5-A76F-C37DEC562DA1}"/>
    <cellStyle name="Bad 2 6" xfId="397" xr:uid="{A6F8E7B7-4B60-42B7-941D-60F32BF7FA31}"/>
    <cellStyle name="Bad 2 7" xfId="398" xr:uid="{BF8328C3-21C6-4809-B2EB-6AA9ACA7A3A5}"/>
    <cellStyle name="Bad 2 8" xfId="399" xr:uid="{678DBD0B-F25B-4B09-B16A-91967E40F5C0}"/>
    <cellStyle name="Bad 2 9" xfId="400" xr:uid="{02EE8BB0-0FD1-47FF-BFA6-FA2B8E9F1E2E}"/>
    <cellStyle name="Bad 3" xfId="401" xr:uid="{F9354813-C9D3-4A2F-AA03-582C86A38A0F}"/>
    <cellStyle name="Calculation 2" xfId="402" xr:uid="{C28F5706-0134-4108-8D41-4BB4D0756D41}"/>
    <cellStyle name="Calculation 2 10" xfId="403" xr:uid="{C85CB19E-5896-4800-B59C-5C341A9FFA79}"/>
    <cellStyle name="Calculation 2 2" xfId="404" xr:uid="{F2DB05E2-7F6A-48E0-B691-9000FEEEDC68}"/>
    <cellStyle name="Calculation 2 3" xfId="405" xr:uid="{7E0CD0E5-C4BE-4053-85BE-C75DB6A71936}"/>
    <cellStyle name="Calculation 2 4" xfId="406" xr:uid="{D75562FD-9BF5-4B36-97A5-F959FC1509DD}"/>
    <cellStyle name="Calculation 2 5" xfId="407" xr:uid="{51CE351C-3607-4134-B8A2-838D842D8C8E}"/>
    <cellStyle name="Calculation 2 6" xfId="408" xr:uid="{86200B1A-B757-4FAA-82DC-0F337786C82D}"/>
    <cellStyle name="Calculation 2 7" xfId="409" xr:uid="{73F16D8A-A0B0-468B-A441-FF075A5444E6}"/>
    <cellStyle name="Calculation 2 8" xfId="410" xr:uid="{C8E2C32C-9E07-412A-90B2-4C5806A00DDF}"/>
    <cellStyle name="Calculation 2 9" xfId="411" xr:uid="{25BC7FCB-2898-47E5-834D-22911C6A6FFE}"/>
    <cellStyle name="Calculation 3" xfId="412" xr:uid="{340A236C-60BE-47A0-A646-D95EC50061F1}"/>
    <cellStyle name="Check Cell 2" xfId="413" xr:uid="{CEA56194-A6B6-43A5-A407-B884393053AE}"/>
    <cellStyle name="Check Cell 2 10" xfId="414" xr:uid="{745478BA-E476-45CF-9F5D-95CD27BE26F5}"/>
    <cellStyle name="Check Cell 2 2" xfId="415" xr:uid="{950C71B6-242B-4807-B43A-E3FAE789E550}"/>
    <cellStyle name="Check Cell 2 3" xfId="416" xr:uid="{813C4841-2F71-413F-86D6-FB41286F6E1D}"/>
    <cellStyle name="Check Cell 2 4" xfId="417" xr:uid="{D9F9C651-F082-4E9D-A05D-0C79EB617EF3}"/>
    <cellStyle name="Check Cell 2 5" xfId="418" xr:uid="{2C5294BA-E44F-4FA0-B718-A31C09C6517C}"/>
    <cellStyle name="Check Cell 2 6" xfId="419" xr:uid="{EE985260-8D5E-4C04-9347-390CEF0BE763}"/>
    <cellStyle name="Check Cell 2 7" xfId="420" xr:uid="{9B576E7B-5900-4868-A2FC-003754C78620}"/>
    <cellStyle name="Check Cell 2 8" xfId="421" xr:uid="{B9AD5DC2-3958-4CD3-B476-428E4F686801}"/>
    <cellStyle name="Check Cell 2 9" xfId="422" xr:uid="{1E5B0F9E-33A8-4B9D-BCC6-2B636012D487}"/>
    <cellStyle name="Check Cell 3" xfId="423" xr:uid="{E2D18BA2-CB38-4EFD-915A-F314BE325D12}"/>
    <cellStyle name="Comma [0] 2 10" xfId="424" xr:uid="{13EB380C-8B67-47D0-ABB3-848F7E7F6A06}"/>
    <cellStyle name="Comma [0] 2 2" xfId="425" xr:uid="{9B41DB7B-9578-41A0-9464-BAB21CF784D3}"/>
    <cellStyle name="Comma [0] 2 3" xfId="426" xr:uid="{B20579F4-A28E-4668-8D3E-E350234A29E3}"/>
    <cellStyle name="Comma [0] 2 4" xfId="427" xr:uid="{F99DB291-37CF-4D96-A1E4-A2937042304D}"/>
    <cellStyle name="Comma [0] 2 5" xfId="428" xr:uid="{09062CA3-FF34-4758-A21B-FA43D38FACC0}"/>
    <cellStyle name="Comma [0] 2 6" xfId="429" xr:uid="{420C9EE9-9BD4-4453-A67D-4D7798AE5CE8}"/>
    <cellStyle name="Comma [0] 2 7" xfId="430" xr:uid="{86A3E8B6-3870-482B-BBD8-5DB3CE4A19EC}"/>
    <cellStyle name="Comma [0] 2 8" xfId="431" xr:uid="{F416ED8D-0A85-4108-B21A-7D67F7C7D9ED}"/>
    <cellStyle name="Comma [0] 2 9" xfId="432" xr:uid="{71F496F2-3D6D-461A-A605-5FA1BE81E5E7}"/>
    <cellStyle name="Comma 10" xfId="433" xr:uid="{FACB7CC2-FAD8-49C5-A7FB-FD0A0225EC1E}"/>
    <cellStyle name="Comma 10 2" xfId="434" xr:uid="{2263C691-F6B5-4A7B-9B0E-20A5CA8A80B7}"/>
    <cellStyle name="Comma 10 2 10" xfId="435" xr:uid="{1FE590A1-2E5B-43E8-877A-20DC04F8C509}"/>
    <cellStyle name="Comma 10 2 11" xfId="436" xr:uid="{6B881517-B3BB-4899-AC8C-11E211BF2C81}"/>
    <cellStyle name="Comma 10 2 12" xfId="437" xr:uid="{BD628869-ED55-4B53-B15A-5F8BA25EC1D8}"/>
    <cellStyle name="Comma 10 2 13" xfId="438" xr:uid="{30B28322-7CF6-4AEA-89BF-076A5C5CBEEF}"/>
    <cellStyle name="Comma 10 2 14" xfId="439" xr:uid="{C8A83EAC-16E4-4D63-B4A3-184913C2CC38}"/>
    <cellStyle name="Comma 10 2 15" xfId="440" xr:uid="{A0D7E326-564C-4316-90D4-98F5E1B5460D}"/>
    <cellStyle name="Comma 10 2 16" xfId="441" xr:uid="{97CA26C2-8674-4AF5-82AB-56AFD0E680F8}"/>
    <cellStyle name="Comma 10 2 17" xfId="442" xr:uid="{C85ACC1E-FED0-4A2E-90C2-5B3458095745}"/>
    <cellStyle name="Comma 10 2 2" xfId="443" xr:uid="{C1925102-8075-4238-A456-3C73DA5A7BA0}"/>
    <cellStyle name="Comma 10 2 3" xfId="444" xr:uid="{FD3F267A-69BE-4C3F-B406-26C0BD166197}"/>
    <cellStyle name="Comma 10 2 4" xfId="445" xr:uid="{24028179-7BBB-4941-ADBA-5FF9E670A5EA}"/>
    <cellStyle name="Comma 10 2 5" xfId="446" xr:uid="{96EF4079-2C09-4445-920C-1B210E2186E8}"/>
    <cellStyle name="Comma 10 2 6" xfId="447" xr:uid="{384F9C5F-979E-4446-B6E1-B27E928070CB}"/>
    <cellStyle name="Comma 10 2 7" xfId="448" xr:uid="{5667CD28-63D0-4438-AA32-096D0993FF97}"/>
    <cellStyle name="Comma 10 2 8" xfId="449" xr:uid="{F8127A2E-74D8-4263-A49B-960FB64EA53D}"/>
    <cellStyle name="Comma 10 2 9" xfId="450" xr:uid="{667D6EB3-3197-493E-A960-C99F69E6403A}"/>
    <cellStyle name="Comma 10 3" xfId="451" xr:uid="{2381A7A8-2023-4F4E-AB35-452793AEC217}"/>
    <cellStyle name="Comma 10 3 10" xfId="452" xr:uid="{09B9AFB5-D928-4B56-9EAE-370E0B1682E2}"/>
    <cellStyle name="Comma 10 3 11" xfId="453" xr:uid="{39C178CB-E75C-47C7-AD57-E00DD6D7D487}"/>
    <cellStyle name="Comma 10 3 12" xfId="454" xr:uid="{91281440-DF20-4066-A3BE-72878614B717}"/>
    <cellStyle name="Comma 10 3 13" xfId="455" xr:uid="{6DCDE1A2-0500-42BD-8681-C32C54574268}"/>
    <cellStyle name="Comma 10 3 14" xfId="456" xr:uid="{D1FC7552-9B5B-4176-A68E-1707BD3FE8FD}"/>
    <cellStyle name="Comma 10 3 15" xfId="457" xr:uid="{262256C6-7761-4BA3-B36C-7BDF70310827}"/>
    <cellStyle name="Comma 10 3 16" xfId="458" xr:uid="{2E87924F-A98C-486B-B33D-6DD404E94618}"/>
    <cellStyle name="Comma 10 3 17" xfId="459" xr:uid="{AE3306BD-7812-4A2B-B632-F0DE75835457}"/>
    <cellStyle name="Comma 10 3 2" xfId="460" xr:uid="{EF248761-FC48-42E2-88D1-F6B0D82541C0}"/>
    <cellStyle name="Comma 10 3 3" xfId="461" xr:uid="{9E703699-1895-4028-B214-75B2CF8DD812}"/>
    <cellStyle name="Comma 10 3 4" xfId="462" xr:uid="{D79785E9-6B06-4CE6-9069-1695AC4CCF66}"/>
    <cellStyle name="Comma 10 3 5" xfId="463" xr:uid="{85119826-DC66-4F53-8B60-D1D61F5A6BB4}"/>
    <cellStyle name="Comma 10 3 6" xfId="464" xr:uid="{0AF73299-6D7D-4CD4-A022-AE8EBD765AB6}"/>
    <cellStyle name="Comma 10 3 7" xfId="465" xr:uid="{4F7ED5E2-D659-4222-A3F3-5273695C83A7}"/>
    <cellStyle name="Comma 10 3 8" xfId="466" xr:uid="{075BA881-751A-46B2-861D-CD260E702453}"/>
    <cellStyle name="Comma 10 3 9" xfId="467" xr:uid="{1372429F-5912-4505-8DC9-F68CF550475B}"/>
    <cellStyle name="Comma 10 4" xfId="468" xr:uid="{892B04F6-1C8D-4200-B6CB-B0148ABBC55A}"/>
    <cellStyle name="Comma 10 4 10" xfId="469" xr:uid="{D51D1FD0-3934-47D0-81E8-F9EC6EAEAF50}"/>
    <cellStyle name="Comma 10 4 11" xfId="470" xr:uid="{B4BB2DBA-B643-4826-8260-58251C0AA8A2}"/>
    <cellStyle name="Comma 10 4 12" xfId="471" xr:uid="{1DE4F001-9A27-41E7-AF74-FEC4BAB181D0}"/>
    <cellStyle name="Comma 10 4 13" xfId="472" xr:uid="{56A5CC37-5114-42AD-84D7-741989675CE0}"/>
    <cellStyle name="Comma 10 4 14" xfId="473" xr:uid="{86DE866D-0C30-4A2B-89EF-4FAE0F4BA18A}"/>
    <cellStyle name="Comma 10 4 15" xfId="474" xr:uid="{587C1285-C282-42FC-8727-669515C5C4E1}"/>
    <cellStyle name="Comma 10 4 16" xfId="475" xr:uid="{C9DB269C-B52F-4310-9FE0-E49C69A3DD92}"/>
    <cellStyle name="Comma 10 4 17" xfId="476" xr:uid="{5B0B247E-2D09-4373-9997-987D8E01404A}"/>
    <cellStyle name="Comma 10 4 2" xfId="477" xr:uid="{34BC0AC7-6F9F-4E67-864D-6997555F00F4}"/>
    <cellStyle name="Comma 10 4 3" xfId="478" xr:uid="{125FA83B-21DB-49F6-949E-F150DF911BF4}"/>
    <cellStyle name="Comma 10 4 4" xfId="479" xr:uid="{944395A3-365A-4752-9911-008A867FB71B}"/>
    <cellStyle name="Comma 10 4 5" xfId="480" xr:uid="{4770F347-07A0-4D01-975C-486B70040E6F}"/>
    <cellStyle name="Comma 10 4 6" xfId="481" xr:uid="{CF87A2E2-A29A-4783-8F42-67DF147BA5B5}"/>
    <cellStyle name="Comma 10 4 7" xfId="482" xr:uid="{7BD8EC99-E45C-4F55-9C08-FCB6F7452BBE}"/>
    <cellStyle name="Comma 10 4 8" xfId="483" xr:uid="{E33ADC4E-0865-4F3D-9869-267A3CB3CE2D}"/>
    <cellStyle name="Comma 10 4 9" xfId="484" xr:uid="{E77DD074-7DF6-44F2-8A20-96A039773276}"/>
    <cellStyle name="Comma 10 5" xfId="485" xr:uid="{EC48B89A-380D-4016-93DF-FACF735A6EEE}"/>
    <cellStyle name="Comma 10 5 10" xfId="486" xr:uid="{4619FB2C-D1A8-4ABC-B11D-24AEC8C3C9B2}"/>
    <cellStyle name="Comma 10 5 11" xfId="487" xr:uid="{F91B25A1-62EE-4434-AFDE-F23A51E98AB5}"/>
    <cellStyle name="Comma 10 5 12" xfId="488" xr:uid="{F76C0732-DBA2-4189-928C-11DCA3256D02}"/>
    <cellStyle name="Comma 10 5 13" xfId="489" xr:uid="{B6BACA9E-DC74-48BD-95FC-D5E38906BCDE}"/>
    <cellStyle name="Comma 10 5 14" xfId="490" xr:uid="{70912F5E-D243-4A25-B244-069C249198E5}"/>
    <cellStyle name="Comma 10 5 15" xfId="491" xr:uid="{7069C481-AF24-4FE7-A871-7EEB2C3EB464}"/>
    <cellStyle name="Comma 10 5 16" xfId="492" xr:uid="{91D3B5EC-E818-4D6D-B80A-66FF5509A57D}"/>
    <cellStyle name="Comma 10 5 17" xfId="493" xr:uid="{53B70FEB-E00A-4A73-9073-938DA9D8D21C}"/>
    <cellStyle name="Comma 10 5 2" xfId="494" xr:uid="{C4D056B1-1CC6-4277-821A-9FFDBA5755DE}"/>
    <cellStyle name="Comma 10 5 3" xfId="495" xr:uid="{0D48A024-B61B-4D88-9BA4-56C2AD188725}"/>
    <cellStyle name="Comma 10 5 4" xfId="496" xr:uid="{369665A0-C3C5-4253-A704-389C6F23437D}"/>
    <cellStyle name="Comma 10 5 5" xfId="497" xr:uid="{18AE6F47-E6F5-480F-BBA9-4C3ABB78EB5A}"/>
    <cellStyle name="Comma 10 5 6" xfId="498" xr:uid="{469C65DB-0103-45B0-9D7E-DC3754CED391}"/>
    <cellStyle name="Comma 10 5 7" xfId="499" xr:uid="{2E8C6864-4F56-4C44-A1B3-4BA229646584}"/>
    <cellStyle name="Comma 10 5 8" xfId="500" xr:uid="{BD4A1BC6-78E9-4B4F-8367-7B4DFEA88346}"/>
    <cellStyle name="Comma 10 5 9" xfId="501" xr:uid="{5625D8E9-A685-426C-8DDB-5A7F7CC6B2E9}"/>
    <cellStyle name="Comma 10 6" xfId="502" xr:uid="{47BC3296-AB68-424D-9B90-35242DF2F3AD}"/>
    <cellStyle name="Comma 10 6 10" xfId="503" xr:uid="{6BDED176-D793-48C2-872C-7E12F90783F0}"/>
    <cellStyle name="Comma 10 6 11" xfId="504" xr:uid="{1DB0BB9E-5D07-471B-BF33-00612DFB42C2}"/>
    <cellStyle name="Comma 10 6 12" xfId="505" xr:uid="{DC954738-CF7E-47CB-908C-FB79353358D4}"/>
    <cellStyle name="Comma 10 6 13" xfId="506" xr:uid="{B7BF1276-AE6A-4CDA-AA6F-75602CDDF224}"/>
    <cellStyle name="Comma 10 6 14" xfId="507" xr:uid="{D381F0BD-AE39-4EFE-B0A4-1ADD3B930716}"/>
    <cellStyle name="Comma 10 6 15" xfId="508" xr:uid="{867C7129-0FFE-41DC-8776-3AD2B5A68EAE}"/>
    <cellStyle name="Comma 10 6 16" xfId="509" xr:uid="{5FA8BCF6-89CF-4FD2-961B-FA9F6A3622F5}"/>
    <cellStyle name="Comma 10 6 17" xfId="510" xr:uid="{709DDFD6-62EE-4D77-B413-5752179549C7}"/>
    <cellStyle name="Comma 10 6 2" xfId="511" xr:uid="{505EC601-2BC3-44CC-8673-1079F53DF5BB}"/>
    <cellStyle name="Comma 10 6 3" xfId="512" xr:uid="{4B129687-FE89-455B-BBD0-8601E256F063}"/>
    <cellStyle name="Comma 10 6 4" xfId="513" xr:uid="{0019BDC9-A9C5-4070-ABB9-B035E3806585}"/>
    <cellStyle name="Comma 10 6 5" xfId="514" xr:uid="{0FA8AB4D-22CC-461C-88E5-A11EFB95F973}"/>
    <cellStyle name="Comma 10 6 6" xfId="515" xr:uid="{C0DCF806-D2B7-4235-9F11-5B69C28F3AEA}"/>
    <cellStyle name="Comma 10 6 7" xfId="516" xr:uid="{D4E14B77-9A21-498A-B8DD-EF6C85613129}"/>
    <cellStyle name="Comma 10 6 8" xfId="517" xr:uid="{E1EF985F-47A2-4327-9D17-ED91A7B4E469}"/>
    <cellStyle name="Comma 10 6 9" xfId="518" xr:uid="{B3EB464A-BDB6-4832-A37D-6B49E23D161A}"/>
    <cellStyle name="Comma 10 7" xfId="519" xr:uid="{C84A0D48-D814-4EAA-AEE6-0C9DB1841F52}"/>
    <cellStyle name="Comma 10 7 10" xfId="520" xr:uid="{1B147311-CC56-4301-8D28-8E62EE4270D1}"/>
    <cellStyle name="Comma 10 7 11" xfId="521" xr:uid="{0445B5FA-CF84-45C9-812B-0DD40099227E}"/>
    <cellStyle name="Comma 10 7 12" xfId="522" xr:uid="{5FA176FE-C854-4310-B1AF-013CEA688E8E}"/>
    <cellStyle name="Comma 10 7 13" xfId="523" xr:uid="{A3222861-B3B9-430A-815B-A6DC5D1C6FC1}"/>
    <cellStyle name="Comma 10 7 14" xfId="524" xr:uid="{871AFB75-7C34-4291-A50A-156EEB163390}"/>
    <cellStyle name="Comma 10 7 15" xfId="525" xr:uid="{99966982-3099-48FA-9C5C-D6D05A27F5CB}"/>
    <cellStyle name="Comma 10 7 16" xfId="526" xr:uid="{675F3E88-4A20-4A14-B79E-B3D7028717AB}"/>
    <cellStyle name="Comma 10 7 17" xfId="527" xr:uid="{5A58FFD6-3C01-4A57-ABC4-FD807E21D984}"/>
    <cellStyle name="Comma 10 7 2" xfId="528" xr:uid="{A5CEDC17-3803-4BC7-8FB2-60F697DEDAF6}"/>
    <cellStyle name="Comma 10 7 3" xfId="529" xr:uid="{3801C20C-6BEB-42E4-8D55-1AFA8A987727}"/>
    <cellStyle name="Comma 10 7 4" xfId="530" xr:uid="{C9FF900A-7299-4E4E-A67D-88C8341D3ECB}"/>
    <cellStyle name="Comma 10 7 5" xfId="531" xr:uid="{E07E298A-2C94-4551-87E9-47133429E340}"/>
    <cellStyle name="Comma 10 7 6" xfId="532" xr:uid="{EC8A84AA-544F-428A-AE07-C72677A713F3}"/>
    <cellStyle name="Comma 10 7 7" xfId="533" xr:uid="{4D06A793-5EE8-4674-B3F7-A23B1A99BBAA}"/>
    <cellStyle name="Comma 10 7 8" xfId="534" xr:uid="{5B9FA7B5-C813-4989-8417-2096B8E0D841}"/>
    <cellStyle name="Comma 10 7 9" xfId="535" xr:uid="{132F81CF-EF4A-41FC-B5AF-03C75A93CBD2}"/>
    <cellStyle name="Comma 10 8" xfId="536" xr:uid="{47DB7BB0-E6C5-406E-8DF3-D913CEF61689}"/>
    <cellStyle name="Comma 10 8 10" xfId="537" xr:uid="{A47AA513-61BC-4932-8213-AB80AD83A0C5}"/>
    <cellStyle name="Comma 10 8 11" xfId="538" xr:uid="{60ECDBD6-5296-4944-BE87-88F59FE9C7F2}"/>
    <cellStyle name="Comma 10 8 12" xfId="539" xr:uid="{9ED95E99-5896-4092-B973-DDA2A4ABD912}"/>
    <cellStyle name="Comma 10 8 13" xfId="540" xr:uid="{5B304128-A90F-4B3F-A05C-0A2987894E06}"/>
    <cellStyle name="Comma 10 8 14" xfId="541" xr:uid="{D91228C7-4137-41D7-A9DC-9EDCB333BFF8}"/>
    <cellStyle name="Comma 10 8 15" xfId="542" xr:uid="{C0700167-5FAA-4408-B46C-946EEE7200AE}"/>
    <cellStyle name="Comma 10 8 16" xfId="543" xr:uid="{D5A3CD1B-A42B-4F0C-ABF5-61F1F01FA17C}"/>
    <cellStyle name="Comma 10 8 17" xfId="544" xr:uid="{6D15EC6A-4E21-493E-9CF5-93480FCB8718}"/>
    <cellStyle name="Comma 10 8 2" xfId="545" xr:uid="{096E6B6F-35BB-40E1-8E98-D80906051035}"/>
    <cellStyle name="Comma 10 8 3" xfId="546" xr:uid="{A6F84871-59F4-45A5-BBC4-3204922871A8}"/>
    <cellStyle name="Comma 10 8 4" xfId="547" xr:uid="{09DB774A-ED2B-4468-8CD3-3E2DE8D1FCC9}"/>
    <cellStyle name="Comma 10 8 5" xfId="548" xr:uid="{7F0C0819-CD0C-4405-82C2-B640DE733873}"/>
    <cellStyle name="Comma 10 8 6" xfId="549" xr:uid="{AA0D416C-19A6-4C23-B110-24C6343E1FF4}"/>
    <cellStyle name="Comma 10 8 7" xfId="550" xr:uid="{88BE2F73-E400-416E-9F6C-A659922A4498}"/>
    <cellStyle name="Comma 10 8 8" xfId="551" xr:uid="{8097CBFB-7025-41F2-A6A8-5195FC852A1F}"/>
    <cellStyle name="Comma 10 8 9" xfId="552" xr:uid="{ADF47313-4EEB-493B-ACC2-3437B72E0367}"/>
    <cellStyle name="Comma 11" xfId="553" xr:uid="{6ED9277F-BCC7-4A98-9950-9A9AAFC0BB65}"/>
    <cellStyle name="Comma 12" xfId="554" xr:uid="{20291982-5470-4419-8C91-39BD97290E17}"/>
    <cellStyle name="Comma 13" xfId="555" xr:uid="{7B7B469D-149B-454B-B48A-5D949BD77C35}"/>
    <cellStyle name="Comma 14" xfId="556" xr:uid="{B41743E9-1E56-400A-8006-2D4A684636F3}"/>
    <cellStyle name="Comma 15" xfId="557" xr:uid="{7C4969F5-5321-471E-AD41-7290D0C548E6}"/>
    <cellStyle name="Comma 16" xfId="558" xr:uid="{DF266CD4-77EA-492D-B0C2-BABF85179EBC}"/>
    <cellStyle name="Comma 17" xfId="559" xr:uid="{252D2CEE-508B-4956-BD28-D57F91990CA3}"/>
    <cellStyle name="Comma 18" xfId="560" xr:uid="{56849552-EE1C-48CE-9524-F664EA973A32}"/>
    <cellStyle name="Comma 19" xfId="561" xr:uid="{B26C2ADC-EC02-4454-9ED2-7FF226137FDF}"/>
    <cellStyle name="Comma 2" xfId="562" xr:uid="{AC552860-7111-4BDC-9DD2-9C1D720EB3D0}"/>
    <cellStyle name="Comma 2 10" xfId="563" xr:uid="{38F8C41D-3BA2-4127-BBDC-058D8BDF77FF}"/>
    <cellStyle name="Comma 2 11" xfId="564" xr:uid="{AB6E544B-2BE0-4528-BE3B-C3E99A94AFE3}"/>
    <cellStyle name="Comma 2 12" xfId="565" xr:uid="{6AA5421F-BDF0-4453-AEEB-5A41F6B5B593}"/>
    <cellStyle name="Comma 2 13" xfId="566" xr:uid="{39AA5DA5-4B32-4EEA-9B40-81DAAD551CB6}"/>
    <cellStyle name="Comma 2 14" xfId="567" xr:uid="{F990EF9F-F429-4A4A-AE7D-4ABEA0C2F6BC}"/>
    <cellStyle name="Comma 2 15" xfId="568" xr:uid="{B09397A0-2B5D-4D5B-85CA-417678BBE554}"/>
    <cellStyle name="Comma 2 16" xfId="569" xr:uid="{F255443B-1CC5-46D4-A18E-9703210442E6}"/>
    <cellStyle name="Comma 2 17" xfId="570" xr:uid="{1C8B144A-22C7-4771-8C72-998299C92D79}"/>
    <cellStyle name="Comma 2 18" xfId="571" xr:uid="{E220744C-FEC4-4361-BA20-23B01900E887}"/>
    <cellStyle name="Comma 2 19" xfId="572" xr:uid="{4A8A1607-9003-4EA6-987D-E2FA4AAF12C0}"/>
    <cellStyle name="Comma 2 19 2" xfId="573" xr:uid="{AA79411B-CA8F-4194-9F4A-28EFE9D156E7}"/>
    <cellStyle name="Comma 2 19 3" xfId="574" xr:uid="{905A7EEE-F2B0-4368-9D8C-F7FDA40A6A65}"/>
    <cellStyle name="Comma 2 2" xfId="575" xr:uid="{791A6D5D-A814-419E-A98E-6F223F4BA9C4}"/>
    <cellStyle name="Comma 2 2 2" xfId="576" xr:uid="{42928FFF-DF65-45E9-9DE0-E3FBFFA08446}"/>
    <cellStyle name="Comma 2 2 3" xfId="577" xr:uid="{ECE82881-EB4F-438C-A780-0CDF0C5BD90D}"/>
    <cellStyle name="Comma 2 2 4" xfId="578" xr:uid="{6FAC4DCD-0A25-4866-A24D-E31A4DC94ECB}"/>
    <cellStyle name="Comma 2 2 5" xfId="579" xr:uid="{DD03CFA0-B2B2-493C-89D5-A085586CE85F}"/>
    <cellStyle name="Comma 2 20" xfId="580" xr:uid="{F276E7BA-3636-4F64-A7A7-0E94D9E3B088}"/>
    <cellStyle name="Comma 2 21" xfId="581" xr:uid="{105F14C6-90DC-47E4-A8FD-40400B14CAD6}"/>
    <cellStyle name="Comma 2 3" xfId="582" xr:uid="{29F9D515-2DCF-4A8B-A787-9F7067EC5626}"/>
    <cellStyle name="Comma 2 3 2" xfId="583" xr:uid="{FB4ECDD0-B420-4702-BDB0-9E352928944E}"/>
    <cellStyle name="Comma 2 3 3" xfId="584" xr:uid="{784271BA-BD5A-445C-902B-5624008F128A}"/>
    <cellStyle name="Comma 2 4" xfId="585" xr:uid="{336CE588-9659-4619-98A9-C20ED5F0D1F5}"/>
    <cellStyle name="Comma 2 5" xfId="586" xr:uid="{57E8BC09-5E53-4153-BFD0-B33AA487BFD6}"/>
    <cellStyle name="Comma 2 6" xfId="587" xr:uid="{E0FF3BBF-E07A-44A0-921B-E11A4DD4FD1D}"/>
    <cellStyle name="Comma 2 7" xfId="588" xr:uid="{BD7429B6-1F4F-40AC-8BB6-AE7B26FA72BC}"/>
    <cellStyle name="Comma 2 8" xfId="589" xr:uid="{36FA4CF6-31F5-4E68-AC0F-2D573BA8438C}"/>
    <cellStyle name="Comma 2 9" xfId="590" xr:uid="{6CC191D8-3D4F-4C8E-A21F-945292A11C53}"/>
    <cellStyle name="Comma 3" xfId="591" xr:uid="{EFF3A942-D02A-46FF-8CC7-C0150BDEA4F0}"/>
    <cellStyle name="Comma 3 10" xfId="592" xr:uid="{4D8387C8-160A-400D-975A-4B0A7845F3BB}"/>
    <cellStyle name="Comma 3 2" xfId="593" xr:uid="{5FAC27B3-C8FE-4168-AF27-ACADC521DF41}"/>
    <cellStyle name="Comma 3 3" xfId="594" xr:uid="{F96616C1-F318-4096-A6FF-36BD670B3752}"/>
    <cellStyle name="Comma 3 4" xfId="595" xr:uid="{8A05A387-8A4C-4A75-A1B8-EE6646BB7376}"/>
    <cellStyle name="Comma 3 5" xfId="596" xr:uid="{FF1F7B80-E8E0-4BC5-91E6-29BB41F191D1}"/>
    <cellStyle name="Comma 3 6" xfId="597" xr:uid="{9680860D-0AC4-49F7-AE4D-78BBE5C00956}"/>
    <cellStyle name="Comma 3 7" xfId="598" xr:uid="{6306D39D-E1A9-4475-8C22-AB853AFD14D8}"/>
    <cellStyle name="Comma 3 8" xfId="599" xr:uid="{57ED7A54-59EF-423D-AEC5-1E3BA35EAAA6}"/>
    <cellStyle name="Comma 3 9" xfId="600" xr:uid="{8735F7C5-F78C-4F27-8F0C-52F08FF39F82}"/>
    <cellStyle name="Comma 4" xfId="601" xr:uid="{666EA9D4-D283-429B-9972-1AF34CCB33D2}"/>
    <cellStyle name="Comma 4 2" xfId="602" xr:uid="{10483DF6-CD32-4ED0-8AA5-780EEFB60249}"/>
    <cellStyle name="Comma 4 3" xfId="603" xr:uid="{EEC669A4-B0AA-4FB6-8C03-B65A731EDC83}"/>
    <cellStyle name="Comma 4 4" xfId="604" xr:uid="{D3E40562-3486-4378-A09F-2E3C5E135CD2}"/>
    <cellStyle name="Comma 4 5" xfId="605" xr:uid="{F57AEBE4-4526-496E-87D8-8202C753369E}"/>
    <cellStyle name="Comma 4 6" xfId="606" xr:uid="{AE69E325-89E3-41AD-B763-9E79A4898F22}"/>
    <cellStyle name="Comma 4 7" xfId="607" xr:uid="{62701780-9F0B-4E6B-AE51-0E0D2412F5C5}"/>
    <cellStyle name="Comma 4 8" xfId="608" xr:uid="{4CB912CB-2AA9-4F05-9D9B-5A5079B2C25F}"/>
    <cellStyle name="Comma 4 9" xfId="609" xr:uid="{0AD6F7A0-7063-4F73-B076-9B9A51396E07}"/>
    <cellStyle name="Comma 5" xfId="610" xr:uid="{91E8D148-3BCC-4CCF-9736-F7A80A1B8A1A}"/>
    <cellStyle name="Comma 5 2" xfId="611" xr:uid="{9B12E61B-9B1B-43BF-9C33-C1D6B3ACB9D0}"/>
    <cellStyle name="Comma 5 3" xfId="612" xr:uid="{9D34FEE0-DD43-4B89-8C29-33ADA356C933}"/>
    <cellStyle name="Comma 5 4" xfId="613" xr:uid="{77B6F1E2-FF9C-4FEA-B01C-E190725643E2}"/>
    <cellStyle name="Comma 5 5" xfId="614" xr:uid="{AB6FC711-D840-449B-884E-CE17DF7A5892}"/>
    <cellStyle name="Comma 5 6" xfId="615" xr:uid="{FAD05973-B586-441F-8EA4-DFBF3124F2F1}"/>
    <cellStyle name="Comma 5 7" xfId="616" xr:uid="{54BD4258-6A73-4A71-BA28-520B9DA62026}"/>
    <cellStyle name="Comma 5 8" xfId="617" xr:uid="{618E9AE7-FB4F-4D66-BB74-10B9ABBDF81D}"/>
    <cellStyle name="Comma 6" xfId="618" xr:uid="{3100EA3B-12EE-4D41-94A0-CD3BFECE7C2D}"/>
    <cellStyle name="Comma 6 2" xfId="619" xr:uid="{6008823A-6A05-4BE2-9AB1-2ACCF0B200BF}"/>
    <cellStyle name="Comma 6 3" xfId="620" xr:uid="{739CCFF1-AEC8-4C20-A82B-E888B0C3327E}"/>
    <cellStyle name="Comma 6 4" xfId="621" xr:uid="{6ECC49F5-6C67-41F9-AAA2-3C6B43421EA0}"/>
    <cellStyle name="Comma 6 5" xfId="622" xr:uid="{91D105CA-B1BA-4E56-AECB-01F32114C9A3}"/>
    <cellStyle name="Comma 6 6" xfId="623" xr:uid="{07D14574-438D-4E84-8B1F-AAAD56F44823}"/>
    <cellStyle name="Comma 6 7" xfId="624" xr:uid="{DB04328A-7A68-4101-9694-1CEEC051CB0C}"/>
    <cellStyle name="Comma 6 8" xfId="625" xr:uid="{CC367ED2-08DC-4BF3-9304-684617D67631}"/>
    <cellStyle name="Comma 7" xfId="626" xr:uid="{320B562B-1DA9-4E2C-99CB-0F603F45105F}"/>
    <cellStyle name="Comma 7 10" xfId="627" xr:uid="{F4F0E5D0-FC7A-45E8-8CB2-590130A3F825}"/>
    <cellStyle name="Comma 7 11" xfId="628" xr:uid="{7C89DA23-7816-41B9-A44B-DF274C7A6FDC}"/>
    <cellStyle name="Comma 7 12" xfId="629" xr:uid="{A8988E15-C663-4014-8382-0F59A05E585A}"/>
    <cellStyle name="Comma 7 13" xfId="630" xr:uid="{61DB1C80-C38D-47E4-A859-D993D429DFAC}"/>
    <cellStyle name="Comma 7 14" xfId="631" xr:uid="{F0946BEC-713C-4CE6-BD40-FD4880E903F7}"/>
    <cellStyle name="Comma 7 15" xfId="632" xr:uid="{816B57A7-809B-4179-BB01-73A197F2AB3E}"/>
    <cellStyle name="Comma 7 16" xfId="633" xr:uid="{2AFEA77C-8FF3-4235-9412-FA37FDC94DFE}"/>
    <cellStyle name="Comma 7 17" xfId="634" xr:uid="{08029A13-BEAD-46CF-BCBF-D492593D323B}"/>
    <cellStyle name="Comma 7 18" xfId="635" xr:uid="{C4490ABF-0F18-4800-BC9E-F665195DCA51}"/>
    <cellStyle name="Comma 7 19" xfId="636" xr:uid="{D546E899-420B-4F21-99F5-E5DDB8B041FE}"/>
    <cellStyle name="Comma 7 2" xfId="637" xr:uid="{B3627C25-2441-4CF1-B4D4-456EB8E56CE1}"/>
    <cellStyle name="Comma 7 20" xfId="638" xr:uid="{783A5BA3-67BB-4476-BD48-AE4FD8A8F924}"/>
    <cellStyle name="Comma 7 21" xfId="639" xr:uid="{0596DA76-A6D5-4908-AE2A-A86D868F6241}"/>
    <cellStyle name="Comma 7 3" xfId="640" xr:uid="{94B28D04-0799-4F43-9231-44F2F443610B}"/>
    <cellStyle name="Comma 7 3 10" xfId="641" xr:uid="{AF3C24FE-0A88-443C-9F72-43B8E520F78A}"/>
    <cellStyle name="Comma 7 3 11" xfId="642" xr:uid="{67025770-A3C7-4A76-BA4B-DF65EA1ABF45}"/>
    <cellStyle name="Comma 7 3 12" xfId="643" xr:uid="{12D47653-899B-438E-8C5E-ED711EECBD09}"/>
    <cellStyle name="Comma 7 3 13" xfId="644" xr:uid="{92E52E42-DB84-440D-91B3-783476CB5D8E}"/>
    <cellStyle name="Comma 7 3 14" xfId="645" xr:uid="{425A52B9-9755-4253-B823-8F5A173712B9}"/>
    <cellStyle name="Comma 7 3 15" xfId="646" xr:uid="{BB8907DD-ED6C-4EB2-AD61-0222490D6D0C}"/>
    <cellStyle name="Comma 7 3 2" xfId="647" xr:uid="{85037995-B299-4E27-90B6-668007B5B20E}"/>
    <cellStyle name="Comma 7 3 3" xfId="648" xr:uid="{ABD1E40A-C6CD-4232-8A0C-67FD92601224}"/>
    <cellStyle name="Comma 7 3 4" xfId="649" xr:uid="{53DEEBAD-B467-4FF0-AE20-D0EFEC062D25}"/>
    <cellStyle name="Comma 7 3 5" xfId="650" xr:uid="{23691EB2-F3C7-4F3C-AF31-41B45786FF5C}"/>
    <cellStyle name="Comma 7 3 6" xfId="651" xr:uid="{2F0BC24B-0D3A-4A3A-BDB2-63C3D7E4E16B}"/>
    <cellStyle name="Comma 7 3 7" xfId="652" xr:uid="{3440FC10-FBC4-49E3-8097-847A09171A82}"/>
    <cellStyle name="Comma 7 3 8" xfId="653" xr:uid="{BB8B34A3-0EC0-4251-B9D3-E5C113CB5BF5}"/>
    <cellStyle name="Comma 7 3 9" xfId="654" xr:uid="{A9F95220-1FF8-4A0F-A943-22D402FB0EB4}"/>
    <cellStyle name="Comma 7 4" xfId="655" xr:uid="{E8E02416-254C-4A7D-BE2E-7732A7155EEA}"/>
    <cellStyle name="Comma 7 5" xfId="656" xr:uid="{528801A7-4324-4473-A78E-211B06744175}"/>
    <cellStyle name="Comma 7 6" xfId="657" xr:uid="{D9BEF22F-B3AD-4771-A34F-AF92D03A7136}"/>
    <cellStyle name="Comma 7 7" xfId="658" xr:uid="{FA3E466E-744F-4718-93B2-4C2BBF18B24B}"/>
    <cellStyle name="Comma 7 8" xfId="659" xr:uid="{CB36A185-E6B7-4E90-A181-87659FBD6E85}"/>
    <cellStyle name="Comma 7 9" xfId="660" xr:uid="{CF26CE83-D197-4359-AF80-C569183E0C05}"/>
    <cellStyle name="Comma 8" xfId="661" xr:uid="{8970B9F4-F7F5-4049-93B4-24A268A0D706}"/>
    <cellStyle name="Comma 8 2" xfId="662" xr:uid="{04DE7D1D-D45B-4FDA-AF30-7AE0E78D22FF}"/>
    <cellStyle name="Comma 8 3" xfId="663" xr:uid="{6863CE0C-1DB2-42C7-B2D4-5D1EF4B1B8B4}"/>
    <cellStyle name="Comma 8 4" xfId="664" xr:uid="{1DC1653F-72CC-4954-BF90-2F58EA6E5B01}"/>
    <cellStyle name="Comma 8 5" xfId="665" xr:uid="{0E6AEFF3-4C0F-412F-A614-07C03B783CC4}"/>
    <cellStyle name="Comma 8 6" xfId="666" xr:uid="{D1AB91A6-9D99-489A-B5D6-92ED720ED255}"/>
    <cellStyle name="Comma 8 7" xfId="667" xr:uid="{3DE6C0A7-1E52-4E4F-BEEB-FDCDCF1F61DA}"/>
    <cellStyle name="Comma 8 8" xfId="668" xr:uid="{71C3166F-9739-44FD-AB6A-F3ED53C019C7}"/>
    <cellStyle name="Comma 9" xfId="669" xr:uid="{08D28D30-81E7-4AE6-A651-08D519D74478}"/>
    <cellStyle name="Comma 9 2" xfId="670" xr:uid="{182754A9-DB54-4DEC-9E4C-2979A5B06EC6}"/>
    <cellStyle name="Comma 9 3" xfId="671" xr:uid="{23E77985-90FD-41F3-942E-BE4D865241F3}"/>
    <cellStyle name="Comma 9 4" xfId="672" xr:uid="{B49F4E46-6F34-4E0B-9F2A-D7C042059602}"/>
    <cellStyle name="Comma 9 5" xfId="673" xr:uid="{EC4CB72B-ED1D-421F-A743-3AE8EC9437C9}"/>
    <cellStyle name="Comma 9 6" xfId="674" xr:uid="{1E83BC5B-0519-41AA-917F-E130CE8215B1}"/>
    <cellStyle name="Comma 9 7" xfId="675" xr:uid="{ADEF4189-802E-4D97-950C-995745272A68}"/>
    <cellStyle name="Comma 9 8" xfId="676" xr:uid="{819BF3DD-33AF-47CA-9891-02E3BB06066B}"/>
    <cellStyle name="Comma 9 9" xfId="677" xr:uid="{9B07FB7B-8DCB-4437-8630-0DD701359CB0}"/>
    <cellStyle name="Currency 2 2" xfId="678" xr:uid="{804B9E3C-B2A4-4095-9787-FA8E3AAAEDF3}"/>
    <cellStyle name="CustomizationCells" xfId="679" xr:uid="{BBB82A5E-A4CA-4C83-868F-13BBDEE5B089}"/>
    <cellStyle name="Euro" xfId="680" xr:uid="{4D64133C-5E9A-4C89-93B3-61137BE3D1CD}"/>
    <cellStyle name="Euro 2" xfId="681" xr:uid="{B87ECD00-8774-4A84-8B9F-13F2032FAEDC}"/>
    <cellStyle name="Euro 2 2" xfId="682" xr:uid="{4F872AB0-2A41-4D79-929A-64075C6702AA}"/>
    <cellStyle name="Euro 2 2 2" xfId="683" xr:uid="{5C335D95-3315-41E4-8E2A-B169347FA271}"/>
    <cellStyle name="Euro 3" xfId="684" xr:uid="{774E5088-86AE-445B-8311-1E5634805D48}"/>
    <cellStyle name="Euro 3 2" xfId="685" xr:uid="{3DE06C1F-5BD8-46A5-8268-D239D7AD3EAD}"/>
    <cellStyle name="Euro 3 3" xfId="686" xr:uid="{92DFB21B-57B6-4926-B459-17E2806BA18F}"/>
    <cellStyle name="Euro 4" xfId="687" xr:uid="{25538D55-F3B9-4622-84D3-25C80098B3E2}"/>
    <cellStyle name="Euro 4 2" xfId="688" xr:uid="{F5E9B04E-3BDC-41FA-A667-3E6C42E3FEC5}"/>
    <cellStyle name="Euro 4 3" xfId="689" xr:uid="{424E75B8-8591-4296-A370-531F437A2979}"/>
    <cellStyle name="Euro 4 4" xfId="690" xr:uid="{999C3CB1-83B7-4F9C-AC78-0F37493C4A7E}"/>
    <cellStyle name="Euro 5" xfId="691" xr:uid="{451583C8-415C-4332-AB4B-1A02607CDCF1}"/>
    <cellStyle name="Euro 6" xfId="692" xr:uid="{2791CAEB-24A0-42A8-952D-DEC9CEEF4C8C}"/>
    <cellStyle name="Euro_UC_ICM" xfId="693" xr:uid="{CD4B360D-DD3E-4D01-820D-56164B0D5232}"/>
    <cellStyle name="Explanatory Text 2" xfId="694" xr:uid="{EE7CB695-F3EC-4035-A91F-4644B3B81A94}"/>
    <cellStyle name="Explanatory Text 2 10" xfId="695" xr:uid="{87FA0207-B364-47DE-8407-65C207167C15}"/>
    <cellStyle name="Explanatory Text 2 2" xfId="696" xr:uid="{11992FB2-5C64-4720-9E5C-82DC0F2F817E}"/>
    <cellStyle name="Explanatory Text 2 3" xfId="697" xr:uid="{DB85DDDB-C8E8-4B26-8CD6-6B08E64470CA}"/>
    <cellStyle name="Explanatory Text 2 4" xfId="698" xr:uid="{8B17D867-337C-423D-94B5-0A869F2CA101}"/>
    <cellStyle name="Explanatory Text 2 5" xfId="699" xr:uid="{228FE064-9CCD-4681-BEF0-A2FEECA2EE77}"/>
    <cellStyle name="Explanatory Text 2 6" xfId="700" xr:uid="{E66B82F0-8CB0-46BC-A7DE-45B8763B9D19}"/>
    <cellStyle name="Explanatory Text 2 7" xfId="701" xr:uid="{D85108FD-17A5-45D0-A250-C6FE99A84946}"/>
    <cellStyle name="Explanatory Text 2 8" xfId="702" xr:uid="{F5FF9DE5-168E-4221-8209-F48B24B39297}"/>
    <cellStyle name="Explanatory Text 2 9" xfId="703" xr:uid="{2752D60D-25C8-4E95-A7A2-948EBE80A0A8}"/>
    <cellStyle name="Explanatory Text 3" xfId="704" xr:uid="{0DE91C1C-F3C6-483C-BDB8-C1A78AA026AC}"/>
    <cellStyle name="Float" xfId="705" xr:uid="{F3ECA729-2C26-46AD-8EA4-B6E582988353}"/>
    <cellStyle name="Float 2" xfId="706" xr:uid="{755074EE-C648-47AC-99A2-0728275A56DB}"/>
    <cellStyle name="Float 2 2" xfId="707" xr:uid="{E910A28A-81C4-4A59-A9EE-0D00FF1F625E}"/>
    <cellStyle name="Float 3" xfId="708" xr:uid="{B3E74D6A-D9D1-4A52-8E2D-61C7BE8ADB5E}"/>
    <cellStyle name="Good 2" xfId="709" xr:uid="{29818731-9CA2-4E01-9133-407F39F2FD30}"/>
    <cellStyle name="Good 2 10" xfId="710" xr:uid="{B243C77D-B6BE-4143-A137-ACAC1F1A84C9}"/>
    <cellStyle name="Good 2 2" xfId="711" xr:uid="{52646428-A7C1-468F-A04A-8459F989A0AD}"/>
    <cellStyle name="Good 2 3" xfId="712" xr:uid="{52302485-42DD-4F29-B073-9DD9774C74CE}"/>
    <cellStyle name="Good 2 4" xfId="713" xr:uid="{24B8103A-4143-498E-8BB3-D5DD23708C5E}"/>
    <cellStyle name="Good 2 5" xfId="714" xr:uid="{CD01C9C4-888C-4D8C-8FAC-4BF1B2E9B4F7}"/>
    <cellStyle name="Good 2 6" xfId="715" xr:uid="{C2A9135D-3E91-454B-BE2D-45AA0A1EDBAD}"/>
    <cellStyle name="Good 2 7" xfId="716" xr:uid="{DCFB3A69-EE1F-4EC1-A824-0DE4F7628CA4}"/>
    <cellStyle name="Good 2 8" xfId="717" xr:uid="{250F74A5-5CCE-4EE5-A340-07FCB9E984DF}"/>
    <cellStyle name="Good 2 9" xfId="718" xr:uid="{DA1BFBAF-7D00-486C-8F6E-719E3DC2E215}"/>
    <cellStyle name="Good 3" xfId="719" xr:uid="{A9464645-6F41-4DA0-8854-5972A8B98B5D}"/>
    <cellStyle name="Heading 1 2" xfId="720" xr:uid="{77DB9F72-763F-42A4-BC16-8CD7240EB90E}"/>
    <cellStyle name="Heading 1 2 10" xfId="721" xr:uid="{1C2869A0-C9E7-4F04-8696-EB06EA835BB8}"/>
    <cellStyle name="Heading 1 2 2" xfId="722" xr:uid="{16637D4E-1F9C-45BA-9F16-BAC6257B5097}"/>
    <cellStyle name="Heading 1 2 3" xfId="723" xr:uid="{638CFC49-A6B8-4AA8-AB50-9554CB210CAC}"/>
    <cellStyle name="Heading 1 2 4" xfId="724" xr:uid="{0F610182-101A-4918-BE7C-39C2D4AA149D}"/>
    <cellStyle name="Heading 1 2 5" xfId="725" xr:uid="{AC53BF27-A2F5-4DD4-BFD2-BB5375074389}"/>
    <cellStyle name="Heading 1 2 6" xfId="726" xr:uid="{17E42BB6-5B81-49E7-B331-F48F30E72704}"/>
    <cellStyle name="Heading 1 2 7" xfId="727" xr:uid="{963A96A9-03FC-4E77-A558-19848929E2FE}"/>
    <cellStyle name="Heading 1 2 8" xfId="728" xr:uid="{C262B192-56C9-4CC2-93B6-AF2FDBB213FA}"/>
    <cellStyle name="Heading 1 2 9" xfId="729" xr:uid="{8EE6A72B-2789-4325-8BBE-1F2D8FAA17AF}"/>
    <cellStyle name="Heading 1 3" xfId="730" xr:uid="{8AA95E9B-29E2-4985-9C85-A7770FD6F827}"/>
    <cellStyle name="Heading 2 2" xfId="731" xr:uid="{7E935A5A-BEE7-4713-9EF7-A2048B090AB2}"/>
    <cellStyle name="Heading 2 2 10" xfId="732" xr:uid="{757E5E9B-98AD-476E-9AF2-3693BE9C52CA}"/>
    <cellStyle name="Heading 2 2 2" xfId="733" xr:uid="{630CFCB8-05A4-4394-9A9A-F4425B3B4EDA}"/>
    <cellStyle name="Heading 2 2 3" xfId="734" xr:uid="{BE235A6E-6F9A-42D8-B975-95977E94C9B9}"/>
    <cellStyle name="Heading 2 2 4" xfId="735" xr:uid="{0319B72F-1218-4098-BAC9-91781A76BA3A}"/>
    <cellStyle name="Heading 2 2 5" xfId="736" xr:uid="{8E92A45D-ACA9-499E-BF18-487C6CFBF3F4}"/>
    <cellStyle name="Heading 2 2 6" xfId="737" xr:uid="{9A166EFB-0402-46B9-82A1-13CF54F8D404}"/>
    <cellStyle name="Heading 2 2 7" xfId="738" xr:uid="{EDDCD6AA-A75A-4074-8FFB-0E54F71FC35D}"/>
    <cellStyle name="Heading 2 2 8" xfId="739" xr:uid="{6BDEF69D-323B-4CD5-B6A7-8D821EECEBFA}"/>
    <cellStyle name="Heading 2 2 9" xfId="740" xr:uid="{722C8834-46EB-4119-9F7B-FD8CD9AFB71B}"/>
    <cellStyle name="Heading 2 3" xfId="741" xr:uid="{AB73F4A5-96E1-4654-BF16-92AA53A75A41}"/>
    <cellStyle name="Heading 3 2" xfId="742" xr:uid="{BFB1B219-A895-42C9-9313-FCCFD8B37B0F}"/>
    <cellStyle name="Heading 3 2 10" xfId="743" xr:uid="{3816F9DB-06A0-4004-9F86-363CDFB4CAF4}"/>
    <cellStyle name="Heading 3 2 2" xfId="744" xr:uid="{CF57E570-557B-46B3-A376-F5929C117531}"/>
    <cellStyle name="Heading 3 2 3" xfId="745" xr:uid="{B3E29DD6-9D11-4135-8677-F8BA0985B2DD}"/>
    <cellStyle name="Heading 3 2 4" xfId="746" xr:uid="{F905E145-352F-4505-9E6E-15B826369864}"/>
    <cellStyle name="Heading 3 2 5" xfId="747" xr:uid="{BAB5354E-1013-4EFF-8144-4CF3B27C5EC5}"/>
    <cellStyle name="Heading 3 2 6" xfId="748" xr:uid="{C2CD6B65-D0E5-429B-B90C-E76937C73D5F}"/>
    <cellStyle name="Heading 3 2 7" xfId="749" xr:uid="{FA1243C6-5BA5-4042-8026-D5B0F821429E}"/>
    <cellStyle name="Heading 3 2 8" xfId="750" xr:uid="{552AC23B-BF87-4497-8FA4-55E11AD7FD29}"/>
    <cellStyle name="Heading 3 2 9" xfId="751" xr:uid="{FE7B4D33-7735-4B53-9876-B77C239BF21C}"/>
    <cellStyle name="Heading 3 3" xfId="752" xr:uid="{196424BF-2B3D-4AC4-B05D-A5E20A5B525A}"/>
    <cellStyle name="Heading 4 2" xfId="753" xr:uid="{4494A425-7BAB-47C6-A200-369B103ADC9F}"/>
    <cellStyle name="Heading 4 2 10" xfId="754" xr:uid="{47833F6C-CBA6-4A07-BE17-0F7374DD2C14}"/>
    <cellStyle name="Heading 4 2 2" xfId="755" xr:uid="{B30EB59A-C476-4347-AB2A-B035097B9527}"/>
    <cellStyle name="Heading 4 2 3" xfId="756" xr:uid="{C44401BB-032D-4CC8-8ABF-F3BE5A2ECD85}"/>
    <cellStyle name="Heading 4 2 4" xfId="757" xr:uid="{F5D055C8-DA59-4186-8C3D-6CEE2F6774F8}"/>
    <cellStyle name="Heading 4 2 5" xfId="758" xr:uid="{1E91FB59-5E3F-402B-9196-398D72888FDF}"/>
    <cellStyle name="Heading 4 2 6" xfId="759" xr:uid="{5B3FDFA3-A421-41ED-A765-21690BF1A88C}"/>
    <cellStyle name="Heading 4 2 7" xfId="760" xr:uid="{77975052-2E31-45EA-A8FE-96E20C8A433B}"/>
    <cellStyle name="Heading 4 2 8" xfId="761" xr:uid="{C8FFBD7F-FE70-47B6-8E1A-660FE5675C49}"/>
    <cellStyle name="Heading 4 2 9" xfId="762" xr:uid="{9251EECE-6FCF-4551-9D06-7E838D16ABC5}"/>
    <cellStyle name="Heading 4 3" xfId="763" xr:uid="{D8B19F35-5E9B-4586-9637-B86A52AE9D3A}"/>
    <cellStyle name="Hyperlink" xfId="1" builtinId="8"/>
    <cellStyle name="Input 2" xfId="764" xr:uid="{5563051E-678E-4D80-AA46-D28E008D99F7}"/>
    <cellStyle name="Input 2 10" xfId="765" xr:uid="{AD5E966A-B7B0-43F4-A30A-ECB54148539E}"/>
    <cellStyle name="Input 2 2" xfId="766" xr:uid="{D96ABBBD-6BFD-4BE1-BE4C-C6F0F94F99D7}"/>
    <cellStyle name="Input 2 3" xfId="767" xr:uid="{C5C1B75A-A6F7-413A-BE5F-674CD911636A}"/>
    <cellStyle name="Input 2 4" xfId="768" xr:uid="{1A5E8BE1-1D78-4D7C-B473-14D1C373D3B5}"/>
    <cellStyle name="Input 2 5" xfId="769" xr:uid="{280581F8-A70F-4F44-989C-D23E7D3EF23D}"/>
    <cellStyle name="Input 2 6" xfId="770" xr:uid="{623F599F-532D-4F6B-A1C5-CA6991EE93E8}"/>
    <cellStyle name="Input 2 7" xfId="771" xr:uid="{8A7F2EE3-8C09-4F99-9577-83772321C04F}"/>
    <cellStyle name="Input 2 8" xfId="772" xr:uid="{50C3E0A3-161D-4281-B641-649FEAD97864}"/>
    <cellStyle name="Input 2 9" xfId="773" xr:uid="{181AEA1D-51A9-4E26-977C-BD8E16FD0F64}"/>
    <cellStyle name="Input 3" xfId="774" xr:uid="{5DF61208-2056-460A-A74E-0AC0C05CCA9B}"/>
    <cellStyle name="InputCells" xfId="775" xr:uid="{FB07D717-714C-4543-ADE0-040C1C64C257}"/>
    <cellStyle name="Linked Cell 2" xfId="776" xr:uid="{7F82D497-A737-44FB-AA64-873DB0C2ECAF}"/>
    <cellStyle name="Linked Cell 2 10" xfId="777" xr:uid="{1975F835-8137-4391-992E-6CC7FA8F2269}"/>
    <cellStyle name="Linked Cell 2 2" xfId="778" xr:uid="{2A149D3F-2243-4859-9EFC-AE5EA49BC645}"/>
    <cellStyle name="Linked Cell 2 3" xfId="779" xr:uid="{F4EC56C3-B630-47F3-AFE9-443CC36F0A3B}"/>
    <cellStyle name="Linked Cell 2 4" xfId="780" xr:uid="{4DA969EC-36CA-4E1A-B7FA-5818292C5A6B}"/>
    <cellStyle name="Linked Cell 2 5" xfId="781" xr:uid="{CDBD27AC-B17A-45E6-AA5F-245A216CBC58}"/>
    <cellStyle name="Linked Cell 2 6" xfId="782" xr:uid="{6FC1ABC5-C786-4E9A-ACCC-DF081694EED4}"/>
    <cellStyle name="Linked Cell 2 7" xfId="783" xr:uid="{7AB5286F-2E68-4F7B-A3DF-CCE365A9E6AF}"/>
    <cellStyle name="Linked Cell 2 8" xfId="784" xr:uid="{26504146-D811-48E0-8640-377710C2FCCE}"/>
    <cellStyle name="Linked Cell 2 9" xfId="785" xr:uid="{80D1B83C-8446-44CA-8FC2-B5E04A208BD2}"/>
    <cellStyle name="Linked Cell 3" xfId="786" xr:uid="{7A378EEF-7FB2-48DC-A78D-1D637DEE5AF7}"/>
    <cellStyle name="Migliaia_Oil&amp;Gas IFE ARC POLITO" xfId="787" xr:uid="{B507D497-EFE2-4CDF-AB32-D0A2B9487D5A}"/>
    <cellStyle name="Neutral 2" xfId="788" xr:uid="{69B4F2E5-4334-47A8-B21E-41FEEB32327D}"/>
    <cellStyle name="Neutral 2 10" xfId="789" xr:uid="{A374CE93-3FF4-48E1-BF90-5040E364D69A}"/>
    <cellStyle name="Neutral 2 2" xfId="790" xr:uid="{78A336A6-5695-4DEE-ACC3-1E868CFFA5B6}"/>
    <cellStyle name="Neutral 2 3" xfId="791" xr:uid="{A3339267-0766-424E-A1FF-E0C74321F5A9}"/>
    <cellStyle name="Neutral 2 4" xfId="792" xr:uid="{B90F7E64-96E2-472A-B829-EF9A17C5374D}"/>
    <cellStyle name="Neutral 2 5" xfId="793" xr:uid="{C054B15F-9E6A-40FC-B18C-235C28DCD5B3}"/>
    <cellStyle name="Neutral 2 6" xfId="794" xr:uid="{D9BAA93E-346A-4395-99F4-BB5F98E3339F}"/>
    <cellStyle name="Neutral 2 7" xfId="795" xr:uid="{8885C6DE-FD6E-4838-A8D5-05233897DD4F}"/>
    <cellStyle name="Neutral 2 8" xfId="796" xr:uid="{051CA31B-27D0-4EB5-B36F-EB885B327FB7}"/>
    <cellStyle name="Neutral 2 9" xfId="797" xr:uid="{6EF0C7F8-5244-4229-920D-DDFCC4D6DEB7}"/>
    <cellStyle name="Neutral 3" xfId="798" xr:uid="{FC78C9A0-28AE-4463-AB65-31277BC27F39}"/>
    <cellStyle name="Normal" xfId="0" builtinId="0"/>
    <cellStyle name="Normal 10" xfId="799" xr:uid="{90D25429-D48C-4FF2-8E05-078BBE729BD8}"/>
    <cellStyle name="Normal 10 2" xfId="800" xr:uid="{B8FA49E0-5AE2-4B54-AD56-366412458252}"/>
    <cellStyle name="Normal 10 2 2 2 2 2" xfId="1792" xr:uid="{8603654C-E851-4CCC-959B-61DD9E4BA4B9}"/>
    <cellStyle name="Normal 10 3" xfId="801" xr:uid="{62D16113-1F2D-4FC8-975B-39D11A39F582}"/>
    <cellStyle name="Normal 10 4" xfId="802" xr:uid="{4437108F-8421-43BC-A420-540C1B275C82}"/>
    <cellStyle name="Normal 10 5" xfId="803" xr:uid="{0CB2D287-0C51-4C08-8CBE-81BC0DF139A9}"/>
    <cellStyle name="Normal 10 6" xfId="804" xr:uid="{F16FAAF5-DB22-4501-BF1A-68586D3C9831}"/>
    <cellStyle name="Normal 10 7" xfId="805" xr:uid="{52C78DCD-507F-4501-A71B-2C3917B1A5D3}"/>
    <cellStyle name="Normal 10 8" xfId="806" xr:uid="{22E9469B-1CBC-4EE6-B793-64DF1DCB19FB}"/>
    <cellStyle name="Normal 10 9" xfId="807" xr:uid="{D669DE7E-257D-4B63-A49C-E0E55FDF9778}"/>
    <cellStyle name="Normal 11" xfId="808" xr:uid="{59FF6E62-5428-4AC4-A063-9842EECB31DD}"/>
    <cellStyle name="Normal 11 2" xfId="809" xr:uid="{13D60D02-42FA-43C3-B4BD-49133732A3EC}"/>
    <cellStyle name="Normal 11 3" xfId="810" xr:uid="{23475D12-67D6-4311-830C-246D830A1576}"/>
    <cellStyle name="Normal 11 4" xfId="811" xr:uid="{90424DB9-396A-47D1-8B91-994817373778}"/>
    <cellStyle name="Normal 11 5" xfId="812" xr:uid="{4F48FC6E-28DA-4EB5-8A29-736BE9D9AF9C}"/>
    <cellStyle name="Normal 11 6" xfId="813" xr:uid="{8248A834-9CEE-4624-9067-AD32164F708B}"/>
    <cellStyle name="Normal 11 7" xfId="814" xr:uid="{639AAE11-ED68-461A-8CF1-8CB9FACEDE83}"/>
    <cellStyle name="Normal 11 8" xfId="815" xr:uid="{5171DF9E-EBF1-4E41-9117-DBF6E53EA935}"/>
    <cellStyle name="Normal 12" xfId="816" xr:uid="{18F4FD57-8093-4514-A785-447B0E17F930}"/>
    <cellStyle name="Normal 12 2" xfId="817" xr:uid="{03F62BF2-60FB-49EC-BE6E-9C182E94B3F6}"/>
    <cellStyle name="Normal 12 3" xfId="818" xr:uid="{AF6E5BD2-11A5-4888-B32F-E3D4190C9916}"/>
    <cellStyle name="Normal 12 4" xfId="819" xr:uid="{4FC930B1-C656-4CE2-ACD4-F7A4431876DF}"/>
    <cellStyle name="Normal 12 5" xfId="820" xr:uid="{0D211D73-1ECC-43EE-915B-9C2F894EA83B}"/>
    <cellStyle name="Normal 12 6" xfId="821" xr:uid="{72E7CC4D-12C5-4F2E-8433-A08F8B661343}"/>
    <cellStyle name="Normal 12 7" xfId="822" xr:uid="{2CC6D5CC-43D6-4406-BE7D-3DF0DE06BFBA}"/>
    <cellStyle name="Normal 12 8" xfId="823" xr:uid="{180387C3-5B9A-4D22-A5E2-5AA919B89527}"/>
    <cellStyle name="Normal 13" xfId="824" xr:uid="{FE70AA5A-A9FE-4BA0-97DF-466F4EAAAA75}"/>
    <cellStyle name="Normal 13 10" xfId="825" xr:uid="{77E4D2AE-42B7-4523-A737-CEDC21273A3B}"/>
    <cellStyle name="Normal 13 11" xfId="826" xr:uid="{75A939FF-9C28-43D6-9098-7C2E1880F745}"/>
    <cellStyle name="Normal 13 12" xfId="827" xr:uid="{F1B0B143-7AD6-4942-B0B4-A62ADEE8B749}"/>
    <cellStyle name="Normal 13 13" xfId="828" xr:uid="{2C735E4E-A089-4AF7-B9B9-BF1B9B40DFAF}"/>
    <cellStyle name="Normal 13 14" xfId="829" xr:uid="{10DDA949-96DC-4D7A-BC78-AE38CC9CB2C0}"/>
    <cellStyle name="Normal 13 15" xfId="830" xr:uid="{1E968525-8AB1-4738-8296-8525C4BC3403}"/>
    <cellStyle name="Normal 13 16" xfId="831" xr:uid="{65713937-03CA-45C2-9BF3-111B17FDB05D}"/>
    <cellStyle name="Normal 13 17" xfId="832" xr:uid="{EB0AF658-264B-47C5-8AA2-6BD6D79DDEE4}"/>
    <cellStyle name="Normal 13 18" xfId="833" xr:uid="{D1059638-BB49-462E-A2A8-267B62B61746}"/>
    <cellStyle name="Normal 13 19" xfId="834" xr:uid="{5F50495D-7FEA-4BD2-ACD3-392890F00023}"/>
    <cellStyle name="Normal 13 2" xfId="835" xr:uid="{D832CBA4-5F2A-4961-ACF6-7A8356BAB3E6}"/>
    <cellStyle name="Normal 13 2 2" xfId="836" xr:uid="{50D1DD80-9168-4D9E-B802-1F6E16EA832C}"/>
    <cellStyle name="Normal 13 2 3" xfId="837" xr:uid="{B56110F3-82A6-4ECD-BC90-9D5323B240E0}"/>
    <cellStyle name="Normal 13 2 4" xfId="838" xr:uid="{655B09C0-F55B-4E11-85D6-8FE28D65EC10}"/>
    <cellStyle name="Normal 13 2 5" xfId="839" xr:uid="{FF9CCB5B-BF5E-4342-ABCF-91203087E112}"/>
    <cellStyle name="Normal 13 2 6" xfId="840" xr:uid="{9AA9B4A1-FE97-4ABF-B628-9654EA4D3F66}"/>
    <cellStyle name="Normal 13 2 7" xfId="841" xr:uid="{850AC8CF-B0B9-4166-8381-3CA0981480EF}"/>
    <cellStyle name="Normal 13 2 8" xfId="842" xr:uid="{6C87A482-B08B-44C0-A3E2-E5D20FDDBDFE}"/>
    <cellStyle name="Normal 13 20" xfId="843" xr:uid="{EEA212B2-06BF-4217-909E-233BE4672C61}"/>
    <cellStyle name="Normal 13 21" xfId="844" xr:uid="{0C2DA013-5123-4D5E-87EC-1E0DAFD4AB1D}"/>
    <cellStyle name="Normal 13 22" xfId="845" xr:uid="{042D342E-14E5-4CE9-9431-8177CAECACD3}"/>
    <cellStyle name="Normal 13 23" xfId="846" xr:uid="{6040F69C-3FA4-4B06-9EA1-59CE501F7568}"/>
    <cellStyle name="Normal 13 24" xfId="847" xr:uid="{F01EA090-5EB9-4114-85AB-B227F6609965}"/>
    <cellStyle name="Normal 13 25" xfId="848" xr:uid="{70CB4AE0-70B3-4168-B2F9-6423C689665D}"/>
    <cellStyle name="Normal 13 26" xfId="849" xr:uid="{94F90750-050B-4CB7-AFCF-B8979A39EC96}"/>
    <cellStyle name="Normal 13 27" xfId="850" xr:uid="{00A317E6-7BF5-45E5-A40D-D7EA3A15BB85}"/>
    <cellStyle name="Normal 13 28" xfId="851" xr:uid="{2DB81F42-69D8-4798-BA65-588F821D018B}"/>
    <cellStyle name="Normal 13 29" xfId="852" xr:uid="{701B0B80-EB3A-432B-8810-FCE1370F4B34}"/>
    <cellStyle name="Normal 13 3" xfId="853" xr:uid="{21A08AD1-9995-440B-B94F-B58B831C8141}"/>
    <cellStyle name="Normal 13 30" xfId="854" xr:uid="{0320BFA0-15F7-4743-9793-7E4A254C3912}"/>
    <cellStyle name="Normal 13 31" xfId="855" xr:uid="{0BD904EC-BF17-4824-A6FB-D502AA2DCC78}"/>
    <cellStyle name="Normal 13 32" xfId="856" xr:uid="{5309C304-EB5A-40DD-BF3B-6298298711F9}"/>
    <cellStyle name="Normal 13 33" xfId="857" xr:uid="{22E374F1-658E-4E8E-A001-BD11CBBB53F3}"/>
    <cellStyle name="Normal 13 34" xfId="858" xr:uid="{069FE3CE-606B-4E88-AAC7-E14B0E25FFE9}"/>
    <cellStyle name="Normal 13 35" xfId="859" xr:uid="{FBDFF18B-A3BB-4008-926E-29C2D4D63608}"/>
    <cellStyle name="Normal 13 36" xfId="860" xr:uid="{86AA3733-FEF8-419E-AE66-33562554B388}"/>
    <cellStyle name="Normal 13 37" xfId="861" xr:uid="{333D3215-A5D3-41B0-A2EC-B64F198F6DBB}"/>
    <cellStyle name="Normal 13 38" xfId="862" xr:uid="{DB8AFDD5-317C-4414-9C53-F636CED75CC3}"/>
    <cellStyle name="Normal 13 4" xfId="863" xr:uid="{C6CA11B5-E22B-4944-839B-E868563E8544}"/>
    <cellStyle name="Normal 13 5" xfId="864" xr:uid="{B4D39CA5-AF3A-4076-96A1-0CC345606115}"/>
    <cellStyle name="Normal 13 6" xfId="865" xr:uid="{E9E88A2C-E8EC-498B-81CD-ABA994F0BD36}"/>
    <cellStyle name="Normal 13 7" xfId="866" xr:uid="{73E87BF0-B3A5-4E1C-80E0-376BA6AEB9B1}"/>
    <cellStyle name="Normal 13 8" xfId="867" xr:uid="{73373A93-0EFC-4ED7-AB05-F655732470D5}"/>
    <cellStyle name="Normal 13 9" xfId="868" xr:uid="{4A6A21E3-3BC0-443F-945F-D5F29C5F07DA}"/>
    <cellStyle name="Normal 14" xfId="869" xr:uid="{C8A37BE0-23BC-4E4E-A652-7B17894A31A2}"/>
    <cellStyle name="Normal 14 10" xfId="870" xr:uid="{ED9F973C-6E03-42A4-B024-4785C26ABC26}"/>
    <cellStyle name="Normal 14 11" xfId="871" xr:uid="{71AAADE6-25A0-4946-B434-ED6429C33AEC}"/>
    <cellStyle name="Normal 14 12" xfId="872" xr:uid="{B13226D6-6BF5-4739-A96D-0D0080AF2C4C}"/>
    <cellStyle name="Normal 14 13" xfId="873" xr:uid="{AF9EE63C-43B7-4374-92E1-DFE2B2376E86}"/>
    <cellStyle name="Normal 14 14" xfId="874" xr:uid="{1525B222-557B-4999-9226-9FF103EAAF84}"/>
    <cellStyle name="Normal 14 15" xfId="875" xr:uid="{FBCAE65C-0BB5-42E2-8DDD-BA2446D0375E}"/>
    <cellStyle name="Normal 14 2" xfId="876" xr:uid="{BF209D16-7349-4385-8689-51F7993DE34F}"/>
    <cellStyle name="Normal 14 2 2" xfId="877" xr:uid="{1C7D9833-51FD-4D4B-94F9-642E29211D97}"/>
    <cellStyle name="Normal 14 2 3" xfId="878" xr:uid="{7A488CAB-1768-49DB-ACB7-398201C978DE}"/>
    <cellStyle name="Normal 14 2 4" xfId="879" xr:uid="{2FFE266D-9187-4011-B400-09E92F40FF3E}"/>
    <cellStyle name="Normal 14 2 5" xfId="880" xr:uid="{6273F8D3-AF93-4E5E-9199-F2E2C78692E3}"/>
    <cellStyle name="Normal 14 2 6" xfId="881" xr:uid="{663FA334-4F6E-4D7A-B0DC-A523118754C5}"/>
    <cellStyle name="Normal 14 2 7" xfId="882" xr:uid="{8C5033DA-6215-4AB2-A0CF-DC2A8D86BDB2}"/>
    <cellStyle name="Normal 14 3" xfId="883" xr:uid="{D67F6BA8-05EB-4582-9384-F84010A529C0}"/>
    <cellStyle name="Normal 14 4" xfId="884" xr:uid="{B57F4EF0-CB80-47D6-B7F8-B81711BBD2FF}"/>
    <cellStyle name="Normal 14 5" xfId="885" xr:uid="{83DAEFE9-31BB-4189-A91A-DB2B80052F11}"/>
    <cellStyle name="Normal 14 6" xfId="886" xr:uid="{1ABA719F-7965-48C8-B7EE-1FACFA3FD391}"/>
    <cellStyle name="Normal 14 7" xfId="887" xr:uid="{505ABC27-303E-4030-9C60-CBC41052EC1F}"/>
    <cellStyle name="Normal 14 8" xfId="888" xr:uid="{A25DF600-EE41-4144-A657-FA05F83B6D43}"/>
    <cellStyle name="Normal 14 9" xfId="889" xr:uid="{D77C4B8C-EED6-4265-9DAD-64A27E1D4FA2}"/>
    <cellStyle name="Normal 15" xfId="890" xr:uid="{A0494B97-CD6D-4F3A-8654-5141A741B14F}"/>
    <cellStyle name="Normal 15 2" xfId="891" xr:uid="{AEC24555-5461-492B-B7F2-F75F34BD7E6C}"/>
    <cellStyle name="Normal 15 3" xfId="892" xr:uid="{5B90A81E-E263-49F9-8CC6-33B4E8CAE5D3}"/>
    <cellStyle name="Normal 15 4" xfId="893" xr:uid="{E500487E-A486-4024-8E13-CEB49F1C1A2F}"/>
    <cellStyle name="Normal 15 5" xfId="894" xr:uid="{542B0FEE-AEF2-474F-9B14-0A7844551A61}"/>
    <cellStyle name="Normal 15 6" xfId="895" xr:uid="{98333EA0-C19A-4861-AAF3-843C8C04EEE3}"/>
    <cellStyle name="Normal 16" xfId="896" xr:uid="{AFD49503-5738-4D10-BF0F-DBCE0D2213C3}"/>
    <cellStyle name="Normal 16 2" xfId="897" xr:uid="{01FFCAB0-BDEC-490A-973D-D1A0BA3BCD05}"/>
    <cellStyle name="Normal 16 3" xfId="898" xr:uid="{A42B73DE-A4F8-4F6A-B69D-E774912A61DD}"/>
    <cellStyle name="Normal 16 4" xfId="899" xr:uid="{A675868A-8EBA-4C89-8AAB-7577767B110C}"/>
    <cellStyle name="Normal 16 5" xfId="900" xr:uid="{E7BD661D-74AA-424F-8124-3A709FD2D2F7}"/>
    <cellStyle name="Normal 16 6" xfId="901" xr:uid="{350B8060-5C0F-4E6B-A916-5E3ECA4BC9D5}"/>
    <cellStyle name="Normal 17" xfId="902" xr:uid="{51D59A99-A205-4748-82F6-3FBAF76471CA}"/>
    <cellStyle name="Normal 17 10" xfId="903" xr:uid="{67A8E2AD-7481-47A9-BA5F-F307FB6CEFE3}"/>
    <cellStyle name="Normal 17 11" xfId="904" xr:uid="{CDFBBCC2-4F67-4EFF-B2D2-FD98E76A4D3F}"/>
    <cellStyle name="Normal 17 12" xfId="905" xr:uid="{B80944E9-FFD4-4E9A-AD91-C8B69A71F303}"/>
    <cellStyle name="Normal 17 13" xfId="906" xr:uid="{97217EE6-EF98-43FB-8671-259498F2AE24}"/>
    <cellStyle name="Normal 17 2" xfId="907" xr:uid="{79D0711C-B315-4269-B222-DA72620E1C12}"/>
    <cellStyle name="Normal 17 3" xfId="908" xr:uid="{2AAE35C9-55F1-460A-87D4-83DB4D672869}"/>
    <cellStyle name="Normal 17 4" xfId="909" xr:uid="{A6353320-DCEA-45EE-B9B9-933436219277}"/>
    <cellStyle name="Normal 17 5" xfId="910" xr:uid="{05A4FF8F-8371-4B4B-8598-53D54CD9D3EB}"/>
    <cellStyle name="Normal 17 6" xfId="911" xr:uid="{6B78AD4F-309A-4810-A432-546E2CA19221}"/>
    <cellStyle name="Normal 17 7" xfId="912" xr:uid="{D7EDDB29-D686-478C-AAB1-918D5FB25747}"/>
    <cellStyle name="Normal 17 8" xfId="913" xr:uid="{56A3C72F-E808-455E-93E6-CE5B39598D75}"/>
    <cellStyle name="Normal 17 9" xfId="914" xr:uid="{E11D8C99-830F-4575-8332-42041820806C}"/>
    <cellStyle name="Normal 18" xfId="915" xr:uid="{C3C7F2EF-E74B-4DA3-B4C5-5E6B62FF5B87}"/>
    <cellStyle name="Normal 19" xfId="916" xr:uid="{D26D9F27-1FBA-4AAB-83AE-241404E5A5D6}"/>
    <cellStyle name="Normal 2" xfId="2" xr:uid="{5CD6EEE1-73B2-4911-9FC2-AF042D96273E}"/>
    <cellStyle name="Normal 2 10" xfId="918" xr:uid="{A47950EC-B87B-4299-B249-5BC60AEB2DFA}"/>
    <cellStyle name="Normal 2 11" xfId="919" xr:uid="{CE6D3F83-E9E3-4A43-8C07-51687D1C61A2}"/>
    <cellStyle name="Normal 2 12" xfId="920" xr:uid="{7DA5F829-4A53-49E5-A63F-1C1C20789624}"/>
    <cellStyle name="Normal 2 13" xfId="921" xr:uid="{5566B7A6-02DF-405D-AB4A-AF42505679AC}"/>
    <cellStyle name="Normal 2 14" xfId="922" xr:uid="{ECE6DA8E-BB29-4784-A358-5044419076CB}"/>
    <cellStyle name="Normal 2 15" xfId="923" xr:uid="{EC6D89FF-7C58-4569-974F-096C940CEF59}"/>
    <cellStyle name="Normal 2 16" xfId="924" xr:uid="{DAEBD861-4F02-4568-99DB-22F87287E9DC}"/>
    <cellStyle name="Normal 2 17" xfId="925" xr:uid="{BADFFD49-8532-4FB8-8F52-D3F34174122B}"/>
    <cellStyle name="Normal 2 18" xfId="926" xr:uid="{2A0A727C-C7B1-4461-899F-B0E6256CDCE2}"/>
    <cellStyle name="Normal 2 19" xfId="927" xr:uid="{679DE14A-CE23-4822-B786-5384C93B660A}"/>
    <cellStyle name="Normal 2 2" xfId="928" xr:uid="{C79BE614-2BC8-43E9-B4E8-6F6076D32F10}"/>
    <cellStyle name="Normal 2 2 10" xfId="929" xr:uid="{A112ABCA-B42C-4814-9AAE-A6589D5FD1AE}"/>
    <cellStyle name="Normal 2 2 11" xfId="930" xr:uid="{FB82F43A-232A-4216-A2D9-73C4EBA86A92}"/>
    <cellStyle name="Normal 2 2 12" xfId="931" xr:uid="{BA58E222-D71C-48F1-9886-64F0B2F4D7B7}"/>
    <cellStyle name="Normal 2 2 13" xfId="932" xr:uid="{9EE7FA32-4535-4DCA-952C-702FBB66F2FF}"/>
    <cellStyle name="Normal 2 2 14" xfId="933" xr:uid="{01C30DB7-8827-402A-9086-D3AB52953917}"/>
    <cellStyle name="Normal 2 2 2" xfId="934" xr:uid="{E16BF919-6E3C-4C32-A1AF-2593B189B835}"/>
    <cellStyle name="Normal 2 2 2 2" xfId="935" xr:uid="{B395F299-C744-49EE-AEDB-1E44DBFD72D3}"/>
    <cellStyle name="Normal 2 2 3" xfId="936" xr:uid="{3F9022D7-9733-4A91-9876-30EB8CF2951E}"/>
    <cellStyle name="Normal 2 2 4" xfId="937" xr:uid="{4198848C-1B56-45D2-8DDD-91399016E73B}"/>
    <cellStyle name="Normal 2 2 5" xfId="938" xr:uid="{B0A9CCC2-BDD3-4E6C-AE49-A018784A8367}"/>
    <cellStyle name="Normal 2 2 6" xfId="939" xr:uid="{8CA8A2EA-50E2-4502-8037-526CFC47EEE8}"/>
    <cellStyle name="Normal 2 2 7" xfId="940" xr:uid="{FAFB4608-E699-486E-89B7-D1EC8C3424C8}"/>
    <cellStyle name="Normal 2 2 8" xfId="941" xr:uid="{2856DB11-3895-44B8-8DF3-328CE9034C0D}"/>
    <cellStyle name="Normal 2 2 9" xfId="942" xr:uid="{0F9C7C99-D6DA-470A-9A2C-72ABF18E1642}"/>
    <cellStyle name="Normal 2 20" xfId="917" xr:uid="{75A4EFDE-6C82-411C-BF1B-BE608B4B2E42}"/>
    <cellStyle name="Normal 2 3" xfId="943" xr:uid="{FF1CE9CB-ED5E-4913-97B7-09A6296CC6F8}"/>
    <cellStyle name="Normal 2 3 10" xfId="944" xr:uid="{C620927D-339F-4E29-87DA-8D45F49445AB}"/>
    <cellStyle name="Normal 2 3 11" xfId="945" xr:uid="{C79F2593-8809-4264-BDB5-3913A6501C2D}"/>
    <cellStyle name="Normal 2 3 12" xfId="946" xr:uid="{7BBAA6D7-D650-4413-A285-CB6967162F22}"/>
    <cellStyle name="Normal 2 3 13" xfId="947" xr:uid="{85EE4F80-1303-4CBD-8EDA-20B93EEF5D89}"/>
    <cellStyle name="Normal 2 3 14" xfId="948" xr:uid="{E4D07729-46F7-4EAD-9639-1A0069C38BC7}"/>
    <cellStyle name="Normal 2 3 2" xfId="949" xr:uid="{89E5CC7F-5D38-47F2-98F1-AEE307505648}"/>
    <cellStyle name="Normal 2 3 2 2" xfId="950" xr:uid="{18AB75D8-9D00-4E84-8375-5BC65D24C009}"/>
    <cellStyle name="Normal 2 3 3" xfId="951" xr:uid="{8EB5205B-BF87-4E4A-A42C-EA349A140C8D}"/>
    <cellStyle name="Normal 2 3 4" xfId="952" xr:uid="{9E49AD6A-6ABF-4E88-AF2D-5C068C4129AD}"/>
    <cellStyle name="Normal 2 3 4 2" xfId="953" xr:uid="{CE8E0832-9D0E-4666-94D6-B1472080A4B7}"/>
    <cellStyle name="Normal 2 3 5" xfId="954" xr:uid="{172DC3DD-B4BC-4A75-B1FF-C3515C95A7EB}"/>
    <cellStyle name="Normal 2 3 6" xfId="955" xr:uid="{195786B3-7C36-4C23-97B8-214C7704859E}"/>
    <cellStyle name="Normal 2 3 7" xfId="956" xr:uid="{30F0574F-6FB5-4AF9-A968-2F0FF6A3D984}"/>
    <cellStyle name="Normal 2 3 8" xfId="957" xr:uid="{A76546A9-E2E1-4853-88B7-4DF5E6CFF716}"/>
    <cellStyle name="Normal 2 3 9" xfId="958" xr:uid="{44B9687C-9E5A-4FF3-AECB-48C1046E2C57}"/>
    <cellStyle name="Normal 2 4" xfId="959" xr:uid="{9D901A5B-932B-4355-A9ED-F87BA432EE9D}"/>
    <cellStyle name="Normal 2 4 10" xfId="960" xr:uid="{61CEA019-4DA1-4456-8397-6A8E64202CC8}"/>
    <cellStyle name="Normal 2 4 11" xfId="961" xr:uid="{BCC683B9-8D73-4C7D-A9C0-9FC8ADAFDF27}"/>
    <cellStyle name="Normal 2 4 12" xfId="962" xr:uid="{58D8AAD5-0000-45C3-ACDF-820BA2ECEC36}"/>
    <cellStyle name="Normal 2 4 13" xfId="963" xr:uid="{2C7E4063-34B9-4D91-8294-4A0174284E25}"/>
    <cellStyle name="Normal 2 4 2" xfId="964" xr:uid="{E0EDD250-53DC-4466-9141-90A12B6881EA}"/>
    <cellStyle name="Normal 2 4 3" xfId="965" xr:uid="{3D0889A4-7631-4974-8F2C-87CD6B1A1135}"/>
    <cellStyle name="Normal 2 4 4" xfId="966" xr:uid="{7FE0C48D-98E1-447F-845C-B9B779028404}"/>
    <cellStyle name="Normal 2 4 5" xfId="967" xr:uid="{B050F1F7-F40A-419E-A10C-599670BD7900}"/>
    <cellStyle name="Normal 2 4 6" xfId="968" xr:uid="{087830D9-EFC9-4C8D-86B4-C4C881595C9E}"/>
    <cellStyle name="Normal 2 4 7" xfId="969" xr:uid="{C917EAD9-FED5-4D5F-913C-36973584AF28}"/>
    <cellStyle name="Normal 2 4 8" xfId="970" xr:uid="{1C91777D-645B-40F1-85DC-C4FD5C6CFBA8}"/>
    <cellStyle name="Normal 2 4 9" xfId="971" xr:uid="{8CEF8C6E-2A06-4C7B-A68A-BF996EEC7BCC}"/>
    <cellStyle name="Normal 2 5" xfId="972" xr:uid="{5D62806C-A68E-4BB7-A4C6-4C55937EA0E0}"/>
    <cellStyle name="Normal 2 5 2" xfId="973" xr:uid="{0CD4C10B-282E-4490-8D71-F427367E1EE5}"/>
    <cellStyle name="Normal 2 6" xfId="974" xr:uid="{14D6ED8C-AE15-495B-8EEE-FB7A0367D7EA}"/>
    <cellStyle name="Normal 2 6 2" xfId="975" xr:uid="{389FAC96-F4BD-430C-9EED-A37F02F72C9E}"/>
    <cellStyle name="Normal 2 7" xfId="976" xr:uid="{B265CF01-0426-4C5C-BA85-B4ECC5AE445A}"/>
    <cellStyle name="Normal 2 7 2" xfId="977" xr:uid="{942D9135-7C54-4B39-B966-AF94251303A5}"/>
    <cellStyle name="Normal 2 8" xfId="978" xr:uid="{7046B8A8-14C4-4450-9F12-593C3ECDCDC9}"/>
    <cellStyle name="Normal 2 9" xfId="979" xr:uid="{918B7FA2-93E4-4AC5-A115-BF55D65F3AFF}"/>
    <cellStyle name="Normal 2_FILL-ICM" xfId="980" xr:uid="{94F73386-CF81-4465-B183-156610928B5E}"/>
    <cellStyle name="Normal 20" xfId="981" xr:uid="{D20FB5F0-2DF5-419B-B379-2AB0AC98964C}"/>
    <cellStyle name="Normal 21" xfId="982" xr:uid="{BC000220-8B68-4F4B-ABA4-46DD2215610E}"/>
    <cellStyle name="Normal 26" xfId="983" xr:uid="{23D1B069-61F5-417D-A654-8531BD0D5853}"/>
    <cellStyle name="Normal 3" xfId="3" xr:uid="{CD70B97F-4865-4742-9426-A440E8707787}"/>
    <cellStyle name="Normal 3 10" xfId="984" xr:uid="{01BE6156-06A5-4FF2-AB48-D82CABD92B60}"/>
    <cellStyle name="Normal 3 11" xfId="985" xr:uid="{43299566-6FDA-4107-95B1-3AFD104443C1}"/>
    <cellStyle name="Normal 3 12" xfId="986" xr:uid="{57AD416C-9F81-447B-99DD-BA85C14148C4}"/>
    <cellStyle name="Normal 3 2" xfId="987" xr:uid="{515FBF82-032F-41CE-BFA1-A54CC51D55D6}"/>
    <cellStyle name="Normal 3 2 10" xfId="988" xr:uid="{D9BCFA92-2447-4F94-980D-DD57161F2B2A}"/>
    <cellStyle name="Normal 3 2 2" xfId="989" xr:uid="{5597DCC6-33D6-497D-8D62-712417E850C7}"/>
    <cellStyle name="Normal 3 2 3" xfId="990" xr:uid="{3AE9A628-22D3-4B62-97CC-2CCE3A17C255}"/>
    <cellStyle name="Normal 3 2 4" xfId="991" xr:uid="{4113EAFD-0FA3-4C06-B012-C742EE336EFB}"/>
    <cellStyle name="Normal 3 2 5" xfId="992" xr:uid="{89DF842E-0EFC-46FD-BF15-0D9B110C1E9E}"/>
    <cellStyle name="Normal 3 2 6" xfId="993" xr:uid="{61AAE269-366C-45C4-BAB2-2B1C53EAE5E9}"/>
    <cellStyle name="Normal 3 2 7" xfId="994" xr:uid="{DF57916D-3A63-4938-BD74-9C10EC883BF5}"/>
    <cellStyle name="Normal 3 2 8" xfId="995" xr:uid="{4C1DA2C3-B663-43E6-9F8E-3C0F6746B119}"/>
    <cellStyle name="Normal 3 2 9" xfId="996" xr:uid="{081F2ABC-5D04-49D1-A96B-59B22308978E}"/>
    <cellStyle name="Normal 3 2 9 2" xfId="997" xr:uid="{B3F1D410-EF37-46AB-AE57-3862C299D13F}"/>
    <cellStyle name="Normal 3 3" xfId="998" xr:uid="{2C1BC830-E237-4F66-8B61-3CB40A4E1583}"/>
    <cellStyle name="Normal 3 3 2" xfId="999" xr:uid="{3E718052-448F-448B-8E10-CED05134B9BA}"/>
    <cellStyle name="Normal 3 3 3" xfId="1000" xr:uid="{C1B44493-1151-460C-A80F-776D892692C2}"/>
    <cellStyle name="Normal 3 3 4" xfId="1001" xr:uid="{B46CE8CE-2AE1-4588-AB11-358E1EED3386}"/>
    <cellStyle name="Normal 3 3 5" xfId="1002" xr:uid="{B8F15954-9E74-4572-B9D7-06508C5CB7F6}"/>
    <cellStyle name="Normal 3 3 6" xfId="1003" xr:uid="{5BB3F892-D4EF-40D4-9017-29DDD9BFE89A}"/>
    <cellStyle name="Normal 3 3 7" xfId="1004" xr:uid="{A85AA451-C52F-4386-8715-AA7A06F6A005}"/>
    <cellStyle name="Normal 3 3 8" xfId="1005" xr:uid="{60498744-42FC-4444-BE11-91D4A3D9F69F}"/>
    <cellStyle name="Normal 3 3 9" xfId="1006" xr:uid="{4B51117E-6B6C-4C10-85EC-1CDB0830CF5F}"/>
    <cellStyle name="Normal 3 4" xfId="1007" xr:uid="{601827C4-2CBD-48A6-B4E2-877FFDAD3436}"/>
    <cellStyle name="Normal 3 4 2" xfId="1008" xr:uid="{365A1650-BD55-48EF-9522-EC37BF4B3A95}"/>
    <cellStyle name="Normal 3 4 3" xfId="1009" xr:uid="{8DCD038C-0662-4D23-9336-5571403420A8}"/>
    <cellStyle name="Normal 3 4 4" xfId="1010" xr:uid="{14D58B10-609B-4083-881B-7C0CFFABB5FF}"/>
    <cellStyle name="Normal 3 4 5" xfId="1011" xr:uid="{F20519E0-C9E8-4C26-AF31-DB83083085EF}"/>
    <cellStyle name="Normal 3 4 6" xfId="1012" xr:uid="{AD99E1FF-05BA-49B4-B935-625E531B32FA}"/>
    <cellStyle name="Normal 3 4 7" xfId="1013" xr:uid="{4C7DB8D2-4A06-44AD-9B80-A6F96C98A7B2}"/>
    <cellStyle name="Normal 3 4 8" xfId="1014" xr:uid="{37C60EC4-1B14-438D-81E9-ACA5CAF135EF}"/>
    <cellStyle name="Normal 3 5" xfId="1015" xr:uid="{A77FC7ED-EAAC-4BD3-B5C8-E014C8AEBAEF}"/>
    <cellStyle name="Normal 3 5 2" xfId="1016" xr:uid="{5FB01A50-4522-47D4-9F6C-4CDF5F35561F}"/>
    <cellStyle name="Normal 3 5 3" xfId="1017" xr:uid="{4D3E6800-E27B-40FE-93FB-FEBF517674E1}"/>
    <cellStyle name="Normal 3 5 4" xfId="1018" xr:uid="{0BEEF34A-99B6-4878-996C-673C2BCF64A6}"/>
    <cellStyle name="Normal 3 5 5" xfId="1019" xr:uid="{01FE8CA0-DC5F-43E9-BD57-B706FDD8C30F}"/>
    <cellStyle name="Normal 3 5 6" xfId="1020" xr:uid="{3DF5C86C-E4B7-4B30-830C-2FED232030AC}"/>
    <cellStyle name="Normal 3 5 7" xfId="1021" xr:uid="{AB21D831-BBB4-4201-A35B-B1643EC29B85}"/>
    <cellStyle name="Normal 3 5 8" xfId="1022" xr:uid="{5FAC3952-ADE3-47EF-8D32-9F3C8B2B7FA3}"/>
    <cellStyle name="Normal 3 6" xfId="1023" xr:uid="{F2CB3697-E301-4E25-8D57-4450D2FD1E7C}"/>
    <cellStyle name="Normal 3 7" xfId="1024" xr:uid="{D16B9B15-E4A6-4B75-8405-0B62BCF0DCD3}"/>
    <cellStyle name="Normal 3 8" xfId="1025" xr:uid="{7C93CB79-91FB-4A3C-8B1F-FFD2CF0FCB71}"/>
    <cellStyle name="Normal 3 9" xfId="1026" xr:uid="{8BC41DB8-D25F-45BF-A190-2AB13728A9B7}"/>
    <cellStyle name="Normal 4" xfId="1027" xr:uid="{82CD01C6-8508-46B7-8AF1-F27DA32B72AD}"/>
    <cellStyle name="Normal 4 10" xfId="1028" xr:uid="{FF8F5BEC-E53A-45AA-825D-BE2F2ADB8D51}"/>
    <cellStyle name="Normal 4 11" xfId="1029" xr:uid="{0F434676-0082-41B1-AF52-454442CFA6C7}"/>
    <cellStyle name="Normal 4 12" xfId="1030" xr:uid="{37D3C5AC-37B9-470B-B1B0-F60665D2C5F7}"/>
    <cellStyle name="Normal 4 2" xfId="1031" xr:uid="{9C6ABBCC-6398-44CE-95A9-ED4365B3CAF6}"/>
    <cellStyle name="Normal 4 2 2" xfId="1032" xr:uid="{EBD500DF-9756-4FFE-9AD2-14FA83E60E5A}"/>
    <cellStyle name="Normal 4 2 2 10" xfId="1033" xr:uid="{A0C8B3AC-BE44-4657-8811-5EF210460FB4}"/>
    <cellStyle name="Normal 4 2 2 11" xfId="1034" xr:uid="{D644B95C-D509-4B5E-8F79-53AB6D1FC6FC}"/>
    <cellStyle name="Normal 4 2 2 12" xfId="1035" xr:uid="{4E801B07-8D33-43AB-987B-952D0FA28CCD}"/>
    <cellStyle name="Normal 4 2 2 13" xfId="1036" xr:uid="{35B5142D-0205-4D28-A333-F121AB3B0EC2}"/>
    <cellStyle name="Normal 4 2 2 2" xfId="1037" xr:uid="{69992B62-3FEB-4B39-8B69-BBEAF6FBC21A}"/>
    <cellStyle name="Normal 4 2 2 2 10" xfId="1038" xr:uid="{3C20D947-287F-4071-90A6-D0BAB120D496}"/>
    <cellStyle name="Normal 4 2 2 2 11" xfId="1039" xr:uid="{5B0F9608-49C2-44DE-AF97-B0B2A5AD35E4}"/>
    <cellStyle name="Normal 4 2 2 2 12" xfId="1040" xr:uid="{1F3E6C31-B8D7-4A0E-8BB9-62873891A3FE}"/>
    <cellStyle name="Normal 4 2 2 2 13" xfId="1041" xr:uid="{D8A0AF93-12AA-4B2F-9BA7-D42DABB060F4}"/>
    <cellStyle name="Normal 4 2 2 2 2" xfId="1042" xr:uid="{FB333FD2-3946-4F07-847D-C03FEC2E7787}"/>
    <cellStyle name="Normal 4 2 2 2 3" xfId="1043" xr:uid="{FA33C611-42C8-4C58-B33A-9C75E3F61437}"/>
    <cellStyle name="Normal 4 2 2 2 4" xfId="1044" xr:uid="{64734C95-3ECE-4AA3-AAFB-783D3E434521}"/>
    <cellStyle name="Normal 4 2 2 2 5" xfId="1045" xr:uid="{D0D2AFB8-547C-4AE5-A285-6C9CBE9C3A64}"/>
    <cellStyle name="Normal 4 2 2 2 6" xfId="1046" xr:uid="{1C9A0A62-502E-4882-B5DA-2EA96F399975}"/>
    <cellStyle name="Normal 4 2 2 2 7" xfId="1047" xr:uid="{DC20C118-73BB-4748-A4E5-56FA06A94800}"/>
    <cellStyle name="Normal 4 2 2 2 8" xfId="1048" xr:uid="{1CAD56AE-CA4F-4A4E-B3CC-200CE844E60B}"/>
    <cellStyle name="Normal 4 2 2 2 9" xfId="1049" xr:uid="{C90BC062-40B6-4623-ABF6-EF101F022C97}"/>
    <cellStyle name="Normal 4 2 2 3" xfId="1050" xr:uid="{F493DC26-8552-4B89-A74E-988CD4D868EF}"/>
    <cellStyle name="Normal 4 2 2 4" xfId="1051" xr:uid="{3B4E2D85-6B14-4290-88DB-56AA34D0C934}"/>
    <cellStyle name="Normal 4 2 2 5" xfId="1052" xr:uid="{0E608E1E-D7A7-4670-8621-F19E4B2CC52F}"/>
    <cellStyle name="Normal 4 2 2 6" xfId="1053" xr:uid="{B65FB2CF-98C1-4C16-9FA4-147D91C96478}"/>
    <cellStyle name="Normal 4 2 2 7" xfId="1054" xr:uid="{52A0DBCF-1D50-4670-BC1A-86037F53BFF0}"/>
    <cellStyle name="Normal 4 2 2 8" xfId="1055" xr:uid="{1E0DC88D-E68F-4481-A6AE-783D105B43B5}"/>
    <cellStyle name="Normal 4 2 2 9" xfId="1056" xr:uid="{2251FC7D-7B20-41CA-88A6-D59C88C1F5DD}"/>
    <cellStyle name="Normal 4 2 3" xfId="1057" xr:uid="{2D137101-22ED-4827-A6B3-AE4B78C6BFB3}"/>
    <cellStyle name="Normal 4 2 4" xfId="1058" xr:uid="{FA112DD3-FFC0-438B-A4D5-B75D27CF76E0}"/>
    <cellStyle name="Normal 4 2 5" xfId="1059" xr:uid="{104948DE-D16B-4922-81E2-7558FFC5E189}"/>
    <cellStyle name="Normal 4 2 6" xfId="1060" xr:uid="{2BEB198B-E0BF-4B2D-A0F1-341B9AA2237A}"/>
    <cellStyle name="Normal 4 2 7" xfId="1061" xr:uid="{2632BB3E-333C-4CAC-934C-2CCB09606953}"/>
    <cellStyle name="Normal 4 2 8" xfId="1062" xr:uid="{8C8DF600-1487-4706-A14D-0F9F1963AC3A}"/>
    <cellStyle name="Normal 4 2 9" xfId="1063" xr:uid="{335E20AD-78F5-4D85-8CE6-5282C9D916F2}"/>
    <cellStyle name="Normal 4 3" xfId="1064" xr:uid="{BB5E709D-C26C-42C9-9FB9-D8E9926C9E0E}"/>
    <cellStyle name="Normal 4 3 2" xfId="1065" xr:uid="{DD50C1DC-8576-49E5-9240-A3FEC47B59C4}"/>
    <cellStyle name="Normal 4 3 3" xfId="1066" xr:uid="{9C643EA5-823F-4306-9FEE-D6995647759F}"/>
    <cellStyle name="Normal 4 3 4" xfId="1067" xr:uid="{C165824F-BB32-4350-A5D9-CF97D4145091}"/>
    <cellStyle name="Normal 4 3 5" xfId="1068" xr:uid="{1F08EFD0-A190-4245-8246-1996B8BA759F}"/>
    <cellStyle name="Normal 4 3 6" xfId="1069" xr:uid="{94ACAD7D-B1CA-4689-A257-870A73565530}"/>
    <cellStyle name="Normal 4 3 7" xfId="1070" xr:uid="{57ADD2C1-B9A6-470A-A47F-4F094C39FCD6}"/>
    <cellStyle name="Normal 4 3 8" xfId="1071" xr:uid="{3BEEE73B-B2EA-4315-BAA4-B501785AA308}"/>
    <cellStyle name="Normal 4 4" xfId="1072" xr:uid="{67914C23-AD15-4817-944D-B5AA1565229C}"/>
    <cellStyle name="Normal 4 4 2" xfId="1073" xr:uid="{DF9B8513-9A94-4D43-92C2-6BDCCF97AE48}"/>
    <cellStyle name="Normal 4 4 3" xfId="1074" xr:uid="{1FF38EC0-566F-471F-96DE-CCC41A3F595D}"/>
    <cellStyle name="Normal 4 4 4" xfId="1075" xr:uid="{A0BDF77A-E425-4981-AAA7-D02125A37921}"/>
    <cellStyle name="Normal 4 4 5" xfId="1076" xr:uid="{39AD1CCE-EE7B-4308-90AA-A09ACB17A65D}"/>
    <cellStyle name="Normal 4 4 6" xfId="1077" xr:uid="{EC65D6AB-5B05-4A48-BE0C-8B149E17F6E0}"/>
    <cellStyle name="Normal 4 4 7" xfId="1078" xr:uid="{AD4AE5DA-75B5-422B-BEA7-517B7B93359D}"/>
    <cellStyle name="Normal 4 4 8" xfId="1079" xr:uid="{18EB31F8-DD67-4893-8341-E3976F01EC37}"/>
    <cellStyle name="Normal 4 5" xfId="1080" xr:uid="{B8FAA911-0B4D-4F0E-877C-4F8F2C28A4ED}"/>
    <cellStyle name="Normal 4 5 2" xfId="1081" xr:uid="{1BAEDAE9-C175-472C-B5CA-026E2D58204D}"/>
    <cellStyle name="Normal 4 5 3" xfId="1082" xr:uid="{2E78C3EC-2FB2-49A2-9727-5A7F31FF5117}"/>
    <cellStyle name="Normal 4 5 4" xfId="1083" xr:uid="{467D0376-0E61-4921-B7C5-27E48AE95ED1}"/>
    <cellStyle name="Normal 4 5 5" xfId="1084" xr:uid="{163E3800-9282-41E7-865A-B7459E11A646}"/>
    <cellStyle name="Normal 4 5 6" xfId="1085" xr:uid="{940526C4-5359-4CCB-AB96-35FAD37BF37A}"/>
    <cellStyle name="Normal 4 5 7" xfId="1086" xr:uid="{9693855F-F0A9-4EB5-9300-68EA807461A6}"/>
    <cellStyle name="Normal 4 5 8" xfId="1087" xr:uid="{06AEED31-8FE1-47A6-83BE-5E295A3981C7}"/>
    <cellStyle name="Normal 4 6" xfId="1088" xr:uid="{FD255DEC-90AB-4CA8-8FA8-87496078CF0D}"/>
    <cellStyle name="Normal 4 7" xfId="1089" xr:uid="{7E52DCBA-DCC2-4C45-BC68-CE69239E0DAD}"/>
    <cellStyle name="Normal 4 8" xfId="1090" xr:uid="{572E5940-1A3B-4759-9C5E-219A31949825}"/>
    <cellStyle name="Normal 4 9" xfId="1091" xr:uid="{34BEDFAF-88CA-48F2-A0C7-1F92E7BF2DBD}"/>
    <cellStyle name="Normal 4_SUP" xfId="1092" xr:uid="{6CF3B0D9-5137-47E4-A0F6-DBFBB9E8E794}"/>
    <cellStyle name="Normal 41" xfId="1791" xr:uid="{E72625B4-B1A3-4E71-9D51-C807102D9A56}"/>
    <cellStyle name="Normal 5" xfId="1093" xr:uid="{0666195E-38C3-4E90-BA5A-AB447F88A8D5}"/>
    <cellStyle name="Normal 5 10" xfId="1094" xr:uid="{A60C78F5-5394-47A5-BF50-DB02900E4FFF}"/>
    <cellStyle name="Normal 5 11" xfId="1095" xr:uid="{55CB94F0-F22D-451F-BD54-9E0B2EA5EB10}"/>
    <cellStyle name="Normal 5 12" xfId="1096" xr:uid="{128B9EA6-F08B-47EC-9156-9562213861E3}"/>
    <cellStyle name="Normal 5 2" xfId="1097" xr:uid="{D629D9FF-9BD9-4788-AAAC-965DE2814B1D}"/>
    <cellStyle name="Normal 5 2 2" xfId="1098" xr:uid="{862FD796-B10F-4C1B-B9B3-5BDB626B6B51}"/>
    <cellStyle name="Normal 5 2 2 10" xfId="1099" xr:uid="{A7FB7659-6790-4950-A246-5D533B6E938E}"/>
    <cellStyle name="Normal 5 2 2 11" xfId="1100" xr:uid="{E5E038BA-9BAE-472E-9D92-92BF60B4B7EB}"/>
    <cellStyle name="Normal 5 2 2 12" xfId="1101" xr:uid="{E59A2DDF-82CB-4984-AA48-F211A809B3ED}"/>
    <cellStyle name="Normal 5 2 2 13" xfId="1102" xr:uid="{1EAE1516-F08F-42A6-87A9-314A3694D0D8}"/>
    <cellStyle name="Normal 5 2 2 2" xfId="1103" xr:uid="{D2213F8D-CF92-461B-8C95-9790F33CB57B}"/>
    <cellStyle name="Normal 5 2 2 2 10" xfId="1104" xr:uid="{94946086-3C71-42ED-9020-67E9DAB085C1}"/>
    <cellStyle name="Normal 5 2 2 2 11" xfId="1105" xr:uid="{168E36E4-1D50-4560-B41E-00C0937D86F7}"/>
    <cellStyle name="Normal 5 2 2 2 12" xfId="1106" xr:uid="{9A181DB8-7E01-4AFC-A481-E3CD6FDD4960}"/>
    <cellStyle name="Normal 5 2 2 2 13" xfId="1107" xr:uid="{302C0257-1B6C-4D38-9909-301D48BB2355}"/>
    <cellStyle name="Normal 5 2 2 2 2" xfId="1108" xr:uid="{826B36C2-4D26-45FD-B687-05BA34547E64}"/>
    <cellStyle name="Normal 5 2 2 2 3" xfId="1109" xr:uid="{9BB22919-604F-48E0-9DBB-9C117A89BE72}"/>
    <cellStyle name="Normal 5 2 2 2 4" xfId="1110" xr:uid="{B3AFCA09-BE78-4C57-ACBD-8E00FE4469A2}"/>
    <cellStyle name="Normal 5 2 2 2 5" xfId="1111" xr:uid="{A2F64F94-1291-4637-872C-5CACF42F13E0}"/>
    <cellStyle name="Normal 5 2 2 2 6" xfId="1112" xr:uid="{118F53B3-67B0-4DE4-A765-92EC70CC98C5}"/>
    <cellStyle name="Normal 5 2 2 2 7" xfId="1113" xr:uid="{C5D9BBE9-D7C5-4D09-A264-4618E41DB5E1}"/>
    <cellStyle name="Normal 5 2 2 2 8" xfId="1114" xr:uid="{AB954EB4-3B53-4FCC-8B3D-105144E818C7}"/>
    <cellStyle name="Normal 5 2 2 2 9" xfId="1115" xr:uid="{F848C06C-78DC-4CFC-8C50-2E12D1B71D5B}"/>
    <cellStyle name="Normal 5 2 2 3" xfId="1116" xr:uid="{FC9FBBFA-E5AB-4EAC-B41D-016773E1C860}"/>
    <cellStyle name="Normal 5 2 2 4" xfId="1117" xr:uid="{E9FBD49B-31C3-46E1-8C54-AE21189FC8FA}"/>
    <cellStyle name="Normal 5 2 2 5" xfId="1118" xr:uid="{E1E03400-560C-4F4D-B6C5-C5CCE558D925}"/>
    <cellStyle name="Normal 5 2 2 6" xfId="1119" xr:uid="{6811017F-445F-44AF-905D-861EA0460814}"/>
    <cellStyle name="Normal 5 2 2 7" xfId="1120" xr:uid="{F0193868-669A-48CD-975B-DB2BCC1ED7A0}"/>
    <cellStyle name="Normal 5 2 2 8" xfId="1121" xr:uid="{98A379FF-2A72-4529-AF6B-1707DB68C639}"/>
    <cellStyle name="Normal 5 2 2 9" xfId="1122" xr:uid="{84652372-99F7-4671-B08A-8011A3C77FAA}"/>
    <cellStyle name="Normal 5 2 3" xfId="1123" xr:uid="{3705DFD8-2220-4216-A4DE-9CD5DD0C4C27}"/>
    <cellStyle name="Normal 5 2 4" xfId="1124" xr:uid="{9F07D6EA-ABC0-4665-AFAD-1E6CA24ED48F}"/>
    <cellStyle name="Normal 5 2 5" xfId="1125" xr:uid="{9EC353EE-9DFD-43DF-9A25-80860D6D2423}"/>
    <cellStyle name="Normal 5 2 6" xfId="1126" xr:uid="{06B5EFD5-83C0-47D5-951D-54B22F02A593}"/>
    <cellStyle name="Normal 5 2 7" xfId="1127" xr:uid="{9BC958AA-39A5-4546-98F5-1AC97DA22ED0}"/>
    <cellStyle name="Normal 5 2 8" xfId="1128" xr:uid="{56E29869-D594-455D-8233-B4F52C79BDBE}"/>
    <cellStyle name="Normal 5 3" xfId="1129" xr:uid="{5B8182CE-262B-479F-9C1C-8B097176F998}"/>
    <cellStyle name="Normal 5 3 2" xfId="1130" xr:uid="{109E68D4-FC45-4BB8-97D3-3AE198FF2742}"/>
    <cellStyle name="Normal 5 3 3" xfId="1131" xr:uid="{15B45F88-D17E-4E85-B20C-A531EB23904C}"/>
    <cellStyle name="Normal 5 3 4" xfId="1132" xr:uid="{7ECA44E2-E2FE-4B24-90F7-C8CF47C199AE}"/>
    <cellStyle name="Normal 5 3 5" xfId="1133" xr:uid="{91415C70-9FAD-4671-B496-73563FA4FC7D}"/>
    <cellStyle name="Normal 5 3 6" xfId="1134" xr:uid="{7B8A6F33-F915-4DCD-AB91-61D2322BD2AE}"/>
    <cellStyle name="Normal 5 3 7" xfId="1135" xr:uid="{FB6B4E86-3ED5-47EF-AC64-4F0A13E840F5}"/>
    <cellStyle name="Normal 5 3 8" xfId="1136" xr:uid="{DFC63A9E-C35D-4E40-9074-AD9962390469}"/>
    <cellStyle name="Normal 5 4" xfId="1137" xr:uid="{70A614E5-EE6C-4748-AA39-A7E30F180503}"/>
    <cellStyle name="Normal 5 4 2" xfId="1138" xr:uid="{247E67B0-6E22-4FD3-BDA4-0479CD339C68}"/>
    <cellStyle name="Normal 5 4 3" xfId="1139" xr:uid="{E553E558-51E1-4E55-B856-D546C6E25A4F}"/>
    <cellStyle name="Normal 5 4 4" xfId="1140" xr:uid="{65560C8A-418F-446E-BD87-A22424E8A047}"/>
    <cellStyle name="Normal 5 4 5" xfId="1141" xr:uid="{AF52BF18-EACC-431B-BA73-750C6771A988}"/>
    <cellStyle name="Normal 5 4 6" xfId="1142" xr:uid="{8CBEED04-A6EF-46D7-8420-097DE6CAEBEC}"/>
    <cellStyle name="Normal 5 4 7" xfId="1143" xr:uid="{5E31ACFF-B297-484D-8906-E130C0055495}"/>
    <cellStyle name="Normal 5 4 8" xfId="1144" xr:uid="{41DE0403-81BF-4C48-80A2-DFE03BE18336}"/>
    <cellStyle name="Normal 5 5" xfId="1145" xr:uid="{11EBCB4F-E6BB-4E48-9804-23151608D40A}"/>
    <cellStyle name="Normal 5 5 2" xfId="1146" xr:uid="{9D4D4E78-3CDC-403B-B20B-731E52D3C156}"/>
    <cellStyle name="Normal 5 5 3" xfId="1147" xr:uid="{147DB454-24EA-4137-8C0C-E0F77EB6D630}"/>
    <cellStyle name="Normal 5 5 4" xfId="1148" xr:uid="{A4D0D69A-8DF3-4F17-88D7-DBA348D20E70}"/>
    <cellStyle name="Normal 5 5 5" xfId="1149" xr:uid="{0E3D950B-4EB0-43A0-9050-56C25F08AEC7}"/>
    <cellStyle name="Normal 5 5 6" xfId="1150" xr:uid="{DD7BC390-0BF9-4B10-ABD5-28BEE64A904D}"/>
    <cellStyle name="Normal 5 5 7" xfId="1151" xr:uid="{E424FE4A-9456-435D-A359-13F98831E8D0}"/>
    <cellStyle name="Normal 5 5 8" xfId="1152" xr:uid="{26BD4CC8-5ED2-4727-9010-0975DD8AA9A8}"/>
    <cellStyle name="Normal 5 6" xfId="1153" xr:uid="{66024684-4910-492E-81F0-2D0721BCC5A8}"/>
    <cellStyle name="Normal 5 7" xfId="1154" xr:uid="{124681C4-3520-4DC3-9ABC-973E584C5854}"/>
    <cellStyle name="Normal 5 8" xfId="1155" xr:uid="{DEFE77F1-D9C6-4B38-AFF8-19FAB0B91BF5}"/>
    <cellStyle name="Normal 5 9" xfId="1156" xr:uid="{E823CA86-5A3F-45E5-9F1B-7E96C4BB8C10}"/>
    <cellStyle name="Normal 6" xfId="1157" xr:uid="{572861C2-55F2-4393-BAF9-F4ECF7AE280E}"/>
    <cellStyle name="Normal 6 10" xfId="1158" xr:uid="{6EB03A38-8C75-4AEA-B841-4A28EC00CACF}"/>
    <cellStyle name="Normal 6 11" xfId="1159" xr:uid="{51DBB433-CE3D-4803-9ED7-24ACDD74456E}"/>
    <cellStyle name="Normal 6 12" xfId="1160" xr:uid="{113C2F4C-2466-4C75-B21B-EB5790722E2B}"/>
    <cellStyle name="Normal 6 2" xfId="1161" xr:uid="{6199C4C4-12BB-4650-B9C7-7F90B7E76448}"/>
    <cellStyle name="Normal 6 2 2" xfId="1162" xr:uid="{F505C6EA-975A-4C90-8BB9-35BD320B7117}"/>
    <cellStyle name="Normal 6 2 2 10" xfId="1163" xr:uid="{6CC04868-76C1-42DB-BAEB-B608CC1FBCDA}"/>
    <cellStyle name="Normal 6 2 2 11" xfId="1164" xr:uid="{10E53C80-481A-4ADB-B7A9-48C89C6FE1B2}"/>
    <cellStyle name="Normal 6 2 2 12" xfId="1165" xr:uid="{E74CFE4D-0AAD-4E0A-ACD9-643BE06E51D9}"/>
    <cellStyle name="Normal 6 2 2 13" xfId="1166" xr:uid="{F14B86BE-1917-448B-B270-841D68C12A7F}"/>
    <cellStyle name="Normal 6 2 2 2" xfId="1167" xr:uid="{0D65F953-BA0F-4206-9480-334981ADF7DB}"/>
    <cellStyle name="Normal 6 2 2 3" xfId="1168" xr:uid="{5FCD3696-410E-4FF8-844E-9D42125F34D0}"/>
    <cellStyle name="Normal 6 2 2 4" xfId="1169" xr:uid="{48F4B471-65FC-4580-AB67-D55236D4D1DF}"/>
    <cellStyle name="Normal 6 2 2 5" xfId="1170" xr:uid="{F3D4EA9C-B803-46E4-81A3-30F08F832CCC}"/>
    <cellStyle name="Normal 6 2 2 6" xfId="1171" xr:uid="{1BF6FDF9-3FF5-4FC6-AB84-8F0B8F8DF403}"/>
    <cellStyle name="Normal 6 2 2 7" xfId="1172" xr:uid="{C22B7841-40E7-49BE-8501-74480DE526BA}"/>
    <cellStyle name="Normal 6 2 2 8" xfId="1173" xr:uid="{49F2D7E2-76DC-4C80-A30A-16AC56E46216}"/>
    <cellStyle name="Normal 6 2 2 9" xfId="1174" xr:uid="{F7719D0E-13B4-4346-B282-F98573A2530F}"/>
    <cellStyle name="Normal 6 2 3" xfId="1175" xr:uid="{6F8C614B-EFF1-446C-BE82-351E136B0732}"/>
    <cellStyle name="Normal 6 2 4" xfId="1176" xr:uid="{11E624F2-808F-4040-AA3A-DCC4D8A5464A}"/>
    <cellStyle name="Normal 6 2 5" xfId="1177" xr:uid="{F43BBD92-3A78-4110-8C3A-B35C3BAE74B8}"/>
    <cellStyle name="Normal 6 2 6" xfId="1178" xr:uid="{F6131E0D-665C-4E23-913B-41D04026794E}"/>
    <cellStyle name="Normal 6 2 7" xfId="1179" xr:uid="{C51A1A42-B1B1-4B83-8461-730785E31346}"/>
    <cellStyle name="Normal 6 2 8" xfId="1180" xr:uid="{A1E466D4-C6C0-462C-89C5-25C87C0E8681}"/>
    <cellStyle name="Normal 6 3" xfId="1181" xr:uid="{231B8202-0C16-4B42-B921-311783F20B7E}"/>
    <cellStyle name="Normal 6 3 2" xfId="1182" xr:uid="{5BFD999C-2D0F-4465-900B-C5D4642BC0A4}"/>
    <cellStyle name="Normal 6 3 3" xfId="1183" xr:uid="{07D64705-39F7-40A3-BE95-867CD90B932E}"/>
    <cellStyle name="Normal 6 3 4" xfId="1184" xr:uid="{F121DC41-994F-437F-9270-F906470E8185}"/>
    <cellStyle name="Normal 6 3 5" xfId="1185" xr:uid="{A9719C54-C2FA-44F3-B6E4-BCD5D6E2AB1E}"/>
    <cellStyle name="Normal 6 3 6" xfId="1186" xr:uid="{FD8C9D74-7298-41EF-81B5-2E4BDB8B545B}"/>
    <cellStyle name="Normal 6 3 7" xfId="1187" xr:uid="{1343EBFD-0107-4D3E-AB09-7424D42AFDDF}"/>
    <cellStyle name="Normal 6 3 8" xfId="1188" xr:uid="{2634E1BA-B018-41D1-B5C0-34A28F764028}"/>
    <cellStyle name="Normal 6 4" xfId="1189" xr:uid="{0D7B9C40-14EF-4B67-956F-8874F9DCF41D}"/>
    <cellStyle name="Normal 6 4 2" xfId="1190" xr:uid="{F75872A4-5A23-4DEF-A245-E073BCF3E3F2}"/>
    <cellStyle name="Normal 6 4 3" xfId="1191" xr:uid="{2F518774-507F-4457-B26D-D6028517A09A}"/>
    <cellStyle name="Normal 6 4 4" xfId="1192" xr:uid="{568B5481-395F-4320-8109-5379ECD9419B}"/>
    <cellStyle name="Normal 6 4 5" xfId="1193" xr:uid="{9858D9FD-8398-4D19-ADDE-F7953B6F4818}"/>
    <cellStyle name="Normal 6 4 6" xfId="1194" xr:uid="{8F7B9397-204D-498E-8401-110B3AC6FF5F}"/>
    <cellStyle name="Normal 6 4 7" xfId="1195" xr:uid="{CBF9B25B-6DC6-40E0-9E6B-4E0983D3C411}"/>
    <cellStyle name="Normal 6 4 8" xfId="1196" xr:uid="{DCA9B35F-FD45-4EB3-AA53-4D904F0C9110}"/>
    <cellStyle name="Normal 6 5" xfId="1197" xr:uid="{41E409E0-66D1-45BE-AB2C-B78E4C1B61F1}"/>
    <cellStyle name="Normal 6 5 2" xfId="1198" xr:uid="{408845F8-0DCB-4C24-AD57-92D3BDD34C0F}"/>
    <cellStyle name="Normal 6 5 3" xfId="1199" xr:uid="{16C6F89B-F620-42A2-B2D9-2D0A21D8E85F}"/>
    <cellStyle name="Normal 6 5 4" xfId="1200" xr:uid="{2AA1CA99-2AF8-4248-A1F0-ACE9BF8B66AB}"/>
    <cellStyle name="Normal 6 5 5" xfId="1201" xr:uid="{F8AE6913-1615-45DD-A264-11E1FABE6B65}"/>
    <cellStyle name="Normal 6 5 6" xfId="1202" xr:uid="{65CDD6D1-5E0D-402D-9928-B869F5791B39}"/>
    <cellStyle name="Normal 6 5 7" xfId="1203" xr:uid="{FB9DBA45-077A-499A-8A8F-B34E9710C623}"/>
    <cellStyle name="Normal 6 5 8" xfId="1204" xr:uid="{74E95970-0E88-43AA-B1F3-F3DAA033A81F}"/>
    <cellStyle name="Normal 6 6" xfId="1205" xr:uid="{66913DEC-A453-496D-91B2-0342025CA45D}"/>
    <cellStyle name="Normal 6 7" xfId="1206" xr:uid="{2154B0F2-9632-4667-BE2B-4A7CC6D6865D}"/>
    <cellStyle name="Normal 6 8" xfId="1207" xr:uid="{E1CC50F7-08B2-4127-9E6A-D582632495AA}"/>
    <cellStyle name="Normal 6 9" xfId="1208" xr:uid="{6B67A1FD-18D4-4C4C-9134-2D3E03D9A75F}"/>
    <cellStyle name="Normal 7" xfId="1209" xr:uid="{65AD6D17-BF1A-47DC-BB30-55307774E66F}"/>
    <cellStyle name="Normal 7 10" xfId="1210" xr:uid="{923B4A29-5AB5-4DF7-B780-6A07C89F9F2F}"/>
    <cellStyle name="Normal 7 11" xfId="1211" xr:uid="{CBBF6B89-331A-473D-BEED-8DC4BC73BAE9}"/>
    <cellStyle name="Normal 7 12" xfId="1212" xr:uid="{AD109A01-218E-4474-A07E-107D25DF1E01}"/>
    <cellStyle name="Normal 7 13" xfId="1213" xr:uid="{4C20A76A-91E6-45CC-90D0-0F915CA6FADC}"/>
    <cellStyle name="Normal 7 2" xfId="1214" xr:uid="{7420EAC4-DAB9-4BBF-A2E7-2FB53BB5A49A}"/>
    <cellStyle name="Normal 7 2 2" xfId="1215" xr:uid="{105CD732-B799-44C0-AEC5-1359C3B4D889}"/>
    <cellStyle name="Normal 7 2 3" xfId="1216" xr:uid="{ED52BA5D-CC8A-4789-A960-C0A84E928048}"/>
    <cellStyle name="Normal 7 2 4" xfId="1217" xr:uid="{0BA3AF3B-3733-4E76-8362-ED395FFCB1E9}"/>
    <cellStyle name="Normal 7 2 5" xfId="1218" xr:uid="{39317967-7472-4FCE-B90B-70C1E698BF8A}"/>
    <cellStyle name="Normal 7 2 6" xfId="1219" xr:uid="{623B3CFC-4EC0-4E3A-B7D7-6AE92297DE02}"/>
    <cellStyle name="Normal 7 2 7" xfId="1220" xr:uid="{93CD8B4F-5BB7-4BAF-A405-E1B9D367CBFD}"/>
    <cellStyle name="Normal 7 2 8" xfId="1221" xr:uid="{CB85AC38-A758-40EB-89D8-95644FC2C6F1}"/>
    <cellStyle name="Normal 7 2 9" xfId="1222" xr:uid="{F70C154B-8740-4289-B866-E0A2B61DD240}"/>
    <cellStyle name="Normal 7 3" xfId="1223" xr:uid="{69620E71-8952-4EFF-AFD4-CFE05D2677B1}"/>
    <cellStyle name="Normal 7 3 2" xfId="1224" xr:uid="{AA7A69C8-51EF-4B2C-B94E-9BA2DE6E40C2}"/>
    <cellStyle name="Normal 7 3 3" xfId="1225" xr:uid="{AE80C95B-1995-4E07-A45A-E202C37B0A36}"/>
    <cellStyle name="Normal 7 3 4" xfId="1226" xr:uid="{1899DC02-DE73-4E06-B8DE-C397F1EFDB8B}"/>
    <cellStyle name="Normal 7 3 5" xfId="1227" xr:uid="{D38A5121-E160-4881-B1B1-EE88172B5451}"/>
    <cellStyle name="Normal 7 3 6" xfId="1228" xr:uid="{15619F3C-35D3-42A4-B7FD-9462F78FD6AB}"/>
    <cellStyle name="Normal 7 3 7" xfId="1229" xr:uid="{A1810ABE-35D7-43E1-A811-89A504D74E75}"/>
    <cellStyle name="Normal 7 3 8" xfId="1230" xr:uid="{7F92C33D-9A2D-40BD-959E-844EC13732A7}"/>
    <cellStyle name="Normal 7 4" xfId="1231" xr:uid="{0DF5C575-3E38-4131-9556-9B5C9BD775BB}"/>
    <cellStyle name="Normal 7 4 2" xfId="1232" xr:uid="{4B14FB14-536A-461D-9934-A3F25494E2D6}"/>
    <cellStyle name="Normal 7 4 3" xfId="1233" xr:uid="{D1B6041C-7888-478D-83C1-D5D6ACDD37F7}"/>
    <cellStyle name="Normal 7 4 4" xfId="1234" xr:uid="{ED5EB5A3-9665-4BA9-B115-423EE224CF60}"/>
    <cellStyle name="Normal 7 4 5" xfId="1235" xr:uid="{8900DE5D-90FB-4D98-8A8F-677A3B4CDB60}"/>
    <cellStyle name="Normal 7 4 6" xfId="1236" xr:uid="{560174B0-D542-4FB2-AD14-C108F53702EB}"/>
    <cellStyle name="Normal 7 4 7" xfId="1237" xr:uid="{642BB3FB-57C5-4A9F-A563-5E74375A5CBF}"/>
    <cellStyle name="Normal 7 4 8" xfId="1238" xr:uid="{AA5FFD7E-3EA7-4229-8B92-D6785FB8A986}"/>
    <cellStyle name="Normal 7 5" xfId="1239" xr:uid="{A751B21C-79D0-4D30-845B-086CF43E5F5E}"/>
    <cellStyle name="Normal 7 5 2" xfId="1240" xr:uid="{3B508B1A-04A0-4741-8821-F02A05CA9A50}"/>
    <cellStyle name="Normal 7 5 3" xfId="1241" xr:uid="{BBD1BF85-4440-4514-ADEB-55270B70E47E}"/>
    <cellStyle name="Normal 7 5 4" xfId="1242" xr:uid="{D3C04410-ABCD-44B8-9788-4F1A58D283D5}"/>
    <cellStyle name="Normal 7 5 5" xfId="1243" xr:uid="{9EB0100D-E86E-4A02-95E2-B41A685D02F6}"/>
    <cellStyle name="Normal 7 5 6" xfId="1244" xr:uid="{772AFDD9-62C1-4BE1-8064-B3407C8B7215}"/>
    <cellStyle name="Normal 7 5 7" xfId="1245" xr:uid="{140CBB58-09BE-4BB8-A34F-18D5C797E6C0}"/>
    <cellStyle name="Normal 7 5 8" xfId="1246" xr:uid="{40A90C4E-013F-41A8-AD0C-82419062CF80}"/>
    <cellStyle name="Normal 7 6" xfId="1247" xr:uid="{1D34A3C2-C369-42FC-B443-D6568C5C2B5A}"/>
    <cellStyle name="Normal 7 7" xfId="1248" xr:uid="{2F016708-3A43-4C88-A782-BD077112123B}"/>
    <cellStyle name="Normal 7 8" xfId="1249" xr:uid="{3F27538C-7AE2-430B-90D9-A4414978335A}"/>
    <cellStyle name="Normal 7 9" xfId="1250" xr:uid="{D459068E-3976-49AF-9A1C-3FDB0CB6D8B8}"/>
    <cellStyle name="Normal 8" xfId="1251" xr:uid="{5883DD5D-C8FE-45FB-BDBD-FD5D9A2002AF}"/>
    <cellStyle name="Normal 8 10" xfId="1252" xr:uid="{F7AB28B1-E2CB-49DB-8389-AFA0ED8482A5}"/>
    <cellStyle name="Normal 8 11" xfId="1253" xr:uid="{9E11FB03-B648-4077-B991-E39122CD6B59}"/>
    <cellStyle name="Normal 8 12" xfId="1254" xr:uid="{F452B92A-5EF5-4121-8D71-D01E344D6A96}"/>
    <cellStyle name="Normal 8 13" xfId="1255" xr:uid="{7F8D9D7F-3C78-4D95-9793-62633C7D0D43}"/>
    <cellStyle name="Normal 8 2" xfId="1256" xr:uid="{3A6F2DE7-A464-4B7C-A602-ED1FB2D92D20}"/>
    <cellStyle name="Normal 8 2 2" xfId="1257" xr:uid="{BF6D815B-B9E6-4C78-B4B2-2E7AB45BC57D}"/>
    <cellStyle name="Normal 8 2 3" xfId="1258" xr:uid="{9BE8DCD4-148D-437A-9E06-60BC6A1E6A39}"/>
    <cellStyle name="Normal 8 2 4" xfId="1259" xr:uid="{54B4457B-099A-4CB0-92F3-3130A3A42733}"/>
    <cellStyle name="Normal 8 2 5" xfId="1260" xr:uid="{C49D0371-87E3-437E-B6CE-B4238EE3ED48}"/>
    <cellStyle name="Normal 8 2 6" xfId="1261" xr:uid="{6CB73D2C-4B15-4495-93B2-F49F6BB2333A}"/>
    <cellStyle name="Normal 8 2 7" xfId="1262" xr:uid="{E9D2457A-FC44-439D-A933-101E27C25167}"/>
    <cellStyle name="Normal 8 2 8" xfId="1263" xr:uid="{63097AED-4E0C-4941-B05D-E8F85AFC2411}"/>
    <cellStyle name="Normal 8 2 9" xfId="1264" xr:uid="{B3030E88-FB9C-4FAD-A4F4-9A5454F8A9A8}"/>
    <cellStyle name="Normal 8 3" xfId="1265" xr:uid="{4608DFA1-088C-435D-8592-39A5183A4B4B}"/>
    <cellStyle name="Normal 8 3 2" xfId="1266" xr:uid="{B6868923-F2BC-4CEE-8150-FEFAD5C64742}"/>
    <cellStyle name="Normal 8 3 3" xfId="1267" xr:uid="{39C83C2D-895E-4324-BC59-5573B24203DF}"/>
    <cellStyle name="Normal 8 3 4" xfId="1268" xr:uid="{A50D3060-45D7-4B3C-9BB0-1750E96F66B8}"/>
    <cellStyle name="Normal 8 3 5" xfId="1269" xr:uid="{AA51BDCC-5F19-48AD-A1E6-BB7470FE4BFD}"/>
    <cellStyle name="Normal 8 3 6" xfId="1270" xr:uid="{132F7F84-7BC3-4B67-9A90-BDDDAD8E471A}"/>
    <cellStyle name="Normal 8 3 7" xfId="1271" xr:uid="{DE2353FC-E9C8-4201-84DC-F4FC3AE8BD84}"/>
    <cellStyle name="Normal 8 3 8" xfId="1272" xr:uid="{4DF66EBE-ECC9-4B6D-A8D5-14307FA8C590}"/>
    <cellStyle name="Normal 8 4" xfId="1273" xr:uid="{1E641DD5-B8E0-4293-A0BB-EB0724374ECE}"/>
    <cellStyle name="Normal 8 4 2" xfId="1274" xr:uid="{D9121E3B-38A6-417C-9B5D-A462BA82F43C}"/>
    <cellStyle name="Normal 8 4 3" xfId="1275" xr:uid="{6DCC92E5-A247-491D-936D-9697122291BE}"/>
    <cellStyle name="Normal 8 4 4" xfId="1276" xr:uid="{02548DBC-4C5D-4BDD-81C3-EEBC5AA32F0D}"/>
    <cellStyle name="Normal 8 4 5" xfId="1277" xr:uid="{ED474272-BAC9-4C8C-9973-20A81D682C55}"/>
    <cellStyle name="Normal 8 4 6" xfId="1278" xr:uid="{49453654-93F7-4303-88A0-04A40FD38F40}"/>
    <cellStyle name="Normal 8 4 7" xfId="1279" xr:uid="{1EE48754-5AC1-42DA-9955-05466E52EA68}"/>
    <cellStyle name="Normal 8 4 8" xfId="1280" xr:uid="{88F89C8B-406A-462D-94EE-504A3A43C961}"/>
    <cellStyle name="Normal 8 5" xfId="1281" xr:uid="{37D4BC90-4985-457A-9EF3-9C4B3F6201E7}"/>
    <cellStyle name="Normal 8 5 2" xfId="1282" xr:uid="{AA03CE63-2000-4D65-8A8D-F300F61BE78C}"/>
    <cellStyle name="Normal 8 5 3" xfId="1283" xr:uid="{2A45465A-69C3-4234-ADBD-5A01A714B148}"/>
    <cellStyle name="Normal 8 5 4" xfId="1284" xr:uid="{9077DAD4-37E2-4D0E-8C58-06F52F082AFD}"/>
    <cellStyle name="Normal 8 5 5" xfId="1285" xr:uid="{8FEBAFC3-7727-4C94-AF17-C3391E21948D}"/>
    <cellStyle name="Normal 8 5 6" xfId="1286" xr:uid="{F0C31CBB-3FD6-4F80-A4FA-38263E53E27F}"/>
    <cellStyle name="Normal 8 5 7" xfId="1287" xr:uid="{DFF74BA8-B05D-4A17-9392-2959162B796D}"/>
    <cellStyle name="Normal 8 5 8" xfId="1288" xr:uid="{05E179B2-E3E9-4B95-A6FF-EB7D73F82E20}"/>
    <cellStyle name="Normal 8 6" xfId="1289" xr:uid="{5F959FB7-B533-49C1-9C07-BFACAAE0A0D4}"/>
    <cellStyle name="Normal 8 7" xfId="1290" xr:uid="{BFC5EB26-636B-4744-9846-0D6DA0CA0DA0}"/>
    <cellStyle name="Normal 8 8" xfId="1291" xr:uid="{4B7F2DED-E73D-452B-9FF8-66A512655636}"/>
    <cellStyle name="Normal 8 9" xfId="1292" xr:uid="{2B0636FE-FD40-4E6D-B47A-737B215FB15A}"/>
    <cellStyle name="Normal 9" xfId="1293" xr:uid="{E1A38973-35F3-4C5A-9A19-322A15C6439B}"/>
    <cellStyle name="Normal 9 2" xfId="1294" xr:uid="{2137027B-4D30-4423-A213-36C80F635BF1}"/>
    <cellStyle name="Normal 9 3" xfId="1295" xr:uid="{EF8F62FD-738E-4A84-B606-856681FECAA5}"/>
    <cellStyle name="Normal 9 4" xfId="1296" xr:uid="{C40CF406-81F7-4465-8215-F0B3432DDAB6}"/>
    <cellStyle name="Normal 9 5" xfId="1297" xr:uid="{E699AB7A-E9DB-4041-828D-03B9BBA30FF4}"/>
    <cellStyle name="Normal 9 6" xfId="1298" xr:uid="{A5C2A0EB-0B6F-49E0-B971-549E9DFCB771}"/>
    <cellStyle name="Normal 9 7" xfId="1299" xr:uid="{1ACA14C7-CF81-4370-B874-BC82B7A441F5}"/>
    <cellStyle name="Normal 9 8" xfId="1300" xr:uid="{87150153-3AF5-4715-8022-1FD7A59A3015}"/>
    <cellStyle name="Normal GHG Numbers (0.00)" xfId="1301" xr:uid="{0D548E09-B144-4FE5-9A3D-A98AB08A9107}"/>
    <cellStyle name="Normal GHG Textfiels Bold" xfId="1302" xr:uid="{D64224A9-F471-44C5-BD50-6215CF985040}"/>
    <cellStyle name="Normal GHG-Shade" xfId="1303" xr:uid="{DE8730F6-1104-441B-885F-117380283118}"/>
    <cellStyle name="Normale_B2020" xfId="1304" xr:uid="{7224CECB-7F9A-4BF1-BCE0-3EB0060E272B}"/>
    <cellStyle name="Note 2" xfId="1305" xr:uid="{62883688-DA5F-4AC9-8B22-F80D02ABAFB8}"/>
    <cellStyle name="Note 2 10" xfId="1306" xr:uid="{DA1F7B17-B60C-476C-9498-0A5E9EC2E509}"/>
    <cellStyle name="Note 2 11" xfId="1307" xr:uid="{644A2E30-DCE3-4AD2-8971-A9DCEE825FE6}"/>
    <cellStyle name="Note 2 12" xfId="1308" xr:uid="{F3A44047-BA67-4B38-B2A2-83970DD79513}"/>
    <cellStyle name="Note 2 13" xfId="1309" xr:uid="{7D6B887A-DF45-4C7C-86E5-C11FF60052B8}"/>
    <cellStyle name="Note 2 14" xfId="1310" xr:uid="{B28C53EF-CDE0-4D52-A236-BBC28D7614E7}"/>
    <cellStyle name="Note 2 15" xfId="1311" xr:uid="{6619FC91-C2F9-4502-AA78-E8D8DBAD5502}"/>
    <cellStyle name="Note 2 2" xfId="1312" xr:uid="{43F5AD0A-2C3F-4CAB-8232-A77D2F8EB386}"/>
    <cellStyle name="Note 2 3" xfId="1313" xr:uid="{E8F2C4C1-DCFE-4E77-B773-C0C5C6666002}"/>
    <cellStyle name="Note 2 4" xfId="1314" xr:uid="{0413BCB5-3D98-4290-8F7C-2B124BED799E}"/>
    <cellStyle name="Note 2 5" xfId="1315" xr:uid="{04295B37-82B6-4357-BACF-30C63AFDF1AF}"/>
    <cellStyle name="Note 2 6" xfId="1316" xr:uid="{731ECA85-8E73-494A-A9EB-1A20E30819CA}"/>
    <cellStyle name="Note 2 7" xfId="1317" xr:uid="{FFC220B6-25B5-489A-852F-A56CDE731643}"/>
    <cellStyle name="Note 2 8" xfId="1318" xr:uid="{DD9FD49C-9F83-4654-990E-58ACD662EE38}"/>
    <cellStyle name="Note 2 9" xfId="1319" xr:uid="{0E39229E-E53E-43ED-9BEC-1EA982662C1B}"/>
    <cellStyle name="Note 3" xfId="1320" xr:uid="{989C1553-88C4-4870-80E8-4DA54120D557}"/>
    <cellStyle name="Note 3 2" xfId="1321" xr:uid="{F80BAD8A-74C8-4A81-B3A5-865D5A524DD0}"/>
    <cellStyle name="Note 4" xfId="1322" xr:uid="{4DC20D98-6BF3-488D-BD94-0317EF6626ED}"/>
    <cellStyle name="Note 5" xfId="1323" xr:uid="{7E6DBD0A-8B28-4BB7-A509-E73890DE7FF7}"/>
    <cellStyle name="Note 6" xfId="1324" xr:uid="{884FB8A3-3CDF-4734-A100-9C0BC45E13A4}"/>
    <cellStyle name="Note 7" xfId="1325" xr:uid="{B20080EB-2F4C-4CE2-A900-04A46AC3E899}"/>
    <cellStyle name="Note 8" xfId="1326" xr:uid="{4F344323-8E5A-49C3-AF8A-31E79CEE742F}"/>
    <cellStyle name="Nuovo" xfId="1327" xr:uid="{E59D8DEF-567E-4F89-9567-02F148B7E72F}"/>
    <cellStyle name="Nuovo 2" xfId="1328" xr:uid="{E8F691AD-2EFE-42FB-AA52-379463CF7BF6}"/>
    <cellStyle name="Output 2" xfId="1329" xr:uid="{D815DE9E-12B3-41B8-890D-79D9BBCCD088}"/>
    <cellStyle name="Output 2 10" xfId="1330" xr:uid="{926663A8-C79B-449C-BEAB-7398C9014CB9}"/>
    <cellStyle name="Output 2 2" xfId="1331" xr:uid="{E9377CB8-516F-4567-B33B-293244DA99E3}"/>
    <cellStyle name="Output 2 3" xfId="1332" xr:uid="{0A6F77E5-DC04-47F3-AD72-03C1ED98D10E}"/>
    <cellStyle name="Output 2 4" xfId="1333" xr:uid="{D16A7013-138A-440B-A714-EE0B6FE1375F}"/>
    <cellStyle name="Output 2 5" xfId="1334" xr:uid="{E0787AF3-2B65-4E80-B615-A93F69EC77B7}"/>
    <cellStyle name="Output 2 6" xfId="1335" xr:uid="{1DBA7E11-7983-4A06-A6B9-6D0423A6CC29}"/>
    <cellStyle name="Output 2 7" xfId="1336" xr:uid="{78CA6E35-9937-4EDA-9B04-EDC22864AD55}"/>
    <cellStyle name="Output 2 8" xfId="1337" xr:uid="{8BF5BA93-428C-4C16-9870-58A87DA3EE68}"/>
    <cellStyle name="Output 2 9" xfId="1338" xr:uid="{68C45509-D15F-4758-948D-686BECB06573}"/>
    <cellStyle name="Output 3" xfId="1339" xr:uid="{DD7395F7-42E0-42D2-9808-3877066BC6CA}"/>
    <cellStyle name="Percent 10" xfId="1340" xr:uid="{B4B6B927-FE22-40FD-B71C-5AE2D9C83B41}"/>
    <cellStyle name="Percent 10 2" xfId="1341" xr:uid="{2C80914F-15E3-43CC-B464-29609C3614A1}"/>
    <cellStyle name="Percent 10 3" xfId="1342" xr:uid="{EB4472FF-51B4-4DA6-87C6-AD789F109587}"/>
    <cellStyle name="Percent 10 4" xfId="1343" xr:uid="{1B7F7DBB-4E5E-4F2E-8E6B-D0AE006FD93E}"/>
    <cellStyle name="Percent 10 5" xfId="1344" xr:uid="{7495903F-1E1C-44CA-80EA-90E714945ED4}"/>
    <cellStyle name="Percent 10 6" xfId="1345" xr:uid="{BAC4B71B-63F7-4941-B88B-3FA3443FBCEC}"/>
    <cellStyle name="Percent 10 7" xfId="1346" xr:uid="{B4826AF9-FDB5-49AD-88AD-FED800035C21}"/>
    <cellStyle name="Percent 10 8" xfId="1347" xr:uid="{F9F5B03A-D106-40DA-A3D7-1522D751973E}"/>
    <cellStyle name="Percent 11" xfId="1348" xr:uid="{56635B95-EDA7-490A-AC33-1424D6B05E31}"/>
    <cellStyle name="Percent 11 2" xfId="1349" xr:uid="{DA775018-B8C9-44FC-B80A-7C04EE768A5A}"/>
    <cellStyle name="Percent 11 3" xfId="1350" xr:uid="{2A54C3A5-A256-47E4-B881-E9F52A8933D5}"/>
    <cellStyle name="Percent 11 4" xfId="1351" xr:uid="{ED23C33E-28F9-4A97-A336-A22343CB7E72}"/>
    <cellStyle name="Percent 11 5" xfId="1352" xr:uid="{B564C6D3-B35A-42BF-8455-10245BC2442E}"/>
    <cellStyle name="Percent 11 6" xfId="1353" xr:uid="{70494043-371F-4728-AD8D-8E2FF08DA531}"/>
    <cellStyle name="Percent 11 7" xfId="1354" xr:uid="{E23D310F-34DA-469B-B9AF-4E997BC00EEA}"/>
    <cellStyle name="Percent 11 8" xfId="1355" xr:uid="{C384D522-5621-4599-8511-6A28B10AED0D}"/>
    <cellStyle name="Percent 12" xfId="1356" xr:uid="{C685A428-B6D5-4BE5-A6C1-C54D4D3ECA24}"/>
    <cellStyle name="Percent 12 2" xfId="1357" xr:uid="{BDD208F8-B90F-4FB7-8AB8-9C194226EECC}"/>
    <cellStyle name="Percent 12 3" xfId="1358" xr:uid="{5ED7D290-BBE3-415F-8408-21B0C65B3A27}"/>
    <cellStyle name="Percent 12 4" xfId="1359" xr:uid="{D4FEAF22-8BBB-419D-9A9F-77EDF9E81E37}"/>
    <cellStyle name="Percent 12 5" xfId="1360" xr:uid="{EACD2B17-B44B-4B1F-9B2E-193963163C2E}"/>
    <cellStyle name="Percent 12 6" xfId="1361" xr:uid="{AA6905FA-4AE8-4F59-82E2-54478FE3675F}"/>
    <cellStyle name="Percent 12 7" xfId="1362" xr:uid="{8DAC24E7-44E6-4779-8F76-FB078DC80017}"/>
    <cellStyle name="Percent 12 8" xfId="1363" xr:uid="{415235A3-9244-47A5-92A3-13F53412CB22}"/>
    <cellStyle name="Percent 13" xfId="1364" xr:uid="{BB3CEDDB-1D61-4FDA-A159-8A5EF8C35771}"/>
    <cellStyle name="Percent 13 2" xfId="1365" xr:uid="{98956AEC-B088-4BE0-AA84-7AFB95F25924}"/>
    <cellStyle name="Percent 13 3" xfId="1366" xr:uid="{D4624B5F-A06D-4A34-B9A2-9F08EE6E5A2B}"/>
    <cellStyle name="Percent 13 4" xfId="1367" xr:uid="{555C0F35-FF6E-4A5C-B59A-87A2A9B651A2}"/>
    <cellStyle name="Percent 13 5" xfId="1368" xr:uid="{43C18507-9688-4393-89AE-2392032CF69F}"/>
    <cellStyle name="Percent 13 6" xfId="1369" xr:uid="{A3D3539A-EB39-4DB4-8AB0-6998912AB917}"/>
    <cellStyle name="Percent 13 7" xfId="1370" xr:uid="{C9E183B0-78D6-4E6D-8253-7A4195AA7620}"/>
    <cellStyle name="Percent 13 8" xfId="1371" xr:uid="{792D372C-64C9-4F8D-A699-FEE688CAB246}"/>
    <cellStyle name="Percent 14" xfId="1372" xr:uid="{A3638ECF-237A-4BFA-9DD1-9D66E8B5B83C}"/>
    <cellStyle name="Percent 14 2" xfId="1373" xr:uid="{E0A4568D-C467-4091-9791-D24D75CFF59C}"/>
    <cellStyle name="Percent 14 3" xfId="1374" xr:uid="{75BDBF76-CF91-4F79-980C-CCB045614C26}"/>
    <cellStyle name="Percent 14 4" xfId="1375" xr:uid="{D5E0748E-4075-4EBF-AB2B-DD83904BFCCA}"/>
    <cellStyle name="Percent 14 5" xfId="1376" xr:uid="{EE44AD3B-667C-40DA-888E-C16C3EC65BA5}"/>
    <cellStyle name="Percent 14 6" xfId="1377" xr:uid="{2D3EE5E2-9F98-4DB4-B5A7-533A93FA1DAB}"/>
    <cellStyle name="Percent 14 7" xfId="1378" xr:uid="{CFB5DCF1-4692-436B-937D-7464818E9840}"/>
    <cellStyle name="Percent 14 8" xfId="1379" xr:uid="{FF2FB9FD-2AA4-459E-9084-3DA33E53F1D3}"/>
    <cellStyle name="Percent 15" xfId="1380" xr:uid="{A5BE0874-A5B2-4142-92DB-7D0D6922C365}"/>
    <cellStyle name="Percent 15 10" xfId="1381" xr:uid="{D30FA828-D9FF-467B-BA06-5141AFB33E40}"/>
    <cellStyle name="Percent 15 11" xfId="1382" xr:uid="{6DE690CB-78EF-4A6D-96BD-0E242C8668D2}"/>
    <cellStyle name="Percent 15 12" xfId="1383" xr:uid="{17178ED4-945A-4D35-8B79-5DCFDA5F0CD3}"/>
    <cellStyle name="Percent 15 13" xfId="1384" xr:uid="{7A8E0637-27D9-431E-B85C-6DBE487D0B4B}"/>
    <cellStyle name="Percent 15 14" xfId="1385" xr:uid="{42BCA590-ED9B-40FF-A15D-195EC39ADE4F}"/>
    <cellStyle name="Percent 15 2" xfId="1386" xr:uid="{70FE87F3-67CE-4791-B998-3C5AA45125DD}"/>
    <cellStyle name="Percent 15 2 2" xfId="1387" xr:uid="{177A247D-7CD6-4FA2-8C1B-622DFFA13544}"/>
    <cellStyle name="Percent 15 2 3" xfId="1388" xr:uid="{6BD837EB-E144-4E59-9E8D-DBCC83C51337}"/>
    <cellStyle name="Percent 15 2 4" xfId="1389" xr:uid="{2B1BC3CE-77DF-4400-AE83-6195F642CEB9}"/>
    <cellStyle name="Percent 15 2 5" xfId="1390" xr:uid="{AF0EDA08-7A41-4E4D-8D52-F67BB890AE27}"/>
    <cellStyle name="Percent 15 2 6" xfId="1391" xr:uid="{2813D41C-8FA7-4B11-AFD1-8BBE280E11E3}"/>
    <cellStyle name="Percent 15 2 7" xfId="1392" xr:uid="{143D6A4B-6738-42E1-8CDC-671F69F1D6EE}"/>
    <cellStyle name="Percent 15 3" xfId="1393" xr:uid="{BE3B08A3-53E1-4C3D-BA09-2CC487B1B9CC}"/>
    <cellStyle name="Percent 15 4" xfId="1394" xr:uid="{512D3D82-46D8-4723-949F-90981DD6A10C}"/>
    <cellStyle name="Percent 15 5" xfId="1395" xr:uid="{5E94D62F-7C78-4313-A71B-B49E1EF0C9C6}"/>
    <cellStyle name="Percent 15 6" xfId="1396" xr:uid="{7B5DEDEA-1370-48A2-8574-90E38D65DFE3}"/>
    <cellStyle name="Percent 15 7" xfId="1397" xr:uid="{B7563B17-6C6E-4319-9699-8B7EDC66D4C9}"/>
    <cellStyle name="Percent 15 8" xfId="1398" xr:uid="{9FF9C599-083C-47B2-BB1B-66449790DB8D}"/>
    <cellStyle name="Percent 15 9" xfId="1399" xr:uid="{8D701C6E-555B-493A-A2EB-B3397502DE30}"/>
    <cellStyle name="Percent 16" xfId="1400" xr:uid="{EA690FD8-BE6C-464A-BC4E-C9DF467DA45D}"/>
    <cellStyle name="Percent 16 2" xfId="1401" xr:uid="{47962402-F396-4561-A12E-AC9EF1009743}"/>
    <cellStyle name="Percent 16 3" xfId="1402" xr:uid="{84CA84AF-2608-46A0-9E64-C3941C914462}"/>
    <cellStyle name="Percent 16 3 10" xfId="1403" xr:uid="{279B12AE-5BDA-4D14-A962-98DEF707FDF0}"/>
    <cellStyle name="Percent 16 3 11" xfId="1404" xr:uid="{365D9B5C-C167-4A98-A130-9528C903BE95}"/>
    <cellStyle name="Percent 16 3 12" xfId="1405" xr:uid="{5C1FFF13-B41F-4304-A815-8C10DF8926C1}"/>
    <cellStyle name="Percent 16 3 13" xfId="1406" xr:uid="{8C57E441-0C43-4521-B7A7-873BE960DA35}"/>
    <cellStyle name="Percent 16 3 14" xfId="1407" xr:uid="{D3E159AC-B56A-4B62-B516-5CF54D4441FC}"/>
    <cellStyle name="Percent 16 3 15" xfId="1408" xr:uid="{E9815247-9DAB-4D1E-B808-8232F263E4D6}"/>
    <cellStyle name="Percent 16 3 16" xfId="1409" xr:uid="{AB8EB67F-0DE9-4822-B312-401A46A57413}"/>
    <cellStyle name="Percent 16 3 17" xfId="1410" xr:uid="{A2026CBD-90D6-4ED0-A3C3-5F0097628635}"/>
    <cellStyle name="Percent 16 3 2" xfId="1411" xr:uid="{1D24FDA6-9488-454F-99F3-ECCA6FAE59B7}"/>
    <cellStyle name="Percent 16 3 3" xfId="1412" xr:uid="{9F378D3F-A706-45BC-9CC1-B89F40D1B046}"/>
    <cellStyle name="Percent 16 3 4" xfId="1413" xr:uid="{63AF06D2-438E-4CBB-BEEB-016B782A5D90}"/>
    <cellStyle name="Percent 16 3 5" xfId="1414" xr:uid="{C53A1EDF-3328-4B84-802D-6F4308CAE2BC}"/>
    <cellStyle name="Percent 16 3 6" xfId="1415" xr:uid="{87F27A49-644E-4519-81D4-5119B595C572}"/>
    <cellStyle name="Percent 16 3 7" xfId="1416" xr:uid="{300C0B1C-5D2C-4ADA-A028-F578C4F3E824}"/>
    <cellStyle name="Percent 16 3 8" xfId="1417" xr:uid="{B725EF39-A897-4F06-BB38-7C553A03C837}"/>
    <cellStyle name="Percent 16 3 9" xfId="1418" xr:uid="{359203C9-21E6-4BF5-8B4F-4BBCB70E1F14}"/>
    <cellStyle name="Percent 16 4" xfId="1419" xr:uid="{FD289CEC-DC86-4CA6-B918-7B1553B78C99}"/>
    <cellStyle name="Percent 16 4 10" xfId="1420" xr:uid="{2F9E919C-BE87-4AFC-AD14-2B795AAE5396}"/>
    <cellStyle name="Percent 16 4 11" xfId="1421" xr:uid="{8190083F-EC2B-4A64-929F-67AA7B404AC3}"/>
    <cellStyle name="Percent 16 4 12" xfId="1422" xr:uid="{E45701E8-4EDD-437C-9A25-1384D04F9EAD}"/>
    <cellStyle name="Percent 16 4 13" xfId="1423" xr:uid="{74BA284C-2C79-49E9-AC60-7C5A41ED35BB}"/>
    <cellStyle name="Percent 16 4 14" xfId="1424" xr:uid="{5BFD5C44-B148-4E41-A961-B216D5C7356D}"/>
    <cellStyle name="Percent 16 4 15" xfId="1425" xr:uid="{EF58EA2E-BAC1-426A-A62F-7EB129C54752}"/>
    <cellStyle name="Percent 16 4 16" xfId="1426" xr:uid="{56594F6C-5D68-43B9-B808-CD4AB8023A69}"/>
    <cellStyle name="Percent 16 4 17" xfId="1427" xr:uid="{635AB73A-3077-4E60-8D17-0D95C13DBC3C}"/>
    <cellStyle name="Percent 16 4 2" xfId="1428" xr:uid="{8B553F45-997D-4294-8771-0C4A46A56C14}"/>
    <cellStyle name="Percent 16 4 3" xfId="1429" xr:uid="{AE7EC4CC-CD50-447D-AA7A-6514B61D11AF}"/>
    <cellStyle name="Percent 16 4 4" xfId="1430" xr:uid="{07A6F704-2BEA-4733-A668-A6C98F17A451}"/>
    <cellStyle name="Percent 16 4 5" xfId="1431" xr:uid="{F6251F08-9EFD-48E5-B8C8-29DD02D090C7}"/>
    <cellStyle name="Percent 16 4 6" xfId="1432" xr:uid="{31D47F3C-93E4-477B-B5EE-3330BB5FB62E}"/>
    <cellStyle name="Percent 16 4 7" xfId="1433" xr:uid="{3C992D16-0E20-417F-BA7F-E22CA52F9FC3}"/>
    <cellStyle name="Percent 16 4 8" xfId="1434" xr:uid="{D040791D-54C6-4635-BBD1-C9B175D8405A}"/>
    <cellStyle name="Percent 16 4 9" xfId="1435" xr:uid="{415061DF-894D-42F5-9163-201A8F35A6A0}"/>
    <cellStyle name="Percent 16 5" xfId="1436" xr:uid="{DCBBE6F6-8A82-4E4C-B337-944CB213D952}"/>
    <cellStyle name="Percent 16 5 10" xfId="1437" xr:uid="{C78E356B-40C3-4472-9B33-1E9489564892}"/>
    <cellStyle name="Percent 16 5 11" xfId="1438" xr:uid="{18E19F59-6CDB-4C29-8FD3-260E60FC6B1F}"/>
    <cellStyle name="Percent 16 5 12" xfId="1439" xr:uid="{B4489981-5028-4704-8109-FBADED9C107A}"/>
    <cellStyle name="Percent 16 5 13" xfId="1440" xr:uid="{271CE617-C314-4C7D-BE26-490AFC97E3BC}"/>
    <cellStyle name="Percent 16 5 14" xfId="1441" xr:uid="{BD4AFB33-F3DC-4075-ABAB-E7405426C94F}"/>
    <cellStyle name="Percent 16 5 15" xfId="1442" xr:uid="{76A66C4D-5478-4DF1-A0DF-4BB1EE461340}"/>
    <cellStyle name="Percent 16 5 16" xfId="1443" xr:uid="{CAFD6D20-93EB-49F3-97BE-43C0D79A1B3D}"/>
    <cellStyle name="Percent 16 5 17" xfId="1444" xr:uid="{54BD1B74-7B7B-41E6-8353-A269C1234F9C}"/>
    <cellStyle name="Percent 16 5 2" xfId="1445" xr:uid="{B99F473E-B8C8-4F0D-A356-832F751CC274}"/>
    <cellStyle name="Percent 16 5 3" xfId="1446" xr:uid="{BB8EB53D-DDEB-4D1B-9E01-2E95FB2BF78E}"/>
    <cellStyle name="Percent 16 5 4" xfId="1447" xr:uid="{6E30140E-E9EE-4271-AD73-35D89F179434}"/>
    <cellStyle name="Percent 16 5 5" xfId="1448" xr:uid="{C564DD6D-E167-4DB2-AA43-AF7064D73A21}"/>
    <cellStyle name="Percent 16 5 6" xfId="1449" xr:uid="{675932AD-5783-447A-B5A3-3B02DED01F96}"/>
    <cellStyle name="Percent 16 5 7" xfId="1450" xr:uid="{A4F5B0EB-D30B-40E9-9FCB-4D7150B6B2E9}"/>
    <cellStyle name="Percent 16 5 8" xfId="1451" xr:uid="{5F6D9AB9-B55B-40AC-B4EB-DD3AE104A0A5}"/>
    <cellStyle name="Percent 16 5 9" xfId="1452" xr:uid="{68736A2E-8D1D-4D71-B30F-DD61D0B243BF}"/>
    <cellStyle name="Percent 16 6" xfId="1453" xr:uid="{5AED7FF7-444E-423C-8EA4-3811915505E2}"/>
    <cellStyle name="Percent 16 6 10" xfId="1454" xr:uid="{1F7243ED-803E-424C-B4AE-3361298C7B15}"/>
    <cellStyle name="Percent 16 6 11" xfId="1455" xr:uid="{00277AC6-AC58-4E1D-AC50-78BC6224667F}"/>
    <cellStyle name="Percent 16 6 12" xfId="1456" xr:uid="{AF5F6AE5-184A-439F-B472-DD0E2C653820}"/>
    <cellStyle name="Percent 16 6 13" xfId="1457" xr:uid="{E6389590-7E0A-4C52-BAFF-0DBFE55603B3}"/>
    <cellStyle name="Percent 16 6 14" xfId="1458" xr:uid="{27FE30E0-1BB1-497F-BDA0-94344F0F11B1}"/>
    <cellStyle name="Percent 16 6 15" xfId="1459" xr:uid="{BC6E87C6-EC5E-466F-A005-00BB9542CDFB}"/>
    <cellStyle name="Percent 16 6 16" xfId="1460" xr:uid="{96B0BB69-606B-40D7-8A17-657A0ECE46FB}"/>
    <cellStyle name="Percent 16 6 17" xfId="1461" xr:uid="{B251B7D5-076A-4477-9BE0-4D33CFD29369}"/>
    <cellStyle name="Percent 16 6 2" xfId="1462" xr:uid="{6CA9B314-1539-42F4-A69D-C00000AD9A2B}"/>
    <cellStyle name="Percent 16 6 3" xfId="1463" xr:uid="{D5557543-CE5E-437E-9354-E4F24A398164}"/>
    <cellStyle name="Percent 16 6 4" xfId="1464" xr:uid="{E4721601-3832-40A0-9174-22ABB06B6697}"/>
    <cellStyle name="Percent 16 6 5" xfId="1465" xr:uid="{A6DCFF26-B3F6-43F3-B823-147FA3BCA8CC}"/>
    <cellStyle name="Percent 16 6 6" xfId="1466" xr:uid="{20033B00-66D7-41AA-B0BB-E05F6450B032}"/>
    <cellStyle name="Percent 16 6 7" xfId="1467" xr:uid="{0E131ABB-9FF8-4ECC-9064-216CAF4A9CD4}"/>
    <cellStyle name="Percent 16 6 8" xfId="1468" xr:uid="{93477234-9A1D-458B-82F0-409C70196F77}"/>
    <cellStyle name="Percent 16 6 9" xfId="1469" xr:uid="{2835B3F1-C166-4B75-9C9C-7048163B146F}"/>
    <cellStyle name="Percent 16 7" xfId="1470" xr:uid="{5F239282-773C-41F5-8FA8-C0745300171F}"/>
    <cellStyle name="Percent 16 7 10" xfId="1471" xr:uid="{3050DA87-294F-47CC-B078-129B5A204AF2}"/>
    <cellStyle name="Percent 16 7 11" xfId="1472" xr:uid="{106F2B37-9CB0-4C9A-9D36-F5C737661D9F}"/>
    <cellStyle name="Percent 16 7 12" xfId="1473" xr:uid="{D01D8E97-D6F8-4EA6-AEAC-BFFA30D5E678}"/>
    <cellStyle name="Percent 16 7 13" xfId="1474" xr:uid="{A0A3157E-7B7F-427C-B4DE-B82CE79916C4}"/>
    <cellStyle name="Percent 16 7 14" xfId="1475" xr:uid="{8AD07621-9780-4D51-8F8D-2FA843D17A59}"/>
    <cellStyle name="Percent 16 7 15" xfId="1476" xr:uid="{A42029A6-3358-4A87-A763-0BB835932BEA}"/>
    <cellStyle name="Percent 16 7 16" xfId="1477" xr:uid="{74DEE572-4D1F-4FEA-BD86-60AAB9397553}"/>
    <cellStyle name="Percent 16 7 17" xfId="1478" xr:uid="{F2A8D43A-1D95-4F1B-898F-32A093B04D40}"/>
    <cellStyle name="Percent 16 7 2" xfId="1479" xr:uid="{BE1D455D-87FB-4DA6-99E9-7315109CC0B7}"/>
    <cellStyle name="Percent 16 7 3" xfId="1480" xr:uid="{2BCE899B-40C0-46B4-8C94-36E967536EE7}"/>
    <cellStyle name="Percent 16 7 4" xfId="1481" xr:uid="{F18F05A7-1257-4026-9C94-272FF5F2EF68}"/>
    <cellStyle name="Percent 16 7 5" xfId="1482" xr:uid="{447A2BBB-3F8A-4CA2-9952-A424345D6606}"/>
    <cellStyle name="Percent 16 7 6" xfId="1483" xr:uid="{592BF47D-665E-4C59-BC11-73584A3BE390}"/>
    <cellStyle name="Percent 16 7 7" xfId="1484" xr:uid="{6039EEC2-C44C-4FC2-9BB2-BC02E824E76E}"/>
    <cellStyle name="Percent 16 7 8" xfId="1485" xr:uid="{0FFD27C0-48D3-4D10-A6FA-561758EA7EFF}"/>
    <cellStyle name="Percent 16 7 9" xfId="1486" xr:uid="{31E48F30-E0DF-440D-B0BD-8DE8A0D58AE5}"/>
    <cellStyle name="Percent 16 8" xfId="1487" xr:uid="{BFBC9A63-58D6-4DC4-925F-6C3472C6C6AE}"/>
    <cellStyle name="Percent 16 8 10" xfId="1488" xr:uid="{DFECED55-67C5-4B1C-AC3B-C1E563A75E13}"/>
    <cellStyle name="Percent 16 8 11" xfId="1489" xr:uid="{C2900422-D1FF-451B-A5EB-AFB89DA27357}"/>
    <cellStyle name="Percent 16 8 12" xfId="1490" xr:uid="{6C965C97-5934-43DB-9B11-73458C8B7552}"/>
    <cellStyle name="Percent 16 8 13" xfId="1491" xr:uid="{7A1A623F-5B98-4387-B84A-009AB33F441C}"/>
    <cellStyle name="Percent 16 8 14" xfId="1492" xr:uid="{734CD186-ACC1-4F7A-85E6-18F2DA9A9FD9}"/>
    <cellStyle name="Percent 16 8 15" xfId="1493" xr:uid="{DBC701A9-40A7-4568-87D5-767727C4ABA5}"/>
    <cellStyle name="Percent 16 8 16" xfId="1494" xr:uid="{32FC7CC4-823E-43BE-B6F8-DDD6DFEDDA29}"/>
    <cellStyle name="Percent 16 8 17" xfId="1495" xr:uid="{1743A6FA-3C6F-415F-99A7-67B0B4A2B751}"/>
    <cellStyle name="Percent 16 8 2" xfId="1496" xr:uid="{6FAD5605-4CC1-4983-BEFB-A724A3D1152A}"/>
    <cellStyle name="Percent 16 8 3" xfId="1497" xr:uid="{5A3B7C2D-D0D3-428F-8E31-FC4CEBFC0208}"/>
    <cellStyle name="Percent 16 8 4" xfId="1498" xr:uid="{0A06367C-54BB-487B-BCDE-8451E396E2C4}"/>
    <cellStyle name="Percent 16 8 5" xfId="1499" xr:uid="{BE8CA70E-F6C3-44BA-B92B-8CE9C65ABD6D}"/>
    <cellStyle name="Percent 16 8 6" xfId="1500" xr:uid="{5D258720-C45C-438A-A3FF-01823A8E75DE}"/>
    <cellStyle name="Percent 16 8 7" xfId="1501" xr:uid="{81002C18-337E-42A4-90E4-D05FBB9F4554}"/>
    <cellStyle name="Percent 16 8 8" xfId="1502" xr:uid="{B89597C4-407F-49D9-BB3B-8BF5110C713C}"/>
    <cellStyle name="Percent 16 8 9" xfId="1503" xr:uid="{BC8F8AE3-8CA3-44C4-ADE7-29B3DA498E6E}"/>
    <cellStyle name="Percent 16 9" xfId="1504" xr:uid="{6FAE9120-D139-438E-8089-AD699A561D04}"/>
    <cellStyle name="Percent 16 9 10" xfId="1505" xr:uid="{E9BC3F66-0CC1-4620-950C-BFE1379257D8}"/>
    <cellStyle name="Percent 16 9 11" xfId="1506" xr:uid="{FB2AFEE3-4E0D-4156-9F6D-2BD539C3D814}"/>
    <cellStyle name="Percent 16 9 12" xfId="1507" xr:uid="{14A3EC7E-A418-4F08-B959-4DACD3382AC7}"/>
    <cellStyle name="Percent 16 9 13" xfId="1508" xr:uid="{08CDD39A-92DA-4394-8E05-A5D24CFB0692}"/>
    <cellStyle name="Percent 16 9 14" xfId="1509" xr:uid="{97608704-4137-4C1F-936D-7013A1042E7B}"/>
    <cellStyle name="Percent 16 9 15" xfId="1510" xr:uid="{D66CECB2-54A6-40E7-8245-921CC329CF37}"/>
    <cellStyle name="Percent 16 9 16" xfId="1511" xr:uid="{B1914203-C575-4541-93DC-91B20B9F3B1D}"/>
    <cellStyle name="Percent 16 9 17" xfId="1512" xr:uid="{C05DB97F-3701-4990-BFD9-97212060B5BE}"/>
    <cellStyle name="Percent 16 9 2" xfId="1513" xr:uid="{02C6EDD8-12C1-4B8E-BB6B-A568F0C1CA46}"/>
    <cellStyle name="Percent 16 9 3" xfId="1514" xr:uid="{C347CEBB-F4C1-4D34-8550-350D81D94FDA}"/>
    <cellStyle name="Percent 16 9 4" xfId="1515" xr:uid="{9A14DFFD-65BD-4FC2-82DB-106A20CE44E1}"/>
    <cellStyle name="Percent 16 9 5" xfId="1516" xr:uid="{BB9AE05A-165B-4E57-976C-36370A977B04}"/>
    <cellStyle name="Percent 16 9 6" xfId="1517" xr:uid="{C5330C0E-5CF4-4DD5-86F8-4BA90E6D289A}"/>
    <cellStyle name="Percent 16 9 7" xfId="1518" xr:uid="{E80AC524-E5D9-4545-A313-D9B6971FD724}"/>
    <cellStyle name="Percent 16 9 8" xfId="1519" xr:uid="{2C9C5B26-69D0-46F4-9043-67955181EC75}"/>
    <cellStyle name="Percent 16 9 9" xfId="1520" xr:uid="{5A42C7E0-DAEB-46C1-9D70-72000C0C6E73}"/>
    <cellStyle name="Percent 17" xfId="1521" xr:uid="{7C230432-7071-4A3D-8F58-39232C2856C2}"/>
    <cellStyle name="Percent 18" xfId="1522" xr:uid="{1E717C33-2800-4EE3-9A1A-CD5BA4009239}"/>
    <cellStyle name="Percent 18 2" xfId="1523" xr:uid="{4DD1EF69-84CA-43F9-9F40-3C5AF361C093}"/>
    <cellStyle name="Percent 19" xfId="1524" xr:uid="{06FC4012-FAA8-4DBA-BF84-E87FF52C7C0F}"/>
    <cellStyle name="Percent 2" xfId="1525" xr:uid="{9F833416-34B8-483C-81B2-A15CA214935D}"/>
    <cellStyle name="Percent 2 10" xfId="1526" xr:uid="{4CAEA0DB-0B45-4DA2-A3C9-557F2F12734E}"/>
    <cellStyle name="Percent 2 10 2" xfId="1527" xr:uid="{B8A23F4D-A568-4452-AD74-73706EBEE17A}"/>
    <cellStyle name="Percent 2 10 3" xfId="1528" xr:uid="{807D88EF-36A7-4F61-B3DB-F9A89CFEC177}"/>
    <cellStyle name="Percent 2 10 4" xfId="1529" xr:uid="{302C015D-AD60-470F-A916-B6A8DAFDF693}"/>
    <cellStyle name="Percent 2 10 5" xfId="1530" xr:uid="{CF13D0B6-D774-4551-88C0-013A66033F10}"/>
    <cellStyle name="Percent 2 10 6" xfId="1531" xr:uid="{B36ADC8F-CF74-404A-9AC8-3590A1B47C4E}"/>
    <cellStyle name="Percent 2 10 7" xfId="1532" xr:uid="{DBC1A98D-9F11-4335-A948-8CC363C09A1B}"/>
    <cellStyle name="Percent 2 10 8" xfId="1533" xr:uid="{F440CB55-2CA9-433D-BA99-458EABC388A8}"/>
    <cellStyle name="Percent 2 11" xfId="1534" xr:uid="{26AA3A58-1D35-49AF-B7CF-BD8436CEE558}"/>
    <cellStyle name="Percent 2 11 2" xfId="1535" xr:uid="{E3004EEE-2168-4C8D-8494-ABA1F655B8F1}"/>
    <cellStyle name="Percent 2 11 3" xfId="1536" xr:uid="{B9400D25-1A55-4875-B27F-47282482693B}"/>
    <cellStyle name="Percent 2 11 4" xfId="1537" xr:uid="{EF119267-0433-4B13-8FD7-1C80B5FF2CA6}"/>
    <cellStyle name="Percent 2 11 5" xfId="1538" xr:uid="{5333319E-C950-41BF-8DE3-9BA3DA2E4D59}"/>
    <cellStyle name="Percent 2 11 6" xfId="1539" xr:uid="{FC973840-B1EB-4AE8-AD4C-A39255044436}"/>
    <cellStyle name="Percent 2 11 7" xfId="1540" xr:uid="{84E4E439-4025-46A1-97DE-2DEA21BD56EA}"/>
    <cellStyle name="Percent 2 11 8" xfId="1541" xr:uid="{07BBB684-6FCE-4285-A083-61DF6BDCF3D3}"/>
    <cellStyle name="Percent 2 12" xfId="1542" xr:uid="{1524B354-0B7A-4B65-A9F9-B4DC207D367D}"/>
    <cellStyle name="Percent 2 13" xfId="1543" xr:uid="{37A53EAD-D064-4F90-9657-37C0B6560E62}"/>
    <cellStyle name="Percent 2 14" xfId="1544" xr:uid="{CC5C9B11-209B-484F-88B8-7F09725C8CA2}"/>
    <cellStyle name="Percent 2 15" xfId="1545" xr:uid="{AF45DE57-2B00-4500-9E0D-8B7055563FAB}"/>
    <cellStyle name="Percent 2 16" xfId="1546" xr:uid="{C9D22B84-757E-4B79-B790-0B5198840E0F}"/>
    <cellStyle name="Percent 2 17" xfId="1547" xr:uid="{67F36D89-EE6D-4042-A45F-D6F358DA0FCA}"/>
    <cellStyle name="Percent 2 18" xfId="1548" xr:uid="{71C64834-FD7E-4F14-8299-0156735F590B}"/>
    <cellStyle name="Percent 2 19" xfId="1549" xr:uid="{208AE7C9-39DD-4628-A289-12F8BCFC99F4}"/>
    <cellStyle name="Percent 2 2" xfId="1550" xr:uid="{0D1D8158-AB8A-4B41-88D2-6ADF705C5104}"/>
    <cellStyle name="Percent 2 2 2" xfId="1551" xr:uid="{595C6E07-3C1C-4B95-813A-4677935E1967}"/>
    <cellStyle name="Percent 2 2 3" xfId="1552" xr:uid="{97CF0E4A-3B4A-4E23-A02D-4402F3526CE2}"/>
    <cellStyle name="Percent 2 2 3 2" xfId="1553" xr:uid="{6A91AD51-ECEA-4982-A3EE-20ABB290A7B7}"/>
    <cellStyle name="Percent 2 2 4" xfId="1554" xr:uid="{929E6689-5703-48F0-B98F-18474E6B5843}"/>
    <cellStyle name="Percent 2 2 5" xfId="1555" xr:uid="{D9E84592-E4B8-4B82-83EC-FF21CABF0767}"/>
    <cellStyle name="Percent 2 2 6" xfId="1556" xr:uid="{EFEF8B60-2463-4301-AFFA-09CEEEE60037}"/>
    <cellStyle name="Percent 2 2 7" xfId="1557" xr:uid="{FE5D6ECC-04BF-4129-A863-244E23E325F4}"/>
    <cellStyle name="Percent 2 2 8" xfId="1558" xr:uid="{9A4FB2F9-A074-495B-889E-797D8592CF39}"/>
    <cellStyle name="Percent 2 2 9" xfId="1559" xr:uid="{63DE61B1-39C4-4F64-9F86-296D4342D7B9}"/>
    <cellStyle name="Percent 2 3" xfId="1560" xr:uid="{027C7D7B-DEC0-4AC7-A837-5A91329E4CB8}"/>
    <cellStyle name="Percent 2 3 2" xfId="1561" xr:uid="{43EAA3FC-B6CF-4A4A-891C-CEE19D9D9C18}"/>
    <cellStyle name="Percent 2 3 3" xfId="1562" xr:uid="{584BCA0D-E5DE-4232-AB8E-C304C99A3E72}"/>
    <cellStyle name="Percent 2 3 3 2" xfId="1563" xr:uid="{5565423B-F43C-4813-84CA-8C6F6ED92E0D}"/>
    <cellStyle name="Percent 2 3 3 3" xfId="1564" xr:uid="{9BE95394-915F-4949-A9DB-BAEF840C9CFA}"/>
    <cellStyle name="Percent 2 3 4" xfId="1565" xr:uid="{61201368-20AE-4D4B-AE78-CB7A28FB3731}"/>
    <cellStyle name="Percent 2 3 5" xfId="1566" xr:uid="{08070798-9B3C-41E4-A9C3-A225F2275D3F}"/>
    <cellStyle name="Percent 2 3 6" xfId="1567" xr:uid="{15DB4380-E0B0-4B67-B03B-102F6F5F0DE1}"/>
    <cellStyle name="Percent 2 3 7" xfId="1568" xr:uid="{B9C847F9-F6D3-4DF2-A0ED-022C7731962F}"/>
    <cellStyle name="Percent 2 3 8" xfId="1569" xr:uid="{000475D9-39AA-45E6-81F8-AF590B42ADDF}"/>
    <cellStyle name="Percent 2 4" xfId="1570" xr:uid="{52E5B82F-7A05-4BC6-B9D0-08EFBCC55292}"/>
    <cellStyle name="Percent 2 4 2" xfId="1571" xr:uid="{1BBBAFF6-3111-4605-B435-9C34729359AC}"/>
    <cellStyle name="Percent 2 4 3" xfId="1572" xr:uid="{8BC18126-3DCB-4D9F-B8A8-B6C0DF6425A9}"/>
    <cellStyle name="Percent 2 4 4" xfId="1573" xr:uid="{DB93DB7F-F7EC-46E7-BC30-12BF0FAAFB97}"/>
    <cellStyle name="Percent 2 4 5" xfId="1574" xr:uid="{DA0F4E01-3260-4454-B545-653D8BB31C79}"/>
    <cellStyle name="Percent 2 4 6" xfId="1575" xr:uid="{C84B6DA9-9923-4752-80EE-4FD8A6F45D55}"/>
    <cellStyle name="Percent 2 4 7" xfId="1576" xr:uid="{25392E14-FD7C-4265-AAC2-73C25B66C398}"/>
    <cellStyle name="Percent 2 4 8" xfId="1577" xr:uid="{A26F4FF5-9028-447E-8AFF-15162DAD208C}"/>
    <cellStyle name="Percent 2 5" xfId="1578" xr:uid="{54636552-DC41-454F-808E-DCA9865ACB45}"/>
    <cellStyle name="Percent 2 5 2" xfId="1579" xr:uid="{246CCFA0-067A-4F37-90E5-046943075B1A}"/>
    <cellStyle name="Percent 2 5 3" xfId="1580" xr:uid="{714CBB42-2859-4FA4-9268-A675D15E531C}"/>
    <cellStyle name="Percent 2 5 4" xfId="1581" xr:uid="{14A74596-4311-4643-8E2E-0F081C611DC1}"/>
    <cellStyle name="Percent 2 5 5" xfId="1582" xr:uid="{C8474457-D976-42A2-9CE2-E0266041A740}"/>
    <cellStyle name="Percent 2 5 6" xfId="1583" xr:uid="{3E3D26D6-C69B-4CB9-97AD-5B03349A7F5B}"/>
    <cellStyle name="Percent 2 5 7" xfId="1584" xr:uid="{EBA25543-DA1C-4158-9E8D-8129D3E34E7A}"/>
    <cellStyle name="Percent 2 5 8" xfId="1585" xr:uid="{904297DB-93FB-41D8-9ADC-675BEC6CD91B}"/>
    <cellStyle name="Percent 2 6" xfId="1586" xr:uid="{24993786-CCA2-46E8-8B86-47ADF98AE14E}"/>
    <cellStyle name="Percent 2 6 2" xfId="1587" xr:uid="{FED6CDFD-6E97-450A-8410-D9797B318207}"/>
    <cellStyle name="Percent 2 6 3" xfId="1588" xr:uid="{38CFA0B5-A2B3-4877-9023-912353DF4A59}"/>
    <cellStyle name="Percent 2 6 4" xfId="1589" xr:uid="{59B8EFE1-1331-4B33-B2BE-7D64133E6140}"/>
    <cellStyle name="Percent 2 6 5" xfId="1590" xr:uid="{AE5B700D-4BB6-4B5F-9D98-7226F624F152}"/>
    <cellStyle name="Percent 2 6 6" xfId="1591" xr:uid="{3367EF56-64E4-4022-87A8-5A7C9301B54B}"/>
    <cellStyle name="Percent 2 6 7" xfId="1592" xr:uid="{A76725F0-B49F-4960-99C8-DE1FC19C3748}"/>
    <cellStyle name="Percent 2 6 8" xfId="1593" xr:uid="{0DDF8838-FAD0-4B54-9EBF-F4A88CCA7506}"/>
    <cellStyle name="Percent 2 7" xfId="1594" xr:uid="{CA495253-6649-4F3A-B33C-524245CB8977}"/>
    <cellStyle name="Percent 2 7 2" xfId="1595" xr:uid="{29751B4C-9AA7-44D0-96F8-D6ED411C3412}"/>
    <cellStyle name="Percent 2 7 3" xfId="1596" xr:uid="{D9D768A7-FC92-428F-9364-0BEAC49232BC}"/>
    <cellStyle name="Percent 2 7 4" xfId="1597" xr:uid="{70108609-1126-43CD-8C07-632608964AFA}"/>
    <cellStyle name="Percent 2 7 5" xfId="1598" xr:uid="{2D04E38E-A122-4C65-A927-0B3C48DA8DCA}"/>
    <cellStyle name="Percent 2 7 6" xfId="1599" xr:uid="{C9BE84FC-ABAE-412E-A4FC-F2ABA4835EE5}"/>
    <cellStyle name="Percent 2 7 7" xfId="1600" xr:uid="{62896D35-F61B-4C34-94C2-2BFBA8C8C492}"/>
    <cellStyle name="Percent 2 7 8" xfId="1601" xr:uid="{8B82E640-D203-4C26-AFFA-9D78F2A777C1}"/>
    <cellStyle name="Percent 2 8" xfId="1602" xr:uid="{A974C6C0-08DE-471E-AB4F-ECC158C28A90}"/>
    <cellStyle name="Percent 2 8 2" xfId="1603" xr:uid="{D56348DE-2A0F-487C-87D2-551375BCD571}"/>
    <cellStyle name="Percent 2 8 3" xfId="1604" xr:uid="{0CFE97CE-6048-4E11-92CA-DE0898F8B020}"/>
    <cellStyle name="Percent 2 8 4" xfId="1605" xr:uid="{705D0064-B2CF-4706-B17F-CA24070727FC}"/>
    <cellStyle name="Percent 2 8 5" xfId="1606" xr:uid="{250017B0-9BBF-4A87-8CB4-682E04385579}"/>
    <cellStyle name="Percent 2 8 6" xfId="1607" xr:uid="{A355545F-FAEE-4EFE-8D1F-142C13B69BE2}"/>
    <cellStyle name="Percent 2 8 7" xfId="1608" xr:uid="{AAA6593F-FEC3-4D08-8069-3D6B84732E26}"/>
    <cellStyle name="Percent 2 8 8" xfId="1609" xr:uid="{E544B1FE-E4E4-4E4F-A1C9-E746403059E6}"/>
    <cellStyle name="Percent 2 9" xfId="1610" xr:uid="{0A56CE29-4ECF-449E-8CB1-4CBA9B52C8E5}"/>
    <cellStyle name="Percent 2 9 2" xfId="1611" xr:uid="{5D336EA4-1DA0-4DFE-A835-792C69D81CCB}"/>
    <cellStyle name="Percent 2 9 3" xfId="1612" xr:uid="{85F84A6E-C4A7-4771-A253-05F28413BC52}"/>
    <cellStyle name="Percent 2 9 4" xfId="1613" xr:uid="{A5238FE1-A02D-4FF3-9372-F1A0133A980B}"/>
    <cellStyle name="Percent 2 9 5" xfId="1614" xr:uid="{F500AC31-3BCE-4ADD-B7C4-F29782AE16FE}"/>
    <cellStyle name="Percent 2 9 6" xfId="1615" xr:uid="{7479B837-6719-4D60-9D38-DFCBCA259234}"/>
    <cellStyle name="Percent 2 9 7" xfId="1616" xr:uid="{C696E0A4-3DED-4EF0-94DC-2C1116CA37D9}"/>
    <cellStyle name="Percent 2 9 8" xfId="1617" xr:uid="{A62E71E6-3F8B-485B-8B90-033BC751D1A5}"/>
    <cellStyle name="Percent 3" xfId="1618" xr:uid="{3BF59DE6-1D91-4C9E-AB25-FCDE2DB5743C}"/>
    <cellStyle name="Percent 3 2" xfId="1619" xr:uid="{C17BAA7C-E2A4-49CB-A793-065607ADF281}"/>
    <cellStyle name="Percent 3 2 2" xfId="1620" xr:uid="{296B7312-482F-4A92-B67C-133DDB4DCE54}"/>
    <cellStyle name="Percent 3 2 2 2" xfId="1621" xr:uid="{AA471ACD-1156-496D-B1E3-3244CE22882B}"/>
    <cellStyle name="Percent 3 2 3" xfId="1622" xr:uid="{B9A44F38-FF62-4668-BB57-22B57B8D4B50}"/>
    <cellStyle name="Percent 3 2 4" xfId="1623" xr:uid="{4EF8DC2A-E657-40A8-81D0-426129372C17}"/>
    <cellStyle name="Percent 3 3" xfId="1624" xr:uid="{DB29BEE9-CB7D-428D-9CE2-06A927BBDE94}"/>
    <cellStyle name="Percent 3 3 2" xfId="1625" xr:uid="{4DA4CD68-4458-42F1-9436-79D3CC4913A9}"/>
    <cellStyle name="Percent 3 3 3" xfId="1626" xr:uid="{28F1E802-2914-462C-970A-175DBFCE3BFB}"/>
    <cellStyle name="Percent 3 3 3 2" xfId="1627" xr:uid="{74DEDE2C-4F5C-420F-8B77-C39D6718E71F}"/>
    <cellStyle name="Percent 3 3 3 3" xfId="1628" xr:uid="{0C62F3E1-B5D6-4D47-A928-6FB4A239B532}"/>
    <cellStyle name="Percent 3 3 4" xfId="1629" xr:uid="{EFBC1991-C4B6-4B8A-9859-AC5B1DA2E632}"/>
    <cellStyle name="Percent 3 4" xfId="1630" xr:uid="{E66F0574-C2B4-40B2-BE2D-855D9645D242}"/>
    <cellStyle name="Percent 3 4 2" xfId="1631" xr:uid="{9BAC26F5-5F9B-4631-82A0-88CA35EB6D1D}"/>
    <cellStyle name="Percent 3 5" xfId="1632" xr:uid="{7DA8F80A-B6E9-4174-98AF-405FB80E3E5F}"/>
    <cellStyle name="Percent 3 6" xfId="1633" xr:uid="{763693C8-5FF6-41E1-845F-030F914965A3}"/>
    <cellStyle name="Percent 3 7" xfId="1634" xr:uid="{EC2F7ABB-CDD8-4EA6-915B-DF08F9BFA6E1}"/>
    <cellStyle name="Percent 3 8" xfId="1635" xr:uid="{57CA0907-4999-4E0D-86E9-606AE0937857}"/>
    <cellStyle name="Percent 4" xfId="1636" xr:uid="{14FB3ECB-56DA-4E9B-B833-50B11456473C}"/>
    <cellStyle name="Percent 4 10" xfId="1637" xr:uid="{688CA3DE-F574-46D0-BE89-1918A0DEA8A6}"/>
    <cellStyle name="Percent 4 11" xfId="1638" xr:uid="{A33BABC4-9ACF-4E7F-B3C5-8F3E4684DE7D}"/>
    <cellStyle name="Percent 4 12" xfId="1639" xr:uid="{C2165E9E-07FE-42ED-B38E-E4111683457E}"/>
    <cellStyle name="Percent 4 13" xfId="1640" xr:uid="{48B41386-628F-4EFA-8BAD-410D6D39F7F1}"/>
    <cellStyle name="Percent 4 14" xfId="1641" xr:uid="{0AFF6840-642A-486B-BB9B-FBA858FD37C0}"/>
    <cellStyle name="Percent 4 15" xfId="1642" xr:uid="{0B238181-19B3-4552-8292-0ABF5FBAC396}"/>
    <cellStyle name="Percent 4 16" xfId="1643" xr:uid="{F2DC2DEE-A179-4234-9F83-42085CB6BE03}"/>
    <cellStyle name="Percent 4 16 2" xfId="1644" xr:uid="{1D494966-7AED-479E-BCC4-862B5D9965F7}"/>
    <cellStyle name="Percent 4 16 3" xfId="1645" xr:uid="{5510C1B9-DF9D-4C4D-BD90-11189E993472}"/>
    <cellStyle name="Percent 4 17" xfId="1646" xr:uid="{D095B88A-034E-4DB3-9659-6C38946D9209}"/>
    <cellStyle name="Percent 4 18" xfId="1647" xr:uid="{2975C864-55B4-463E-ADF8-B1E73709449F}"/>
    <cellStyle name="Percent 4 2" xfId="1648" xr:uid="{B3E0CAB0-04E5-453F-95B2-259F2AD010C4}"/>
    <cellStyle name="Percent 4 2 2" xfId="1649" xr:uid="{5CE8B0D5-F723-49F0-978B-1BEB2E5385F8}"/>
    <cellStyle name="Percent 4 2 3" xfId="1650" xr:uid="{20528C87-C88C-492E-966D-BF17B0FF5568}"/>
    <cellStyle name="Percent 4 2 4" xfId="1651" xr:uid="{AB91B9AF-7CBE-4516-A95F-819BD73D3484}"/>
    <cellStyle name="Percent 4 2 5" xfId="1652" xr:uid="{AB728184-3F96-4C48-8F39-1376645BCF68}"/>
    <cellStyle name="Percent 4 2 6" xfId="1653" xr:uid="{C733B898-DDB5-48EC-AEF0-DB5A9D25DB94}"/>
    <cellStyle name="Percent 4 2 7" xfId="1654" xr:uid="{BF1A0F04-3587-4930-AF30-13301831406D}"/>
    <cellStyle name="Percent 4 2 8" xfId="1655" xr:uid="{68BDE04A-29FF-4706-9366-B72AEB82C06D}"/>
    <cellStyle name="Percent 4 2 9" xfId="1656" xr:uid="{FCF6812D-8BBE-480E-85FE-967B58FED177}"/>
    <cellStyle name="Percent 4 3" xfId="1657" xr:uid="{CF39715D-0D54-44BC-90F4-4CB09216E416}"/>
    <cellStyle name="Percent 4 3 2" xfId="1658" xr:uid="{DEF88062-39CE-4B1D-9197-4130B0C4C0B3}"/>
    <cellStyle name="Percent 4 3 3" xfId="1659" xr:uid="{B9BD1F66-3A3F-4D7E-AF20-2E753A87EEB0}"/>
    <cellStyle name="Percent 4 3 4" xfId="1660" xr:uid="{67BB7009-1063-4532-B4D0-17D107598E4A}"/>
    <cellStyle name="Percent 4 3 5" xfId="1661" xr:uid="{606C08F9-AC94-4221-A781-DA7B00201221}"/>
    <cellStyle name="Percent 4 3 6" xfId="1662" xr:uid="{204B5912-3339-4F0F-98B4-63EE019798B9}"/>
    <cellStyle name="Percent 4 3 7" xfId="1663" xr:uid="{F16AAB76-76E4-46A5-907E-2C0C428D5D55}"/>
    <cellStyle name="Percent 4 3 8" xfId="1664" xr:uid="{30EB5334-6F16-4CD8-AA84-4448F19A4FC7}"/>
    <cellStyle name="Percent 4 4" xfId="1665" xr:uid="{B3153504-226F-40FC-A07F-10F19FC60EC7}"/>
    <cellStyle name="Percent 4 4 2" xfId="1666" xr:uid="{A056232D-9092-454D-AB94-9303FC37DDCB}"/>
    <cellStyle name="Percent 4 4 3" xfId="1667" xr:uid="{150A111C-F09F-4670-85EA-D62B74F18A81}"/>
    <cellStyle name="Percent 4 4 4" xfId="1668" xr:uid="{0124904F-2F93-4734-A69C-462503B44915}"/>
    <cellStyle name="Percent 4 4 5" xfId="1669" xr:uid="{C465DB13-AF3F-4129-BBDC-E13AEF3B9992}"/>
    <cellStyle name="Percent 4 4 6" xfId="1670" xr:uid="{156E7422-B3B5-4538-A611-D9DC5136C805}"/>
    <cellStyle name="Percent 4 4 7" xfId="1671" xr:uid="{3C51C6B8-30A2-4654-82C6-D6B59EA047B1}"/>
    <cellStyle name="Percent 4 4 8" xfId="1672" xr:uid="{75E4D8AF-0D7F-4662-9820-26D3D3CE4A55}"/>
    <cellStyle name="Percent 4 5" xfId="1673" xr:uid="{62634579-BCBF-412B-B2D5-6CDA0B94FE80}"/>
    <cellStyle name="Percent 4 5 2" xfId="1674" xr:uid="{1F8ADAC0-61F9-4B50-877F-060AB8DD9B9F}"/>
    <cellStyle name="Percent 4 5 3" xfId="1675" xr:uid="{91F48364-667D-4E87-8A7C-248A65C3438F}"/>
    <cellStyle name="Percent 4 5 4" xfId="1676" xr:uid="{0468F39D-4519-48E2-A2B6-91E1793298FC}"/>
    <cellStyle name="Percent 4 5 5" xfId="1677" xr:uid="{51CB464D-C0E1-4745-878A-6A582B6F9EC1}"/>
    <cellStyle name="Percent 4 5 6" xfId="1678" xr:uid="{EFA43F1A-7147-4764-A3E8-026294BBE968}"/>
    <cellStyle name="Percent 4 5 7" xfId="1679" xr:uid="{FEE9E7F2-9544-41E4-95D0-9E35040AFEE2}"/>
    <cellStyle name="Percent 4 5 8" xfId="1680" xr:uid="{73714822-F4AF-4663-8A76-30EC98489BD8}"/>
    <cellStyle name="Percent 4 6" xfId="1681" xr:uid="{5A0001A9-0FD0-4C53-B278-085D8177EC3B}"/>
    <cellStyle name="Percent 4 6 2" xfId="1682" xr:uid="{57DA5C9C-5B68-4B79-824F-BA6A892FDDEB}"/>
    <cellStyle name="Percent 4 6 3" xfId="1683" xr:uid="{AC78D4A2-8B55-4B88-A2BE-3B04F6D0B504}"/>
    <cellStyle name="Percent 4 6 4" xfId="1684" xr:uid="{39D9B2EC-2D6A-40AD-B5A5-0BD5BF6BFA30}"/>
    <cellStyle name="Percent 4 6 5" xfId="1685" xr:uid="{3BAC8943-F7D1-4C40-BCD1-8E50DED0A230}"/>
    <cellStyle name="Percent 4 6 6" xfId="1686" xr:uid="{B5C0F7A4-6A69-4541-95E3-34A22C11C755}"/>
    <cellStyle name="Percent 4 6 7" xfId="1687" xr:uid="{2EFB0C38-B0C3-48EB-AEF0-D89059893F72}"/>
    <cellStyle name="Percent 4 6 8" xfId="1688" xr:uid="{ABB66321-D24A-4EC4-AD7B-D182B1077C29}"/>
    <cellStyle name="Percent 4 7" xfId="1689" xr:uid="{3E95122F-21E9-4940-B9ED-F03E1CF28892}"/>
    <cellStyle name="Percent 4 8" xfId="1690" xr:uid="{DCB5F768-FAB3-4E40-AE34-26F79733B0B5}"/>
    <cellStyle name="Percent 4 9" xfId="1691" xr:uid="{070B28E0-B3BF-4BF1-A21B-73156DD2A367}"/>
    <cellStyle name="Percent 5" xfId="1692" xr:uid="{B3606EF3-41E1-4E53-9E13-6CB754DF989C}"/>
    <cellStyle name="Percent 5 10" xfId="1693" xr:uid="{88974B00-D882-485C-AE77-AF7AE20CA1B1}"/>
    <cellStyle name="Percent 5 11" xfId="1694" xr:uid="{122B3E8D-1FD5-4044-8168-83CF2DDA27B0}"/>
    <cellStyle name="Percent 5 12" xfId="1695" xr:uid="{3E01AF2F-DC7C-4150-9272-203A5F657E4E}"/>
    <cellStyle name="Percent 5 2" xfId="1696" xr:uid="{0C3579C9-2F91-4706-9083-292DC5436E09}"/>
    <cellStyle name="Percent 5 3" xfId="1697" xr:uid="{52F2CE21-2F0D-4A5F-B0B1-1845D15B4B5F}"/>
    <cellStyle name="Percent 5 4" xfId="1698" xr:uid="{213F31C7-0943-48D1-B725-65489DF2ABCD}"/>
    <cellStyle name="Percent 5 5" xfId="1699" xr:uid="{65D1207D-AC6F-43BF-8D63-765493CB6B46}"/>
    <cellStyle name="Percent 5 6" xfId="1700" xr:uid="{AEC09ABC-19FF-441D-8884-F1FFCE6B9916}"/>
    <cellStyle name="Percent 5 7" xfId="1701" xr:uid="{B34A5851-5857-4FC6-82D0-7B89BE64EFE8}"/>
    <cellStyle name="Percent 5 8" xfId="1702" xr:uid="{5B3A2C20-AD96-4A18-B6B2-10F82AE49679}"/>
    <cellStyle name="Percent 5 9" xfId="1703" xr:uid="{EE75CAFA-8019-4361-8B15-47B241C04596}"/>
    <cellStyle name="Percent 5 9 2" xfId="1704" xr:uid="{ACA81F2D-9176-4F06-B751-F0CD793C4792}"/>
    <cellStyle name="Percent 5 9 2 2" xfId="1705" xr:uid="{CAC81E56-B245-4DD8-BFEF-E3DF354007AA}"/>
    <cellStyle name="Percent 6" xfId="1706" xr:uid="{1F6217A1-3389-425A-9AB6-FF35F407B96D}"/>
    <cellStyle name="Percent 6 2" xfId="1707" xr:uid="{90583F22-9208-4134-B168-88ECC60B2975}"/>
    <cellStyle name="Percent 6 3" xfId="1708" xr:uid="{763D3917-9954-47BD-8D95-DA92D5DD96D5}"/>
    <cellStyle name="Percent 6 4" xfId="1709" xr:uid="{62EFF443-D3E6-49F0-AB41-FE2E7E9C4697}"/>
    <cellStyle name="Percent 6 5" xfId="1710" xr:uid="{E11D641A-A713-474C-B938-982FACD4F0EC}"/>
    <cellStyle name="Percent 6 6" xfId="1711" xr:uid="{C7ACA45E-C044-4E15-98A4-346292100095}"/>
    <cellStyle name="Percent 6 7" xfId="1712" xr:uid="{91E20F5A-F00A-4B74-BB60-D7635AEA7216}"/>
    <cellStyle name="Percent 6 8" xfId="1713" xr:uid="{E06901B8-7F00-40F8-A434-ABD6BF1BCA37}"/>
    <cellStyle name="Percent 6 9" xfId="1714" xr:uid="{58695D89-309D-42A7-BD66-0C480405FAF0}"/>
    <cellStyle name="Percent 7" xfId="1715" xr:uid="{4ACDB073-918A-494B-8B31-4A13DA4507BA}"/>
    <cellStyle name="Percent 7 2" xfId="1716" xr:uid="{B562A103-578E-4A43-A43F-88A760F90EF3}"/>
    <cellStyle name="Percent 7 3" xfId="1717" xr:uid="{731215E7-E6D1-40B4-8C6D-8477C92339F2}"/>
    <cellStyle name="Percent 7 4" xfId="1718" xr:uid="{2865B007-264D-4AA8-AF9C-DB1AC9B56B88}"/>
    <cellStyle name="Percent 7 5" xfId="1719" xr:uid="{08249162-B273-4307-873E-8C696F0F5202}"/>
    <cellStyle name="Percent 7 6" xfId="1720" xr:uid="{8BA00866-720C-49E7-956C-1B9E9EC19E9E}"/>
    <cellStyle name="Percent 7 7" xfId="1721" xr:uid="{CA9ACE87-E7AE-4099-996D-8712C2169D08}"/>
    <cellStyle name="Percent 7 8" xfId="1722" xr:uid="{91C00131-2185-4FBB-9FFB-B7B3D4B25111}"/>
    <cellStyle name="Percent 8" xfId="1723" xr:uid="{E05A2B4C-AD96-4453-850C-897579EA1304}"/>
    <cellStyle name="Percent 8 2" xfId="1724" xr:uid="{4D9C1C80-BCED-424B-AFC4-6D4454D8F67D}"/>
    <cellStyle name="Percent 8 3" xfId="1725" xr:uid="{3F56C8E6-12C8-42C2-9D6B-E0E4C502F3EC}"/>
    <cellStyle name="Percent 8 4" xfId="1726" xr:uid="{59CFD2F3-521B-4235-8268-F3F1FD001667}"/>
    <cellStyle name="Percent 8 5" xfId="1727" xr:uid="{825CBB79-B00F-4BA1-95EA-0903267334DC}"/>
    <cellStyle name="Percent 8 6" xfId="1728" xr:uid="{43571563-7F93-4F5D-AC78-122263899C3C}"/>
    <cellStyle name="Percent 8 7" xfId="1729" xr:uid="{9DC626BE-B8EA-468A-A7FB-3539738829EE}"/>
    <cellStyle name="Percent 8 8" xfId="1730" xr:uid="{E302D895-AD81-44D2-9A12-B73F82214D05}"/>
    <cellStyle name="Percent 9" xfId="1731" xr:uid="{06979E60-76A8-4603-A6E3-5000EBA195F7}"/>
    <cellStyle name="Percent 9 2" xfId="1732" xr:uid="{518CF6C1-EA0A-4880-B137-096EE7BD0CC0}"/>
    <cellStyle name="Percent 9 3" xfId="1733" xr:uid="{F1C08374-7496-4271-AC15-BE550FBE166B}"/>
    <cellStyle name="Percent 9 4" xfId="1734" xr:uid="{F9A9EB4C-4ED3-4FD3-97E9-CF0DECFDDAD5}"/>
    <cellStyle name="Percent 9 5" xfId="1735" xr:uid="{E6F0C39E-5590-4AF5-A197-4B630A4DF48A}"/>
    <cellStyle name="Percent 9 6" xfId="1736" xr:uid="{DBF3FF80-5AD3-49CA-869C-73F5776300C2}"/>
    <cellStyle name="Percent 9 7" xfId="1737" xr:uid="{473E84C8-6C78-4D6A-978C-29807F60193E}"/>
    <cellStyle name="Percent 9 8" xfId="1738" xr:uid="{83496686-B2C7-4CBD-99E1-EC795FF8A54E}"/>
    <cellStyle name="Pilkku_Layo9704" xfId="1739" xr:uid="{0C2E0630-C109-4AAD-BF3E-4B51B4E3150F}"/>
    <cellStyle name="Pyör. luku_Layo9704" xfId="1740" xr:uid="{D34B4488-2DDC-4491-A4DE-4C8B22AC5A07}"/>
    <cellStyle name="Pyör. valuutta_Layo9704" xfId="1741" xr:uid="{56ADCABC-5809-4ABE-A086-280EC5F0CF45}"/>
    <cellStyle name="Standard_Sce_D_Extraction" xfId="1742" xr:uid="{431832C3-7035-4B82-B37B-17B8106A5F66}"/>
    <cellStyle name="Style 21" xfId="1743" xr:uid="{54F35DFA-9DC2-44E1-AA69-6F60206EB8B7}"/>
    <cellStyle name="Style 21 2" xfId="1744" xr:uid="{BE79810B-8190-4EC3-B773-A1024AAB15D8}"/>
    <cellStyle name="Style 21 2 2" xfId="1745" xr:uid="{450AEE9D-E692-4806-80C0-20E7901B6263}"/>
    <cellStyle name="Style 21 3" xfId="1746" xr:uid="{E6C13893-7AEC-4AD0-8598-4AC66D612948}"/>
    <cellStyle name="Style 22" xfId="1747" xr:uid="{BFD03829-C257-468D-8944-483E53358B9B}"/>
    <cellStyle name="Style 23" xfId="1748" xr:uid="{AD13C2F6-3B7C-4610-9259-A82E94017133}"/>
    <cellStyle name="Style 24" xfId="1749" xr:uid="{F0B3612F-F771-41E9-8A2F-4B45D95A4E06}"/>
    <cellStyle name="Style 25" xfId="1750" xr:uid="{4F7808A3-0601-4C45-A49B-F8D9CE3E22FA}"/>
    <cellStyle name="Style 25 2" xfId="1751" xr:uid="{8360CB62-867C-4948-A41F-9759A1DD6EAF}"/>
    <cellStyle name="Style 25 2 2" xfId="1752" xr:uid="{101EC529-DBA0-4EA8-9FCD-AEB1220DD888}"/>
    <cellStyle name="Style 25 3" xfId="1753" xr:uid="{E46D95E4-CF18-438A-AC48-40099E817EF4}"/>
    <cellStyle name="Style 26" xfId="1754" xr:uid="{F5B364E3-B24F-429C-8B16-71A658973524}"/>
    <cellStyle name="Title 2" xfId="1755" xr:uid="{E90D31BC-99BF-4061-9362-E4D09E5D6FA3}"/>
    <cellStyle name="Title 2 10" xfId="1756" xr:uid="{4E59F757-FE1E-413A-AB7C-631884091298}"/>
    <cellStyle name="Title 2 2" xfId="1757" xr:uid="{D8C85E61-AE1E-47BB-B948-B0B325139D2C}"/>
    <cellStyle name="Title 2 3" xfId="1758" xr:uid="{A3F2E6DF-458F-4468-A845-0A835A8DCA77}"/>
    <cellStyle name="Title 2 4" xfId="1759" xr:uid="{B950ACD4-7D46-4CBC-A24A-6FBB2E4D2F3B}"/>
    <cellStyle name="Title 2 5" xfId="1760" xr:uid="{B517A357-F38A-4A27-A02F-C878FFD58668}"/>
    <cellStyle name="Title 2 6" xfId="1761" xr:uid="{D27F5CA6-C59D-4A2C-A671-025E390DC83D}"/>
    <cellStyle name="Title 2 7" xfId="1762" xr:uid="{EAED32B1-3CB4-4179-AE88-750F2ABD7211}"/>
    <cellStyle name="Title 2 8" xfId="1763" xr:uid="{F72BF757-E5E2-4BA9-981E-1338954C508C}"/>
    <cellStyle name="Title 2 9" xfId="1764" xr:uid="{F2B109AB-70E6-4D9D-A8B8-AA22EB69D0A9}"/>
    <cellStyle name="Title 3" xfId="1765" xr:uid="{FB4EE092-8314-42B3-B11F-FDC52F2B2376}"/>
    <cellStyle name="Total 2" xfId="1766" xr:uid="{467C07B1-8BAE-41C5-8907-3B7FF089ED69}"/>
    <cellStyle name="Total 2 10" xfId="1767" xr:uid="{C25C8245-5CF4-4466-AEEA-42EB32B6AFB5}"/>
    <cellStyle name="Total 2 2" xfId="1768" xr:uid="{5CCE8021-7642-4BF7-9998-E7CEC6004D03}"/>
    <cellStyle name="Total 2 3" xfId="1769" xr:uid="{F532D05B-B9CC-4277-AD66-75C8E1C7B60B}"/>
    <cellStyle name="Total 2 4" xfId="1770" xr:uid="{07239D6F-126F-48F5-9200-ABDF27679030}"/>
    <cellStyle name="Total 2 5" xfId="1771" xr:uid="{927C373E-1160-4F73-9A24-9BB9E0A79E41}"/>
    <cellStyle name="Total 2 6" xfId="1772" xr:uid="{A134FECE-D6B7-435B-8419-015C6B6A8E51}"/>
    <cellStyle name="Total 2 7" xfId="1773" xr:uid="{AF75E8C8-C6B3-4B29-A7D7-C2DD49332796}"/>
    <cellStyle name="Total 2 8" xfId="1774" xr:uid="{46100BC7-ABC5-4698-BE6B-C1E4B2B50C1D}"/>
    <cellStyle name="Total 2 9" xfId="1775" xr:uid="{BEF98789-3C1B-4130-BAE9-75503FF1C19B}"/>
    <cellStyle name="Total 3" xfId="1776" xr:uid="{55C2D9E0-3BCB-43CD-8EEC-9F5DFA6896D6}"/>
    <cellStyle name="Valuutta_Layo9704" xfId="1777" xr:uid="{1233321D-CA00-4C81-A98F-5EC9271C7EDE}"/>
    <cellStyle name="Warning Text 2" xfId="1778" xr:uid="{373A8765-431B-4A9C-9460-6E5DF37D575D}"/>
    <cellStyle name="Warning Text 2 10" xfId="1779" xr:uid="{A8F09E79-B27F-4D61-951B-85E2AFFE1381}"/>
    <cellStyle name="Warning Text 2 2" xfId="1780" xr:uid="{66121431-3D9A-4075-8C26-9064523D4134}"/>
    <cellStyle name="Warning Text 2 3" xfId="1781" xr:uid="{B53E3B58-8230-40C6-A35F-7D700153DCA8}"/>
    <cellStyle name="Warning Text 2 4" xfId="1782" xr:uid="{BEEDC76C-EFBF-48A9-8A82-5492186D9B2E}"/>
    <cellStyle name="Warning Text 2 5" xfId="1783" xr:uid="{72295679-87C2-4881-8BD3-08758CFC54CC}"/>
    <cellStyle name="Warning Text 2 6" xfId="1784" xr:uid="{68087CAF-F12B-4F78-87CA-133A8BF1EF49}"/>
    <cellStyle name="Warning Text 2 7" xfId="1785" xr:uid="{5369C56D-9A36-4D14-BD1D-F073383D155A}"/>
    <cellStyle name="Warning Text 2 8" xfId="1786" xr:uid="{C17C09AA-281E-46B5-AA3B-738A0F67C2D7}"/>
    <cellStyle name="Warning Text 2 9" xfId="1787" xr:uid="{8C991027-896E-4D4E-AE1B-24BF40C51387}"/>
    <cellStyle name="Warning Text 3" xfId="1788" xr:uid="{1E0F1B02-97D4-4A68-B150-EA2159CCAF6B}"/>
    <cellStyle name="Обычный_CRF2002 (1)" xfId="1789" xr:uid="{F4266453-37FA-43C6-9DD1-0DAE412082FE}"/>
    <cellStyle name="已访问的超链接" xfId="1790" xr:uid="{C3A25391-43CC-4EA7-9AA7-8044D9FE55F9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16329</xdr:rowOff>
    </xdr:from>
    <xdr:to>
      <xdr:col>4</xdr:col>
      <xdr:colOff>1186357</xdr:colOff>
      <xdr:row>47</xdr:row>
      <xdr:rowOff>90129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7" y="4827815"/>
          <a:ext cx="5295714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5" zoomScaleNormal="100" workbookViewId="0">
      <selection activeCell="B15" sqref="B15"/>
    </sheetView>
  </sheetViews>
  <sheetFormatPr defaultColWidth="8.81640625" defaultRowHeight="14.5"/>
  <cols>
    <col min="1" max="4" width="21.7265625" customWidth="1"/>
    <col min="5" max="6" width="14.08984375" customWidth="1"/>
    <col min="7" max="7" width="12.08984375" customWidth="1"/>
    <col min="8" max="10" width="8.08984375" customWidth="1"/>
    <col min="11" max="11" width="9.7265625" customWidth="1"/>
    <col min="12" max="12" width="8.08984375" customWidth="1"/>
    <col min="13" max="13" width="10" customWidth="1"/>
    <col min="14" max="14" width="11.26953125" customWidth="1"/>
    <col min="15" max="15" width="13.26953125" customWidth="1"/>
  </cols>
  <sheetData>
    <row r="1" spans="1:26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>
      <c r="A16" s="42" t="s">
        <v>90</v>
      </c>
      <c r="B16" s="42"/>
      <c r="C16" s="42"/>
      <c r="D16" s="42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>
      <c r="A19" s="25" t="s">
        <v>91</v>
      </c>
      <c r="B19" s="41" t="s">
        <v>104</v>
      </c>
      <c r="C19" s="41"/>
      <c r="D19" s="41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>
      <c r="A20" s="25" t="s">
        <v>92</v>
      </c>
      <c r="B20" s="41" t="s">
        <v>102</v>
      </c>
      <c r="C20" s="41"/>
      <c r="D20" s="41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>
      <c r="A21" s="25" t="s">
        <v>93</v>
      </c>
      <c r="B21" s="28" t="s">
        <v>108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>
      <c r="A23" s="25" t="s">
        <v>94</v>
      </c>
      <c r="B23" s="41" t="s">
        <v>103</v>
      </c>
      <c r="C23" s="41"/>
      <c r="D23" s="4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>
      <c r="A26" s="25" t="s">
        <v>95</v>
      </c>
      <c r="B26" s="41" t="s">
        <v>103</v>
      </c>
      <c r="C26" s="41"/>
      <c r="D26" s="41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>
      <c r="A29" s="25" t="s">
        <v>96</v>
      </c>
      <c r="B29" s="29"/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>
      <c r="A30" s="25" t="s">
        <v>97</v>
      </c>
      <c r="B30" s="43" t="s">
        <v>98</v>
      </c>
      <c r="C30" s="41"/>
      <c r="D30" s="41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>
      <c r="A31" s="25" t="s">
        <v>99</v>
      </c>
      <c r="B31" s="41" t="s">
        <v>100</v>
      </c>
      <c r="C31" s="41"/>
      <c r="D31" s="41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>
      <c r="A32" s="31"/>
      <c r="B32" s="32" t="s">
        <v>101</v>
      </c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08984375" defaultRowHeight="14.5"/>
  <cols>
    <col min="1" max="1" width="12.08984375" customWidth="1"/>
    <col min="2" max="2" width="11.7265625" customWidth="1"/>
    <col min="3" max="3" width="3.08984375" bestFit="1" customWidth="1"/>
    <col min="4" max="4" width="8.54296875" bestFit="1" customWidth="1"/>
    <col min="5" max="5" width="6.26953125" bestFit="1" customWidth="1"/>
    <col min="6" max="6" width="4.81640625" bestFit="1" customWidth="1"/>
    <col min="7" max="7" width="5.7265625" bestFit="1" customWidth="1"/>
    <col min="8" max="8" width="5.81640625" bestFit="1" customWidth="1"/>
    <col min="9" max="9" width="5.26953125" bestFit="1" customWidth="1"/>
    <col min="10" max="11" width="5.7265625" bestFit="1" customWidth="1"/>
    <col min="12" max="12" width="6.54296875" bestFit="1" customWidth="1"/>
    <col min="13" max="13" width="6.0898437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08984375" bestFit="1" customWidth="1"/>
    <col min="19" max="19" width="5.7265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4.81640625" bestFit="1" customWidth="1"/>
    <col min="24" max="24" width="7.54296875" customWidth="1"/>
    <col min="25" max="25" width="6.7265625" bestFit="1" customWidth="1"/>
    <col min="26" max="26" width="6.0898437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/>
      </c>
      <c r="E3" s="1" t="str" cm="1">
        <f t="array" ref="E3">IF(LEFT(INDEX(E5:E7,$A$4),1)&lt;&gt;"*",INDEX(E5:E7,$A$4),"")</f>
        <v/>
      </c>
      <c r="F3" s="1" t="str" cm="1">
        <f t="array" ref="F3">IF(LEFT(INDEX(F5:F7,$A$4),1)&lt;&gt;"*",INDEX(F5:F7,$A$4),"")</f>
        <v/>
      </c>
      <c r="G3" s="1" t="str" cm="1">
        <f t="array" ref="G3">IF(LEFT(INDEX(G5:G7,$A$4),1)&lt;&gt;"*",INDEX(G5:G7,$A$4),"")</f>
        <v/>
      </c>
      <c r="H3" s="1" t="str" cm="1">
        <f t="array" ref="H3">IF(LEFT(INDEX(H5:H7,$A$4),1)&lt;&gt;"*",INDEX(H5:H7,$A$4),"")</f>
        <v/>
      </c>
      <c r="I3" s="1" t="str" cm="1">
        <f t="array" ref="I3">IF(LEFT(INDEX(I5:I7,$A$4),1)&lt;&gt;"*",INDEX(I5:I7,$A$4),"")</f>
        <v/>
      </c>
      <c r="J3" s="1" t="str" cm="1">
        <f t="array" ref="J3">IF(LEFT(INDEX(J5:J7,$A$4),1)&lt;&gt;"*",INDEX(J5:J7,$A$4),"")</f>
        <v/>
      </c>
      <c r="K3" s="1" t="str" cm="1">
        <f t="array" ref="K3">IF(LEFT(INDEX(K5:K7,$A$4),1)&lt;&gt;"*",INDEX(K5:K7,$A$4),"")</f>
        <v/>
      </c>
      <c r="L3" s="1" t="str" cm="1">
        <f t="array" ref="L3">IF(LEFT(INDEX(L5:L7,$A$4),1)&lt;&gt;"*",INDEX(L5:L7,$A$4),"")</f>
        <v/>
      </c>
      <c r="M3" s="1" t="str" cm="1">
        <f t="array" ref="M3">IF(LEFT(INDEX(M5:M7,$A$4),1)&lt;&gt;"*",INDEX(M5:M7,$A$4),"")</f>
        <v/>
      </c>
      <c r="N3" s="1" t="str" cm="1">
        <f t="array" ref="N3">IF(LEFT(INDEX(N5:N7,$A$4),1)&lt;&gt;"*",INDEX(N5:N7,$A$4),"")</f>
        <v/>
      </c>
      <c r="O3" s="1" t="str" cm="1">
        <f t="array" ref="O3">IF(LEFT(INDEX(O5:O7,$A$4),1)&lt;&gt;"*",INDEX(O5:O7,$A$4),"")</f>
        <v/>
      </c>
      <c r="P3" s="1" t="str" cm="1">
        <f t="array" ref="P3">IF(LEFT(INDEX(P5:P7,$A$4),1)&lt;&gt;"*",INDEX(P5:P7,$A$4),"")</f>
        <v/>
      </c>
      <c r="Q3" s="1" t="str" cm="1">
        <f t="array" ref="Q3">IF(LEFT(INDEX(Q5:Q7,$A$4),1)&lt;&gt;"*",INDEX(Q5:Q7,$A$4),"")</f>
        <v/>
      </c>
      <c r="R3" s="1" t="str" cm="1">
        <f t="array" ref="R3">IF(LEFT(INDEX(R5:R7,$A$4),1)&lt;&gt;"*",INDEX(R5:R7,$A$4),"")</f>
        <v/>
      </c>
      <c r="S3" s="1" t="str" cm="1">
        <f t="array" ref="S3">IF(LEFT(INDEX(S5:S7,$A$4),1)&lt;&gt;"*",INDEX(S5:S7,$A$4),"")</f>
        <v/>
      </c>
      <c r="T3" s="1" t="str" cm="1">
        <f t="array" ref="T3">IF(LEFT(INDEX(T5:T7,$A$4),1)&lt;&gt;"*",INDEX(T5:T7,$A$4),"")</f>
        <v/>
      </c>
      <c r="U3" s="1" t="str" cm="1">
        <f t="array" ref="U3">IF(LEFT(INDEX(U5:U7,$A$4),1)&lt;&gt;"*",INDEX(U5:U7,$A$4),"")</f>
        <v/>
      </c>
      <c r="V3" s="1" t="str" cm="1">
        <f t="array" ref="V3">IF(LEFT(INDEX(V5:V7,$A$4),1)&lt;&gt;"*",INDEX(V5:V7,$A$4),"")</f>
        <v/>
      </c>
      <c r="W3" s="1" t="str" cm="1">
        <f t="array" ref="W3">IF(LEFT(INDEX(W5:W7,$A$4),1)&lt;&gt;"*",INDEX(W5:W7,$A$4),"")</f>
        <v/>
      </c>
      <c r="X3" s="1" t="str" cm="1">
        <f t="array" ref="X3">IF(LEFT(INDEX(X5:X7,$A$4),1)&lt;&gt;"*",INDEX(X5:X7,$A$4),"")</f>
        <v/>
      </c>
      <c r="Y3" s="1" t="str" cm="1">
        <f t="array" ref="Y3">IF(LEFT(INDEX(Y5:Y7,$A$4),1)&lt;&gt;"*",INDEX(Y5:Y7,$A$4),"")</f>
        <v/>
      </c>
      <c r="Z3" s="1" t="str" cm="1">
        <f t="array" ref="Z3">IF(LEFT(INDEX(Z5:Z7,$A$4),1)&lt;&gt;"*",INDEX(Z5:Z7,$A$4),"")</f>
        <v/>
      </c>
      <c r="AA3" s="1" t="str" cm="1">
        <f t="array" ref="AA3">IF(LEFT(INDEX(AA5:AA7,$A$4),1)&lt;&gt;"*",INDEX(AA5:AA7,$A$4),"")</f>
        <v/>
      </c>
      <c r="AB3" s="1" t="str" cm="1">
        <f t="array" ref="AB3">IF(LEFT(INDEX(AB5:AB7,$A$4),1)&lt;&gt;"*",INDEX(AB5:AB7,$A$4),"")</f>
        <v/>
      </c>
      <c r="AC3" s="1" t="str" cm="1">
        <f t="array" ref="AC3">IF(LEFT(INDEX(AC5:AC7,$A$4),1)&lt;&gt;"*",INDEX(AC5:AC7,$A$4),"")</f>
        <v/>
      </c>
      <c r="AD3" s="1" t="str" cm="1">
        <f t="array" ref="AD3">IF(LEFT(INDEX(AD5:AD7,$A$4),1)&lt;&gt;"*",INDEX(AD5:AD7,$A$4),"")</f>
        <v/>
      </c>
    </row>
    <row r="4" spans="1:30">
      <c r="A4">
        <v>2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4:G26"/>
  <sheetViews>
    <sheetView workbookViewId="0">
      <selection activeCell="F31" sqref="F31"/>
    </sheetView>
  </sheetViews>
  <sheetFormatPr defaultColWidth="9.08984375" defaultRowHeight="14.5"/>
  <cols>
    <col min="2" max="2" width="14" bestFit="1" customWidth="1"/>
    <col min="3" max="3" width="30.08984375" bestFit="1" customWidth="1"/>
    <col min="4" max="4" width="28" bestFit="1" customWidth="1"/>
    <col min="5" max="5" width="26" bestFit="1" customWidth="1"/>
    <col min="6" max="6" width="28" bestFit="1" customWidth="1"/>
    <col min="13" max="13" width="10.54296875" bestFit="1" customWidth="1"/>
    <col min="14" max="14" width="12" bestFit="1" customWidth="1"/>
  </cols>
  <sheetData>
    <row r="4" spans="2:6">
      <c r="B4" t="s">
        <v>61</v>
      </c>
      <c r="C4" t="str">
        <f xml:space="preserve"> _xlfn.TEXTJOIN("_",TRUE,"UC","CB",ROUND(C7,0),"Mt",C6)</f>
        <v>UC_CB_450_Mt_2021-2050</v>
      </c>
      <c r="D4" t="str">
        <f t="shared" ref="D4:E4" si="0" xml:space="preserve"> _xlfn.TEXTJOIN("_",TRUE,"UC","CB",ROUND(D7,0),"Mt",D6)</f>
        <v>UC_CB_476_Mt_2021-2030</v>
      </c>
      <c r="E4" t="str">
        <f t="shared" si="0"/>
        <v>UC_CB_-26_Mt_2031-2050</v>
      </c>
      <c r="F4" t="str">
        <f t="shared" ref="F4" si="1" xml:space="preserve"> _xlfn.TEXTJOIN("_",TRUE,"UC","CB",ROUND(F7,0),"Mt",F6)</f>
        <v>UC_CB_0_Mt_2051-2100</v>
      </c>
    </row>
    <row r="5" spans="2:6">
      <c r="B5" t="s">
        <v>68</v>
      </c>
      <c r="C5" t="str">
        <f xml:space="preserve"> _xlfn.TEXTJOIN(" ",TRUE,"Carbon budget",ROUND(C7,0),"Mt",C6)</f>
        <v>Carbon budget 450 Mt 2021-2050</v>
      </c>
      <c r="D5" t="str">
        <f t="shared" ref="D5:F5" si="2" xml:space="preserve"> _xlfn.TEXTJOIN(" ",TRUE,"Carbon budget",ROUND(D7,0),"Mt",D6)</f>
        <v>Carbon budget 476 Mt 2021-2030</v>
      </c>
      <c r="E5" t="str">
        <f t="shared" si="2"/>
        <v>Carbon budget -26 Mt 2031-2050</v>
      </c>
      <c r="F5" t="str">
        <f t="shared" si="2"/>
        <v>Carbon budget 0 Mt 2051-2100</v>
      </c>
    </row>
    <row r="6" spans="2:6">
      <c r="B6" t="s">
        <v>74</v>
      </c>
      <c r="C6" t="s">
        <v>122</v>
      </c>
      <c r="D6" t="s">
        <v>121</v>
      </c>
      <c r="E6" t="s">
        <v>107</v>
      </c>
      <c r="F6" t="s">
        <v>83</v>
      </c>
    </row>
    <row r="7" spans="2:6">
      <c r="B7" t="s">
        <v>69</v>
      </c>
      <c r="C7" s="17">
        <f>D19</f>
        <v>450</v>
      </c>
      <c r="D7" s="17">
        <f>D24+E24</f>
        <v>476.2</v>
      </c>
      <c r="E7" s="17">
        <f t="shared" ref="E7" si="3">F24</f>
        <v>-26.199999999999989</v>
      </c>
      <c r="F7">
        <v>0</v>
      </c>
    </row>
    <row r="8" spans="2:6">
      <c r="B8" t="s">
        <v>81</v>
      </c>
      <c r="C8" t="s">
        <v>82</v>
      </c>
      <c r="D8" t="s">
        <v>82</v>
      </c>
      <c r="E8" t="s">
        <v>82</v>
      </c>
      <c r="F8" t="s">
        <v>82</v>
      </c>
    </row>
    <row r="9" spans="2:6">
      <c r="B9" t="s">
        <v>62</v>
      </c>
      <c r="C9" t="s">
        <v>113</v>
      </c>
      <c r="D9" t="s">
        <v>113</v>
      </c>
      <c r="E9" t="s">
        <v>113</v>
      </c>
      <c r="F9" t="s">
        <v>113</v>
      </c>
    </row>
    <row r="10" spans="2:6">
      <c r="B10" t="s">
        <v>73</v>
      </c>
      <c r="C10" t="s">
        <v>79</v>
      </c>
      <c r="D10" t="s">
        <v>79</v>
      </c>
      <c r="E10" t="s">
        <v>79</v>
      </c>
      <c r="F10" t="s">
        <v>79</v>
      </c>
    </row>
    <row r="11" spans="2:6">
      <c r="B11" t="s">
        <v>77</v>
      </c>
      <c r="C11" t="s">
        <v>78</v>
      </c>
      <c r="D11" t="s">
        <v>78</v>
      </c>
      <c r="E11" t="s">
        <v>78</v>
      </c>
      <c r="F11" t="s">
        <v>78</v>
      </c>
    </row>
    <row r="12" spans="2:6">
      <c r="B12" t="s">
        <v>0</v>
      </c>
      <c r="C12" t="s">
        <v>70</v>
      </c>
      <c r="D12" t="s">
        <v>70</v>
      </c>
      <c r="E12" t="s">
        <v>70</v>
      </c>
      <c r="F12" t="s">
        <v>70</v>
      </c>
    </row>
    <row r="13" spans="2:6">
      <c r="B13" t="s">
        <v>80</v>
      </c>
      <c r="C13">
        <v>-1</v>
      </c>
      <c r="D13">
        <v>-1</v>
      </c>
      <c r="E13">
        <v>-1</v>
      </c>
      <c r="F13">
        <v>-1</v>
      </c>
    </row>
    <row r="14" spans="2:6">
      <c r="B14" t="s">
        <v>76</v>
      </c>
      <c r="C14">
        <v>1</v>
      </c>
      <c r="D14">
        <v>1</v>
      </c>
      <c r="E14">
        <v>1</v>
      </c>
      <c r="F14">
        <v>1</v>
      </c>
    </row>
    <row r="18" spans="3:7">
      <c r="C18" s="33"/>
    </row>
    <row r="19" spans="3:7">
      <c r="C19" t="s">
        <v>110</v>
      </c>
      <c r="D19" s="35">
        <v>450</v>
      </c>
    </row>
    <row r="22" spans="3:7">
      <c r="C22" s="33" t="s">
        <v>109</v>
      </c>
    </row>
    <row r="23" spans="3:7">
      <c r="C23" t="s">
        <v>74</v>
      </c>
      <c r="D23" s="34" t="s">
        <v>105</v>
      </c>
      <c r="E23" s="34" t="s">
        <v>106</v>
      </c>
      <c r="F23" s="34" t="s">
        <v>107</v>
      </c>
      <c r="G23" s="34" t="s">
        <v>83</v>
      </c>
    </row>
    <row r="24" spans="3:7">
      <c r="C24" t="s">
        <v>69</v>
      </c>
      <c r="D24" s="34">
        <f>40+54+29+7+30+5.2+106</f>
        <v>271.2</v>
      </c>
      <c r="E24" s="34">
        <f>20+37+23+5+24+96</f>
        <v>205</v>
      </c>
      <c r="F24" s="34">
        <f>D19-D24-E24</f>
        <v>-26.199999999999989</v>
      </c>
      <c r="G24" s="34">
        <v>0</v>
      </c>
    </row>
    <row r="26" spans="3:7">
      <c r="C26" t="s">
        <v>111</v>
      </c>
    </row>
  </sheetData>
  <phoneticPr fontId="16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L14"/>
  <sheetViews>
    <sheetView tabSelected="1" workbookViewId="0">
      <selection activeCell="J30" sqref="J30"/>
    </sheetView>
  </sheetViews>
  <sheetFormatPr defaultColWidth="9.08984375" defaultRowHeight="14.5"/>
  <cols>
    <col min="2" max="2" width="28.54296875" bestFit="1" customWidth="1"/>
    <col min="3" max="3" width="12" bestFit="1" customWidth="1"/>
    <col min="4" max="4" width="8.26953125" bestFit="1" customWidth="1"/>
    <col min="5" max="5" width="14.26953125" bestFit="1" customWidth="1"/>
    <col min="6" max="6" width="10.7265625" customWidth="1"/>
    <col min="7" max="7" width="13.26953125" bestFit="1" customWidth="1"/>
    <col min="8" max="8" width="8.26953125" bestFit="1" customWidth="1"/>
    <col min="9" max="9" width="12.54296875" bestFit="1" customWidth="1"/>
    <col min="10" max="10" width="12.08984375" bestFit="1" customWidth="1"/>
    <col min="11" max="11" width="9.26953125" bestFit="1" customWidth="1"/>
    <col min="12" max="12" width="34.26953125" bestFit="1" customWidth="1"/>
  </cols>
  <sheetData>
    <row r="1" spans="1:12">
      <c r="A1" t="s">
        <v>64</v>
      </c>
    </row>
    <row r="2" spans="1:12">
      <c r="B2" s="9" t="str">
        <f>"~UC_Sets: R_E: "  &amp; _xlfn.TEXTJOIN(",",TRUE,Regions!C3)</f>
        <v>~UC_Sets: R_E: IE</v>
      </c>
    </row>
    <row r="3" spans="1:12">
      <c r="B3" s="9" t="s">
        <v>75</v>
      </c>
    </row>
    <row r="4" spans="1:12">
      <c r="H4" t="str">
        <f>IF(RIGHT(B2,1)&lt;&gt;" ","~UC_T","")</f>
        <v>~UC_T</v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65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13"/>
    </row>
    <row r="7" spans="1:12">
      <c r="B7" t="str">
        <f>VLOOKUP($B$5, config!$B$4:$F$14,2,FALSE) &amp; "_Single"</f>
        <v>UC_CB_450_Mt_2021-2050_Single</v>
      </c>
      <c r="C7" t="str">
        <f>VLOOKUP(C$5, config!$B$4:$F$14,2,FALSE)</f>
        <v>TOTCO2</v>
      </c>
      <c r="D7" t="str">
        <f>VLOOKUP(D$5, config!$B$4:$F$14,2,FALSE)</f>
        <v>ENV</v>
      </c>
      <c r="F7" t="str">
        <f>VLOOKUP(F$5, config!$B$4:$F$14,2,FALSE)</f>
        <v>2021-2050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450000</v>
      </c>
      <c r="L7" t="str">
        <f>VLOOKUP($L$5, config!$B$4:$F$14,2,FALSE) &amp; " - Single"</f>
        <v>Carbon budget 450 Mt 2021-2050 - Single</v>
      </c>
    </row>
    <row r="8" spans="1:12">
      <c r="B8" t="s">
        <v>112</v>
      </c>
      <c r="C8" t="str">
        <f>VLOOKUP(C$5, config!$B$4:$F$14,2,FALSE)</f>
        <v>TOTCO2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2021-2050</v>
      </c>
      <c r="J8">
        <f>VLOOKUP(J$5, config!$B$4:$F$14,2,FALSE)</f>
        <v>-1</v>
      </c>
      <c r="K8" s="17"/>
    </row>
    <row r="9" spans="1:12">
      <c r="B9" t="str">
        <f>"\I:"&amp;VLOOKUP($B$5, config!$B$4:$F$14,3,FALSE) &amp; "_Single"</f>
        <v>\I:UC_CB_476_Mt_2021-2030_Single</v>
      </c>
      <c r="C9" t="str">
        <f>VLOOKUP(C$5, config!$B$4:$F$14,3,FALSE)</f>
        <v>TOTCO2</v>
      </c>
      <c r="D9" t="str">
        <f>VLOOKUP(D$5, config!$B$4:$F$14,3,FALSE)</f>
        <v>ENV</v>
      </c>
      <c r="F9" t="str">
        <f>VLOOKUP(F$5, config!$B$4:$F$14,3,FALSE)</f>
        <v>2021-2030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476200</v>
      </c>
      <c r="L9" t="str">
        <f>VLOOKUP($L$5, config!$B$4:$F$14,3,FALSE) &amp; " - Single"</f>
        <v>Carbon budget 476 Mt 2021-2030 - Single</v>
      </c>
    </row>
    <row r="10" spans="1:12">
      <c r="B10" t="s">
        <v>112</v>
      </c>
      <c r="C10" t="str">
        <f>VLOOKUP(C$5, config!$B$4:$F$14,3,FALSE)</f>
        <v>TOTCO2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2021-2030</v>
      </c>
      <c r="J10">
        <f>VLOOKUP(J$5, config!$B$4:$F$14,3,FALSE)</f>
        <v>-1</v>
      </c>
      <c r="K10" s="17"/>
    </row>
    <row r="11" spans="1:12">
      <c r="B11" t="str">
        <f>"\I:"&amp;VLOOKUP($B$5, config!$B$4:$F$14,4,FALSE) &amp; "_Single"</f>
        <v>\I:UC_CB_-26_Mt_2031-2050_Single</v>
      </c>
      <c r="C11" t="str">
        <f>VLOOKUP(C$5, config!$B$4:$F$14,4,FALSE)</f>
        <v>TOTCO2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-26199.999999999989</v>
      </c>
      <c r="L11" t="str">
        <f>VLOOKUP($L$5, config!$B$4:$F$14,4,FALSE) &amp; " - Single"</f>
        <v>Carbon budget -26 Mt 2031-2050 - Single</v>
      </c>
    </row>
    <row r="12" spans="1:12">
      <c r="B12" t="s">
        <v>112</v>
      </c>
      <c r="C12" t="str">
        <f>VLOOKUP(C$5, config!$B$4:$F$14,4,FALSE)</f>
        <v>TOTCO2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</row>
    <row r="13" spans="1:12">
      <c r="B13" t="str">
        <f>VLOOKUP($B$5, config!$B$4:$F$14,5,FALSE) &amp; "_Single"</f>
        <v>UC_CB_0_Mt_2051-2100_Single</v>
      </c>
      <c r="C13" t="str">
        <f>VLOOKUP(C$5, config!$B$4:$F$14,5,FALSE)</f>
        <v>TOTCO2</v>
      </c>
      <c r="D13" t="str">
        <f>VLOOKUP(D$5, config!$B$4:$F$14,5,FALSE)</f>
        <v>ENV</v>
      </c>
      <c r="F13" t="str">
        <f>VLOOKUP(F$5, config!$B$4:$F$14,5,FALSE)</f>
        <v>2051-2100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>
        <f>VLOOKUP("Value", config!$B$4:$F$14,5,FALSE)*1000</f>
        <v>0</v>
      </c>
      <c r="L13" t="str">
        <f>VLOOKUP($L$5, config!$B$4:$F$14,5,FALSE) &amp; " - Single"</f>
        <v>Carbon budget 0 Mt 2051-2100 - Single</v>
      </c>
    </row>
    <row r="14" spans="1:12">
      <c r="B14" t="s">
        <v>112</v>
      </c>
      <c r="C14" t="str">
        <f>VLOOKUP(C$5, config!$B$4:$F$14,5,FALSE)</f>
        <v>TOTCO2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2051-2100</v>
      </c>
      <c r="J14">
        <f>VLOOKUP(J$5, config!$B$4:$F$14,5,FALSE)</f>
        <v>-1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2971-91FC-4261-B0BB-58C7F43C1746}">
  <sheetPr codeName="Sheet3"/>
  <dimension ref="A1:L14"/>
  <sheetViews>
    <sheetView workbookViewId="0">
      <selection activeCell="C20" sqref="C20"/>
    </sheetView>
  </sheetViews>
  <sheetFormatPr defaultColWidth="9.08984375" defaultRowHeight="14.5"/>
  <cols>
    <col min="2" max="2" width="33.08984375" customWidth="1"/>
    <col min="3" max="3" width="12" bestFit="1" customWidth="1"/>
    <col min="4" max="4" width="8.26953125" bestFit="1" customWidth="1"/>
    <col min="5" max="5" width="14.26953125" bestFit="1" customWidth="1"/>
    <col min="6" max="6" width="9.26953125" bestFit="1" customWidth="1"/>
    <col min="7" max="7" width="13.26953125" bestFit="1" customWidth="1"/>
    <col min="8" max="8" width="8.26953125" bestFit="1" customWidth="1"/>
    <col min="9" max="9" width="12.54296875" bestFit="1" customWidth="1"/>
    <col min="10" max="10" width="12.08984375" bestFit="1" customWidth="1"/>
    <col min="11" max="11" width="8.26953125" bestFit="1" customWidth="1"/>
    <col min="12" max="12" width="33.81640625" bestFit="1" customWidth="1"/>
  </cols>
  <sheetData>
    <row r="1" spans="1:12">
      <c r="A1" t="s">
        <v>66</v>
      </c>
    </row>
    <row r="2" spans="1:12">
      <c r="B2" s="9" t="str">
        <f>"UC_Sets: R_S: " &amp; _xlfn.TEXTJOIN(",",TRUE,Regions!D3:AD3)</f>
        <v xml:space="preserve">UC_Sets: R_S: </v>
      </c>
    </row>
    <row r="3" spans="1:12">
      <c r="B3" s="9" t="s">
        <v>120</v>
      </c>
    </row>
    <row r="4" spans="1:12">
      <c r="H4" t="str">
        <f>IF(RIGHT(B2,1)&lt;&gt;" ","UC_T","")</f>
        <v/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67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7"/>
    </row>
    <row r="7" spans="1:12">
      <c r="B7" t="str">
        <f>VLOOKUP(B$5, config!$B$4:$F$14,2,FALSE) &amp; "_Multi"</f>
        <v>UC_CB_450_Mt_2021-2050_Multi</v>
      </c>
      <c r="C7" t="str">
        <f>VLOOKUP(C$5, config!$B$4:$F$14,2,FALSE)</f>
        <v>TOTCO2</v>
      </c>
      <c r="D7" t="str">
        <f>VLOOKUP(D$5, config!$B$4:$F$14,2,FALSE)</f>
        <v>ENV</v>
      </c>
      <c r="F7" t="str">
        <f>VLOOKUP(F$5, config!$B$4:$F$14,2,FALSE)</f>
        <v>2021-2050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450000</v>
      </c>
      <c r="L7" t="str">
        <f>VLOOKUP(L$5, config!$B$4:$F$14,2,FALSE) &amp; " - Multi"</f>
        <v>Carbon budget 450 Mt 2021-2050 - Multi</v>
      </c>
    </row>
    <row r="8" spans="1:12">
      <c r="B8" t="s">
        <v>112</v>
      </c>
      <c r="C8" t="str">
        <f>VLOOKUP(C$5, config!$B$4:$F$14,2,FALSE)</f>
        <v>TOTCO2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2021-2050</v>
      </c>
      <c r="J8">
        <f>VLOOKUP(J$5, config!$B$4:$F$14,2,FALSE)</f>
        <v>-1</v>
      </c>
      <c r="K8" s="17"/>
    </row>
    <row r="9" spans="1:12">
      <c r="B9" t="str">
        <f>VLOOKUP(B$5, config!$B$4:$F$14,3,FALSE) &amp; "_Multi"</f>
        <v>UC_CB_476_Mt_2021-2030_Multi</v>
      </c>
      <c r="C9" t="str">
        <f>VLOOKUP(C$5, config!$B$4:$F$14,3,FALSE)</f>
        <v>TOTCO2</v>
      </c>
      <c r="D9" t="str">
        <f>VLOOKUP(D$5, config!$B$4:$F$14,3,FALSE)</f>
        <v>ENV</v>
      </c>
      <c r="F9" t="str">
        <f>VLOOKUP(F$5, config!$B$4:$F$14,3,FALSE)</f>
        <v>2021-2030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476200</v>
      </c>
      <c r="L9" t="str">
        <f>VLOOKUP(L$5, config!$B$4:$F$14,3,FALSE) &amp; " - Multi"</f>
        <v>Carbon budget 476 Mt 2021-2030 - Multi</v>
      </c>
    </row>
    <row r="10" spans="1:12">
      <c r="B10" t="s">
        <v>112</v>
      </c>
      <c r="C10" t="str">
        <f>VLOOKUP(C$5, config!$B$4:$F$14,3,FALSE)</f>
        <v>TOTCO2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2021-2030</v>
      </c>
      <c r="J10">
        <f>VLOOKUP(J$5, config!$B$4:$F$14,3,FALSE)</f>
        <v>-1</v>
      </c>
      <c r="K10" s="17"/>
    </row>
    <row r="11" spans="1:12">
      <c r="B11" t="str">
        <f>"\I:"&amp;VLOOKUP(B$5, config!$B$4:$F$14,4,FALSE) &amp; "_Multi"</f>
        <v>\I:UC_CB_-26_Mt_2031-2050_Multi</v>
      </c>
      <c r="C11" t="str">
        <f>VLOOKUP(C$5, config!$B$4:$F$14,4,FALSE)</f>
        <v>TOTCO2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-26199.999999999989</v>
      </c>
      <c r="L11" t="str">
        <f>VLOOKUP(L$5, config!$B$4:$F$14,4,FALSE) &amp; " - Multi"</f>
        <v>Carbon budget -26 Mt 2031-2050 - Multi</v>
      </c>
    </row>
    <row r="12" spans="1:12">
      <c r="B12" t="s">
        <v>112</v>
      </c>
      <c r="C12" t="str">
        <f>VLOOKUP(C$5, config!$B$4:$F$14,4,FALSE)</f>
        <v>TOTCO2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  <c r="K12" s="17"/>
    </row>
    <row r="13" spans="1:12">
      <c r="B13" t="str">
        <f>VLOOKUP(B$5, config!$B$4:$F$14,5,FALSE) &amp; "_Multi"</f>
        <v>UC_CB_0_Mt_2051-2100_Multi</v>
      </c>
      <c r="C13" t="str">
        <f>VLOOKUP(C$5, config!$B$4:$F$14,5,FALSE)</f>
        <v>TOTCO2</v>
      </c>
      <c r="D13" t="str">
        <f>VLOOKUP(D$5, config!$B$4:$F$14,5,FALSE)</f>
        <v>ENV</v>
      </c>
      <c r="F13" t="str">
        <f>VLOOKUP(F$5, config!$B$4:$F$14,5,FALSE)</f>
        <v>2051-2100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 s="17">
        <f>VLOOKUP("Value", config!$B$4:$F$14,5,FALSE)*1000</f>
        <v>0</v>
      </c>
      <c r="L13" t="str">
        <f>VLOOKUP(L$5, config!$B$4:$F$14,5,FALSE) &amp; " - Multi"</f>
        <v>Carbon budget 0 Mt 2051-2100 - Multi</v>
      </c>
    </row>
    <row r="14" spans="1:12">
      <c r="B14" t="s">
        <v>112</v>
      </c>
      <c r="C14" t="str">
        <f>VLOOKUP(C$5, config!$B$4:$F$14,5,FALSE)</f>
        <v>TOTCO2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2051-2100</v>
      </c>
      <c r="J14">
        <f>VLOOKUP(J$5, config!$B$4:$F$14,5,FALSE)</f>
        <v>-1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I12"/>
  <sheetViews>
    <sheetView workbookViewId="0">
      <selection activeCell="F16" sqref="F16"/>
    </sheetView>
  </sheetViews>
  <sheetFormatPr defaultRowHeight="14.5"/>
  <cols>
    <col min="2" max="2" width="10.08984375" bestFit="1" customWidth="1"/>
    <col min="4" max="4" width="13.7265625" bestFit="1" customWidth="1"/>
    <col min="5" max="5" width="5.08984375" bestFit="1" customWidth="1"/>
    <col min="6" max="6" width="10.08984375" bestFit="1" customWidth="1"/>
  </cols>
  <sheetData>
    <row r="2" spans="2:9">
      <c r="B2" s="14" t="s">
        <v>118</v>
      </c>
    </row>
    <row r="3" spans="2:9" ht="15" thickBot="1">
      <c r="B3" s="15" t="s">
        <v>85</v>
      </c>
      <c r="C3" s="15" t="s">
        <v>0</v>
      </c>
      <c r="D3" s="15" t="s">
        <v>86</v>
      </c>
      <c r="E3" s="15" t="s">
        <v>74</v>
      </c>
      <c r="F3" s="15" t="s">
        <v>62</v>
      </c>
      <c r="G3" s="16" t="str">
        <f>Regions!C3</f>
        <v>IE</v>
      </c>
      <c r="H3" s="16" t="str">
        <f>Regions!D3</f>
        <v/>
      </c>
    </row>
    <row r="4" spans="2:9">
      <c r="C4" s="8" t="s">
        <v>87</v>
      </c>
      <c r="D4" t="s">
        <v>88</v>
      </c>
      <c r="E4">
        <v>0</v>
      </c>
      <c r="F4" t="s">
        <v>89</v>
      </c>
      <c r="G4" s="17">
        <v>-1</v>
      </c>
      <c r="H4" s="17">
        <f>G4</f>
        <v>-1</v>
      </c>
    </row>
    <row r="7" spans="2:9">
      <c r="B7" s="38" t="s">
        <v>84</v>
      </c>
      <c r="D7" s="36"/>
      <c r="E7" s="36"/>
      <c r="F7" s="36"/>
      <c r="G7" s="36"/>
      <c r="H7" s="36"/>
      <c r="I7" s="36"/>
    </row>
    <row r="8" spans="2:9" ht="15" thickBot="1">
      <c r="B8" s="39" t="s">
        <v>85</v>
      </c>
      <c r="C8" s="39" t="s">
        <v>0</v>
      </c>
      <c r="D8" s="39" t="s">
        <v>86</v>
      </c>
      <c r="E8" s="39" t="s">
        <v>74</v>
      </c>
      <c r="F8" s="39" t="s">
        <v>114</v>
      </c>
      <c r="G8" s="39" t="s">
        <v>115</v>
      </c>
      <c r="H8" s="39" t="s">
        <v>81</v>
      </c>
      <c r="I8" s="39" t="s">
        <v>62</v>
      </c>
    </row>
    <row r="9" spans="2:9">
      <c r="C9" s="36" t="s">
        <v>116</v>
      </c>
      <c r="D9" s="36" t="s">
        <v>88</v>
      </c>
      <c r="E9" s="36">
        <v>0</v>
      </c>
      <c r="F9" s="36">
        <v>3</v>
      </c>
      <c r="G9" s="36"/>
      <c r="H9" s="36"/>
      <c r="I9" s="37" t="s">
        <v>117</v>
      </c>
    </row>
    <row r="10" spans="2:9">
      <c r="C10" s="36" t="s">
        <v>116</v>
      </c>
      <c r="D10" s="36" t="s">
        <v>88</v>
      </c>
      <c r="E10" s="36"/>
      <c r="F10" s="40">
        <v>-9999999</v>
      </c>
      <c r="G10" s="36"/>
      <c r="H10" s="36"/>
      <c r="I10" s="37" t="s">
        <v>117</v>
      </c>
    </row>
    <row r="11" spans="2:9">
      <c r="C11" s="36" t="s">
        <v>116</v>
      </c>
      <c r="D11" s="36" t="s">
        <v>119</v>
      </c>
      <c r="E11" s="36">
        <v>0</v>
      </c>
      <c r="F11" s="36">
        <v>3</v>
      </c>
      <c r="G11" s="36"/>
      <c r="H11" s="36"/>
      <c r="I11" s="37" t="s">
        <v>117</v>
      </c>
    </row>
    <row r="12" spans="2:9">
      <c r="C12" s="36" t="s">
        <v>116</v>
      </c>
      <c r="D12" s="36" t="s">
        <v>119</v>
      </c>
      <c r="E12" s="36"/>
      <c r="F12" s="40">
        <v>-9999999</v>
      </c>
      <c r="G12" s="36"/>
      <c r="H12" s="36"/>
      <c r="I12" s="3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Regions</vt:lpstr>
      <vt:lpstr>config</vt:lpstr>
      <vt:lpstr>single</vt:lpstr>
      <vt:lpstr>multi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2026-05-08T11:01:19Z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