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Integrated saturation V1.1\AFOLU model\tim-leaf v1.0\SuppXLS\"/>
    </mc:Choice>
  </mc:AlternateContent>
  <xr:revisionPtr revIDLastSave="0" documentId="13_ncr:1_{F36F059F-26CE-40D9-9162-D17597F4F6F5}" xr6:coauthVersionLast="47" xr6:coauthVersionMax="47" xr10:uidLastSave="{00000000-0000-0000-0000-000000000000}"/>
  <bookViews>
    <workbookView xWindow="15120" yWindow="-16310" windowWidth="29020" windowHeight="15700" activeTab="3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multi" sheetId="22" r:id="rId5"/>
    <sheet name="negative_CO2" sheetId="23" r:id="rId6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22" l="1"/>
  <c r="K13" i="22"/>
  <c r="K12" i="22"/>
  <c r="K11" i="22"/>
  <c r="K14" i="21"/>
  <c r="K13" i="21"/>
  <c r="K12" i="21"/>
  <c r="K11" i="21"/>
  <c r="K18" i="21"/>
  <c r="K17" i="21"/>
  <c r="K16" i="21"/>
  <c r="K15" i="21"/>
  <c r="K9" i="21"/>
  <c r="K18" i="22"/>
  <c r="K17" i="22"/>
  <c r="K16" i="22"/>
  <c r="K15" i="22"/>
  <c r="K7" i="21"/>
  <c r="K9" i="22" l="1"/>
  <c r="K7" i="22"/>
  <c r="H4" i="23" l="1"/>
  <c r="H3" i="23"/>
  <c r="G3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B2" i="21"/>
  <c r="H4" i="21" s="1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B2" i="22"/>
  <c r="H4" i="22" s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<sst xmlns="http://schemas.openxmlformats.org/spreadsheetml/2006/main" count="282" uniqueCount="159">
  <si>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</si>
  <si>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</si>
  <si>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</si>
  <si>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</si>
  <si>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</si>
  <si>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</si>
  <si>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</si>
  <si>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</si>
  <si>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</si>
  <si>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</si>
  <si>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</si>
  <si>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</si>
  <si>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</si>
  <si>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</si>
  <si>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</si>
  <si>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</si>
  <si>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</si>
  <si>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</si>
  <si>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</si>
  <si>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</si>
  <si>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</si>
  <si>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</si>
  <si>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</si>
  <si>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</si>
  <si>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</si>
  <si>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</si>
  <si>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</si>
  <si>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</si>
  <si>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</si>
  <si>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</si>
  <si>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</si>
  <si>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</si>
  <si>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</si>
  <si>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</si>
  <si>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</si>
  <si>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</si>
  <si>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</si>
  <si>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</si>
  <si>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</si>
  <si>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</si>
  <si>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</si>
  <si>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</si>
  <si>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</si>
  <si>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</si>
  <si>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</si>
  <si>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</si>
  <si>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</si>
  <si>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</si>
  <si>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</si>
  <si>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</si>
  <si>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</si>
  <si>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</si>
  <si>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</si>
  <si>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</si>
  <si>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</si>
  <si>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</si>
  <si>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</si>
  <si>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</si>
  <si>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</si>
  <si>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</si>
  <si>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</si>
  <si>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</si>
  <si>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</si>
  <si>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</si>
  <si>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</si>
  <si>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</si>
  <si>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 - All Regions/Each Period</t>
  </si>
  <si>
    <t>UC_RHS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</si>
  <si>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</si>
  <si>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</si>
  <si>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</si>
  <si>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</si>
  <si>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</si>
  <si>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</si>
  <si>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</si>
  <si>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</si>
  <si>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</si>
  <si>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</si>
  <si>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*CO2*,-*CO2S</t>
  </si>
  <si>
    <t>UC_CUMFLO</t>
  </si>
  <si>
    <t>Pset_PN</t>
  </si>
  <si>
    <t>T-A*INT*,T-NAV*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</si>
  <si>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</si>
  <si>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</si>
  <si>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</si>
  <si>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</si>
  <si>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</si>
  <si>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</si>
  <si>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</si>
  <si>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</si>
  <si>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</si>
  <si>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</si>
  <si>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</si>
  <si>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</si>
  <si>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</si>
  <si>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</si>
  <si>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</si>
  <si>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</si>
  <si>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</si>
  <si>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</si>
  <si>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</si>
  <si>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Olexandr Balyk (UCC, olexandr.balyk@ucc.ie)</t>
  </si>
  <si>
    <t>Scenario</t>
  </si>
  <si>
    <t>2021-2025</t>
  </si>
  <si>
    <t>2026-2030</t>
  </si>
  <si>
    <t>UC_SCB_TRA_2021-2025_Multi</t>
  </si>
  <si>
    <t>TRACO2N</t>
  </si>
  <si>
    <t>UC_SCB_TRA_2026-2030_Multi</t>
  </si>
  <si>
    <t>2021-2026</t>
  </si>
  <si>
    <t>Electricity</t>
  </si>
  <si>
    <t>Transport</t>
  </si>
  <si>
    <t>Industry</t>
  </si>
  <si>
    <t>Agriculture</t>
  </si>
  <si>
    <t>LULUCF</t>
  </si>
  <si>
    <t>UC_SCB_RSD_2021-2025_Multi</t>
  </si>
  <si>
    <t>RSDCO2</t>
  </si>
  <si>
    <t>SRVCO2N</t>
  </si>
  <si>
    <t>INDCO2N,INDCO2P</t>
  </si>
  <si>
    <t>UC_SCB_SRV_2021-2025_Multi</t>
  </si>
  <si>
    <t>UC_SCB_PWR_2021-2025_Multi</t>
  </si>
  <si>
    <t>UC_SCB_IND_2021-2025_Multi</t>
  </si>
  <si>
    <t>UC_SCB_RSD_2026-2030_Multi</t>
  </si>
  <si>
    <t>UC_SCB_SRV_2026-2030_Multi</t>
  </si>
  <si>
    <t>UC_SCB_PWR_2026-2030_Multi</t>
  </si>
  <si>
    <t>UC_SCB_IND_2026-2030_Multi</t>
  </si>
  <si>
    <t>TRA Carbon Budget-2021-2025- Multi</t>
  </si>
  <si>
    <t>TRA Carbon Budget-2026-2030- Multi</t>
  </si>
  <si>
    <t>RSD Carbon Budget-2021-2025- Multi</t>
  </si>
  <si>
    <t>RSD Carbon Budget-2026-2030- Multi</t>
  </si>
  <si>
    <t>SRV Carbon Budget-2021-2025- Multi</t>
  </si>
  <si>
    <t>SRV Carbon Budget-2026-2030- Multi</t>
  </si>
  <si>
    <t>PWR Carbon Budget-2021-2025- Multi</t>
  </si>
  <si>
    <t>PWR Carbon Budget-2026-2030- Multi</t>
  </si>
  <si>
    <t>IND Carbon Budget-2021-2025- Multi</t>
  </si>
  <si>
    <t>IND Carbon Budget-2026-2030- Multi</t>
  </si>
  <si>
    <t>UC_SCB_TRA_2021-2025_Single</t>
  </si>
  <si>
    <t>UC_SCB_TRA_2026-2030_Single</t>
  </si>
  <si>
    <t>UC_SCB_RSD_2021-2025_Single</t>
  </si>
  <si>
    <t>UC_SCB_RSD_2026-2030_Single</t>
  </si>
  <si>
    <t>UC_SCB_SRV_2021-2025_Single</t>
  </si>
  <si>
    <t>UC_SCB_SRV_2026-2030_Single</t>
  </si>
  <si>
    <t>UC_SCB_PWR_2021-2025_Single</t>
  </si>
  <si>
    <t>UC_SCB_PWR_2026-2030_Single</t>
  </si>
  <si>
    <t>UC_SCB_IND_2021-2025_Single</t>
  </si>
  <si>
    <t>UC_SCB_IND_2026-2030_Single</t>
  </si>
  <si>
    <t>TRA Carbon Budget-2021-2025- Single</t>
  </si>
  <si>
    <t>TRA Carbon Budget-2026-2030- Single</t>
  </si>
  <si>
    <t>RSD Carbon Budget-2021-2025- Single</t>
  </si>
  <si>
    <t>RSD Carbon Budget-2026-2030- Single</t>
  </si>
  <si>
    <t>SRV Carbon Budget-2021-2025- Single</t>
  </si>
  <si>
    <t>SRV Carbon Budget-2026-2030- Single</t>
  </si>
  <si>
    <t>PWR Carbon Budget-2021-2025- Single</t>
  </si>
  <si>
    <t>PWR Carbon Budget-2026-2030- Single</t>
  </si>
  <si>
    <t>IND Carbon Budget-2021-2025- Single</t>
  </si>
  <si>
    <t>IND Carbon Budget-2026-2030- Single</t>
  </si>
  <si>
    <t>Sectoral Emissions Ceilings</t>
  </si>
  <si>
    <t>Specify sectoral emissions ceilings</t>
  </si>
  <si>
    <t>Residential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</si>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</sst>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5CD6EEE1-73B2-4911-9FC2-AF042D96273E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6" zoomScaleNormal="100" workbookViewId="0">
      <selection activeCell="E41" sqref="E41"/>
    </sheetView>
  </sheetViews>
  <sheetFormatPr defaultColWidth="8.81640625" defaultRowHeight="14.5" x14ac:dyDescent="0.3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 x14ac:dyDescent="0.35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35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35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35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35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35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35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35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35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35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35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35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35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35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35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 x14ac:dyDescent="0.35">
      <c r="A16" s="34" t="s">
        <v>88</v>
      </c>
      <c r="B16" s="34"/>
      <c r="C16" s="34"/>
      <c r="D16" s="34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 x14ac:dyDescent="0.35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 x14ac:dyDescent="0.35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 x14ac:dyDescent="0.35">
      <c r="A19" s="25" t="s">
        <v>89</v>
      </c>
      <c r="B19" s="33" t="s">
        <v>102</v>
      </c>
      <c r="C19" s="33"/>
      <c r="D19" s="33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 x14ac:dyDescent="0.35">
      <c r="A20" s="25" t="s">
        <v>90</v>
      </c>
      <c r="B20" s="33" t="s">
        <v>100</v>
      </c>
      <c r="C20" s="33"/>
      <c r="D20" s="33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 x14ac:dyDescent="0.35">
      <c r="A21" s="25" t="s">
        <v>91</v>
      </c>
      <c r="B21" s="28" t="s">
        <v>156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 x14ac:dyDescent="0.35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 x14ac:dyDescent="0.35">
      <c r="A23" s="25" t="s">
        <v>92</v>
      </c>
      <c r="B23" s="33" t="s">
        <v>101</v>
      </c>
      <c r="C23" s="33"/>
      <c r="D23" s="33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 x14ac:dyDescent="0.35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 x14ac:dyDescent="0.35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 x14ac:dyDescent="0.35">
      <c r="A26" s="25" t="s">
        <v>93</v>
      </c>
      <c r="B26" s="33" t="s">
        <v>101</v>
      </c>
      <c r="C26" s="33"/>
      <c r="D26" s="33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 x14ac:dyDescent="0.35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 x14ac:dyDescent="0.35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 x14ac:dyDescent="0.35">
      <c r="A29" s="25" t="s">
        <v>94</v>
      </c>
      <c r="B29" s="29">
        <v>1</v>
      </c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 x14ac:dyDescent="0.35">
      <c r="A30" s="25" t="s">
        <v>95</v>
      </c>
      <c r="B30" s="35" t="s">
        <v>96</v>
      </c>
      <c r="C30" s="33"/>
      <c r="D30" s="33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 x14ac:dyDescent="0.35">
      <c r="A31" s="25" t="s">
        <v>97</v>
      </c>
      <c r="B31" s="33" t="s">
        <v>98</v>
      </c>
      <c r="C31" s="33"/>
      <c r="D31" s="33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 x14ac:dyDescent="0.35">
      <c r="A32" s="31"/>
      <c r="B32" s="32" t="s">
        <v>99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35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35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35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35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35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35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35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35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35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35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796875" defaultRowHeight="14.5" x14ac:dyDescent="0.3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4.8164062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.179687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1796875" bestFit="1" customWidth="1"/>
    <col min="19" max="19" width="5.7265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4.81640625" bestFit="1" customWidth="1"/>
    <col min="24" max="24" width="7.54296875" customWidth="1"/>
    <col min="25" max="25" width="6.7265625" bestFit="1" customWidth="1"/>
    <col min="26" max="26" width="6.179687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 x14ac:dyDescent="0.35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5">
      <c r="A4">
        <v>1</v>
      </c>
    </row>
    <row r="5" spans="1:30" x14ac:dyDescent="0.35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5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5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4">
      <c r="A10" s="3" t="s">
        <v>32</v>
      </c>
      <c r="B10" s="3" t="s">
        <v>33</v>
      </c>
    </row>
    <row r="11" spans="1:30" x14ac:dyDescent="0.35">
      <c r="A11" s="4" t="s">
        <v>34</v>
      </c>
      <c r="B11" s="4" t="s">
        <v>26</v>
      </c>
    </row>
    <row r="12" spans="1:30" x14ac:dyDescent="0.35">
      <c r="A12" s="5" t="s">
        <v>35</v>
      </c>
      <c r="B12" s="5" t="s">
        <v>25</v>
      </c>
    </row>
    <row r="13" spans="1:30" x14ac:dyDescent="0.35">
      <c r="A13" s="5" t="s">
        <v>36</v>
      </c>
      <c r="B13" s="5" t="s">
        <v>24</v>
      </c>
    </row>
    <row r="14" spans="1:30" x14ac:dyDescent="0.35">
      <c r="A14" s="5" t="s">
        <v>37</v>
      </c>
      <c r="B14" s="5" t="s">
        <v>23</v>
      </c>
    </row>
    <row r="15" spans="1:30" x14ac:dyDescent="0.35">
      <c r="A15" s="5" t="s">
        <v>38</v>
      </c>
      <c r="B15" s="5" t="s">
        <v>22</v>
      </c>
    </row>
    <row r="16" spans="1:30" x14ac:dyDescent="0.35">
      <c r="A16" s="5" t="s">
        <v>39</v>
      </c>
      <c r="B16" s="5" t="s">
        <v>21</v>
      </c>
    </row>
    <row r="17" spans="1:2" x14ac:dyDescent="0.35">
      <c r="A17" s="5" t="s">
        <v>40</v>
      </c>
      <c r="B17" s="5" t="s">
        <v>20</v>
      </c>
    </row>
    <row r="18" spans="1:2" x14ac:dyDescent="0.35">
      <c r="A18" s="5" t="s">
        <v>41</v>
      </c>
      <c r="B18" s="5" t="s">
        <v>19</v>
      </c>
    </row>
    <row r="19" spans="1:2" x14ac:dyDescent="0.35">
      <c r="A19" s="5" t="s">
        <v>42</v>
      </c>
      <c r="B19" s="5" t="s">
        <v>18</v>
      </c>
    </row>
    <row r="20" spans="1:2" x14ac:dyDescent="0.35">
      <c r="A20" s="5" t="s">
        <v>43</v>
      </c>
      <c r="B20" s="5" t="s">
        <v>17</v>
      </c>
    </row>
    <row r="21" spans="1:2" x14ac:dyDescent="0.35">
      <c r="A21" s="5" t="s">
        <v>44</v>
      </c>
      <c r="B21" s="5" t="s">
        <v>16</v>
      </c>
    </row>
    <row r="22" spans="1:2" x14ac:dyDescent="0.35">
      <c r="A22" s="5" t="s">
        <v>45</v>
      </c>
      <c r="B22" s="5" t="s">
        <v>15</v>
      </c>
    </row>
    <row r="23" spans="1:2" x14ac:dyDescent="0.35">
      <c r="A23" s="5" t="s">
        <v>46</v>
      </c>
      <c r="B23" s="5" t="s">
        <v>14</v>
      </c>
    </row>
    <row r="24" spans="1:2" x14ac:dyDescent="0.35">
      <c r="A24" s="5" t="s">
        <v>47</v>
      </c>
      <c r="B24" s="5" t="s">
        <v>13</v>
      </c>
    </row>
    <row r="25" spans="1:2" x14ac:dyDescent="0.35">
      <c r="A25" s="5" t="s">
        <v>48</v>
      </c>
      <c r="B25" s="5" t="s">
        <v>12</v>
      </c>
    </row>
    <row r="26" spans="1:2" x14ac:dyDescent="0.35">
      <c r="A26" s="5" t="s">
        <v>49</v>
      </c>
      <c r="B26" s="5" t="s">
        <v>11</v>
      </c>
    </row>
    <row r="27" spans="1:2" x14ac:dyDescent="0.35">
      <c r="A27" s="5" t="s">
        <v>50</v>
      </c>
      <c r="B27" s="5" t="s">
        <v>10</v>
      </c>
    </row>
    <row r="28" spans="1:2" x14ac:dyDescent="0.35">
      <c r="A28" s="5" t="s">
        <v>51</v>
      </c>
      <c r="B28" s="5" t="s">
        <v>9</v>
      </c>
    </row>
    <row r="29" spans="1:2" x14ac:dyDescent="0.35">
      <c r="A29" s="5" t="s">
        <v>52</v>
      </c>
      <c r="B29" s="5" t="s">
        <v>8</v>
      </c>
    </row>
    <row r="30" spans="1:2" x14ac:dyDescent="0.35">
      <c r="A30" s="5" t="s">
        <v>53</v>
      </c>
      <c r="B30" s="5" t="s">
        <v>7</v>
      </c>
    </row>
    <row r="31" spans="1:2" x14ac:dyDescent="0.35">
      <c r="A31" s="5" t="s">
        <v>54</v>
      </c>
      <c r="B31" s="5" t="s">
        <v>6</v>
      </c>
    </row>
    <row r="32" spans="1:2" x14ac:dyDescent="0.35">
      <c r="A32" s="5" t="s">
        <v>55</v>
      </c>
      <c r="B32" s="5" t="s">
        <v>5</v>
      </c>
    </row>
    <row r="33" spans="1:2" x14ac:dyDescent="0.35">
      <c r="A33" s="5" t="s">
        <v>56</v>
      </c>
      <c r="B33" s="5" t="s">
        <v>4</v>
      </c>
    </row>
    <row r="34" spans="1:2" x14ac:dyDescent="0.35">
      <c r="A34" s="5" t="s">
        <v>57</v>
      </c>
      <c r="B34" s="5" t="s">
        <v>3</v>
      </c>
    </row>
    <row r="35" spans="1:2" x14ac:dyDescent="0.35">
      <c r="A35" s="5" t="s">
        <v>58</v>
      </c>
      <c r="B35" s="5" t="s">
        <v>2</v>
      </c>
    </row>
    <row r="36" spans="1:2" x14ac:dyDescent="0.35">
      <c r="A36" s="5" t="s">
        <v>59</v>
      </c>
      <c r="B36" s="5" t="s">
        <v>1</v>
      </c>
    </row>
    <row r="37" spans="1:2" x14ac:dyDescent="0.35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3:D13"/>
  <sheetViews>
    <sheetView workbookViewId="0">
      <selection activeCell="E22" sqref="E22"/>
    </sheetView>
  </sheetViews>
  <sheetFormatPr defaultColWidth="9.1796875" defaultRowHeight="14.5" x14ac:dyDescent="0.35"/>
  <cols>
    <col min="2" max="2" width="14" bestFit="1" customWidth="1"/>
    <col min="3" max="3" width="16.81640625" customWidth="1"/>
    <col min="4" max="4" width="16.453125" customWidth="1"/>
    <col min="12" max="12" width="10.54296875" bestFit="1" customWidth="1"/>
    <col min="13" max="13" width="12" bestFit="1" customWidth="1"/>
  </cols>
  <sheetData>
    <row r="3" spans="2:4" x14ac:dyDescent="0.35">
      <c r="B3" t="s">
        <v>155</v>
      </c>
    </row>
    <row r="5" spans="2:4" x14ac:dyDescent="0.35">
      <c r="C5" t="s">
        <v>103</v>
      </c>
      <c r="D5" t="s">
        <v>104</v>
      </c>
    </row>
    <row r="6" spans="2:4" x14ac:dyDescent="0.35">
      <c r="B6" t="s">
        <v>109</v>
      </c>
      <c r="C6">
        <v>40</v>
      </c>
      <c r="D6">
        <v>20</v>
      </c>
    </row>
    <row r="7" spans="2:4" x14ac:dyDescent="0.35">
      <c r="B7" t="s">
        <v>110</v>
      </c>
      <c r="C7">
        <v>54</v>
      </c>
      <c r="D7">
        <v>37</v>
      </c>
    </row>
    <row r="8" spans="2:4" x14ac:dyDescent="0.35">
      <c r="B8" t="s">
        <v>157</v>
      </c>
      <c r="C8">
        <v>29</v>
      </c>
      <c r="D8">
        <v>23</v>
      </c>
    </row>
    <row r="9" spans="2:4" x14ac:dyDescent="0.35">
      <c r="B9" t="s">
        <v>158</v>
      </c>
      <c r="C9">
        <v>7</v>
      </c>
      <c r="D9">
        <v>5</v>
      </c>
    </row>
    <row r="10" spans="2:4" x14ac:dyDescent="0.35">
      <c r="B10" t="s">
        <v>111</v>
      </c>
      <c r="C10">
        <v>30</v>
      </c>
      <c r="D10">
        <v>24</v>
      </c>
    </row>
    <row r="11" spans="2:4" x14ac:dyDescent="0.35">
      <c r="B11" t="s">
        <v>112</v>
      </c>
      <c r="C11">
        <v>106</v>
      </c>
      <c r="D11">
        <v>96</v>
      </c>
    </row>
    <row r="12" spans="2:4" x14ac:dyDescent="0.35">
      <c r="B12" t="s">
        <v>113</v>
      </c>
    </row>
    <row r="13" spans="2:4" x14ac:dyDescent="0.35">
      <c r="C13">
        <v>295</v>
      </c>
      <c r="D13">
        <v>200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L18"/>
  <sheetViews>
    <sheetView tabSelected="1" zoomScale="90" zoomScaleNormal="90" workbookViewId="0">
      <selection activeCell="I27" sqref="I27"/>
    </sheetView>
  </sheetViews>
  <sheetFormatPr defaultColWidth="9.1796875" defaultRowHeight="14.5" x14ac:dyDescent="0.35"/>
  <cols>
    <col min="2" max="2" width="31" customWidth="1"/>
    <col min="3" max="3" width="19.81640625" customWidth="1"/>
    <col min="4" max="4" width="8.36328125" customWidth="1"/>
    <col min="5" max="5" width="17.453125" customWidth="1"/>
    <col min="6" max="6" width="15.36328125" customWidth="1"/>
    <col min="7" max="7" width="14.26953125" bestFit="1" customWidth="1"/>
    <col min="8" max="8" width="13.453125" customWidth="1"/>
    <col min="9" max="9" width="16.36328125" customWidth="1"/>
    <col min="10" max="10" width="12.1796875" bestFit="1" customWidth="1"/>
    <col min="11" max="11" width="15.08984375" customWidth="1"/>
    <col min="12" max="12" width="33.1796875" bestFit="1" customWidth="1"/>
  </cols>
  <sheetData>
    <row r="1" spans="1:12" x14ac:dyDescent="0.35">
      <c r="A1" t="s">
        <v>64</v>
      </c>
    </row>
    <row r="2" spans="1:12" x14ac:dyDescent="0.35">
      <c r="B2" s="9" t="str">
        <f>"~UC_Sets: R_E: "  &amp; _xlfn.TEXTJOIN(",",TRUE,Regions!C3)</f>
        <v>~UC_Sets: R_E: IE</v>
      </c>
    </row>
    <row r="3" spans="1:12" x14ac:dyDescent="0.35">
      <c r="B3" s="9" t="s">
        <v>73</v>
      </c>
    </row>
    <row r="4" spans="1:12" x14ac:dyDescent="0.35">
      <c r="H4" t="str">
        <f>IF(RIGHT(B2,1)&lt;&gt;" ","~UC_T","")</f>
        <v>~UC_T</v>
      </c>
    </row>
    <row r="5" spans="1:12" x14ac:dyDescent="0.35">
      <c r="B5" s="10" t="s">
        <v>61</v>
      </c>
      <c r="C5" s="11" t="s">
        <v>62</v>
      </c>
      <c r="D5" s="11" t="s">
        <v>71</v>
      </c>
      <c r="E5" s="11" t="s">
        <v>80</v>
      </c>
      <c r="F5" s="11" t="s">
        <v>72</v>
      </c>
      <c r="G5" s="11" t="s">
        <v>75</v>
      </c>
      <c r="H5" s="11" t="s">
        <v>0</v>
      </c>
      <c r="I5" s="12" t="s">
        <v>74</v>
      </c>
      <c r="J5" s="12" t="s">
        <v>79</v>
      </c>
      <c r="K5" s="8" t="s">
        <v>65</v>
      </c>
      <c r="L5" s="10" t="s">
        <v>63</v>
      </c>
    </row>
    <row r="6" spans="1:12" x14ac:dyDescent="0.35">
      <c r="B6" s="7" t="s">
        <v>69</v>
      </c>
      <c r="C6" s="7"/>
      <c r="D6" s="7"/>
      <c r="E6" s="7"/>
      <c r="F6" s="7"/>
      <c r="G6" s="7"/>
      <c r="H6" s="7"/>
      <c r="I6" s="7"/>
      <c r="J6" s="7"/>
      <c r="K6" s="7" t="s">
        <v>70</v>
      </c>
      <c r="L6" s="13"/>
    </row>
    <row r="7" spans="1:12" x14ac:dyDescent="0.35">
      <c r="B7" t="s">
        <v>135</v>
      </c>
      <c r="C7" t="s">
        <v>106</v>
      </c>
      <c r="D7" t="s">
        <v>77</v>
      </c>
      <c r="F7" t="s">
        <v>103</v>
      </c>
      <c r="G7" t="s">
        <v>76</v>
      </c>
      <c r="H7" t="s">
        <v>68</v>
      </c>
      <c r="I7">
        <v>1</v>
      </c>
      <c r="K7" s="17">
        <f>config!C7*1000</f>
        <v>54000</v>
      </c>
      <c r="L7" t="s">
        <v>145</v>
      </c>
    </row>
    <row r="8" spans="1:12" x14ac:dyDescent="0.35">
      <c r="C8" t="s">
        <v>78</v>
      </c>
      <c r="D8" t="s">
        <v>77</v>
      </c>
      <c r="E8" t="s">
        <v>81</v>
      </c>
      <c r="F8" t="s">
        <v>108</v>
      </c>
      <c r="J8">
        <v>-1</v>
      </c>
      <c r="K8" s="17"/>
    </row>
    <row r="9" spans="1:12" x14ac:dyDescent="0.35">
      <c r="B9" t="s">
        <v>136</v>
      </c>
      <c r="C9" t="s">
        <v>106</v>
      </c>
      <c r="D9" t="s">
        <v>77</v>
      </c>
      <c r="F9" t="s">
        <v>104</v>
      </c>
      <c r="G9" t="s">
        <v>76</v>
      </c>
      <c r="H9" t="s">
        <v>68</v>
      </c>
      <c r="I9">
        <v>1</v>
      </c>
      <c r="K9" s="17">
        <f>config!D7*1000</f>
        <v>37000</v>
      </c>
      <c r="L9" t="s">
        <v>146</v>
      </c>
    </row>
    <row r="10" spans="1:12" x14ac:dyDescent="0.35">
      <c r="C10" t="s">
        <v>78</v>
      </c>
      <c r="D10" t="s">
        <v>77</v>
      </c>
      <c r="E10" t="s">
        <v>81</v>
      </c>
      <c r="F10" t="s">
        <v>104</v>
      </c>
      <c r="J10">
        <v>-1</v>
      </c>
      <c r="K10" s="17"/>
    </row>
    <row r="11" spans="1:12" x14ac:dyDescent="0.35">
      <c r="B11" t="s">
        <v>137</v>
      </c>
      <c r="C11" t="s">
        <v>115</v>
      </c>
      <c r="D11" t="s">
        <v>77</v>
      </c>
      <c r="F11" t="s">
        <v>108</v>
      </c>
      <c r="G11" t="s">
        <v>76</v>
      </c>
      <c r="H11" t="s">
        <v>68</v>
      </c>
      <c r="I11">
        <v>1</v>
      </c>
      <c r="K11" s="17">
        <f>config!C8*1000</f>
        <v>29000</v>
      </c>
      <c r="L11" t="s">
        <v>147</v>
      </c>
    </row>
    <row r="12" spans="1:12" x14ac:dyDescent="0.35">
      <c r="B12" t="s">
        <v>138</v>
      </c>
      <c r="C12" t="s">
        <v>115</v>
      </c>
      <c r="D12" t="s">
        <v>77</v>
      </c>
      <c r="F12" t="s">
        <v>104</v>
      </c>
      <c r="G12" t="s">
        <v>76</v>
      </c>
      <c r="H12" t="s">
        <v>68</v>
      </c>
      <c r="I12">
        <v>1</v>
      </c>
      <c r="K12" s="17">
        <f>config!D8*1000</f>
        <v>23000</v>
      </c>
      <c r="L12" t="s">
        <v>148</v>
      </c>
    </row>
    <row r="13" spans="1:12" x14ac:dyDescent="0.35">
      <c r="B13" t="s">
        <v>139</v>
      </c>
      <c r="C13" t="s">
        <v>116</v>
      </c>
      <c r="D13" t="s">
        <v>77</v>
      </c>
      <c r="F13" t="s">
        <v>108</v>
      </c>
      <c r="G13" t="s">
        <v>76</v>
      </c>
      <c r="H13" t="s">
        <v>68</v>
      </c>
      <c r="I13">
        <v>1</v>
      </c>
      <c r="K13" s="17">
        <f>config!C9*1000</f>
        <v>7000</v>
      </c>
      <c r="L13" t="s">
        <v>149</v>
      </c>
    </row>
    <row r="14" spans="1:12" x14ac:dyDescent="0.35">
      <c r="B14" t="s">
        <v>140</v>
      </c>
      <c r="C14" t="s">
        <v>116</v>
      </c>
      <c r="D14" t="s">
        <v>77</v>
      </c>
      <c r="F14" t="s">
        <v>104</v>
      </c>
      <c r="G14" t="s">
        <v>76</v>
      </c>
      <c r="H14" t="s">
        <v>68</v>
      </c>
      <c r="I14">
        <v>1</v>
      </c>
      <c r="K14" s="17">
        <f>config!D9*1000</f>
        <v>5000</v>
      </c>
      <c r="L14" t="s">
        <v>150</v>
      </c>
    </row>
    <row r="15" spans="1:12" x14ac:dyDescent="0.35">
      <c r="B15" t="s">
        <v>141</v>
      </c>
      <c r="C15" t="s">
        <v>87</v>
      </c>
      <c r="D15" t="s">
        <v>77</v>
      </c>
      <c r="F15" t="s">
        <v>108</v>
      </c>
      <c r="G15" t="s">
        <v>76</v>
      </c>
      <c r="H15" t="s">
        <v>68</v>
      </c>
      <c r="I15">
        <v>1</v>
      </c>
      <c r="K15" s="17">
        <f>config!C6*1000</f>
        <v>40000</v>
      </c>
      <c r="L15" t="s">
        <v>151</v>
      </c>
    </row>
    <row r="16" spans="1:12" x14ac:dyDescent="0.35">
      <c r="B16" t="s">
        <v>142</v>
      </c>
      <c r="C16" t="s">
        <v>87</v>
      </c>
      <c r="D16" t="s">
        <v>77</v>
      </c>
      <c r="F16" t="s">
        <v>104</v>
      </c>
      <c r="G16" t="s">
        <v>76</v>
      </c>
      <c r="H16" t="s">
        <v>68</v>
      </c>
      <c r="I16">
        <v>1</v>
      </c>
      <c r="K16" s="17">
        <f>config!D6*1000</f>
        <v>20000</v>
      </c>
      <c r="L16" t="s">
        <v>152</v>
      </c>
    </row>
    <row r="17" spans="2:12" x14ac:dyDescent="0.35">
      <c r="B17" t="s">
        <v>143</v>
      </c>
      <c r="C17" t="s">
        <v>117</v>
      </c>
      <c r="D17" t="s">
        <v>77</v>
      </c>
      <c r="F17" t="s">
        <v>108</v>
      </c>
      <c r="G17" t="s">
        <v>76</v>
      </c>
      <c r="H17" t="s">
        <v>68</v>
      </c>
      <c r="I17">
        <v>1</v>
      </c>
      <c r="K17" s="17">
        <f>config!C10*1000</f>
        <v>30000</v>
      </c>
      <c r="L17" t="s">
        <v>153</v>
      </c>
    </row>
    <row r="18" spans="2:12" x14ac:dyDescent="0.35">
      <c r="B18" t="s">
        <v>144</v>
      </c>
      <c r="C18" t="s">
        <v>117</v>
      </c>
      <c r="D18" t="s">
        <v>77</v>
      </c>
      <c r="F18" t="s">
        <v>104</v>
      </c>
      <c r="G18" t="s">
        <v>76</v>
      </c>
      <c r="H18" t="s">
        <v>68</v>
      </c>
      <c r="I18">
        <v>1</v>
      </c>
      <c r="K18" s="17">
        <f>config!D10*1000</f>
        <v>24000</v>
      </c>
      <c r="L18" t="s">
        <v>154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2971-91FC-4261-B0BB-58C7F43C1746}">
  <sheetPr codeName="Sheet3"/>
  <dimension ref="A1:L18"/>
  <sheetViews>
    <sheetView topLeftCell="F1" zoomScale="90" zoomScaleNormal="90" workbookViewId="0">
      <selection activeCell="K14" sqref="K14"/>
    </sheetView>
  </sheetViews>
  <sheetFormatPr defaultColWidth="9.1796875" defaultRowHeight="14.5" x14ac:dyDescent="0.35"/>
  <cols>
    <col min="2" max="2" width="29.453125" customWidth="1"/>
    <col min="3" max="3" width="16" bestFit="1" customWidth="1"/>
    <col min="5" max="5" width="14.7265625" bestFit="1" customWidth="1"/>
    <col min="6" max="6" width="10.54296875" bestFit="1" customWidth="1"/>
    <col min="7" max="7" width="13.453125" bestFit="1" customWidth="1"/>
    <col min="8" max="8" width="12.26953125" bestFit="1" customWidth="1"/>
    <col min="9" max="9" width="12.54296875" bestFit="1" customWidth="1"/>
    <col min="10" max="10" width="12.453125" bestFit="1" customWidth="1"/>
    <col min="11" max="11" width="9" customWidth="1"/>
    <col min="12" max="12" width="36.54296875" bestFit="1" customWidth="1"/>
  </cols>
  <sheetData>
    <row r="1" spans="1:12" x14ac:dyDescent="0.35">
      <c r="A1" t="s">
        <v>66</v>
      </c>
    </row>
    <row r="2" spans="1:12" x14ac:dyDescent="0.35">
      <c r="B2" s="9" t="str">
        <f>"~UC_Sets: R_S: " &amp; _xlfn.TEXTJOIN(",",TRUE,Regions!D3:AD3)</f>
        <v>~UC_Sets: R_S: National,IE-CW,IE-D,IE-KE,IE-KK,IE-LS,IE-LD,IE-LH,IE-MH,IE-OY,IE-WH,IE-WX,IE-WW,IE-CE,IE-CO,IE-KY,IE-LK,IE-TA,IE-WD,IE-G,IE-LM,IE-MO,IE-RN,IE-SO,IE-CN,IE-DL,IE-MN</v>
      </c>
    </row>
    <row r="3" spans="1:12" x14ac:dyDescent="0.35">
      <c r="B3" s="9" t="s">
        <v>73</v>
      </c>
    </row>
    <row r="4" spans="1:12" x14ac:dyDescent="0.35">
      <c r="H4" t="str">
        <f>IF(RIGHT(B2,1)&lt;&gt;" ","~UC_T","")</f>
        <v>~UC_T</v>
      </c>
    </row>
    <row r="5" spans="1:12" x14ac:dyDescent="0.35">
      <c r="B5" s="10" t="s">
        <v>61</v>
      </c>
      <c r="C5" s="11" t="s">
        <v>62</v>
      </c>
      <c r="D5" s="11" t="s">
        <v>71</v>
      </c>
      <c r="E5" s="11" t="s">
        <v>80</v>
      </c>
      <c r="F5" s="11" t="s">
        <v>72</v>
      </c>
      <c r="G5" s="11" t="s">
        <v>75</v>
      </c>
      <c r="H5" s="11" t="s">
        <v>0</v>
      </c>
      <c r="I5" s="12" t="s">
        <v>74</v>
      </c>
      <c r="J5" s="12" t="s">
        <v>79</v>
      </c>
      <c r="K5" s="8" t="s">
        <v>67</v>
      </c>
      <c r="L5" s="10" t="s">
        <v>63</v>
      </c>
    </row>
    <row r="6" spans="1:12" x14ac:dyDescent="0.35">
      <c r="B6" s="7" t="s">
        <v>69</v>
      </c>
      <c r="C6" s="7"/>
      <c r="D6" s="7"/>
      <c r="E6" s="7"/>
      <c r="F6" s="7"/>
      <c r="G6" s="7"/>
      <c r="H6" s="7"/>
      <c r="I6" s="7"/>
      <c r="J6" s="7"/>
      <c r="K6" s="7" t="s">
        <v>70</v>
      </c>
      <c r="L6" s="7"/>
    </row>
    <row r="7" spans="1:12" x14ac:dyDescent="0.35">
      <c r="B7" t="s">
        <v>105</v>
      </c>
      <c r="C7" t="s">
        <v>106</v>
      </c>
      <c r="D7" t="s">
        <v>77</v>
      </c>
      <c r="F7" t="s">
        <v>103</v>
      </c>
      <c r="G7" t="s">
        <v>76</v>
      </c>
      <c r="H7" t="s">
        <v>68</v>
      </c>
      <c r="I7">
        <v>1</v>
      </c>
      <c r="K7" s="17">
        <f>config!C7*1000</f>
        <v>54000</v>
      </c>
      <c r="L7" t="s">
        <v>125</v>
      </c>
    </row>
    <row r="8" spans="1:12" x14ac:dyDescent="0.35">
      <c r="C8" t="s">
        <v>78</v>
      </c>
      <c r="D8" t="s">
        <v>77</v>
      </c>
      <c r="E8" t="s">
        <v>81</v>
      </c>
      <c r="F8" t="s">
        <v>108</v>
      </c>
      <c r="J8">
        <v>-1</v>
      </c>
      <c r="K8" s="17"/>
    </row>
    <row r="9" spans="1:12" x14ac:dyDescent="0.35">
      <c r="B9" t="s">
        <v>107</v>
      </c>
      <c r="C9" t="s">
        <v>106</v>
      </c>
      <c r="D9" t="s">
        <v>77</v>
      </c>
      <c r="F9" t="s">
        <v>104</v>
      </c>
      <c r="G9" t="s">
        <v>76</v>
      </c>
      <c r="H9" t="s">
        <v>68</v>
      </c>
      <c r="I9">
        <v>1</v>
      </c>
      <c r="K9" s="17">
        <f>config!D7*1000</f>
        <v>37000</v>
      </c>
      <c r="L9" t="s">
        <v>126</v>
      </c>
    </row>
    <row r="10" spans="1:12" x14ac:dyDescent="0.35">
      <c r="C10" t="s">
        <v>78</v>
      </c>
      <c r="D10" t="s">
        <v>77</v>
      </c>
      <c r="E10" t="s">
        <v>81</v>
      </c>
      <c r="F10" t="s">
        <v>104</v>
      </c>
      <c r="J10">
        <v>-1</v>
      </c>
      <c r="K10" s="17"/>
    </row>
    <row r="11" spans="1:12" x14ac:dyDescent="0.35">
      <c r="B11" t="s">
        <v>114</v>
      </c>
      <c r="C11" t="s">
        <v>115</v>
      </c>
      <c r="D11" t="s">
        <v>77</v>
      </c>
      <c r="F11" t="s">
        <v>108</v>
      </c>
      <c r="G11" t="s">
        <v>76</v>
      </c>
      <c r="H11" t="s">
        <v>68</v>
      </c>
      <c r="I11">
        <v>1</v>
      </c>
      <c r="K11" s="17">
        <f>config!C8*1000</f>
        <v>29000</v>
      </c>
      <c r="L11" t="s">
        <v>127</v>
      </c>
    </row>
    <row r="12" spans="1:12" x14ac:dyDescent="0.35">
      <c r="B12" t="s">
        <v>121</v>
      </c>
      <c r="C12" t="s">
        <v>115</v>
      </c>
      <c r="D12" t="s">
        <v>77</v>
      </c>
      <c r="F12" t="s">
        <v>104</v>
      </c>
      <c r="G12" t="s">
        <v>76</v>
      </c>
      <c r="H12" t="s">
        <v>68</v>
      </c>
      <c r="I12">
        <v>1</v>
      </c>
      <c r="K12" s="17">
        <f>config!D8*1000</f>
        <v>23000</v>
      </c>
      <c r="L12" t="s">
        <v>128</v>
      </c>
    </row>
    <row r="13" spans="1:12" x14ac:dyDescent="0.35">
      <c r="B13" t="s">
        <v>118</v>
      </c>
      <c r="C13" t="s">
        <v>116</v>
      </c>
      <c r="D13" t="s">
        <v>77</v>
      </c>
      <c r="F13" t="s">
        <v>108</v>
      </c>
      <c r="G13" t="s">
        <v>76</v>
      </c>
      <c r="H13" t="s">
        <v>68</v>
      </c>
      <c r="I13">
        <v>1</v>
      </c>
      <c r="K13" s="17">
        <f>config!C9*1000</f>
        <v>7000</v>
      </c>
      <c r="L13" t="s">
        <v>129</v>
      </c>
    </row>
    <row r="14" spans="1:12" x14ac:dyDescent="0.35">
      <c r="B14" t="s">
        <v>122</v>
      </c>
      <c r="C14" t="s">
        <v>116</v>
      </c>
      <c r="D14" t="s">
        <v>77</v>
      </c>
      <c r="F14" t="s">
        <v>104</v>
      </c>
      <c r="G14" t="s">
        <v>76</v>
      </c>
      <c r="H14" t="s">
        <v>68</v>
      </c>
      <c r="I14">
        <v>1</v>
      </c>
      <c r="K14" s="17">
        <f>config!D9*1000</f>
        <v>5000</v>
      </c>
      <c r="L14" t="s">
        <v>130</v>
      </c>
    </row>
    <row r="15" spans="1:12" x14ac:dyDescent="0.35">
      <c r="B15" t="s">
        <v>119</v>
      </c>
      <c r="C15" t="s">
        <v>87</v>
      </c>
      <c r="D15" t="s">
        <v>77</v>
      </c>
      <c r="F15" t="s">
        <v>108</v>
      </c>
      <c r="G15" t="s">
        <v>76</v>
      </c>
      <c r="H15" t="s">
        <v>68</v>
      </c>
      <c r="I15">
        <v>1</v>
      </c>
      <c r="K15" s="17">
        <f>config!C6*1000</f>
        <v>40000</v>
      </c>
      <c r="L15" t="s">
        <v>131</v>
      </c>
    </row>
    <row r="16" spans="1:12" x14ac:dyDescent="0.35">
      <c r="B16" t="s">
        <v>123</v>
      </c>
      <c r="C16" t="s">
        <v>87</v>
      </c>
      <c r="D16" t="s">
        <v>77</v>
      </c>
      <c r="F16" t="s">
        <v>104</v>
      </c>
      <c r="G16" t="s">
        <v>76</v>
      </c>
      <c r="H16" t="s">
        <v>68</v>
      </c>
      <c r="I16">
        <v>1</v>
      </c>
      <c r="K16" s="17">
        <f>config!D6*1000</f>
        <v>20000</v>
      </c>
      <c r="L16" t="s">
        <v>132</v>
      </c>
    </row>
    <row r="17" spans="2:12" x14ac:dyDescent="0.35">
      <c r="B17" t="s">
        <v>120</v>
      </c>
      <c r="C17" t="s">
        <v>117</v>
      </c>
      <c r="D17" t="s">
        <v>77</v>
      </c>
      <c r="F17" t="s">
        <v>108</v>
      </c>
      <c r="G17" t="s">
        <v>76</v>
      </c>
      <c r="H17" t="s">
        <v>68</v>
      </c>
      <c r="I17">
        <v>1</v>
      </c>
      <c r="K17" s="17">
        <f>config!C10*1000</f>
        <v>30000</v>
      </c>
      <c r="L17" t="s">
        <v>133</v>
      </c>
    </row>
    <row r="18" spans="2:12" x14ac:dyDescent="0.35">
      <c r="B18" t="s">
        <v>124</v>
      </c>
      <c r="C18" t="s">
        <v>117</v>
      </c>
      <c r="D18" t="s">
        <v>77</v>
      </c>
      <c r="F18" t="s">
        <v>104</v>
      </c>
      <c r="G18" t="s">
        <v>76</v>
      </c>
      <c r="H18" t="s">
        <v>68</v>
      </c>
      <c r="I18">
        <v>1</v>
      </c>
      <c r="K18" s="17">
        <f>config!D10*1000</f>
        <v>24000</v>
      </c>
      <c r="L18" t="s">
        <v>134</v>
      </c>
    </row>
  </sheetData>
  <phoneticPr fontId="16" type="noConversion"/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H4"/>
  <sheetViews>
    <sheetView workbookViewId="0">
      <selection activeCell="L29" sqref="L29"/>
    </sheetView>
  </sheetViews>
  <sheetFormatPr defaultRowHeight="14.5" x14ac:dyDescent="0.35"/>
  <cols>
    <col min="2" max="2" width="10.1796875" bestFit="1" customWidth="1"/>
    <col min="4" max="4" width="13.7265625" bestFit="1" customWidth="1"/>
    <col min="5" max="5" width="5.1796875" bestFit="1" customWidth="1"/>
    <col min="6" max="6" width="10.1796875" bestFit="1" customWidth="1"/>
  </cols>
  <sheetData>
    <row r="2" spans="2:8" x14ac:dyDescent="0.35">
      <c r="B2" s="14" t="s">
        <v>82</v>
      </c>
    </row>
    <row r="3" spans="2:8" ht="15" thickBot="1" x14ac:dyDescent="0.4">
      <c r="B3" s="15" t="s">
        <v>83</v>
      </c>
      <c r="C3" s="15" t="s">
        <v>0</v>
      </c>
      <c r="D3" s="15" t="s">
        <v>84</v>
      </c>
      <c r="E3" s="15" t="s">
        <v>72</v>
      </c>
      <c r="F3" s="15" t="s">
        <v>62</v>
      </c>
      <c r="G3" s="16" t="str">
        <f>Regions!C3</f>
        <v>IE</v>
      </c>
      <c r="H3" s="16" t="str">
        <f>Regions!D3</f>
        <v>National</v>
      </c>
    </row>
    <row r="4" spans="2:8" x14ac:dyDescent="0.35">
      <c r="C4" s="8" t="s">
        <v>85</v>
      </c>
      <c r="D4" t="s">
        <v>86</v>
      </c>
      <c r="E4">
        <v>0</v>
      </c>
      <c r="F4" t="s">
        <v>87</v>
      </c>
      <c r="G4" s="17">
        <v>-1</v>
      </c>
      <c r="H4" s="17">
        <f>G4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Regions</vt:lpstr>
      <vt:lpstr>config</vt:lpstr>
      <vt:lpstr>single</vt:lpstr>
      <vt:lpstr>multi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2026-03-11T13:37:01Z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220775842666625</vt:r8>
  </property>
</Properties>
</file>