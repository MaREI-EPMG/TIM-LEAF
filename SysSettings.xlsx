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"/>
    </mc:Choice>
  </mc:AlternateContent>
  <xr:revisionPtr revIDLastSave="0" documentId="13_ncr:1_{7F8EB4EE-A3D7-4897-AE5E-07DE283C3877}" xr6:coauthVersionLast="47" xr6:coauthVersionMax="47" xr10:uidLastSave="{00000000-0000-0000-0000-000000000000}"/>
  <bookViews>
    <workbookView xWindow="15120" yWindow="-16310" windowWidth="29020" windowHeight="15700" firstSheet="3" activeTab="3" xr2:uid="{00000000-000D-0000-FFFF-FFFF00000000}"/>
  </bookViews>
  <sheets>
    <sheet name="Cover" sheetId="28" r:id="rId1"/>
    <sheet name="Regions" sheetId="27" r:id="rId2"/>
    <sheet name="Region Definition" sheetId="20" r:id="rId3"/>
    <sheet name="TimePeriods" sheetId="24" r:id="rId4"/>
    <sheet name="Import Settings" sheetId="17" r:id="rId5"/>
    <sheet name="Interpol_Extrapol_Defaults" sheetId="14" r:id="rId6"/>
    <sheet name="Constants" sheetId="25" r:id="rId7"/>
    <sheet name="Defaults" sheetId="26" r:id="rId8"/>
    <sheet name="CPI" sheetId="23" r:id="rId9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24" l="1"/>
  <c r="Q13" i="24" s="1"/>
  <c r="R13" i="24" s="1"/>
  <c r="C27" i="25"/>
  <c r="B25" i="26" s="1"/>
  <c r="G27" i="25"/>
  <c r="D19" i="23"/>
  <c r="C26" i="25"/>
  <c r="B24" i="26" s="1"/>
  <c r="C25" i="25"/>
  <c r="B23" i="26" s="1"/>
  <c r="C9" i="25"/>
  <c r="B7" i="26" s="1"/>
  <c r="C10" i="25"/>
  <c r="B8" i="26" s="1"/>
  <c r="C11" i="25"/>
  <c r="B9" i="26" s="1"/>
  <c r="C12" i="25"/>
  <c r="C13" i="25"/>
  <c r="C14" i="25"/>
  <c r="B12" i="26" s="1"/>
  <c r="C15" i="25"/>
  <c r="B13" i="26" s="1"/>
  <c r="C16" i="25"/>
  <c r="B14" i="26" s="1"/>
  <c r="C17" i="25"/>
  <c r="B15" i="26" s="1"/>
  <c r="C18" i="25"/>
  <c r="B16" i="26" s="1"/>
  <c r="C19" i="25"/>
  <c r="B17" i="26" s="1"/>
  <c r="C20" i="25"/>
  <c r="C21" i="25"/>
  <c r="C22" i="25"/>
  <c r="C23" i="25"/>
  <c r="B21" i="26" s="1"/>
  <c r="C24" i="25"/>
  <c r="C8" i="25"/>
  <c r="B6" i="26" s="1"/>
  <c r="C7" i="25"/>
  <c r="B5" i="26" s="1"/>
  <c r="B11" i="26"/>
  <c r="B19" i="26"/>
  <c r="B10" i="26"/>
  <c r="B20" i="26"/>
  <c r="B22" i="26"/>
  <c r="B18" i="26"/>
  <c r="D4" i="23"/>
  <c r="D5" i="23" s="1"/>
  <c r="D6" i="23" s="1"/>
  <c r="D7" i="23" s="1"/>
  <c r="D8" i="23" s="1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20" i="23" s="1"/>
  <c r="D21" i="23" s="1"/>
  <c r="AC7" i="27"/>
  <c r="Z7" i="27"/>
  <c r="X7" i="27"/>
  <c r="W7" i="27"/>
  <c r="U7" i="27"/>
  <c r="R7" i="27"/>
  <c r="P7" i="27"/>
  <c r="O7" i="27"/>
  <c r="M7" i="27"/>
  <c r="J7" i="27"/>
  <c r="H7" i="27"/>
  <c r="G7" i="27"/>
  <c r="E7" i="27"/>
  <c r="C7" i="27"/>
  <c r="C6" i="27"/>
  <c r="AD5" i="27"/>
  <c r="AC5" i="27"/>
  <c r="AC3" i="27" s="1" a="1"/>
  <c r="AC3" i="27" s="1"/>
  <c r="C31" i="20" s="1"/>
  <c r="AB5" i="27"/>
  <c r="AA7" i="27" s="1"/>
  <c r="AA5" i="27"/>
  <c r="AA3" i="27" s="1" a="1"/>
  <c r="AA3" i="27" s="1"/>
  <c r="C29" i="20" s="1"/>
  <c r="Z5" i="27"/>
  <c r="Y7" i="27" s="1"/>
  <c r="Y5" i="27"/>
  <c r="Y3" i="27" s="1" a="1"/>
  <c r="Y3" i="27" s="1"/>
  <c r="C27" i="20" s="1"/>
  <c r="X5" i="27"/>
  <c r="W5" i="27"/>
  <c r="W3" i="27" s="1" a="1"/>
  <c r="W3" i="27" s="1"/>
  <c r="C25" i="20" s="1"/>
  <c r="V5" i="27"/>
  <c r="U5" i="27"/>
  <c r="U3" i="27" s="1" a="1"/>
  <c r="U3" i="27" s="1"/>
  <c r="C23" i="20" s="1"/>
  <c r="T5" i="27"/>
  <c r="S7" i="27" s="1"/>
  <c r="S5" i="27"/>
  <c r="S3" i="27" s="1" a="1"/>
  <c r="S3" i="27" s="1"/>
  <c r="C21" i="20" s="1"/>
  <c r="R5" i="27"/>
  <c r="Q7" i="27" s="1"/>
  <c r="Q5" i="27"/>
  <c r="Q3" i="27" s="1" a="1"/>
  <c r="Q3" i="27" s="1"/>
  <c r="C19" i="20" s="1"/>
  <c r="P5" i="27"/>
  <c r="O5" i="27"/>
  <c r="O3" i="27" s="1" a="1"/>
  <c r="O3" i="27" s="1"/>
  <c r="C17" i="20" s="1"/>
  <c r="N5" i="27"/>
  <c r="M5" i="27"/>
  <c r="M3" i="27" s="1" a="1"/>
  <c r="M3" i="27" s="1"/>
  <c r="C15" i="20" s="1"/>
  <c r="L5" i="27"/>
  <c r="K7" i="27" s="1"/>
  <c r="K5" i="27"/>
  <c r="K3" i="27" s="1" a="1"/>
  <c r="K3" i="27" s="1"/>
  <c r="C13" i="20" s="1"/>
  <c r="J5" i="27"/>
  <c r="I7" i="27" s="1"/>
  <c r="I5" i="27"/>
  <c r="I3" i="27" s="1" a="1"/>
  <c r="I3" i="27" s="1"/>
  <c r="C11" i="20" s="1"/>
  <c r="H5" i="27"/>
  <c r="G5" i="27"/>
  <c r="G3" i="27" s="1" a="1"/>
  <c r="G3" i="27" s="1"/>
  <c r="C9" i="20" s="1"/>
  <c r="F5" i="27"/>
  <c r="E5" i="27"/>
  <c r="E3" i="27" s="1" a="1"/>
  <c r="E3" i="27" s="1"/>
  <c r="C7" i="20" s="1"/>
  <c r="AD3" i="27" a="1"/>
  <c r="AD3" i="27"/>
  <c r="C32" i="20" s="1"/>
  <c r="X3" i="27" a="1"/>
  <c r="X3" i="27"/>
  <c r="C26" i="20" s="1"/>
  <c r="V3" i="27" a="1"/>
  <c r="V3" i="27"/>
  <c r="C24" i="20" s="1"/>
  <c r="T3" i="27" a="1"/>
  <c r="T3" i="27"/>
  <c r="C22" i="20" s="1"/>
  <c r="P3" i="27" a="1"/>
  <c r="P3" i="27"/>
  <c r="C18" i="20" s="1"/>
  <c r="N3" i="27" a="1"/>
  <c r="N3" i="27"/>
  <c r="C16" i="20" s="1"/>
  <c r="L3" i="27" a="1"/>
  <c r="L3" i="27"/>
  <c r="C14" i="20" s="1"/>
  <c r="H3" i="27" a="1"/>
  <c r="H3" i="27"/>
  <c r="C10" i="20" s="1"/>
  <c r="F3" i="27" a="1"/>
  <c r="F3" i="27"/>
  <c r="C8" i="20" s="1"/>
  <c r="D3" i="27" a="1"/>
  <c r="D3" i="27"/>
  <c r="C6" i="20" s="1"/>
  <c r="C3" i="27" a="1"/>
  <c r="C3" i="27"/>
  <c r="C5" i="20" s="1"/>
  <c r="P14" i="24" l="1"/>
  <c r="P15" i="24" s="1"/>
  <c r="P16" i="24" s="1"/>
  <c r="P17" i="24" s="1"/>
  <c r="Q14" i="24"/>
  <c r="Q15" i="24" s="1"/>
  <c r="Q16" i="24" s="1"/>
  <c r="Q17" i="24" s="1"/>
  <c r="Q18" i="24" s="1"/>
  <c r="Q19" i="24" s="1"/>
  <c r="Q20" i="24" s="1"/>
  <c r="Q21" i="24" s="1"/>
  <c r="R14" i="24"/>
  <c r="R15" i="24" s="1"/>
  <c r="R16" i="24" s="1"/>
  <c r="R17" i="24" s="1"/>
  <c r="R18" i="24" s="1"/>
  <c r="R19" i="24" s="1"/>
  <c r="R20" i="24" s="1"/>
  <c r="R21" i="24" s="1"/>
  <c r="R22" i="24" s="1"/>
  <c r="R23" i="24" s="1"/>
  <c r="R24" i="24" s="1"/>
  <c r="S13" i="24"/>
  <c r="D22" i="23"/>
  <c r="D23" i="23" s="1"/>
  <c r="G23" i="25"/>
  <c r="G19" i="25"/>
  <c r="G15" i="25"/>
  <c r="G11" i="25"/>
  <c r="G7" i="25"/>
  <c r="G22" i="25"/>
  <c r="G18" i="25"/>
  <c r="G14" i="25"/>
  <c r="G10" i="25"/>
  <c r="G21" i="25"/>
  <c r="G17" i="25"/>
  <c r="G13" i="25"/>
  <c r="G9" i="25"/>
  <c r="G24" i="25"/>
  <c r="G20" i="25"/>
  <c r="G16" i="25"/>
  <c r="G12" i="25"/>
  <c r="G8" i="25"/>
  <c r="D7" i="27"/>
  <c r="L7" i="27"/>
  <c r="T7" i="27"/>
  <c r="AB7" i="27"/>
  <c r="F7" i="27"/>
  <c r="N7" i="27"/>
  <c r="V7" i="27"/>
  <c r="J3" i="27" a="1"/>
  <c r="J3" i="27" s="1"/>
  <c r="C12" i="20" s="1"/>
  <c r="R3" i="27" a="1"/>
  <c r="R3" i="27" s="1"/>
  <c r="C20" i="20" s="1"/>
  <c r="Z3" i="27" a="1"/>
  <c r="Z3" i="27" s="1"/>
  <c r="C28" i="20" s="1"/>
  <c r="AB3" i="27" a="1"/>
  <c r="AB3" i="27" s="1"/>
  <c r="C30" i="20" s="1"/>
  <c r="S14" i="24" l="1"/>
  <c r="S15" i="24" s="1"/>
  <c r="S16" i="24" s="1"/>
  <c r="S17" i="24" s="1"/>
  <c r="S18" i="24" s="1"/>
  <c r="S19" i="24" s="1"/>
  <c r="S20" i="24" s="1"/>
  <c r="S21" i="24" s="1"/>
  <c r="S22" i="24" s="1"/>
  <c r="S23" i="24" s="1"/>
  <c r="S24" i="24" s="1"/>
  <c r="S25" i="24" s="1"/>
  <c r="T13" i="24"/>
  <c r="G26" i="25"/>
  <c r="D24" i="23"/>
  <c r="G25" i="25"/>
  <c r="T14" i="24" l="1"/>
  <c r="T15" i="24" s="1"/>
  <c r="T16" i="24" s="1"/>
  <c r="T17" i="24" s="1"/>
  <c r="T18" i="24" s="1"/>
  <c r="T19" i="24" s="1"/>
  <c r="T20" i="24" s="1"/>
  <c r="T21" i="24" s="1"/>
  <c r="T22" i="24" s="1"/>
  <c r="T23" i="24" s="1"/>
  <c r="T24" i="24" s="1"/>
  <c r="T25" i="24" s="1"/>
  <c r="T26" i="24" s="1"/>
  <c r="T27" i="24" s="1"/>
  <c r="U13" i="24"/>
  <c r="V13" i="24" l="1"/>
  <c r="U14" i="24"/>
  <c r="U15" i="24" s="1"/>
  <c r="U16" i="24" s="1"/>
  <c r="U17" i="24" s="1"/>
  <c r="U18" i="24" s="1"/>
  <c r="U19" i="24" s="1"/>
  <c r="U20" i="24" s="1"/>
  <c r="U21" i="24" s="1"/>
  <c r="U22" i="24" s="1"/>
  <c r="U23" i="24" s="1"/>
  <c r="U24" i="24" s="1"/>
  <c r="U25" i="24" s="1"/>
  <c r="U26" i="24" s="1"/>
  <c r="U27" i="24" s="1"/>
  <c r="U28" i="24" s="1"/>
  <c r="U29" i="24" s="1"/>
  <c r="U30" i="24" s="1"/>
  <c r="U31" i="24" s="1"/>
  <c r="U32" i="24" s="1"/>
  <c r="U33" i="24" s="1"/>
  <c r="U34" i="24" s="1"/>
  <c r="U35" i="24" s="1"/>
  <c r="W13" i="24" l="1"/>
  <c r="V14" i="24"/>
  <c r="V15" i="24" s="1"/>
  <c r="V16" i="24" s="1"/>
  <c r="V17" i="24" s="1"/>
  <c r="V18" i="24" s="1"/>
  <c r="V19" i="24" s="1"/>
  <c r="V20" i="24" s="1"/>
  <c r="V21" i="24" s="1"/>
  <c r="V22" i="24" s="1"/>
  <c r="V23" i="24" s="1"/>
  <c r="V24" i="24" s="1"/>
  <c r="V25" i="24" s="1"/>
  <c r="V26" i="24" s="1"/>
  <c r="V27" i="24" s="1"/>
  <c r="V28" i="24" s="1"/>
  <c r="V29" i="24" s="1"/>
  <c r="V30" i="24" s="1"/>
  <c r="V31" i="24" s="1"/>
  <c r="V32" i="24" s="1"/>
  <c r="V33" i="24" s="1"/>
  <c r="V34" i="24" s="1"/>
  <c r="V35" i="24" s="1"/>
  <c r="V36" i="24" s="1"/>
  <c r="V37" i="24" s="1"/>
  <c r="V38" i="24" s="1"/>
  <c r="V39" i="24" s="1"/>
  <c r="V40" i="24" s="1"/>
  <c r="V41" i="24" s="1"/>
  <c r="V42" i="24" s="1"/>
  <c r="V43" i="24" s="1"/>
  <c r="V44" i="24" s="1"/>
  <c r="V45" i="24" s="1"/>
  <c r="W14" i="24" l="1"/>
  <c r="W15" i="24" s="1"/>
  <c r="W16" i="24" s="1"/>
  <c r="W17" i="24" s="1"/>
  <c r="W18" i="24" s="1"/>
  <c r="W19" i="24" s="1"/>
  <c r="W20" i="24" s="1"/>
  <c r="W21" i="24" s="1"/>
  <c r="W22" i="24" s="1"/>
  <c r="W23" i="24" s="1"/>
  <c r="W24" i="24" s="1"/>
  <c r="W25" i="24" s="1"/>
  <c r="W26" i="24" s="1"/>
  <c r="W27" i="24" s="1"/>
  <c r="W28" i="24" s="1"/>
  <c r="W29" i="24" s="1"/>
  <c r="W30" i="24" s="1"/>
  <c r="W31" i="24" s="1"/>
  <c r="W32" i="24" s="1"/>
  <c r="W33" i="24" s="1"/>
  <c r="W34" i="24" s="1"/>
  <c r="W35" i="24" s="1"/>
  <c r="W36" i="24" s="1"/>
  <c r="W37" i="24" s="1"/>
  <c r="W38" i="24" s="1"/>
  <c r="W39" i="24" s="1"/>
  <c r="W40" i="24" s="1"/>
  <c r="W41" i="24" s="1"/>
  <c r="W42" i="24" s="1"/>
  <c r="W43" i="24" s="1"/>
  <c r="W44" i="24" s="1"/>
  <c r="W45" i="24" s="1"/>
  <c r="X13" i="24"/>
  <c r="X14" i="24" l="1"/>
  <c r="X15" i="24" s="1"/>
  <c r="X16" i="24" s="1"/>
  <c r="X17" i="24" s="1"/>
  <c r="X18" i="24" s="1"/>
  <c r="X19" i="24" s="1"/>
  <c r="X20" i="24" s="1"/>
  <c r="Y13" i="24"/>
  <c r="Y14" i="24" s="1"/>
  <c r="Y15" i="24" s="1"/>
  <c r="Y16" i="24" s="1"/>
  <c r="Y17" i="24" s="1"/>
  <c r="Y18" i="24" s="1"/>
  <c r="Y19" i="24" s="1"/>
  <c r="Y20" i="24" s="1"/>
  <c r="Y21" i="24" s="1"/>
  <c r="Y22" i="24" s="1"/>
  <c r="Y23" i="24" s="1"/>
  <c r="Y24" i="24" s="1"/>
  <c r="Y25" i="24" s="1"/>
  <c r="Y26" i="24" s="1"/>
  <c r="Y27" i="24" s="1"/>
  <c r="Y28" i="24" s="1"/>
  <c r="Y29" i="24" s="1"/>
  <c r="Y30" i="24" s="1"/>
  <c r="Y31" i="24" s="1"/>
  <c r="Y32" i="24" s="1"/>
  <c r="Y33" i="24" s="1"/>
  <c r="Y34" i="24" s="1"/>
  <c r="Y35" i="24" s="1"/>
  <c r="Y36" i="24" s="1"/>
  <c r="W46" i="24"/>
  <c r="W47" i="24" s="1"/>
  <c r="W48" i="24" s="1"/>
  <c r="W49" i="24" s="1"/>
  <c r="W50" i="24" s="1"/>
  <c r="W51" i="24" s="1"/>
  <c r="X21" i="24" l="1"/>
  <c r="X22" i="24" s="1"/>
  <c r="X23" i="24" s="1"/>
  <c r="X24" i="24" s="1"/>
  <c r="X25" i="24" s="1"/>
  <c r="X26" i="24" s="1"/>
  <c r="X27" i="24" s="1"/>
  <c r="X28" i="24" s="1"/>
</calcChain>
</file>

<file path=xl/sharedStrings.xml><?xml version="1.0" encoding="utf-8"?>
<sst xmlns="http://schemas.openxmlformats.org/spreadsheetml/2006/main" count="281" uniqueCount="173">
  <si>
    <t>~TFM_UPD</t>
  </si>
  <si>
    <t>IMP*Z</t>
  </si>
  <si>
    <t>AllRegions</t>
  </si>
  <si>
    <t>Other_Indexes</t>
  </si>
  <si>
    <t>ACTCOST</t>
  </si>
  <si>
    <t>IMPDEMZ</t>
  </si>
  <si>
    <t>~BookRegions_Map</t>
  </si>
  <si>
    <t>~TimePeriods</t>
  </si>
  <si>
    <t>BookName</t>
  </si>
  <si>
    <t>Region</t>
  </si>
  <si>
    <t>IRE</t>
  </si>
  <si>
    <t>~TFM_INS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</si>
  <si>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</si>
  <si>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</si>
  <si>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</si>
  <si>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</si>
  <si>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</si>
  <si>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</si>
  <si>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</si>
  <si>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</si>
  <si>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</si>
  <si>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</si>
  <si>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</si>
  <si>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</si>
  <si>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~ImpSettings</t>
  </si>
  <si>
    <t>Option</t>
  </si>
  <si>
    <t>Value</t>
  </si>
  <si>
    <t>Check #DIV/0 and #REF errors in Templates</t>
  </si>
  <si>
    <t>Create Dummy Imports for Energy and Material Commodities</t>
  </si>
  <si>
    <t>Create Dummy Imports for Demands</t>
  </si>
  <si>
    <t>Generate Vintage Bounds</t>
  </si>
  <si>
    <t>~StartYear</t>
  </si>
  <si>
    <t>~ActivePDef</t>
  </si>
  <si>
    <t>IE</t>
  </si>
  <si>
    <t>Euro inflation rate</t>
  </si>
  <si>
    <t>€ CPI</t>
  </si>
  <si>
    <t>Source: Eurostat</t>
  </si>
  <si>
    <t>P15</t>
  </si>
  <si>
    <t>CURR</t>
  </si>
  <si>
    <t>G_DYEAR</t>
  </si>
  <si>
    <t>G_DRATE</t>
  </si>
  <si>
    <t>G_CUREX</t>
  </si>
  <si>
    <t>* Discount rates, Timeslices, Exchange rates</t>
  </si>
  <si>
    <t>~Currencies</t>
  </si>
  <si>
    <t>Currency</t>
  </si>
  <si>
    <t>TRA</t>
  </si>
  <si>
    <t>Process_ActUnit</t>
  </si>
  <si>
    <t>Process_CapUnit</t>
  </si>
  <si>
    <t>Commodity_Unit</t>
  </si>
  <si>
    <t>DumVarforUC</t>
  </si>
  <si>
    <t>REG1</t>
  </si>
  <si>
    <t>REG2</t>
  </si>
  <si>
    <t>Dummy Imp Prices</t>
  </si>
  <si>
    <t>AGR</t>
  </si>
  <si>
    <t>SUP</t>
  </si>
  <si>
    <t>IND</t>
  </si>
  <si>
    <t>RSD</t>
  </si>
  <si>
    <t>PJ</t>
  </si>
  <si>
    <t>GW</t>
  </si>
  <si>
    <t>P12</t>
  </si>
  <si>
    <t>Development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</si>
  <si>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</si>
  <si>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</si>
  <si>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</si>
  <si>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</si>
  <si>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</si>
  <si>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</si>
  <si>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</si>
  <si>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</si>
  <si>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</si>
  <si>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</si>
  <si>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</si>
  <si>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</si>
  <si>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</si>
  <si>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</si>
  <si>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</si>
  <si>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</si>
  <si>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</si>
  <si>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</si>
  <si>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</si>
  <si>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</si>
  <si>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</si>
  <si>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</si>
  <si>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</si>
  <si>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</si>
  <si>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</si>
  <si>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</si>
  <si>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</si>
  <si>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</si>
  <si>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</si>
  <si>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</si>
  <si>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</si>
  <si>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</si>
  <si>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</si>
  <si>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</si>
  <si>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</si>
  <si>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</si>
  <si>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</si>
  <si>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</si>
  <si>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</si>
  <si>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</si>
  <si>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</si>
  <si>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</si>
  <si>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</si>
  <si>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</si>
  <si>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</si>
  <si>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</si>
  <si>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</si>
  <si>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</si>
  <si>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</si>
  <si>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</si>
  <si>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</si>
  <si>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</si>
  <si>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</si>
  <si>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</si>
  <si>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</si>
  <si>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</si>
  <si>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</si>
  <si>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</si>
  <si>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DefUnits</t>
  </si>
  <si>
    <t>~UnitConversion</t>
  </si>
  <si>
    <t>from_unit</t>
  </si>
  <si>
    <t>to_unit</t>
  </si>
  <si>
    <t>multiplier</t>
  </si>
  <si>
    <t>Billion Kwh</t>
  </si>
  <si>
    <t>Mt</t>
  </si>
  <si>
    <t>Kt</t>
  </si>
  <si>
    <t>ktoe</t>
  </si>
  <si>
    <t>mtoe</t>
  </si>
  <si>
    <t>Gwh</t>
  </si>
  <si>
    <t>Gt</t>
  </si>
  <si>
    <t>EJ</t>
  </si>
  <si>
    <t>Twh</t>
  </si>
  <si>
    <t>BEuro</t>
  </si>
  <si>
    <t>MEuro</t>
  </si>
  <si>
    <t>P33</t>
  </si>
  <si>
    <t>P13</t>
  </si>
  <si>
    <t>P5</t>
  </si>
  <si>
    <t>P9</t>
  </si>
  <si>
    <t>P23</t>
  </si>
  <si>
    <t>SRV</t>
  </si>
  <si>
    <t>PWR</t>
  </si>
  <si>
    <t>P39</t>
  </si>
  <si>
    <t>PJa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</si>
  <si>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</si>
  <si>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</si>
  <si>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</si>
  <si>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</si>
  <si>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</si>
  <si>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</si>
  <si>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</si>
  <si>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</si>
  <si>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</si>
  <si>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</si>
  <si>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</si>
  <si>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</si>
  <si>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System Settings</t>
  </si>
  <si>
    <t>All sectors</t>
  </si>
  <si>
    <t>Specifies various settings, including regions, timeslices and periods</t>
  </si>
  <si>
    <t>Olexandr Balyk (UCC, olexandr.balyk@ucc.ie)</t>
  </si>
  <si>
    <t>James Glynn (UCC, james.glynn@ucc.ie)</t>
  </si>
  <si>
    <t>MEUR2018</t>
  </si>
  <si>
    <t>IND*</t>
  </si>
  <si>
    <t>*HTH,*LTH,*MTH,*HET</t>
  </si>
  <si>
    <t>ACT_BND</t>
  </si>
  <si>
    <t>*</t>
  </si>
  <si>
    <t>*FLO_BND</t>
  </si>
  <si>
    <t>P16</t>
  </si>
  <si>
    <t>Bakytzhan Suleimenov (UCC, bsuleimenov@ucc.ie)</t>
  </si>
  <si>
    <t>P24</t>
  </si>
  <si>
    <t>P53</t>
  </si>
  <si>
    <t>IMP*Z,-IMPDUCZ</t>
  </si>
  <si>
    <t>P54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</si>
</sst>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indexed="12"/>
      <name val="Arial"/>
      <family val="2"/>
    </font>
    <font>
      <sz val="10"/>
      <color rgb="FF000000"/>
      <name val="Arial"/>
      <family val="2"/>
    </font>
    <font>
      <b/>
      <sz val="14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indexed="5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8" fillId="0" borderId="0"/>
    <xf numFmtId="0" fontId="1" fillId="0" borderId="0"/>
    <xf numFmtId="0" fontId="20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3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4" fillId="0" borderId="0" xfId="0" applyFont="1"/>
    <xf numFmtId="0" fontId="4" fillId="4" borderId="0" xfId="0" applyFont="1" applyFill="1"/>
    <xf numFmtId="0" fontId="5" fillId="5" borderId="2" xfId="0" applyFont="1" applyFill="1" applyBorder="1"/>
    <xf numFmtId="0" fontId="6" fillId="0" borderId="0" xfId="0" applyFont="1"/>
    <xf numFmtId="0" fontId="7" fillId="0" borderId="0" xfId="0" applyFont="1"/>
    <xf numFmtId="0" fontId="2" fillId="6" borderId="0" xfId="0" applyFont="1" applyFill="1"/>
    <xf numFmtId="0" fontId="8" fillId="7" borderId="4" xfId="0" applyFont="1" applyFill="1" applyBorder="1"/>
    <xf numFmtId="0" fontId="9" fillId="0" borderId="0" xfId="0" applyFont="1"/>
    <xf numFmtId="0" fontId="8" fillId="8" borderId="6" xfId="0" applyFont="1" applyFill="1" applyBorder="1"/>
    <xf numFmtId="0" fontId="8" fillId="8" borderId="7" xfId="0" applyFont="1" applyFill="1" applyBorder="1"/>
    <xf numFmtId="0" fontId="10" fillId="6" borderId="0" xfId="0" applyFont="1" applyFill="1"/>
    <xf numFmtId="0" fontId="11" fillId="9" borderId="0" xfId="0" applyFont="1" applyFill="1"/>
    <xf numFmtId="0" fontId="12" fillId="9" borderId="0" xfId="0" applyFont="1" applyFill="1"/>
    <xf numFmtId="0" fontId="13" fillId="5" borderId="2" xfId="0" applyFont="1" applyFill="1" applyBorder="1"/>
    <xf numFmtId="0" fontId="14" fillId="5" borderId="2" xfId="0" applyFont="1" applyFill="1" applyBorder="1"/>
    <xf numFmtId="0" fontId="15" fillId="0" borderId="0" xfId="0" applyFont="1"/>
    <xf numFmtId="0" fontId="13" fillId="0" borderId="0" xfId="0" applyFont="1"/>
    <xf numFmtId="0" fontId="14" fillId="0" borderId="0" xfId="0" applyFont="1"/>
    <xf numFmtId="2" fontId="4" fillId="0" borderId="0" xfId="0" applyNumberFormat="1" applyFont="1"/>
    <xf numFmtId="0" fontId="4" fillId="0" borderId="8" xfId="0" applyFont="1" applyBorder="1"/>
    <xf numFmtId="2" fontId="4" fillId="0" borderId="8" xfId="0" applyNumberFormat="1" applyFont="1" applyBorder="1"/>
    <xf numFmtId="0" fontId="16" fillId="0" borderId="9" xfId="0" applyFont="1" applyBorder="1" applyAlignment="1">
      <alignment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10" fontId="16" fillId="0" borderId="9" xfId="0" applyNumberFormat="1" applyFont="1" applyBorder="1" applyAlignment="1">
      <alignment horizontal="center" vertical="center"/>
    </xf>
    <xf numFmtId="164" fontId="16" fillId="0" borderId="9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4" xfId="0" applyFont="1" applyBorder="1" applyAlignment="1">
      <alignment horizontal="left" vertical="center"/>
    </xf>
    <xf numFmtId="164" fontId="16" fillId="0" borderId="4" xfId="0" applyNumberFormat="1" applyFont="1" applyBorder="1" applyAlignment="1">
      <alignment horizontal="center" vertical="center"/>
    </xf>
    <xf numFmtId="10" fontId="16" fillId="0" borderId="4" xfId="0" applyNumberFormat="1" applyFont="1" applyBorder="1" applyAlignment="1">
      <alignment horizontal="center" vertical="center"/>
    </xf>
    <xf numFmtId="0" fontId="8" fillId="7" borderId="9" xfId="0" applyFont="1" applyFill="1" applyBorder="1"/>
    <xf numFmtId="0" fontId="1" fillId="10" borderId="0" xfId="1" applyFont="1" applyFill="1" applyAlignment="1">
      <alignment vertical="center"/>
    </xf>
    <xf numFmtId="0" fontId="1" fillId="11" borderId="0" xfId="1" applyFont="1" applyFill="1" applyAlignment="1">
      <alignment vertical="center"/>
    </xf>
    <xf numFmtId="0" fontId="1" fillId="0" borderId="0" xfId="2"/>
    <xf numFmtId="0" fontId="19" fillId="11" borderId="0" xfId="1" applyFont="1" applyFill="1" applyAlignment="1">
      <alignment vertical="center"/>
    </xf>
    <xf numFmtId="0" fontId="20" fillId="11" borderId="0" xfId="1" applyFont="1" applyFill="1" applyAlignment="1">
      <alignment vertical="center"/>
    </xf>
    <xf numFmtId="0" fontId="1" fillId="12" borderId="0" xfId="1" applyFont="1" applyFill="1" applyAlignment="1">
      <alignment vertical="center"/>
    </xf>
    <xf numFmtId="0" fontId="21" fillId="11" borderId="0" xfId="1" applyFont="1" applyFill="1" applyAlignment="1">
      <alignment vertical="center"/>
    </xf>
    <xf numFmtId="0" fontId="22" fillId="11" borderId="0" xfId="1" applyFont="1" applyFill="1" applyAlignment="1">
      <alignment vertical="center"/>
    </xf>
    <xf numFmtId="0" fontId="23" fillId="10" borderId="0" xfId="1" applyFont="1" applyFill="1" applyAlignment="1">
      <alignment vertical="center"/>
    </xf>
    <xf numFmtId="0" fontId="24" fillId="11" borderId="0" xfId="1" applyFont="1" applyFill="1" applyAlignment="1">
      <alignment vertical="center"/>
    </xf>
    <xf numFmtId="0" fontId="25" fillId="11" borderId="0" xfId="1" applyFont="1" applyFill="1" applyAlignment="1">
      <alignment vertical="center"/>
    </xf>
    <xf numFmtId="0" fontId="24" fillId="10" borderId="0" xfId="1" applyFont="1" applyFill="1" applyAlignment="1">
      <alignment vertical="center"/>
    </xf>
    <xf numFmtId="164" fontId="24" fillId="10" borderId="0" xfId="1" applyNumberFormat="1" applyFont="1" applyFill="1" applyAlignment="1">
      <alignment horizontal="left" vertical="center"/>
    </xf>
    <xf numFmtId="0" fontId="26" fillId="11" borderId="0" xfId="1" applyFont="1" applyFill="1" applyAlignment="1">
      <alignment vertical="center"/>
    </xf>
    <xf numFmtId="0" fontId="14" fillId="10" borderId="0" xfId="1" applyFont="1" applyFill="1" applyAlignment="1">
      <alignment vertical="center"/>
    </xf>
    <xf numFmtId="0" fontId="20" fillId="10" borderId="0" xfId="3" applyFill="1" applyAlignment="1">
      <alignment vertical="center"/>
    </xf>
    <xf numFmtId="0" fontId="0" fillId="13" borderId="0" xfId="0" applyFill="1"/>
    <xf numFmtId="0" fontId="24" fillId="10" borderId="0" xfId="1" applyFont="1" applyFill="1" applyAlignment="1">
      <alignment vertical="center"/>
    </xf>
    <xf numFmtId="0" fontId="19" fillId="10" borderId="0" xfId="1" applyFont="1" applyFill="1" applyAlignment="1">
      <alignment horizontal="center" vertical="center"/>
    </xf>
    <xf numFmtId="0" fontId="20" fillId="10" borderId="0" xfId="3" applyFill="1" applyAlignment="1">
      <alignment vertical="center"/>
    </xf>
    <xf numFmtId="0" fontId="8" fillId="7" borderId="0" xfId="0" applyFont="1" applyFill="1" applyBorder="1"/>
  </cellXfs>
  <cellStyles count="4">
    <cellStyle name="Hyperlink 2" xfId="3" xr:uid="{98700215-67AF-41D1-9F9B-98379AE9DCA7}"/>
    <cellStyle name="Normal" xfId="0" builtinId="0"/>
    <cellStyle name="Normal 2" xfId="1" xr:uid="{170890D9-89B9-41D3-B2AA-EB17F5F38398}"/>
    <cellStyle name="Normal 3" xfId="2" xr:uid="{1CE84045-16CC-48AC-9FA0-1B9F651583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Drop" dropStyle="combo" dx="22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28575</xdr:colOff>
      <xdr:row>3</xdr:row>
      <xdr:rowOff>0</xdr:rowOff>
    </xdr:to>
    <xdr:sp macro="" textlink="">
      <xdr:nvSpPr>
        <xdr:cNvPr id="8193" name="Drop Down 1" hidden="1">
          <a:extLst>
            <a:ext uri="{63B3BB69-23CF-44E3-9099-C40C66FF867C}">
              <a14:compatExt xmlns:a14="http://schemas.microsoft.com/office/drawing/2010/main" spid="_x0000_s8193"/>
            </a:ext>
            <a:ext uri="{FF2B5EF4-FFF2-40B4-BE49-F238E27FC236}">
              <a16:creationId xmlns:a16="http://schemas.microsoft.com/office/drawing/2014/main" id="{00000000-0008-0000-0100-0000012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31750</xdr:colOff>
          <xdr:row>3</xdr:row>
          <xdr:rowOff>0</xdr:rowOff>
        </xdr:to>
        <xdr:sp macro="" textlink="">
          <xdr:nvSpPr>
            <xdr:cNvPr id="2" name="Drop Dow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2</xdr:row>
      <xdr:rowOff>157163</xdr:rowOff>
    </xdr:from>
    <xdr:to>
      <xdr:col>9</xdr:col>
      <xdr:colOff>0</xdr:colOff>
      <xdr:row>10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100387" y="481013"/>
          <a:ext cx="3948113" cy="114776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~BookRegions_Map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define: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workbook name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(cells B5 and B6);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name must be the same for each base year template workbook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VT_REG1_&lt;sector&gt;_&lt;version&gt; (for REG1);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list of region names (cell E5,6,,...) maps the names used in the B-Y templates to the model regions.</a:t>
          </a:r>
        </a:p>
      </xdr:txBody>
    </xdr:sp>
    <xdr:clientData/>
  </xdr:twoCellAnchor>
  <xdr:twoCellAnchor editAs="absolute">
    <xdr:from>
      <xdr:col>4</xdr:col>
      <xdr:colOff>171450</xdr:colOff>
      <xdr:row>3</xdr:row>
      <xdr:rowOff>57150</xdr:rowOff>
    </xdr:from>
    <xdr:to>
      <xdr:col>6</xdr:col>
      <xdr:colOff>38100</xdr:colOff>
      <xdr:row>8</xdr:row>
      <xdr:rowOff>0</xdr:rowOff>
    </xdr:to>
    <xdr:sp macro="" textlink="">
      <xdr:nvSpPr>
        <xdr:cNvPr id="2050" name="Text Box 1026" hidden="1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 txBox="1">
          <a:spLocks noChangeArrowheads="1"/>
        </xdr:cNvSpPr>
      </xdr:nvSpPr>
      <xdr:spPr bwMode="auto">
        <a:xfrm>
          <a:off x="3267075" y="542925"/>
          <a:ext cx="1533525" cy="762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171450</xdr:colOff>
      <xdr:row>3</xdr:row>
      <xdr:rowOff>57150</xdr:rowOff>
    </xdr:from>
    <xdr:to>
      <xdr:col>8</xdr:col>
      <xdr:colOff>323850</xdr:colOff>
      <xdr:row>8</xdr:row>
      <xdr:rowOff>0</xdr:rowOff>
    </xdr:to>
    <xdr:sp macro="" textlink="">
      <xdr:nvSpPr>
        <xdr:cNvPr id="2052" name="Text Box 1028" hidden="1">
          <a:extLst>
            <a:ext uri="{FF2B5EF4-FFF2-40B4-BE49-F238E27FC236}">
              <a16:creationId xmlns:a16="http://schemas.microsoft.com/office/drawing/2014/main" id="{00000000-0008-0000-0200-000004080000}"/>
            </a:ext>
          </a:extLst>
        </xdr:cNvPr>
        <xdr:cNvSpPr txBox="1">
          <a:spLocks noChangeArrowheads="1"/>
        </xdr:cNvSpPr>
      </xdr:nvSpPr>
      <xdr:spPr bwMode="auto">
        <a:xfrm>
          <a:off x="4933950" y="542925"/>
          <a:ext cx="1676400" cy="762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171450</xdr:colOff>
      <xdr:row>4</xdr:row>
      <xdr:rowOff>57150</xdr:rowOff>
    </xdr:from>
    <xdr:to>
      <xdr:col>6</xdr:col>
      <xdr:colOff>38100</xdr:colOff>
      <xdr:row>9</xdr:row>
      <xdr:rowOff>0</xdr:rowOff>
    </xdr:to>
    <xdr:sp macro="" textlink="">
      <xdr:nvSpPr>
        <xdr:cNvPr id="2053" name="Text Box 1029" hidden="1">
          <a:extLst>
            <a:ext uri="{FF2B5EF4-FFF2-40B4-BE49-F238E27FC236}">
              <a16:creationId xmlns:a16="http://schemas.microsoft.com/office/drawing/2014/main" id="{00000000-0008-0000-0200-000005080000}"/>
            </a:ext>
          </a:extLst>
        </xdr:cNvPr>
        <xdr:cNvSpPr txBox="1">
          <a:spLocks noChangeArrowheads="1"/>
        </xdr:cNvSpPr>
      </xdr:nvSpPr>
      <xdr:spPr bwMode="auto">
        <a:xfrm>
          <a:off x="3267075" y="714375"/>
          <a:ext cx="1533525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171450</xdr:colOff>
      <xdr:row>4</xdr:row>
      <xdr:rowOff>57150</xdr:rowOff>
    </xdr:from>
    <xdr:to>
      <xdr:col>8</xdr:col>
      <xdr:colOff>323850</xdr:colOff>
      <xdr:row>9</xdr:row>
      <xdr:rowOff>0</xdr:rowOff>
    </xdr:to>
    <xdr:sp macro="" textlink="">
      <xdr:nvSpPr>
        <xdr:cNvPr id="2055" name="Text Box 1031" hidden="1">
          <a:extLst>
            <a:ext uri="{FF2B5EF4-FFF2-40B4-BE49-F238E27FC236}">
              <a16:creationId xmlns:a16="http://schemas.microsoft.com/office/drawing/2014/main" id="{00000000-0008-0000-0200-000007080000}"/>
            </a:ext>
          </a:extLst>
        </xdr:cNvPr>
        <xdr:cNvSpPr txBox="1">
          <a:spLocks noChangeArrowheads="1"/>
        </xdr:cNvSpPr>
      </xdr:nvSpPr>
      <xdr:spPr bwMode="auto">
        <a:xfrm>
          <a:off x="4933950" y="714375"/>
          <a:ext cx="16764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171450</xdr:colOff>
      <xdr:row>5</xdr:row>
      <xdr:rowOff>57150</xdr:rowOff>
    </xdr:from>
    <xdr:to>
      <xdr:col>6</xdr:col>
      <xdr:colOff>38100</xdr:colOff>
      <xdr:row>10</xdr:row>
      <xdr:rowOff>0</xdr:rowOff>
    </xdr:to>
    <xdr:sp macro="" textlink="">
      <xdr:nvSpPr>
        <xdr:cNvPr id="2056" name="Text Box 1032" hidden="1">
          <a:extLst>
            <a:ext uri="{FF2B5EF4-FFF2-40B4-BE49-F238E27FC236}">
              <a16:creationId xmlns:a16="http://schemas.microsoft.com/office/drawing/2014/main" id="{00000000-0008-0000-0200-000008080000}"/>
            </a:ext>
          </a:extLst>
        </xdr:cNvPr>
        <xdr:cNvSpPr txBox="1">
          <a:spLocks noChangeArrowheads="1"/>
        </xdr:cNvSpPr>
      </xdr:nvSpPr>
      <xdr:spPr bwMode="auto">
        <a:xfrm>
          <a:off x="3267075" y="876300"/>
          <a:ext cx="1533525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171450</xdr:colOff>
      <xdr:row>5</xdr:row>
      <xdr:rowOff>57150</xdr:rowOff>
    </xdr:from>
    <xdr:to>
      <xdr:col>8</xdr:col>
      <xdr:colOff>323850</xdr:colOff>
      <xdr:row>10</xdr:row>
      <xdr:rowOff>0</xdr:rowOff>
    </xdr:to>
    <xdr:sp macro="" textlink="">
      <xdr:nvSpPr>
        <xdr:cNvPr id="2057" name="Text Box 1033" hidden="1">
          <a:extLst>
            <a:ext uri="{FF2B5EF4-FFF2-40B4-BE49-F238E27FC236}">
              <a16:creationId xmlns:a16="http://schemas.microsoft.com/office/drawing/2014/main" id="{00000000-0008-0000-0200-000009080000}"/>
            </a:ext>
          </a:extLst>
        </xdr:cNvPr>
        <xdr:cNvSpPr txBox="1">
          <a:spLocks noChangeArrowheads="1"/>
        </xdr:cNvSpPr>
      </xdr:nvSpPr>
      <xdr:spPr bwMode="auto">
        <a:xfrm>
          <a:off x="4933950" y="876300"/>
          <a:ext cx="16764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171450</xdr:colOff>
      <xdr:row>6</xdr:row>
      <xdr:rowOff>57150</xdr:rowOff>
    </xdr:from>
    <xdr:to>
      <xdr:col>6</xdr:col>
      <xdr:colOff>38100</xdr:colOff>
      <xdr:row>11</xdr:row>
      <xdr:rowOff>0</xdr:rowOff>
    </xdr:to>
    <xdr:sp macro="" textlink="">
      <xdr:nvSpPr>
        <xdr:cNvPr id="2058" name="Text Box 1034" hidden="1">
          <a:extLst>
            <a:ext uri="{FF2B5EF4-FFF2-40B4-BE49-F238E27FC236}">
              <a16:creationId xmlns:a16="http://schemas.microsoft.com/office/drawing/2014/main" id="{00000000-0008-0000-0200-00000A080000}"/>
            </a:ext>
          </a:extLst>
        </xdr:cNvPr>
        <xdr:cNvSpPr txBox="1">
          <a:spLocks noChangeArrowheads="1"/>
        </xdr:cNvSpPr>
      </xdr:nvSpPr>
      <xdr:spPr bwMode="auto">
        <a:xfrm>
          <a:off x="3267075" y="1038225"/>
          <a:ext cx="1533525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171450</xdr:colOff>
      <xdr:row>6</xdr:row>
      <xdr:rowOff>57150</xdr:rowOff>
    </xdr:from>
    <xdr:to>
      <xdr:col>8</xdr:col>
      <xdr:colOff>323850</xdr:colOff>
      <xdr:row>11</xdr:row>
      <xdr:rowOff>0</xdr:rowOff>
    </xdr:to>
    <xdr:sp macro="" textlink="">
      <xdr:nvSpPr>
        <xdr:cNvPr id="2059" name="Text Box 1035" hidden="1">
          <a:extLst>
            <a:ext uri="{FF2B5EF4-FFF2-40B4-BE49-F238E27FC236}">
              <a16:creationId xmlns:a16="http://schemas.microsoft.com/office/drawing/2014/main" id="{00000000-0008-0000-0200-00000B080000}"/>
            </a:ext>
          </a:extLst>
        </xdr:cNvPr>
        <xdr:cNvSpPr txBox="1">
          <a:spLocks noChangeArrowheads="1"/>
        </xdr:cNvSpPr>
      </xdr:nvSpPr>
      <xdr:spPr bwMode="auto">
        <a:xfrm>
          <a:off x="4933950" y="1038225"/>
          <a:ext cx="16764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0</xdr:row>
      <xdr:rowOff>14287</xdr:rowOff>
    </xdr:from>
    <xdr:to>
      <xdr:col>10</xdr:col>
      <xdr:colOff>2859</xdr:colOff>
      <xdr:row>10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009775" y="14287"/>
          <a:ext cx="7746684" cy="164306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~StartYear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start year of the model (2005);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~ActivePDef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set of active periods.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Alternate period definitions can be made and the active one is declared under the tag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~ActiveDef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~TimePeriods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time horizon of the model for the ActivePdef.  In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example two period definitions (Pdef-1 and Pdef-5)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 Pdef-1 the number of years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start year (first period is 1 year long), the second period has 2 years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6</xdr:col>
      <xdr:colOff>21431</xdr:colOff>
      <xdr:row>19</xdr:row>
      <xdr:rowOff>83843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07219" y="1833563"/>
          <a:ext cx="5962650" cy="14173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~ImpSettings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some settings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the synchronization process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Dummy Imports: one can control the creation of dummy imports in the table shown above.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backstop dummy processes are introduced in the model in order to avoid infeasibilities that may arise if not enough energy carrier or demand can be supplied.</a:t>
          </a:r>
          <a:endParaRPr lang="en-GB">
            <a:effectLst/>
          </a:endParaRPr>
        </a:p>
        <a:p>
          <a:pPr lvl="0"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Vintage Bounds: VEDA can automatically generate bounds to prohibit investments in processes when a newer vintage becomes available, assuming that the last two characters of the process name are used for the first year of availability .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514350</xdr:colOff>
      <xdr:row>11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0" y="0"/>
          <a:ext cx="6391275" cy="18859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19</xdr:col>
      <xdr:colOff>71550</xdr:colOff>
      <xdr:row>17</xdr:row>
      <xdr:rowOff>147638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034213" y="533400"/>
          <a:ext cx="6596175" cy="231933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10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1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9526</xdr:rowOff>
    </xdr:from>
    <xdr:to>
      <xdr:col>11</xdr:col>
      <xdr:colOff>9525</xdr:colOff>
      <xdr:row>14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2286000" y="1314451"/>
          <a:ext cx="6381750" cy="111442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08AF-561B-4741-93FB-876D250B4223}">
  <sheetPr codeName="Sheet9"/>
  <dimension ref="A1:Z99"/>
  <sheetViews>
    <sheetView showGridLines="0" topLeftCell="A4" zoomScale="90" zoomScaleNormal="90" workbookViewId="0">
      <selection activeCell="F16" sqref="F16"/>
    </sheetView>
  </sheetViews>
  <sheetFormatPr defaultColWidth="8.81640625" defaultRowHeight="14.5" x14ac:dyDescent="0.35"/>
  <cols>
    <col min="1" max="4" width="21.54296875" style="42" customWidth="1"/>
    <col min="5" max="6" width="14.1796875" style="42" customWidth="1"/>
    <col min="7" max="7" width="12.1796875" style="42" customWidth="1"/>
    <col min="8" max="10" width="8.1796875" style="42" customWidth="1"/>
    <col min="11" max="11" width="9.54296875" style="42" customWidth="1"/>
    <col min="12" max="12" width="8.1796875" style="42" customWidth="1"/>
    <col min="13" max="13" width="10" style="42" customWidth="1"/>
    <col min="14" max="14" width="11.453125" style="42" customWidth="1"/>
    <col min="15" max="15" width="13.453125" style="42" customWidth="1"/>
    <col min="16" max="16384" width="8.81640625" style="42"/>
  </cols>
  <sheetData>
    <row r="1" spans="1:26" x14ac:dyDescent="0.35">
      <c r="A1" s="40"/>
      <c r="B1" s="40"/>
      <c r="C1" s="40"/>
      <c r="D1" s="40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x14ac:dyDescent="0.35">
      <c r="A2" s="40"/>
      <c r="B2" s="40"/>
      <c r="C2" s="40"/>
      <c r="D2" s="40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x14ac:dyDescent="0.35">
      <c r="A3" s="40"/>
      <c r="B3" s="40"/>
      <c r="C3" s="40"/>
      <c r="D3" s="40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x14ac:dyDescent="0.35">
      <c r="A4" s="40"/>
      <c r="B4" s="40"/>
      <c r="C4" s="40"/>
      <c r="D4" s="40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x14ac:dyDescent="0.35">
      <c r="A5" s="40"/>
      <c r="B5" s="40"/>
      <c r="C5" s="40"/>
      <c r="D5" s="40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x14ac:dyDescent="0.35">
      <c r="A6" s="40"/>
      <c r="B6" s="40"/>
      <c r="C6" s="40"/>
      <c r="D6" s="40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x14ac:dyDescent="0.35">
      <c r="A7" s="40"/>
      <c r="B7" s="40"/>
      <c r="C7" s="40"/>
      <c r="D7" s="40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x14ac:dyDescent="0.35">
      <c r="A8" s="40"/>
      <c r="B8" s="40"/>
      <c r="C8" s="40"/>
      <c r="D8" s="40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x14ac:dyDescent="0.35">
      <c r="A9" s="40"/>
      <c r="B9" s="40"/>
      <c r="C9" s="40"/>
      <c r="D9" s="40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x14ac:dyDescent="0.35">
      <c r="A10" s="40"/>
      <c r="B10" s="40"/>
      <c r="C10" s="40"/>
      <c r="D10" s="40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x14ac:dyDescent="0.35">
      <c r="A11" s="40"/>
      <c r="B11" s="40"/>
      <c r="C11" s="40"/>
      <c r="D11" s="40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x14ac:dyDescent="0.35">
      <c r="A12" s="40"/>
      <c r="B12" s="40"/>
      <c r="C12" s="40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x14ac:dyDescent="0.35">
      <c r="A13" s="40"/>
      <c r="B13" s="40"/>
      <c r="C13" s="40"/>
      <c r="D13" s="40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x14ac:dyDescent="0.35">
      <c r="A14" s="40"/>
      <c r="B14" s="40"/>
      <c r="C14" s="40"/>
      <c r="D14" s="40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x14ac:dyDescent="0.35">
      <c r="A15" s="40"/>
      <c r="B15" s="40"/>
      <c r="C15" s="40"/>
      <c r="D15" s="4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02.75" customHeight="1" x14ac:dyDescent="0.35">
      <c r="A16" s="58" t="s">
        <v>144</v>
      </c>
      <c r="B16" s="58"/>
      <c r="C16" s="58"/>
      <c r="D16" s="58"/>
      <c r="E16" s="43"/>
      <c r="F16" s="43"/>
      <c r="G16" s="44"/>
      <c r="H16" s="44"/>
      <c r="I16" s="44"/>
      <c r="J16" s="44"/>
      <c r="K16" s="44"/>
      <c r="L16" s="44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7.25" customHeight="1" x14ac:dyDescent="0.35">
      <c r="A17" s="45"/>
      <c r="B17" s="45"/>
      <c r="C17" s="45"/>
      <c r="D17" s="45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7.25" customHeight="1" x14ac:dyDescent="0.35">
      <c r="A18" s="45"/>
      <c r="B18" s="45"/>
      <c r="C18" s="45"/>
      <c r="D18" s="45"/>
      <c r="E18" s="46"/>
      <c r="F18" s="46"/>
      <c r="G18" s="47"/>
      <c r="H18" s="47"/>
      <c r="I18" s="47"/>
      <c r="J18" s="47"/>
      <c r="K18" s="47"/>
      <c r="L18" s="47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7.25" customHeight="1" x14ac:dyDescent="0.35">
      <c r="A19" s="48" t="s">
        <v>145</v>
      </c>
      <c r="B19" s="57" t="s">
        <v>156</v>
      </c>
      <c r="C19" s="57"/>
      <c r="D19" s="57"/>
      <c r="E19" s="49"/>
      <c r="F19" s="49"/>
      <c r="G19" s="50"/>
      <c r="H19" s="50"/>
      <c r="I19" s="50"/>
      <c r="J19" s="50"/>
      <c r="K19" s="50"/>
      <c r="L19" s="50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7.25" customHeight="1" x14ac:dyDescent="0.35">
      <c r="A20" s="48" t="s">
        <v>146</v>
      </c>
      <c r="B20" s="57" t="s">
        <v>157</v>
      </c>
      <c r="C20" s="57"/>
      <c r="D20" s="57"/>
      <c r="E20" s="49"/>
      <c r="F20" s="49"/>
      <c r="G20" s="50"/>
      <c r="H20" s="50"/>
      <c r="I20" s="50"/>
      <c r="J20" s="50"/>
      <c r="K20" s="50"/>
      <c r="L20" s="50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7.25" customHeight="1" x14ac:dyDescent="0.35">
      <c r="A21" s="48" t="s">
        <v>147</v>
      </c>
      <c r="B21" s="51" t="s">
        <v>158</v>
      </c>
      <c r="C21" s="51"/>
      <c r="D21" s="51"/>
      <c r="E21" s="49"/>
      <c r="F21" s="49"/>
      <c r="G21" s="50"/>
      <c r="H21" s="50"/>
      <c r="I21" s="50"/>
      <c r="J21" s="50"/>
      <c r="K21" s="50"/>
      <c r="L21" s="50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7.25" customHeight="1" x14ac:dyDescent="0.35">
      <c r="A22" s="48"/>
      <c r="B22" s="51"/>
      <c r="C22" s="51"/>
      <c r="D22" s="51"/>
      <c r="E22" s="49"/>
      <c r="F22" s="49"/>
      <c r="G22" s="50"/>
      <c r="H22" s="50"/>
      <c r="I22" s="50"/>
      <c r="J22" s="50"/>
      <c r="K22" s="50"/>
      <c r="L22" s="50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7.25" customHeight="1" x14ac:dyDescent="0.35">
      <c r="A23" s="48" t="s">
        <v>148</v>
      </c>
      <c r="B23" s="57" t="s">
        <v>160</v>
      </c>
      <c r="C23" s="57"/>
      <c r="D23" s="57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7.25" customHeight="1" x14ac:dyDescent="0.35">
      <c r="A24" s="48"/>
      <c r="B24" s="51" t="s">
        <v>159</v>
      </c>
      <c r="C24" s="51"/>
      <c r="D24" s="5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7.25" customHeight="1" x14ac:dyDescent="0.35">
      <c r="A25" s="48"/>
      <c r="B25" s="51"/>
      <c r="C25" s="51"/>
      <c r="D25" s="5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7.25" customHeight="1" x14ac:dyDescent="0.35">
      <c r="A26" s="48" t="s">
        <v>149</v>
      </c>
      <c r="B26" s="57" t="s">
        <v>168</v>
      </c>
      <c r="C26" s="57"/>
      <c r="D26" s="57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7.25" customHeight="1" x14ac:dyDescent="0.35">
      <c r="A27" s="48"/>
      <c r="B27" s="51"/>
      <c r="C27" s="51"/>
      <c r="D27" s="5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7.25" customHeight="1" x14ac:dyDescent="0.35">
      <c r="A28" s="48"/>
      <c r="B28" s="51"/>
      <c r="C28" s="51"/>
      <c r="D28" s="5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7.25" customHeight="1" x14ac:dyDescent="0.35">
      <c r="A29" s="48" t="s">
        <v>150</v>
      </c>
      <c r="B29" s="52">
        <v>1</v>
      </c>
      <c r="C29" s="51"/>
      <c r="D29" s="5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7.25" customHeight="1" x14ac:dyDescent="0.35">
      <c r="A30" s="48" t="s">
        <v>151</v>
      </c>
      <c r="B30" s="59" t="s">
        <v>152</v>
      </c>
      <c r="C30" s="57"/>
      <c r="D30" s="57"/>
      <c r="E30" s="53"/>
      <c r="F30" s="53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7.25" customHeight="1" x14ac:dyDescent="0.35">
      <c r="A31" s="48" t="s">
        <v>153</v>
      </c>
      <c r="B31" s="57" t="s">
        <v>154</v>
      </c>
      <c r="C31" s="57"/>
      <c r="D31" s="57"/>
      <c r="E31" s="53"/>
      <c r="F31" s="53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7.25" customHeight="1" x14ac:dyDescent="0.35">
      <c r="A32" s="54"/>
      <c r="B32" s="55" t="s">
        <v>155</v>
      </c>
      <c r="C32" s="54"/>
      <c r="D32" s="54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x14ac:dyDescent="0.35">
      <c r="A33" s="40"/>
      <c r="B33" s="40"/>
      <c r="C33" s="40"/>
      <c r="D33" s="40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x14ac:dyDescent="0.35">
      <c r="A34" s="40"/>
      <c r="B34" s="40"/>
      <c r="C34" s="40"/>
      <c r="D34" s="40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x14ac:dyDescent="0.35">
      <c r="A35" s="40"/>
      <c r="B35" s="40"/>
      <c r="C35" s="40"/>
      <c r="D35" s="40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x14ac:dyDescent="0.35">
      <c r="A36" s="40"/>
      <c r="B36" s="40"/>
      <c r="C36" s="40"/>
      <c r="D36" s="40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x14ac:dyDescent="0.35">
      <c r="A37" s="40"/>
      <c r="B37" s="40"/>
      <c r="C37" s="40"/>
      <c r="D37" s="40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x14ac:dyDescent="0.35">
      <c r="A38" s="40"/>
      <c r="B38" s="40"/>
      <c r="C38" s="40"/>
      <c r="D38" s="40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x14ac:dyDescent="0.35">
      <c r="A39" s="40"/>
      <c r="B39" s="40"/>
      <c r="C39" s="40"/>
      <c r="D39" s="40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x14ac:dyDescent="0.35">
      <c r="A40" s="40"/>
      <c r="B40" s="40"/>
      <c r="C40" s="40"/>
      <c r="D40" s="40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x14ac:dyDescent="0.35">
      <c r="A41" s="40"/>
      <c r="B41" s="40"/>
      <c r="C41" s="40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x14ac:dyDescent="0.35">
      <c r="A42" s="40"/>
      <c r="B42" s="40"/>
      <c r="C42" s="40"/>
      <c r="D42" s="40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x14ac:dyDescent="0.3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x14ac:dyDescent="0.3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x14ac:dyDescent="0.3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x14ac:dyDescent="0.3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x14ac:dyDescent="0.3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x14ac:dyDescent="0.3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x14ac:dyDescent="0.3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x14ac:dyDescent="0.3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x14ac:dyDescent="0.3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x14ac:dyDescent="0.3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x14ac:dyDescent="0.3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x14ac:dyDescent="0.3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x14ac:dyDescent="0.3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x14ac:dyDescent="0.3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x14ac:dyDescent="0.3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x14ac:dyDescent="0.3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x14ac:dyDescent="0.3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x14ac:dyDescent="0.3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x14ac:dyDescent="0.3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x14ac:dyDescent="0.3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x14ac:dyDescent="0.3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x14ac:dyDescent="0.3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x14ac:dyDescent="0.3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x14ac:dyDescent="0.3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x14ac:dyDescent="0.3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x14ac:dyDescent="0.3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x14ac:dyDescent="0.3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x14ac:dyDescent="0.3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x14ac:dyDescent="0.3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x14ac:dyDescent="0.3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x14ac:dyDescent="0.3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x14ac:dyDescent="0.3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x14ac:dyDescent="0.3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x14ac:dyDescent="0.3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x14ac:dyDescent="0.3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x14ac:dyDescent="0.3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x14ac:dyDescent="0.3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x14ac:dyDescent="0.3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x14ac:dyDescent="0.3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x14ac:dyDescent="0.3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x14ac:dyDescent="0.3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x14ac:dyDescent="0.3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x14ac:dyDescent="0.3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x14ac:dyDescent="0.35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x14ac:dyDescent="0.35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x14ac:dyDescent="0.3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x14ac:dyDescent="0.3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x14ac:dyDescent="0.3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x14ac:dyDescent="0.3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x14ac:dyDescent="0.3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x14ac:dyDescent="0.3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x14ac:dyDescent="0.3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x14ac:dyDescent="0.3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x14ac:dyDescent="0.3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x14ac:dyDescent="0.3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x14ac:dyDescent="0.3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x14ac:dyDescent="0.3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280B3652-D35F-442B-B752-87B78E114D7A}"/>
    <hyperlink ref="B32" r:id="rId2" xr:uid="{730BD513-147A-4482-A5D1-57CEC7C20E14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AD37"/>
  <sheetViews>
    <sheetView zoomScaleNormal="100" workbookViewId="0">
      <selection activeCell="I25" sqref="I25"/>
    </sheetView>
  </sheetViews>
  <sheetFormatPr defaultColWidth="11.453125" defaultRowHeight="12.5" x14ac:dyDescent="0.25"/>
  <cols>
    <col min="1" max="1" width="12.1796875" customWidth="1"/>
    <col min="2" max="2" width="11.54296875" customWidth="1"/>
    <col min="3" max="3" width="3.1796875" customWidth="1"/>
    <col min="4" max="4" width="8.54296875" customWidth="1"/>
    <col min="5" max="5" width="6.453125" customWidth="1"/>
    <col min="6" max="6" width="5" customWidth="1"/>
    <col min="7" max="7" width="5.54296875" customWidth="1"/>
    <col min="8" max="8" width="5.81640625" customWidth="1"/>
    <col min="9" max="9" width="5.453125" customWidth="1"/>
    <col min="10" max="11" width="5.54296875" customWidth="1"/>
    <col min="12" max="12" width="6.54296875" customWidth="1"/>
    <col min="13" max="13" width="6" customWidth="1"/>
    <col min="14" max="15" width="6.54296875" customWidth="1"/>
    <col min="16" max="16" width="7.1796875" customWidth="1"/>
    <col min="17" max="17" width="5.54296875" customWidth="1"/>
    <col min="18" max="18" width="6" customWidth="1"/>
    <col min="19" max="19" width="5.81640625" customWidth="1"/>
    <col min="20" max="20" width="5.54296875" customWidth="1"/>
    <col min="21" max="21" width="5.81640625" customWidth="1"/>
    <col min="22" max="22" width="6.54296875" customWidth="1"/>
    <col min="23" max="23" width="5" customWidth="1"/>
    <col min="24" max="24" width="7.54296875" customWidth="1"/>
    <col min="25" max="25" width="6.54296875" customWidth="1"/>
    <col min="26" max="28" width="6" customWidth="1"/>
    <col min="29" max="29" width="5.54296875" customWidth="1"/>
    <col min="30" max="30" width="6.54296875" customWidth="1"/>
  </cols>
  <sheetData>
    <row r="3" spans="1:30" ht="15" customHeight="1" x14ac:dyDescent="0.25">
      <c r="C3" s="2" t="str">
        <f t="array" ref="C3">IF(INDEX(C5:C7,$A$4)&lt;&gt;0,INDEX(C5:C7,$A$4),"")</f>
        <v>IE</v>
      </c>
      <c r="D3" s="2" t="str">
        <f t="array" ref="D3">IF(INDEX(D5:D7,$A$4)&lt;&gt;0,INDEX(D5:D7,$A$4),"")</f>
        <v>National</v>
      </c>
      <c r="E3" s="2" t="str">
        <f t="array" ref="E3">IF(INDEX(E5:E7,$A$4)&lt;&gt;0,INDEX(E5:E7,$A$4),"")</f>
        <v>IE-CW</v>
      </c>
      <c r="F3" s="2" t="str">
        <f t="array" ref="F3">IF(INDEX(F5:F7,$A$4)&lt;&gt;0,INDEX(F5:F7,$A$4),"")</f>
        <v>IE-D</v>
      </c>
      <c r="G3" s="2" t="str">
        <f t="array" ref="G3">IF(INDEX(G5:G7,$A$4)&lt;&gt;0,INDEX(G5:G7,$A$4),"")</f>
        <v>IE-KE</v>
      </c>
      <c r="H3" s="2" t="str">
        <f t="array" ref="H3">IF(INDEX(H5:H7,$A$4)&lt;&gt;0,INDEX(H5:H7,$A$4),"")</f>
        <v>IE-KK</v>
      </c>
      <c r="I3" s="2" t="str">
        <f t="array" ref="I3">IF(INDEX(I5:I7,$A$4)&lt;&gt;0,INDEX(I5:I7,$A$4),"")</f>
        <v>IE-LS</v>
      </c>
      <c r="J3" s="2" t="str">
        <f t="array" ref="J3">IF(INDEX(J5:J7,$A$4)&lt;&gt;0,INDEX(J5:J7,$A$4),"")</f>
        <v>IE-LD</v>
      </c>
      <c r="K3" s="2" t="str">
        <f t="array" ref="K3">IF(INDEX(K5:K7,$A$4)&lt;&gt;0,INDEX(K5:K7,$A$4),"")</f>
        <v>IE-LH</v>
      </c>
      <c r="L3" s="2" t="str">
        <f t="array" ref="L3">IF(INDEX(L5:L7,$A$4)&lt;&gt;0,INDEX(L5:L7,$A$4),"")</f>
        <v>IE-MH</v>
      </c>
      <c r="M3" s="2" t="str">
        <f t="array" ref="M3">IF(INDEX(M5:M7,$A$4)&lt;&gt;0,INDEX(M5:M7,$A$4),"")</f>
        <v>IE-OY</v>
      </c>
      <c r="N3" s="2" t="str">
        <f t="array" ref="N3">IF(INDEX(N5:N7,$A$4)&lt;&gt;0,INDEX(N5:N7,$A$4),"")</f>
        <v>IE-WH</v>
      </c>
      <c r="O3" s="2" t="str">
        <f t="array" ref="O3">IF(INDEX(O5:O7,$A$4)&lt;&gt;0,INDEX(O5:O7,$A$4),"")</f>
        <v>IE-WX</v>
      </c>
      <c r="P3" s="2" t="str">
        <f t="array" ref="P3">IF(INDEX(P5:P7,$A$4)&lt;&gt;0,INDEX(P5:P7,$A$4),"")</f>
        <v>IE-WW</v>
      </c>
      <c r="Q3" s="2" t="str">
        <f t="array" ref="Q3">IF(INDEX(Q5:Q7,$A$4)&lt;&gt;0,INDEX(Q5:Q7,$A$4),"")</f>
        <v>IE-CE</v>
      </c>
      <c r="R3" s="2" t="str">
        <f t="array" ref="R3">IF(INDEX(R5:R7,$A$4)&lt;&gt;0,INDEX(R5:R7,$A$4),"")</f>
        <v>IE-CO</v>
      </c>
      <c r="S3" s="2" t="str">
        <f t="array" ref="S3">IF(INDEX(S5:S7,$A$4)&lt;&gt;0,INDEX(S5:S7,$A$4),"")</f>
        <v>IE-KY</v>
      </c>
      <c r="T3" s="2" t="str">
        <f t="array" ref="T3">IF(INDEX(T5:T7,$A$4)&lt;&gt;0,INDEX(T5:T7,$A$4),"")</f>
        <v>IE-LK</v>
      </c>
      <c r="U3" s="2" t="str">
        <f t="array" ref="U3">IF(INDEX(U5:U7,$A$4)&lt;&gt;0,INDEX(U5:U7,$A$4),"")</f>
        <v>IE-TA</v>
      </c>
      <c r="V3" s="2" t="str">
        <f t="array" ref="V3">IF(INDEX(V5:V7,$A$4)&lt;&gt;0,INDEX(V5:V7,$A$4),"")</f>
        <v>IE-WD</v>
      </c>
      <c r="W3" s="2" t="str">
        <f t="array" ref="W3">IF(INDEX(W5:W7,$A$4)&lt;&gt;0,INDEX(W5:W7,$A$4),"")</f>
        <v>IE-G</v>
      </c>
      <c r="X3" s="2" t="str">
        <f t="array" ref="X3">IF(INDEX(X5:X7,$A$4)&lt;&gt;0,INDEX(X5:X7,$A$4),"")</f>
        <v>IE-LM</v>
      </c>
      <c r="Y3" s="2" t="str">
        <f t="array" ref="Y3">IF(INDEX(Y5:Y7,$A$4)&lt;&gt;0,INDEX(Y5:Y7,$A$4),"")</f>
        <v>IE-MO</v>
      </c>
      <c r="Z3" s="2" t="str">
        <f t="array" ref="Z3">IF(INDEX(Z5:Z7,$A$4)&lt;&gt;0,INDEX(Z5:Z7,$A$4),"")</f>
        <v>IE-RN</v>
      </c>
      <c r="AA3" s="2" t="str">
        <f t="array" ref="AA3">IF(INDEX(AA5:AA7,$A$4)&lt;&gt;0,INDEX(AA5:AA7,$A$4),"")</f>
        <v>IE-SO</v>
      </c>
      <c r="AB3" s="2" t="str">
        <f t="array" ref="AB3">IF(INDEX(AB5:AB7,$A$4)&lt;&gt;0,INDEX(AB5:AB7,$A$4),"")</f>
        <v>IE-CN</v>
      </c>
      <c r="AC3" s="2" t="str">
        <f t="array" ref="AC3">IF(INDEX(AC5:AC7,$A$4)&lt;&gt;0,INDEX(AC5:AC7,$A$4),"")</f>
        <v>IE-DL</v>
      </c>
      <c r="AD3" s="2" t="str">
        <f t="array" ref="AD3">IF(INDEX(AD5:AD7,$A$4)&lt;&gt;0,INDEX(AD5:AD7,$A$4),"")</f>
        <v>IE-MN</v>
      </c>
    </row>
    <row r="4" spans="1:30" x14ac:dyDescent="0.25">
      <c r="A4" s="1">
        <v>1</v>
      </c>
      <c r="B4" s="1"/>
    </row>
    <row r="5" spans="1:30" ht="15" customHeight="1" x14ac:dyDescent="0.25">
      <c r="A5" s="1" t="s">
        <v>60</v>
      </c>
      <c r="C5" s="2" t="s">
        <v>33</v>
      </c>
      <c r="D5" s="2" t="s">
        <v>61</v>
      </c>
      <c r="E5" s="2" t="str">
        <f>A11</f>
        <v>IE-CW</v>
      </c>
      <c r="F5" s="2" t="str">
        <f>A16</f>
        <v>IE-D</v>
      </c>
      <c r="G5" s="2" t="str">
        <f>A19</f>
        <v>IE-KE</v>
      </c>
      <c r="H5" s="2" t="str">
        <f>A20</f>
        <v>IE-KK</v>
      </c>
      <c r="I5" s="2" t="str">
        <f>A21</f>
        <v>IE-LS</v>
      </c>
      <c r="J5" s="2" t="str">
        <f>A24</f>
        <v>IE-LD</v>
      </c>
      <c r="K5" s="2" t="str">
        <f>A25</f>
        <v>IE-LH</v>
      </c>
      <c r="L5" s="2" t="str">
        <f>A27</f>
        <v>IE-MH</v>
      </c>
      <c r="M5" s="2" t="str">
        <f>A29</f>
        <v>IE-OY</v>
      </c>
      <c r="N5" s="2" t="str">
        <f>A34</f>
        <v>IE-WH</v>
      </c>
      <c r="O5" s="2" t="str">
        <f>A35</f>
        <v>IE-WX</v>
      </c>
      <c r="P5" s="2" t="str">
        <f>A36</f>
        <v>IE-WW</v>
      </c>
      <c r="Q5" s="2" t="str">
        <f>A13</f>
        <v>IE-CE</v>
      </c>
      <c r="R5" s="2" t="str">
        <f>A14</f>
        <v>IE-CO</v>
      </c>
      <c r="S5" s="2" t="str">
        <f>A18</f>
        <v>IE-KY</v>
      </c>
      <c r="T5" s="2" t="str">
        <f>A23</f>
        <v>IE-LK</v>
      </c>
      <c r="U5" s="2" t="str">
        <f>A32</f>
        <v>IE-TA</v>
      </c>
      <c r="V5" s="2" t="str">
        <f>A33</f>
        <v>IE-WD</v>
      </c>
      <c r="W5" s="2" t="str">
        <f>A17</f>
        <v>IE-G</v>
      </c>
      <c r="X5" s="2" t="str">
        <f>A22</f>
        <v>IE-LM</v>
      </c>
      <c r="Y5" s="2" t="str">
        <f>A26</f>
        <v>IE-MO</v>
      </c>
      <c r="Z5" s="2" t="str">
        <f>A30</f>
        <v>IE-RN</v>
      </c>
      <c r="AA5" s="2" t="str">
        <f>A31</f>
        <v>IE-SO</v>
      </c>
      <c r="AB5" s="2" t="str">
        <f>A12</f>
        <v>IE-CN</v>
      </c>
      <c r="AC5" s="2" t="str">
        <f>A15</f>
        <v>IE-DL</v>
      </c>
      <c r="AD5" s="2" t="str">
        <f>A28</f>
        <v>IE-MN</v>
      </c>
    </row>
    <row r="6" spans="1:30" ht="15" customHeight="1" x14ac:dyDescent="0.25">
      <c r="A6" s="1" t="s">
        <v>62</v>
      </c>
      <c r="C6" s="2" t="str">
        <f>C5</f>
        <v>IE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5" customHeight="1" x14ac:dyDescent="0.25">
      <c r="A7" s="1" t="s">
        <v>63</v>
      </c>
      <c r="C7" s="2" t="str">
        <f t="shared" ref="C7:AC7" si="0">D5</f>
        <v>National</v>
      </c>
      <c r="D7" s="2" t="str">
        <f t="shared" si="0"/>
        <v>IE-CW</v>
      </c>
      <c r="E7" s="2" t="str">
        <f t="shared" si="0"/>
        <v>IE-D</v>
      </c>
      <c r="F7" s="2" t="str">
        <f t="shared" si="0"/>
        <v>IE-KE</v>
      </c>
      <c r="G7" s="2" t="str">
        <f t="shared" si="0"/>
        <v>IE-KK</v>
      </c>
      <c r="H7" s="2" t="str">
        <f t="shared" si="0"/>
        <v>IE-LS</v>
      </c>
      <c r="I7" s="2" t="str">
        <f t="shared" si="0"/>
        <v>IE-LD</v>
      </c>
      <c r="J7" s="2" t="str">
        <f t="shared" si="0"/>
        <v>IE-LH</v>
      </c>
      <c r="K7" s="2" t="str">
        <f t="shared" si="0"/>
        <v>IE-MH</v>
      </c>
      <c r="L7" s="2" t="str">
        <f t="shared" si="0"/>
        <v>IE-OY</v>
      </c>
      <c r="M7" s="2" t="str">
        <f t="shared" si="0"/>
        <v>IE-WH</v>
      </c>
      <c r="N7" s="2" t="str">
        <f t="shared" si="0"/>
        <v>IE-WX</v>
      </c>
      <c r="O7" s="2" t="str">
        <f t="shared" si="0"/>
        <v>IE-WW</v>
      </c>
      <c r="P7" s="2" t="str">
        <f t="shared" si="0"/>
        <v>IE-CE</v>
      </c>
      <c r="Q7" s="2" t="str">
        <f t="shared" si="0"/>
        <v>IE-CO</v>
      </c>
      <c r="R7" s="2" t="str">
        <f t="shared" si="0"/>
        <v>IE-KY</v>
      </c>
      <c r="S7" s="2" t="str">
        <f t="shared" si="0"/>
        <v>IE-LK</v>
      </c>
      <c r="T7" s="2" t="str">
        <f t="shared" si="0"/>
        <v>IE-TA</v>
      </c>
      <c r="U7" s="2" t="str">
        <f t="shared" si="0"/>
        <v>IE-WD</v>
      </c>
      <c r="V7" s="2" t="str">
        <f t="shared" si="0"/>
        <v>IE-G</v>
      </c>
      <c r="W7" s="2" t="str">
        <f t="shared" si="0"/>
        <v>IE-LM</v>
      </c>
      <c r="X7" s="2" t="str">
        <f t="shared" si="0"/>
        <v>IE-MO</v>
      </c>
      <c r="Y7" s="2" t="str">
        <f t="shared" si="0"/>
        <v>IE-RN</v>
      </c>
      <c r="Z7" s="2" t="str">
        <f t="shared" si="0"/>
        <v>IE-SO</v>
      </c>
      <c r="AA7" s="2" t="str">
        <f t="shared" si="0"/>
        <v>IE-CN</v>
      </c>
      <c r="AB7" s="2" t="str">
        <f t="shared" si="0"/>
        <v>IE-DL</v>
      </c>
      <c r="AC7" s="2" t="str">
        <f t="shared" si="0"/>
        <v>IE-MN</v>
      </c>
      <c r="AD7" s="2"/>
    </row>
    <row r="10" spans="1:30" ht="15.75" customHeight="1" x14ac:dyDescent="0.35">
      <c r="A10" s="3" t="s">
        <v>64</v>
      </c>
      <c r="B10" s="3" t="s">
        <v>65</v>
      </c>
    </row>
    <row r="11" spans="1:30" x14ac:dyDescent="0.25">
      <c r="A11" s="4" t="s">
        <v>66</v>
      </c>
      <c r="B11" s="4" t="s">
        <v>67</v>
      </c>
    </row>
    <row r="12" spans="1:30" x14ac:dyDescent="0.25">
      <c r="A12" s="5" t="s">
        <v>68</v>
      </c>
      <c r="B12" s="5" t="s">
        <v>69</v>
      </c>
    </row>
    <row r="13" spans="1:30" x14ac:dyDescent="0.25">
      <c r="A13" s="5" t="s">
        <v>70</v>
      </c>
      <c r="B13" s="5" t="s">
        <v>71</v>
      </c>
    </row>
    <row r="14" spans="1:30" x14ac:dyDescent="0.25">
      <c r="A14" s="5" t="s">
        <v>72</v>
      </c>
      <c r="B14" s="5" t="s">
        <v>73</v>
      </c>
    </row>
    <row r="15" spans="1:30" x14ac:dyDescent="0.25">
      <c r="A15" s="5" t="s">
        <v>74</v>
      </c>
      <c r="B15" s="5" t="s">
        <v>75</v>
      </c>
    </row>
    <row r="16" spans="1:30" x14ac:dyDescent="0.25">
      <c r="A16" s="5" t="s">
        <v>76</v>
      </c>
      <c r="B16" s="5" t="s">
        <v>77</v>
      </c>
    </row>
    <row r="17" spans="1:2" x14ac:dyDescent="0.25">
      <c r="A17" s="5" t="s">
        <v>78</v>
      </c>
      <c r="B17" s="5" t="s">
        <v>79</v>
      </c>
    </row>
    <row r="18" spans="1:2" x14ac:dyDescent="0.25">
      <c r="A18" s="5" t="s">
        <v>80</v>
      </c>
      <c r="B18" s="5" t="s">
        <v>81</v>
      </c>
    </row>
    <row r="19" spans="1:2" x14ac:dyDescent="0.25">
      <c r="A19" s="5" t="s">
        <v>82</v>
      </c>
      <c r="B19" s="5" t="s">
        <v>83</v>
      </c>
    </row>
    <row r="20" spans="1:2" x14ac:dyDescent="0.25">
      <c r="A20" s="5" t="s">
        <v>84</v>
      </c>
      <c r="B20" s="5" t="s">
        <v>85</v>
      </c>
    </row>
    <row r="21" spans="1:2" x14ac:dyDescent="0.25">
      <c r="A21" s="5" t="s">
        <v>86</v>
      </c>
      <c r="B21" s="5" t="s">
        <v>87</v>
      </c>
    </row>
    <row r="22" spans="1:2" x14ac:dyDescent="0.25">
      <c r="A22" s="5" t="s">
        <v>88</v>
      </c>
      <c r="B22" s="5" t="s">
        <v>89</v>
      </c>
    </row>
    <row r="23" spans="1:2" x14ac:dyDescent="0.25">
      <c r="A23" s="5" t="s">
        <v>90</v>
      </c>
      <c r="B23" s="5" t="s">
        <v>91</v>
      </c>
    </row>
    <row r="24" spans="1:2" x14ac:dyDescent="0.25">
      <c r="A24" s="5" t="s">
        <v>92</v>
      </c>
      <c r="B24" s="5" t="s">
        <v>93</v>
      </c>
    </row>
    <row r="25" spans="1:2" x14ac:dyDescent="0.25">
      <c r="A25" s="5" t="s">
        <v>94</v>
      </c>
      <c r="B25" s="5" t="s">
        <v>95</v>
      </c>
    </row>
    <row r="26" spans="1:2" x14ac:dyDescent="0.25">
      <c r="A26" s="5" t="s">
        <v>96</v>
      </c>
      <c r="B26" s="5" t="s">
        <v>97</v>
      </c>
    </row>
    <row r="27" spans="1:2" x14ac:dyDescent="0.25">
      <c r="A27" s="5" t="s">
        <v>98</v>
      </c>
      <c r="B27" s="5" t="s">
        <v>99</v>
      </c>
    </row>
    <row r="28" spans="1:2" x14ac:dyDescent="0.25">
      <c r="A28" s="5" t="s">
        <v>100</v>
      </c>
      <c r="B28" s="5" t="s">
        <v>101</v>
      </c>
    </row>
    <row r="29" spans="1:2" x14ac:dyDescent="0.25">
      <c r="A29" s="5" t="s">
        <v>102</v>
      </c>
      <c r="B29" s="5" t="s">
        <v>103</v>
      </c>
    </row>
    <row r="30" spans="1:2" x14ac:dyDescent="0.25">
      <c r="A30" s="5" t="s">
        <v>104</v>
      </c>
      <c r="B30" s="5" t="s">
        <v>105</v>
      </c>
    </row>
    <row r="31" spans="1:2" x14ac:dyDescent="0.25">
      <c r="A31" s="5" t="s">
        <v>106</v>
      </c>
      <c r="B31" s="5" t="s">
        <v>107</v>
      </c>
    </row>
    <row r="32" spans="1:2" x14ac:dyDescent="0.25">
      <c r="A32" s="5" t="s">
        <v>108</v>
      </c>
      <c r="B32" s="5" t="s">
        <v>109</v>
      </c>
    </row>
    <row r="33" spans="1:2" x14ac:dyDescent="0.25">
      <c r="A33" s="5" t="s">
        <v>110</v>
      </c>
      <c r="B33" s="5" t="s">
        <v>111</v>
      </c>
    </row>
    <row r="34" spans="1:2" x14ac:dyDescent="0.25">
      <c r="A34" s="5" t="s">
        <v>112</v>
      </c>
      <c r="B34" s="5" t="s">
        <v>113</v>
      </c>
    </row>
    <row r="35" spans="1:2" x14ac:dyDescent="0.25">
      <c r="A35" s="5" t="s">
        <v>114</v>
      </c>
      <c r="B35" s="5" t="s">
        <v>115</v>
      </c>
    </row>
    <row r="36" spans="1:2" x14ac:dyDescent="0.25">
      <c r="A36" s="5" t="s">
        <v>116</v>
      </c>
      <c r="B36" s="5" t="s">
        <v>117</v>
      </c>
    </row>
    <row r="37" spans="1:2" ht="15" customHeight="1" x14ac:dyDescent="0.35">
      <c r="A37" s="6" t="s">
        <v>118</v>
      </c>
    </row>
  </sheetData>
  <pageMargins left="0.7" right="0.7" top="0.75" bottom="0.75" header="0.3" footer="0.3"/>
  <pageSetup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3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31750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C39"/>
  <sheetViews>
    <sheetView zoomScaleNormal="100" workbookViewId="0">
      <selection activeCell="V12" sqref="V12"/>
    </sheetView>
  </sheetViews>
  <sheetFormatPr defaultColWidth="11.453125" defaultRowHeight="12.5" x14ac:dyDescent="0.25"/>
  <cols>
    <col min="1" max="2" width="11.453125" customWidth="1"/>
    <col min="4" max="4" width="12.1796875" customWidth="1"/>
    <col min="5" max="5" width="13.54296875" customWidth="1"/>
  </cols>
  <sheetData>
    <row r="3" spans="1:3" ht="13" x14ac:dyDescent="0.3">
      <c r="A3" s="7"/>
      <c r="B3" s="10" t="s">
        <v>6</v>
      </c>
    </row>
    <row r="4" spans="1:3" ht="13.5" customHeight="1" thickBot="1" x14ac:dyDescent="0.35">
      <c r="A4" s="7"/>
      <c r="B4" s="9" t="s">
        <v>8</v>
      </c>
      <c r="C4" s="9" t="s">
        <v>9</v>
      </c>
    </row>
    <row r="5" spans="1:3" ht="13" x14ac:dyDescent="0.3">
      <c r="A5" s="7"/>
      <c r="B5" s="8" t="s">
        <v>33</v>
      </c>
      <c r="C5" s="8" t="str">
        <f>Regions!C3</f>
        <v>IE</v>
      </c>
    </row>
    <row r="6" spans="1:3" ht="13" x14ac:dyDescent="0.3">
      <c r="A6" s="7"/>
      <c r="B6" s="7"/>
      <c r="C6" s="8" t="str">
        <f>Regions!D3</f>
        <v>National</v>
      </c>
    </row>
    <row r="7" spans="1:3" ht="13" x14ac:dyDescent="0.3">
      <c r="A7" s="7"/>
      <c r="B7" s="7"/>
      <c r="C7" s="8" t="str">
        <f>Regions!E3</f>
        <v>IE-CW</v>
      </c>
    </row>
    <row r="8" spans="1:3" ht="13" x14ac:dyDescent="0.3">
      <c r="A8" s="7"/>
      <c r="B8" s="7"/>
      <c r="C8" s="8" t="str">
        <f>Regions!F3</f>
        <v>IE-D</v>
      </c>
    </row>
    <row r="9" spans="1:3" ht="13" x14ac:dyDescent="0.3">
      <c r="A9" s="7"/>
      <c r="B9" s="7"/>
      <c r="C9" s="8" t="str">
        <f>Regions!G3</f>
        <v>IE-KE</v>
      </c>
    </row>
    <row r="10" spans="1:3" ht="13" x14ac:dyDescent="0.3">
      <c r="A10" s="7"/>
      <c r="B10" s="7"/>
      <c r="C10" s="8" t="str">
        <f>Regions!H3</f>
        <v>IE-KK</v>
      </c>
    </row>
    <row r="11" spans="1:3" ht="13" x14ac:dyDescent="0.3">
      <c r="A11" s="7"/>
      <c r="B11" s="7"/>
      <c r="C11" s="8" t="str">
        <f>Regions!I3</f>
        <v>IE-LS</v>
      </c>
    </row>
    <row r="12" spans="1:3" ht="13" x14ac:dyDescent="0.3">
      <c r="A12" s="7"/>
      <c r="B12" s="7"/>
      <c r="C12" s="8" t="str">
        <f>Regions!J3</f>
        <v>IE-LD</v>
      </c>
    </row>
    <row r="13" spans="1:3" ht="13" x14ac:dyDescent="0.3">
      <c r="A13" s="7"/>
      <c r="B13" s="7"/>
      <c r="C13" s="8" t="str">
        <f>Regions!K3</f>
        <v>IE-LH</v>
      </c>
    </row>
    <row r="14" spans="1:3" ht="13" x14ac:dyDescent="0.3">
      <c r="A14" s="7"/>
      <c r="B14" s="7"/>
      <c r="C14" s="8" t="str">
        <f>Regions!L3</f>
        <v>IE-MH</v>
      </c>
    </row>
    <row r="15" spans="1:3" ht="13" x14ac:dyDescent="0.3">
      <c r="A15" s="7"/>
      <c r="B15" s="7"/>
      <c r="C15" s="8" t="str">
        <f>Regions!M3</f>
        <v>IE-OY</v>
      </c>
    </row>
    <row r="16" spans="1:3" ht="13" x14ac:dyDescent="0.3">
      <c r="A16" s="7"/>
      <c r="B16" s="7"/>
      <c r="C16" s="8" t="str">
        <f>Regions!N3</f>
        <v>IE-WH</v>
      </c>
    </row>
    <row r="17" spans="1:3" ht="13" x14ac:dyDescent="0.3">
      <c r="A17" s="7"/>
      <c r="B17" s="7"/>
      <c r="C17" s="8" t="str">
        <f>Regions!O3</f>
        <v>IE-WX</v>
      </c>
    </row>
    <row r="18" spans="1:3" ht="13" x14ac:dyDescent="0.3">
      <c r="A18" s="7"/>
      <c r="B18" s="7"/>
      <c r="C18" s="8" t="str">
        <f>Regions!P3</f>
        <v>IE-WW</v>
      </c>
    </row>
    <row r="19" spans="1:3" ht="13" x14ac:dyDescent="0.3">
      <c r="A19" s="7"/>
      <c r="B19" s="7"/>
      <c r="C19" s="8" t="str">
        <f>Regions!Q3</f>
        <v>IE-CE</v>
      </c>
    </row>
    <row r="20" spans="1:3" ht="13" x14ac:dyDescent="0.3">
      <c r="A20" s="7"/>
      <c r="C20" s="8" t="str">
        <f>Regions!R3</f>
        <v>IE-CO</v>
      </c>
    </row>
    <row r="21" spans="1:3" ht="13" x14ac:dyDescent="0.3">
      <c r="A21" s="7"/>
      <c r="C21" s="8" t="str">
        <f>Regions!S3</f>
        <v>IE-KY</v>
      </c>
    </row>
    <row r="22" spans="1:3" ht="13" x14ac:dyDescent="0.3">
      <c r="A22" s="7"/>
      <c r="C22" s="8" t="str">
        <f>Regions!T3</f>
        <v>IE-LK</v>
      </c>
    </row>
    <row r="23" spans="1:3" ht="13" x14ac:dyDescent="0.3">
      <c r="A23" s="7"/>
      <c r="C23" s="8" t="str">
        <f>Regions!U3</f>
        <v>IE-TA</v>
      </c>
    </row>
    <row r="24" spans="1:3" ht="13" x14ac:dyDescent="0.3">
      <c r="A24" s="7"/>
      <c r="C24" s="8" t="str">
        <f>Regions!V3</f>
        <v>IE-WD</v>
      </c>
    </row>
    <row r="25" spans="1:3" ht="13" x14ac:dyDescent="0.3">
      <c r="A25" s="7"/>
      <c r="C25" s="8" t="str">
        <f>Regions!W3</f>
        <v>IE-G</v>
      </c>
    </row>
    <row r="26" spans="1:3" ht="13" x14ac:dyDescent="0.3">
      <c r="A26" s="7"/>
      <c r="C26" s="8" t="str">
        <f>Regions!X3</f>
        <v>IE-LM</v>
      </c>
    </row>
    <row r="27" spans="1:3" ht="13" x14ac:dyDescent="0.3">
      <c r="A27" s="7"/>
      <c r="C27" s="8" t="str">
        <f>Regions!Y3</f>
        <v>IE-MO</v>
      </c>
    </row>
    <row r="28" spans="1:3" ht="13" x14ac:dyDescent="0.3">
      <c r="A28" s="7"/>
      <c r="C28" s="8" t="str">
        <f>Regions!Z3</f>
        <v>IE-RN</v>
      </c>
    </row>
    <row r="29" spans="1:3" ht="13" x14ac:dyDescent="0.3">
      <c r="A29" s="7"/>
      <c r="C29" s="8" t="str">
        <f>Regions!AA3</f>
        <v>IE-SO</v>
      </c>
    </row>
    <row r="30" spans="1:3" ht="13" x14ac:dyDescent="0.3">
      <c r="A30" s="7"/>
      <c r="C30" s="8" t="str">
        <f>Regions!AB3</f>
        <v>IE-CN</v>
      </c>
    </row>
    <row r="31" spans="1:3" ht="13" x14ac:dyDescent="0.3">
      <c r="A31" s="7"/>
      <c r="C31" s="8" t="str">
        <f>Regions!AC3</f>
        <v>IE-DL</v>
      </c>
    </row>
    <row r="32" spans="1:3" ht="13" x14ac:dyDescent="0.3">
      <c r="A32" s="7"/>
      <c r="C32" s="8" t="str">
        <f>Regions!AD3</f>
        <v>IE-MN</v>
      </c>
    </row>
    <row r="33" spans="1:1" ht="13" x14ac:dyDescent="0.3">
      <c r="A33" s="7"/>
    </row>
    <row r="34" spans="1:1" ht="13" x14ac:dyDescent="0.3">
      <c r="A34" s="7"/>
    </row>
    <row r="35" spans="1:1" ht="13" x14ac:dyDescent="0.3">
      <c r="A35" s="7"/>
    </row>
    <row r="36" spans="1:1" ht="13" x14ac:dyDescent="0.3">
      <c r="A36" s="7"/>
    </row>
    <row r="37" spans="1:1" ht="13" x14ac:dyDescent="0.3">
      <c r="A37" s="7"/>
    </row>
    <row r="38" spans="1:1" ht="13" x14ac:dyDescent="0.3">
      <c r="A38" s="7"/>
    </row>
    <row r="39" spans="1:1" ht="13" x14ac:dyDescent="0.3">
      <c r="A39" s="7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3:Y75"/>
  <sheetViews>
    <sheetView tabSelected="1" zoomScaleNormal="100" workbookViewId="0">
      <selection activeCell="P28" sqref="P28"/>
    </sheetView>
  </sheetViews>
  <sheetFormatPr defaultColWidth="11.453125" defaultRowHeight="12.5" x14ac:dyDescent="0.25"/>
  <cols>
    <col min="2" max="9" width="13.54296875" customWidth="1"/>
  </cols>
  <sheetData>
    <row r="3" spans="2:25" ht="13" x14ac:dyDescent="0.3">
      <c r="B3" s="11" t="s">
        <v>31</v>
      </c>
      <c r="C3" s="11"/>
    </row>
    <row r="4" spans="2:25" x14ac:dyDescent="0.25">
      <c r="B4">
        <v>2018</v>
      </c>
    </row>
    <row r="7" spans="2:25" ht="13" x14ac:dyDescent="0.3">
      <c r="B7" s="11" t="s">
        <v>32</v>
      </c>
      <c r="C7" s="11"/>
    </row>
    <row r="8" spans="2:25" x14ac:dyDescent="0.25">
      <c r="B8" t="s">
        <v>37</v>
      </c>
    </row>
    <row r="11" spans="2:25" ht="13" x14ac:dyDescent="0.3">
      <c r="B11" s="11" t="s">
        <v>7</v>
      </c>
      <c r="C11" s="11"/>
    </row>
    <row r="12" spans="2:25" ht="13" x14ac:dyDescent="0.3">
      <c r="B12" s="13" t="s">
        <v>137</v>
      </c>
      <c r="C12" s="13" t="s">
        <v>138</v>
      </c>
      <c r="D12" s="13" t="s">
        <v>59</v>
      </c>
      <c r="E12" s="39" t="s">
        <v>136</v>
      </c>
      <c r="F12" s="13" t="s">
        <v>37</v>
      </c>
      <c r="G12" s="39" t="s">
        <v>139</v>
      </c>
      <c r="H12" s="39" t="s">
        <v>135</v>
      </c>
      <c r="I12" s="39" t="s">
        <v>142</v>
      </c>
      <c r="J12" s="13" t="s">
        <v>167</v>
      </c>
      <c r="K12" s="13" t="s">
        <v>169</v>
      </c>
      <c r="L12" s="13" t="s">
        <v>170</v>
      </c>
      <c r="M12" s="13" t="s">
        <v>172</v>
      </c>
      <c r="N12" s="60"/>
      <c r="P12" s="13" t="s">
        <v>137</v>
      </c>
      <c r="Q12" s="13" t="s">
        <v>138</v>
      </c>
      <c r="R12" s="13" t="s">
        <v>59</v>
      </c>
      <c r="S12" s="39" t="s">
        <v>136</v>
      </c>
      <c r="T12" s="13" t="s">
        <v>37</v>
      </c>
      <c r="U12" s="39" t="s">
        <v>139</v>
      </c>
      <c r="V12" s="39" t="s">
        <v>135</v>
      </c>
      <c r="W12" s="39" t="s">
        <v>142</v>
      </c>
      <c r="X12" s="13" t="s">
        <v>167</v>
      </c>
      <c r="Y12" s="13" t="s">
        <v>169</v>
      </c>
    </row>
    <row r="13" spans="2:25" x14ac:dyDescent="0.25">
      <c r="B13" s="12">
        <v>1</v>
      </c>
      <c r="C13" s="12">
        <v>1</v>
      </c>
      <c r="D13" s="12">
        <v>1</v>
      </c>
      <c r="E13" s="12">
        <v>1</v>
      </c>
      <c r="F13" s="12">
        <v>1</v>
      </c>
      <c r="G13" s="12">
        <v>1</v>
      </c>
      <c r="H13" s="17">
        <v>1</v>
      </c>
      <c r="I13" s="17">
        <v>1</v>
      </c>
      <c r="J13" s="12">
        <v>1</v>
      </c>
      <c r="K13" s="12">
        <v>1</v>
      </c>
      <c r="L13" s="56">
        <v>1</v>
      </c>
      <c r="M13" s="56">
        <v>1</v>
      </c>
      <c r="N13" s="56"/>
      <c r="P13" s="12">
        <f>+B4</f>
        <v>2018</v>
      </c>
      <c r="Q13" s="12">
        <f>+P13</f>
        <v>2018</v>
      </c>
      <c r="R13" s="12">
        <f t="shared" ref="R13:W13" si="0">+Q13</f>
        <v>2018</v>
      </c>
      <c r="S13" s="12">
        <f t="shared" si="0"/>
        <v>2018</v>
      </c>
      <c r="T13" s="12">
        <f t="shared" si="0"/>
        <v>2018</v>
      </c>
      <c r="U13" s="12">
        <f t="shared" si="0"/>
        <v>2018</v>
      </c>
      <c r="V13" s="17">
        <f t="shared" si="0"/>
        <v>2018</v>
      </c>
      <c r="W13" s="17">
        <f t="shared" si="0"/>
        <v>2018</v>
      </c>
      <c r="X13" s="17">
        <f t="shared" ref="X13:Y13" si="1">+W13</f>
        <v>2018</v>
      </c>
      <c r="Y13" s="17">
        <f t="shared" si="1"/>
        <v>2018</v>
      </c>
    </row>
    <row r="14" spans="2:25" x14ac:dyDescent="0.25">
      <c r="B14" s="12">
        <v>1</v>
      </c>
      <c r="C14" s="12">
        <v>1</v>
      </c>
      <c r="D14" s="12">
        <v>4</v>
      </c>
      <c r="E14" s="12">
        <v>3</v>
      </c>
      <c r="F14" s="12">
        <v>1</v>
      </c>
      <c r="G14" s="12">
        <v>1</v>
      </c>
      <c r="H14" s="17">
        <v>1</v>
      </c>
      <c r="I14" s="17">
        <v>1</v>
      </c>
      <c r="J14" s="12">
        <v>1</v>
      </c>
      <c r="K14" s="12">
        <v>1</v>
      </c>
      <c r="L14" s="56">
        <v>1</v>
      </c>
      <c r="M14" s="56">
        <v>1</v>
      </c>
      <c r="N14" s="56"/>
      <c r="P14" s="12">
        <f>+P13+B14</f>
        <v>2019</v>
      </c>
      <c r="Q14" s="12">
        <f>+Q13+C14</f>
        <v>2019</v>
      </c>
      <c r="R14" s="12">
        <f>+R13+D14</f>
        <v>2022</v>
      </c>
      <c r="S14" s="12">
        <f>+S13+E14</f>
        <v>2021</v>
      </c>
      <c r="T14" s="12">
        <f>+T13+F14</f>
        <v>2019</v>
      </c>
      <c r="U14" s="12">
        <f>+U13+G14</f>
        <v>2019</v>
      </c>
      <c r="V14" s="17">
        <f>+V13+H14</f>
        <v>2019</v>
      </c>
      <c r="W14" s="17">
        <f>+W13+I14</f>
        <v>2019</v>
      </c>
      <c r="X14" s="17">
        <f>+X13+J14</f>
        <v>2019</v>
      </c>
      <c r="Y14" s="17">
        <f>+Y13+K14</f>
        <v>2019</v>
      </c>
    </row>
    <row r="15" spans="2:25" x14ac:dyDescent="0.25">
      <c r="B15" s="12">
        <v>1</v>
      </c>
      <c r="C15" s="12">
        <v>1</v>
      </c>
      <c r="D15" s="12">
        <v>5</v>
      </c>
      <c r="E15" s="12">
        <v>1</v>
      </c>
      <c r="F15" s="12">
        <v>1</v>
      </c>
      <c r="G15" s="12">
        <v>1</v>
      </c>
      <c r="H15" s="17">
        <v>1</v>
      </c>
      <c r="I15" s="17">
        <v>1</v>
      </c>
      <c r="J15" s="12">
        <v>1</v>
      </c>
      <c r="K15" s="12">
        <v>1</v>
      </c>
      <c r="L15" s="56">
        <v>1</v>
      </c>
      <c r="M15" s="56">
        <v>1</v>
      </c>
      <c r="N15" s="56"/>
      <c r="P15" s="12">
        <f t="shared" ref="P15:P17" si="2">+P14+B15</f>
        <v>2020</v>
      </c>
      <c r="Q15" s="12">
        <f>+Q14+C15</f>
        <v>2020</v>
      </c>
      <c r="R15" s="12">
        <f>+R14+D15</f>
        <v>2027</v>
      </c>
      <c r="S15" s="12">
        <f>+S14+E15</f>
        <v>2022</v>
      </c>
      <c r="T15" s="12">
        <f>+T14+F15</f>
        <v>2020</v>
      </c>
      <c r="U15" s="12">
        <f>+U14+G15</f>
        <v>2020</v>
      </c>
      <c r="V15" s="17">
        <f>+V14+H15</f>
        <v>2020</v>
      </c>
      <c r="W15" s="17">
        <f>+W14+I15</f>
        <v>2020</v>
      </c>
      <c r="X15" s="17">
        <f>+X14+J15</f>
        <v>2020</v>
      </c>
      <c r="Y15" s="17">
        <f>+Y14+K15</f>
        <v>2020</v>
      </c>
    </row>
    <row r="16" spans="2:25" x14ac:dyDescent="0.25">
      <c r="B16" s="12">
        <v>20</v>
      </c>
      <c r="C16" s="12">
        <v>1</v>
      </c>
      <c r="D16" s="12">
        <v>5</v>
      </c>
      <c r="E16" s="12">
        <v>5</v>
      </c>
      <c r="F16" s="12">
        <v>1</v>
      </c>
      <c r="G16" s="12">
        <v>1</v>
      </c>
      <c r="H16" s="17">
        <v>1</v>
      </c>
      <c r="I16" s="17">
        <v>1</v>
      </c>
      <c r="J16" s="12">
        <v>1</v>
      </c>
      <c r="K16" s="12">
        <v>1</v>
      </c>
      <c r="L16" s="56">
        <v>1</v>
      </c>
      <c r="M16" s="56">
        <v>1</v>
      </c>
      <c r="N16" s="56"/>
      <c r="P16" s="12">
        <f t="shared" si="2"/>
        <v>2040</v>
      </c>
      <c r="Q16" s="12">
        <f>+Q15+C16</f>
        <v>2021</v>
      </c>
      <c r="R16" s="12">
        <f>+R15+D16</f>
        <v>2032</v>
      </c>
      <c r="S16" s="12">
        <f>+S15+E16</f>
        <v>2027</v>
      </c>
      <c r="T16" s="12">
        <f>+T15+F16</f>
        <v>2021</v>
      </c>
      <c r="U16" s="12">
        <f>+U15+G16</f>
        <v>2021</v>
      </c>
      <c r="V16" s="17">
        <f>+V15+H16</f>
        <v>2021</v>
      </c>
      <c r="W16" s="17">
        <f>+W15+I16</f>
        <v>2021</v>
      </c>
      <c r="X16" s="17">
        <f>+X15+J16</f>
        <v>2021</v>
      </c>
      <c r="Y16" s="17">
        <f>+Y15+K16</f>
        <v>2021</v>
      </c>
    </row>
    <row r="17" spans="2:25" x14ac:dyDescent="0.25">
      <c r="B17" s="12">
        <v>20</v>
      </c>
      <c r="C17" s="12">
        <v>1</v>
      </c>
      <c r="D17" s="12">
        <v>5</v>
      </c>
      <c r="E17" s="12">
        <v>5</v>
      </c>
      <c r="F17" s="12">
        <v>1</v>
      </c>
      <c r="G17" s="12">
        <v>1</v>
      </c>
      <c r="H17" s="17">
        <v>1</v>
      </c>
      <c r="I17" s="17">
        <v>1</v>
      </c>
      <c r="J17" s="12">
        <v>1</v>
      </c>
      <c r="K17" s="12">
        <v>1</v>
      </c>
      <c r="L17" s="56">
        <v>1</v>
      </c>
      <c r="M17" s="56">
        <v>1</v>
      </c>
      <c r="N17" s="56"/>
      <c r="P17" s="12">
        <f t="shared" si="2"/>
        <v>2060</v>
      </c>
      <c r="Q17" s="12">
        <f>+Q16+C17</f>
        <v>2022</v>
      </c>
      <c r="R17" s="12">
        <f>+R16+D17</f>
        <v>2037</v>
      </c>
      <c r="S17" s="12">
        <f>+S16+E17</f>
        <v>2032</v>
      </c>
      <c r="T17" s="12">
        <f>+T16+F17</f>
        <v>2022</v>
      </c>
      <c r="U17" s="12">
        <f>+U16+G17</f>
        <v>2022</v>
      </c>
      <c r="V17" s="17">
        <f>+V16+H17</f>
        <v>2022</v>
      </c>
      <c r="W17" s="17">
        <f>+W16+I17</f>
        <v>2022</v>
      </c>
      <c r="X17" s="17">
        <f>+X16+J17</f>
        <v>2022</v>
      </c>
      <c r="Y17" s="17">
        <f>+Y16+K17</f>
        <v>2022</v>
      </c>
    </row>
    <row r="18" spans="2:25" x14ac:dyDescent="0.25">
      <c r="C18" s="12">
        <v>5</v>
      </c>
      <c r="D18" s="12">
        <v>5</v>
      </c>
      <c r="E18" s="12">
        <v>5</v>
      </c>
      <c r="F18" s="12">
        <v>5</v>
      </c>
      <c r="G18" s="12">
        <v>1</v>
      </c>
      <c r="H18" s="17">
        <v>1</v>
      </c>
      <c r="I18" s="17">
        <v>1</v>
      </c>
      <c r="J18" s="12">
        <v>1</v>
      </c>
      <c r="K18" s="12">
        <v>1</v>
      </c>
      <c r="L18" s="56">
        <v>1</v>
      </c>
      <c r="M18" s="56">
        <v>1</v>
      </c>
      <c r="N18" s="56"/>
      <c r="Q18" s="12">
        <f>+Q17+C18</f>
        <v>2027</v>
      </c>
      <c r="R18" s="12">
        <f>+R17+D18</f>
        <v>2042</v>
      </c>
      <c r="S18" s="12">
        <f>+S17+E18</f>
        <v>2037</v>
      </c>
      <c r="T18" s="12">
        <f>+T17+F18</f>
        <v>2027</v>
      </c>
      <c r="U18" s="12">
        <f>+U17+G18</f>
        <v>2023</v>
      </c>
      <c r="V18" s="17">
        <f>+V17+H18</f>
        <v>2023</v>
      </c>
      <c r="W18" s="17">
        <f>+W17+I18</f>
        <v>2023</v>
      </c>
      <c r="X18" s="17">
        <f>+X17+J18</f>
        <v>2023</v>
      </c>
      <c r="Y18" s="17">
        <f>+Y17+K18</f>
        <v>2023</v>
      </c>
    </row>
    <row r="19" spans="2:25" x14ac:dyDescent="0.25">
      <c r="C19" s="12">
        <v>45</v>
      </c>
      <c r="D19" s="12">
        <v>5</v>
      </c>
      <c r="E19" s="12">
        <v>5</v>
      </c>
      <c r="F19" s="12">
        <v>5</v>
      </c>
      <c r="G19" s="12">
        <v>1</v>
      </c>
      <c r="H19" s="17">
        <v>1</v>
      </c>
      <c r="I19" s="17">
        <v>1</v>
      </c>
      <c r="J19" s="12">
        <v>1</v>
      </c>
      <c r="K19" s="12">
        <v>1</v>
      </c>
      <c r="L19" s="56">
        <v>1</v>
      </c>
      <c r="M19" s="56">
        <v>1</v>
      </c>
      <c r="N19" s="56"/>
      <c r="Q19" s="12">
        <f>+Q18+C19</f>
        <v>2072</v>
      </c>
      <c r="R19" s="12">
        <f>+R18+D19</f>
        <v>2047</v>
      </c>
      <c r="S19" s="12">
        <f>+S18+E19</f>
        <v>2042</v>
      </c>
      <c r="T19" s="12">
        <f>+T18+F19</f>
        <v>2032</v>
      </c>
      <c r="U19" s="12">
        <f>+U18+G19</f>
        <v>2024</v>
      </c>
      <c r="V19" s="17">
        <f>+V18+H19</f>
        <v>2024</v>
      </c>
      <c r="W19" s="17">
        <f>+W18+I19</f>
        <v>2024</v>
      </c>
      <c r="X19" s="17">
        <f>+X18+J19</f>
        <v>2024</v>
      </c>
      <c r="Y19" s="17">
        <f>+Y18+K19</f>
        <v>2024</v>
      </c>
    </row>
    <row r="20" spans="2:25" x14ac:dyDescent="0.25">
      <c r="C20" s="12">
        <v>25</v>
      </c>
      <c r="D20" s="12">
        <v>5</v>
      </c>
      <c r="E20" s="12">
        <v>5</v>
      </c>
      <c r="F20" s="12">
        <v>5</v>
      </c>
      <c r="G20" s="12">
        <v>1</v>
      </c>
      <c r="H20" s="17">
        <v>1</v>
      </c>
      <c r="I20" s="17">
        <v>1</v>
      </c>
      <c r="J20" s="12">
        <v>1</v>
      </c>
      <c r="K20" s="12">
        <v>1</v>
      </c>
      <c r="L20" s="56">
        <v>1</v>
      </c>
      <c r="M20" s="56">
        <v>1</v>
      </c>
      <c r="N20" s="56"/>
      <c r="Q20" s="12">
        <f>+Q19+C20</f>
        <v>2097</v>
      </c>
      <c r="R20" s="12">
        <f>+R19+D20</f>
        <v>2052</v>
      </c>
      <c r="S20" s="12">
        <f>+S19+E20</f>
        <v>2047</v>
      </c>
      <c r="T20" s="12">
        <f>+T19+F20</f>
        <v>2037</v>
      </c>
      <c r="U20" s="12">
        <f>+U19+G20</f>
        <v>2025</v>
      </c>
      <c r="V20" s="17">
        <f>+V19+H20</f>
        <v>2025</v>
      </c>
      <c r="W20" s="17">
        <f>+W19+I20</f>
        <v>2025</v>
      </c>
      <c r="X20" s="17">
        <f>+X19+J20</f>
        <v>2025</v>
      </c>
      <c r="Y20" s="17">
        <f>+Y19+K20</f>
        <v>2025</v>
      </c>
    </row>
    <row r="21" spans="2:25" x14ac:dyDescent="0.25">
      <c r="C21" s="12">
        <v>5</v>
      </c>
      <c r="D21" s="12">
        <v>5</v>
      </c>
      <c r="E21" s="12">
        <v>5</v>
      </c>
      <c r="F21" s="12">
        <v>5</v>
      </c>
      <c r="G21" s="12">
        <v>1</v>
      </c>
      <c r="H21" s="17">
        <v>1</v>
      </c>
      <c r="I21" s="17">
        <v>1</v>
      </c>
      <c r="J21" s="12">
        <v>10</v>
      </c>
      <c r="K21" s="12">
        <v>3</v>
      </c>
      <c r="L21" s="56">
        <v>1</v>
      </c>
      <c r="M21" s="56">
        <v>1</v>
      </c>
      <c r="N21" s="56"/>
      <c r="Q21" s="12">
        <f>+Q20+C21</f>
        <v>2102</v>
      </c>
      <c r="R21" s="12">
        <f>+R20+D21</f>
        <v>2057</v>
      </c>
      <c r="S21" s="12">
        <f>+S20+E21</f>
        <v>2052</v>
      </c>
      <c r="T21" s="12">
        <f>+T20+F21</f>
        <v>2042</v>
      </c>
      <c r="U21" s="12">
        <f>+U20+G21</f>
        <v>2026</v>
      </c>
      <c r="V21" s="17">
        <f>+V20+H21</f>
        <v>2026</v>
      </c>
      <c r="W21" s="17">
        <f>+W20+I21</f>
        <v>2026</v>
      </c>
      <c r="X21" s="17">
        <f>+X20+J21-5</f>
        <v>2030</v>
      </c>
      <c r="Y21" s="17">
        <f>+Y20+K21-1</f>
        <v>2027</v>
      </c>
    </row>
    <row r="22" spans="2:25" x14ac:dyDescent="0.25">
      <c r="D22" s="12">
        <v>5</v>
      </c>
      <c r="E22" s="12">
        <v>5</v>
      </c>
      <c r="F22" s="12">
        <v>5</v>
      </c>
      <c r="G22" s="12">
        <v>1</v>
      </c>
      <c r="H22" s="17">
        <v>1</v>
      </c>
      <c r="I22" s="17">
        <v>1</v>
      </c>
      <c r="J22" s="12">
        <v>10</v>
      </c>
      <c r="K22" s="12">
        <v>4</v>
      </c>
      <c r="L22" s="56">
        <v>1</v>
      </c>
      <c r="M22" s="56">
        <v>1</v>
      </c>
      <c r="N22" s="56"/>
      <c r="R22" s="12">
        <f>+R21+D22</f>
        <v>2062</v>
      </c>
      <c r="S22" s="12">
        <f>+S21+E22</f>
        <v>2057</v>
      </c>
      <c r="T22" s="12">
        <f>+T21+F22</f>
        <v>2047</v>
      </c>
      <c r="U22" s="12">
        <f>+U21+G22</f>
        <v>2027</v>
      </c>
      <c r="V22" s="17">
        <f>+V21+H22</f>
        <v>2027</v>
      </c>
      <c r="W22" s="17">
        <f>+W21+I22</f>
        <v>2027</v>
      </c>
      <c r="X22" s="17">
        <f>+X21+J22</f>
        <v>2040</v>
      </c>
      <c r="Y22" s="17">
        <f>+Y21+K22-2</f>
        <v>2029</v>
      </c>
    </row>
    <row r="23" spans="2:25" x14ac:dyDescent="0.25">
      <c r="D23" s="12">
        <v>5</v>
      </c>
      <c r="E23" s="12">
        <v>5</v>
      </c>
      <c r="F23" s="12">
        <v>5</v>
      </c>
      <c r="G23" s="12">
        <v>1</v>
      </c>
      <c r="H23" s="17">
        <v>1</v>
      </c>
      <c r="I23" s="17">
        <v>1</v>
      </c>
      <c r="J23" s="12">
        <v>10</v>
      </c>
      <c r="K23" s="12">
        <v>5</v>
      </c>
      <c r="L23" s="56">
        <v>1</v>
      </c>
      <c r="M23" s="56">
        <v>1</v>
      </c>
      <c r="N23" s="56"/>
      <c r="R23" s="12">
        <f>+R22+D23</f>
        <v>2067</v>
      </c>
      <c r="S23" s="12">
        <f>+S22+E23</f>
        <v>2062</v>
      </c>
      <c r="T23" s="12">
        <f>+T22+F23</f>
        <v>2052</v>
      </c>
      <c r="U23" s="12">
        <f>+U22+G23</f>
        <v>2028</v>
      </c>
      <c r="V23" s="17">
        <f>+V22+H23</f>
        <v>2028</v>
      </c>
      <c r="W23" s="17">
        <f>+W22+I23</f>
        <v>2028</v>
      </c>
      <c r="X23" s="17">
        <f>+X22+J23</f>
        <v>2050</v>
      </c>
      <c r="Y23" s="17">
        <f t="shared" ref="Y23:Y29" si="3">+Y22+K23</f>
        <v>2034</v>
      </c>
    </row>
    <row r="24" spans="2:25" x14ac:dyDescent="0.25">
      <c r="D24" s="12">
        <v>5</v>
      </c>
      <c r="E24" s="12">
        <v>5</v>
      </c>
      <c r="F24" s="12">
        <v>5</v>
      </c>
      <c r="G24" s="12">
        <v>1</v>
      </c>
      <c r="H24" s="17">
        <v>1</v>
      </c>
      <c r="I24" s="17">
        <v>1</v>
      </c>
      <c r="J24" s="12">
        <v>10</v>
      </c>
      <c r="K24" s="12">
        <v>5</v>
      </c>
      <c r="L24" s="56">
        <v>1</v>
      </c>
      <c r="M24" s="56">
        <v>1</v>
      </c>
      <c r="N24" s="56"/>
      <c r="R24" s="12">
        <f>+R23+D24</f>
        <v>2072</v>
      </c>
      <c r="S24" s="12">
        <f>+S23+E24</f>
        <v>2067</v>
      </c>
      <c r="T24" s="12">
        <f>+T23+F24</f>
        <v>2057</v>
      </c>
      <c r="U24" s="12">
        <f>+U23+G24</f>
        <v>2029</v>
      </c>
      <c r="V24" s="17">
        <f>+V23+H24</f>
        <v>2029</v>
      </c>
      <c r="W24" s="17">
        <f>+W23+I24</f>
        <v>2029</v>
      </c>
      <c r="X24" s="17">
        <f>+X23+J24</f>
        <v>2060</v>
      </c>
      <c r="Y24" s="17">
        <f t="shared" si="3"/>
        <v>2039</v>
      </c>
    </row>
    <row r="25" spans="2:25" x14ac:dyDescent="0.25">
      <c r="E25" s="12">
        <v>5</v>
      </c>
      <c r="F25" s="12">
        <v>5</v>
      </c>
      <c r="G25" s="12">
        <v>1</v>
      </c>
      <c r="H25" s="17">
        <v>1</v>
      </c>
      <c r="I25" s="17">
        <v>1</v>
      </c>
      <c r="J25" s="12">
        <v>10</v>
      </c>
      <c r="K25" s="12">
        <v>5</v>
      </c>
      <c r="L25" s="56">
        <v>1</v>
      </c>
      <c r="M25" s="56">
        <v>1</v>
      </c>
      <c r="N25" s="56"/>
      <c r="S25" s="12">
        <f>+S24+E25</f>
        <v>2072</v>
      </c>
      <c r="T25" s="12">
        <f>+T24+F25</f>
        <v>2062</v>
      </c>
      <c r="U25" s="12">
        <f>+U24+G25</f>
        <v>2030</v>
      </c>
      <c r="V25" s="17">
        <f>+V24+H25</f>
        <v>2030</v>
      </c>
      <c r="W25" s="17">
        <f>+W24+I25</f>
        <v>2030</v>
      </c>
      <c r="X25" s="17">
        <f>+X24+J25</f>
        <v>2070</v>
      </c>
      <c r="Y25" s="17">
        <f t="shared" si="3"/>
        <v>2044</v>
      </c>
    </row>
    <row r="26" spans="2:25" x14ac:dyDescent="0.25">
      <c r="F26" s="12">
        <v>5</v>
      </c>
      <c r="G26" s="12">
        <v>1</v>
      </c>
      <c r="H26" s="17">
        <v>1</v>
      </c>
      <c r="I26" s="17">
        <v>1</v>
      </c>
      <c r="J26" s="12">
        <v>10</v>
      </c>
      <c r="K26" s="12">
        <v>5</v>
      </c>
      <c r="L26" s="56">
        <v>1</v>
      </c>
      <c r="M26" s="56">
        <v>1</v>
      </c>
      <c r="N26" s="56"/>
      <c r="T26" s="12">
        <f>+T25+F26</f>
        <v>2067</v>
      </c>
      <c r="U26" s="12">
        <f>+U25+G26</f>
        <v>2031</v>
      </c>
      <c r="V26" s="17">
        <f>+V25+H26</f>
        <v>2031</v>
      </c>
      <c r="W26" s="17">
        <f>+W25+I26</f>
        <v>2031</v>
      </c>
      <c r="X26" s="17">
        <f>+X25+J26</f>
        <v>2080</v>
      </c>
      <c r="Y26" s="17">
        <f t="shared" si="3"/>
        <v>2049</v>
      </c>
    </row>
    <row r="27" spans="2:25" x14ac:dyDescent="0.25">
      <c r="F27" s="12">
        <v>5</v>
      </c>
      <c r="G27" s="12">
        <v>1</v>
      </c>
      <c r="H27" s="17">
        <v>1</v>
      </c>
      <c r="I27" s="17">
        <v>1</v>
      </c>
      <c r="J27" s="12">
        <v>10</v>
      </c>
      <c r="K27" s="12">
        <v>5</v>
      </c>
      <c r="L27" s="56">
        <v>1</v>
      </c>
      <c r="M27" s="56">
        <v>1</v>
      </c>
      <c r="N27" s="56"/>
      <c r="T27" s="12">
        <f>+T26+F27</f>
        <v>2072</v>
      </c>
      <c r="U27" s="12">
        <f>+U26+G27</f>
        <v>2032</v>
      </c>
      <c r="V27" s="17">
        <f>+V26+H27</f>
        <v>2032</v>
      </c>
      <c r="W27" s="17">
        <f>+W26+I27</f>
        <v>2032</v>
      </c>
      <c r="X27" s="17">
        <f>+X26+J27</f>
        <v>2090</v>
      </c>
      <c r="Y27" s="17">
        <f t="shared" si="3"/>
        <v>2054</v>
      </c>
    </row>
    <row r="28" spans="2:25" x14ac:dyDescent="0.25">
      <c r="G28" s="12">
        <v>5</v>
      </c>
      <c r="H28" s="17">
        <v>1</v>
      </c>
      <c r="I28" s="17">
        <v>1</v>
      </c>
      <c r="J28" s="12">
        <v>10</v>
      </c>
      <c r="K28" s="12">
        <v>5</v>
      </c>
      <c r="L28" s="56">
        <v>1</v>
      </c>
      <c r="M28" s="56">
        <v>1</v>
      </c>
      <c r="N28" s="56"/>
      <c r="U28" s="12">
        <f>+U27+G28</f>
        <v>2037</v>
      </c>
      <c r="V28" s="17">
        <f>+V27+H28</f>
        <v>2033</v>
      </c>
      <c r="W28" s="17">
        <f>+W27+I28</f>
        <v>2033</v>
      </c>
      <c r="X28" s="17">
        <f>+X27+J28</f>
        <v>2100</v>
      </c>
      <c r="Y28" s="17">
        <f t="shared" si="3"/>
        <v>2059</v>
      </c>
    </row>
    <row r="29" spans="2:25" x14ac:dyDescent="0.25">
      <c r="G29" s="12">
        <v>5</v>
      </c>
      <c r="H29" s="17">
        <v>1</v>
      </c>
      <c r="I29" s="17">
        <v>1</v>
      </c>
      <c r="K29" s="12">
        <v>5</v>
      </c>
      <c r="L29" s="56">
        <v>1</v>
      </c>
      <c r="M29" s="56">
        <v>1</v>
      </c>
      <c r="N29" s="56"/>
      <c r="U29" s="12">
        <f>+U28+G29</f>
        <v>2042</v>
      </c>
      <c r="V29" s="17">
        <f>+V28+H29</f>
        <v>2034</v>
      </c>
      <c r="W29" s="17">
        <f>+W28+I29</f>
        <v>2034</v>
      </c>
      <c r="Y29" s="17">
        <f t="shared" si="3"/>
        <v>2064</v>
      </c>
    </row>
    <row r="30" spans="2:25" x14ac:dyDescent="0.25">
      <c r="G30" s="12">
        <v>5</v>
      </c>
      <c r="H30" s="17">
        <v>1</v>
      </c>
      <c r="I30" s="17">
        <v>1</v>
      </c>
      <c r="K30" s="12">
        <v>5</v>
      </c>
      <c r="L30" s="56">
        <v>1</v>
      </c>
      <c r="M30" s="56">
        <v>1</v>
      </c>
      <c r="N30" s="56"/>
      <c r="U30" s="12">
        <f>+U29+G30</f>
        <v>2047</v>
      </c>
      <c r="V30" s="17">
        <f>+V29+H30</f>
        <v>2035</v>
      </c>
      <c r="W30" s="17">
        <f>+W29+I30</f>
        <v>2035</v>
      </c>
      <c r="Y30" s="17">
        <f t="shared" ref="Y30:Y35" si="4">+Y29+K30</f>
        <v>2069</v>
      </c>
    </row>
    <row r="31" spans="2:25" x14ac:dyDescent="0.25">
      <c r="G31" s="12">
        <v>5</v>
      </c>
      <c r="H31" s="17">
        <v>1</v>
      </c>
      <c r="I31" s="17">
        <v>1</v>
      </c>
      <c r="K31" s="12">
        <v>5</v>
      </c>
      <c r="L31" s="56">
        <v>1</v>
      </c>
      <c r="M31" s="56">
        <v>1</v>
      </c>
      <c r="N31" s="56"/>
      <c r="U31" s="12">
        <f>+U30+G31</f>
        <v>2052</v>
      </c>
      <c r="V31" s="17">
        <f>+V30+H31</f>
        <v>2036</v>
      </c>
      <c r="W31" s="17">
        <f>+W30+I31</f>
        <v>2036</v>
      </c>
      <c r="Y31" s="17">
        <f t="shared" si="4"/>
        <v>2074</v>
      </c>
    </row>
    <row r="32" spans="2:25" x14ac:dyDescent="0.25">
      <c r="G32" s="12">
        <v>5</v>
      </c>
      <c r="H32" s="17">
        <v>1</v>
      </c>
      <c r="I32" s="17">
        <v>1</v>
      </c>
      <c r="K32" s="12">
        <v>5</v>
      </c>
      <c r="L32" s="56">
        <v>1</v>
      </c>
      <c r="M32" s="56">
        <v>1</v>
      </c>
      <c r="N32" s="56"/>
      <c r="U32" s="12">
        <f>+U31+G32</f>
        <v>2057</v>
      </c>
      <c r="V32" s="17">
        <f>+V31+H32</f>
        <v>2037</v>
      </c>
      <c r="W32" s="17">
        <f>+W31+I32</f>
        <v>2037</v>
      </c>
      <c r="Y32" s="17">
        <f t="shared" si="4"/>
        <v>2079</v>
      </c>
    </row>
    <row r="33" spans="7:25" x14ac:dyDescent="0.25">
      <c r="G33" s="12">
        <v>5</v>
      </c>
      <c r="H33" s="17">
        <v>1</v>
      </c>
      <c r="I33" s="17">
        <v>1</v>
      </c>
      <c r="K33" s="12">
        <v>5</v>
      </c>
      <c r="L33" s="56">
        <v>1</v>
      </c>
      <c r="M33" s="56">
        <v>1</v>
      </c>
      <c r="N33" s="56"/>
      <c r="U33" s="12">
        <f>+U32+G33</f>
        <v>2062</v>
      </c>
      <c r="V33" s="17">
        <f>+V32+H33</f>
        <v>2038</v>
      </c>
      <c r="W33" s="17">
        <f>+W32+I33</f>
        <v>2038</v>
      </c>
      <c r="Y33" s="17">
        <f t="shared" si="4"/>
        <v>2084</v>
      </c>
    </row>
    <row r="34" spans="7:25" x14ac:dyDescent="0.25">
      <c r="G34" s="12">
        <v>5</v>
      </c>
      <c r="H34" s="17">
        <v>1</v>
      </c>
      <c r="I34" s="17">
        <v>1</v>
      </c>
      <c r="K34" s="12">
        <v>5</v>
      </c>
      <c r="L34" s="56">
        <v>1</v>
      </c>
      <c r="M34" s="56">
        <v>1</v>
      </c>
      <c r="N34" s="56"/>
      <c r="U34" s="12">
        <f>+U33+G34</f>
        <v>2067</v>
      </c>
      <c r="V34" s="17">
        <f>+V33+H34</f>
        <v>2039</v>
      </c>
      <c r="W34" s="17">
        <f>+W33+I34</f>
        <v>2039</v>
      </c>
      <c r="Y34" s="17">
        <f t="shared" si="4"/>
        <v>2089</v>
      </c>
    </row>
    <row r="35" spans="7:25" x14ac:dyDescent="0.25">
      <c r="G35" s="12">
        <v>5</v>
      </c>
      <c r="H35" s="17">
        <v>1</v>
      </c>
      <c r="I35" s="17">
        <v>1</v>
      </c>
      <c r="K35" s="12">
        <v>5</v>
      </c>
      <c r="L35" s="56">
        <v>1</v>
      </c>
      <c r="M35" s="56">
        <v>1</v>
      </c>
      <c r="N35" s="56"/>
      <c r="U35" s="12">
        <f>+U34+G35</f>
        <v>2072</v>
      </c>
      <c r="V35" s="17">
        <f>+V34+H35</f>
        <v>2040</v>
      </c>
      <c r="W35" s="17">
        <f>+W34+I35</f>
        <v>2040</v>
      </c>
      <c r="Y35" s="17">
        <f t="shared" si="4"/>
        <v>2094</v>
      </c>
    </row>
    <row r="36" spans="7:25" x14ac:dyDescent="0.25">
      <c r="H36" s="17">
        <v>1</v>
      </c>
      <c r="I36" s="17">
        <v>1</v>
      </c>
      <c r="K36" s="12">
        <v>5</v>
      </c>
      <c r="L36" s="56">
        <v>1</v>
      </c>
      <c r="M36" s="56">
        <v>1</v>
      </c>
      <c r="N36" s="56"/>
      <c r="V36" s="17">
        <f t="shared" ref="V36:V45" si="5">+V35+H36</f>
        <v>2041</v>
      </c>
      <c r="W36" s="17">
        <f t="shared" ref="W36:W45" si="6">+W35+I36</f>
        <v>2041</v>
      </c>
      <c r="Y36" s="17">
        <f>+Y35+K36</f>
        <v>2099</v>
      </c>
    </row>
    <row r="37" spans="7:25" x14ac:dyDescent="0.25">
      <c r="H37" s="17">
        <v>1</v>
      </c>
      <c r="I37" s="17">
        <v>1</v>
      </c>
      <c r="L37" s="56">
        <v>1</v>
      </c>
      <c r="M37" s="56">
        <v>1</v>
      </c>
      <c r="N37" s="56"/>
      <c r="V37" s="17">
        <f t="shared" si="5"/>
        <v>2042</v>
      </c>
      <c r="W37" s="17">
        <f t="shared" si="6"/>
        <v>2042</v>
      </c>
    </row>
    <row r="38" spans="7:25" x14ac:dyDescent="0.25">
      <c r="H38" s="17">
        <v>1</v>
      </c>
      <c r="I38" s="17">
        <v>1</v>
      </c>
      <c r="L38" s="56">
        <v>1</v>
      </c>
      <c r="M38" s="56">
        <v>1</v>
      </c>
      <c r="N38" s="56"/>
      <c r="V38" s="17">
        <f t="shared" si="5"/>
        <v>2043</v>
      </c>
      <c r="W38" s="17">
        <f t="shared" si="6"/>
        <v>2043</v>
      </c>
    </row>
    <row r="39" spans="7:25" x14ac:dyDescent="0.25">
      <c r="H39" s="17">
        <v>1</v>
      </c>
      <c r="I39" s="17">
        <v>1</v>
      </c>
      <c r="L39" s="56">
        <v>1</v>
      </c>
      <c r="M39" s="56">
        <v>1</v>
      </c>
      <c r="N39" s="56"/>
      <c r="V39" s="17">
        <f t="shared" si="5"/>
        <v>2044</v>
      </c>
      <c r="W39" s="17">
        <f t="shared" si="6"/>
        <v>2044</v>
      </c>
    </row>
    <row r="40" spans="7:25" x14ac:dyDescent="0.25">
      <c r="H40" s="17">
        <v>1</v>
      </c>
      <c r="I40" s="17">
        <v>1</v>
      </c>
      <c r="L40" s="56">
        <v>1</v>
      </c>
      <c r="M40" s="56">
        <v>1</v>
      </c>
      <c r="N40" s="56"/>
      <c r="V40" s="17">
        <f t="shared" si="5"/>
        <v>2045</v>
      </c>
      <c r="W40" s="17">
        <f t="shared" si="6"/>
        <v>2045</v>
      </c>
    </row>
    <row r="41" spans="7:25" x14ac:dyDescent="0.25">
      <c r="H41" s="17">
        <v>1</v>
      </c>
      <c r="I41" s="17">
        <v>1</v>
      </c>
      <c r="L41" s="56">
        <v>1</v>
      </c>
      <c r="M41" s="56">
        <v>1</v>
      </c>
      <c r="N41" s="56"/>
      <c r="V41" s="17">
        <f t="shared" si="5"/>
        <v>2046</v>
      </c>
      <c r="W41" s="17">
        <f t="shared" si="6"/>
        <v>2046</v>
      </c>
    </row>
    <row r="42" spans="7:25" x14ac:dyDescent="0.25">
      <c r="H42" s="17">
        <v>1</v>
      </c>
      <c r="I42" s="17">
        <v>1</v>
      </c>
      <c r="L42" s="56">
        <v>1</v>
      </c>
      <c r="M42" s="56">
        <v>1</v>
      </c>
      <c r="N42" s="56"/>
      <c r="V42" s="17">
        <f t="shared" si="5"/>
        <v>2047</v>
      </c>
      <c r="W42" s="17">
        <f t="shared" si="6"/>
        <v>2047</v>
      </c>
    </row>
    <row r="43" spans="7:25" x14ac:dyDescent="0.25">
      <c r="H43" s="17">
        <v>1</v>
      </c>
      <c r="I43" s="17">
        <v>1</v>
      </c>
      <c r="L43" s="56">
        <v>1</v>
      </c>
      <c r="M43" s="56">
        <v>1</v>
      </c>
      <c r="N43" s="56"/>
      <c r="V43" s="17">
        <f t="shared" si="5"/>
        <v>2048</v>
      </c>
      <c r="W43" s="17">
        <f t="shared" si="6"/>
        <v>2048</v>
      </c>
    </row>
    <row r="44" spans="7:25" x14ac:dyDescent="0.25">
      <c r="H44" s="17">
        <v>1</v>
      </c>
      <c r="I44" s="17">
        <v>1</v>
      </c>
      <c r="L44" s="56">
        <v>1</v>
      </c>
      <c r="M44" s="56">
        <v>1</v>
      </c>
      <c r="N44" s="56"/>
      <c r="V44" s="17">
        <f t="shared" si="5"/>
        <v>2049</v>
      </c>
      <c r="W44" s="17">
        <f t="shared" si="6"/>
        <v>2049</v>
      </c>
    </row>
    <row r="45" spans="7:25" x14ac:dyDescent="0.25">
      <c r="H45" s="17">
        <v>1</v>
      </c>
      <c r="I45" s="17">
        <v>1</v>
      </c>
      <c r="L45" s="56">
        <v>1</v>
      </c>
      <c r="M45" s="56">
        <v>1</v>
      </c>
      <c r="N45" s="56"/>
      <c r="V45" s="17">
        <f t="shared" si="5"/>
        <v>2050</v>
      </c>
      <c r="W45" s="17">
        <f t="shared" si="6"/>
        <v>2050</v>
      </c>
    </row>
    <row r="46" spans="7:25" x14ac:dyDescent="0.25">
      <c r="I46" s="17">
        <v>1</v>
      </c>
      <c r="L46" s="56">
        <v>1</v>
      </c>
      <c r="M46" s="56">
        <v>1</v>
      </c>
      <c r="N46" s="56"/>
      <c r="W46" s="17">
        <f>+W45+I46</f>
        <v>2051</v>
      </c>
    </row>
    <row r="47" spans="7:25" x14ac:dyDescent="0.25">
      <c r="I47" s="17">
        <v>1</v>
      </c>
      <c r="L47" s="56">
        <v>1</v>
      </c>
      <c r="M47" s="56">
        <v>1</v>
      </c>
      <c r="N47" s="56"/>
      <c r="W47" s="17">
        <f>+W46+I47</f>
        <v>2052</v>
      </c>
    </row>
    <row r="48" spans="7:25" x14ac:dyDescent="0.25">
      <c r="I48" s="17">
        <v>5</v>
      </c>
      <c r="L48" s="56">
        <v>1</v>
      </c>
      <c r="M48" s="56">
        <v>1</v>
      </c>
      <c r="N48" s="56"/>
      <c r="W48" s="17">
        <f>+W47+I48-2</f>
        <v>2055</v>
      </c>
    </row>
    <row r="49" spans="9:23" x14ac:dyDescent="0.25">
      <c r="I49" s="17">
        <v>5</v>
      </c>
      <c r="L49" s="56">
        <v>1</v>
      </c>
      <c r="M49" s="56">
        <v>1</v>
      </c>
      <c r="N49" s="56"/>
      <c r="W49" s="17">
        <f t="shared" ref="W49:W51" si="7">+W48+I49</f>
        <v>2060</v>
      </c>
    </row>
    <row r="50" spans="9:23" x14ac:dyDescent="0.25">
      <c r="I50" s="17">
        <v>5</v>
      </c>
      <c r="L50" s="56">
        <v>1</v>
      </c>
      <c r="M50" s="56">
        <v>1</v>
      </c>
      <c r="N50" s="56"/>
      <c r="W50" s="17">
        <f t="shared" si="7"/>
        <v>2065</v>
      </c>
    </row>
    <row r="51" spans="9:23" x14ac:dyDescent="0.25">
      <c r="I51" s="17">
        <v>5</v>
      </c>
      <c r="L51" s="56">
        <v>1</v>
      </c>
      <c r="M51" s="56">
        <v>1</v>
      </c>
      <c r="N51" s="56"/>
      <c r="W51" s="17">
        <f t="shared" si="7"/>
        <v>2070</v>
      </c>
    </row>
    <row r="52" spans="9:23" x14ac:dyDescent="0.25">
      <c r="L52" s="56">
        <v>1</v>
      </c>
      <c r="M52" s="56">
        <v>1</v>
      </c>
      <c r="N52" s="56"/>
    </row>
    <row r="53" spans="9:23" x14ac:dyDescent="0.25">
      <c r="L53" s="56">
        <v>1</v>
      </c>
      <c r="M53" s="56">
        <v>1</v>
      </c>
      <c r="N53" s="56"/>
    </row>
    <row r="54" spans="9:23" x14ac:dyDescent="0.25">
      <c r="L54" s="56">
        <v>1</v>
      </c>
      <c r="M54" s="56">
        <v>1</v>
      </c>
      <c r="N54" s="56"/>
    </row>
    <row r="55" spans="9:23" x14ac:dyDescent="0.25">
      <c r="L55" s="56">
        <v>1</v>
      </c>
      <c r="M55" s="56">
        <v>1</v>
      </c>
      <c r="N55" s="56"/>
    </row>
    <row r="56" spans="9:23" x14ac:dyDescent="0.25">
      <c r="L56" s="56">
        <v>1</v>
      </c>
      <c r="M56" s="56">
        <v>1</v>
      </c>
      <c r="N56" s="56"/>
    </row>
    <row r="57" spans="9:23" x14ac:dyDescent="0.25">
      <c r="L57" s="56">
        <v>1</v>
      </c>
      <c r="M57" s="56">
        <v>1</v>
      </c>
      <c r="N57" s="56"/>
    </row>
    <row r="58" spans="9:23" x14ac:dyDescent="0.25">
      <c r="L58" s="56">
        <v>1</v>
      </c>
      <c r="M58" s="56">
        <v>1</v>
      </c>
      <c r="N58" s="56"/>
    </row>
    <row r="59" spans="9:23" x14ac:dyDescent="0.25">
      <c r="L59" s="56">
        <v>1</v>
      </c>
      <c r="M59" s="56">
        <v>1</v>
      </c>
      <c r="N59" s="56"/>
    </row>
    <row r="60" spans="9:23" x14ac:dyDescent="0.25">
      <c r="L60" s="56">
        <v>1</v>
      </c>
      <c r="M60" s="56">
        <v>1</v>
      </c>
      <c r="N60" s="56"/>
    </row>
    <row r="61" spans="9:23" x14ac:dyDescent="0.25">
      <c r="L61" s="56">
        <v>1</v>
      </c>
      <c r="M61" s="56">
        <v>1</v>
      </c>
      <c r="N61" s="56"/>
    </row>
    <row r="62" spans="9:23" x14ac:dyDescent="0.25">
      <c r="L62" s="56">
        <v>1</v>
      </c>
      <c r="M62" s="56">
        <v>1</v>
      </c>
      <c r="N62" s="56"/>
    </row>
    <row r="63" spans="9:23" x14ac:dyDescent="0.25">
      <c r="L63" s="56">
        <v>1</v>
      </c>
      <c r="M63" s="56">
        <v>1</v>
      </c>
      <c r="N63" s="56"/>
    </row>
    <row r="64" spans="9:23" x14ac:dyDescent="0.25">
      <c r="L64" s="56">
        <v>1</v>
      </c>
      <c r="M64" s="56">
        <v>1</v>
      </c>
      <c r="N64" s="56"/>
    </row>
    <row r="65" spans="12:14" x14ac:dyDescent="0.25">
      <c r="L65" s="56">
        <v>1</v>
      </c>
      <c r="M65" s="56">
        <v>1</v>
      </c>
      <c r="N65" s="56"/>
    </row>
    <row r="66" spans="12:14" x14ac:dyDescent="0.25">
      <c r="M66" s="56">
        <v>1</v>
      </c>
      <c r="N66" s="56"/>
    </row>
    <row r="67" spans="12:14" x14ac:dyDescent="0.25">
      <c r="M67" s="56">
        <v>1</v>
      </c>
      <c r="N67" s="56"/>
    </row>
    <row r="68" spans="12:14" x14ac:dyDescent="0.25">
      <c r="M68" s="56">
        <v>1</v>
      </c>
      <c r="N68" s="56"/>
    </row>
    <row r="69" spans="12:14" x14ac:dyDescent="0.25">
      <c r="M69" s="56">
        <v>1</v>
      </c>
      <c r="N69" s="56"/>
    </row>
    <row r="70" spans="12:14" x14ac:dyDescent="0.25">
      <c r="M70" s="56">
        <v>1</v>
      </c>
      <c r="N70" s="56"/>
    </row>
    <row r="71" spans="12:14" x14ac:dyDescent="0.25">
      <c r="M71" s="56">
        <v>1</v>
      </c>
      <c r="N71" s="56"/>
    </row>
    <row r="72" spans="12:14" x14ac:dyDescent="0.25">
      <c r="M72" s="56">
        <v>1</v>
      </c>
      <c r="N72" s="56"/>
    </row>
    <row r="73" spans="12:14" x14ac:dyDescent="0.25">
      <c r="M73" s="56">
        <v>1</v>
      </c>
      <c r="N73" s="56"/>
    </row>
    <row r="74" spans="12:14" x14ac:dyDescent="0.25">
      <c r="M74" s="56">
        <v>1</v>
      </c>
      <c r="N74" s="56"/>
    </row>
    <row r="75" spans="12:14" x14ac:dyDescent="0.25">
      <c r="M75" s="56">
        <v>1</v>
      </c>
      <c r="N75" s="56"/>
    </row>
  </sheetData>
  <phoneticPr fontId="27" type="noConversion"/>
  <pageMargins left="0.75" right="0.75" top="1" bottom="1" header="0.5" footer="0.5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3:C9"/>
  <sheetViews>
    <sheetView topLeftCell="A8" zoomScale="80" zoomScaleNormal="80" workbookViewId="0">
      <selection activeCell="C6" sqref="C6"/>
    </sheetView>
  </sheetViews>
  <sheetFormatPr defaultColWidth="11.453125" defaultRowHeight="12.5" x14ac:dyDescent="0.25"/>
  <cols>
    <col min="2" max="2" width="52.54296875" customWidth="1"/>
  </cols>
  <sheetData>
    <row r="3" spans="2:3" ht="13" x14ac:dyDescent="0.3">
      <c r="B3" s="14" t="s">
        <v>24</v>
      </c>
    </row>
    <row r="4" spans="2:3" ht="13" x14ac:dyDescent="0.3">
      <c r="B4" s="15" t="s">
        <v>25</v>
      </c>
      <c r="C4" s="16" t="s">
        <v>26</v>
      </c>
    </row>
    <row r="5" spans="2:3" x14ac:dyDescent="0.25">
      <c r="B5" s="17" t="s">
        <v>27</v>
      </c>
      <c r="C5" s="17">
        <v>1</v>
      </c>
    </row>
    <row r="6" spans="2:3" x14ac:dyDescent="0.25">
      <c r="B6" s="12" t="s">
        <v>28</v>
      </c>
      <c r="C6" s="12">
        <v>1</v>
      </c>
    </row>
    <row r="7" spans="2:3" x14ac:dyDescent="0.25">
      <c r="B7" s="12" t="s">
        <v>29</v>
      </c>
      <c r="C7" s="12">
        <v>1</v>
      </c>
    </row>
    <row r="8" spans="2:3" x14ac:dyDescent="0.25">
      <c r="B8" s="12" t="s">
        <v>30</v>
      </c>
      <c r="C8" s="12">
        <v>0</v>
      </c>
    </row>
    <row r="9" spans="2:3" x14ac:dyDescent="0.25">
      <c r="B9" s="12" t="s">
        <v>49</v>
      </c>
      <c r="C9" s="12">
        <v>0</v>
      </c>
    </row>
  </sheetData>
  <pageMargins left="0.75" right="0.75" top="1" bottom="1" header="0.5" footer="0.5"/>
  <pageSetup orientation="portrait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30"/>
  <sheetViews>
    <sheetView zoomScaleNormal="100" workbookViewId="0">
      <selection activeCell="R37" sqref="R37"/>
    </sheetView>
  </sheetViews>
  <sheetFormatPr defaultColWidth="11.453125" defaultRowHeight="12.5" x14ac:dyDescent="0.25"/>
  <cols>
    <col min="3" max="3" width="13.1796875" customWidth="1"/>
    <col min="6" max="6" width="10.54296875" customWidth="1"/>
    <col min="7" max="8" width="6.453125" customWidth="1"/>
    <col min="10" max="10" width="23.36328125" customWidth="1"/>
    <col min="12" max="12" width="9.453125" customWidth="1"/>
  </cols>
  <sheetData>
    <row r="1" spans="1:16" ht="15.75" customHeight="1" x14ac:dyDescent="0.35">
      <c r="A1" s="22"/>
    </row>
    <row r="2" spans="1:16" ht="13" x14ac:dyDescent="0.3">
      <c r="O2" s="7"/>
    </row>
    <row r="3" spans="1:16" ht="13" x14ac:dyDescent="0.3">
      <c r="O3" s="24"/>
      <c r="P3" s="24"/>
    </row>
    <row r="4" spans="1:16" ht="13" x14ac:dyDescent="0.3">
      <c r="O4" s="24"/>
      <c r="P4" s="24"/>
    </row>
    <row r="5" spans="1:16" ht="13" x14ac:dyDescent="0.3">
      <c r="O5" s="24"/>
      <c r="P5" s="24"/>
    </row>
    <row r="6" spans="1:16" ht="13" x14ac:dyDescent="0.3">
      <c r="O6" s="24"/>
      <c r="P6" s="24"/>
    </row>
    <row r="7" spans="1:16" ht="13" x14ac:dyDescent="0.3">
      <c r="O7" s="24"/>
      <c r="P7" s="24"/>
    </row>
    <row r="8" spans="1:16" ht="13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13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13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ht="13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ht="13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 ht="18.75" customHeight="1" x14ac:dyDescent="0.45">
      <c r="A13" s="18" t="s">
        <v>52</v>
      </c>
      <c r="B13" s="19"/>
      <c r="C13" s="19"/>
      <c r="E13" s="23"/>
      <c r="F13" s="23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ht="13" x14ac:dyDescent="0.3">
      <c r="A14" s="23" t="s">
        <v>0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ht="13.5" customHeight="1" x14ac:dyDescent="0.3">
      <c r="A15" s="20" t="s">
        <v>12</v>
      </c>
      <c r="B15" s="20" t="s">
        <v>13</v>
      </c>
      <c r="C15" s="20" t="s">
        <v>14</v>
      </c>
      <c r="D15" s="20" t="s">
        <v>15</v>
      </c>
      <c r="E15" s="20" t="s">
        <v>3</v>
      </c>
      <c r="F15" s="20" t="s">
        <v>2</v>
      </c>
      <c r="G15" s="21" t="s">
        <v>50</v>
      </c>
      <c r="H15" s="21" t="s">
        <v>51</v>
      </c>
      <c r="I15" s="21" t="s">
        <v>16</v>
      </c>
      <c r="J15" s="21" t="s">
        <v>17</v>
      </c>
      <c r="K15" s="21" t="s">
        <v>23</v>
      </c>
      <c r="L15" s="21" t="s">
        <v>18</v>
      </c>
      <c r="M15" s="21" t="s">
        <v>19</v>
      </c>
      <c r="N15" s="21" t="s">
        <v>20</v>
      </c>
      <c r="O15" s="21" t="s">
        <v>21</v>
      </c>
      <c r="P15" s="21" t="s">
        <v>22</v>
      </c>
    </row>
    <row r="16" spans="1:16" ht="13" x14ac:dyDescent="0.3">
      <c r="A16" s="24"/>
      <c r="B16" s="24"/>
      <c r="C16" s="24" t="s">
        <v>4</v>
      </c>
      <c r="D16" s="24"/>
      <c r="E16" s="24"/>
      <c r="F16" s="24">
        <v>2500</v>
      </c>
      <c r="G16" s="24"/>
      <c r="H16" s="24"/>
      <c r="I16" s="24" t="s">
        <v>10</v>
      </c>
      <c r="J16" s="24" t="s">
        <v>1</v>
      </c>
      <c r="K16" s="24"/>
      <c r="L16" s="24"/>
      <c r="M16" s="24"/>
      <c r="N16" s="24"/>
      <c r="O16" s="24"/>
      <c r="P16" s="24"/>
    </row>
    <row r="17" spans="1:16" ht="13" x14ac:dyDescent="0.3">
      <c r="A17" s="24"/>
      <c r="B17" s="24"/>
      <c r="C17" s="24" t="s">
        <v>4</v>
      </c>
      <c r="D17" s="24"/>
      <c r="E17" s="24"/>
      <c r="F17" s="24">
        <v>5000</v>
      </c>
      <c r="G17" s="24"/>
      <c r="H17" s="24"/>
      <c r="I17" s="24" t="s">
        <v>10</v>
      </c>
      <c r="J17" s="24" t="s">
        <v>5</v>
      </c>
      <c r="K17" s="24"/>
      <c r="L17" s="24"/>
      <c r="M17" s="24"/>
      <c r="N17" s="24"/>
      <c r="O17" s="24"/>
      <c r="P17" s="24"/>
    </row>
    <row r="18" spans="1:16" ht="13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3" x14ac:dyDescent="0.3">
      <c r="A19" s="23" t="s">
        <v>11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13.5" thickBot="1" x14ac:dyDescent="0.35">
      <c r="A20" s="20" t="s">
        <v>12</v>
      </c>
      <c r="B20" s="20" t="s">
        <v>13</v>
      </c>
      <c r="C20" s="20" t="s">
        <v>14</v>
      </c>
      <c r="D20" s="20" t="s">
        <v>15</v>
      </c>
      <c r="E20" s="20" t="s">
        <v>3</v>
      </c>
      <c r="F20" s="20" t="s">
        <v>2</v>
      </c>
      <c r="G20" s="21" t="s">
        <v>50</v>
      </c>
      <c r="H20" s="21" t="s">
        <v>51</v>
      </c>
      <c r="I20" s="21" t="s">
        <v>16</v>
      </c>
      <c r="J20" s="21" t="s">
        <v>17</v>
      </c>
      <c r="K20" s="21" t="s">
        <v>23</v>
      </c>
      <c r="L20" s="21" t="s">
        <v>18</v>
      </c>
      <c r="M20" s="21" t="s">
        <v>19</v>
      </c>
      <c r="N20" s="21" t="s">
        <v>20</v>
      </c>
      <c r="O20" s="21" t="s">
        <v>21</v>
      </c>
      <c r="P20" s="21" t="s">
        <v>22</v>
      </c>
    </row>
    <row r="21" spans="1:16" ht="13" x14ac:dyDescent="0.3">
      <c r="A21" s="24" t="s">
        <v>165</v>
      </c>
      <c r="B21" s="24" t="s">
        <v>165</v>
      </c>
      <c r="C21" s="24" t="s">
        <v>166</v>
      </c>
      <c r="D21" s="24"/>
      <c r="E21" s="24"/>
      <c r="F21" s="24" t="s">
        <v>165</v>
      </c>
      <c r="G21" s="24"/>
      <c r="H21" s="24"/>
      <c r="I21" s="24" t="s">
        <v>10</v>
      </c>
      <c r="J21" s="24" t="s">
        <v>1</v>
      </c>
      <c r="K21" s="24"/>
      <c r="L21" s="24"/>
      <c r="M21" s="24" t="s">
        <v>162</v>
      </c>
      <c r="N21" s="24"/>
      <c r="O21" s="24" t="s">
        <v>163</v>
      </c>
      <c r="P21" s="24"/>
    </row>
    <row r="22" spans="1:16" ht="13" x14ac:dyDescent="0.3">
      <c r="A22" s="24"/>
      <c r="B22" s="24"/>
      <c r="C22" s="24" t="s">
        <v>164</v>
      </c>
      <c r="D22" s="24"/>
      <c r="E22" s="24"/>
      <c r="F22" s="24">
        <v>0</v>
      </c>
      <c r="G22" s="24"/>
      <c r="H22" s="24"/>
      <c r="I22" s="24"/>
      <c r="J22" s="24" t="s">
        <v>5</v>
      </c>
      <c r="K22" s="24"/>
      <c r="L22" s="24"/>
      <c r="M22" s="24"/>
      <c r="N22" s="24"/>
      <c r="O22" s="24"/>
      <c r="P22" s="24"/>
    </row>
    <row r="23" spans="1:16" ht="13" x14ac:dyDescent="0.3">
      <c r="A23" s="24"/>
      <c r="B23" s="24"/>
      <c r="C23" s="24" t="s">
        <v>164</v>
      </c>
      <c r="D23" s="24">
        <v>0</v>
      </c>
      <c r="E23" s="24"/>
      <c r="F23" s="24">
        <v>5</v>
      </c>
      <c r="G23" s="24"/>
      <c r="H23" s="24"/>
      <c r="I23" s="24"/>
      <c r="J23" s="24" t="s">
        <v>171</v>
      </c>
      <c r="K23" s="24"/>
      <c r="L23" s="24"/>
      <c r="M23" s="24"/>
      <c r="N23" s="24"/>
      <c r="O23" s="24"/>
      <c r="P23" s="24"/>
    </row>
    <row r="24" spans="1:16" ht="13" x14ac:dyDescent="0.3">
      <c r="A24" s="24"/>
      <c r="B24" s="24"/>
      <c r="C24" s="24" t="s">
        <v>164</v>
      </c>
      <c r="D24" s="24"/>
      <c r="E24" s="24"/>
      <c r="F24" s="24">
        <v>0</v>
      </c>
      <c r="G24" s="24"/>
      <c r="H24" s="24"/>
      <c r="I24" s="24"/>
      <c r="J24" s="24" t="s">
        <v>171</v>
      </c>
      <c r="K24" s="24"/>
      <c r="L24" s="24"/>
      <c r="M24" s="24"/>
      <c r="N24" s="24"/>
      <c r="P24" s="24"/>
    </row>
    <row r="29" spans="1:16" ht="13" x14ac:dyDescent="0.3">
      <c r="B29" s="24"/>
      <c r="E29" s="24"/>
      <c r="I29" s="24"/>
    </row>
    <row r="30" spans="1:16" ht="13" x14ac:dyDescent="0.3">
      <c r="B30" s="24"/>
      <c r="E30" s="24"/>
      <c r="I30" s="24"/>
    </row>
  </sheetData>
  <pageMargins left="0.75" right="0.75" top="1" bottom="1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G34"/>
  <sheetViews>
    <sheetView topLeftCell="A3" zoomScaleNormal="100" workbookViewId="0">
      <selection activeCell="F30" sqref="F30"/>
    </sheetView>
  </sheetViews>
  <sheetFormatPr defaultColWidth="11.453125" defaultRowHeight="12.5" x14ac:dyDescent="0.25"/>
  <cols>
    <col min="2" max="2" width="12.1796875" customWidth="1"/>
    <col min="3" max="3" width="10.81640625" customWidth="1"/>
    <col min="4" max="4" width="14" customWidth="1"/>
    <col min="5" max="5" width="6.1796875" customWidth="1"/>
    <col min="6" max="6" width="17.54296875" customWidth="1"/>
    <col min="7" max="7" width="10.453125" customWidth="1"/>
  </cols>
  <sheetData>
    <row r="1" spans="2:7" ht="15.75" customHeight="1" x14ac:dyDescent="0.35">
      <c r="B1" s="22" t="s">
        <v>42</v>
      </c>
    </row>
    <row r="3" spans="2:7" ht="13" x14ac:dyDescent="0.3">
      <c r="B3" s="10" t="s">
        <v>11</v>
      </c>
    </row>
    <row r="4" spans="2:7" ht="13.5" customHeight="1" x14ac:dyDescent="0.3">
      <c r="B4" s="9" t="s">
        <v>12</v>
      </c>
      <c r="C4" s="9" t="s">
        <v>38</v>
      </c>
      <c r="D4" s="9" t="s">
        <v>14</v>
      </c>
      <c r="E4" s="9" t="s">
        <v>15</v>
      </c>
      <c r="F4" s="9" t="s">
        <v>3</v>
      </c>
      <c r="G4" s="9" t="s">
        <v>2</v>
      </c>
    </row>
    <row r="5" spans="2:7" ht="13" x14ac:dyDescent="0.3">
      <c r="D5" s="7" t="s">
        <v>39</v>
      </c>
      <c r="G5" s="7">
        <v>2018</v>
      </c>
    </row>
    <row r="6" spans="2:7" ht="13" x14ac:dyDescent="0.3">
      <c r="B6" s="26"/>
      <c r="C6" s="26"/>
      <c r="D6" s="26" t="s">
        <v>40</v>
      </c>
      <c r="E6" s="26"/>
      <c r="F6" s="26"/>
      <c r="G6" s="26">
        <v>0.04</v>
      </c>
    </row>
    <row r="7" spans="2:7" ht="13" x14ac:dyDescent="0.3">
      <c r="B7" s="26"/>
      <c r="C7" s="26" t="str">
        <f>_xlfn.CONCAT("MEUR",RIGHT(CPI!B3,4))</f>
        <v>MEUR2000</v>
      </c>
      <c r="D7" s="26" t="s">
        <v>41</v>
      </c>
      <c r="E7" s="26"/>
      <c r="F7" s="26" t="s">
        <v>161</v>
      </c>
      <c r="G7" s="27">
        <f>CPI!$D$21/CPI!D3</f>
        <v>1.3926669328933141</v>
      </c>
    </row>
    <row r="8" spans="2:7" ht="13" x14ac:dyDescent="0.3">
      <c r="B8" s="7"/>
      <c r="C8" s="7" t="str">
        <f>_xlfn.CONCAT("MEUR",RIGHT(CPI!B4,4))</f>
        <v>MEUR2001</v>
      </c>
      <c r="D8" s="7" t="s">
        <v>41</v>
      </c>
      <c r="E8" s="7"/>
      <c r="F8" s="7" t="s">
        <v>161</v>
      </c>
      <c r="G8" s="25">
        <f>CPI!$D$21/CPI!D4</f>
        <v>1.3626878012654737</v>
      </c>
    </row>
    <row r="9" spans="2:7" ht="13" x14ac:dyDescent="0.3">
      <c r="B9" s="7"/>
      <c r="C9" s="7" t="str">
        <f>_xlfn.CONCAT("MEUR",RIGHT(CPI!B5,4))</f>
        <v>MEUR2002</v>
      </c>
      <c r="D9" s="7" t="s">
        <v>41</v>
      </c>
      <c r="E9" s="7"/>
      <c r="F9" s="7" t="s">
        <v>161</v>
      </c>
      <c r="G9" s="25">
        <f>CPI!$D$21/CPI!D5</f>
        <v>1.3346599424735295</v>
      </c>
    </row>
    <row r="10" spans="2:7" ht="13" x14ac:dyDescent="0.3">
      <c r="B10" s="7"/>
      <c r="C10" s="7" t="str">
        <f>_xlfn.CONCAT("MEUR",RIGHT(CPI!B6,4))</f>
        <v>MEUR2003</v>
      </c>
      <c r="D10" s="7" t="s">
        <v>41</v>
      </c>
      <c r="E10" s="7"/>
      <c r="F10" s="7" t="s">
        <v>161</v>
      </c>
      <c r="G10" s="25">
        <f>CPI!$D$21/CPI!D6</f>
        <v>1.3084901396799309</v>
      </c>
    </row>
    <row r="11" spans="2:7" ht="13" x14ac:dyDescent="0.3">
      <c r="B11" s="7"/>
      <c r="C11" s="7" t="str">
        <f>_xlfn.CONCAT("MEUR",RIGHT(CPI!B7,4))</f>
        <v>MEUR2004</v>
      </c>
      <c r="D11" s="7" t="s">
        <v>41</v>
      </c>
      <c r="E11" s="7"/>
      <c r="F11" s="7" t="s">
        <v>161</v>
      </c>
      <c r="G11" s="25">
        <f>CPI!$D$21/CPI!D7</f>
        <v>1.2828334702744419</v>
      </c>
    </row>
    <row r="12" spans="2:7" ht="13" x14ac:dyDescent="0.3">
      <c r="B12" s="7"/>
      <c r="C12" s="7" t="str">
        <f>_xlfn.CONCAT("MEUR",RIGHT(CPI!B8,4))</f>
        <v>MEUR2005</v>
      </c>
      <c r="D12" s="7" t="s">
        <v>41</v>
      </c>
      <c r="E12" s="7"/>
      <c r="F12" s="7" t="s">
        <v>161</v>
      </c>
      <c r="G12" s="25">
        <f>CPI!$D$21/CPI!D8</f>
        <v>1.2552186597597279</v>
      </c>
    </row>
    <row r="13" spans="2:7" ht="13" x14ac:dyDescent="0.3">
      <c r="B13" s="7"/>
      <c r="C13" s="7" t="str">
        <f>_xlfn.CONCAT("MEUR",RIGHT(CPI!B9,4))</f>
        <v>MEUR2006</v>
      </c>
      <c r="D13" s="7" t="s">
        <v>41</v>
      </c>
      <c r="E13" s="7"/>
      <c r="F13" s="7" t="s">
        <v>161</v>
      </c>
      <c r="G13" s="25">
        <f>CPI!$D$21/CPI!D9</f>
        <v>1.2281982972208687</v>
      </c>
    </row>
    <row r="14" spans="2:7" ht="13" x14ac:dyDescent="0.3">
      <c r="B14" s="7"/>
      <c r="C14" s="7" t="str">
        <f>_xlfn.CONCAT("MEUR",RIGHT(CPI!B10,4))</f>
        <v>MEUR2007</v>
      </c>
      <c r="D14" s="7" t="s">
        <v>41</v>
      </c>
      <c r="E14" s="7"/>
      <c r="F14" s="7" t="s">
        <v>161</v>
      </c>
      <c r="G14" s="25">
        <f>CPI!$D$21/CPI!D10</f>
        <v>1.2005848457682002</v>
      </c>
    </row>
    <row r="15" spans="2:7" ht="13" x14ac:dyDescent="0.3">
      <c r="B15" s="7"/>
      <c r="C15" s="7" t="str">
        <f>_xlfn.CONCAT("MEUR",RIGHT(CPI!B11,4))</f>
        <v>MEUR2008</v>
      </c>
      <c r="D15" s="7" t="s">
        <v>41</v>
      </c>
      <c r="E15" s="7"/>
      <c r="F15" s="7" t="s">
        <v>161</v>
      </c>
      <c r="G15" s="25">
        <f>CPI!$D$21/CPI!D11</f>
        <v>1.1577481637108971</v>
      </c>
    </row>
    <row r="16" spans="2:7" ht="13" x14ac:dyDescent="0.3">
      <c r="B16" s="7"/>
      <c r="C16" s="7" t="str">
        <f>_xlfn.CONCAT("MEUR",RIGHT(CPI!B12,4))</f>
        <v>MEUR2009</v>
      </c>
      <c r="D16" s="7" t="s">
        <v>41</v>
      </c>
      <c r="E16" s="7"/>
      <c r="F16" s="7" t="s">
        <v>161</v>
      </c>
      <c r="G16" s="25">
        <f>CPI!$D$21/CPI!D12</f>
        <v>1.1462853106048485</v>
      </c>
    </row>
    <row r="17" spans="2:7" ht="13" x14ac:dyDescent="0.3">
      <c r="B17" s="7"/>
      <c r="C17" s="7" t="str">
        <f>_xlfn.CONCAT("MEUR",RIGHT(CPI!B13,4))</f>
        <v>MEUR2010</v>
      </c>
      <c r="D17" s="7" t="s">
        <v>41</v>
      </c>
      <c r="E17" s="7"/>
      <c r="F17" s="7" t="s">
        <v>161</v>
      </c>
      <c r="G17" s="25">
        <f>CPI!$D$21/CPI!D13</f>
        <v>1.1227084335013209</v>
      </c>
    </row>
    <row r="18" spans="2:7" ht="13" x14ac:dyDescent="0.3">
      <c r="B18" s="7"/>
      <c r="C18" s="7" t="str">
        <f>_xlfn.CONCAT("MEUR",RIGHT(CPI!B14,4))</f>
        <v>MEUR2011</v>
      </c>
      <c r="D18" s="7" t="s">
        <v>41</v>
      </c>
      <c r="E18" s="7"/>
      <c r="F18" s="7" t="s">
        <v>161</v>
      </c>
      <c r="G18" s="25">
        <f>CPI!$D$21/CPI!D14</f>
        <v>1.0889509539295061</v>
      </c>
    </row>
    <row r="19" spans="2:7" ht="13" x14ac:dyDescent="0.3">
      <c r="B19" s="7"/>
      <c r="C19" s="7" t="str">
        <f>_xlfn.CONCAT("MEUR",RIGHT(CPI!B15,4))</f>
        <v>MEUR2012</v>
      </c>
      <c r="D19" s="7" t="s">
        <v>41</v>
      </c>
      <c r="E19" s="7"/>
      <c r="F19" s="7" t="s">
        <v>161</v>
      </c>
      <c r="G19" s="25">
        <f>CPI!$D$21/CPI!D15</f>
        <v>1.0613557055843141</v>
      </c>
    </row>
    <row r="20" spans="2:7" ht="13" x14ac:dyDescent="0.3">
      <c r="B20" s="7"/>
      <c r="C20" s="7" t="str">
        <f>_xlfn.CONCAT("MEUR",RIGHT(CPI!B16,4))</f>
        <v>MEUR2013</v>
      </c>
      <c r="D20" s="7" t="s">
        <v>41</v>
      </c>
      <c r="E20" s="7"/>
      <c r="F20" s="7" t="s">
        <v>161</v>
      </c>
      <c r="G20" s="25">
        <f>CPI!$D$21/CPI!D16</f>
        <v>1.045670645895876</v>
      </c>
    </row>
    <row r="21" spans="2:7" ht="13" x14ac:dyDescent="0.3">
      <c r="B21" s="7"/>
      <c r="C21" s="7" t="str">
        <f>_xlfn.CONCAT("MEUR",RIGHT(CPI!B17,4))</f>
        <v>MEUR2014</v>
      </c>
      <c r="D21" s="7" t="s">
        <v>41</v>
      </c>
      <c r="E21" s="7"/>
      <c r="F21" s="7" t="s">
        <v>161</v>
      </c>
      <c r="G21" s="25">
        <f>CPI!$D$21/CPI!D17</f>
        <v>1.0394340416460002</v>
      </c>
    </row>
    <row r="22" spans="2:7" ht="13" x14ac:dyDescent="0.3">
      <c r="B22" s="7"/>
      <c r="C22" s="7" t="str">
        <f>_xlfn.CONCAT("MEUR",RIGHT(CPI!B18,4))</f>
        <v>MEUR2015</v>
      </c>
      <c r="D22" s="7" t="s">
        <v>41</v>
      </c>
      <c r="E22" s="7"/>
      <c r="F22" s="7" t="s">
        <v>161</v>
      </c>
      <c r="G22" s="25">
        <f>CPI!$D$21/CPI!D18</f>
        <v>1.0383956459999999</v>
      </c>
    </row>
    <row r="23" spans="2:7" ht="13" x14ac:dyDescent="0.3">
      <c r="B23" s="7"/>
      <c r="C23" s="7" t="str">
        <f>_xlfn.CONCAT("MEUR",RIGHT(CPI!B19,4))</f>
        <v>MEUR2016</v>
      </c>
      <c r="D23" s="7" t="s">
        <v>41</v>
      </c>
      <c r="E23" s="7"/>
      <c r="F23" s="7" t="s">
        <v>161</v>
      </c>
      <c r="G23" s="25">
        <f>CPI!$D$21/CPI!D19</f>
        <v>1.0363230000000001</v>
      </c>
    </row>
    <row r="24" spans="2:7" ht="13" x14ac:dyDescent="0.3">
      <c r="B24" s="7"/>
      <c r="C24" s="7" t="str">
        <f>_xlfn.CONCAT("MEUR",RIGHT(CPI!B20,4))</f>
        <v>MEUR2017</v>
      </c>
      <c r="D24" s="7" t="s">
        <v>41</v>
      </c>
      <c r="E24" s="7"/>
      <c r="F24" s="7" t="s">
        <v>161</v>
      </c>
      <c r="G24" s="25">
        <f>CPI!$D$21/CPI!D20</f>
        <v>1.0190000000000001</v>
      </c>
    </row>
    <row r="25" spans="2:7" ht="13" x14ac:dyDescent="0.3">
      <c r="B25" s="7"/>
      <c r="C25" s="7" t="str">
        <f>_xlfn.CONCAT("MEUR",RIGHT(CPI!B22,4))</f>
        <v>MEUR2019</v>
      </c>
      <c r="D25" s="7" t="s">
        <v>41</v>
      </c>
      <c r="E25" s="7"/>
      <c r="F25" s="7" t="s">
        <v>161</v>
      </c>
      <c r="G25" s="25">
        <f>CPI!$D$21/CPI!D22</f>
        <v>0.98522167487684731</v>
      </c>
    </row>
    <row r="26" spans="2:7" ht="13" x14ac:dyDescent="0.3">
      <c r="C26" s="7" t="str">
        <f>_xlfn.CONCAT("MEUR",RIGHT(CPI!B23,4))</f>
        <v>MEUR2020</v>
      </c>
      <c r="D26" s="7" t="s">
        <v>41</v>
      </c>
      <c r="E26" s="7"/>
      <c r="F26" s="7" t="s">
        <v>161</v>
      </c>
      <c r="G26" s="25">
        <f>CPI!$D$21/CPI!D23</f>
        <v>0.9783730634328176</v>
      </c>
    </row>
    <row r="27" spans="2:7" ht="13" x14ac:dyDescent="0.3">
      <c r="C27" s="7" t="str">
        <f>_xlfn.CONCAT("MEUR",RIGHT(CPI!B24,4))</f>
        <v>MEUR2021</v>
      </c>
      <c r="D27" s="7" t="s">
        <v>41</v>
      </c>
      <c r="E27" s="7"/>
      <c r="F27" s="7" t="s">
        <v>161</v>
      </c>
      <c r="G27" s="25">
        <f>CPI!$D$21/CPI!D24</f>
        <v>0.95079986728164989</v>
      </c>
    </row>
    <row r="31" spans="2:7" ht="13" x14ac:dyDescent="0.3">
      <c r="B31" s="7"/>
    </row>
    <row r="32" spans="2:7" ht="13" x14ac:dyDescent="0.3">
      <c r="B32" s="7"/>
    </row>
    <row r="33" spans="2:2" ht="13" x14ac:dyDescent="0.3">
      <c r="B33" s="7"/>
    </row>
    <row r="34" spans="2:2" ht="13" x14ac:dyDescent="0.3">
      <c r="B34" s="25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2:O25"/>
  <sheetViews>
    <sheetView workbookViewId="0">
      <selection activeCell="G35" sqref="G35"/>
    </sheetView>
  </sheetViews>
  <sheetFormatPr defaultColWidth="11.453125" defaultRowHeight="12.5" x14ac:dyDescent="0.25"/>
  <cols>
    <col min="4" max="4" width="15.54296875" customWidth="1"/>
  </cols>
  <sheetData>
    <row r="2" spans="2:15" ht="13" x14ac:dyDescent="0.3">
      <c r="B2" s="10" t="s">
        <v>43</v>
      </c>
      <c r="D2" s="10" t="s">
        <v>119</v>
      </c>
      <c r="M2" s="10" t="s">
        <v>120</v>
      </c>
    </row>
    <row r="3" spans="2:15" ht="13.5" customHeight="1" thickBot="1" x14ac:dyDescent="0.35">
      <c r="B3" s="9" t="s">
        <v>44</v>
      </c>
      <c r="D3" s="9" t="s">
        <v>25</v>
      </c>
      <c r="E3" s="9" t="s">
        <v>54</v>
      </c>
      <c r="F3" s="9" t="s">
        <v>53</v>
      </c>
      <c r="G3" s="9" t="s">
        <v>55</v>
      </c>
      <c r="H3" s="9" t="s">
        <v>141</v>
      </c>
      <c r="I3" s="9" t="s">
        <v>45</v>
      </c>
      <c r="J3" s="9" t="s">
        <v>140</v>
      </c>
      <c r="K3" s="9" t="s">
        <v>56</v>
      </c>
      <c r="M3" s="9" t="s">
        <v>121</v>
      </c>
      <c r="N3" s="9" t="s">
        <v>122</v>
      </c>
      <c r="O3" s="9" t="s">
        <v>123</v>
      </c>
    </row>
    <row r="4" spans="2:15" ht="13" x14ac:dyDescent="0.3">
      <c r="B4" s="7" t="s">
        <v>161</v>
      </c>
      <c r="D4" s="7" t="s">
        <v>46</v>
      </c>
      <c r="E4" s="7" t="s">
        <v>57</v>
      </c>
      <c r="F4" s="7" t="s">
        <v>57</v>
      </c>
      <c r="H4" s="7" t="s">
        <v>57</v>
      </c>
      <c r="J4" s="7" t="s">
        <v>57</v>
      </c>
      <c r="M4" t="s">
        <v>124</v>
      </c>
      <c r="N4" t="s">
        <v>57</v>
      </c>
      <c r="O4">
        <v>3.6</v>
      </c>
    </row>
    <row r="5" spans="2:15" ht="13" x14ac:dyDescent="0.3">
      <c r="B5" s="7" t="str">
        <f>Constants!C7</f>
        <v>MEUR2000</v>
      </c>
      <c r="D5" s="7" t="s">
        <v>47</v>
      </c>
      <c r="E5" s="7" t="s">
        <v>143</v>
      </c>
      <c r="F5" s="7" t="s">
        <v>143</v>
      </c>
      <c r="H5" s="7" t="s">
        <v>58</v>
      </c>
      <c r="J5" s="7" t="s">
        <v>58</v>
      </c>
      <c r="M5" t="s">
        <v>125</v>
      </c>
      <c r="N5" t="s">
        <v>126</v>
      </c>
      <c r="O5">
        <v>1000</v>
      </c>
    </row>
    <row r="6" spans="2:15" ht="13" x14ac:dyDescent="0.3">
      <c r="B6" s="7" t="str">
        <f>Constants!C8</f>
        <v>MEUR2001</v>
      </c>
      <c r="D6" s="7" t="s">
        <v>48</v>
      </c>
      <c r="E6" s="7" t="s">
        <v>57</v>
      </c>
      <c r="F6" s="7" t="s">
        <v>57</v>
      </c>
      <c r="H6" s="7" t="s">
        <v>57</v>
      </c>
      <c r="J6" s="7" t="s">
        <v>57</v>
      </c>
      <c r="M6" t="s">
        <v>133</v>
      </c>
      <c r="N6" t="s">
        <v>134</v>
      </c>
      <c r="O6">
        <v>1000</v>
      </c>
    </row>
    <row r="7" spans="2:15" ht="13" x14ac:dyDescent="0.3">
      <c r="B7" s="7" t="str">
        <f>Constants!C9</f>
        <v>MEUR2002</v>
      </c>
      <c r="M7" t="s">
        <v>127</v>
      </c>
      <c r="N7" t="s">
        <v>57</v>
      </c>
      <c r="O7">
        <v>0.04</v>
      </c>
    </row>
    <row r="8" spans="2:15" ht="13" x14ac:dyDescent="0.3">
      <c r="B8" s="7" t="str">
        <f>Constants!C10</f>
        <v>MEUR2003</v>
      </c>
      <c r="M8" t="s">
        <v>128</v>
      </c>
      <c r="N8" t="s">
        <v>57</v>
      </c>
      <c r="O8">
        <v>41.87</v>
      </c>
    </row>
    <row r="9" spans="2:15" ht="13" x14ac:dyDescent="0.3">
      <c r="B9" s="7" t="str">
        <f>Constants!C11</f>
        <v>MEUR2004</v>
      </c>
      <c r="M9" t="s">
        <v>129</v>
      </c>
      <c r="N9" t="s">
        <v>57</v>
      </c>
      <c r="O9">
        <v>3.5999999999999999E-3</v>
      </c>
    </row>
    <row r="10" spans="2:15" ht="13" x14ac:dyDescent="0.3">
      <c r="B10" s="7" t="str">
        <f>Constants!C12</f>
        <v>MEUR2005</v>
      </c>
      <c r="M10" t="s">
        <v>130</v>
      </c>
      <c r="N10" t="s">
        <v>126</v>
      </c>
      <c r="O10">
        <v>1000000</v>
      </c>
    </row>
    <row r="11" spans="2:15" ht="13" x14ac:dyDescent="0.3">
      <c r="B11" s="7" t="str">
        <f>Constants!C13</f>
        <v>MEUR2006</v>
      </c>
      <c r="M11" t="s">
        <v>131</v>
      </c>
      <c r="N11" t="s">
        <v>57</v>
      </c>
      <c r="O11">
        <v>1000</v>
      </c>
    </row>
    <row r="12" spans="2:15" ht="13" x14ac:dyDescent="0.3">
      <c r="B12" s="7" t="str">
        <f>Constants!C14</f>
        <v>MEUR2007</v>
      </c>
      <c r="M12" t="s">
        <v>132</v>
      </c>
      <c r="N12" t="s">
        <v>57</v>
      </c>
      <c r="O12">
        <v>3.6</v>
      </c>
    </row>
    <row r="13" spans="2:15" ht="13" x14ac:dyDescent="0.3">
      <c r="B13" s="7" t="str">
        <f>Constants!C15</f>
        <v>MEUR2008</v>
      </c>
      <c r="M13" t="s">
        <v>57</v>
      </c>
      <c r="N13" t="s">
        <v>57</v>
      </c>
      <c r="O13">
        <v>1</v>
      </c>
    </row>
    <row r="14" spans="2:15" ht="13" x14ac:dyDescent="0.3">
      <c r="B14" s="7" t="str">
        <f>Constants!C16</f>
        <v>MEUR2009</v>
      </c>
      <c r="M14" t="s">
        <v>126</v>
      </c>
      <c r="N14" t="s">
        <v>126</v>
      </c>
      <c r="O14">
        <v>1</v>
      </c>
    </row>
    <row r="15" spans="2:15" ht="13" x14ac:dyDescent="0.3">
      <c r="B15" s="7" t="str">
        <f>Constants!C17</f>
        <v>MEUR2010</v>
      </c>
      <c r="M15" t="s">
        <v>134</v>
      </c>
      <c r="N15" t="s">
        <v>134</v>
      </c>
      <c r="O15">
        <v>1</v>
      </c>
    </row>
    <row r="16" spans="2:15" ht="13" x14ac:dyDescent="0.3">
      <c r="B16" s="7" t="str">
        <f>Constants!C18</f>
        <v>MEUR2011</v>
      </c>
    </row>
    <row r="17" spans="2:2" ht="13" x14ac:dyDescent="0.3">
      <c r="B17" s="7" t="str">
        <f>Constants!C19</f>
        <v>MEUR2012</v>
      </c>
    </row>
    <row r="18" spans="2:2" ht="13" x14ac:dyDescent="0.3">
      <c r="B18" s="7" t="str">
        <f>Constants!C20</f>
        <v>MEUR2013</v>
      </c>
    </row>
    <row r="19" spans="2:2" ht="13" x14ac:dyDescent="0.3">
      <c r="B19" s="7" t="str">
        <f>Constants!C21</f>
        <v>MEUR2014</v>
      </c>
    </row>
    <row r="20" spans="2:2" ht="13" x14ac:dyDescent="0.3">
      <c r="B20" s="7" t="str">
        <f>Constants!C22</f>
        <v>MEUR2015</v>
      </c>
    </row>
    <row r="21" spans="2:2" ht="13" x14ac:dyDescent="0.3">
      <c r="B21" s="7" t="str">
        <f>Constants!C23</f>
        <v>MEUR2016</v>
      </c>
    </row>
    <row r="22" spans="2:2" ht="13" x14ac:dyDescent="0.3">
      <c r="B22" s="7" t="str">
        <f>Constants!C24</f>
        <v>MEUR2017</v>
      </c>
    </row>
    <row r="23" spans="2:2" ht="13" x14ac:dyDescent="0.3">
      <c r="B23" s="7" t="str">
        <f>Constants!C25</f>
        <v>MEUR2019</v>
      </c>
    </row>
    <row r="24" spans="2:2" ht="13" x14ac:dyDescent="0.3">
      <c r="B24" s="7" t="str">
        <f>Constants!C26</f>
        <v>MEUR2020</v>
      </c>
    </row>
    <row r="25" spans="2:2" ht="13" x14ac:dyDescent="0.3">
      <c r="B25" s="7" t="str">
        <f>Constants!C27</f>
        <v>MEUR2021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D26"/>
  <sheetViews>
    <sheetView workbookViewId="0">
      <selection activeCell="D24" sqref="D24"/>
    </sheetView>
  </sheetViews>
  <sheetFormatPr defaultColWidth="11.453125" defaultRowHeight="12.5" x14ac:dyDescent="0.25"/>
  <cols>
    <col min="2" max="2" width="10.453125" customWidth="1"/>
    <col min="3" max="4" width="13.81640625" customWidth="1"/>
  </cols>
  <sheetData>
    <row r="2" spans="2:4" ht="30" customHeight="1" x14ac:dyDescent="0.25">
      <c r="B2" s="28"/>
      <c r="C2" s="29" t="s">
        <v>34</v>
      </c>
      <c r="D2" s="30" t="s">
        <v>35</v>
      </c>
    </row>
    <row r="3" spans="2:4" ht="14.5" x14ac:dyDescent="0.25">
      <c r="B3" s="31">
        <v>2000</v>
      </c>
      <c r="C3" s="32"/>
      <c r="D3" s="32">
        <v>100</v>
      </c>
    </row>
    <row r="4" spans="2:4" ht="14.5" x14ac:dyDescent="0.25">
      <c r="B4" s="31">
        <v>2001</v>
      </c>
      <c r="C4" s="33">
        <v>2.1999999999999999E-2</v>
      </c>
      <c r="D4" s="32">
        <f t="shared" ref="D4:D22" si="0">D3+D3*C4</f>
        <v>102.2</v>
      </c>
    </row>
    <row r="5" spans="2:4" ht="14.5" x14ac:dyDescent="0.25">
      <c r="B5" s="31">
        <v>2002</v>
      </c>
      <c r="C5" s="33">
        <v>2.1000000000000001E-2</v>
      </c>
      <c r="D5" s="34">
        <f t="shared" si="0"/>
        <v>104.34620000000001</v>
      </c>
    </row>
    <row r="6" spans="2:4" ht="14.5" x14ac:dyDescent="0.25">
      <c r="B6" s="31">
        <v>2003</v>
      </c>
      <c r="C6" s="33">
        <v>0.02</v>
      </c>
      <c r="D6" s="34">
        <f t="shared" si="0"/>
        <v>106.43312400000001</v>
      </c>
    </row>
    <row r="7" spans="2:4" ht="14.5" x14ac:dyDescent="0.25">
      <c r="B7" s="31">
        <v>2004</v>
      </c>
      <c r="C7" s="33">
        <v>0.02</v>
      </c>
      <c r="D7" s="34">
        <f t="shared" si="0"/>
        <v>108.56178648000001</v>
      </c>
    </row>
    <row r="8" spans="2:4" ht="14.5" x14ac:dyDescent="0.25">
      <c r="B8" s="31">
        <v>2005</v>
      </c>
      <c r="C8" s="33">
        <v>2.1999999999999999E-2</v>
      </c>
      <c r="D8" s="34">
        <f t="shared" si="0"/>
        <v>110.95014578256001</v>
      </c>
    </row>
    <row r="9" spans="2:4" ht="14.5" x14ac:dyDescent="0.25">
      <c r="B9" s="31">
        <v>2006</v>
      </c>
      <c r="C9" s="33">
        <v>2.1999999999999999E-2</v>
      </c>
      <c r="D9" s="34">
        <f t="shared" si="0"/>
        <v>113.39104898977634</v>
      </c>
    </row>
    <row r="10" spans="2:4" ht="14.5" x14ac:dyDescent="0.25">
      <c r="B10" s="31">
        <v>2007</v>
      </c>
      <c r="C10" s="33">
        <v>2.3E-2</v>
      </c>
      <c r="D10" s="34">
        <f t="shared" si="0"/>
        <v>115.99904311654119</v>
      </c>
    </row>
    <row r="11" spans="2:4" ht="14.5" x14ac:dyDescent="0.25">
      <c r="B11" s="31">
        <v>2008</v>
      </c>
      <c r="C11" s="33">
        <v>3.6999999999999998E-2</v>
      </c>
      <c r="D11" s="34">
        <f t="shared" si="0"/>
        <v>120.29100771185321</v>
      </c>
    </row>
    <row r="12" spans="2:4" ht="14.5" x14ac:dyDescent="0.25">
      <c r="B12" s="31">
        <v>2009</v>
      </c>
      <c r="C12" s="33">
        <v>0.01</v>
      </c>
      <c r="D12" s="34">
        <f t="shared" si="0"/>
        <v>121.49391778897174</v>
      </c>
    </row>
    <row r="13" spans="2:4" ht="14.5" x14ac:dyDescent="0.25">
      <c r="B13" s="31">
        <v>2010</v>
      </c>
      <c r="C13" s="33">
        <v>2.1000000000000001E-2</v>
      </c>
      <c r="D13" s="34">
        <f t="shared" si="0"/>
        <v>124.04529006254015</v>
      </c>
    </row>
    <row r="14" spans="2:4" ht="14.5" x14ac:dyDescent="0.25">
      <c r="B14" s="31">
        <v>2011</v>
      </c>
      <c r="C14" s="33">
        <v>3.1E-2</v>
      </c>
      <c r="D14" s="34">
        <f t="shared" si="0"/>
        <v>127.89069405447889</v>
      </c>
    </row>
    <row r="15" spans="2:4" ht="14.5" x14ac:dyDescent="0.25">
      <c r="B15" s="31">
        <v>2012</v>
      </c>
      <c r="C15" s="33">
        <v>2.6000000000000002E-2</v>
      </c>
      <c r="D15" s="34">
        <f t="shared" si="0"/>
        <v>131.21585209989533</v>
      </c>
    </row>
    <row r="16" spans="2:4" ht="14.5" x14ac:dyDescent="0.25">
      <c r="B16" s="31">
        <v>2013</v>
      </c>
      <c r="C16" s="33">
        <v>1.4999999999999999E-2</v>
      </c>
      <c r="D16" s="34">
        <f t="shared" si="0"/>
        <v>133.18408988139376</v>
      </c>
    </row>
    <row r="17" spans="2:4" ht="14.5" x14ac:dyDescent="0.25">
      <c r="B17" s="31">
        <v>2014</v>
      </c>
      <c r="C17" s="33">
        <v>6.0000000000000001E-3</v>
      </c>
      <c r="D17" s="34">
        <f t="shared" si="0"/>
        <v>133.98319442068211</v>
      </c>
    </row>
    <row r="18" spans="2:4" ht="14.5" x14ac:dyDescent="0.25">
      <c r="B18" s="31">
        <v>2015</v>
      </c>
      <c r="C18" s="38">
        <v>1E-3</v>
      </c>
      <c r="D18" s="34">
        <f>D17+D17*C18</f>
        <v>134.1171776151028</v>
      </c>
    </row>
    <row r="19" spans="2:4" ht="14.5" x14ac:dyDescent="0.25">
      <c r="B19" s="36">
        <v>2016</v>
      </c>
      <c r="C19" s="33">
        <v>2E-3</v>
      </c>
      <c r="D19" s="37">
        <f t="shared" si="0"/>
        <v>134.385411970333</v>
      </c>
    </row>
    <row r="20" spans="2:4" ht="14.5" x14ac:dyDescent="0.25">
      <c r="B20" s="36">
        <v>2017</v>
      </c>
      <c r="C20" s="33">
        <v>1.7000000000000001E-2</v>
      </c>
      <c r="D20" s="37">
        <f t="shared" si="0"/>
        <v>136.66996397382866</v>
      </c>
    </row>
    <row r="21" spans="2:4" ht="14.5" x14ac:dyDescent="0.25">
      <c r="B21" s="36">
        <v>2018</v>
      </c>
      <c r="C21" s="33">
        <v>1.9E-2</v>
      </c>
      <c r="D21" s="37">
        <f t="shared" si="0"/>
        <v>139.26669328933141</v>
      </c>
    </row>
    <row r="22" spans="2:4" ht="14.5" x14ac:dyDescent="0.25">
      <c r="B22" s="36">
        <v>2019</v>
      </c>
      <c r="C22" s="33">
        <v>1.4999999999999999E-2</v>
      </c>
      <c r="D22" s="37">
        <f t="shared" si="0"/>
        <v>141.35569368867138</v>
      </c>
    </row>
    <row r="23" spans="2:4" ht="14.5" x14ac:dyDescent="0.25">
      <c r="B23" s="36">
        <v>2020</v>
      </c>
      <c r="C23" s="33">
        <v>7.0000000000000001E-3</v>
      </c>
      <c r="D23" s="37">
        <f t="shared" ref="D23" si="1">D22+D22*C23</f>
        <v>142.34518354449207</v>
      </c>
    </row>
    <row r="24" spans="2:4" ht="14.5" x14ac:dyDescent="0.25">
      <c r="B24" s="36">
        <v>2021</v>
      </c>
      <c r="C24" s="38">
        <v>2.9000000000000001E-2</v>
      </c>
      <c r="D24" s="37">
        <f t="shared" ref="D24" si="2">D23+D23*C24</f>
        <v>146.47319386728233</v>
      </c>
    </row>
    <row r="26" spans="2:4" ht="14.5" x14ac:dyDescent="0.25">
      <c r="B26" s="35" t="s">
        <v>36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Regions</vt:lpstr>
      <vt:lpstr>Region Definition</vt:lpstr>
      <vt:lpstr>TimePeriods</vt:lpstr>
      <vt:lpstr>Import Settings</vt:lpstr>
      <vt:lpstr>Interpol_Extrapol_Defaults</vt:lpstr>
      <vt:lpstr>Constants</vt:lpstr>
      <vt:lpstr>Defaults</vt:lpstr>
      <vt:lpstr>CPI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cp:lastPrinted>2001-09-28T20:39:50Z</cp:lastPrinted>
  <dcterms:created xsi:type="dcterms:W3CDTF">2001-09-28T18:48:17Z</dcterms:created>
  <dcterms:modified xsi:type="dcterms:W3CDTF">2026-08-12T07:03:02Z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265311837196350</vt:r8>
  </property>
</Properties>
</file>